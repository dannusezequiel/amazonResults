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equiel\webScraping- WEB\"/>
    </mc:Choice>
  </mc:AlternateContent>
  <xr:revisionPtr revIDLastSave="0" documentId="13_ncr:1_{81C1B492-BDBB-47A1-AC71-E279330EEE81}" xr6:coauthVersionLast="47" xr6:coauthVersionMax="47" xr10:uidLastSave="{00000000-0000-0000-0000-000000000000}"/>
  <bookViews>
    <workbookView xWindow="-110" yWindow="-110" windowWidth="19420" windowHeight="10300" firstSheet="1" activeTab="2" xr2:uid="{A8201A1A-64EC-4C7C-ABB2-8799DD3EBCF0}"/>
  </bookViews>
  <sheets>
    <sheet name="Planilha1" sheetId="7" state="hidden" r:id="rId1"/>
    <sheet name="VIA" sheetId="4" r:id="rId2"/>
    <sheet name="MADEIRA" sheetId="3" r:id="rId3"/>
    <sheet name="SHOPEE" sheetId="22" state="hidden" r:id="rId4"/>
    <sheet name="MAGALU" sheetId="23" r:id="rId5"/>
    <sheet name="MELI" sheetId="5" state="hidden" r:id="rId6"/>
    <sheet name="Negociados" sheetId="21" r:id="rId7"/>
    <sheet name="CARREFOUR" sheetId="2" state="hidden" r:id="rId8"/>
    <sheet name="SITE WEB" sheetId="6" state="hidden" r:id="rId9"/>
  </sheets>
  <externalReferences>
    <externalReference r:id="rId10"/>
  </externalReferences>
  <definedNames>
    <definedName name="_xlnm._FilterDatabase" localSheetId="7" hidden="1">CARREFOUR!$A$1:$H$1</definedName>
    <definedName name="_xlnm._FilterDatabase" localSheetId="2" hidden="1">MADEIRA!$A$2:$G$31</definedName>
    <definedName name="_xlnm._FilterDatabase" localSheetId="4" hidden="1">MAGALU!$E$1:$E$64</definedName>
    <definedName name="_xlnm._FilterDatabase" localSheetId="5" hidden="1">MELI!$A$2:$E$2</definedName>
    <definedName name="_xlnm._FilterDatabase" localSheetId="6" hidden="1">Negociados!$A$1:$F$2889</definedName>
    <definedName name="_xlnm._FilterDatabase" localSheetId="0" hidden="1">Planilha1!$A$1:$AF$1</definedName>
    <definedName name="_xlnm._FilterDatabase" localSheetId="8" hidden="1">'SITE WEB'!$A$1:$H$1</definedName>
    <definedName name="_xlnm._FilterDatabase" localSheetId="1" hidden="1">VIA!$A$2:$J$2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3" l="1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3" i="23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3" i="4"/>
  <c r="J3" i="4"/>
  <c r="J4" i="4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J4" i="23"/>
  <c r="J3" i="23"/>
  <c r="H4" i="22"/>
  <c r="H3" i="22"/>
  <c r="H3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I3" i="5" l="1"/>
  <c r="J8" i="4"/>
  <c r="H4" i="3" l="1"/>
  <c r="M4" i="5" l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J21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U30" i="5" l="1"/>
  <c r="U21" i="5"/>
  <c r="U19" i="5"/>
  <c r="U3" i="5"/>
  <c r="U6" i="5"/>
  <c r="U37" i="5"/>
  <c r="U27" i="5"/>
  <c r="U11" i="5"/>
  <c r="U34" i="5"/>
  <c r="U26" i="5"/>
  <c r="U18" i="5"/>
  <c r="U10" i="5"/>
  <c r="U22" i="5"/>
  <c r="U5" i="5"/>
  <c r="U35" i="5"/>
  <c r="U41" i="5"/>
  <c r="U33" i="5"/>
  <c r="U25" i="5"/>
  <c r="U17" i="5"/>
  <c r="U9" i="5"/>
  <c r="U38" i="5"/>
  <c r="U40" i="5"/>
  <c r="U32" i="5"/>
  <c r="U24" i="5"/>
  <c r="U16" i="5"/>
  <c r="U8" i="5"/>
  <c r="U39" i="5"/>
  <c r="U31" i="5"/>
  <c r="U23" i="5"/>
  <c r="U15" i="5"/>
  <c r="U7" i="5"/>
  <c r="U14" i="5"/>
  <c r="U29" i="5"/>
  <c r="U13" i="5"/>
  <c r="U36" i="5"/>
  <c r="U28" i="5"/>
  <c r="U20" i="5"/>
  <c r="U12" i="5"/>
  <c r="U4" i="5"/>
  <c r="J31" i="4"/>
  <c r="J5" i="4" l="1"/>
  <c r="J6" i="4"/>
  <c r="J7" i="4"/>
  <c r="J9" i="4"/>
  <c r="J10" i="4"/>
  <c r="J11" i="4"/>
  <c r="J12" i="4"/>
  <c r="J13" i="4"/>
  <c r="J14" i="4"/>
  <c r="J15" i="4"/>
  <c r="J16" i="4"/>
  <c r="J17" i="4"/>
  <c r="J18" i="4"/>
  <c r="J19" i="4"/>
  <c r="J20" i="4"/>
  <c r="J22" i="4"/>
  <c r="J23" i="4"/>
  <c r="J24" i="4"/>
  <c r="J25" i="4"/>
  <c r="J26" i="4"/>
  <c r="J27" i="4"/>
  <c r="J28" i="4"/>
  <c r="J29" i="4"/>
  <c r="J30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D19" i="7"/>
  <c r="D18" i="7"/>
  <c r="D53" i="7"/>
  <c r="D22" i="7"/>
  <c r="D26" i="7"/>
  <c r="D23" i="7"/>
  <c r="D24" i="7"/>
  <c r="D45" i="7"/>
  <c r="D9" i="7"/>
  <c r="D4" i="7"/>
  <c r="D5" i="7"/>
  <c r="D11" i="7"/>
  <c r="D31" i="7"/>
  <c r="D17" i="7"/>
  <c r="D29" i="7"/>
  <c r="D14" i="7"/>
  <c r="D43" i="7"/>
  <c r="D42" i="7"/>
  <c r="D51" i="7"/>
  <c r="D12" i="7"/>
  <c r="D15" i="7"/>
  <c r="D13" i="7"/>
  <c r="D50" i="7"/>
  <c r="D10" i="7"/>
  <c r="D48" i="7"/>
  <c r="D36" i="7"/>
  <c r="D8" i="7"/>
  <c r="D28" i="7"/>
  <c r="D27" i="7"/>
  <c r="D7" i="7"/>
  <c r="D44" i="7"/>
  <c r="D2" i="7"/>
  <c r="D40" i="7"/>
  <c r="D41" i="7"/>
  <c r="D6" i="7"/>
  <c r="D39" i="7"/>
  <c r="D3" i="7"/>
  <c r="D47" i="7"/>
  <c r="D49" i="7"/>
  <c r="D52" i="7"/>
  <c r="D30" i="7"/>
  <c r="D33" i="7"/>
  <c r="D35" i="7"/>
  <c r="D37" i="7"/>
  <c r="D38" i="7"/>
  <c r="D46" i="7"/>
  <c r="D32" i="7"/>
  <c r="D34" i="7"/>
  <c r="D25" i="7"/>
  <c r="D20" i="7"/>
  <c r="D21" i="7"/>
  <c r="D16" i="7"/>
  <c r="AF7" i="7" l="1"/>
  <c r="AF48" i="7"/>
  <c r="AF10" i="7"/>
  <c r="AF49" i="7"/>
  <c r="AF13" i="7"/>
  <c r="AF15" i="7"/>
  <c r="AF12" i="7"/>
  <c r="AF42" i="7"/>
  <c r="AF43" i="7"/>
  <c r="AF14" i="7"/>
  <c r="AF17" i="7"/>
  <c r="AF47" i="7"/>
  <c r="AF3" i="7"/>
  <c r="AF11" i="7"/>
  <c r="AF5" i="7"/>
  <c r="AF4" i="7"/>
  <c r="AF39" i="7"/>
  <c r="AF6" i="7"/>
  <c r="AF41" i="7"/>
  <c r="AF40" i="7"/>
  <c r="AF2" i="7"/>
  <c r="AF44" i="7"/>
  <c r="AF45" i="7"/>
  <c r="E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22BB7-233E-4EA7-A6E7-A2DCF284E4E2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<sst xmlns="http://schemas.openxmlformats.org/spreadsheetml/2006/main" count="10951" uniqueCount="1239">
  <si>
    <t>SKU</t>
  </si>
  <si>
    <t>COD</t>
  </si>
  <si>
    <t>DESCRIÇÃO</t>
  </si>
  <si>
    <t>NEGOCIAÇÃO</t>
  </si>
  <si>
    <t>COMISSÃO 19%</t>
  </si>
  <si>
    <t>COMISSÃO 17%</t>
  </si>
  <si>
    <t>COMISSÃO 15%</t>
  </si>
  <si>
    <t>COMISSÃO 12%</t>
  </si>
  <si>
    <t>42917G4XTPER</t>
  </si>
  <si>
    <t>42905Z4XTPT</t>
  </si>
  <si>
    <t>Kit 4 Cadeiras 4290 Madesa Rustic/Preto</t>
  </si>
  <si>
    <t>42905Z4XTFLH</t>
  </si>
  <si>
    <t>MDJA0200015ZPT</t>
  </si>
  <si>
    <t>Conjunto Sala de Jantar Madesa Gabi Mesa Tampo de Madeira com 2 Cadeiras Rustic/Preto/Sintético Preto</t>
  </si>
  <si>
    <t>MDJA0200015ZPER</t>
  </si>
  <si>
    <t>42805Z4XPE</t>
  </si>
  <si>
    <t>42805Z4XPT</t>
  </si>
  <si>
    <t>Kit 4 Cadeiras 4280 Madesa Rustic/Preto</t>
  </si>
  <si>
    <t>12487K</t>
  </si>
  <si>
    <t>42905Z6XTPER</t>
  </si>
  <si>
    <t>42905Z6XTLIB</t>
  </si>
  <si>
    <t>42917K6XTPT</t>
  </si>
  <si>
    <t>Kit 6 Cadeiras 4291 Madesa Rustic/Preto</t>
  </si>
  <si>
    <t>MDJA0400885ZFBM</t>
  </si>
  <si>
    <t>Conjunto Sala de Jantar Madesa Luana Mesa Tampo de Madeira com 4 Cadeiras Rustic/Bege Marrom</t>
  </si>
  <si>
    <t>MDJA0400505ZPT</t>
  </si>
  <si>
    <t>Conjunto Sala de Jantar Madesa Maya Mesa Tampo de Vidro com 4 Cadeiras Rustic/Sintético Preto</t>
  </si>
  <si>
    <t>044825ZXTFLH</t>
  </si>
  <si>
    <t>Conjunto Sala de Jantar Madesa Maris Mesa Tampo de Madeira com 6 Cadeiras Rustic/Floral Hibiscos</t>
  </si>
  <si>
    <t>MDJA0600177GBE</t>
  </si>
  <si>
    <t>GRNC1200013B</t>
  </si>
  <si>
    <t>1094091ECP</t>
  </si>
  <si>
    <t>Guarda-Roupa Solteiro Madesa Denver 2 Portas de Correr com Espelho com Pés Branco</t>
  </si>
  <si>
    <t>1097091E</t>
  </si>
  <si>
    <t>Guarda-Roupa Solteiro Madesa Tokio 2 Portas de Correr com Espelho 2 Gavetas Branco</t>
  </si>
  <si>
    <t>GRNC2400053B</t>
  </si>
  <si>
    <t>Armário de Cozinha Completa Suspenso 240cm Cinza Nice Madesa 05</t>
  </si>
  <si>
    <t>GRNC2400043B</t>
  </si>
  <si>
    <t>GRNC2600133B</t>
  </si>
  <si>
    <t>WEB - CARREFOUR</t>
  </si>
  <si>
    <t>10935Z</t>
  </si>
  <si>
    <t>Guarda-Roupa Casal Madesa Mônaco 3 Portas de Correr Rustic</t>
  </si>
  <si>
    <t>XAGREM1690037K</t>
  </si>
  <si>
    <t>Armário de Cozinha Completa 169cm Rustic/Preto Emilly Box Madesa 03</t>
  </si>
  <si>
    <t>WEB - MADEIRA</t>
  </si>
  <si>
    <t>MDJA0400885ZFLH</t>
  </si>
  <si>
    <t>MDJA040137F9SIL</t>
  </si>
  <si>
    <t>MDJA0401377GSIM</t>
  </si>
  <si>
    <t>10948N2E4G</t>
  </si>
  <si>
    <t>1082093E</t>
  </si>
  <si>
    <t>GRNC3000093B</t>
  </si>
  <si>
    <t>GRAG270003F9</t>
  </si>
  <si>
    <t>WEB - VIA</t>
  </si>
  <si>
    <t>XB70035Z1</t>
  </si>
  <si>
    <t>044915ZXTPER</t>
  </si>
  <si>
    <t>MDJA060017D8PT</t>
  </si>
  <si>
    <t>Conjunto Sala de Jantar Madesa Medelin Mesa Tampo de Madeira com 6 Cadeiras Preto/Rustic/Sintético Preto</t>
  </si>
  <si>
    <t>GREM1370037K</t>
  </si>
  <si>
    <t>044805ZXTFLH</t>
  </si>
  <si>
    <t>MDJA0600437GPER</t>
  </si>
  <si>
    <t>10978N2E</t>
  </si>
  <si>
    <t>XAGCEM2930047K</t>
  </si>
  <si>
    <t>Armário de Cozinha Completa de Canto 293cm Rustic/Preto Emilly Play Madesa XA</t>
  </si>
  <si>
    <t>XAGRRM260002D8</t>
  </si>
  <si>
    <t>Armário de Cozinha Completa 260cm Preto/Rustic Reims Madesa 02</t>
  </si>
  <si>
    <t>GRRM25000109</t>
  </si>
  <si>
    <t>CÓDIGO</t>
  </si>
  <si>
    <t>42905Z4XTPER</t>
  </si>
  <si>
    <t>WEB - MELI</t>
  </si>
  <si>
    <t>42905Z4XTLIB</t>
  </si>
  <si>
    <t>WEB - SITE</t>
  </si>
  <si>
    <t>MDJA040157F9FLH</t>
  </si>
  <si>
    <t>Conjunto Sala de Jantar Mesa Tampo de Madeira 4 Cadeiras Rustic/Cinza/Floral Hibiscos Samara Madesa</t>
  </si>
  <si>
    <t>044825ZXTPER</t>
  </si>
  <si>
    <t>MKP000631000282</t>
  </si>
  <si>
    <t>MDJA0400885ZPER</t>
  </si>
  <si>
    <t>42555Z2TSIMK</t>
  </si>
  <si>
    <t>42917G4XTFBM</t>
  </si>
  <si>
    <t>044745ZXTLIB</t>
  </si>
  <si>
    <t>045667GX4TFBM</t>
  </si>
  <si>
    <t>MKP000631000039</t>
  </si>
  <si>
    <t>6990131</t>
  </si>
  <si>
    <t>MKP000631003458</t>
  </si>
  <si>
    <t>Conjunto Sala de Jantar Madesa Cíntia Mesa Tampo de Madeira com 4 Cadeiras Rustic/Crema/Bege Marrom</t>
  </si>
  <si>
    <t>Estante Escada para Livros com 4 Prateleiras Madesa Preto</t>
  </si>
  <si>
    <t>XA10945Z2E4G</t>
  </si>
  <si>
    <t>Guarda-Roupa Infantil Madesa Theo 2 Portas de Correr de Espelho 4 Gavetas Rustic</t>
  </si>
  <si>
    <t>MKP000631001605</t>
  </si>
  <si>
    <t>MDJA0800047KPT</t>
  </si>
  <si>
    <t>MDJA0601417KPT</t>
  </si>
  <si>
    <t>1094D81E</t>
  </si>
  <si>
    <t>GRSM120001A9</t>
  </si>
  <si>
    <t>MKP000631005345</t>
  </si>
  <si>
    <t>MKP000631002036</t>
  </si>
  <si>
    <t>MKP000631001783</t>
  </si>
  <si>
    <t>Conjunto Sala de Jantar Mesa Tampo de Madeira 8 Cadeiras Rustic/Preto Marisa Madesa</t>
  </si>
  <si>
    <t>Conjunto Sala de Jantar Mesa Tampo de Madeira 6 Cadeiras Preto/Rustic Augusta Madesa</t>
  </si>
  <si>
    <t>Guarda-Roupa Solteiro Madesa Denver 2 Portas de Correr com Espelho Preto/Rustic</t>
  </si>
  <si>
    <t>Armário de Cozinha Compacta 100% MDF 120 cm Branco/Rustic/Crema Smart Madesa 01</t>
  </si>
  <si>
    <t>GREM2930037K</t>
  </si>
  <si>
    <t>MDJA0401627KPT</t>
  </si>
  <si>
    <t>1060094RFCT</t>
  </si>
  <si>
    <t>1094092E2G</t>
  </si>
  <si>
    <t>Guarda-Roupa Solteiro Madesa Dallas 2 Portas de Correr de Espelho 2 Gavetas Branco</t>
  </si>
  <si>
    <t>10938N3E4G</t>
  </si>
  <si>
    <t>1082091ECP</t>
  </si>
  <si>
    <t>MKP000631000255</t>
  </si>
  <si>
    <t>Guarda-Roupa Casal Madesa Napoli 3 Portas de Correr Central com Espelho com Pés Branco</t>
  </si>
  <si>
    <t>1093092E</t>
  </si>
  <si>
    <t>MKP000631001857</t>
  </si>
  <si>
    <t>Guarda-Roupa Casal Madesa Mônaco 3 Portas de Correr com Espelhos Branco</t>
  </si>
  <si>
    <t>42905Z6XTFBM</t>
  </si>
  <si>
    <t>XAMDFC0200019B</t>
  </si>
  <si>
    <t>16695Z2</t>
  </si>
  <si>
    <t>42545Z2TSIMK</t>
  </si>
  <si>
    <t>42905Z4XTFBM</t>
  </si>
  <si>
    <t>42917G4XTFLH</t>
  </si>
  <si>
    <t>Kit 4 Cadeiras 4290 Madesa Rustic/Sintético Bege</t>
  </si>
  <si>
    <t>Kit 4 Cadeiras 4291 Madesa Rustic/Crema/Sintético Bege</t>
  </si>
  <si>
    <t>Kit 4 Cadeiras 4280 Madesa Rustic/Crema/Sintético Bege</t>
  </si>
  <si>
    <t>Kit 6 Cadeiras 4290 Madesa Rustic/Sintético Bege</t>
  </si>
  <si>
    <t>MDJA060135F9SIL</t>
  </si>
  <si>
    <t>044825ZXTFBM</t>
  </si>
  <si>
    <t>Conjunto Sala de Jantar Madesa Gabi Mesa Tampo de Madeira com 2 Cadeiras Rustic/Crema/Sintético Bege</t>
  </si>
  <si>
    <t>Conjunto Sala de Jantar Madesa Rute Mesa Tampo de Madeira com 4 Cadeiras Rustic/Sintético Bege</t>
  </si>
  <si>
    <t>Conjunto Sala de Jantar Madesa Ohana Mesa Tampo de Madeira com 6 Cadeiras Rustic/Crema/Sintético Bege</t>
  </si>
  <si>
    <t>Conjunto Sala de Jantar Mesa Tampo de Madeira 6 Cadeiras Rustic/Cinza/Silver Hanna Madesa</t>
  </si>
  <si>
    <t>GCGM40900109</t>
  </si>
  <si>
    <t>GREM2290037K</t>
  </si>
  <si>
    <t>10639B</t>
  </si>
  <si>
    <t>1028d8</t>
  </si>
  <si>
    <t>Mdja0400027kpt</t>
  </si>
  <si>
    <t>Grgl12000209</t>
  </si>
  <si>
    <t>10935Z2E</t>
  </si>
  <si>
    <t>MDJA0401066ESIM</t>
  </si>
  <si>
    <t>10945Z2E4G</t>
  </si>
  <si>
    <t>1095F83E</t>
  </si>
  <si>
    <t>1093h92E</t>
  </si>
  <si>
    <t>MKP000631003480</t>
  </si>
  <si>
    <t>Conjunto Sala de Jantar Madesa Cali Mesa Tampo de Madeira com 4 Cadeiras Rustic/Preto/Sintético Preto</t>
  </si>
  <si>
    <t>MKP000631000381</t>
  </si>
  <si>
    <t>Armário de Cozinha Completa 229cm Rustic/Preto Emilly Fit Madesa 03</t>
  </si>
  <si>
    <t>MKP000631003781</t>
  </si>
  <si>
    <t>Armário de Cozinha Compacta 120cm Branco Glamy Madesa 02</t>
  </si>
  <si>
    <t>MKP000631004578</t>
  </si>
  <si>
    <t>Guarda-Roupa Casal Madesa Mônaco 3 Portas de Correr com Espelhos Preto/Cinza</t>
  </si>
  <si>
    <t>MKP000631001854</t>
  </si>
  <si>
    <t>Guarda-Roupa Casal Madesa Mônaco 3 Portas de Correr com Espelhos Rustic</t>
  </si>
  <si>
    <t>MKP000631000776</t>
  </si>
  <si>
    <t>Guarda-Roupa Solteiro Madesa Dallas Plus 2 Portas de Correr de Espelho 4 Gavetas Rustic</t>
  </si>
  <si>
    <t>MKP000631003209</t>
  </si>
  <si>
    <t>Conjunto Sala de Jantar Madesa Sabrina Mesa Tampo de Vidro com 4 Cadeiras Rustic/Branco/Imperial</t>
  </si>
  <si>
    <t>MKP000631003462</t>
  </si>
  <si>
    <t>Guarda-Roupa Casal Madesa Austin 4 Portas de Correr 3 Gavetas Preto/Rustic</t>
  </si>
  <si>
    <t>MKP000631003538</t>
  </si>
  <si>
    <t>Guarda-Roupa Casal Madesa Reno 3 Portas de Correr de Espelho Branco/Cinza</t>
  </si>
  <si>
    <t>MKP000631000990</t>
  </si>
  <si>
    <t>Guarda-Roupa Casal 100% MDF Madesa Royale 3 Portas de Correr Branco/Rustic</t>
  </si>
  <si>
    <t>GCGM3890029B</t>
  </si>
  <si>
    <t>42905Z6XTPT</t>
  </si>
  <si>
    <t>6002091CPC</t>
  </si>
  <si>
    <t>1065092ECP</t>
  </si>
  <si>
    <t>104409ACP</t>
  </si>
  <si>
    <t>GRTP2400059B</t>
  </si>
  <si>
    <t>10445ZA1ECP</t>
  </si>
  <si>
    <t>106509CP</t>
  </si>
  <si>
    <t>10445ZACP</t>
  </si>
  <si>
    <t>104409A2ECP</t>
  </si>
  <si>
    <t>045355ZXPE</t>
  </si>
  <si>
    <t>MDES0200148ND8</t>
  </si>
  <si>
    <t>MDES0200238N8N</t>
  </si>
  <si>
    <t>MDES02000609</t>
  </si>
  <si>
    <t>XAGREM1370027K</t>
  </si>
  <si>
    <t>70035Z1-1E</t>
  </si>
  <si>
    <t>1082092ECP</t>
  </si>
  <si>
    <t>70035Z1</t>
  </si>
  <si>
    <t>G2560009GL</t>
  </si>
  <si>
    <t>10935Z3E</t>
  </si>
  <si>
    <t>7003091-1E</t>
  </si>
  <si>
    <t>MDJA0400505ZLIB</t>
  </si>
  <si>
    <t>MDES0200029B5Z</t>
  </si>
  <si>
    <t>MDES0200029B</t>
  </si>
  <si>
    <t>10938N</t>
  </si>
  <si>
    <t>1093F91E</t>
  </si>
  <si>
    <t>MKP000631004304</t>
  </si>
  <si>
    <t>MKP000631003154</t>
  </si>
  <si>
    <t>MKP000631000168</t>
  </si>
  <si>
    <t>MKP000631000249</t>
  </si>
  <si>
    <t>MKP000631000142</t>
  </si>
  <si>
    <t>MKP000631004954</t>
  </si>
  <si>
    <t>MKP000631000134</t>
  </si>
  <si>
    <t>MKP000631000250</t>
  </si>
  <si>
    <t>MKP000631000141</t>
  </si>
  <si>
    <t>MKP000631000138</t>
  </si>
  <si>
    <t>MKP000631000664</t>
  </si>
  <si>
    <t>MKP000631001558</t>
  </si>
  <si>
    <t>MKP000631001537</t>
  </si>
  <si>
    <t>MKP000631000164</t>
  </si>
  <si>
    <t>MKP000631003286</t>
  </si>
  <si>
    <t>MKP000631000526</t>
  </si>
  <si>
    <t>MKP000631000253</t>
  </si>
  <si>
    <t>MKP000631000075</t>
  </si>
  <si>
    <t>MKP000631000003</t>
  </si>
  <si>
    <t>MKP000631000456</t>
  </si>
  <si>
    <t>MKP000631000525</t>
  </si>
  <si>
    <t>MKP000631001552</t>
  </si>
  <si>
    <t>MKP000631000161</t>
  </si>
  <si>
    <t>MKP000631000162</t>
  </si>
  <si>
    <t>MKP000631001942</t>
  </si>
  <si>
    <t>MKP000631004580</t>
  </si>
  <si>
    <t>Armário de Cozinha Completa de Canto 100% MDF 389cm Branco/Rustic Acordes Madesa 02</t>
  </si>
  <si>
    <t>Kit 6 Cadeiras 4290 Madesa Rustic/Sintético Preto</t>
  </si>
  <si>
    <t>Rack para TV até 65 Polegadas Madesa Londres com Pés Retro Branco</t>
  </si>
  <si>
    <t>Guarda-Roupa Casal Madesa Montana 4 Portas de Correr Com Espelho Com Pés-Branco</t>
  </si>
  <si>
    <t>Guarda-Roupa Solteiro Madesa Luke 2 Portas de Correr de Madeira com Pés Branco</t>
  </si>
  <si>
    <t>Armário de Cozinha Completa 240cm Branco/Rustic Topazio Madesa 05</t>
  </si>
  <si>
    <t>Guarda-Roupa Solteiro Madesa Luke 2 Portas de Correr com Espelho com Pés Rustic</t>
  </si>
  <si>
    <t>Guarda-Roupa Casal Madesa Montana 4 Portas de Correr de Madeira Com Pés Branco</t>
  </si>
  <si>
    <t>Guarda-Roupa Solteiro Madesa Luke 2 Portas de Correr de Madeira com Pés Rustic</t>
  </si>
  <si>
    <t>Guarda-Roupa Solteiro Madesa Luke 2 Portas de Correr de Espelho com Pés Branco</t>
  </si>
  <si>
    <t>Conjunto Sala de Jantar Madesa Panamá Mesa Tampo de Madeira com 8 Cadeiras Rustic/Crema/Sintético Bege</t>
  </si>
  <si>
    <t>Rack Madesa Dubai e Painel para TV até 65 Polegadas com Pés Preto/Rustic 8ND8</t>
  </si>
  <si>
    <t>Rack Madesa Cancun e Painel para TV até 65 Polegadas Preto</t>
  </si>
  <si>
    <t>Rack Madesa Oslo e Painel para TV até 55 Polegadas 2 Portas Branco</t>
  </si>
  <si>
    <t>Armário de Cozinha Compacta Madesa Emilly Force com Balcão e Paneleiro Rustic/Preto</t>
  </si>
  <si>
    <t>Rack com Painel para TV até 65 Polegadas Madesa London 1 Porta com Espelho Rustic</t>
  </si>
  <si>
    <t>Guarda-Roupa Casal Madesa Napoli 3 Portas de Correr 2 Portas com Espelho com Pés Branco</t>
  </si>
  <si>
    <t>Rack com Painel para TV até 65 Polegadas Rustic Miami Madesa  1 Porta</t>
  </si>
  <si>
    <t>Armário Aéreo Madesa Glamy 60 cm 1 Porta Branco</t>
  </si>
  <si>
    <t>Guarda-Roupa Casal Madesa Mônaco 3 Portas de Correr de Espelho Rustic</t>
  </si>
  <si>
    <t>Rack com Painel para TV até 65 Polegadas Madesa London 1 Porta com Espelho Branco</t>
  </si>
  <si>
    <t>Conjunto Sala de Jantar Madesa Maris Mesa Tampo de Madeira com 6 Cadeiras Rustic/Sintético Bege</t>
  </si>
  <si>
    <t>Conjunto Sala de Jantar Madesa Maya Mesa Tampo de Vidro com 4 Cadeiras Rustic/Lírio Bege</t>
  </si>
  <si>
    <t>Rack Madesa Metz e Painel para TV até 55 Polegadas Branco/Rustic/Rustic</t>
  </si>
  <si>
    <t>Rack Madesa Metz e Painel para TV até 55 Polegadas Branco/Rustic</t>
  </si>
  <si>
    <t>Guarda-Roupa Casal Madesa Mônaco 3 Portas de Correr Preto</t>
  </si>
  <si>
    <t>Guarda-Roupa Casal Madesa Mônaco 3 Portas de Correr com Espelho Rustic/Cinza</t>
  </si>
  <si>
    <t>AMAZON</t>
  </si>
  <si>
    <t>ARMAZÉM PARAIBA</t>
  </si>
  <si>
    <t>B2W</t>
  </si>
  <si>
    <t>CAMICADO</t>
  </si>
  <si>
    <t>CARREFOUR</t>
  </si>
  <si>
    <t>VIA</t>
  </si>
  <si>
    <t>COLOMBO</t>
  </si>
  <si>
    <t>CYBELAR</t>
  </si>
  <si>
    <t>IMPÉRIO DOS MÓVEIS</t>
  </si>
  <si>
    <t>LEROY MERLIN</t>
  </si>
  <si>
    <t>LOJA MADESA</t>
  </si>
  <si>
    <t>LOJAS MM</t>
  </si>
  <si>
    <t>MAGALU</t>
  </si>
  <si>
    <t>MELI PREMIUM</t>
  </si>
  <si>
    <t>MELI CLASSICO</t>
  </si>
  <si>
    <t>KOERICH</t>
  </si>
  <si>
    <t>RIACHUELO</t>
  </si>
  <si>
    <t>SICREDI</t>
  </si>
  <si>
    <t>WHIRLPOOL</t>
  </si>
  <si>
    <t>ZEMA</t>
  </si>
  <si>
    <t>MELI SP ITAPEVI PREMIUM</t>
  </si>
  <si>
    <t>MELI SP ITAPEVI CLÁSSICO</t>
  </si>
  <si>
    <t>MELI PE PREMIUM</t>
  </si>
  <si>
    <t>MELI PE CLÁSSICO</t>
  </si>
  <si>
    <t>QUERO-QUERO</t>
  </si>
  <si>
    <t>MADEIRA MADEIRA</t>
  </si>
  <si>
    <t>Preço Foco Considerando Rebate</t>
  </si>
  <si>
    <t>MELI FG BRASIL</t>
  </si>
  <si>
    <t>MDJA0600177KPT</t>
  </si>
  <si>
    <t>GRNC2600093B</t>
  </si>
  <si>
    <t>GRSM170001A9</t>
  </si>
  <si>
    <t>1085093E</t>
  </si>
  <si>
    <t>GRNC2400033B</t>
  </si>
  <si>
    <t>GREM3250025Z</t>
  </si>
  <si>
    <t>045677KX4PT</t>
  </si>
  <si>
    <t>69487K1</t>
  </si>
  <si>
    <t>Rack para TV até 55 Polegadas Madesa Le Mans com 2 Portas Rustic/Preto</t>
  </si>
  <si>
    <t>WEB</t>
  </si>
  <si>
    <t>Conjunto Sala de Jantar Madesa Maris Mesa Tampo de Madeira com 6 Cadeiras Rustic/Bege Marrom</t>
  </si>
  <si>
    <t>GRAG1800027K</t>
  </si>
  <si>
    <t>Armário de Cozinha Compacta 180cm Rustic Preto Agata Madesa 02</t>
  </si>
  <si>
    <t>Armário de Cozinha Compacta 137cm Rustic/Preto Emilly Gold Madesa 03</t>
  </si>
  <si>
    <t>MDJA0400505ZPER</t>
  </si>
  <si>
    <t>Rack com Painel Sobreposto para TV até 65 Polegadas Madesa Everest Rustic</t>
  </si>
  <si>
    <t>MDJA0601346ESIL</t>
  </si>
  <si>
    <t>MDJA0401617KPT</t>
  </si>
  <si>
    <t>MDJA040139F9SIL</t>
  </si>
  <si>
    <t>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</t>
  </si>
  <si>
    <t>LINK</t>
  </si>
  <si>
    <t>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</t>
  </si>
  <si>
    <t>https://www.casasbahia.com.br/kit-4-cadeiras-4290-madesa-rustic-preto/p/1516415812</t>
  </si>
  <si>
    <t>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</t>
  </si>
  <si>
    <t>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</t>
  </si>
  <si>
    <t>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</t>
  </si>
  <si>
    <t>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</t>
  </si>
  <si>
    <t>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</t>
  </si>
  <si>
    <t>https://www.casasbahia.com.br/armario-de-cozinha-reims-260002-com-balcao-preto-rustic/p/1520582853?utm_source=google_freelisting&amp;utm_medium=Cpc</t>
  </si>
  <si>
    <t>https://www.casasbahia.com.br/guarda-roupa-casal-monaco-3-portas-de-correr-15426026/p/15426026?utm_medium=Cpc&amp;utm_source=google_freelisting&amp;IdSku=15426026&amp;idLojista=11121&amp;tipoLojista=3P&amp;srsltid=AfmBOoqGvKMyMrg8xbGmz-iCL-UXZYCwNiAMCL7CXrQjpQFaoGPau6HHIZo</t>
  </si>
  <si>
    <t>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</t>
  </si>
  <si>
    <t>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</t>
  </si>
  <si>
    <t>https://www.casasbahia.com.br/mesa-tampo-de-madeira-com-6-cadeiras-preto-rustic-preto/p/1526289474</t>
  </si>
  <si>
    <t>https://www.casasbahia.com.br/conjunto-sala-de-jantar-mesa-tampo-de-madeira-4-cadeiras/p/1561846995</t>
  </si>
  <si>
    <t>https://www.casasbahia.com.br/conjunto-sala-de-jantar-luana-mesa-4-cadeiras-madesa/p/1501991523</t>
  </si>
  <si>
    <t>https://www.casasbahia.com.br/conjunto-sala-de-jantar-mesa-tampo-de-madeira-8-cadeiras-rustic-preto-marisa-madesa-rustic-preto/p/1559194853</t>
  </si>
  <si>
    <t>https://www.casasbahia.com.br/kit-4-cadeiras-perola-madesa-4291/p/1500994468</t>
  </si>
  <si>
    <t>https://www.casasbahia.com.br/kit-6-cadeiras-rustic-preto-madesa-4291/p/1500994267</t>
  </si>
  <si>
    <t>https://www.casasbahia.com.br/guarda-roupa-casal-100-mdf-royale-3-portas-de-correr/p/14252194</t>
  </si>
  <si>
    <t>GREM325002F9</t>
  </si>
  <si>
    <t>https://www.casasbahia.com.br/armario-de-cozinha-completa-325cm-cinza-madesa-02-cinza/p/1556093270</t>
  </si>
  <si>
    <t>https://www.casasbahia.com.br/cozinha-compacta-100-mdf-madesa-smart-170-cm-modulada-com-armario-balcao-e-tampo/p/1502903658</t>
  </si>
  <si>
    <t>https://www.casasbahia.com.br/kit-4-cadeiras-rustic-preto-madesa/p/1501992427</t>
  </si>
  <si>
    <t>https://www.casasbahia.com.br/sala-de-jantar-gabi-mesa-tampo-de-madeira-2-cadeiras-madesa/p/1501279511</t>
  </si>
  <si>
    <t>https://www.casasbahia.com.br/conj-mesa-tampo-de-madeira-4-cadeiras-rustic-cinza-silver/p/1546471025</t>
  </si>
  <si>
    <t>https://www.casasbahia.com.br/mesa-tampo-de-madeira-com-6-cadeiras-rustic-preto/p/1526289961</t>
  </si>
  <si>
    <t>https://www.casasbahia.com.br/sala-de-jantar-gabi-mesa-tampo-de-madeira-2-cadeiras-madesa/p/1501458337</t>
  </si>
  <si>
    <t>https://www.casasbahia.com.br/armario-de-cozinha-completa-suspenso-260cm-10-cinza/p/1547568870</t>
  </si>
  <si>
    <t>https://www.casasbahia.com.br/kit-sala-de-jantar-mesa-6-cadeiras-preto-augusta/p/1562516892</t>
  </si>
  <si>
    <t>https://www.casasbahia.com.br/conjunto-sala-de-jantar-mesa-tampo-de-vidro-6-cadeiras/p/1547659626</t>
  </si>
  <si>
    <t>https://www.casasbahia.com.br/guarda-roupa-solteiro-madesa-denver-2-portas-de-correr-com-espelho-com-pes/p/1501022927</t>
  </si>
  <si>
    <t>106309</t>
  </si>
  <si>
    <t>https://www.madeiramadeira.com.br/conjunto-sala-de-jantar-madesa-luana-mesa-tampo-de-madeira-com-4-cadeiras-rustic-bege-marrom-cor-rus-220538477.html?index=vr-prod-poc-madeira-listings-best-seller-desc&amp;seller=17012</t>
  </si>
  <si>
    <t>https://www.madeiramadeira.com.br/armario-de-cozinha-completa-suspenso-240cm-cinza-663936177.html?index=vr-prod-poc-madeira-listings-best-seller-desc&amp;seller=17012</t>
  </si>
  <si>
    <t>https://www.madeiramadeira.com.br/cozinha-completa-270003-com-armario-e-balcao-rustic-cinza-947252637.html?index=vr-prod-poc-madeira-listings-best-seller-desc&amp;seller=17012</t>
  </si>
  <si>
    <t>https://www.madeiramadeira.com.br/guarda-roupa-solteiro-madesa-tokio-2-portas-de-correr-com-espelho-2-gavetas-branco-cor-branco-301003051.html?index=vr-prod-poc-madeira-listings-best-seller-desc&amp;seller=17012</t>
  </si>
  <si>
    <t>https://www.madeiramadeira.com.br/conjunto-sala-de-jantar-madesa-luana-mesa-tampo-de-madeira-com-4-cadeiras-rustic-perola-cor-rustic-p-802916227.html?index=vr-prod-poc-madeira-listings-best-seller-desc&amp;seller=17012</t>
  </si>
  <si>
    <t>https://www.madeiramadeira.com.br/conjunto-sala-de-jantar-mesa-tampo-madeira-4-cadeiras-madesa-286044735.html?index=vr-prod-poc-madeira-listings-best-seller-desc&amp;seller=17012</t>
  </si>
  <si>
    <t>https://www.madeiramadeira.com.br/guarda-roupa-casal-madesa-veneza-3-portas-de-correr-com-espelho-branco-cor-branco-570039174.html?index=vr-prod-poc-madeira-listings-best-seller-desc&amp;seller=17012</t>
  </si>
  <si>
    <t>https://www.madeiramadeira.com.br/armario-de-cozinha-compacta-120cm-cinza-nice-01-cinza-355744278.html?index=vr-prod-poc-madeira-listings-best-seller-desc&amp;seller=17012</t>
  </si>
  <si>
    <t>https://www.madeiramadeira.com.br/armario-de-cozinha-completa-300cm-cinza-nice-madesa-09-cinza-305948976.html?index=vr-prod-poc-madeira-listings-best-seller-desc&amp;seller=17012</t>
  </si>
  <si>
    <t>https://www.madeiramadeira.com.br/conjunto-sala-de-jantar-madesa-gabi-mesa-tampo-de-madeira-com-2-cadeiras-rustic-preto-sintetico-pret-587278186.html?index=vr-prod-poc-madeira-listings-best-seller-desc&amp;seller=17012</t>
  </si>
  <si>
    <t>GRNC3200063B</t>
  </si>
  <si>
    <t>https://www.madeiramadeira.com.br/armario-de-cozinha-completa-320cm-cinza-nice-madesa-06-cinza-741921112.html?index=vr-prod-poc-madeira-listings-best-seller-desc&amp;seller=17012</t>
  </si>
  <si>
    <t>https://www.madeiramadeira.com.br/cozinha-completa-madesa-agata-180002-com-armario-e-balcao-sem-tampo-e-pia-rustic-preto-442209207.html?index=vr-prod-poc-madeira-listings-best-seller-desc&amp;seller=17012</t>
  </si>
  <si>
    <t>https://www.madeiramadeira.com.br/conjunto-sala-de-jantar-madesa-gabi-mesa-tampo-de-madeira-com-2-cadeiras-rustic-crema-perola-cor-rus-945103759.html?index=prod-poc-madeira</t>
  </si>
  <si>
    <t>https://www.madeiramadeira.com.br/armario-de-cozinha-completa-suspenso-240cm-cinza-758111417.html</t>
  </si>
  <si>
    <t>WEBCOPRIME</t>
  </si>
  <si>
    <t>WEB CONTINENTAL</t>
  </si>
  <si>
    <t>https://www.mercadolivre.com.br/kit-4-cadeiras-4290-madesa-rusticpreto-cor-da-estrutura-da-cadeira-rustic-cor-do-assento-preto-desenho-do-tecido-preto/p/MLB26868684?pdp_filters=official_store%3A869#polycard_client=search-nordic&amp;wid=MLB4887794640&amp;sid=search&amp;searchVariation=MLB26868684&amp;position=1&amp;search_layout=grid&amp;type=product&amp;tracking_id=3ada75a7-5305-4e68-b085-8d5e6a4e6ce1</t>
  </si>
  <si>
    <t>https://www.mercadolivre.com.br/kit-4-cadeiras-4290-madesa-rusticpreto-cor-da-estrutura-da-cadeira-rustic-cor-do-assento-preto-desenho-do-tecido-preto/p/MLB26868684?pdp_filters=adult_content%3Ayes%7Cseller_id%3A618210172#polycard_client=search-nordic&amp;wid=MLB3776944271&amp;sid=search&amp;searchVariation=MLB26868684&amp;position=1&amp;search_layout=grid&amp;type=product&amp;tracking_id=51462268-8dd5-45fe-8944-5455a3207abf</t>
  </si>
  <si>
    <t>https://www.mercadolivre.com.br/sala-jantar-madesa-medelin-mesa-tampo-madeira-6-cadeiras-prs-cor-pretorusticsint-preto-mdja060017d8pt/p/MLB23563597?pdp_filters=adult_content%3Ayes%7Cseller_id%3A618210172#polycard_client=search-nordic&amp;wid=MLB4902879524&amp;sid=search&amp;searchVariation=MLB23563597&amp;position=1&amp;search_layout=grid&amp;type=product&amp;tracking_id=14e657b6-7b72-48b8-9d07-76954de2c4a1</t>
  </si>
  <si>
    <t>https://www.mercadolivre.com.br/sala-jantar-madesa-medelin-mesa-tampo-madeira-6-cadeiras-prs-cor-pretorusticsint-preto-mdja060017d8pt/p/MLB23563597?pdp_filters=official_store%3A869#polycard_client=search-nordic&amp;wid=MLB4251813772&amp;sid=search&amp;searchVariation=MLB23563597&amp;position=1&amp;search_layout=grid&amp;type=product&amp;tracking_id=8ecd1450-b4e5-4cab-8176-9a6f75bc4846</t>
  </si>
  <si>
    <t>https://www.mercadolivre.com.br/sala-jantar-mesa-tampo-madeira-4-cadeiras-samara-madesa-rcfh-cor-rusticcinzahibiscos-desenho-do-tecido-das-cadeiras-hibiscos/p/MLB26100827?pdp_filters=official_store%3A869#polycard_client=search-nordic&amp;wid=MLB3776775099&amp;sid=search&amp;searchVariation=MLB26100827&amp;position=1&amp;search_layout=grid&amp;type=product&amp;tracking_id=c51b9afa-c1df-43ba-9fe9-f1052c5b0a18</t>
  </si>
  <si>
    <t>https://www.mercadolivre.com.br/kit-4-cadeiras-em-mdf-e-mdp-madesa/p/MLB23448435?pdp_filters=adult_content%3Ayes%7Cseller_id%3A618210172#polycard_client=search-nordic&amp;wid=MLB3701858098&amp;sid=search&amp;searchVariation=MLB23448435&amp;position=1&amp;search_layout=grid&amp;type=product&amp;tracking_id=b3a1604b-0f00-4c2e-9814-8b520e495775</t>
  </si>
  <si>
    <t>https://www.mercadolivre.com.br/kit-4-cadeiras-em-mdf-e-mdp-madesa/p/MLB23448435?pdp_filters=official_store%3A869#polycard_client=search-nordic&amp;wid=MLB4309521738&amp;sid=search&amp;searchVariation=MLB23448435&amp;position=1&amp;search_layout=grid&amp;type=product&amp;tracking_id=cbc31811-34dc-4a9f-9d9e-43078326c2f4</t>
  </si>
  <si>
    <t>https://www.mercadolivre.com.br/kit-4-cadeiras-rustic-preto-madesa/p/MLB21787807?pdp_filters=official_store%3A869#polycard_client=search-nordic&amp;wid=MLB4353956318&amp;sid=search&amp;searchVariation=MLB21787807&amp;position=1&amp;search_layout=grid&amp;type=product&amp;tracking_id=34837dcb-2b07-4b4f-90ab-b66d29195e03</t>
  </si>
  <si>
    <t>NÃO CADASTRADO</t>
  </si>
  <si>
    <t>https://www.mercadolivre.com.br/kit-4-cadeiras-4290-madesa-rustichibiscos-cor-da-estrutura-da-cadeira-rustic-cor-do-assento-hibiscos-42905z4xtflh/p/MLB21948626?pdp_filters=adult_content%3Ayes%7Cseller_id%3A618210172#polycard_client=search-nordic&amp;wid=MLB3325439821&amp;sid=search&amp;searchVariation=MLB21948626&amp;position=1&amp;search_layout=grid&amp;type=product&amp;tracking_id=ba29c0d6-fcdf-4cd8-a9a9-6bfff03717c3</t>
  </si>
  <si>
    <t>https://www.mercadolivre.com.br/kit-4-cadeiras-4290-madesa-rustichibiscos-cor-da-estrutura-da-cadeira-rustic-cor-do-assento-hibiscos-42905z4xtflh/p/MLB21948626?pdp_filters=official_store%3A869#polycard_client=search-nordic&amp;wid=MLB3551849841&amp;sid=search&amp;searchVariation=MLB21948626&amp;position=1&amp;search_layout=grid&amp;type=product&amp;tracking_id=1fe82d55-1b95-425c-8ad2-a5a3070f4ee0</t>
  </si>
  <si>
    <t>https://www.mercadolivre.com.br/kit-4-cadeiras-4290-madesa-rusticlirio-bege-cor-da-estrutura-da-cadeira-rustic-cor-do-assento-lirio-bege-42905z4xtlib/p/MLB21561222?pdp_filters=adult_content%3Ayes%7Cseller_id%3A618210172#polycard_client=search-nordic&amp;wid=MLB3325575621&amp;sid=search&amp;searchVariation=MLB21561222&amp;position=1&amp;search_layout=grid&amp;type=product&amp;tracking_id=df23e6b0-c346-418c-85bf-87e2ede1de8a</t>
  </si>
  <si>
    <t>https://www.mercadolivre.com.br/kit-4-cadeiras-4290-madesa-rusticlirio-bege-cor-da-estrutura-da-cadeira-rustic-cor-do-assento-lirio-bege-42905z4xtlib/p/MLB21561222?pdp_filters=official_store%3A869#polycard_client=search-nordic&amp;wid=MLB3614013349&amp;sid=search&amp;searchVariation=MLB21561222&amp;position=1&amp;search_layout=grid&amp;type=product&amp;tracking_id=4d104943-2d4c-47e0-bd40-d4cdaed79892</t>
  </si>
  <si>
    <t>https://www.mercadolivre.com.br/kit-4-cadeiras-de-jantar-madesa-rusticperola-cor-da-estrutura-da-cadeira-rustic-cor-do-assento-perola-42905z4xtper/p/MLB22129874?pdp_filters=adult_content%3Ayes%7Cseller_id%3A618210172#polycard_client=search-nordic&amp;wid=MLB3658399454&amp;sid=search&amp;searchVariation=MLB22129874&amp;position=1&amp;search_layout=grid&amp;type=product&amp;tracking_id=d4374b16-1ac9-4132-89fc-9f0a15fc0d80</t>
  </si>
  <si>
    <t>https://www.mercadolivre.com.br/kit-4-cadeiras-de-jantar-madesa-rusticperola-cor-da-estrutura-da-cadeira-rustic-cor-do-assento-perola-42905z4xtper/p/MLB22129874?pdp_filters=official_store%3A869#polycard_client=search-nordic&amp;wid=MLB4322260876&amp;sid=search&amp;searchVariation=MLB22129874&amp;position=1&amp;search_layout=grid&amp;type=product&amp;tracking_id=5c6d20da-5920-4ce8-be37-bfe2157a2e72</t>
  </si>
  <si>
    <t>https://www.mercadolivre.com.br/kit-4-cadeiras-de-jantar-4291-madesa-rusticcremaperola-cor-da-estrutura-da-cadeira-rusticcrema-cor-do-assento-perola-42917g4xtper/p/MLB21849174?pdp_filters=adult_content%3Ayes%7Cseller_id%3A618210172#polycard_client=search-nordic&amp;wid=MLB3325620079&amp;sid=search&amp;searchVariation=MLB21849174&amp;position=1&amp;search_layout=grid&amp;type=product&amp;tracking_id=4f04444b-4d71-437f-83a1-d5b5641c9614</t>
  </si>
  <si>
    <t>https://www.mercadolivre.com.br/kit-4-cadeiras-de-jantar-4291-madesa-rusticcremaperola-cor-da-estrutura-da-cadeira-rusticcrema-cor-do-assento-perola-42917g4xtper/p/MLB21849174?pdp_filters=official_store%3A869#polycard_client=search-nordic&amp;wid=MLB3551853853&amp;sid=search&amp;searchVariation=MLB21849174&amp;position=1&amp;search_layout=grid&amp;type=product&amp;tracking_id=a3f66f92-55ff-42b3-836e-0cf37269b4b0</t>
  </si>
  <si>
    <t>https://www.mercadolivre.com.br/kit-6-cadeiras-4290-madesa-rusticlirio-bege-cor-da-estrutura-da-cadeira-rustic-cor-do-assento-lirio-bege-desenho-do-tecido-lirio-bege/p/MLB21948630?pdp_filters=adult_content%3Ayes%7Cseller_id%3A618210172#polycard_client=search-nordic&amp;wid=MLB3322469557&amp;sid=search&amp;searchVariation=MLB21948630&amp;position=1&amp;search_layout=grid&amp;type=product&amp;tracking_id=d173908b-bf09-47b1-8364-6e744bd002e3</t>
  </si>
  <si>
    <t>https://www.mercadolivre.com.br/kit-6-cadeiras-4290-madesa-rusticlirio-bege-cor-da-estrutura-da-cadeira-rustic-cor-do-assento-lirio-bege-desenho-do-tecido-lirio-bege/p/MLB21948630?pdp_filters=official_store%3A869#polycard_client=search-nordic&amp;wid=MLB3526881645&amp;sid=search&amp;searchVariation=MLB21948630&amp;position=1&amp;search_layout=grid&amp;type=product&amp;tracking_id=3fdbc617-5928-4d97-b0f7-1a481f78c3d2</t>
  </si>
  <si>
    <t>https://www.mercadolivre.com.br/kit-6-cadeiras-4290-madesa-rusticperola-cor-da-estrutura-da-cadeira-rustic-42905z6xtper/p/MLB21849171?pdp_filters=adult_content%3Ayes%7Cseller_id%3A618210172#polycard_client=search-nordic&amp;wid=MLB3293845033&amp;sid=search&amp;searchVariation=MLB21849171&amp;position=1&amp;search_layout=grid&amp;type=product&amp;tracking_id=c5524ace-d837-4909-8ef1-9c3ebbdd7b25</t>
  </si>
  <si>
    <t>https://www.mercadolivre.com.br/kit-6-cadeiras-4290-madesa-rusticperola-cor-da-estrutura-da-cadeira-rustic-42905z6xtper/p/MLB21849171?pdp_filters=official_store%3A869#polycard_client=search-nordic&amp;wid=MLB4269193930&amp;sid=search&amp;searchVariation=MLB21849171&amp;position=1&amp;search_layout=grid&amp;type=product&amp;tracking_id=6193d7dd-4464-4bc0-a5c7-11424250d901</t>
  </si>
  <si>
    <t>https://www.mercadolivre.com.br/guarda-roupa-casal-madesa-vip-6-portas-batentes-cor-rustic-16695z2/p/MLB21993399?pdp_filters=adult_content%3Ayes%7Cseller_id%3A618210172#polycard_client=search-nordic&amp;wid=MLB4449697864&amp;sid=search&amp;searchVariation=MLB21993399&amp;position=1&amp;search_layout=grid&amp;type=product&amp;tracking_id=3e4c9f86-a020-429b-9de5-467102043d5f</t>
  </si>
  <si>
    <t>https://www.mercadolivre.com.br/guarda-roupa-casal-madesa-vip-6-portas-batentes-cor-rustic-16695z2/p/MLB21993399?pdp_filters=official_store%3A869#polycard_client=search-nordic&amp;wid=MLB4321181356&amp;sid=search&amp;searchVariation=MLB21993399&amp;position=1&amp;search_layout=grid&amp;type=product&amp;tracking_id=fd168e03-4927-49b4-9463-bd9cceb68c1b</t>
  </si>
  <si>
    <t>https://www.mercadolivre.com.br/kit-4-cadeiras-4290-madesa-rusticbege-marrom-cor-da-estrutura-da-cadeira-rustic-cor-do-assento-begemarrom-42905z4xtfbm/p/MLB22850317?pdp_filters=official_store%3A869#polycard_client=search-nordic&amp;wid=MLB3674803985&amp;sid=search&amp;searchVariation=MLB22850317&amp;position=1&amp;search_layout=grid&amp;type=product&amp;tracking_id=db083da7-1f63-4725-8f0b-1846949f38d0</t>
  </si>
  <si>
    <t>https://www.mercadolivre.com.br/kit-4-cadeiras-4291-madesa-rusticcremabege-marrom-cor-da-estrutura-da-cadeira-rusticcrema-cor-do-assento-begemarrom-42917g4xtfbm/p/MLB20972327?pdp_filters=adult_content%3Ayes%7Cseller_id%3A618210172#polycard_client=search-nordic&amp;wid=MLB3645627403&amp;sid=search&amp;searchVariation=MLB20972327&amp;position=1&amp;search_layout=grid&amp;type=product&amp;tracking_id=624b9d25-a0f8-46bf-8322-7a01047d504e</t>
  </si>
  <si>
    <t>https://www.mercadolivre.com.br/kit-4-cadeiras-4291-madesa-rusticcremabege-marrom-cor-da-estrutura-da-cadeira-rusticcrema-cor-do-assento-begemarrom-42917g4xtfbm/p/MLB20972327?pdp_filters=official_store%3A869#polycard_client=search-nordic&amp;wid=MLB3605101861&amp;sid=search&amp;searchVariation=MLB20972327&amp;position=1&amp;search_layout=grid&amp;type=product&amp;tracking_id=4274b233-6bfd-4ecc-89a1-857bafe6b49d</t>
  </si>
  <si>
    <t>https://www.mercadolivre.com.br/kit-4-cadeiras-4291-madesa-rusticcremahibiscos-cor-da-estrutura-da-cadeira-rusticcrema-cor-do-assento-hibiscos/p/MLB20972392?pdp_filters=official_store%3A869#polycard_client=search-nordic&amp;wid=MLB3526786569&amp;sid=search&amp;searchVariation=MLB20972392&amp;position=1&amp;search_layout=grid&amp;type=product&amp;tracking_id=b555534c-0d2d-42f1-a8d3-13ea2146005e</t>
  </si>
  <si>
    <t>https://www.mercadolivre.com.br/kit-2-cadeiras-de-jantar-4255-madesa-rustic-imperial-cor-do-assento-imperial-desenho-do-tecido-imperial-42555z2tsimk/p/MLB24201813?pdp_filters=adult_content%3Ayes%7Cseller_id%3A618210172#polycard_client=search-nordic&amp;wid=MLB3645652299&amp;sid=search&amp;searchVariation=MLB24201813&amp;position=1&amp;search_layout=grid&amp;type=product&amp;tracking_id=e6fd5f26-bdaa-48f1-afe5-35e3b70d3ebf</t>
  </si>
  <si>
    <t>https://www.mercadolivre.com.br/kit-2-cadeiras-de-jantar-4255-madesa-rustic-imperial-cor-do-assento-imperial-desenho-do-tecido-imperial-42555z2tsimk/p/MLB24201813?pdp_filters=official_store%3A869#polycard_client=search-nordic&amp;wid=MLB3583285283&amp;sid=search&amp;searchVariation=MLB24201813&amp;position=1&amp;search_layout=grid&amp;type=product&amp;tracking_id=75f68cea-8243-482c-9c31-70686e4f91d4</t>
  </si>
  <si>
    <t>https://mercadolivre.com.br/sala-jantar-luana-madesa-mesa-tampo-madeira-4-cadeiras-rbm-cor-rusticbege-marrom-mdja0400885zfbm/p/MLB26423955?pdp_filters=adult_content%3Ayes%7Cseller_id%3A618210172#polycard_client=search-nordic&amp;wid=MLB3474978769&amp;sid=search&amp;searchVariation=MLB26423955&amp;position=1&amp;search_layout=grid&amp;type=product&amp;tracking_id=d318767d-da10-45bd-8aa4-35c1836f226a</t>
  </si>
  <si>
    <t>https://www.mercadolivre.com.br/sala-jantar-luana-madesa-mesa-tampo-madeira-4-cadeiras-rbm-cor-rusticbege-marrom-mdja0400885zfbm/p/MLB26423955?pdp_filters=official_store%3A869#polycard_client=search-nordic&amp;wid=MLB4286053766&amp;sid=search&amp;searchVariation=MLB26423955&amp;position=1&amp;search_layout=grid&amp;type=product&amp;tracking_id=f9a58b75-1746-430f-99d1-b4b7a46bbd6c</t>
  </si>
  <si>
    <t>https://www.mercadolivre.com.br/sala-de-jantar-lexy-madesa-4-cadeiras-mesa-tampo-madeira-rlb-cor-rusticfloral-lirio-bege-044745zxtlib/p/MLB23136430?pdp_filters=adult_content%3Ayes%7Cseller_id%3A618210172#polycard_client=search-nordic&amp;wid=MLB3970209870&amp;sid=search&amp;searchVariation=MLB23136430&amp;position=1&amp;search_layout=grid&amp;type=product&amp;tracking_id=9aa63d62-29c6-4a1c-8db3-cd9ccf71b24c</t>
  </si>
  <si>
    <t>https://www.mercadolivre.com.br/sala-de-jantar-lexy-madesa-4-cadeiras-mesa-tampo-madeira-rlb-cor-rusticfloral-lirio-bege-044745zxtlib/p/MLB23136430?pdp_filters=official_store%3A869#polycard_client=search-nordic&amp;wid=MLB3525810697&amp;sid=search&amp;searchVariation=MLB23136430&amp;position=1&amp;search_layout=grid&amp;type=product&amp;tracking_id=f45d2ba9-1942-4f03-9e81-c76a43b3cd13</t>
  </si>
  <si>
    <t>https://www.mercadolivre.com.br/rack-para-tv-ate-55-polegadas-le-mans-madesa-2-portas-pru-cor-rusticpreto-69487k1/p/MLB23384410?pdp_filters=adult_content%3Ayes%7Cseller_id%3A618210172#polycard_client=search-nordic&amp;wid=MLB4411335342&amp;sid=search&amp;searchVariation=MLB23384410&amp;position=1&amp;search_layout=grid&amp;type=product&amp;tracking_id=a6c65329-3a0d-4754-9f51-bd4b6626e6c9</t>
  </si>
  <si>
    <t>https://www.mercadolivre.com.br/rack-para-tv-ate-55-polegadas-le-mans-madesa-2-portas-pru-cor-rusticpreto-69487k1/p/MLB23384410?pdp_filters=official_store%3A869#polycard_client=search-nordic&amp;wid=MLB4414250800&amp;sid=search&amp;searchVariation=MLB23384410&amp;position=1&amp;search_layout=grid&amp;type=product&amp;tracking_id=0bfd4bfd-026d-4b86-a6a3-03b1bf2fda32</t>
  </si>
  <si>
    <t>https://www.mercadolivre.com.br/sala-de-jantar-madesa-gabi-mesa-tampo-de-madeira-2-cadeiras-cor-rusticcremaperola-mdja0200015zper/p/MLB23205259?pdp_filters=adult_content%3Ayes%7Cseller_id%3A618210172#polycard_client=search-nordic&amp;wid=MLB4887169776&amp;sid=search&amp;searchVariation=MLB23205259&amp;position=1&amp;search_layout=grid&amp;type=product&amp;tracking_id=19f23c07-e47a-4f15-8bfa-19990579175b</t>
  </si>
  <si>
    <t>https://www.mercadolivre.com.br/sala-de-jantar-madesa-gabi-mesa-tampo-de-madeira-2-cadeiras-cor-rusticcremaperola-mdja0200015zper/p/MLB23205259?pdp_filters=official_store%3A869#polycard_client=search-nordic&amp;wid=MLB4887053348&amp;sid=search&amp;searchVariation=MLB23205259&amp;position=1&amp;search_layout=grid&amp;type=product&amp;tracking_id=bf14bd50-714a-4744-a47a-ce8f7078a78f</t>
  </si>
  <si>
    <t>https://www.mercadolivre.com.br/armario-cozinha-completa-suspensa-modulada-com-balco-para-cooktop-240cm-cinza-madesa-nice-05/p/MLB29010057?pdp_filters=seller_id%3A618210172#polycard_client=search-nordic&amp;wid=MLB5079660878&amp;sid=search&amp;searchVariation=MLB29010057&amp;position=1&amp;search_layout=grid&amp;type=product&amp;tracking_id=7d2725dc-d67f-45ee-bc3e-03d8e3c2a5af</t>
  </si>
  <si>
    <t>https://www.mercadolivre.com.br/armario-cozinha-completa-suspensa-modulada-com-balco-para-cooktop-240cm-cinza-madesa-nice-05/p/MLB29010057?pdp_filters=official_store%3A869#polycard_client=search-nordic&amp;wid=MLB4884153280&amp;sid=search&amp;searchVariation=MLB29010057&amp;position=1&amp;search_layout=grid&amp;type=product&amp;tracking_id=1548e73d-bffd-4ec0-8f09-56f8bf458f15</t>
  </si>
  <si>
    <t>https://www.mercadolivre.com.br/sala-de-jantar-madesa-maris-mesa-tampo-de-madeira-6-cadeiras-cor-rusticfloral-hibiscos-044825zxtflh/p/MLB23612993?pdp_filters=official_store%3A869#polycard_client=search-nordic&amp;wid=MLB4358922340&amp;sid=search&amp;searchVariation=MLB23612993&amp;position=1&amp;search_layout=grid&amp;type=product&amp;tracking_id=99f07b90-93b6-434d-95c2-3e3107a352dc</t>
  </si>
  <si>
    <t>https://www.mercadolivre.com.br/guarda-roupa-solteiro-madesa-dallas-2-portas-correr-de-esp-b-cor-branco-1094092e2g/p/MLB27349505?pdp_filters=official_store%3A869#polycard_client=search-nordic&amp;wid=MLB4931783302&amp;sid=search&amp;searchVariation=MLB27349505&amp;position=1&amp;search_layout=grid&amp;type=product&amp;tracking_id=e7604d11-00a3-4742-9d94-024cc0ad2c54</t>
  </si>
  <si>
    <t>https://produto.mercadolivre.com.br/MLB-3513983793-armario-de-cozinha-reims-260002-com-balco-preto-rustic-_JM#polycard_client=search-nordic&amp;position=1&amp;search_layout=grid&amp;type=item&amp;tracking_id=df4eb1a7-8630-43e5-9350-9bdea030b673</t>
  </si>
  <si>
    <t>https://produto.mercadolivre.com.br/MLB-3578059291-armario-de-cozinha-reims-260002-com-balco-preto-rustic-_JM#polycard_client=search-nordic&amp;position=1&amp;search_layout=grid&amp;type=item&amp;tracking_id=d6022156-9749-49fa-bbd5-3c506565be28</t>
  </si>
  <si>
    <t>https://www.mercadolivre.com.br/guarda-roupa-casal-madesa-napoli-3-portas-com-espelho-cor-branco-1082093e/p/MLB23476331?pdp_filters=seller_id%3A618210172#polycard_client=search-nordic&amp;wid=MLB3833366925&amp;sid=search&amp;searchVariation=MLB23476331&amp;position=1&amp;search_layout=grid&amp;type=product&amp;tracking_id=9be72d2b-2519-4c56-8fc3-63677052961c</t>
  </si>
  <si>
    <t>https://www.mercadolivre.com.br/guarda-roupa-casal-madesa-napoli-3-portas-com-espelho-cor-branco-1082093e/p/MLB23476331?pdp_filters=official_store%3A869#polycard_client=search-nordic&amp;wid=MLB4631416546&amp;sid=search&amp;searchVariation=MLB23476331&amp;position=1&amp;search_layout=grid&amp;type=product&amp;tracking_id=87aaa0b4-ee1c-4ced-919a-f6a2525e9ce4</t>
  </si>
  <si>
    <t>https://www.mercadolivre.com.br/sala-de-jantar-madesa-gabi-mesa-tampo-de-madeira-2-cadeiras-cor-rusticpretosintetico-preto/p/MLB23999198?pdp_filters=seller_id%3A618210172#polycard_client=search-nordic&amp;wid=MLB4398725122&amp;sid=search&amp;searchVariation=MLB23999198&amp;position=1&amp;search_layout=grid&amp;type=product&amp;tracking_id=c88a36eb-0791-462b-bb6d-b8d7ceed7a81</t>
  </si>
  <si>
    <t>https://www.mercadolivre.com.br/kit-6-cadeiras-rusticpreto-madesa-4291/p/MLB21948629?pdp_filters=official_store%3A869#polycard_client=search-nordic&amp;wid=MLB3526971199&amp;sid=search&amp;searchVariation=MLB21948629&amp;position=1&amp;search_layout=grid&amp;type=product&amp;tracking_id=6a82edd4-2f8a-458d-a66e-dc0c7a8064f4</t>
  </si>
  <si>
    <t>https://www.mercadolivre.com.br/rack-painel-para-tv-quarto-ate-65-polegadas-everest-madesa-rustic-xb70035z1/p/MLB23340077?pdp_filters=seller_id%3A618210172#polycard_client=search-nordic&amp;wid=MLB4096517398&amp;sid=search&amp;searchVariation=MLB23340077&amp;position=1&amp;search_layout=grid&amp;type=product&amp;tracking_id=61311f15-9d5d-42b4-9d3a-7d0b47ef2dd9</t>
  </si>
  <si>
    <t>https://www.mercadolivre.com.br/rack-painel-para-tv-quarto-ate-65-polegadas-everest-madesa-rustic-xb70035z1/p/MLB23340077?pdp_filters=official_store%3A869#polycard_client=search-nordic&amp;wid=MLB3551473145&amp;sid=search&amp;searchVariation=MLB23340077&amp;position=1&amp;search_layout=grid&amp;type=product&amp;tracking_id=6f74c1d3-0018-42cd-a2ba-1659641c27a4</t>
  </si>
  <si>
    <t>https://www.mercadolivre.com.br/sala-de-jantar-madesa-rute-mesa-tampo-madeira-4-cadeiras-rpe-cor-rusticperola-044915zxtper/p/MLB23126528?pdp_filters=official_store%3A869#polycard_client=search-nordic&amp;wid=MLB3532818273&amp;sid=search&amp;searchVariation=MLB23126528&amp;position=1&amp;search_layout=grid&amp;type=product&amp;tracking_id=c90d8134-2bbc-4e20-b97e-674136b6fb95</t>
  </si>
  <si>
    <t>https://www.mercadolivre.com.br/sala-jantar-madesa-ohana-mesa-tampo-madeira-6-cadeiras-rcp-cor-rusticcremaperola/p/MLB23472382?pdp_filters=official_store%3A869#polycard_client=search-nordic&amp;wid=MLB4340996954&amp;sid=search&amp;searchVariation=MLB23472382&amp;position=1&amp;search_layout=grid&amp;type=product&amp;tracking_id=9f173f57-27cc-49d2-8b3d-83b04a391176</t>
  </si>
  <si>
    <t>https://www.mercadolivre.com.br/guarda-roupa-kremlin-reflecta-madesa-4-portas-de-correr-cor-branco-1060094rfct/p/MLB23998113?pdp_filters=official_store%3A869#polycard_client=search-nordic&amp;wid=MLB3595273295&amp;sid=search&amp;searchVariation=MLB23998113&amp;position=1&amp;search_layout=grid&amp;type=product&amp;tracking_id=c71741ba-2a8f-4186-8a0d-b6e8cbf2e2e5</t>
  </si>
  <si>
    <t>https://www.mercadolivre.com.br/sala-de-jantar-madesa-maya-mesa-tampo-vidro-com-4-cadeiras-cor-rusticsintetico-preto-mdja0400505zpt/p/MLB23955215?pdp_filters=official_store%3A869#polycard_client=search-nordic&amp;wid=MLB3563106937&amp;sid=search&amp;searchVariation=MLB23955215&amp;position=1&amp;search_layout=grid&amp;type=product&amp;tracking_id=33dd2492-8b67-4bc4-bf58-d9227b332fbb</t>
  </si>
  <si>
    <t>https://www.mercadolivre.com.br/sala-jantar-mesa-tampo-madeira-4-cadeiras-karina-madesa-rcs-cor-rusticcinzasilver-desenho-do-tecido-das-cadeiras-liso-mdja040139f9sil/p/MLB23218635?pdp_filters=official_store%3A869#polycard_client=search-nordic&amp;wid=MLB4322111638&amp;sid=search&amp;searchVariation=MLB23218635&amp;position=1&amp;search_layout=grid&amp;type=product&amp;tracking_id=9725a9f3-5772-40f7-b9b1-275d288d54ee</t>
  </si>
  <si>
    <t>https://www.mercadolivre.com.br/armario-cozinha-canto-madesa-emilly-play-aereo-vidro-reflex-cor-rusticpreto/p/MLB27972059?pdp_filters=official_store%3A869#polycard_client=search-nordic&amp;wid=MLB4887181090&amp;sid=search&amp;searchVariation=MLB27972059&amp;position=1&amp;search_layout=grid&amp;type=product&amp;tracking_id=e48c2b8e-b3bf-4bd7-b899-570541f07733</t>
  </si>
  <si>
    <t>https://www.mercadolivre.com.br/armario-cozinha-canto-madesa-emilly-play-aereo-vidro-reflex-cor-rusticpreto/p/MLB27972059?pdp_filters=seller_id%3A618210172#polycard_client=search-nordic&amp;wid=MLB4887065066&amp;sid=search&amp;searchVariation=MLB27972059&amp;position=1&amp;search_layout=grid&amp;type=product&amp;tracking_id=818aee74-165b-41ee-8850-d88051d0043e</t>
  </si>
  <si>
    <t>https://produto.mercadolivre.com.br/MLB-3867979291-sala-de-jantar-maris-tampo-madeira6-cadeiras-rustic-madesa-_JM#polycard_client=search-nordic&amp;position=1&amp;search_layout=grid&amp;type=item&amp;tracking_id=ce7637ab-68e2-4aeb-a5f2-2ecf8f21a1ce</t>
  </si>
  <si>
    <t>https://produto.mercadolivre.com.br/MLB-3868863931-sala-de-jantar-maris-tampo-madeira6-cadeiras-rustic-madesa-_JM#polycard_client=search-nordic&amp;position=1&amp;search_layout=grid&amp;type=item&amp;tracking_id=8a1c9171-461f-45f4-9548-b2a0d6e0023f</t>
  </si>
  <si>
    <t>https://www.mercadolivre.com.br/armario-de-cozinha-madesa-emilly-box-balco-e-aereo-vidro-cor-rusticpreto/p/MLB29668305?pdp_filters=seller_id%3A618210172#polycard_client=search-nordic&amp;wid=MLB3813023113&amp;sid=search&amp;searchVariation=MLB29668305&amp;position=1&amp;search_layout=grid&amp;type=product&amp;tracking_id=2f0972c4-af13-437c-aee5-cae9f30863fa</t>
  </si>
  <si>
    <t>https://www.mercadolivre.com.br/armario-de-cozinha-madesa-emilly-box-balco-e-aereo-vidro-cor-rusticpreto/p/MLB29668305?pdp_filters=official_store%3A869#polycard_client=search-nordic&amp;wid=MLB3813022307&amp;sid=search&amp;searchVariation=MLB29668305&amp;position=1&amp;search_layout=grid&amp;type=product&amp;tracking_id=3d39975c-39dc-4fdb-a16a-6f6d5c5a8256</t>
  </si>
  <si>
    <t>https://www.mercadolivre.com.br/guarda-roupa-madesa-denver-2-portas-correr-espelho-com-pes-cor-branco/p/MLB27711890?pdp_filters=seller_id%3A618210172#polycard_client=search-nordic&amp;wid=MLB4992102314&amp;sid=search&amp;searchVariation=MLB27711890&amp;position=1&amp;search_layout=grid&amp;type=product&amp;tracking_id=7eaea022-0a9b-403a-a143-ca87d03918a8</t>
  </si>
  <si>
    <t>https://www.mercadolivre.com.br/guarda-roupa-madesa-denver-2-portas-correr-espelho-com-pes-cor-branco/p/MLB27711890?pdp_filters=official_store%3A869#polycard_client=search-nordic&amp;wid=MLB5031039918&amp;sid=search&amp;searchVariation=MLB27711890&amp;position=1&amp;search_layout=grid&amp;type=product&amp;tracking_id=6094e1f8-6ff8-418b-8636-290342d8b36f</t>
  </si>
  <si>
    <t>https://www.mercadolivre.com.br/sala-de-jantar-maya-madesa-mesa-tampo-vidro-4-cadeiras-rpe-cor-rusticperola/p/MLB23205322?pdp_filters=official_store%3A869#polycard_client=search-nordic&amp;wid=MLB4354210404&amp;sid=search&amp;searchVariation=MLB23205322&amp;position=1&amp;search_layout=grid&amp;type=product&amp;tracking_id=45e46b1c-6cee-4c0d-8733-92de7a7ec272</t>
  </si>
  <si>
    <t>https://www.mercadolivre.com.br/cozinha-compacta-madesa-emilly-gold-c-arma-balco-panelei-rp-cor-rusticpreto/p/MLB29699236?pdp_filters=seller_id%3A618210172#polycard_client=search-nordic&amp;wid=MLB3813191219&amp;sid=search&amp;searchVariation=MLB29699236&amp;position=1&amp;search_layout=grid&amp;type=product&amp;tracking_id=a431ffb8-1e4c-4d3c-b98e-69b0d9984b2e</t>
  </si>
  <si>
    <t>https://www.mercadolivre.com.br/cozinha-compacta-madesa-emilly-gold-c-arma-balco-panelei-rp-cor-rusticpreto/p/MLB29699236?pdp_filters=official_store%3A869#polycard_client=search-nordic&amp;wid=MLB3813140259&amp;sid=search&amp;searchVariation=MLB29699236&amp;position=1&amp;search_layout=grid&amp;type=product&amp;tracking_id=c6148a9c-d15b-4a63-9935-1e23dea82124</t>
  </si>
  <si>
    <t>MDJA0400345ZPT</t>
  </si>
  <si>
    <t>GRRM240001D8</t>
  </si>
  <si>
    <t>GRNC2600103B</t>
  </si>
  <si>
    <t>10939B1ECP</t>
  </si>
  <si>
    <t>10937K2E2G</t>
  </si>
  <si>
    <t>044915ZXTFLH</t>
  </si>
  <si>
    <t>GRTE2900015Z9B</t>
  </si>
  <si>
    <t>GRGM27000709</t>
  </si>
  <si>
    <t>GRRM320002D8</t>
  </si>
  <si>
    <t>10939B2E</t>
  </si>
  <si>
    <t>Descrição</t>
  </si>
  <si>
    <t>Conjunto Sala de Jantar Madesa Luana Mesa Tampo de Madeira com 4 Cadeiras Rustic/Sintético Bege</t>
  </si>
  <si>
    <t>Conjunto Sala de Jantar Mesa Tampo de Madeira 4 Cadeiras Rustic/Cinza/Silver Karina Madesa</t>
  </si>
  <si>
    <t>Armário de Cozinha Completa 260cm Cinza Nice Madesa 09</t>
  </si>
  <si>
    <t>Armário de Cozinha Completa 325cm Cinza/Rustic Emilly Madesa 02</t>
  </si>
  <si>
    <t>Conjunto Sala de Jantar Mesa Tampo de Vidro 6 Cadeiras Rustic/Branco/Silver Geórgia Madesa</t>
  </si>
  <si>
    <t>Conjunto Sala de Jantar Madesa Anita Mesa Tampo de Vidro com 4 Cadeiras - Rustic/Preto/Sintético Preto</t>
  </si>
  <si>
    <t>Armário de Cozinha Completa 240cm Preto/Rustic Reims Madesa 01</t>
  </si>
  <si>
    <t>Conjunto Sala de Jantar Madesa Megan Mesa Tampo de Madeira com 6 Cadeiras - Rustic/Hibiscos</t>
  </si>
  <si>
    <t>Cozinha Completa Madesa Reims 250001 com Armário e Balcão - Branco</t>
  </si>
  <si>
    <t>Armário de Cozinha Completa Suspenso 260cm Cinza Nice Madesa 10</t>
  </si>
  <si>
    <t>Armário de Cozinha Completa 320cm Cinza Nice Madesa 06</t>
  </si>
  <si>
    <t>Guarda-Roupa Casal Madesa Napoli 3 Portas de Correr com Espelho - Branco</t>
  </si>
  <si>
    <t>Guarda-Roupa Solteiro Madesa Dallas Plus 2 Portas de Correr de Espelho 4 Gavetas</t>
  </si>
  <si>
    <t>Cozinha Completa Madesa Reims 320002 com Armário e Balcão - Preto</t>
  </si>
  <si>
    <t>Kit 4 Cadeiras de Jantar 4290 Madesa Rustic/Hibiscos</t>
  </si>
  <si>
    <t>Kit 4 Cadeiras 4290 Madesa Rustic/Lírio Bege</t>
  </si>
  <si>
    <t>Kit 6 Cadeiras de Jantar 4290 Madesa - Rustic/Lírio Bege</t>
  </si>
  <si>
    <t>Guarda-Roupa Casal Madesa Vip 6 Portas Batentes</t>
  </si>
  <si>
    <t>Kit 4 Cadeiras de Jantar 4290 Madesa Rustic/Bege Marrom</t>
  </si>
  <si>
    <t>Kit 4 Cadeiras de Jantar 4291 Madesa Rustic/Crema/Bege Marrom</t>
  </si>
  <si>
    <t>Kit 4 Cadeiras de Jantar 4291 Madesa Rustic/Crema/Hibiscos</t>
  </si>
  <si>
    <t>Kit 2 Cadeiras de Jantar 4255 Madesa - Rustic/Imperial</t>
  </si>
  <si>
    <t>Conjunto Sala de Jantar Lexy Madesa Mesa Tampo de Madeira com 4 Cadeiras - Rustic/Floral Lírio Bege</t>
  </si>
  <si>
    <t>Guarda-Roupa Kremlin Reflex Madesa 4 Portas de Correr Branco</t>
  </si>
  <si>
    <t>Conjunto Sala de Jantar Madesa Maya Mesa Tampo de Vidro com 4 Cadeiras - Rustic/Pérola</t>
  </si>
  <si>
    <t>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</t>
  </si>
  <si>
    <t>PRIME</t>
  </si>
  <si>
    <t>Preço</t>
  </si>
  <si>
    <t>FRETE</t>
  </si>
  <si>
    <t>PRAZO</t>
  </si>
  <si>
    <t>Frete</t>
  </si>
  <si>
    <t>Prazo</t>
  </si>
  <si>
    <t>A vista</t>
  </si>
  <si>
    <t>A prazo</t>
  </si>
  <si>
    <t>PREÇO NEGOCIADO</t>
  </si>
  <si>
    <t>REDUÇÃO PARA</t>
  </si>
  <si>
    <t>DIA INICIO</t>
  </si>
  <si>
    <t>DIA FINAL</t>
  </si>
  <si>
    <t>MDJA0401647KPT</t>
  </si>
  <si>
    <t>MDJA0401165ZSIL</t>
  </si>
  <si>
    <t>MDJA0401487KSM</t>
  </si>
  <si>
    <t>1095F92E</t>
  </si>
  <si>
    <t>1028D8</t>
  </si>
  <si>
    <t>10935Z3E4GCP</t>
  </si>
  <si>
    <t>GRGM25000473</t>
  </si>
  <si>
    <t>GRGL2900039Y</t>
  </si>
  <si>
    <t>GCAG399002F9</t>
  </si>
  <si>
    <t>GRRM25000609</t>
  </si>
  <si>
    <t>MDJA0601417GBE</t>
  </si>
  <si>
    <t>10945Z2E</t>
  </si>
  <si>
    <t>GCEM4170027K</t>
  </si>
  <si>
    <t>GCEM417002F9</t>
  </si>
  <si>
    <t>GRGL33000309</t>
  </si>
  <si>
    <t>GCGL34900209</t>
  </si>
  <si>
    <t>GCEM417002C1</t>
  </si>
  <si>
    <t>MDJA060137F9SL</t>
  </si>
  <si>
    <t>108209CP</t>
  </si>
  <si>
    <t>1093093ECP</t>
  </si>
  <si>
    <t>1082093ECP</t>
  </si>
  <si>
    <t>GRGL28000473</t>
  </si>
  <si>
    <t>10947K1E2G</t>
  </si>
  <si>
    <t>GCEM3570017K</t>
  </si>
  <si>
    <t>GRTP240002C7</t>
  </si>
  <si>
    <t>GRAG2700045L</t>
  </si>
  <si>
    <t>GRGL3300039B</t>
  </si>
  <si>
    <t>DEMAIS</t>
  </si>
  <si>
    <t>104409A</t>
  </si>
  <si>
    <t>10947K2G</t>
  </si>
  <si>
    <t>10949B2G</t>
  </si>
  <si>
    <t>1094H91E</t>
  </si>
  <si>
    <t>10949B1E</t>
  </si>
  <si>
    <t>1093F8</t>
  </si>
  <si>
    <t>1094092E</t>
  </si>
  <si>
    <t>1094092ECP</t>
  </si>
  <si>
    <t>10945Z2E2G</t>
  </si>
  <si>
    <t>1097772E</t>
  </si>
  <si>
    <t>1093771E2G</t>
  </si>
  <si>
    <t>1095732E</t>
  </si>
  <si>
    <t>1093093E4G</t>
  </si>
  <si>
    <t>10956E3E</t>
  </si>
  <si>
    <t>10185Z2E</t>
  </si>
  <si>
    <t>11685Z2E</t>
  </si>
  <si>
    <t>WEB (VIA)</t>
  </si>
  <si>
    <t>WEB (MADEIRA)</t>
  </si>
  <si>
    <t>GRTP30000273</t>
  </si>
  <si>
    <t>WEB (MELI)</t>
  </si>
  <si>
    <t>GREM1650087K</t>
  </si>
  <si>
    <t>GRRM1200018N</t>
  </si>
  <si>
    <t>GRRM120001D8</t>
  </si>
  <si>
    <t>GREM2290157K</t>
  </si>
  <si>
    <t>G20057F9</t>
  </si>
  <si>
    <t>GREM2610027K</t>
  </si>
  <si>
    <t>GRRM19000209</t>
  </si>
  <si>
    <t>GRGL12000109</t>
  </si>
  <si>
    <t>GCEM2930047K</t>
  </si>
  <si>
    <t>XAGRRM2600018N</t>
  </si>
  <si>
    <t>XAGCEM4170017K</t>
  </si>
  <si>
    <t>GRTE2700086E</t>
  </si>
  <si>
    <t>GCGM4190019B</t>
  </si>
  <si>
    <t>GRGL290011A7</t>
  </si>
  <si>
    <t>GRGM33000509</t>
  </si>
  <si>
    <t>GCAG479001F9</t>
  </si>
  <si>
    <t>Comissão</t>
  </si>
  <si>
    <t>https://www.casasbahia.com.br/kit-4-cadeiras-em-mdf-e-mdp-madesa/p/1501992396</t>
  </si>
  <si>
    <t>https://www.casasbahia.com.br/conjunto-sala-de-jantar-mesa-tampo-de-madeira-4-cadeiras-rustic-preto-claire-madesa-rustic-preto/p/1562867516</t>
  </si>
  <si>
    <t>https://www.casasbahia.com.br/conjunto-sala-de-jantar-mesa-tampo-de-madeira-6-cadeiras/p/1547659415</t>
  </si>
  <si>
    <t>https://www.casasbahia.com.br/sala-de-jantar-anita-mesa-tampo-de-vidro-4-cadeiras-madesa/p/1501269493</t>
  </si>
  <si>
    <t>https://www.casasbahia.com.br/cozinha-completa-madesa-reims-240001-com-armario-e-balcao-preto-rustic/p/1502903701</t>
  </si>
  <si>
    <t>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</t>
  </si>
  <si>
    <t>https://www.casasbahia.com.br/sala-de-jantar-megan-mesa-tampo-de-madeira-6-cadeiras-madesa/p/1501279445</t>
  </si>
  <si>
    <t>https://www.casasbahia.com.br/cozinha-completa-reims-com-armario-e-balcao-branco-madesa/p/1505749224</t>
  </si>
  <si>
    <t>https://www.casasbahia.com.br/moveis/saladejantar/mesasecadeirasdejantar/kit-cintia-begemesa-tampo-de-madeira-4-cadeiras-madesa-1501005323.html?idsku=1501005323</t>
  </si>
  <si>
    <t>044805ZXTPER</t>
  </si>
  <si>
    <t>MDJA0401827KOXF</t>
  </si>
  <si>
    <t>044765ZXTPER</t>
  </si>
  <si>
    <t>044765ZXTLIB</t>
  </si>
  <si>
    <t>MDJA0401755ZSIM</t>
  </si>
  <si>
    <t>MDJA0401677GSIM</t>
  </si>
  <si>
    <t>MDJA040165J7PT</t>
  </si>
  <si>
    <t>MDJA0401577KPT</t>
  </si>
  <si>
    <t>MDJA0401067KSIM</t>
  </si>
  <si>
    <t>MDJA060170J8SM</t>
  </si>
  <si>
    <t>MDJA040188D8PT</t>
  </si>
  <si>
    <t>045035ZMPT</t>
  </si>
  <si>
    <t>32278N2E</t>
  </si>
  <si>
    <t>https://www.madeiramadeira.com.br/conjunto-sala-de-jantar-mesa-tampo-de-madeira-4-cadeiras-ru-187574777.html</t>
  </si>
  <si>
    <t>https://www.madeiramadeira.com.br/conjunto-sala-de-jantar-madesa-luana-mesa-tampo-de-madeira-com-4-cadeiras-rustic-floral-hibiscos-cor-385866111.html</t>
  </si>
  <si>
    <t>https://www.madeiramadeira.com.br/conjunto-sala-de-jantar-madesa-rute-mesa-tampo-de-madeira-com-4-cadeiras-rustic-perola-cor-rustic-pe-200453321.html</t>
  </si>
  <si>
    <t>https://www.madeiramadeira.com.br/conjunto-sala-de-jantar-madesa-maris-mesa-tampo-de-madeira-com-6-cadeiras-rustic-floral-hibiscos-cor-189720810.html</t>
  </si>
  <si>
    <t>https://www.madeiramadeira.com.br/conjunto-sala-de-jantar-madesa-maya-mesa-tampo-de-vidro-com-4-cadeiras-rustic-sintetico-preto-cor-ru-277315967.html</t>
  </si>
  <si>
    <t>https://www.madeiramadeira.com.br/cozinha-completa-100-mdf-madesa-acordes-270007-com-armario-e-balcao-frentes-branco-brilho-cor-branc-134523242.html</t>
  </si>
  <si>
    <t>https://www.madeiramadeira.com.br/guarda-roupa-solteiro-madesa-dallas-plus-2-portas-de-correr-de-espelho-4-gavetas-preto-cor-preto-235441141.html</t>
  </si>
  <si>
    <t>https://www.madeiramadeira.com.br/cozinha-completa-madesa-reims-320002-com-armario-e-balcao-preto-cor-preto-156353621.html</t>
  </si>
  <si>
    <t>261709</t>
  </si>
  <si>
    <t>109473</t>
  </si>
  <si>
    <t>https://www.casasbahia.com.br/armario-de-cozinha-completa-260cm-cinza-nice-madesa-09-cinza/p/1547568819</t>
  </si>
  <si>
    <t>60245Z5ZPP</t>
  </si>
  <si>
    <t>6990091</t>
  </si>
  <si>
    <t>XA691709ACP</t>
  </si>
  <si>
    <t>72705Z1</t>
  </si>
  <si>
    <t>70145Z3</t>
  </si>
  <si>
    <t>WEB (INTER)</t>
  </si>
  <si>
    <t>60249B09PP</t>
  </si>
  <si>
    <t>MDJA0601185ZPER</t>
  </si>
  <si>
    <t>70087K</t>
  </si>
  <si>
    <t>MDDR0200407K</t>
  </si>
  <si>
    <t>G200707K</t>
  </si>
  <si>
    <t>GREM2290039B</t>
  </si>
  <si>
    <t>MDJA0400217GPER</t>
  </si>
  <si>
    <t>10946E</t>
  </si>
  <si>
    <t>1094091E2G</t>
  </si>
  <si>
    <t>MDJA0601306ESIM</t>
  </si>
  <si>
    <t>XAGREM2930017K</t>
  </si>
  <si>
    <t>GRRM2500068N</t>
  </si>
  <si>
    <t>XAG241243BNC</t>
  </si>
  <si>
    <t>G257048NRM</t>
  </si>
  <si>
    <t>323509</t>
  </si>
  <si>
    <t>21135Z1</t>
  </si>
  <si>
    <t>G263205ZEM</t>
  </si>
  <si>
    <t>G2560209GL</t>
  </si>
  <si>
    <t>GRFL12000109</t>
  </si>
  <si>
    <t>G258049BTE</t>
  </si>
  <si>
    <t>XB940909</t>
  </si>
  <si>
    <t>800209</t>
  </si>
  <si>
    <t>G2420109PT</t>
  </si>
  <si>
    <t>94235Z</t>
  </si>
  <si>
    <t>2105091</t>
  </si>
  <si>
    <t>G241208NRM</t>
  </si>
  <si>
    <t>MDES0200195Z5Z</t>
  </si>
  <si>
    <t>G2660909RM</t>
  </si>
  <si>
    <t>G251215ZGL</t>
  </si>
  <si>
    <t>MDFC0200117309</t>
  </si>
  <si>
    <t>G2675009RM</t>
  </si>
  <si>
    <t>MDES0200026E</t>
  </si>
  <si>
    <t>MDES0200148N77</t>
  </si>
  <si>
    <t>G24123F9AG</t>
  </si>
  <si>
    <t>G2412309GL</t>
  </si>
  <si>
    <t>MDES0200117K</t>
  </si>
  <si>
    <t>G2412009CT</t>
  </si>
  <si>
    <t>XAMDDR0200407K</t>
  </si>
  <si>
    <t>G2412409GL</t>
  </si>
  <si>
    <t>G24153F9AGCTFF</t>
  </si>
  <si>
    <t>G26607F9AG</t>
  </si>
  <si>
    <t>G2660709GL</t>
  </si>
  <si>
    <t>GRGM26000209</t>
  </si>
  <si>
    <t>GRAG290001F9</t>
  </si>
  <si>
    <t>GCAG399001F9</t>
  </si>
  <si>
    <t>Grátis</t>
  </si>
  <si>
    <t>ESTOQUE</t>
  </si>
  <si>
    <t>SEM</t>
  </si>
  <si>
    <t>-</t>
  </si>
  <si>
    <t>MDMU01000349</t>
  </si>
  <si>
    <t>MDFC0100096E</t>
  </si>
  <si>
    <t>GRGT2350027K</t>
  </si>
  <si>
    <t>10936E1E</t>
  </si>
  <si>
    <t>MDJA0400027KPT</t>
  </si>
  <si>
    <t>GREM32500209</t>
  </si>
  <si>
    <t>GCSM447002A9</t>
  </si>
  <si>
    <t>GREM325002J1</t>
  </si>
  <si>
    <t>GRRM3000018N</t>
  </si>
  <si>
    <t>GCNC4050053B</t>
  </si>
  <si>
    <t>GRNC2600043B</t>
  </si>
  <si>
    <t>GREM2930015Z</t>
  </si>
  <si>
    <t>045647GX6TFBM</t>
  </si>
  <si>
    <t>XAG241243BNCCT</t>
  </si>
  <si>
    <t>044705ZXTFLH</t>
  </si>
  <si>
    <t>1094F8</t>
  </si>
  <si>
    <t>6024095ZPP</t>
  </si>
  <si>
    <t>GRAG1200027K</t>
  </si>
  <si>
    <t>MDJA0601337GSIM</t>
  </si>
  <si>
    <t>G200807K8N</t>
  </si>
  <si>
    <t>GCNC4050033B</t>
  </si>
  <si>
    <t>G200778NRM</t>
  </si>
  <si>
    <t>1094F81E</t>
  </si>
  <si>
    <t>GREM325002J3</t>
  </si>
  <si>
    <t>WEB (SHOPEE)</t>
  </si>
  <si>
    <t>G258315ZPRSU</t>
  </si>
  <si>
    <t>MDDR01001009</t>
  </si>
  <si>
    <t>XA70145Z3</t>
  </si>
  <si>
    <t>21058N1</t>
  </si>
  <si>
    <t>42805Z6XPE</t>
  </si>
  <si>
    <t>6961091</t>
  </si>
  <si>
    <t>GCSM44700209</t>
  </si>
  <si>
    <t>MDJA0200525ZSIM</t>
  </si>
  <si>
    <t>GRNC3200053B</t>
  </si>
  <si>
    <t>MDJA0601185ZFBM</t>
  </si>
  <si>
    <t>MDFC0100076E</t>
  </si>
  <si>
    <t>MDJA0401085ZPT</t>
  </si>
  <si>
    <t>42805Z2XPT</t>
  </si>
  <si>
    <t>GREM2330035Z</t>
  </si>
  <si>
    <t>GILX120001H7</t>
  </si>
  <si>
    <t>GCEM5130025Z</t>
  </si>
  <si>
    <t>XAGRRM26000809</t>
  </si>
  <si>
    <t>GRAG2700077K</t>
  </si>
  <si>
    <t>WEB (MAGALU)</t>
  </si>
  <si>
    <t>GRRM23500209</t>
  </si>
  <si>
    <t>MDJA0200035ZPER</t>
  </si>
  <si>
    <t>GRNC2400027P</t>
  </si>
  <si>
    <t>GCGM40900173</t>
  </si>
  <si>
    <t>GCAG459001F9</t>
  </si>
  <si>
    <t>GRTE2400019B</t>
  </si>
  <si>
    <t>GRNC2600117P</t>
  </si>
  <si>
    <t>10935Z1E2GCP</t>
  </si>
  <si>
    <t>GCRM43700109</t>
  </si>
  <si>
    <t>1094D8</t>
  </si>
  <si>
    <t>GRGL3150016E</t>
  </si>
  <si>
    <t>1093772E</t>
  </si>
  <si>
    <t>GREM1650035Z</t>
  </si>
  <si>
    <t>GREM3250037K</t>
  </si>
  <si>
    <t>GREM3250057K</t>
  </si>
  <si>
    <t>10938N3E</t>
  </si>
  <si>
    <t>GRGL2400025Z</t>
  </si>
  <si>
    <t>GRAG290003F8</t>
  </si>
  <si>
    <t>XAGRSM31000209</t>
  </si>
  <si>
    <t>GCNC4650107P</t>
  </si>
  <si>
    <t>GCRM4620018N</t>
  </si>
  <si>
    <t>GRNC1600023B</t>
  </si>
  <si>
    <t>GREM32500109</t>
  </si>
  <si>
    <t>XC1063093ECP</t>
  </si>
  <si>
    <t>GRSM310003A9</t>
  </si>
  <si>
    <t>GRSM30000409</t>
  </si>
  <si>
    <t>GRRM3300018N</t>
  </si>
  <si>
    <t>10937K2E4G</t>
  </si>
  <si>
    <t>10935Z1E4GCP</t>
  </si>
  <si>
    <t>MDFC0300047K</t>
  </si>
  <si>
    <t>GRRM19000409</t>
  </si>
  <si>
    <t>10945Z1E</t>
  </si>
  <si>
    <t>MDFC01000909</t>
  </si>
  <si>
    <t>GREM293010J1</t>
  </si>
  <si>
    <t>GREM2010037K</t>
  </si>
  <si>
    <t>60249B5ZPP</t>
  </si>
  <si>
    <t>MDES0200239B5Z</t>
  </si>
  <si>
    <t>GRGM20000109</t>
  </si>
  <si>
    <t>MDJA0401257GSIM</t>
  </si>
  <si>
    <t>1095092E</t>
  </si>
  <si>
    <t>XD106309</t>
  </si>
  <si>
    <t>10946E1E</t>
  </si>
  <si>
    <t>GRRM2600028N</t>
  </si>
  <si>
    <t>1193093E2G</t>
  </si>
  <si>
    <t>11938N1E</t>
  </si>
  <si>
    <t>GCRM26200109</t>
  </si>
  <si>
    <t>MDDR0400017K</t>
  </si>
  <si>
    <t>1082092E</t>
  </si>
  <si>
    <t>1165092E</t>
  </si>
  <si>
    <t>109309</t>
  </si>
  <si>
    <t>10287K2E</t>
  </si>
  <si>
    <t>10286E4E</t>
  </si>
  <si>
    <t>1194092E2G</t>
  </si>
  <si>
    <t>1095093E</t>
  </si>
  <si>
    <t>GRNC2400063B</t>
  </si>
  <si>
    <t>1095091ECP</t>
  </si>
  <si>
    <t>10956E1ECP</t>
  </si>
  <si>
    <t>1095F81ECP</t>
  </si>
  <si>
    <t>10958N1ECP</t>
  </si>
  <si>
    <t>GCNC2650053B</t>
  </si>
  <si>
    <t>GCNC2650057P</t>
  </si>
  <si>
    <t>MDJA060177D8OX</t>
  </si>
  <si>
    <t>MDJA060177D8SL</t>
  </si>
  <si>
    <t>MDJA060177J8SM</t>
  </si>
  <si>
    <t>MDJA060179D8SL</t>
  </si>
  <si>
    <t>MDJA060179J8SM</t>
  </si>
  <si>
    <t>MDJA060179D8OX</t>
  </si>
  <si>
    <t>MDJA0601835ZOX</t>
  </si>
  <si>
    <t>MDJA0601835ZSM</t>
  </si>
  <si>
    <t>MDJA0601835ZSL</t>
  </si>
  <si>
    <t>MDJA0601837GSM</t>
  </si>
  <si>
    <t>MDJA060183F9SL</t>
  </si>
  <si>
    <t>MDJA0601837KOX</t>
  </si>
  <si>
    <t>42565Z4TOXFKE</t>
  </si>
  <si>
    <t>42565Z4TSILKE</t>
  </si>
  <si>
    <t>42565Z4TSIMKE</t>
  </si>
  <si>
    <t>GRNC1200067P</t>
  </si>
  <si>
    <t>GRNC2400073B</t>
  </si>
  <si>
    <t>GRNC1800027P</t>
  </si>
  <si>
    <t>GREM3250077K</t>
  </si>
  <si>
    <t>GREM325007F9</t>
  </si>
  <si>
    <t>GREM3250075Z</t>
  </si>
  <si>
    <t>GREM32500709</t>
  </si>
  <si>
    <t>GRNC2400097P</t>
  </si>
  <si>
    <t>MDJA0402085ZSM</t>
  </si>
  <si>
    <t>MDJA0402085ZOX</t>
  </si>
  <si>
    <t>MDJA0402085ZSL</t>
  </si>
  <si>
    <t>MDJA0402087GSM</t>
  </si>
  <si>
    <t>MDJA0402087KOX</t>
  </si>
  <si>
    <t>MDJA040208F9SL</t>
  </si>
  <si>
    <t>GRAG270011F8</t>
  </si>
  <si>
    <t>GRAG27001109</t>
  </si>
  <si>
    <t>GRAG2700115L</t>
  </si>
  <si>
    <t>GRAG27001173</t>
  </si>
  <si>
    <t>GRAG2700117K</t>
  </si>
  <si>
    <t>GRAG2700116E</t>
  </si>
  <si>
    <t>GRAG2700117G</t>
  </si>
  <si>
    <t>GRAG270011F9</t>
  </si>
  <si>
    <t>GRNC1200053B</t>
  </si>
  <si>
    <t>GRNC1200063B</t>
  </si>
  <si>
    <t>GREM2930117K</t>
  </si>
  <si>
    <t>GREM29301109</t>
  </si>
  <si>
    <t>GREM293011F9</t>
  </si>
  <si>
    <t>GREM2930115Z</t>
  </si>
  <si>
    <t>GRNC1800037P</t>
  </si>
  <si>
    <t>GRNC2400083B</t>
  </si>
  <si>
    <t>MDJA0601815ZSM</t>
  </si>
  <si>
    <t>MDJA0601815ZOX</t>
  </si>
  <si>
    <t>MDJA0601815ZSL</t>
  </si>
  <si>
    <t>MDJA060181F9SL</t>
  </si>
  <si>
    <t>MDJA0601817GSM</t>
  </si>
  <si>
    <t>MDJA0601817KOX</t>
  </si>
  <si>
    <t>GRNC2800053B</t>
  </si>
  <si>
    <t>MDJA060178D8OX</t>
  </si>
  <si>
    <t>MDJA060178D8SL</t>
  </si>
  <si>
    <t>MDJA060178J8SM</t>
  </si>
  <si>
    <t>MDJA0601845ZSL</t>
  </si>
  <si>
    <t>MDJA0601845ZOX</t>
  </si>
  <si>
    <t>MDJA0601845ZSM</t>
  </si>
  <si>
    <t>MDJA0601847GSM</t>
  </si>
  <si>
    <t>MDJA0601847KOX</t>
  </si>
  <si>
    <t>MDJA060184F9SL</t>
  </si>
  <si>
    <t>MDJA0402075ZSL</t>
  </si>
  <si>
    <t>MDJA0402075ZSM</t>
  </si>
  <si>
    <t>MDJA0402075ZOX</t>
  </si>
  <si>
    <t>MDJA040207F9SL</t>
  </si>
  <si>
    <t>MDJA0402077GSM</t>
  </si>
  <si>
    <t>MDJA0402077KOX</t>
  </si>
  <si>
    <t>GCNC2650063B</t>
  </si>
  <si>
    <t>MDJA0402105ZSL</t>
  </si>
  <si>
    <t>MDJA0402105ZSM</t>
  </si>
  <si>
    <t>MDJA0402105ZOX</t>
  </si>
  <si>
    <t>MDJA0402107KOX</t>
  </si>
  <si>
    <t>MDJA040210F9SL</t>
  </si>
  <si>
    <t>MDJA0402107GSM</t>
  </si>
  <si>
    <t>GRNC2800043B</t>
  </si>
  <si>
    <t>GRNC2800027P</t>
  </si>
  <si>
    <t>42555Z2TSIMKE</t>
  </si>
  <si>
    <t>42555Z2TSILKE</t>
  </si>
  <si>
    <t>42555Z2TOXFKE</t>
  </si>
  <si>
    <t>42555Z4TSIMKE</t>
  </si>
  <si>
    <t>42555Z4TSILKE</t>
  </si>
  <si>
    <t>42555Z4TOXFKE</t>
  </si>
  <si>
    <t>42565Z2TOXFKE</t>
  </si>
  <si>
    <t>42565Z2TSIMKE</t>
  </si>
  <si>
    <t>42565Z2TSILKE</t>
  </si>
  <si>
    <t>G2002609</t>
  </si>
  <si>
    <t>GREM2290177K</t>
  </si>
  <si>
    <t>GREM2290167K</t>
  </si>
  <si>
    <t>GREM229016F9</t>
  </si>
  <si>
    <t>GREM2290165Z</t>
  </si>
  <si>
    <t>GREM2290176E</t>
  </si>
  <si>
    <t>GREM22901609</t>
  </si>
  <si>
    <t>GREM229017F9</t>
  </si>
  <si>
    <t>GREM2290166E</t>
  </si>
  <si>
    <t>GREM2290175Z</t>
  </si>
  <si>
    <t>G2002709</t>
  </si>
  <si>
    <t>GRNC2400093B</t>
  </si>
  <si>
    <t>GRNC2800023B</t>
  </si>
  <si>
    <t>GRNC2800033B</t>
  </si>
  <si>
    <t>GRNC2400077P</t>
  </si>
  <si>
    <t>GRNC2800057P</t>
  </si>
  <si>
    <t>GRNC2400087P</t>
  </si>
  <si>
    <t>GRNC1200057P</t>
  </si>
  <si>
    <t>GRNC2400067P</t>
  </si>
  <si>
    <t>GCNC2650067P</t>
  </si>
  <si>
    <t>GRNC2800047P</t>
  </si>
  <si>
    <t>GRNC2800037P</t>
  </si>
  <si>
    <t>GRNC1800023B</t>
  </si>
  <si>
    <t>GRNC1800033B</t>
  </si>
  <si>
    <t>MDJA040203F9SL</t>
  </si>
  <si>
    <t>MDJA0402037KOX</t>
  </si>
  <si>
    <t>MDJA0402037GSM</t>
  </si>
  <si>
    <t>MDJA040206F9SL</t>
  </si>
  <si>
    <t>MDJA0402067KOX</t>
  </si>
  <si>
    <t>MDJA0402067GSM</t>
  </si>
  <si>
    <t>MDJA040204F9SL</t>
  </si>
  <si>
    <t>MDJA0402047GSM</t>
  </si>
  <si>
    <t>MDJA0402047KOX</t>
  </si>
  <si>
    <t>GREM1370125Z</t>
  </si>
  <si>
    <t>GREM1370115Z</t>
  </si>
  <si>
    <t>GREM1370127K</t>
  </si>
  <si>
    <t>GREM1370117K</t>
  </si>
  <si>
    <t>GREM137011J1</t>
  </si>
  <si>
    <t>GREM137012J1</t>
  </si>
  <si>
    <t>MDJA040205F9SL</t>
  </si>
  <si>
    <t>MDJA0402057GSM</t>
  </si>
  <si>
    <t>MDJA0402057KOX</t>
  </si>
  <si>
    <t>GREM1560017K</t>
  </si>
  <si>
    <t>GREM1560027K</t>
  </si>
  <si>
    <t>GREM1560015Z</t>
  </si>
  <si>
    <t>GREM1560025Z</t>
  </si>
  <si>
    <t>GREM156001F9</t>
  </si>
  <si>
    <t>GREM156002F9</t>
  </si>
  <si>
    <t>GREM156001N3</t>
  </si>
  <si>
    <t>GREM156002N3</t>
  </si>
  <si>
    <t>MDJA060180D8SL</t>
  </si>
  <si>
    <t>MDJA060180D8OX</t>
  </si>
  <si>
    <t>MDJA060180J8SM</t>
  </si>
  <si>
    <t>69146E</t>
  </si>
  <si>
    <t>69149B</t>
  </si>
  <si>
    <t>MDJA0402095ZSM</t>
  </si>
  <si>
    <t>MDJA0402095ZOX</t>
  </si>
  <si>
    <t>MDJA0402095ZSL</t>
  </si>
  <si>
    <t>MDJA0402097GSM</t>
  </si>
  <si>
    <t>MDJA0402097KOX</t>
  </si>
  <si>
    <t>MDJA040209F9SL</t>
  </si>
  <si>
    <t>69179BA</t>
  </si>
  <si>
    <t>6917D8A</t>
  </si>
  <si>
    <t>XA69179BA</t>
  </si>
  <si>
    <t>XA6917D8A</t>
  </si>
  <si>
    <t>69398N</t>
  </si>
  <si>
    <t>XAMDFC0100098N</t>
  </si>
  <si>
    <t>MDFC0100088N</t>
  </si>
  <si>
    <t>MDFC0100078N</t>
  </si>
  <si>
    <t>MDFC0100098N</t>
  </si>
  <si>
    <t>XAMDFC0100088N</t>
  </si>
  <si>
    <t>XAMDFC0100078N</t>
  </si>
  <si>
    <t>GREM1970025Z</t>
  </si>
  <si>
    <t>GREM1970015Z</t>
  </si>
  <si>
    <t>GREM1970017K</t>
  </si>
  <si>
    <t>GREM1970027K</t>
  </si>
  <si>
    <t>GREM197002J1</t>
  </si>
  <si>
    <t>GREM197001J1</t>
  </si>
  <si>
    <t>MDJA0601825ZOX</t>
  </si>
  <si>
    <t>MDJA0601825ZSM</t>
  </si>
  <si>
    <t>MDJA0601825ZSL</t>
  </si>
  <si>
    <t>MDJA0601827GSM</t>
  </si>
  <si>
    <t>MDJA0601827KOX</t>
  </si>
  <si>
    <t>MDJA060182F9SL</t>
  </si>
  <si>
    <t>GRGM27000673</t>
  </si>
  <si>
    <t>GRGL2700165Z</t>
  </si>
  <si>
    <t>GRGL2700167K</t>
  </si>
  <si>
    <t>GRGL27001609</t>
  </si>
  <si>
    <t>GRGL2700169B</t>
  </si>
  <si>
    <t>GRGL27001673</t>
  </si>
  <si>
    <t>GRGL2700166E</t>
  </si>
  <si>
    <t>MDJA0601577GFBM</t>
  </si>
  <si>
    <t>MDJA0601577GFLH</t>
  </si>
  <si>
    <t>MDJA0601577GBE</t>
  </si>
  <si>
    <t>MDJA0601577KPT</t>
  </si>
  <si>
    <t>MDJA0401797GFLH</t>
  </si>
  <si>
    <t>MDJA0401797KPT</t>
  </si>
  <si>
    <t>MDJA0401797GBE</t>
  </si>
  <si>
    <t>MDJA0401797GFBM</t>
  </si>
  <si>
    <t>69396E</t>
  </si>
  <si>
    <t>60029B1A</t>
  </si>
  <si>
    <t>6002D81A</t>
  </si>
  <si>
    <t>Cód. Madesa</t>
  </si>
  <si>
    <t>Link</t>
  </si>
  <si>
    <t>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</t>
  </si>
  <si>
    <t>https://www.casasbahia.com.br/escrivaninha-em-l-mesa-para-computador-gamer-3-gavetas-branco-rustic-lisboa-madesa/p/1571532198?utm_source=google_freelisting&amp;utm_medium=Cpc</t>
  </si>
  <si>
    <t>https://www.casasbahia.com.br/armario-cozinha-compacta-235cm-rustic-preto-gourmet-02/p/1569919017?utm_source=google_freelisting&amp;utm_medium=Cpc</t>
  </si>
  <si>
    <t>https://www.casasbahia.com.br/armario-de-cozinha-completa-261cm-rustic-preto/p/1566169964?utm_source=google_freelisting&amp;utm_medium=Cpc</t>
  </si>
  <si>
    <t>https://www.casasbahia.com.br/conjunto-sala-de-jantar-mesa-tampo-de-vidro-4-cadeiras-rustic-preto/p/1567001547?utm_medium=Cpc&amp;utm_source=google_freelisting&amp;IdSku=1567001547&amp;idLojista=11121&amp;tipoLojista=3P&amp;srsltid=AfmBOorlC1bYaDRK5uDza005nDBC8uI21-dmMoH71swN94p7EgNiSBKBw3k</t>
  </si>
  <si>
    <t>https://www.casasbahia.com.br/guarda-roupa-casal-monaco-3-portas-correr-1-espelho-madesa/p/1572081299?utm_medium=Cpc&amp;utm_source=google_freelisting&amp;IdSku=1572081299&amp;idLojista=11121&amp;tipoLojista=3P&amp;srsltid=AfmBOor3erSrcNCT6mk07zEjot-tuu2pyS8r2ao50DmqZaz4tkVeHFUXdTI</t>
  </si>
  <si>
    <t>https://www.casasbahia.com.br/mesa-tampo-de-madeira-com-4-cadeiras-rustic-preto/p/1526215299</t>
  </si>
  <si>
    <t>https://www.casasbahia.com.br/armario-de-cozinha-completa-325cm-branco-emilly-madesa-02/p/1571928014</t>
  </si>
  <si>
    <t>https://www.casasbahia.com.br/armario-de-cozinha-completa-de-canto-100-mdf-447cm-madesa/p/1572932776</t>
  </si>
  <si>
    <t>https://www.casasbahia.com.br/armario-de-cozinha-completa-suspenso-240cm-cinza/p/1551791699?utm_medium=Cpc&amp;utm_source=google_freelisting&amp;IdSku=1551791699&amp;idLojista=11121&amp;tipoLojista=3P&amp;srsltid=AfmBOoq5sJep9eid_TtUSooSguFdv4AQzB24UZ_1xmvDnmXb-ObxwmTCgr8</t>
  </si>
  <si>
    <t>https://www.casasbahia.com.br/armario-de-cozinha-completa-325cm-rustic-cinza-emilly-madesa/p/1572116090?utm_source=google_freelisting&amp;utm_medium=Cpc</t>
  </si>
  <si>
    <t>https://www.casasbahia.com.br/cozinha-completa-300001-com-armario-e-balcao-preto-preto/p/1565676433?utm_medium=Cpc&amp;utm_source=google_freelisting&amp;IdSku=1565676433&amp;idLojista=11121&amp;tipoLojista=3P&amp;srsltid=AfmBOoqlmuI469jmoQti6ttOaTlyHBaSTYpTZKD6_Y26cw8OFq1u98mxb_A</t>
  </si>
  <si>
    <t>https://www.casasbahia.com.br/cozinha-completa-reims-com-armario-e-balcao-preto-madesa/p/1572115257?utm_source=Google&amp;utm_medium=BuscaOrganica&amp;utm_campaign=DescontoEspecial</t>
  </si>
  <si>
    <t>https://www.casasbahia.com.br/armario-de-cozinha-completa-de-canto-405cm-nice-madesa-05-cinza/p/1571472528?IdLojista=11121&amp;utm_source=Google&amp;utm_medium=BuscaOrganica&amp;utm_campaign=DescontoEspecial</t>
  </si>
  <si>
    <t>https://www.casasbahia.com.br/armario-de-cozinha-completa-260cm-cinza-nice-04-cinza/p/1546460140?utm_source=Google&amp;utm_medium=BuscaOrganica&amp;utm_campaign=DescontoEspecial</t>
  </si>
  <si>
    <t>https://www.casasbahia.com.br/armario-de-cozinha-completa-325cm-rustic-emilly-madesa/p/1566813690?IdLojista=11121&amp;utm_source=Google&amp;utm_medium=BuscaOrganica&amp;utm_campaign=DescontoEspecial</t>
  </si>
  <si>
    <t>https://www.casasbahia.com.br/cozinha-completa-com-armario-e-balcao-rusticrustic/p/1572316983?IdLojista=11121&amp;utm_source=Google&amp;utm_medium=BuscaOrganica&amp;utm_campaign=DescontoEspecial</t>
  </si>
  <si>
    <t>https://www.casasbahia.com.br/guarda-roupa-solteiro-madesa-tokio-2-portas-de-correr-com-espelho-2-gavetas-branco/p/1572116271?utm_medium=Cpc&amp;utm_source=google_freelisting&amp;IdSku=1572116271&amp;idLojista=11121&amp;tipoLojista=3P&amp;srsltid=AfmBOor9Q1Pb7YhETyNLhxjgnpgE0UbS7RjHyyhy8pnEZZZkXRGRlbt2km0</t>
  </si>
  <si>
    <t>https://www.casasbahia.com.br/conjunto-sala-de-jantar-miriam-madesa-mesa-tampo-de-madeira-com-6-cadeiras/p/1501352159?utm_medium=Cpc&amp;utm_source=google_freelisting&amp;IdSku=1501352159&amp;idLojista=11121&amp;tipoLojista=3P&amp;srsltid=AfmBOoq1nSY7e4zPaEsItAjDyy2RQbyAteIOHFA-GEyu0uvf_mm9aBahkns</t>
  </si>
  <si>
    <t>https://www.casasbahia.com.br/balcao-gabinete-de-pia-cozinha-3-portas-1-gaveta-com-pes-cinza-nice-madesa-cinza/p/1564991035?utm_source=google_freelisting&amp;utm_medium=Cpc</t>
  </si>
  <si>
    <t>https://www.casasbahia.com.br/guarda-roupa-closet-modulado-valencia-2-gavetas-129cm-rustic-preto-madesa-xa/p/1571516817?utm_source=google_freelisting&amp;utm_medium=Cpc</t>
  </si>
  <si>
    <t>https://www.casasbahia.com.br/sala-de-jantar-rosie-conjunto-de-mesa-com-4-cadeiras-4509-4470/p/14950946?IdLojista=11121&amp;utm_source=google_freelisting&amp;utm_medium=Cpc</t>
  </si>
  <si>
    <t>https://www.casasbahia.com.br/rack-com-painel-para-tv-ate-65-polegadas-com-pes-rustic-detroit-madesa-rustic/p/1569843878?utm_source=google_freelisting&amp;utm_medium=Cpc</t>
  </si>
  <si>
    <t>Armário Gabinete para Banheiro 80cm 2 Portas Branco Madesa</t>
  </si>
  <si>
    <t>Escrivaninha Em L Mesa Para Computador Gamer 3 Gavetas Branco/Rustic Lisboa Madesa</t>
  </si>
  <si>
    <t>Armário de Cozinha Compacta 235cm Rustic/Preto Gourmet Madesa 02</t>
  </si>
  <si>
    <t>Armário de Cozinha Completa 261cm Rustic/Preto Emilly Madesa 02</t>
  </si>
  <si>
    <t>Conjunto Sala de Jantar Mesa Tampo de Vidro 4 Cadeiras Rustic/Preto Oxford Evelin Madesa Rustic/Preto/Oxford</t>
  </si>
  <si>
    <t>Guarda Roupa Casal Madesa Mônaco 3 Portas de Correr com Espelho - Rustic/Branco</t>
  </si>
  <si>
    <t>Conjunto Sala de Jantar Madesa Cali Mesa Tampo de Madeira com 4 Cadeiras - Rustic/Preto/SintPreto</t>
  </si>
  <si>
    <t>Armário de Cozinha Completa 325cm Branco Emilly Madesa 02</t>
  </si>
  <si>
    <t>Conjunto Sala de Jantar Madesa Ohana Mesa Tampo de Madeira com 6 Cadeiras - Rustic/Crema/Pérola Rustic/Crema/Pérola</t>
  </si>
  <si>
    <t>Conjunto Sala de Jantar Madesa Maris Mesa Tampo de Madeira com 6 Cadeiras - Rustic/Hibiscos Rustic/Floral Hibiscos</t>
  </si>
  <si>
    <t>Conjunto Sala de Jantar Madesa Gabi Mesa Tampo de Madeira com 2 Cadeiras - Rustic/Preto/Sintético Preto Rustic/Preto/Sintético Preto</t>
  </si>
  <si>
    <t>Conjunto Sala de Jantar Madesa Medelin Mesa Tampo de Madeira com 6 Cadeiras - Rustic/Preto/SintPreto Rustic/Preto/Sint Preto</t>
  </si>
  <si>
    <t>Conjunto Sala de Jantar Madesa Medelin Mesa Tampo de Madeira com 6 Cadeiras - Rustic/Crema/Bege Rustic/Crema/Sint Bege</t>
  </si>
  <si>
    <t>Conjunto Sala de Jantar Madesa Medelin Mesa Tampo de Madeira com 6 Cadeiras - Preto/Rustic/SintPreto Preto/Rustic/Sint Preto</t>
  </si>
  <si>
    <t>Kit 6 Cadeiras de Jantar 4291 Madesa Rustic/Preto Rustic/Preto</t>
  </si>
  <si>
    <t>Kit 4 Cadeiras de Jantar 4280 Madesa Rustic/Preto Rustic/Preto</t>
  </si>
  <si>
    <t>Kit 4 Cadeiras de Jantar 4291 Madesa Rustic/Crema/Pérola Rustic/Crema/Pérola</t>
  </si>
  <si>
    <t>Kit 4 Cadeiras 4290 Madesa - Rustic/Preto Rustic/Preto</t>
  </si>
  <si>
    <t>Guarda Roupa Casal 100% MDF Madesa Royale 3 Portas de Correr - Branco Branco</t>
  </si>
  <si>
    <t>Cozinha Compacta 100% MDF Madesa Smart 170 cm Modulada Com Armário, Balcão e Tampo Branco/Rustic/Crema</t>
  </si>
  <si>
    <t>Conjunto Sala de Jantar Madesa Rute Mesa Tampo de Madeira com 4 Cadeiras - Rustic/Pérola Rustic/Pérola</t>
  </si>
  <si>
    <t>Conjunto Sala de Jantar Mesa Tampo de Madeira 4 Cadeiras Rustic/Preto Claire Madesa Rustic/Preto</t>
  </si>
  <si>
    <t>Conjunto Sala de Jantar Mesa Tampo de Madeira 4 Cadeiras Rustic/Cinza/Floral Hibiscos Samara Madesa Rustic/Cinza/Hibiscos</t>
  </si>
  <si>
    <t>Conjunto Sala de Jantar Madesa Maya Mesa Tampo de Vidro com 4 Cadeiras - Rustic/Sintético Preto Rustic/Sintético Preto</t>
  </si>
  <si>
    <t>Conjunto Sala de Jantar Madesa Luana Mesa Tampo de Madeira com 4 Cadeiras - Rustic/Bege Marrom Rustic/Bege Marrom</t>
  </si>
  <si>
    <t>Conjunto Sala de Jantar Mesa Tampo de Madeira 4 Cadeiras Rustic/Cinza/Silver Karina Madesa Rustic/Cinza/Silver</t>
  </si>
  <si>
    <t>Armário de Cozinha Completa Madesa Reims 260002 com Balcão - Preto/Rustic Preto/Rustic</t>
  </si>
  <si>
    <t>Armário de Cozinha Completa Madesa Emilly Box com Balcão e Aéreo Vidro - Rustic/Preto Rustic/Preto</t>
  </si>
  <si>
    <t>Armário de Cozinha Completa Suspenso 240cm Cinza Nice Madesa 05 Cinza</t>
  </si>
  <si>
    <t>Armário de Cozinha Completa de Canto Madesa Emilly Play Balcão e Aéreo Vidro Reflex - Rustic/Preto Rustic/Preto</t>
  </si>
  <si>
    <t>Armário de Cozinha Completa de Canto 100% MDF 447 cm Branco/Rustic/Crema Smart Madesa 02 Branco/Rustic/Crema</t>
  </si>
  <si>
    <t>Armário de Cozinha Completa Suspenso 240cm Cinza Nice Madesa 04 Cinza</t>
  </si>
  <si>
    <t>Armário de Cozinha Completa 325cm Rustic/Cinza Emilly Madesa 02 Rustic/Cinza</t>
  </si>
  <si>
    <t>Cozinha Completa Madesa Reims 300001 com Armário e Balcão - Preto Preto</t>
  </si>
  <si>
    <t>Cozinha Completa Madesa Reims 320002 com Armário e Balcão - Preto Preto</t>
  </si>
  <si>
    <t>Armário de Cozinha Completa de Canto 405cm Cinza Nice Madesa 05 Cinza</t>
  </si>
  <si>
    <t>Armário de Cozinha Completa 260cm Cinza Nice Madesa 04 Cinza</t>
  </si>
  <si>
    <t>Armário de Cozinha Completa 325cm Rustic Emilly Madesa 02 Rustic</t>
  </si>
  <si>
    <t>Cozinha Completa Madesa Emilly 293001 com Armário e Balcão - Rustic Rustic</t>
  </si>
  <si>
    <t>Conjunto Sala de Jantar Madesa Miriam Mesa Tampo de Madeira 6 Cadeiras - Rustic/Crema/Bege Marrom Rustic/Crema/Bege Marrom</t>
  </si>
  <si>
    <t>Balcão Gabinete de Pia Cozinha 3 Portas 1 Gaveta Com Pés Cinza Nice Madesa Cinza</t>
  </si>
  <si>
    <t>Guarda-Roupa Closet Modulado Valencia 2 Gavetas 129cm Rustic/Preto Madesa XA Rustic/Preto</t>
  </si>
  <si>
    <t>Conjunto Sala de Jantar Rosie Madesa Mesa Tampo de Madeira com 4 Cadeiras - Rustic/Hibiscos Rustic/Floral Hibiscos</t>
  </si>
  <si>
    <t>Rack com Painel para TV até 65 Polegadas com Pés Rustic Detroit Madesa Rustic</t>
  </si>
  <si>
    <t>https://www.madeiramadeira.com.br/cozinha-completa-madesa-stella-290001-com-armario-e-balcao-rustic-branco-rustic-cor-rustic-branco-ru-382167574.html?index=prod-poc-madeira</t>
  </si>
  <si>
    <t>https://www.madeiramadeira.com.br/conjunto-sala-de-jantar-madesa-rute-mesa-tampo-de-madeira-com-4-cadeiras-rustic-floral-hibiscos-cor-886371540.html?index=prod-poc-madeira</t>
  </si>
  <si>
    <t>https://www.madeiramadeira.com.br/escrivaninha-em-l-mesa-para-computador-gamer-3-gavetas-branco-rustic-lisboa-madesa-912735258.html?index=prod-poc-madeira</t>
  </si>
  <si>
    <t>https://www.madeiramadeira.com.br/armario-gabinete-para-banheiro-80cm-2-portas-branco-madesa-305784556.html?index=prod-poc-madeira</t>
  </si>
  <si>
    <t>https://www.madeiramadeira.com.br/guarda-roupa-casal-madesa-napoli-3-portas-de-correr-central-com-espelho-com-pes-branco-cor-branco-326146969.html?index=prod-poc-madeira</t>
  </si>
  <si>
    <t>https://www.madeiramadeira.com.br/guarda-roupa-solteiro-madesa-dallas-2-portas-de-correr-de-espelho-2-gavetas-branco-cor-branco-160696536.html?index=prod-poc-madeira</t>
  </si>
  <si>
    <t>https://www.madeiramadeira.com.br/conj-mesa-tampo-de-madeira-4-cadeiras-rustic-cinza-silver-714572884.html</t>
  </si>
  <si>
    <t>https://www.madeiramadeira.com.br/guarda-roupa-solteiro-2-portas-branco-cinza-905565679.html?index=prod-poc-madeira</t>
  </si>
  <si>
    <t>https://www.madeiramadeira.com.br/rack-madesa-dubai-para-tv-ate-65-polegadas-com-pes-rustic-cor-rustic-276383392.html?index=prod-poc-madeira</t>
  </si>
  <si>
    <t>https://www.madeiramadeira.com.br/conjunto-sala-de-jantar-mesa-tampo-de-vidro-4-cadeiras-rustic-preto-oxford-evelin-madesa-rustic-381198735.html</t>
  </si>
  <si>
    <t>https://www.madeiramadeira.com.br/guarda-roupa-casal-madesa-monaco-3-portas-de-correr-com-espelho-rustic-branco-cor-rustic-branco-896640340.html</t>
  </si>
  <si>
    <t>https://www.madeiramadeira.com.br/rack-madesa-dubai-para-tv-ate-65-polegadas-com-pes-branco-rustic-095z-cor-branco-rustic-246706764.html</t>
  </si>
  <si>
    <t>https://www.madeiramadeira.com.br/guarda-roupa-casal-madesa-napoli-3-portas-de-correr-com-espelho-branco-cor-branco-384676114.html?index=prod-poc-madeira</t>
  </si>
  <si>
    <t>https://www.madeiramadeira.com.br/guarda-roupas-luke-branco-2-portas-de-correr-madesa-823701488.html?index=prod-poc-madeira&amp;seller=17012</t>
  </si>
  <si>
    <t>https://www.madeiramadeira.com.br/cozinha-compacta-madesa-agata-120002-com-armario-e-balcao-sem-tampo-e-pia-rustic-preto-cor-rustic-745393260.html?index=prod-poc-madeira&amp;seller=17012</t>
  </si>
  <si>
    <t>https://www.madeiramadeira.com.br/conjunto-sala-de-jantar-mesa-tampo-de-vidro-6-cadeiras-rust-905165098.html?index=prod-poc-madeira&amp;seller=17012</t>
  </si>
  <si>
    <t>https://www.madeiramadeira.com.br/cozinha-compacta-madesa-reims-com-balcao-5-portas-3-gavetas-preto-cor-preto-994226401.html?index=prod-poc-madeira&amp;seller=17012</t>
  </si>
  <si>
    <t>https://www.madeiramadeira.com.br/armario-de-cozinha-completa-de-canto-suspenso-405cm-nice-madesa-03-cinza-703310513.html?index=prod-poc-madeira&amp;seller=17012</t>
  </si>
  <si>
    <t>https://www.madeiramadeira.com.br/kit-madesa-reims-120-cm-com-armario-aereo-e-balcao-gabinete-de-pia-preto-cor-preto-922047595.html?index=prod-poc-madeira&amp;seller=17012</t>
  </si>
  <si>
    <t>https://www.madeiramadeira.com.br/rack-para-tv-ate-65-polegadas-madesa-cancun-rustic-preto-cor-rustic-preto-848340004.html?index=prod-poc-madeira&amp;seller=17012</t>
  </si>
  <si>
    <t>https://www.madeiramadeira.com.br/guarda-roupa-casal-madesa-monaco-3-portas-de-correr-rustic-cor-rustic-424000953.html?index=prod-poc-madeira&amp;seller=17012</t>
  </si>
  <si>
    <t>https://www.madeiramadeira.com.br/guarda-roupa-royale-casal-100-mdf-3-portas-correr-madesa-241241877.html?index=prod-poc-madeira&amp;seller=17012</t>
  </si>
  <si>
    <t>Cozinha Completa Madesa Stella 290001 com Armário e Balcão</t>
  </si>
  <si>
    <t>Conjunto Sala de Jantar Madesa Rute Mesa Tampo de Madeira com 4 Cadeiras - Rustic/Hibiscos</t>
  </si>
  <si>
    <t>Guarda-Roupa Casal Madesa Napoli 3 Portas de Correr Central com Espelho com Pés - Branco</t>
  </si>
  <si>
    <t xml:space="preserve">Conjunto Sala de Jantar Mesa Tampo de Madeira 4 Cadeiras Rustic/Cinza/Silver Karina Madesa Rustic/Cinza/Silver	</t>
  </si>
  <si>
    <t>Guarda-Roupa Solteiro Madesa Denver 2 Portas de Correr Branco/Cinza</t>
  </si>
  <si>
    <t>Rack Madesa Dubai para TV até 65 Polegadas com Pés - Rustic Rustic</t>
  </si>
  <si>
    <t>Rack Madesa Dubai para TV até 65 Polegadas com Pés - Branco/Rustic</t>
  </si>
  <si>
    <t>Guarda-Roupa Casal Madesa Veneza 3 Portas de Correr de Espelhos - Branco Branco</t>
  </si>
  <si>
    <t>Cozinha Completa Madesa Agata 270003 com Armário e Balcão (Sem Tampo e Pia) - Rustic/Cinza Rustic/Cinza</t>
  </si>
  <si>
    <t>Cozinha Completa 100% MDF Madesa Acordes 270007 com Armário e Balcão - Frentes Branco Brilho Branco</t>
  </si>
  <si>
    <t>Conjunto Sala de Jantar Mesa Tampo de Madeira 4 Cadeiras Rustic/Cinza/Silver Livia Madesa Rustic/Cinza/Silver</t>
  </si>
  <si>
    <t>Conjunto Sala de Jantar Mesa Tampo de Madeira 4 Cadeiras Rustic/Crema/Imperial Livia Madesa Rustic/Crema/Imperial</t>
  </si>
  <si>
    <t>Conjunto Sala de Jantar Madesa Luana Mesa Tampo de Madeira com 4 Cadeiras - Rustic/Floral Hibiscos Rustic/Floral Hibiscos</t>
  </si>
  <si>
    <t>Conjunto Sala de Jantar Madesa Gabi Mesa Tampo de Madeira com 2 Cadeiras - Rustic/Crema/Pérola Rustic/Crema/Pérola</t>
  </si>
  <si>
    <t>Armário de Cozinha Completa 300cm Cinza Nice Madesa 09 Cinza</t>
  </si>
  <si>
    <t>Armário de Cozinha Compacta 120cm Cinza Nice Madesa 01 Cinza</t>
  </si>
  <si>
    <t>Guarda-Roupa Solteiro Madesa Luke 2 Portas de Correr de Madeira Branco</t>
  </si>
  <si>
    <t>Cozinha Compacta Madesa Agata 120002 com Armário e Balcão (Sem Tampo e Pia) - Rustic/Preto Rustic/Preto</t>
  </si>
  <si>
    <t>Conjunto Sala de Jantar Mesa Tampo de Vidro 6 Cadeiras Rustic/Crema/Imperial Stéfani Madesa Rustic/Crema/Imperial</t>
  </si>
  <si>
    <t>Cozinha Compacta Madesa Reims com Balcão - 5 Portas 3 Gavetas Preto</t>
  </si>
  <si>
    <t>Armário de Cozinha Completa de Canto Suspenso 405cm Cinza Nice Madesa 03 Cinza</t>
  </si>
  <si>
    <t>Kit Madesa Reims 120 cm com Armário Aéreo e Balcão Gabinete de Pia - Preto Preto</t>
  </si>
  <si>
    <t>Rack para TV até 65 Polegadas Madesa Cancun - Rustic/Preto Rustic/Preto</t>
  </si>
  <si>
    <t>Guarda Roupa Casal Madesa Mônaco 3 Portas de Correr - Rustic Rustic</t>
  </si>
  <si>
    <t>https://shopee.com.br/Conjunto-Sala-De-Jantar-Mesa-Tampo-De-Madeira-4-Cadeiras-Rustic-preto-Briana-Madesa-Rustic-preto-i.1215229492.19098264698?sp_atk=41459c34-dc62-481e-a363-7c967eef2c6a&amp;xptdk=41459c34-dc62-481e-a363-7c967eef2c6a</t>
  </si>
  <si>
    <t>https://shopee.com.br/Cristaleira-Suspensa-70-Cm-2-Portas-De-Vidro-Rustic-Madesa-i.1215229492.19898263253?sp_atk=705e4e56-20da-42fb-8f19-0815cf0c56b5&amp;xptdk=705e4e56-20da-42fb-8f19-0815cf0c56b5</t>
  </si>
  <si>
    <t>https://shopee.com.br/Arm%C3%A1rio-De-Cozinha-Compacta-120cm-Cinza-Nice-01-Cinza-i.1215229492.22198726738?sp_atk=3cdf9908-008c-4f7d-825a-f2b8cbe2b3ee&amp;xptdk=3cdf9908-008c-4f7d-825a-f2b8cbe2b3ee</t>
  </si>
  <si>
    <t>https://shopee.com.br/Escrivaninha-Penteadeira-136cm-1-Porta-3-Gavetas-Tampo-De-Vidro-Madesa-Branco-i.1215229492.22498712003?sp_atk=afc5359d-d3c2-456b-9e9f-998bf564de4c&amp;xptdk=afc5359d-d3c2-456b-9e9f-998bf564de4c</t>
  </si>
  <si>
    <t>https://shopee.com.br/Kit-4-Cadeiras-P%C3%A9rola-Madesa-4291-i.1215229492.18099954966?sp_atk=84f9ca90-4689-419a-b11a-20ac5745b855&amp;xptdk=84f9ca90-4689-419a-b11a-20ac5745b855</t>
  </si>
  <si>
    <t>https://shopee.com.br/Buffet-Aparador-Rustic-3-Gavetas-2-Portas-P%C3%A9s-Madesa-i.1215229492.23998697295?sp_atk=40aacfd9-9aa8-46a4-ab97-f35e819b19cc&amp;xptdk=40aacfd9-9aa8-46a4-ab97-f35e819b19cc</t>
  </si>
  <si>
    <t>https://shopee.com.br/Escrivaninha-Em-L-Mesa-Para-Computador-Gamer-3-Gavetas-Branco-rustic-Lisboa-Madesa-i.1215229492.22594215341?sp_atk=dc3eef34-1b65-4791-8194-6dcc022acffd&amp;xptdk=dc3eef34-1b65-4791-8194-6dcc022acffd</t>
  </si>
  <si>
    <t>https://shopee.com.br/Arm%C3%A1rio-De-Cozinha-Completa-De-Canto-417cm-Rustic-Preto-Emilly-Madesa-02-i.1215229492.23698711805?sp_atk=3efb28f6-934c-45f2-9db2-4e6c3b2450bb&amp;xptdk=3efb28f6-934c-45f2-9db2-4e6c3b2450bb</t>
  </si>
  <si>
    <t>https://shopee.com.br/Estante-Escada-para-Livros-com-4-Prateleiras-Madesa-i.1215229492.23394215175?sp_atk=3c6172ca-2480-4912-9cbc-fce7ffe6c190&amp;xptdk=3c6172ca-2480-4912-9cbc-fce7ffe6c190</t>
  </si>
  <si>
    <t>https://shopee.com.br/Conjunto-Jantar-Madesa-Luana-Mesa-Madeira-4-Cadeira-Floral-i.1215229492.19799841728?sp_atk=edb31201-43e3-44f9-9528-9cefc558e424&amp;xptdk=edb31201-43e3-44f9-9528-9cefc558e424</t>
  </si>
  <si>
    <t>https://shopee.com.br/Buffet-Aparador-Para-Sala-De-Jantar-Madesa-3-Portas-Rustic-i.1215229492.23998697304?sp_atk=5aa5aa94-58b8-4586-9785-133f901d6a0f&amp;xptdk=5aa5aa94-58b8-4586-9785-133f901d6a0f</t>
  </si>
  <si>
    <t>https://shopee.com.br/Buffet-Aparador-Madesa-7014-com-3-Gavetas-e-2-Portas-com-P%C3%A9s-i.1215229492.18799847303?sp_atk=48f06f6e-5316-465a-b58b-1c95054f2f47&amp;xptdk=48f06f6e-5316-465a-b58b-1c95054f2f47</t>
  </si>
  <si>
    <t>https://shopee.com.br/Rack-Com-Painel-Tv-At%C3%A9-65-Polegadas-Detroit-Madesa-Rustic-i.1215229492.21398258201?sp_atk=c861166b-18c4-4e1a-a12e-b36fcdfcaef7&amp;xptdk=c861166b-18c4-4e1a-a12e-b36fcdfcaef7</t>
  </si>
  <si>
    <t>https://shopee.com.br/Conjunto-Sala-de-Jantar-Magda-Madesa-Tampo-Vidro-4-Cadeiras-i.1215229492.19398264694?sp_atk=6662585f-968e-47b9-b1d8-3460f646895e&amp;xptdk=6662585f-968e-47b9-b1d8-3460f646895e</t>
  </si>
  <si>
    <t>https://shopee.com.br/Painel-Para-At%C3%A9-60-Polegadas-Madesa-Alfa-Preto-i.1215229492.22894241532?sp_atk=9ebdc204-9cc3-41ce-865f-cb9bc8271f80&amp;xptdk=9ebdc204-9cc3-41ce-865f-cb9bc8271f80</t>
  </si>
  <si>
    <t>https://shopee.com.br/Kit-6-Cadeiras-4280-Madesa-Rustic-Crema-Sint%C3%A9tico-Bege-i.1215229492.22194230067?sp_atk=06b68b08-1f5f-4fb3-9e80-51d7262cd73c&amp;xptdk=06b68b08-1f5f-4fb3-9e80-51d7262cd73c</t>
  </si>
  <si>
    <t>https://shopee.com.br/Guarda-roupa-Solteiro-2-Portas-Branco-Cinza-i.1215229492.23598730469?sp_atk=e9119a3d-a460-4648-9c23-03a54fb7d307&amp;xptdk=e9119a3d-a460-4648-9c23-03a54fb7d307</t>
  </si>
  <si>
    <t>https://shopee.com.br/Penteadeira-Camarim-Carly-com-3-Gavetas-Branca-Madesa-i.1215229492.19799841731?sp_atk=40330aaa-fa46-4cf1-850e-689188764714&amp;xptdk=40330aaa-fa46-4cf1-850e-689188764714</t>
  </si>
  <si>
    <t>https://shopee.com.br/Arm%C3%A1rio-De-Cozinha-Completa-De-Canto-447-Cm-Smart-Madesa-i.1215229492.22498712159?sp_atk=65f3831f-28ff-4581-ad52-61d2c924eeff&amp;xptdk=65f3831f-28ff-4581-ad52-61d2c924eeff</t>
  </si>
  <si>
    <t>https://shopee.com.br/Conjunto-Sala-De-Jantar-Mesa-Tampo-De-Madeira-2-Cadeiras-Ru-i.1215229492.18498285695?sp_atk=7279a408-1364-4381-bf70-e93b629d20b0&amp;xptdk=7279a408-1364-4381-bf70-e93b629d20b0</t>
  </si>
  <si>
    <t>https://shopee.com.br/Arm%C3%A1rio-De-Cozinha-Completa-Suspenso-320Cm-Cinza-i.1215229492.18199881656?sp_atk=6ab56a88-ab9e-4b2b-b550-ca1a91315dfc&amp;xptdk=6ab56a88-ab9e-4b2b-b550-ca1a91315dfc</t>
  </si>
  <si>
    <t>https://shopee.com.br/Kit-4-Cadeiras-Rustic-Hibiscos-Madesa-4290-i.1215229492.23898702026?sp_atk=72e36edc-b615-4b1a-ae67-24cc4eaf3fc5&amp;xptdk=72e36edc-b615-4b1a-ae67-24cc4eaf3fc5</t>
  </si>
  <si>
    <t>https://shopee.com.br/Conjunto-Sala-de-Jantar-Analu-Mesa-com-6-Cadeiras-Madesa-i.1215229492.19799841733?sp_atk=eff0a3df-c6d5-428a-938b-e296faff76fb&amp;xptdk=eff0a3df-c6d5-428a-938b-e296faff76fb</t>
  </si>
  <si>
    <t>https://shopee.com.br/Mesa-De-Escrit%C3%B3rio-Em-L-3-Gavetas-Branco-rustic-Lisboa-Madesa-Branco-rustic-i.1215229492.22294225285?sp_atk=39fba7a8-137b-406e-aee5-44299c8e5e7a&amp;xptdk=39fba7a8-137b-406e-aee5-44299c8e5e7a</t>
  </si>
  <si>
    <t>https://shopee.com.br/Conj.-Mesa-Tampo-De-Vidro-4-Cadeiras-Rustic-Preto-i.1215229492.23994200873?sp_atk=96f22b99-fbc7-470a-8228-d035d223941c&amp;xptdk=96f22b99-fbc7-470a-8228-d035d223941c</t>
  </si>
  <si>
    <t>https://shopee.com.br/Kit-2-Cadeiras-4280-Madesa-Rustic-preto-i.1215229492.22294225055?sp_atk=a7e41828-f8ac-4037-9a52-a755ad82c292&amp;xptdk=a7e41828-f8ac-4037-9a52-a755ad82c292</t>
  </si>
  <si>
    <t>https://shopee.com.br/Cozinha-Completa-Emilly-Fire-Balc%C3%A3o-e-Arm%C3%A1rio-A%C3%A9reo-Madesa-i.1215229492.23798707150?sp_atk=8d3d33aa-9a72-4d81-addb-d8257816fd85&amp;xptdk=8d3d33aa-9a72-4d81-addb-d8257816fd85</t>
  </si>
  <si>
    <t>https://shopee.com.br/Cozinha-Completa-de-Canto-Emilly-Play-Madesa-i.1215229492.23494215230?sp_atk=76324ec3-b50a-4829-9d77-99ca0c7bce1d&amp;xptdk=76324ec3-b50a-4829-9d77-99ca0c7bce1d</t>
  </si>
  <si>
    <t>https://shopee.com.br/Ilha-De-Cozinha-Com-Bancada-E-Balc%C3%A3o-120-Cm-Branco-i.1215229492.22494215376?sp_atk=e9034310-0e0b-4305-90bf-6040478b47c4&amp;xptdk=e9034310-0e0b-4305-90bf-6040478b47c4</t>
  </si>
  <si>
    <t>https://shopee.com.br/Arm%C3%A1rio-De-Cozinha-Completa-Suspenso-240cm-Nice-Madesa-04-Cinza-i.1215229492.23994205484?sp_atk=6189125b-76b0-4914-836e-ba27cd55dd90&amp;xptdk=6189125b-76b0-4914-836e-ba27cd55dd90</t>
  </si>
  <si>
    <t>https://shopee.com.br/Arm%C3%A1rio-De-Cozinha-Completa-320Cm-Cinza-Nice-Madesa-06-Cinza-i.1215229492.18898270355?sp_atk=6e7e5ccb-c734-43c5-b663-71b44dd38f7d&amp;xptdk=6e7e5ccb-c734-43c5-b663-71b44dd38f7d</t>
  </si>
  <si>
    <t>https://shopee.com.br/Cozinha-Canto-Reto-Emilly-Arm%C3%A1rio-Balc%C3%A3o-Rustic-Madesa-i.1215229492.23998697201?sp_atk=3d5f6854-9c42-4699-8c02-3efdfe428fba&amp;xptdk=3d5f6854-9c42-4699-8c02-3efdfe428fba</t>
  </si>
  <si>
    <t>https://shopee.com.br/Arm%C3%A1rio-De-Cozinha-Completa-325cm-Branco-Emilly-Madesa-02-i.1215229492.21498263017?sp_atk=62c548cc-b47e-4591-8243-e0dae1292541&amp;xptdk=62c548cc-b47e-4591-8243-e0dae1292541</t>
  </si>
  <si>
    <t>https://shopee.com.br/Mesa-Tampo-de-Madeira-com-6-Cadeiras-Preto-Rustic-Preto-i.1215229492.22198726652?sp_atk=5113c9f6-21f3-42d6-91f2-00c748a18557&amp;xptdk=5113c9f6-21f3-42d6-91f2-00c748a18557</t>
  </si>
  <si>
    <t>https://shopee.com.br/Sala-de-Jantar-Maris-Tampo-Madeira-6-Cadeiras-Rustic-Madesa-i.1215229492.23698711763?sp_atk=78c49f6b-fde7-42a8-b2d5-7f0d5e018824&amp;xptdk=78c49f6b-fde7-42a8-b2d5-7f0d5e018824</t>
  </si>
  <si>
    <t>https://shopee.com.br/Arm%C3%A1rio-De-Cozinha-Completa-Suspenso-240cm-Nice-Madesa-05-Cinza-i.1215229492.21799831542?sp_atk=52f8f43d-032b-41d9-96e6-cbbf661c4fd2&amp;xptdk=52f8f43d-032b-41d9-96e6-cbbf661c4fd2</t>
  </si>
  <si>
    <t>https://shopee.com.br/Sala-Jantar-Mesa-Madeira-8-Cadeiras-Rustic-Preto-i.1215229492.22494215523?sp_atk=2caa8415-02cb-42c5-ac63-f4c685eed5df&amp;xptdk=2caa8415-02cb-42c5-ac63-f4c685eed5df</t>
  </si>
  <si>
    <t>https://shopee.com.br/Arm%C3%A1rio-De-Cozinha-Completa-Suspenso-260cm-Nice-Madesa-10-Cinza-i.1215229492.22394215567?sp_atk=04c4f401-3e72-4834-8fcb-a0344f8d091a&amp;xptdk=04c4f401-3e72-4834-8fcb-a0344f8d091a</t>
  </si>
  <si>
    <t>https://shopee.com.br/Cozinha-Completa-Madesa-Reims-C-Arm%C3%A1rio-E-Balc%C3%A3o-Branco-i.1215229492.23494229431?sp_atk=2ba2562f-3071-4141-88de-ccf4ad6b51b5&amp;xptdk=2ba2562f-3071-4141-88de-ccf4ad6b51b5</t>
  </si>
  <si>
    <t>https://shopee.com.br/Conjunto-Jantar-Madesa-Luana-Mesa-Madeira-4-Cadeira-Floral-i.1215229492.19799841728?sp_atk=ee4daed8-c8b6-417b-b122-31efb2d8bb53&amp;xptdk=ee4daed8-c8b6-417b-b122-31efb2d8bb53</t>
  </si>
  <si>
    <t>Canal</t>
  </si>
  <si>
    <t>Conjunto Sala De Jantar Mesa Tampo De Madeira 4 Cadeiras Rustic/preto Briana Madesa Rustic/preto</t>
  </si>
  <si>
    <t>WEB - Shopee</t>
  </si>
  <si>
    <t>Cristaleira Suspensa 70 Cm 2 Portas De Vidro Rustic Madesa</t>
  </si>
  <si>
    <t>Armário De Cozinha Compacta 120cm Cinza Nice 01 Cinza</t>
  </si>
  <si>
    <t>Escrivaninha Penteadeira 136cm 1 Porta 3 Gavetas Tampo De Vidro Madesa Branco</t>
  </si>
  <si>
    <t>Kit 4 Cadeiras Pérola Madesa 4291</t>
  </si>
  <si>
    <t>Buffet Aparador Rustic 3 Gavetas 2 Portas Pés Madesa</t>
  </si>
  <si>
    <t>Escrivaninha Em L Mesa Para Computador Gamer 3 Gavetas Branco/rustic Lisboa Madesa</t>
  </si>
  <si>
    <t>Armário De Cozinha Completa De Canto 417cm Rustic/Preto Emilly Madesa 02</t>
  </si>
  <si>
    <t>Estante Escada para Livros com 4 Prateleiras Madesa</t>
  </si>
  <si>
    <t>Conjunto Jantar Madesa Luana Mesa Madeira 4 Cadeira Floral</t>
  </si>
  <si>
    <t>Buffet Aparador Para Sala De Jantar Madesa 3 Portas Rustic</t>
  </si>
  <si>
    <t>Buffet Aparador Madesa 7014 com 3 Gavetas e 2 Portas com Pés</t>
  </si>
  <si>
    <t>Conjunto Sala de Jantar Madesa Magda Mesa Tampo de Vidro com 4 Cadeiras - Rustic/Pérola Rustic/Pérola</t>
  </si>
  <si>
    <t>Painel para TV até 60 Polegadas Madesa Alfa Preto</t>
  </si>
  <si>
    <t>Kit 6 Cadeiras Rustic/Crema/Sintético Bege 4280 Madesa Rustic/Crema/Sintético Bege</t>
  </si>
  <si>
    <t>Guarda-Roupa Solteiro Madesa Denver 2 Portas de Correr - Branco/Cinza</t>
  </si>
  <si>
    <t>Penteadeira Camarim Carly com 3 Gavetas Branca Madesa</t>
  </si>
  <si>
    <t>Armário De Cozinha Completa De Canto 447 Cm Smart Madesa</t>
  </si>
  <si>
    <t>Conjunto Sala De Jantar Mesa Tampo De Madeira 2 Cadeiras Ru</t>
  </si>
  <si>
    <t>Armário De Cozinha Completa Suspenso 320Cm Cinza</t>
  </si>
  <si>
    <t>Kit 4 Cadeiras Rustic Hibiscos Madesa 4290</t>
  </si>
  <si>
    <t>Conjunto Sala de Jantar Analu Mesa com 6 Cadeiras - Madesa</t>
  </si>
  <si>
    <t>Mesa de Escritório em L 3 Gavetas Branco/Rustic Lisboa Madesa Branco/Rustic</t>
  </si>
  <si>
    <t>Conjunto Sala de Jantar Madesa Débora Mesa Tampo de Vidro Redondo 4 Cadeiras - Rustic/Preto Rustic/Preto</t>
  </si>
  <si>
    <t>Kit 2 Cadeiras de Jantar 4280 Madesa Rustic/Preto Rustic/Preto</t>
  </si>
  <si>
    <t>Cozinha Completa Madesa Emilly Fire com Balcão e Armário Aéreo Reflex Rustic</t>
  </si>
  <si>
    <t>Cozinha Completa de Canto Madesa Emilly Play com Balcão e Armário Vidro Reflex Rustic/Preto</t>
  </si>
  <si>
    <t>Ilha de Cozinha com Bancada e Balcão 120 cm Branco Lux Madesa Branco</t>
  </si>
  <si>
    <t>Cozinha Completa de Canto Reto Madesa Emilly Big com Armário e Balcão 21 Portas 1 Gaveta - Rustic Rustic</t>
  </si>
  <si>
    <t>Armário de Cozinha Completa 325cm Branco Emilly Madesa 02 Branco</t>
  </si>
  <si>
    <t>Conjunto Sala de Jantar Maris Madesa Mesa Tampo de Madeira com 6 Cadeiras - Rustic/Pérola Rustic/Pérola</t>
  </si>
  <si>
    <t>Conjunto Sala de Jantar Mesa Tampo de Madeira 8 Cadeiras Rustic/Preto Marisa Madesa Rustic/Preto</t>
  </si>
  <si>
    <t>Armário de Cozinha Completa Suspenso 260cm Cinza Nice Madesa 10 Cinza</t>
  </si>
  <si>
    <t>Armário de Cozinha Completa 260cm Branco Reims Madesa 08 Branco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</si>
  <si>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</si>
  <si>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</si>
  <si>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</si>
  <si>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</si>
  <si>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</si>
  <si>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</si>
  <si>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</si>
  <si>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</si>
  <si>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</si>
  <si>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</si>
  <si>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</si>
  <si>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</si>
  <si>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</si>
  <si>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</si>
  <si>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</si>
  <si>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</si>
  <si>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</si>
  <si>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</si>
  <si>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</si>
  <si>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</si>
  <si>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</si>
  <si>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</si>
  <si>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</si>
  <si>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</si>
  <si>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</si>
  <si>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</si>
  <si>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</si>
  <si>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</si>
  <si>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</si>
  <si>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</si>
  <si>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</si>
  <si>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</si>
  <si>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</si>
  <si>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</si>
  <si>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</si>
  <si>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</si>
  <si>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</si>
  <si>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</si>
  <si>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</si>
  <si>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</si>
  <si>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</si>
  <si>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</si>
  <si>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</si>
  <si>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</si>
  <si>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</si>
  <si>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</si>
  <si>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</si>
  <si>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</si>
  <si>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</si>
  <si>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</si>
  <si>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</si>
  <si>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</si>
  <si>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</si>
  <si>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</si>
  <si>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</si>
  <si>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</si>
  <si>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</si>
  <si>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</si>
  <si>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</si>
  <si>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</si>
  <si>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</si>
  <si>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</si>
  <si>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Armário de Cozinha Completa 270cm Rustic/Preto Agata Madesa 07 Rustic/Preto</t>
  </si>
  <si>
    <t>WEB - Magalu</t>
  </si>
  <si>
    <t>Cozinha Completa Madesa Reims 235002 com Armário e Balcão - Branco Branco</t>
  </si>
  <si>
    <t>Conjunto Sala de Jantar Madesa Moni Mesa Tampo de Vidro com 2 Cadeiras - Rustic/Crema/Pérola Rustic/Crema/Pérola</t>
  </si>
  <si>
    <t>Armário de Cozinha Completa 240 cm Crema Nice Madesa 02 Crema</t>
  </si>
  <si>
    <t>Armário de Cozinha Completa de Canto 100% MDF 409cm Branco/Preto Acordes Madesa 01 Branco/Preto</t>
  </si>
  <si>
    <t>Cozinha Completa de Canto Madesa Agata 459001 com Armário e Balcão (Sem Tampo e Pia) - Rustic/Cinza Rustic/Cinza</t>
  </si>
  <si>
    <t>Armário de Cozinha Compacta 240cm Branco/Rustic Stella Madesa 01 Branco/Rustic</t>
  </si>
  <si>
    <t>Armário de Cozinha Completa 260 cm Suspenso Crema Nice Madesa 11 Crema</t>
  </si>
  <si>
    <t>Guarda Roupa Casal Madesa Lyon 3 Portas de Correr com Espelho 2 Gavetas com Pés - Rustic Rustic</t>
  </si>
  <si>
    <t>Cozinha Completa de Canto Madesa Reims 437001 com Armário e Balcão - Branco Branco</t>
  </si>
  <si>
    <t>Guarda-Roupa Solteiro Madesa Denver 2 Portas de Correr - Preto/Rustic Preto/Rustic</t>
  </si>
  <si>
    <t>Cozinha Completa Madesa Glamy 315001 com Armário, Balcão e Bancada (Sem Tampo e Pia) - Rustic/Branco Rustic/Branco</t>
  </si>
  <si>
    <t>Guarda Roupa Casal Madesa Lyon Plus 3 Portas de Correr de Espelho Branco</t>
  </si>
  <si>
    <t>Guarda Roupa Casal Madesa Mônaco 3 Portas de Correr com Espelhos Preto/Branco</t>
  </si>
  <si>
    <t>Armário de Cozinha Compacta 165cm Rustic Emilly Madesa 03 Rustic</t>
  </si>
  <si>
    <t>Armário de Cozinha Completa 325cm Rustic/Preto Emilly Madesa 03 Rustic/Preto</t>
  </si>
  <si>
    <t>Armário de Cozinha Completa 325cm Rustic/Preto Emilly Madesa 05 Rustic/Preto</t>
  </si>
  <si>
    <t>Guarda Roupa Casal Madesa Mônaco 3 Portas de Correr de Espelho - Preto Preto</t>
  </si>
  <si>
    <t>Cozinha Completa Madesa Lazio Com Armário e Balcão (Sem Tampo e Pia) Rustic</t>
  </si>
  <si>
    <t>Cozinha Compacta Madesa 100% MDF Acordes com Armário e Balcão - Portas Branco Brilho Branco</t>
  </si>
  <si>
    <t>Armário de Cozinha Completa de Canto 417cm Preto/Rustic Emilly Madesa 02 Rustic/Preto/Rustic</t>
  </si>
  <si>
    <t>Armário de Cozinha Completa de Canto 417cm Rustic/Preto Emilly Madesa 02 Rustic/Preto</t>
  </si>
  <si>
    <t>Cozinha Completa Madesa Agata 290003 com Armário e Balcão (Sem Tampo e Pia) - Branco/Cinza Branco/Cinza</t>
  </si>
  <si>
    <t>Armário de Cozinha Completa 100% MDF 310 cm Branco Smart 02 XA Branco</t>
  </si>
  <si>
    <t>Armário de Cozinha Completa de Canto 465 cm Suspensa Crema Nice Madesa 10 Crema</t>
  </si>
  <si>
    <t>Cozinha Completa de Canto Madesa Reims 462001 com Armário e Balcão - Preto Preto</t>
  </si>
  <si>
    <t>Armário de Cozinha Completa Suspenso 160cm Cinza Nice Madesa 02 Cinza</t>
  </si>
  <si>
    <t>Armário de Cozinha Completa 325cm Branco Emilly Madesa 01 Branco Branco</t>
  </si>
  <si>
    <t>Guarda Roupa Casal Madesa Lyon Plus 3 Portas de Correr de Espelho 4 Gavetas Preto</t>
  </si>
  <si>
    <t>Conjunto Sala de Jantar Madesa Luana Mesa Tampo de Madeira com 4 Cadeiras - Rustic/Pérola Rustic/Pérola Rustic/Pérola</t>
  </si>
  <si>
    <t>Balcão Gabinete de Pia Cozinha 3 Portas 1 Gaveta Suspenso Cinza Nice Madesa Cinza</t>
  </si>
  <si>
    <t>Guarda Roupa Casal 100% MDF Madesa Zurique 3 Portas de Correr de Espelho com Pés - Branco Branco</t>
  </si>
  <si>
    <t>Armário de Cozinha Completa 100% MDF 310 cm Branco/Rustic/Crema Smart Madesa 03 Branco/Rustic/Crema</t>
  </si>
  <si>
    <t>Armário de Cozinha Completa 100% MDF 300 cm Branco Smart Madesa 04 Branco</t>
  </si>
  <si>
    <t>Cozinha Completa Madesa Reims 330001 com Armário e Balcão - Preto Preto</t>
  </si>
  <si>
    <t>Guarda-Roupa Casal Madesa Lyon Plus 3 Portas de Correr com Espelhos 4 Gavetas Rustic/Preto</t>
  </si>
  <si>
    <t>Guarda Roupa Casal Madesa Lyon Plus 3 Portas de Correr com Espelho 4 Gavetas com Pés - Rustic Rustic</t>
  </si>
  <si>
    <t>Estante Armário Multiuso para Livros 6 Gavetas 12 prateleiras 210cm Rustic/Preto Madesa Rustic/Preto</t>
  </si>
  <si>
    <t>Guarda Roupa Casal Madesa Mônaco 3 Portas de Correr com Espelho - Rustic/Branco Rustic/Branco</t>
  </si>
  <si>
    <t>Armário de Cozinha Compacta 190cm Branco Reims Madesa 04 Branco</t>
  </si>
  <si>
    <t>Escrivaninha Em L Mesa Para Computador Gamer 3 Gavetas Branco/Rustic Lisboa Madesa Branco/Rustic</t>
  </si>
  <si>
    <t>Conjunto Sala de Jantar Madesa Cali Mesa Tampo de Madeira com 4 Cadeiras - Rustic/Preto/Sint Preto Rustic/Preto/Sint Preto</t>
  </si>
  <si>
    <t>a vista</t>
  </si>
  <si>
    <t>Coluna1</t>
  </si>
  <si>
    <t>Coluna2</t>
  </si>
  <si>
    <t>Coluna3</t>
  </si>
  <si>
    <t>Coluna4</t>
  </si>
  <si>
    <t>Coluna5</t>
  </si>
  <si>
    <t xml:space="preserve"> 2.039,88 </t>
  </si>
  <si>
    <t xml:space="preserve"> 1.679,88 </t>
  </si>
  <si>
    <t xml:space="preserve"> 499,88 </t>
  </si>
  <si>
    <t xml:space="preserve"> 799,99 </t>
  </si>
  <si>
    <t xml:space="preserve"> 1.669,88 </t>
  </si>
  <si>
    <t xml:space="preserve"> 2.429,88 </t>
  </si>
  <si>
    <t xml:space="preserve"> 3.399,88 </t>
  </si>
  <si>
    <t xml:space="preserve"> 1.189,88 </t>
  </si>
  <si>
    <t xml:space="preserve"> 1.529,88 </t>
  </si>
  <si>
    <t xml:space="preserve"> 559,88 </t>
  </si>
  <si>
    <t xml:space="preserve"> 1.139,88 </t>
  </si>
  <si>
    <t xml:space="preserve"> 2.679,88 </t>
  </si>
  <si>
    <t xml:space="preserve"> 1.719,88 </t>
  </si>
  <si>
    <t xml:space="preserve"> 619,88 </t>
  </si>
  <si>
    <t xml:space="preserve"> 2.479,88 </t>
  </si>
  <si>
    <t xml:space="preserve"> 1.399,88 </t>
  </si>
  <si>
    <t xml:space="preserve"> 1.089,88 </t>
  </si>
  <si>
    <t xml:space="preserve"> 779,99 </t>
  </si>
  <si>
    <t xml:space="preserve"> 1.259,88 </t>
  </si>
  <si>
    <t xml:space="preserve"> 1.579,88 </t>
  </si>
  <si>
    <t xml:space="preserve"> 1.229,88 </t>
  </si>
  <si>
    <t xml:space="preserve"> 2.549,88 </t>
  </si>
  <si>
    <t xml:space="preserve"> 2.029,88 </t>
  </si>
  <si>
    <t xml:space="preserve"> 1.799,88 </t>
  </si>
  <si>
    <t xml:space="preserve"> 3.569,88 </t>
  </si>
  <si>
    <t xml:space="preserve"> 2.529,88 </t>
  </si>
  <si>
    <t xml:space="preserve"> 819,88 </t>
  </si>
  <si>
    <t xml:space="preserve"> 1.499,88 </t>
  </si>
  <si>
    <t xml:space="preserve"> 459,88 </t>
  </si>
  <si>
    <t xml:space="preserve"> 869,88 </t>
  </si>
  <si>
    <t xml:space="preserve"> 2.339,88 </t>
  </si>
  <si>
    <t xml:space="preserve"> 1.979,88 </t>
  </si>
  <si>
    <t xml:space="preserve"> 1.359,88 </t>
  </si>
  <si>
    <t xml:space="preserve"> 1.299,88 </t>
  </si>
  <si>
    <t xml:space="preserve"> 1.269,88 </t>
  </si>
  <si>
    <t xml:space="preserve"> 969,88 </t>
  </si>
  <si>
    <t xml:space="preserve"> 899,88 </t>
  </si>
  <si>
    <t xml:space="preserve"> 1.479,88 </t>
  </si>
  <si>
    <t xml:space="preserve"> 749,88 </t>
  </si>
  <si>
    <t xml:space="preserve"> 1.259,92 </t>
  </si>
  <si>
    <t xml:space="preserve"> 1.839,88 </t>
  </si>
  <si>
    <t xml:space="preserve"> 949,88 </t>
  </si>
  <si>
    <t xml:space="preserve"> 659,88 </t>
  </si>
  <si>
    <t>05/nov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</si>
</sst>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A03A3A"/>
        <bgColor rgb="FFBFBFBF"/>
      </patternFill>
    </fill>
    <fill>
      <patternFill patternType="solid">
        <fgColor rgb="FFFF0000"/>
        <bgColor rgb="FFBFBFBF"/>
      </patternFill>
    </fill>
    <fill>
      <patternFill patternType="solid">
        <fgColor rgb="FFFFC000"/>
        <bgColor rgb="FFBFBFBF"/>
      </patternFill>
    </fill>
    <fill>
      <patternFill patternType="solid">
        <fgColor rgb="FF00B0F0"/>
        <bgColor rgb="FFBFBFBF"/>
      </patternFill>
    </fill>
    <fill>
      <patternFill patternType="solid">
        <fgColor rgb="FF899612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rgb="FFBDADF9"/>
        <bgColor rgb="FFBFBFBF"/>
      </patternFill>
    </fill>
    <fill>
      <patternFill patternType="solid">
        <fgColor theme="2" tint="-0.89999084444715716"/>
        <bgColor rgb="FFBFBFBF"/>
      </patternFill>
    </fill>
    <fill>
      <patternFill patternType="solid">
        <fgColor rgb="FF11FFE3"/>
        <bgColor indexed="64"/>
      </patternFill>
    </fill>
    <fill>
      <patternFill patternType="solid">
        <fgColor rgb="FF11FFE3"/>
        <bgColor rgb="FFBFBFBF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9" fontId="0" fillId="0" borderId="1" xfId="1" applyFont="1" applyBorder="1" applyAlignment="1">
      <alignment horizontal="center"/>
    </xf>
    <xf numFmtId="0" fontId="0" fillId="14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0" borderId="1" xfId="2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6" fillId="0" borderId="1" xfId="2" applyBorder="1"/>
    <xf numFmtId="0" fontId="0" fillId="14" borderId="1" xfId="0" quotePrefix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14" borderId="1" xfId="0" applyFont="1" applyFill="1" applyBorder="1" applyAlignment="1">
      <alignment horizontal="center" vertical="center"/>
    </xf>
    <xf numFmtId="0" fontId="6" fillId="14" borderId="1" xfId="2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10" fillId="0" borderId="0" xfId="3" applyAlignment="1">
      <alignment horizontal="center"/>
    </xf>
    <xf numFmtId="165" fontId="10" fillId="0" borderId="0" xfId="3" applyNumberFormat="1" applyAlignment="1">
      <alignment horizontal="center"/>
    </xf>
    <xf numFmtId="0" fontId="10" fillId="0" borderId="0" xfId="3"/>
    <xf numFmtId="16" fontId="10" fillId="0" borderId="0" xfId="3" applyNumberFormat="1" applyAlignment="1">
      <alignment horizontal="center"/>
    </xf>
    <xf numFmtId="0" fontId="0" fillId="16" borderId="0" xfId="0" applyFill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9" fontId="0" fillId="15" borderId="1" xfId="1" applyFont="1" applyFill="1" applyBorder="1" applyAlignment="1">
      <alignment horizontal="center" vertical="center"/>
    </xf>
    <xf numFmtId="9" fontId="0" fillId="14" borderId="1" xfId="1" applyFont="1" applyFill="1" applyBorder="1" applyAlignment="1">
      <alignment horizontal="center" vertical="center"/>
    </xf>
    <xf numFmtId="0" fontId="6" fillId="14" borderId="1" xfId="2" applyFill="1" applyBorder="1" applyAlignment="1">
      <alignment horizontal="center"/>
    </xf>
    <xf numFmtId="0" fontId="8" fillId="14" borderId="1" xfId="2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6" fillId="17" borderId="1" xfId="2" applyFill="1" applyBorder="1" applyAlignment="1">
      <alignment horizontal="center"/>
    </xf>
    <xf numFmtId="0" fontId="13" fillId="17" borderId="1" xfId="2" applyFont="1" applyFill="1" applyBorder="1" applyAlignment="1">
      <alignment horizontal="center"/>
    </xf>
    <xf numFmtId="44" fontId="12" fillId="17" borderId="1" xfId="4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3" fontId="0" fillId="0" borderId="0" xfId="0" applyNumberFormat="1"/>
    <xf numFmtId="16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" fontId="7" fillId="14" borderId="3" xfId="0" applyNumberFormat="1" applyFont="1" applyFill="1" applyBorder="1" applyAlignment="1">
      <alignment horizontal="center"/>
    </xf>
    <xf numFmtId="16" fontId="7" fillId="14" borderId="2" xfId="0" applyNumberFormat="1" applyFont="1" applyFill="1" applyBorder="1" applyAlignment="1">
      <alignment horizontal="center"/>
    </xf>
    <xf numFmtId="16" fontId="7" fillId="14" borderId="4" xfId="0" applyNumberFormat="1" applyFont="1" applyFill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" fontId="7" fillId="14" borderId="1" xfId="0" applyNumberFormat="1" applyFont="1" applyFill="1" applyBorder="1" applyAlignment="1">
      <alignment horizontal="center" vertical="center"/>
    </xf>
  </cellXfs>
  <cellStyles count="5">
    <cellStyle name="Hiperlink" xfId="2" builtinId="8"/>
    <cellStyle name="Moeda" xfId="4" builtinId="4"/>
    <cellStyle name="Normal" xfId="0" builtinId="0"/>
    <cellStyle name="Normal 2" xfId="3" xr:uid="{F2207BB6-23CA-42F7-B16B-814236EED18A}"/>
    <cellStyle name="Porcentagem" xfId="1" builtinId="5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.mayer\Desktop\Vitor%20Mayer\WEB\Pre&#231;os\Pre&#231;os%20-%20WEB.xlsx" TargetMode="External"/><Relationship Id="rId1" Type="http://schemas.openxmlformats.org/officeDocument/2006/relationships/externalLinkPath" Target="/Users/v.mayer/Desktop/Vitor%20Mayer/WEB/Pre&#231;os/Pre&#231;os%20-%20W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 - SITE"/>
      <sheetName val="Base BI"/>
      <sheetName val="Rentabilidade"/>
    </sheetNames>
    <sheetDataSet>
      <sheetData sheetId="0">
        <row r="1">
          <cell r="A1" t="str">
            <v>Produtos</v>
          </cell>
          <cell r="B1"/>
          <cell r="C1"/>
          <cell r="D1"/>
          <cell r="E1"/>
          <cell r="F1"/>
          <cell r="G1"/>
          <cell r="H1" t="str">
            <v>Preço</v>
          </cell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</row>
        <row r="2">
          <cell r="A2" t="str">
            <v>SKU</v>
          </cell>
          <cell r="B2" t="str">
            <v>CÓDIGO</v>
          </cell>
          <cell r="C2" t="str">
            <v>TOP QTDE WEB</v>
          </cell>
          <cell r="D2" t="str">
            <v>DESCRIÇÃO</v>
          </cell>
          <cell r="E2" t="str">
            <v>FAMÍLIA</v>
          </cell>
          <cell r="F2" t="str">
            <v>DEPARTAMENTO</v>
          </cell>
          <cell r="G2" t="str">
            <v>EST.</v>
          </cell>
          <cell r="H2" t="str">
            <v>PREÇO DE</v>
          </cell>
          <cell r="I2" t="str">
            <v>PREÇO POR</v>
          </cell>
          <cell r="J2" t="str">
            <v>MINIMO</v>
          </cell>
          <cell r="K2" t="str">
            <v>FRETE MADESA</v>
          </cell>
          <cell r="L2" t="str">
            <v>MINIMO+FRETE MADESA</v>
          </cell>
          <cell r="M2" t="str">
            <v>FRETE CLIENTE</v>
          </cell>
          <cell r="N2" t="str">
            <v>PREÇO + FRETE CLIENTE</v>
          </cell>
          <cell r="O2" t="str">
            <v>FOCO</v>
          </cell>
          <cell r="P2" t="str">
            <v>PREÇO FOCO</v>
          </cell>
          <cell r="Q2" t="str">
            <v>RENTABILIDADE PREÇO</v>
          </cell>
          <cell r="R2" t="str">
            <v>RENTABILIDADE FINAL</v>
          </cell>
          <cell r="S2" t="str">
            <v>RENTABILIDADE FINAL BI</v>
          </cell>
          <cell r="T2" t="str">
            <v>RENTABILIDADE RECALCULADA</v>
          </cell>
        </row>
        <row r="3">
          <cell r="A3" t="str">
            <v>102809</v>
          </cell>
          <cell r="B3" t="str">
            <v>MKP000631002238</v>
          </cell>
          <cell r="C3">
            <v>1</v>
          </cell>
          <cell r="D3" t="str">
            <v>Guarda-Roupa Casal Madesa Austin 4 Portas de Correr 3 Gavetas Branco</v>
          </cell>
          <cell r="E3" t="str">
            <v>AUSTIN</v>
          </cell>
          <cell r="F3" t="str">
            <v>QUARTO</v>
          </cell>
          <cell r="G3" t="str">
            <v/>
          </cell>
          <cell r="H3">
            <v>2419.9899999999998</v>
          </cell>
          <cell r="I3">
            <v>1399.99</v>
          </cell>
          <cell r="J3">
            <v>1153.9612</v>
          </cell>
          <cell r="K3">
            <v>126.39</v>
          </cell>
          <cell r="L3">
            <v>1280.3512000000001</v>
          </cell>
          <cell r="M3">
            <v>49.993333333333297</v>
          </cell>
          <cell r="N3">
            <v>1449.9833333333299</v>
          </cell>
          <cell r="O3" t="str">
            <v>LOJA</v>
          </cell>
          <cell r="P3">
            <v>1399.99</v>
          </cell>
          <cell r="Q3">
            <v>0.21320370216953499</v>
          </cell>
          <cell r="R3">
            <v>0.132488752565181</v>
          </cell>
          <cell r="S3">
            <v>0.165246851971762</v>
          </cell>
          <cell r="T3">
            <v>0.165246851971762</v>
          </cell>
        </row>
        <row r="4">
          <cell r="A4" t="str">
            <v>MDJA040157F9FLH</v>
          </cell>
          <cell r="B4" t="str">
            <v>MKP000631005549</v>
          </cell>
          <cell r="C4">
            <v>2</v>
          </cell>
          <cell r="D4" t="str">
            <v>Conjunto Sala de Jantar Mesa Tampo de Madeira 4 Cadeiras Rustic/Cinza/Floral Hibiscos Samara Madesa</v>
          </cell>
          <cell r="E4" t="str">
            <v>SAMARA</v>
          </cell>
          <cell r="F4" t="str">
            <v>SALA DE JANTAR</v>
          </cell>
          <cell r="G4" t="str">
            <v>4290X</v>
          </cell>
          <cell r="H4">
            <v>599.99</v>
          </cell>
          <cell r="I4">
            <v>555.54</v>
          </cell>
          <cell r="J4">
            <v>400.13900000000001</v>
          </cell>
          <cell r="K4">
            <v>101.35833333333299</v>
          </cell>
          <cell r="L4">
            <v>501.49733333333302</v>
          </cell>
          <cell r="M4">
            <v>44.945</v>
          </cell>
          <cell r="N4">
            <v>600.48500000000001</v>
          </cell>
          <cell r="O4" t="str">
            <v>WEB (VIA)</v>
          </cell>
          <cell r="P4">
            <v>555.54</v>
          </cell>
          <cell r="Q4">
            <v>0.38836754227905801</v>
          </cell>
          <cell r="R4">
            <v>0.197384233349197</v>
          </cell>
          <cell r="S4">
            <v>-2.3607053873161501E-2</v>
          </cell>
          <cell r="T4">
            <v>0.109353248289559</v>
          </cell>
        </row>
        <row r="5">
          <cell r="A5" t="str">
            <v>42905Z4XTPT</v>
          </cell>
          <cell r="B5" t="str">
            <v>MKP000631003151</v>
          </cell>
          <cell r="C5">
            <v>3</v>
          </cell>
          <cell r="D5" t="str">
            <v>Kit 4 Cadeiras 4290 Madesa Rustic/Preto</v>
          </cell>
          <cell r="E5">
            <v>4290</v>
          </cell>
          <cell r="F5" t="str">
            <v>SALA DE JANTAR</v>
          </cell>
          <cell r="G5" t="str">
            <v>4290X</v>
          </cell>
          <cell r="H5">
            <v>619.99</v>
          </cell>
          <cell r="I5">
            <v>379.99</v>
          </cell>
          <cell r="J5">
            <v>256.8476</v>
          </cell>
          <cell r="K5">
            <v>82.783749999999998</v>
          </cell>
          <cell r="L5">
            <v>339.63135</v>
          </cell>
          <cell r="M5">
            <v>29.911249999999999</v>
          </cell>
          <cell r="N5">
            <v>409.90125</v>
          </cell>
          <cell r="O5" t="str">
            <v>WEB (VIA)</v>
          </cell>
          <cell r="P5">
            <v>379.99</v>
          </cell>
          <cell r="Q5">
            <v>0.47943761203141499</v>
          </cell>
          <cell r="R5">
            <v>0.20690051139272</v>
          </cell>
          <cell r="S5">
            <v>-5.1357995478187304E-3</v>
          </cell>
          <cell r="T5">
            <v>0.112614793188895</v>
          </cell>
        </row>
        <row r="6">
          <cell r="A6" t="str">
            <v>G200707K</v>
          </cell>
          <cell r="B6" t="str">
            <v>MKP000631000198</v>
          </cell>
          <cell r="C6">
            <v>4</v>
          </cell>
          <cell r="D6" t="str">
            <v>Armário de Cozinha Compacta Rustic/Preto Emilly Top Madesa</v>
          </cell>
          <cell r="E6" t="str">
            <v>TOP/EMILLY</v>
          </cell>
          <cell r="F6" t="str">
            <v>COZINHA</v>
          </cell>
          <cell r="G6" t="str">
            <v/>
          </cell>
          <cell r="H6">
            <v>1189.99</v>
          </cell>
          <cell r="I6">
            <v>719.99</v>
          </cell>
          <cell r="J6">
            <v>587.28110000000004</v>
          </cell>
          <cell r="K6">
            <v>170.40666666666701</v>
          </cell>
          <cell r="L6">
            <v>757.68776666666702</v>
          </cell>
          <cell r="M6">
            <v>56.566666666666698</v>
          </cell>
          <cell r="N6">
            <v>776.55666666666696</v>
          </cell>
          <cell r="O6" t="str">
            <v>VIA</v>
          </cell>
          <cell r="P6">
            <v>699.99</v>
          </cell>
          <cell r="Q6">
            <v>0.225971685450119</v>
          </cell>
          <cell r="R6">
            <v>2.4903266002314999E-2</v>
          </cell>
          <cell r="S6">
            <v>-4.2070086854258101E-2</v>
          </cell>
          <cell r="T6">
            <v>2.1174559835740899E-2</v>
          </cell>
        </row>
        <row r="7">
          <cell r="A7" t="str">
            <v>045677KX4PT</v>
          </cell>
          <cell r="B7" t="str">
            <v>MKP000631000754</v>
          </cell>
          <cell r="C7">
            <v>5</v>
          </cell>
          <cell r="D7" t="str">
            <v>Conjunto Sala de Jantar Madesa Talita Mesa Tampo de Madeira com 4 Cadeiras Rustic/Preto/Sintético Preto</v>
          </cell>
          <cell r="E7" t="str">
            <v>TALITA</v>
          </cell>
          <cell r="F7" t="str">
            <v>SALA DE JANTAR</v>
          </cell>
          <cell r="G7" t="str">
            <v>4291X</v>
          </cell>
          <cell r="H7">
            <v>1139.99</v>
          </cell>
          <cell r="I7">
            <v>499.99</v>
          </cell>
          <cell r="J7">
            <v>396.72730000000001</v>
          </cell>
          <cell r="K7">
            <v>78.372500000000002</v>
          </cell>
          <cell r="L7">
            <v>475.09980000000002</v>
          </cell>
          <cell r="M7">
            <v>29.922499999999999</v>
          </cell>
          <cell r="N7">
            <v>529.91250000000002</v>
          </cell>
          <cell r="O7" t="str">
            <v>VIA/COLOMBO</v>
          </cell>
          <cell r="P7">
            <v>499.99</v>
          </cell>
          <cell r="Q7">
            <v>0.26028634782632798</v>
          </cell>
          <cell r="R7">
            <v>0.115370917857679</v>
          </cell>
          <cell r="S7">
            <v>9.8291801631259307E-2</v>
          </cell>
          <cell r="T7">
            <v>0.124825075412605</v>
          </cell>
        </row>
        <row r="8">
          <cell r="A8" t="str">
            <v>MDJA0401827KOXF</v>
          </cell>
          <cell r="B8" t="str">
            <v>MKP000631006016</v>
          </cell>
          <cell r="C8">
            <v>6</v>
          </cell>
          <cell r="D8" t="str">
            <v>Conjunto Sala de Jantar Mesa Tampo de Vidro 4 Cadeiras Rustic/Preto Oxford Evelin Madesa</v>
          </cell>
          <cell r="E8" t="str">
            <v>EVELIN</v>
          </cell>
          <cell r="F8" t="str">
            <v>SALA DE JANTAR</v>
          </cell>
          <cell r="G8">
            <v>4255</v>
          </cell>
          <cell r="H8">
            <v>1069.99</v>
          </cell>
          <cell r="I8">
            <v>969.99</v>
          </cell>
          <cell r="J8">
            <v>803.72239999999999</v>
          </cell>
          <cell r="K8">
            <v>139.55500000000001</v>
          </cell>
          <cell r="L8">
            <v>943.27739999999994</v>
          </cell>
          <cell r="M8">
            <v>39.9</v>
          </cell>
          <cell r="N8">
            <v>1009.89</v>
          </cell>
          <cell r="O8" t="str">
            <v>VIA</v>
          </cell>
          <cell r="P8">
            <v>969.99</v>
          </cell>
          <cell r="Q8">
            <v>0.20687192493328499</v>
          </cell>
          <cell r="R8">
            <v>7.0618250792396697E-2</v>
          </cell>
          <cell r="S8">
            <v>4.83215301962878E-2</v>
          </cell>
          <cell r="T8">
            <v>4.83215301962878E-2</v>
          </cell>
        </row>
        <row r="9">
          <cell r="A9" t="str">
            <v>109473</v>
          </cell>
          <cell r="B9" t="str">
            <v>MKP000631002030</v>
          </cell>
          <cell r="C9">
            <v>7</v>
          </cell>
          <cell r="D9" t="str">
            <v>Guarda-Roupa Solteiro Madesa Denver 2 Portas de Correr Branco/Preto</v>
          </cell>
          <cell r="E9" t="str">
            <v>DENVER</v>
          </cell>
          <cell r="F9" t="str">
            <v>QUARTO</v>
          </cell>
          <cell r="G9" t="str">
            <v/>
          </cell>
          <cell r="H9">
            <v>1139.99</v>
          </cell>
          <cell r="I9">
            <v>589.91999999999996</v>
          </cell>
          <cell r="J9">
            <v>475.10919999999999</v>
          </cell>
          <cell r="K9">
            <v>66.1933333333333</v>
          </cell>
          <cell r="L9">
            <v>541.30253333333303</v>
          </cell>
          <cell r="M9">
            <v>29.996666666666702</v>
          </cell>
          <cell r="N9">
            <v>619.91666666666697</v>
          </cell>
          <cell r="O9" t="str">
            <v/>
          </cell>
          <cell r="P9">
            <v>0</v>
          </cell>
          <cell r="Q9">
            <v>0.241651392985023</v>
          </cell>
          <cell r="R9">
            <v>0.14523141587612501</v>
          </cell>
          <cell r="S9">
            <v>8.0761607285591494E-2</v>
          </cell>
          <cell r="T9">
            <v>0.12959450207116799</v>
          </cell>
        </row>
        <row r="10">
          <cell r="A10" t="str">
            <v>044915ZXTPER</v>
          </cell>
          <cell r="B10" t="str">
            <v>MKP000631000571</v>
          </cell>
          <cell r="C10">
            <v>8</v>
          </cell>
          <cell r="D10" t="str">
            <v>Conjunto Sala de Jantar Madesa Rute Mesa Tampo de Madeira com 4 Cadeiras Rustic/Sintético Bege</v>
          </cell>
          <cell r="E10" t="str">
            <v>RUTE</v>
          </cell>
          <cell r="F10" t="str">
            <v>SALA DE JANTAR</v>
          </cell>
          <cell r="G10" t="str">
            <v>4290X</v>
          </cell>
          <cell r="H10">
            <v>659.99</v>
          </cell>
          <cell r="I10">
            <v>619.99</v>
          </cell>
          <cell r="J10">
            <v>427.78140000000002</v>
          </cell>
          <cell r="K10">
            <v>70.296666666666695</v>
          </cell>
          <cell r="L10">
            <v>498.07806666666698</v>
          </cell>
          <cell r="M10">
            <v>19.93</v>
          </cell>
          <cell r="N10">
            <v>639.91999999999996</v>
          </cell>
          <cell r="O10" t="str">
            <v>WEB (VIA)</v>
          </cell>
          <cell r="P10">
            <v>619.99</v>
          </cell>
          <cell r="Q10">
            <v>0.44931500060544899</v>
          </cell>
          <cell r="R10">
            <v>0.28477851731676301</v>
          </cell>
          <cell r="S10">
            <v>5.3847214688504501E-2</v>
          </cell>
          <cell r="T10">
            <v>0.21775098835293399</v>
          </cell>
        </row>
        <row r="11">
          <cell r="A11" t="str">
            <v>GRNC2400053B</v>
          </cell>
          <cell r="B11" t="str">
            <v>MKP000631004998</v>
          </cell>
          <cell r="C11">
            <v>9</v>
          </cell>
          <cell r="D11" t="str">
            <v>Armário de Cozinha Completa Suspenso 240cm Cinza Nice Madesa 05</v>
          </cell>
          <cell r="E11" t="str">
            <v>NICE</v>
          </cell>
          <cell r="F11" t="str">
            <v>COZINHA</v>
          </cell>
          <cell r="G11" t="str">
            <v/>
          </cell>
          <cell r="H11">
            <v>1659.99</v>
          </cell>
          <cell r="I11">
            <v>1555.54</v>
          </cell>
          <cell r="J11">
            <v>1097.9570000000001</v>
          </cell>
          <cell r="K11">
            <v>327.63</v>
          </cell>
          <cell r="L11">
            <v>1425.587</v>
          </cell>
          <cell r="M11">
            <v>99.9</v>
          </cell>
          <cell r="N11">
            <v>1655.44</v>
          </cell>
          <cell r="O11" t="str">
            <v>WEB (VIA)</v>
          </cell>
          <cell r="P11">
            <v>1555.54</v>
          </cell>
          <cell r="Q11">
            <v>0.41675857979866199</v>
          </cell>
          <cell r="R11">
            <v>0.161233933811125</v>
          </cell>
          <cell r="S11">
            <v>7.8483455511474801E-2</v>
          </cell>
          <cell r="T11">
            <v>0.12710606527155499</v>
          </cell>
        </row>
        <row r="12">
          <cell r="A12" t="str">
            <v>1095092E</v>
          </cell>
          <cell r="B12" t="str">
            <v>MKP000631001946</v>
          </cell>
          <cell r="C12">
            <v>10</v>
          </cell>
          <cell r="D12" t="str">
            <v>Guarda-Roupa Casal Madesa Reno 3 Portas de Correr com Espelhos Branco</v>
          </cell>
          <cell r="E12" t="str">
            <v>RENO</v>
          </cell>
          <cell r="F12" t="str">
            <v>QUARTO</v>
          </cell>
          <cell r="G12" t="str">
            <v/>
          </cell>
          <cell r="H12">
            <v>2319.9899999999998</v>
          </cell>
          <cell r="I12">
            <v>1519.99</v>
          </cell>
          <cell r="J12">
            <v>1157.5255</v>
          </cell>
          <cell r="K12">
            <v>187.05</v>
          </cell>
          <cell r="L12">
            <v>1344.5754999999999</v>
          </cell>
          <cell r="M12">
            <v>99.9</v>
          </cell>
          <cell r="N12">
            <v>1619.89</v>
          </cell>
          <cell r="O12" t="str">
            <v>ZEMA</v>
          </cell>
          <cell r="P12">
            <v>1469.99</v>
          </cell>
          <cell r="Q12">
            <v>0.31313737796705099</v>
          </cell>
          <cell r="R12">
            <v>0.20475942035237099</v>
          </cell>
          <cell r="S12">
            <v>7.4441635722805696E-2</v>
          </cell>
          <cell r="T12">
            <v>0.12269233110880599</v>
          </cell>
        </row>
        <row r="13">
          <cell r="A13" t="str">
            <v>GREM3250025Z</v>
          </cell>
          <cell r="B13" t="str">
            <v>MKP000631005017</v>
          </cell>
          <cell r="C13">
            <v>11</v>
          </cell>
          <cell r="D13" t="str">
            <v>Armário de Cozinha Completa 325cm Rustic Emilly  Madesa 02</v>
          </cell>
          <cell r="E13" t="str">
            <v>EMILLY</v>
          </cell>
          <cell r="F13" t="str">
            <v>COZINHA</v>
          </cell>
          <cell r="G13" t="str">
            <v/>
          </cell>
          <cell r="H13">
            <v>1479.99</v>
          </cell>
          <cell r="I13">
            <v>1379.99</v>
          </cell>
          <cell r="J13">
            <v>1092.4088999999999</v>
          </cell>
          <cell r="K13">
            <v>245.94</v>
          </cell>
          <cell r="L13">
            <v>1338.3489</v>
          </cell>
          <cell r="M13">
            <v>99.99</v>
          </cell>
          <cell r="N13">
            <v>1479.98</v>
          </cell>
          <cell r="O13" t="str">
            <v/>
          </cell>
          <cell r="P13">
            <v>0</v>
          </cell>
          <cell r="Q13">
            <v>0.26325408004273898</v>
          </cell>
          <cell r="R13">
            <v>0.105825244822183</v>
          </cell>
          <cell r="S13">
            <v>3.7824074391337399E-2</v>
          </cell>
          <cell r="T13">
            <v>3.7824074391337399E-2</v>
          </cell>
        </row>
        <row r="14">
          <cell r="A14" t="str">
            <v>MDJA0401486ESM</v>
          </cell>
          <cell r="B14" t="str">
            <v>MKP000631005287</v>
          </cell>
          <cell r="C14">
            <v>12</v>
          </cell>
          <cell r="D14" t="str">
            <v>Conjunto Sala de Jantar Mesa Tampo de Vidro 4 Cadeiras Rustic/Branco/Imperial Avril Madesa</v>
          </cell>
          <cell r="E14" t="str">
            <v>AVRIL</v>
          </cell>
          <cell r="F14" t="str">
            <v>SALA DE JANTAR</v>
          </cell>
          <cell r="G14">
            <v>4255</v>
          </cell>
          <cell r="H14">
            <v>1449.99</v>
          </cell>
          <cell r="I14">
            <v>1349.99</v>
          </cell>
          <cell r="J14">
            <v>1036.2411999999999</v>
          </cell>
          <cell r="K14">
            <v>174.27</v>
          </cell>
          <cell r="L14">
            <v>1210.5111999999999</v>
          </cell>
          <cell r="M14">
            <v>69.900000000000006</v>
          </cell>
          <cell r="N14">
            <v>1419.89</v>
          </cell>
          <cell r="O14" t="str">
            <v>IMPÉRIO</v>
          </cell>
          <cell r="P14">
            <v>1459</v>
          </cell>
          <cell r="Q14">
            <v>0.30277584021943899</v>
          </cell>
          <cell r="R14">
            <v>0.172967255486773</v>
          </cell>
          <cell r="S14">
            <v>0.16737844120002501</v>
          </cell>
          <cell r="T14">
            <v>0.16737844120002501</v>
          </cell>
        </row>
        <row r="15">
          <cell r="A15" t="str">
            <v>GRNC2600103B</v>
          </cell>
          <cell r="B15" t="str">
            <v>MKP000631004919</v>
          </cell>
          <cell r="C15">
            <v>13</v>
          </cell>
          <cell r="D15" t="str">
            <v>Armário de Cozinha Completa Suspenso 260cm Cinza Nice Madesa 10</v>
          </cell>
          <cell r="E15" t="str">
            <v>NICE</v>
          </cell>
          <cell r="F15" t="str">
            <v>COZINHA</v>
          </cell>
          <cell r="G15" t="str">
            <v/>
          </cell>
          <cell r="H15">
            <v>1909.99</v>
          </cell>
          <cell r="I15">
            <v>1449.99</v>
          </cell>
          <cell r="J15">
            <v>1090.5123000000001</v>
          </cell>
          <cell r="K15">
            <v>145.16</v>
          </cell>
          <cell r="L15">
            <v>1235.6723</v>
          </cell>
          <cell r="M15">
            <v>39.9</v>
          </cell>
          <cell r="N15">
            <v>1489.89</v>
          </cell>
          <cell r="O15" t="str">
            <v>B2W</v>
          </cell>
          <cell r="P15">
            <v>1439.99</v>
          </cell>
          <cell r="Q15">
            <v>0.32964112371772403</v>
          </cell>
          <cell r="R15">
            <v>0.205732296499646</v>
          </cell>
          <cell r="S15">
            <v>0.114899015150707</v>
          </cell>
          <cell r="T15">
            <v>0.23510242003649801</v>
          </cell>
        </row>
        <row r="16">
          <cell r="A16" t="str">
            <v>MDJA0400027GBE</v>
          </cell>
          <cell r="B16" t="str">
            <v>MKP000631003479</v>
          </cell>
          <cell r="C16">
            <v>14</v>
          </cell>
          <cell r="D16" t="str">
            <v>Conjunto Sala de Jantar Madesa Cali Mesa Tampo de Madeira com 4 Cadeiras Rustic/Crema/Bege</v>
          </cell>
          <cell r="E16" t="str">
            <v>CALI</v>
          </cell>
          <cell r="F16" t="str">
            <v>SALA DE JANTAR</v>
          </cell>
          <cell r="G16" t="str">
            <v>4280X</v>
          </cell>
          <cell r="H16">
            <v>1199.99</v>
          </cell>
          <cell r="I16">
            <v>649.99</v>
          </cell>
          <cell r="J16">
            <v>465.81150000000002</v>
          </cell>
          <cell r="K16">
            <v>36.805</v>
          </cell>
          <cell r="L16">
            <v>502.61649999999997</v>
          </cell>
          <cell r="M16">
            <v>19.995000000000001</v>
          </cell>
          <cell r="N16">
            <v>669.98500000000001</v>
          </cell>
          <cell r="O16" t="str">
            <v>COLOMBO</v>
          </cell>
          <cell r="P16">
            <v>599.99</v>
          </cell>
          <cell r="Q16">
            <v>0.39539277153955998</v>
          </cell>
          <cell r="R16">
            <v>0.33299444009498302</v>
          </cell>
          <cell r="S16">
            <v>0.31841263500503297</v>
          </cell>
          <cell r="T16">
            <v>0.31841263500503297</v>
          </cell>
        </row>
        <row r="17">
          <cell r="A17" t="str">
            <v>XAGCEM2930047K</v>
          </cell>
          <cell r="B17" t="str">
            <v>MKP000631003294</v>
          </cell>
          <cell r="C17">
            <v>15</v>
          </cell>
          <cell r="D17" t="str">
            <v>Armário de Cozinha Completa de Canto 293cm Rustic/Preto Emilly Play Madesa XA</v>
          </cell>
          <cell r="E17" t="str">
            <v>PLAY/EMILLY</v>
          </cell>
          <cell r="F17" t="str">
            <v>COZINHA</v>
          </cell>
          <cell r="G17" t="str">
            <v/>
          </cell>
          <cell r="H17">
            <v>1989.99</v>
          </cell>
          <cell r="I17">
            <v>1444.43</v>
          </cell>
          <cell r="J17">
            <v>1058.5971</v>
          </cell>
          <cell r="K17">
            <v>163.86</v>
          </cell>
          <cell r="L17">
            <v>1222.4571000000001</v>
          </cell>
          <cell r="M17">
            <v>39.9</v>
          </cell>
          <cell r="N17">
            <v>1484.33</v>
          </cell>
          <cell r="O17" t="str">
            <v>WEB (VIA)</v>
          </cell>
          <cell r="P17">
            <v>1444.43</v>
          </cell>
          <cell r="Q17">
            <v>0.36447568201348701</v>
          </cell>
          <cell r="R17">
            <v>0.21421847850529899</v>
          </cell>
          <cell r="S17">
            <v>0.129107163015106</v>
          </cell>
          <cell r="T17">
            <v>0.18251459080920801</v>
          </cell>
        </row>
        <row r="18">
          <cell r="A18" t="str">
            <v>GRSM170001A9</v>
          </cell>
          <cell r="B18" t="str">
            <v>MKP000631001754</v>
          </cell>
          <cell r="C18">
            <v>16</v>
          </cell>
          <cell r="D18" t="str">
            <v>Armário de Cozinha Compacta 100% MDF 170 cm Branco/Rustic/Crema Smart Madesa 01</v>
          </cell>
          <cell r="E18" t="str">
            <v>SMART</v>
          </cell>
          <cell r="F18" t="str">
            <v>COZINHA</v>
          </cell>
          <cell r="G18" t="str">
            <v/>
          </cell>
          <cell r="H18">
            <v>1919.99</v>
          </cell>
          <cell r="I18">
            <v>1269.99</v>
          </cell>
          <cell r="J18">
            <v>969.92560000000003</v>
          </cell>
          <cell r="K18">
            <v>166.05</v>
          </cell>
          <cell r="L18">
            <v>1135.9756</v>
          </cell>
          <cell r="M18">
            <v>39.9</v>
          </cell>
          <cell r="N18">
            <v>1309.8900000000001</v>
          </cell>
          <cell r="O18" t="str">
            <v/>
          </cell>
          <cell r="P18">
            <v>0</v>
          </cell>
          <cell r="Q18">
            <v>0.30936847114871502</v>
          </cell>
          <cell r="R18">
            <v>0.15309695032182</v>
          </cell>
          <cell r="S18">
            <v>0.19499542604459699</v>
          </cell>
          <cell r="T18">
            <v>0.19499542604459699</v>
          </cell>
        </row>
        <row r="19">
          <cell r="A19" t="str">
            <v>G24123F9AG</v>
          </cell>
          <cell r="B19" t="str">
            <v>MKP000631002583</v>
          </cell>
          <cell r="C19">
            <v>17</v>
          </cell>
          <cell r="D19" t="str">
            <v>Balcão Gabinete de Pia Madesa Agata 1 Porta e 2 Gavetas (Sem Tampo e Pia) Rustic/Cinza</v>
          </cell>
          <cell r="E19" t="str">
            <v>ÁGATA</v>
          </cell>
          <cell r="F19" t="str">
            <v>MODULAÇÃO</v>
          </cell>
          <cell r="G19" t="str">
            <v/>
          </cell>
          <cell r="H19">
            <v>1059.99</v>
          </cell>
          <cell r="I19">
            <v>579.99</v>
          </cell>
          <cell r="J19">
            <v>425.36160000000001</v>
          </cell>
          <cell r="K19">
            <v>63.034999999999997</v>
          </cell>
          <cell r="L19">
            <v>488.39659999999998</v>
          </cell>
          <cell r="M19">
            <v>14.95</v>
          </cell>
          <cell r="N19">
            <v>594.94000000000005</v>
          </cell>
          <cell r="O19" t="str">
            <v/>
          </cell>
          <cell r="P19">
            <v>0</v>
          </cell>
          <cell r="Q19">
            <v>0.36352223613979201</v>
          </cell>
          <cell r="R19">
            <v>0.21814934829603599</v>
          </cell>
          <cell r="S19">
            <v>0.26678719534807599</v>
          </cell>
          <cell r="T19">
            <v>0.26678719534807599</v>
          </cell>
        </row>
        <row r="20">
          <cell r="A20" t="str">
            <v>044795ZXTPER</v>
          </cell>
          <cell r="B20" t="str">
            <v>MKP000631000041</v>
          </cell>
          <cell r="C20">
            <v>18</v>
          </cell>
          <cell r="D20" t="str">
            <v>Conjunto Sala de Jantar Madesa Clarice Mesa Tampo de Madeira com 8 Cadeiras Rustic/Sintético Bege</v>
          </cell>
          <cell r="E20" t="str">
            <v>CLARICE</v>
          </cell>
          <cell r="F20" t="str">
            <v>SALA DE JANTAR</v>
          </cell>
          <cell r="G20" t="str">
            <v>4290X</v>
          </cell>
          <cell r="H20">
            <v>1199.99</v>
          </cell>
          <cell r="I20">
            <v>1099.99</v>
          </cell>
          <cell r="J20">
            <v>868.45749999999998</v>
          </cell>
          <cell r="K20">
            <v>169.96</v>
          </cell>
          <cell r="L20">
            <v>1038.4175</v>
          </cell>
          <cell r="M20">
            <v>79.989999999999995</v>
          </cell>
          <cell r="N20">
            <v>1179.98</v>
          </cell>
          <cell r="O20" t="str">
            <v/>
          </cell>
          <cell r="P20">
            <v>0</v>
          </cell>
          <cell r="Q20">
            <v>0.26660199261334</v>
          </cell>
          <cell r="R20">
            <v>0.13632522564382801</v>
          </cell>
          <cell r="S20">
            <v>9.0820618310864604E-2</v>
          </cell>
          <cell r="T20">
            <v>9.0820618310864604E-2</v>
          </cell>
        </row>
        <row r="21">
          <cell r="A21" t="str">
            <v>MDJA0401817KOXF</v>
          </cell>
          <cell r="B21" t="str">
            <v>MKP000631006017</v>
          </cell>
          <cell r="C21">
            <v>19</v>
          </cell>
          <cell r="D21" t="str">
            <v>Conjunto Sala de Jantar Mesa Tampo de Vidro 4 Cadeiras Rustic/Preto/Oxford Anaju Madesa</v>
          </cell>
          <cell r="E21" t="str">
            <v>ANAJU</v>
          </cell>
          <cell r="F21" t="str">
            <v>SALA DE JANTAR</v>
          </cell>
          <cell r="G21">
            <v>4256</v>
          </cell>
          <cell r="H21">
            <v>1199.99</v>
          </cell>
          <cell r="I21">
            <v>1099.99</v>
          </cell>
          <cell r="J21">
            <v>852.64160000000004</v>
          </cell>
          <cell r="K21">
            <v>75.31</v>
          </cell>
          <cell r="L21">
            <v>927.95159999999998</v>
          </cell>
          <cell r="M21">
            <v>29.99</v>
          </cell>
          <cell r="N21">
            <v>1129.98</v>
          </cell>
          <cell r="O21" t="str">
            <v>MAGALU</v>
          </cell>
          <cell r="P21">
            <v>1052.6199999999999</v>
          </cell>
          <cell r="Q21">
            <v>0.29009656577863402</v>
          </cell>
          <cell r="R21">
            <v>0.21771437217199699</v>
          </cell>
          <cell r="S21">
            <v>0.24048612635521099</v>
          </cell>
          <cell r="T21">
            <v>0.24048612635521099</v>
          </cell>
        </row>
        <row r="22">
          <cell r="A22" t="str">
            <v>42917G4XTPER</v>
          </cell>
          <cell r="B22" t="str">
            <v>MKP000631000090</v>
          </cell>
          <cell r="C22">
            <v>20</v>
          </cell>
          <cell r="D22" t="str">
            <v>Kit 4 Cadeiras 4291 Madesa Rustic/Crema/Sintético Bege</v>
          </cell>
          <cell r="E22">
            <v>4291</v>
          </cell>
          <cell r="F22" t="str">
            <v>SALA DE JANTAR</v>
          </cell>
          <cell r="G22" t="str">
            <v>4291X</v>
          </cell>
          <cell r="H22">
            <v>529.99</v>
          </cell>
          <cell r="I22">
            <v>379.99</v>
          </cell>
          <cell r="J22">
            <v>257.37079999999997</v>
          </cell>
          <cell r="K22">
            <v>102.62666666666701</v>
          </cell>
          <cell r="L22">
            <v>359.99746666666698</v>
          </cell>
          <cell r="M22">
            <v>46.566666666666698</v>
          </cell>
          <cell r="N22">
            <v>426.55666666666701</v>
          </cell>
          <cell r="O22" t="str">
            <v>WEB (MELI)</v>
          </cell>
          <cell r="P22">
            <v>379.99</v>
          </cell>
          <cell r="Q22">
            <v>0.47643011561529103</v>
          </cell>
          <cell r="R22">
            <v>0.18488796773014299</v>
          </cell>
          <cell r="S22">
            <v>-1.07947012150796E-2</v>
          </cell>
          <cell r="T22">
            <v>7.7187380941559303E-2</v>
          </cell>
        </row>
        <row r="23">
          <cell r="A23" t="str">
            <v>MDJA0401037GSIM</v>
          </cell>
          <cell r="B23" t="str">
            <v>MKP000631003189</v>
          </cell>
          <cell r="C23">
            <v>21</v>
          </cell>
          <cell r="D23" t="str">
            <v>Conjunto Sala de Jantar Madesa Evelin Mesa Tampo de Vidro com 4 Cadeiras Rustic/Crema/Imperial</v>
          </cell>
          <cell r="E23" t="str">
            <v>EVELIN</v>
          </cell>
          <cell r="F23" t="str">
            <v>SALA DE JANTAR</v>
          </cell>
          <cell r="G23">
            <v>4255</v>
          </cell>
          <cell r="H23">
            <v>1939.99</v>
          </cell>
          <cell r="I23">
            <v>999.99</v>
          </cell>
          <cell r="J23">
            <v>776.298</v>
          </cell>
          <cell r="K23">
            <v>143.38</v>
          </cell>
          <cell r="L23">
            <v>919.678</v>
          </cell>
          <cell r="M23">
            <v>69.900000000000006</v>
          </cell>
          <cell r="N23">
            <v>1069.8900000000001</v>
          </cell>
          <cell r="O23" t="str">
            <v>VIA</v>
          </cell>
          <cell r="P23">
            <v>929.99</v>
          </cell>
          <cell r="Q23">
            <v>0.28815223020025799</v>
          </cell>
          <cell r="R23">
            <v>0.16333107892110099</v>
          </cell>
          <cell r="S23">
            <v>0.13006171827601201</v>
          </cell>
          <cell r="T23">
            <v>0.13006171827601201</v>
          </cell>
        </row>
        <row r="24">
          <cell r="A24" t="str">
            <v>MDJA0400885ZFBM</v>
          </cell>
          <cell r="B24" t="str">
            <v>MKP000631002565</v>
          </cell>
          <cell r="C24">
            <v>22</v>
          </cell>
          <cell r="D24" t="str">
            <v>Conjunto Sala de Jantar Madesa Luana Mesa Tampo de Madeira com 4 Cadeiras Rustic/Bege Marrom</v>
          </cell>
          <cell r="E24" t="str">
            <v>LUANA</v>
          </cell>
          <cell r="F24" t="str">
            <v>SALA DE JANTAR</v>
          </cell>
          <cell r="G24" t="str">
            <v>4290X</v>
          </cell>
          <cell r="H24">
            <v>1259.99</v>
          </cell>
          <cell r="I24">
            <v>579.99</v>
          </cell>
          <cell r="J24">
            <v>396.20409999999998</v>
          </cell>
          <cell r="K24">
            <v>69.06</v>
          </cell>
          <cell r="L24">
            <v>465.26409999999998</v>
          </cell>
          <cell r="M24">
            <v>29.945</v>
          </cell>
          <cell r="N24">
            <v>609.93499999999995</v>
          </cell>
          <cell r="O24" t="str">
            <v>WEB (MADEIRA)</v>
          </cell>
          <cell r="P24">
            <v>579.99</v>
          </cell>
          <cell r="Q24">
            <v>0.46386672929432099</v>
          </cell>
          <cell r="R24">
            <v>0.31094361245580698</v>
          </cell>
          <cell r="S24">
            <v>8.1982231654764898E-2</v>
          </cell>
          <cell r="T24">
            <v>0.143863140096883</v>
          </cell>
        </row>
        <row r="25">
          <cell r="A25" t="str">
            <v>42905Z6XTPER</v>
          </cell>
          <cell r="B25" t="str">
            <v>MKP000631000092</v>
          </cell>
          <cell r="C25">
            <v>23</v>
          </cell>
          <cell r="D25" t="str">
            <v>Kit 6 Cadeiras 4290 Madesa Rustic/Sintético Bege</v>
          </cell>
          <cell r="E25">
            <v>4290</v>
          </cell>
          <cell r="F25" t="str">
            <v>SALA DE JANTAR</v>
          </cell>
          <cell r="G25" t="str">
            <v>4290X</v>
          </cell>
          <cell r="H25">
            <v>869.99</v>
          </cell>
          <cell r="I25">
            <v>555.54</v>
          </cell>
          <cell r="J25">
            <v>379.90859999999998</v>
          </cell>
          <cell r="K25">
            <v>116.735</v>
          </cell>
          <cell r="L25">
            <v>496.64359999999999</v>
          </cell>
          <cell r="M25">
            <v>69.900000000000006</v>
          </cell>
          <cell r="N25">
            <v>625.44000000000005</v>
          </cell>
          <cell r="O25" t="str">
            <v>WEB (MELI)</v>
          </cell>
          <cell r="P25">
            <v>555.54</v>
          </cell>
          <cell r="Q25">
            <v>0.46229908983371298</v>
          </cell>
          <cell r="R25">
            <v>0.25933365495900901</v>
          </cell>
          <cell r="S25">
            <v>2.7038294794548001E-3</v>
          </cell>
          <cell r="T25">
            <v>0.103857110194039</v>
          </cell>
        </row>
        <row r="26">
          <cell r="A26" t="str">
            <v>1097091E</v>
          </cell>
          <cell r="B26" t="str">
            <v>MKP000631002361</v>
          </cell>
          <cell r="C26">
            <v>24</v>
          </cell>
          <cell r="D26" t="str">
            <v>Guarda-Roupa Solteiro Madesa Tokio 2 Portas de Correr com Espelho 2 Gavetas Branco</v>
          </cell>
          <cell r="E26" t="str">
            <v>TOKIO</v>
          </cell>
          <cell r="F26" t="str">
            <v>QUARTO</v>
          </cell>
          <cell r="G26" t="str">
            <v/>
          </cell>
          <cell r="H26">
            <v>1159.99</v>
          </cell>
          <cell r="I26">
            <v>1069.99</v>
          </cell>
          <cell r="J26">
            <v>750.39959999999996</v>
          </cell>
          <cell r="K26">
            <v>131.28</v>
          </cell>
          <cell r="L26">
            <v>881.67960000000005</v>
          </cell>
          <cell r="M26">
            <v>69.989999999999995</v>
          </cell>
          <cell r="N26">
            <v>1139.98</v>
          </cell>
          <cell r="O26" t="str">
            <v>WEB (MADEIRA)</v>
          </cell>
          <cell r="P26">
            <v>1069.99</v>
          </cell>
          <cell r="Q26">
            <v>0.42589361721408198</v>
          </cell>
          <cell r="R26">
            <v>0.29296402003630301</v>
          </cell>
          <cell r="S26">
            <v>9.8664375552173195E-2</v>
          </cell>
          <cell r="T26">
            <v>0.14916629850215199</v>
          </cell>
        </row>
        <row r="27">
          <cell r="A27" t="str">
            <v>42805Z4XPT</v>
          </cell>
          <cell r="B27" t="str">
            <v>MKP000631001543</v>
          </cell>
          <cell r="C27">
            <v>25</v>
          </cell>
          <cell r="D27" t="str">
            <v>Kit 4 Cadeiras 4280 Madesa Rustic/Preto</v>
          </cell>
          <cell r="E27">
            <v>4280</v>
          </cell>
          <cell r="F27" t="str">
            <v>SALA DE JANTAR</v>
          </cell>
          <cell r="G27" t="str">
            <v>4280X</v>
          </cell>
          <cell r="H27">
            <v>709.99</v>
          </cell>
          <cell r="I27">
            <v>429.99</v>
          </cell>
          <cell r="J27">
            <v>282.74599999999998</v>
          </cell>
          <cell r="K27">
            <v>104.72499999999999</v>
          </cell>
          <cell r="L27">
            <v>387.471</v>
          </cell>
          <cell r="M27">
            <v>59.9</v>
          </cell>
          <cell r="N27">
            <v>489.89</v>
          </cell>
          <cell r="O27" t="str">
            <v>WEB (MELI)</v>
          </cell>
          <cell r="P27">
            <v>429.99</v>
          </cell>
          <cell r="Q27">
            <v>0.52076421947613805</v>
          </cell>
          <cell r="R27">
            <v>0.264326878656725</v>
          </cell>
          <cell r="S27">
            <v>0.118357820304683</v>
          </cell>
          <cell r="T27">
            <v>0.15134194994368899</v>
          </cell>
        </row>
        <row r="28">
          <cell r="A28" t="str">
            <v>6912093</v>
          </cell>
          <cell r="B28" t="str">
            <v>MKP000631003457</v>
          </cell>
          <cell r="C28">
            <v>26</v>
          </cell>
          <cell r="D28" t="str">
            <v>Escrivaninha 1 Porta e 3 Gavetas Madesa Chicago Branco</v>
          </cell>
          <cell r="E28" t="str">
            <v>CHICAGO</v>
          </cell>
          <cell r="F28" t="str">
            <v>ESCRITÓRIO</v>
          </cell>
          <cell r="G28" t="str">
            <v/>
          </cell>
          <cell r="H28">
            <v>1389.99</v>
          </cell>
          <cell r="I28">
            <v>777.76</v>
          </cell>
          <cell r="J28">
            <v>614.85810000000004</v>
          </cell>
          <cell r="K28">
            <v>126.37</v>
          </cell>
          <cell r="L28">
            <v>741.22810000000004</v>
          </cell>
          <cell r="M28">
            <v>69.989999999999995</v>
          </cell>
          <cell r="N28">
            <v>847.75</v>
          </cell>
          <cell r="O28" t="str">
            <v>LEROY</v>
          </cell>
          <cell r="P28">
            <v>776.99</v>
          </cell>
          <cell r="Q28">
            <v>0.26494226879340099</v>
          </cell>
          <cell r="R28">
            <v>0.14371001315249601</v>
          </cell>
          <cell r="S28">
            <v>0.120095022638604</v>
          </cell>
          <cell r="T28">
            <v>0.120095022638604</v>
          </cell>
        </row>
        <row r="29">
          <cell r="A29" t="str">
            <v>109709</v>
          </cell>
          <cell r="B29" t="str">
            <v>MKP000631002358</v>
          </cell>
          <cell r="C29">
            <v>27</v>
          </cell>
          <cell r="D29" t="str">
            <v>Guarda-Roupa Solteiro Madesa Tokio 2 Portas de Correr 2 Gavetas Branco</v>
          </cell>
          <cell r="E29" t="str">
            <v>TOKIO</v>
          </cell>
          <cell r="F29" t="str">
            <v>QUARTO</v>
          </cell>
          <cell r="G29" t="str">
            <v/>
          </cell>
          <cell r="H29">
            <v>1359.99</v>
          </cell>
          <cell r="I29">
            <v>777.76</v>
          </cell>
          <cell r="J29">
            <v>630.83749999999998</v>
          </cell>
          <cell r="K29">
            <v>164.3</v>
          </cell>
          <cell r="L29">
            <v>795.13750000000005</v>
          </cell>
          <cell r="M29">
            <v>69.989999999999995</v>
          </cell>
          <cell r="N29">
            <v>847.75</v>
          </cell>
          <cell r="O29" t="str">
            <v>LEROY</v>
          </cell>
          <cell r="P29">
            <v>776.99</v>
          </cell>
          <cell r="Q29">
            <v>0.23290070739294999</v>
          </cell>
          <cell r="R29">
            <v>6.6167801166464799E-2</v>
          </cell>
          <cell r="S29">
            <v>1.5632148352279E-2</v>
          </cell>
          <cell r="T29">
            <v>5.8639688394481797E-2</v>
          </cell>
        </row>
        <row r="30">
          <cell r="A30" t="str">
            <v>10945Z1E2G</v>
          </cell>
          <cell r="B30" t="str">
            <v>MKP000631000784</v>
          </cell>
          <cell r="C30">
            <v>28</v>
          </cell>
          <cell r="D30" t="str">
            <v>Guarda-Roupa Solteiro Madesa Dallas 2 Portas de Correr com Espelho 2 Gavetas Rustic</v>
          </cell>
          <cell r="E30" t="str">
            <v>DALLAS</v>
          </cell>
          <cell r="F30" t="str">
            <v>QUARTO</v>
          </cell>
          <cell r="G30" t="str">
            <v/>
          </cell>
          <cell r="H30">
            <v>969.99</v>
          </cell>
          <cell r="I30">
            <v>839.92</v>
          </cell>
          <cell r="J30">
            <v>693.77409999999998</v>
          </cell>
          <cell r="K30">
            <v>91.41</v>
          </cell>
          <cell r="L30">
            <v>785.18409999999994</v>
          </cell>
          <cell r="M30">
            <v>49.99</v>
          </cell>
          <cell r="N30">
            <v>889.91</v>
          </cell>
          <cell r="O30" t="str">
            <v/>
          </cell>
          <cell r="P30">
            <v>0</v>
          </cell>
          <cell r="Q30">
            <v>0.21065343892197699</v>
          </cell>
          <cell r="R30">
            <v>0.13337750980948301</v>
          </cell>
          <cell r="S30">
            <v>-2.25802464337382E-2</v>
          </cell>
          <cell r="T30">
            <v>0.123196188915349</v>
          </cell>
        </row>
        <row r="31">
          <cell r="A31" t="str">
            <v>MDJA060017D8PT</v>
          </cell>
          <cell r="B31" t="str">
            <v>MKP000631003481</v>
          </cell>
          <cell r="C31">
            <v>29</v>
          </cell>
          <cell r="D31" t="str">
            <v>Conjunto Sala de Jantar Madesa Medelin Mesa Tampo de Madeira com 6 Cadeiras Preto/Rustic/Sintético Preto</v>
          </cell>
          <cell r="E31" t="str">
            <v>MEDELIN</v>
          </cell>
          <cell r="F31" t="str">
            <v>SALA DE JANTAR</v>
          </cell>
          <cell r="G31" t="str">
            <v>4280X</v>
          </cell>
          <cell r="H31">
            <v>1269.99</v>
          </cell>
          <cell r="I31">
            <v>819.99</v>
          </cell>
          <cell r="J31">
            <v>582.85569999999996</v>
          </cell>
          <cell r="K31">
            <v>182.77</v>
          </cell>
          <cell r="L31">
            <v>765.62570000000005</v>
          </cell>
          <cell r="M31">
            <v>69.900000000000006</v>
          </cell>
          <cell r="N31">
            <v>889.89</v>
          </cell>
          <cell r="O31" t="str">
            <v>WEB (VIA)</v>
          </cell>
          <cell r="P31">
            <v>819.99</v>
          </cell>
          <cell r="Q31">
            <v>0.40684907087637601</v>
          </cell>
          <cell r="R31">
            <v>0.16230424344428299</v>
          </cell>
          <cell r="S31">
            <v>3.0037696971125798E-3</v>
          </cell>
          <cell r="T31">
            <v>4.4926373358492602E-2</v>
          </cell>
        </row>
        <row r="32">
          <cell r="A32" t="str">
            <v>MDJA0401897GBE</v>
          </cell>
          <cell r="B32" t="str">
            <v>MKP000631006093</v>
          </cell>
          <cell r="C32">
            <v>30</v>
          </cell>
          <cell r="D32" t="str">
            <v>Conjunto Sala de Jantar Mesa Tampo de Vidro 4 Cadeiras Rustic/Crema/Bege Suzy Madesa</v>
          </cell>
          <cell r="E32" t="str">
            <v>SUZY</v>
          </cell>
          <cell r="F32" t="str">
            <v>SALA DE JANTAR</v>
          </cell>
          <cell r="G32" t="str">
            <v>4291X</v>
          </cell>
          <cell r="H32">
            <v>869.99</v>
          </cell>
          <cell r="I32">
            <v>769.99</v>
          </cell>
          <cell r="J32">
            <v>617.94280000000003</v>
          </cell>
          <cell r="K32">
            <v>60.24</v>
          </cell>
          <cell r="L32">
            <v>678.18280000000004</v>
          </cell>
          <cell r="M32">
            <v>19.989999999999998</v>
          </cell>
          <cell r="N32">
            <v>789.98</v>
          </cell>
          <cell r="O32" t="str">
            <v>CAMICADO</v>
          </cell>
          <cell r="P32">
            <v>769.99</v>
          </cell>
          <cell r="Q32">
            <v>0.24605384187662699</v>
          </cell>
          <cell r="R32">
            <v>0.164848179576362</v>
          </cell>
          <cell r="S32">
            <v>0.15530398864907</v>
          </cell>
          <cell r="T32">
            <v>0.15530398864907</v>
          </cell>
        </row>
        <row r="33">
          <cell r="A33" t="str">
            <v>MDJA0600177KPT</v>
          </cell>
          <cell r="B33" t="str">
            <v>MKP000631003483</v>
          </cell>
          <cell r="C33">
            <v>31</v>
          </cell>
          <cell r="D33" t="str">
            <v>Conjunto Sala de Jantar Madesa Medelin Mesa Tampo de Madeira com 6 Cadeiras Rustic/Preto/Sintético Preto</v>
          </cell>
          <cell r="E33" t="str">
            <v>MEDELIN</v>
          </cell>
          <cell r="F33" t="str">
            <v>SALA DE JANTAR</v>
          </cell>
          <cell r="G33" t="str">
            <v>4280X</v>
          </cell>
          <cell r="H33">
            <v>1269.99</v>
          </cell>
          <cell r="I33">
            <v>739.99</v>
          </cell>
          <cell r="J33">
            <v>582.85569999999996</v>
          </cell>
          <cell r="K33">
            <v>105.81</v>
          </cell>
          <cell r="L33">
            <v>688.66570000000002</v>
          </cell>
          <cell r="M33">
            <v>49.99</v>
          </cell>
          <cell r="N33">
            <v>789.98</v>
          </cell>
          <cell r="O33" t="str">
            <v>MELI</v>
          </cell>
          <cell r="P33">
            <v>799.99</v>
          </cell>
          <cell r="Q33">
            <v>0.26959382914158703</v>
          </cell>
          <cell r="R33">
            <v>0.14711680863443599</v>
          </cell>
          <cell r="S33">
            <v>0.13362392150531899</v>
          </cell>
          <cell r="T33">
            <v>0.13362392150531899</v>
          </cell>
        </row>
        <row r="34">
          <cell r="A34" t="str">
            <v>044825ZXTFLH</v>
          </cell>
          <cell r="B34" t="str">
            <v>MKP000631000580</v>
          </cell>
          <cell r="C34">
            <v>32</v>
          </cell>
          <cell r="D34" t="str">
            <v>Conjunto Sala de Jantar Madesa Maris Mesa Tampo de Madeira com 6 Cadeiras Rustic/Floral Hibiscos</v>
          </cell>
          <cell r="E34" t="str">
            <v>MARIS</v>
          </cell>
          <cell r="F34" t="str">
            <v>SALA DE JANTAR</v>
          </cell>
          <cell r="G34" t="str">
            <v>4290X</v>
          </cell>
          <cell r="H34">
            <v>1459.99</v>
          </cell>
          <cell r="I34">
            <v>789.99</v>
          </cell>
          <cell r="J34">
            <v>562.97410000000002</v>
          </cell>
          <cell r="K34">
            <v>138.1</v>
          </cell>
          <cell r="L34">
            <v>701.07410000000004</v>
          </cell>
          <cell r="M34">
            <v>69.900000000000006</v>
          </cell>
          <cell r="N34">
            <v>859.89</v>
          </cell>
          <cell r="O34" t="str">
            <v>WEB (VIA)</v>
          </cell>
          <cell r="P34">
            <v>789.99</v>
          </cell>
          <cell r="Q34">
            <v>0.40324395029895699</v>
          </cell>
          <cell r="R34">
            <v>0.22653225957142001</v>
          </cell>
          <cell r="S34">
            <v>0.103797707527302</v>
          </cell>
          <cell r="T34">
            <v>0.15478360747201</v>
          </cell>
        </row>
        <row r="35">
          <cell r="A35" t="str">
            <v>MDJA0200015ZPT</v>
          </cell>
          <cell r="B35" t="str">
            <v>MKP000631000727</v>
          </cell>
          <cell r="C35">
            <v>33</v>
          </cell>
          <cell r="D35" t="str">
            <v>Conjunto Sala de Jantar Madesa Gabi Mesa Tampo de Madeira com 2 Cadeiras Rustic/Preto/Sintético Preto</v>
          </cell>
          <cell r="E35" t="str">
            <v>GABI</v>
          </cell>
          <cell r="F35" t="str">
            <v>SALA DE JANTAR</v>
          </cell>
          <cell r="G35" t="str">
            <v>4280X</v>
          </cell>
          <cell r="H35">
            <v>669.99</v>
          </cell>
          <cell r="I35">
            <v>419.99</v>
          </cell>
          <cell r="J35">
            <v>281.14370000000002</v>
          </cell>
          <cell r="K35">
            <v>63.65</v>
          </cell>
          <cell r="L35">
            <v>344.7937</v>
          </cell>
          <cell r="M35">
            <v>19.899999999999999</v>
          </cell>
          <cell r="N35">
            <v>439.89</v>
          </cell>
          <cell r="O35" t="str">
            <v>WEB (VIA)</v>
          </cell>
          <cell r="P35">
            <v>419.99</v>
          </cell>
          <cell r="Q35">
            <v>0.493862391367831</v>
          </cell>
          <cell r="R35">
            <v>0.27580637349232301</v>
          </cell>
          <cell r="S35">
            <v>0.11027839567044</v>
          </cell>
          <cell r="T35">
            <v>0.21975993575125899</v>
          </cell>
        </row>
        <row r="36">
          <cell r="A36" t="str">
            <v>1094091ECP</v>
          </cell>
          <cell r="B36" t="str">
            <v>MKP000631000964</v>
          </cell>
          <cell r="C36">
            <v>34</v>
          </cell>
          <cell r="D36" t="str">
            <v>Guarda-Roupa Solteiro Madesa Denver 2 Portas de Correr com Espelho com Pés Branco</v>
          </cell>
          <cell r="E36" t="str">
            <v>DENVER</v>
          </cell>
          <cell r="F36" t="str">
            <v>QUARTO</v>
          </cell>
          <cell r="G36" t="str">
            <v/>
          </cell>
          <cell r="H36">
            <v>1069.99</v>
          </cell>
          <cell r="I36">
            <v>888.88</v>
          </cell>
          <cell r="J36">
            <v>641.62850000000003</v>
          </cell>
          <cell r="K36">
            <v>86.9</v>
          </cell>
          <cell r="L36">
            <v>728.52850000000001</v>
          </cell>
          <cell r="M36">
            <v>29.99</v>
          </cell>
          <cell r="N36">
            <v>918.87</v>
          </cell>
          <cell r="O36" t="str">
            <v>WEB (VIA)</v>
          </cell>
          <cell r="P36">
            <v>888.88</v>
          </cell>
          <cell r="Q36">
            <v>0.38534993380125698</v>
          </cell>
          <cell r="R36">
            <v>0.26126843356162499</v>
          </cell>
          <cell r="S36">
            <v>1.05874181426115E-2</v>
          </cell>
          <cell r="T36">
            <v>0.16532982719999301</v>
          </cell>
        </row>
        <row r="37">
          <cell r="A37" t="str">
            <v>MDJA0400027KPT</v>
          </cell>
          <cell r="B37" t="str">
            <v>MKP000631003480</v>
          </cell>
          <cell r="C37">
            <v>35</v>
          </cell>
          <cell r="D37" t="str">
            <v>Conjunto Sala de Jantar Madesa Cali Mesa Tampo de Madeira com 4 Cadeiras Rustic/Preto/Sintético Preto</v>
          </cell>
          <cell r="E37" t="str">
            <v>CALI</v>
          </cell>
          <cell r="F37" t="str">
            <v>SALA DE JANTAR</v>
          </cell>
          <cell r="G37" t="str">
            <v>4280X</v>
          </cell>
          <cell r="H37">
            <v>749.99</v>
          </cell>
          <cell r="I37">
            <v>629.91999999999996</v>
          </cell>
          <cell r="J37">
            <v>465.81150000000002</v>
          </cell>
          <cell r="K37">
            <v>123.6</v>
          </cell>
          <cell r="L37">
            <v>589.41150000000005</v>
          </cell>
          <cell r="M37">
            <v>39.99</v>
          </cell>
          <cell r="N37">
            <v>669.91</v>
          </cell>
          <cell r="O37" t="str">
            <v/>
          </cell>
          <cell r="P37">
            <v>0</v>
          </cell>
          <cell r="Q37">
            <v>0.35230667340759098</v>
          </cell>
          <cell r="R37">
            <v>0.136574362732997</v>
          </cell>
          <cell r="S37">
            <v>0.12595498432275201</v>
          </cell>
          <cell r="T37">
            <v>0.17905761631865999</v>
          </cell>
        </row>
        <row r="38">
          <cell r="A38" t="str">
            <v>MDJA0401647KPT</v>
          </cell>
          <cell r="B38" t="str">
            <v>MKP000631005572</v>
          </cell>
          <cell r="C38">
            <v>36</v>
          </cell>
          <cell r="D38" t="str">
            <v>Conjunto Sala de Jantar Mesa Tampo de Vidro 4 Cadeiras Rustic/Preto Perla Madesa</v>
          </cell>
          <cell r="E38" t="str">
            <v>PERLA</v>
          </cell>
          <cell r="F38" t="str">
            <v>SALA DE JANTAR</v>
          </cell>
          <cell r="G38" t="str">
            <v>4290X</v>
          </cell>
          <cell r="H38">
            <v>759.99</v>
          </cell>
          <cell r="I38">
            <v>659.99</v>
          </cell>
          <cell r="J38">
            <v>512.16920000000005</v>
          </cell>
          <cell r="K38">
            <v>0</v>
          </cell>
          <cell r="L38">
            <v>512.16920000000005</v>
          </cell>
          <cell r="M38">
            <v>0</v>
          </cell>
          <cell r="N38">
            <v>659.99</v>
          </cell>
          <cell r="O38" t="str">
            <v/>
          </cell>
          <cell r="P38">
            <v>0</v>
          </cell>
          <cell r="Q38">
            <v>0.28861712106077397</v>
          </cell>
          <cell r="R38">
            <v>0.28861712106077397</v>
          </cell>
          <cell r="S38">
            <v>0.213719266599389</v>
          </cell>
          <cell r="T38" t="e">
            <v>#VALUE!</v>
          </cell>
        </row>
        <row r="39">
          <cell r="A39" t="str">
            <v>60093Z1</v>
          </cell>
          <cell r="B39" t="str">
            <v>MKP000631002520</v>
          </cell>
          <cell r="C39">
            <v>37</v>
          </cell>
          <cell r="D39" t="str">
            <v>Rack para TV até 55 Polegadas Madesa Copenhagen Cinza</v>
          </cell>
          <cell r="E39" t="str">
            <v>COPENHAGEN</v>
          </cell>
          <cell r="F39" t="str">
            <v>SALA DE ESTAR</v>
          </cell>
          <cell r="G39" t="str">
            <v/>
          </cell>
          <cell r="H39">
            <v>499.99</v>
          </cell>
          <cell r="I39">
            <v>299.99</v>
          </cell>
          <cell r="J39">
            <v>209.66149999999999</v>
          </cell>
          <cell r="K39">
            <v>56.585000000000001</v>
          </cell>
          <cell r="L39">
            <v>266.24650000000003</v>
          </cell>
          <cell r="M39">
            <v>39.99</v>
          </cell>
          <cell r="N39">
            <v>339.98</v>
          </cell>
          <cell r="O39" t="str">
            <v>MELI</v>
          </cell>
          <cell r="P39" t="str">
            <v/>
          </cell>
          <cell r="Q39">
            <v>0.43083017149071201</v>
          </cell>
          <cell r="R39">
            <v>0.27693697381937399</v>
          </cell>
          <cell r="S39">
            <v>0.109823650070041</v>
          </cell>
          <cell r="T39">
            <v>0.161026784153942</v>
          </cell>
        </row>
        <row r="40">
          <cell r="A40" t="str">
            <v>MDJA0401697GPT</v>
          </cell>
          <cell r="B40" t="str">
            <v>MKP000631005721</v>
          </cell>
          <cell r="C40">
            <v>38</v>
          </cell>
          <cell r="D40" t="str">
            <v>Conjunto Sala de Jantar Mesa Tampo de Madeira 4 Cadeiras Rustic/Crema/Preto Marilyn Madesa</v>
          </cell>
          <cell r="E40" t="str">
            <v>MARILYN</v>
          </cell>
          <cell r="F40" t="str">
            <v>SALA DE JANTAR</v>
          </cell>
          <cell r="G40" t="str">
            <v>4290X</v>
          </cell>
          <cell r="H40">
            <v>699.99</v>
          </cell>
          <cell r="I40">
            <v>599.99</v>
          </cell>
          <cell r="J40">
            <v>465.66980000000001</v>
          </cell>
          <cell r="K40">
            <v>95.34</v>
          </cell>
          <cell r="L40">
            <v>561.00980000000004</v>
          </cell>
          <cell r="M40">
            <v>19.899999999999999</v>
          </cell>
          <cell r="N40">
            <v>619.89</v>
          </cell>
          <cell r="O40" t="str">
            <v/>
          </cell>
          <cell r="P40">
            <v>0</v>
          </cell>
          <cell r="Q40">
            <v>0.28844516006835702</v>
          </cell>
          <cell r="R40">
            <v>0.10495395980605</v>
          </cell>
          <cell r="S40">
            <v>0.138373882244442</v>
          </cell>
          <cell r="T40">
            <v>0.138373882244442</v>
          </cell>
        </row>
        <row r="41">
          <cell r="A41" t="str">
            <v>42905Z6XTFBM</v>
          </cell>
          <cell r="B41" t="str">
            <v>MKP000631003152</v>
          </cell>
          <cell r="C41">
            <v>39</v>
          </cell>
          <cell r="D41" t="str">
            <v>Kit 6 Cadeiras 4290 Madesa Rustic/Bege Marrom</v>
          </cell>
          <cell r="E41">
            <v>4290</v>
          </cell>
          <cell r="F41" t="str">
            <v>SALA DE JANTAR</v>
          </cell>
          <cell r="G41" t="str">
            <v>4290X</v>
          </cell>
          <cell r="H41">
            <v>599.99</v>
          </cell>
          <cell r="I41">
            <v>499.99</v>
          </cell>
          <cell r="J41">
            <v>379.90859999999998</v>
          </cell>
          <cell r="K41">
            <v>80.989999999999995</v>
          </cell>
          <cell r="L41">
            <v>460.89859999999999</v>
          </cell>
          <cell r="M41">
            <v>29.99</v>
          </cell>
          <cell r="N41">
            <v>529.98</v>
          </cell>
          <cell r="O41" t="str">
            <v/>
          </cell>
          <cell r="P41">
            <v>0</v>
          </cell>
          <cell r="Q41">
            <v>0.316079709698596</v>
          </cell>
          <cell r="R41">
            <v>0.14988416107143701</v>
          </cell>
          <cell r="S41">
            <v>0.13905507302693201</v>
          </cell>
          <cell r="T41">
            <v>0.13905507302693201</v>
          </cell>
        </row>
        <row r="42">
          <cell r="A42" t="str">
            <v>G241206E</v>
          </cell>
          <cell r="B42" t="str">
            <v>MKP000631000925</v>
          </cell>
          <cell r="C42">
            <v>40</v>
          </cell>
          <cell r="D42" t="str">
            <v>Balcão Gabinete de Pia Madesa Acordes 100% MDF 120 cm 2 Portas Branco/Rustic</v>
          </cell>
          <cell r="E42" t="str">
            <v>ACORDES</v>
          </cell>
          <cell r="F42" t="str">
            <v>MODULAÇÃO</v>
          </cell>
          <cell r="G42" t="str">
            <v/>
          </cell>
          <cell r="H42">
            <v>959.99</v>
          </cell>
          <cell r="I42">
            <v>519.99</v>
          </cell>
          <cell r="J42">
            <v>396.83629999999999</v>
          </cell>
          <cell r="K42">
            <v>48.19</v>
          </cell>
          <cell r="L42">
            <v>445.02629999999999</v>
          </cell>
          <cell r="M42">
            <v>19.989999999999998</v>
          </cell>
          <cell r="N42">
            <v>539.98</v>
          </cell>
          <cell r="O42" t="str">
            <v/>
          </cell>
          <cell r="P42">
            <v>0</v>
          </cell>
          <cell r="Q42">
            <v>0.31033879713120999</v>
          </cell>
          <cell r="R42">
            <v>0.21336649092424401</v>
          </cell>
          <cell r="S42">
            <v>9.2239121535160298E-2</v>
          </cell>
          <cell r="T42">
            <v>0.20863002755554699</v>
          </cell>
        </row>
        <row r="43">
          <cell r="A43" t="str">
            <v>MDJA0400885ZPER</v>
          </cell>
          <cell r="B43" t="str">
            <v>MKP000631001540</v>
          </cell>
          <cell r="C43">
            <v>41</v>
          </cell>
          <cell r="D43" t="str">
            <v>Conjunto Sala de Jantar Madesa Luana Mesa Tampo de Madeira com 4 Cadeiras Rustic/Sintético Bege</v>
          </cell>
          <cell r="E43" t="str">
            <v>LUANA</v>
          </cell>
          <cell r="F43" t="str">
            <v>SALA DE JANTAR</v>
          </cell>
          <cell r="G43" t="str">
            <v>4290X</v>
          </cell>
          <cell r="H43">
            <v>1259.99</v>
          </cell>
          <cell r="I43">
            <v>549.99</v>
          </cell>
          <cell r="J43">
            <v>396.20409999999998</v>
          </cell>
          <cell r="K43">
            <v>48.19</v>
          </cell>
          <cell r="L43">
            <v>444.39409999999998</v>
          </cell>
          <cell r="M43">
            <v>19.989999999999998</v>
          </cell>
          <cell r="N43">
            <v>569.98</v>
          </cell>
          <cell r="O43" t="str">
            <v>B2W</v>
          </cell>
          <cell r="P43">
            <v>499.99</v>
          </cell>
          <cell r="Q43">
            <v>0.38814817918340599</v>
          </cell>
          <cell r="R43">
            <v>0.282600286547459</v>
          </cell>
          <cell r="S43">
            <v>4.5227118656130799E-2</v>
          </cell>
          <cell r="T43">
            <v>0.20689238962604101</v>
          </cell>
        </row>
        <row r="44">
          <cell r="A44" t="str">
            <v>MDES0200165Z5Z</v>
          </cell>
          <cell r="B44" t="str">
            <v>MKP000631005980</v>
          </cell>
          <cell r="C44">
            <v>42</v>
          </cell>
          <cell r="D44" t="str">
            <v>Rack com Painel para TV até 65 Polegadas com Pés Rustic Texas Madesa</v>
          </cell>
          <cell r="E44" t="str">
            <v>TEXAS</v>
          </cell>
          <cell r="F44" t="str">
            <v>SALA DE ESTAR</v>
          </cell>
          <cell r="G44" t="str">
            <v/>
          </cell>
          <cell r="H44">
            <v>539.99</v>
          </cell>
          <cell r="I44">
            <v>439.99</v>
          </cell>
          <cell r="J44">
            <v>327.30520000000001</v>
          </cell>
          <cell r="K44">
            <v>64.66</v>
          </cell>
          <cell r="L44">
            <v>391.96519999999998</v>
          </cell>
          <cell r="M44">
            <v>39.99</v>
          </cell>
          <cell r="N44">
            <v>479.98</v>
          </cell>
          <cell r="O44" t="str">
            <v/>
          </cell>
          <cell r="P44">
            <v>0</v>
          </cell>
          <cell r="Q44">
            <v>0.34428050638975499</v>
          </cell>
          <cell r="R44">
            <v>0.22454748533798399</v>
          </cell>
          <cell r="S44">
            <v>7.5518478591359406E-2</v>
          </cell>
          <cell r="T44">
            <v>0.16063527891155299</v>
          </cell>
        </row>
        <row r="45">
          <cell r="A45" t="str">
            <v>MDJA0200015ZPER</v>
          </cell>
          <cell r="B45" t="str">
            <v>MKP000631000728</v>
          </cell>
          <cell r="C45">
            <v>43</v>
          </cell>
          <cell r="D45" t="str">
            <v>Conjunto Sala de Jantar Madesa Gabi Mesa Tampo de Madeira com 2 Cadeiras Rustic/Crema/Sintético Bege</v>
          </cell>
          <cell r="E45" t="str">
            <v>GABI</v>
          </cell>
          <cell r="F45" t="str">
            <v>SALA DE JANTAR</v>
          </cell>
          <cell r="G45" t="str">
            <v>4280X</v>
          </cell>
          <cell r="H45">
            <v>919.99</v>
          </cell>
          <cell r="I45">
            <v>419.99</v>
          </cell>
          <cell r="J45">
            <v>281.14370000000002</v>
          </cell>
          <cell r="K45">
            <v>80.010000000000005</v>
          </cell>
          <cell r="L45">
            <v>361.15370000000001</v>
          </cell>
          <cell r="M45">
            <v>29.99</v>
          </cell>
          <cell r="N45">
            <v>449.98</v>
          </cell>
          <cell r="O45" t="str">
            <v>WEB (B2W)</v>
          </cell>
          <cell r="P45">
            <v>419.99</v>
          </cell>
          <cell r="Q45">
            <v>0.493862391367831</v>
          </cell>
          <cell r="R45">
            <v>0.24595151593352099</v>
          </cell>
          <cell r="S45">
            <v>6.8124285447422897E-2</v>
          </cell>
          <cell r="T45">
            <v>0.115796666115388</v>
          </cell>
        </row>
        <row r="46">
          <cell r="A46" t="str">
            <v>G256007KGL</v>
          </cell>
          <cell r="B46" t="str">
            <v>MKP000631001161</v>
          </cell>
          <cell r="C46">
            <v>44</v>
          </cell>
          <cell r="D46" t="str">
            <v>Armário Aéreo Madesa Glamy 60 cm 1 Porta Rustic/Preto</v>
          </cell>
          <cell r="E46" t="str">
            <v>GLAMY</v>
          </cell>
          <cell r="F46" t="str">
            <v>MODULAÇÃO</v>
          </cell>
          <cell r="G46" t="str">
            <v/>
          </cell>
          <cell r="H46">
            <v>459.99</v>
          </cell>
          <cell r="I46">
            <v>329.99</v>
          </cell>
          <cell r="J46">
            <v>194.02</v>
          </cell>
          <cell r="K46">
            <v>76.08</v>
          </cell>
          <cell r="L46">
            <v>270.10000000000002</v>
          </cell>
          <cell r="M46">
            <v>39.99</v>
          </cell>
          <cell r="N46">
            <v>369.98</v>
          </cell>
          <cell r="O46" t="str">
            <v/>
          </cell>
          <cell r="P46">
            <v>0</v>
          </cell>
          <cell r="Q46">
            <v>0.70080404082053405</v>
          </cell>
          <cell r="R46">
            <v>0.36978896704924102</v>
          </cell>
          <cell r="S46">
            <v>0.31300555997417701</v>
          </cell>
          <cell r="T46">
            <v>0.31300555997417701</v>
          </cell>
        </row>
        <row r="47">
          <cell r="A47" t="str">
            <v>G271225ZPR</v>
          </cell>
          <cell r="B47" t="str">
            <v>MKP000631005989</v>
          </cell>
          <cell r="C47">
            <v>45</v>
          </cell>
          <cell r="D47" t="str">
            <v>Bancada Ilha para Cozinha 120 cm Rustic Madesa</v>
          </cell>
          <cell r="E47" t="str">
            <v>PR</v>
          </cell>
          <cell r="F47" t="str">
            <v>COZINHA</v>
          </cell>
          <cell r="G47" t="str">
            <v/>
          </cell>
          <cell r="H47">
            <v>299.99</v>
          </cell>
          <cell r="I47">
            <v>299.99</v>
          </cell>
          <cell r="J47">
            <v>199.48089999999999</v>
          </cell>
          <cell r="K47">
            <v>104.03</v>
          </cell>
          <cell r="L47">
            <v>303.51089999999999</v>
          </cell>
          <cell r="M47">
            <v>59.99</v>
          </cell>
          <cell r="N47">
            <v>359.98</v>
          </cell>
          <cell r="O47" t="str">
            <v/>
          </cell>
          <cell r="P47">
            <v>0</v>
          </cell>
          <cell r="Q47">
            <v>0.50385325111326495</v>
          </cell>
          <cell r="R47">
            <v>0.18605295559401699</v>
          </cell>
          <cell r="S47">
            <v>0.131562785336267</v>
          </cell>
          <cell r="T47">
            <v>0.134114685150067</v>
          </cell>
        </row>
        <row r="48">
          <cell r="A48" t="str">
            <v>69978N</v>
          </cell>
          <cell r="B48" t="str">
            <v>MKP000631006081</v>
          </cell>
          <cell r="C48">
            <v>46</v>
          </cell>
          <cell r="D48" t="str">
            <v>Rack para TV até 65 Polegadas com Pés Preto Turim Madesa</v>
          </cell>
          <cell r="E48" t="str">
            <v>TURIM</v>
          </cell>
          <cell r="F48" t="str">
            <v>SALA DE ESTAR</v>
          </cell>
          <cell r="G48" t="str">
            <v/>
          </cell>
          <cell r="H48">
            <v>249.99</v>
          </cell>
          <cell r="I48">
            <v>249.99</v>
          </cell>
          <cell r="J48">
            <v>174.50899999999999</v>
          </cell>
          <cell r="K48">
            <v>56.1</v>
          </cell>
          <cell r="L48">
            <v>230.60900000000001</v>
          </cell>
          <cell r="M48">
            <v>39.9</v>
          </cell>
          <cell r="N48">
            <v>289.89</v>
          </cell>
          <cell r="O48" t="str">
            <v>RIACHUELO</v>
          </cell>
          <cell r="P48">
            <v>219.99</v>
          </cell>
          <cell r="Q48">
            <v>0.43253356560406597</v>
          </cell>
          <cell r="R48">
            <v>0.25706282061844898</v>
          </cell>
          <cell r="S48">
            <v>0.184221580198658</v>
          </cell>
          <cell r="T48">
            <v>0.184221580198658</v>
          </cell>
        </row>
        <row r="49">
          <cell r="A49" t="str">
            <v>G242008NRM</v>
          </cell>
          <cell r="B49" t="str">
            <v>MKP000631003098</v>
          </cell>
          <cell r="C49">
            <v>47</v>
          </cell>
          <cell r="D49" t="str">
            <v>Balcão Porta-Pano Madesa Reims 20 cm Preto</v>
          </cell>
          <cell r="E49" t="str">
            <v>REIMS</v>
          </cell>
          <cell r="F49" t="str">
            <v>MODULAÇÃO</v>
          </cell>
          <cell r="G49" t="str">
            <v/>
          </cell>
          <cell r="H49">
            <v>399.99</v>
          </cell>
          <cell r="I49">
            <v>219.92</v>
          </cell>
          <cell r="J49">
            <v>154.07149999999999</v>
          </cell>
          <cell r="K49">
            <v>58.12</v>
          </cell>
          <cell r="L49">
            <v>212.19149999999999</v>
          </cell>
          <cell r="M49">
            <v>59.9</v>
          </cell>
          <cell r="N49">
            <v>279.82</v>
          </cell>
          <cell r="O49" t="str">
            <v/>
          </cell>
          <cell r="P49">
            <v>0</v>
          </cell>
          <cell r="Q49">
            <v>0.42738923162297998</v>
          </cell>
          <cell r="R49">
            <v>0.31871446311468599</v>
          </cell>
          <cell r="S49">
            <v>0.19670002830994099</v>
          </cell>
          <cell r="T49">
            <v>0.36405990636003199</v>
          </cell>
        </row>
        <row r="50">
          <cell r="A50" t="str">
            <v>G257048NRM</v>
          </cell>
          <cell r="B50" t="str">
            <v>MKP000631001197</v>
          </cell>
          <cell r="C50">
            <v>48</v>
          </cell>
          <cell r="D50" t="str">
            <v>Armário Aéreo Madesa Reims 70 cm 1 Porta Preto</v>
          </cell>
          <cell r="E50" t="str">
            <v>REIMS</v>
          </cell>
          <cell r="F50" t="str">
            <v>MODULAÇÃO</v>
          </cell>
          <cell r="G50" t="str">
            <v/>
          </cell>
          <cell r="H50">
            <v>439.99</v>
          </cell>
          <cell r="I50">
            <v>169.99</v>
          </cell>
          <cell r="J50">
            <v>122.1345</v>
          </cell>
          <cell r="K50">
            <v>27.23</v>
          </cell>
          <cell r="L50">
            <v>149.36449999999999</v>
          </cell>
          <cell r="M50">
            <v>19.899999999999999</v>
          </cell>
          <cell r="N50">
            <v>189.89</v>
          </cell>
          <cell r="O50" t="str">
            <v/>
          </cell>
          <cell r="P50">
            <v>0</v>
          </cell>
          <cell r="Q50">
            <v>0.391826224367398</v>
          </cell>
          <cell r="R50">
            <v>0.27131949024031798</v>
          </cell>
          <cell r="S50">
            <v>0.314302604453021</v>
          </cell>
          <cell r="T50">
            <v>0.314302604453021</v>
          </cell>
        </row>
        <row r="51">
          <cell r="A51" t="str">
            <v>1063093E</v>
          </cell>
          <cell r="B51" t="str">
            <v>MKP000631000129</v>
          </cell>
          <cell r="C51" t="str">
            <v/>
          </cell>
          <cell r="D51" t="str">
            <v>Guarda-Roupa Casal 100% MDF Madesa Royale 3 Portas de Correr de Espelho Branco</v>
          </cell>
          <cell r="E51" t="str">
            <v>ROYALE</v>
          </cell>
          <cell r="F51" t="str">
            <v>QUARTO</v>
          </cell>
          <cell r="G51" t="str">
            <v/>
          </cell>
          <cell r="H51">
            <v>3889.99</v>
          </cell>
          <cell r="I51">
            <v>2699.99</v>
          </cell>
          <cell r="J51">
            <v>2275.1352000000002</v>
          </cell>
          <cell r="K51">
            <v>396.67399999999998</v>
          </cell>
          <cell r="L51">
            <v>2671.8092000000001</v>
          </cell>
          <cell r="M51">
            <v>152.11799999999999</v>
          </cell>
          <cell r="N51">
            <v>2852.1080000000002</v>
          </cell>
          <cell r="O51" t="str">
            <v>B2W</v>
          </cell>
          <cell r="P51">
            <v>2599.9899999999998</v>
          </cell>
          <cell r="Q51">
            <v>0.18673826504903901</v>
          </cell>
          <cell r="R51">
            <v>6.7481914501978504E-2</v>
          </cell>
          <cell r="S51" t="e">
            <v>#VALUE!</v>
          </cell>
          <cell r="T51" t="e">
            <v>#VALUE!</v>
          </cell>
        </row>
        <row r="52">
          <cell r="A52" t="str">
            <v>104409A1E</v>
          </cell>
          <cell r="B52" t="str">
            <v>MKP000631000132</v>
          </cell>
          <cell r="C52" t="str">
            <v/>
          </cell>
          <cell r="D52" t="str">
            <v>Guarda-Roupa Solteiro Madesa Luke 2 Portas de Correr com Espelho Branco</v>
          </cell>
          <cell r="E52" t="str">
            <v>LUKE</v>
          </cell>
          <cell r="F52" t="str">
            <v>QUARTO</v>
          </cell>
          <cell r="G52" t="str">
            <v/>
          </cell>
          <cell r="H52">
            <v>1449.99</v>
          </cell>
          <cell r="I52">
            <v>889.99</v>
          </cell>
          <cell r="J52">
            <v>707.32280000000003</v>
          </cell>
          <cell r="K52">
            <v>134.83250000000001</v>
          </cell>
          <cell r="L52">
            <v>842.15530000000001</v>
          </cell>
          <cell r="M52">
            <v>42.415833333333303</v>
          </cell>
          <cell r="N52">
            <v>932.40583333333302</v>
          </cell>
          <cell r="O52" t="str">
            <v>VIA</v>
          </cell>
          <cell r="P52">
            <v>879.99</v>
          </cell>
          <cell r="Q52">
            <v>0.25825153663928302</v>
          </cell>
          <cell r="R52">
            <v>0.107166140655213</v>
          </cell>
          <cell r="S52" t="e">
            <v>#VALUE!</v>
          </cell>
          <cell r="T52" t="e">
            <v>#VALUE!</v>
          </cell>
        </row>
        <row r="53">
          <cell r="A53" t="str">
            <v>MDDR0200407K</v>
          </cell>
          <cell r="B53" t="str">
            <v>MKP000631005277</v>
          </cell>
          <cell r="C53" t="str">
            <v/>
          </cell>
          <cell r="D53" t="str">
            <v>Guarda-Roupa Closet Modulado Valencia 2 Gavetas 129cm Rustic/Preto Madesa</v>
          </cell>
          <cell r="E53" t="str">
            <v>VALENCIA</v>
          </cell>
          <cell r="F53" t="str">
            <v>QUARTO</v>
          </cell>
          <cell r="G53" t="str">
            <v/>
          </cell>
          <cell r="H53">
            <v>699.99</v>
          </cell>
          <cell r="I53">
            <v>649.99</v>
          </cell>
          <cell r="J53">
            <v>507.92910000000001</v>
          </cell>
          <cell r="K53">
            <v>115.402666666667</v>
          </cell>
          <cell r="L53">
            <v>623.33176666666702</v>
          </cell>
          <cell r="M53">
            <v>45.930666666666703</v>
          </cell>
          <cell r="N53">
            <v>695.92066666666699</v>
          </cell>
          <cell r="O53" t="str">
            <v>MAGALU</v>
          </cell>
          <cell r="P53">
            <v>631.57000000000005</v>
          </cell>
          <cell r="Q53">
            <v>0.279686475927447</v>
          </cell>
          <cell r="R53">
            <v>0.116453073438206</v>
          </cell>
          <cell r="S53" t="e">
            <v>#VALUE!</v>
          </cell>
          <cell r="T53" t="e">
            <v>#VALUE!</v>
          </cell>
        </row>
        <row r="54">
          <cell r="A54" t="str">
            <v>MDJA040138F9SIL</v>
          </cell>
          <cell r="B54" t="str">
            <v>MKP000631005025</v>
          </cell>
          <cell r="C54" t="str">
            <v/>
          </cell>
          <cell r="D54" t="str">
            <v>Conjunto Sala de Jantar Mesa Tampo de Vidro 4 Cadeiras Rustic/Cinza/Silver Anaju Madesa</v>
          </cell>
          <cell r="E54" t="str">
            <v>ANAJU</v>
          </cell>
          <cell r="F54" t="str">
            <v>SALA DE JANTAR</v>
          </cell>
          <cell r="G54">
            <v>4256</v>
          </cell>
          <cell r="H54">
            <v>1499.99</v>
          </cell>
          <cell r="I54">
            <v>1059.99</v>
          </cell>
          <cell r="J54">
            <v>852.64160000000004</v>
          </cell>
          <cell r="K54">
            <v>93.1388888888889</v>
          </cell>
          <cell r="L54">
            <v>945.78048888888895</v>
          </cell>
          <cell r="M54">
            <v>31.102222222222199</v>
          </cell>
          <cell r="N54">
            <v>1091.09222222222</v>
          </cell>
          <cell r="O54" t="str">
            <v>MAGALU</v>
          </cell>
          <cell r="P54">
            <v>1052.6199999999999</v>
          </cell>
          <cell r="Q54">
            <v>0.24318353690460301</v>
          </cell>
          <cell r="R54">
            <v>0.15364213476643701</v>
          </cell>
          <cell r="S54" t="e">
            <v>#VALUE!</v>
          </cell>
          <cell r="T54" t="e">
            <v>#VALUE!</v>
          </cell>
        </row>
        <row r="55">
          <cell r="A55" t="str">
            <v>42805Z4XPE</v>
          </cell>
          <cell r="B55" t="str">
            <v>MKP000631001589</v>
          </cell>
          <cell r="C55" t="str">
            <v/>
          </cell>
          <cell r="D55" t="str">
            <v>Kit 4 Cadeiras 4280 Madesa Rustic/Crema/Sintético Bege</v>
          </cell>
          <cell r="E55">
            <v>4280</v>
          </cell>
          <cell r="F55" t="str">
            <v>SALA DE JANTAR</v>
          </cell>
          <cell r="G55" t="str">
            <v>4280X</v>
          </cell>
          <cell r="H55">
            <v>709.99</v>
          </cell>
          <cell r="I55">
            <v>429.99</v>
          </cell>
          <cell r="J55">
            <v>282.74599999999998</v>
          </cell>
          <cell r="K55">
            <v>86.360588235294102</v>
          </cell>
          <cell r="L55">
            <v>369.106588235294</v>
          </cell>
          <cell r="M55">
            <v>47.568235294117599</v>
          </cell>
          <cell r="N55">
            <v>477.55823529411799</v>
          </cell>
          <cell r="O55" t="str">
            <v>WEB (MELI)</v>
          </cell>
          <cell r="P55">
            <v>429.99</v>
          </cell>
          <cell r="Q55">
            <v>0.52076421947613805</v>
          </cell>
          <cell r="R55">
            <v>0.293822030046478</v>
          </cell>
          <cell r="S55" t="e">
            <v>#VALUE!</v>
          </cell>
          <cell r="T55" t="e">
            <v>#VALUE!</v>
          </cell>
        </row>
        <row r="56">
          <cell r="A56" t="str">
            <v>GRAG270003F9</v>
          </cell>
          <cell r="B56" t="str">
            <v>MKP000631004469</v>
          </cell>
          <cell r="C56" t="str">
            <v/>
          </cell>
          <cell r="D56" t="str">
            <v>Armário de Cozinha Completa 270cm Rustic Cinza Agata Madesa 03</v>
          </cell>
          <cell r="E56" t="str">
            <v>ÁGATA</v>
          </cell>
          <cell r="F56" t="str">
            <v>COZINHA</v>
          </cell>
          <cell r="G56" t="str">
            <v/>
          </cell>
          <cell r="H56">
            <v>2719.99</v>
          </cell>
          <cell r="I56">
            <v>2419.9899999999998</v>
          </cell>
          <cell r="J56">
            <v>1695.8765000000001</v>
          </cell>
          <cell r="K56">
            <v>225.19333333333299</v>
          </cell>
          <cell r="L56">
            <v>1921.0698333333301</v>
          </cell>
          <cell r="M56">
            <v>73.293333333333294</v>
          </cell>
          <cell r="N56">
            <v>2493.2833333333301</v>
          </cell>
          <cell r="O56" t="str">
            <v>WEB (MADEIRA)</v>
          </cell>
          <cell r="P56">
            <v>2419.9899999999998</v>
          </cell>
          <cell r="Q56">
            <v>0.42698480697149799</v>
          </cell>
          <cell r="R56">
            <v>0.297861894487785</v>
          </cell>
          <cell r="S56" t="e">
            <v>#VALUE!</v>
          </cell>
          <cell r="T56" t="e">
            <v>#VALUE!</v>
          </cell>
        </row>
        <row r="57">
          <cell r="A57" t="str">
            <v>691709ACP</v>
          </cell>
          <cell r="B57" t="str">
            <v>MKP000631000167</v>
          </cell>
          <cell r="C57" t="str">
            <v/>
          </cell>
          <cell r="D57" t="str">
            <v>Rack para TV até 75 Polegadas Madesa Reims 2 Portas 1 Gaveta Branco</v>
          </cell>
          <cell r="E57" t="str">
            <v>REIMS</v>
          </cell>
          <cell r="F57" t="str">
            <v>SALA DE ESTAR</v>
          </cell>
          <cell r="G57" t="str">
            <v/>
          </cell>
          <cell r="H57">
            <v>719.99</v>
          </cell>
          <cell r="I57">
            <v>444.43</v>
          </cell>
          <cell r="J57">
            <v>342.93579999999997</v>
          </cell>
          <cell r="K57">
            <v>97.864166666666705</v>
          </cell>
          <cell r="L57">
            <v>440.79996666666699</v>
          </cell>
          <cell r="M57">
            <v>44.93</v>
          </cell>
          <cell r="N57">
            <v>489.36</v>
          </cell>
          <cell r="O57" t="str">
            <v>MAGALU</v>
          </cell>
          <cell r="P57">
            <v>429.99</v>
          </cell>
          <cell r="Q57">
            <v>0.29595685256540699</v>
          </cell>
          <cell r="R57">
            <v>0.110163423333592</v>
          </cell>
          <cell r="S57" t="e">
            <v>#VALUE!</v>
          </cell>
          <cell r="T57" t="e">
            <v>#VALUE!</v>
          </cell>
        </row>
        <row r="58">
          <cell r="A58" t="str">
            <v>10938N1E</v>
          </cell>
          <cell r="B58" t="str">
            <v>MKP000631001941</v>
          </cell>
          <cell r="C58" t="str">
            <v/>
          </cell>
          <cell r="D58" t="str">
            <v>Guarda-Roupa Casal Madesa Mônaco 3 Portas de Correr com Espelho Preto</v>
          </cell>
          <cell r="E58" t="str">
            <v>MÔNACO</v>
          </cell>
          <cell r="F58" t="str">
            <v>QUARTO</v>
          </cell>
          <cell r="G58" t="str">
            <v/>
          </cell>
          <cell r="H58">
            <v>1539.99</v>
          </cell>
          <cell r="I58">
            <v>899.99</v>
          </cell>
          <cell r="J58">
            <v>750.78110000000004</v>
          </cell>
          <cell r="K58">
            <v>132.435</v>
          </cell>
          <cell r="L58">
            <v>883.21609999999998</v>
          </cell>
          <cell r="M58">
            <v>46.6116666666667</v>
          </cell>
          <cell r="N58">
            <v>946.60166666666703</v>
          </cell>
          <cell r="O58" t="str">
            <v>VIA/MELI</v>
          </cell>
          <cell r="P58">
            <v>887.99</v>
          </cell>
          <cell r="Q58">
            <v>0.198738220767678</v>
          </cell>
          <cell r="R58">
            <v>7.1766769952072498E-2</v>
          </cell>
          <cell r="S58" t="e">
            <v>#VALUE!</v>
          </cell>
          <cell r="T58" t="e">
            <v>#VALUE!</v>
          </cell>
        </row>
        <row r="59">
          <cell r="A59" t="str">
            <v>044905ZXTPER</v>
          </cell>
          <cell r="B59" t="str">
            <v>MKP000631000434</v>
          </cell>
          <cell r="C59" t="str">
            <v/>
          </cell>
          <cell r="D59" t="str">
            <v>Conjunto Sala de Jantar Madesa Jaíne Mesa Tampo de Madeira com 6 Cadeiras Rustic/Crema/Sintético Bege</v>
          </cell>
          <cell r="E59" t="str">
            <v>JAÍNE</v>
          </cell>
          <cell r="F59" t="str">
            <v>SALA DE JANTAR</v>
          </cell>
          <cell r="G59" t="str">
            <v>4280X</v>
          </cell>
          <cell r="H59">
            <v>1539.99</v>
          </cell>
          <cell r="I59">
            <v>799.99</v>
          </cell>
          <cell r="J59">
            <v>582.85569999999996</v>
          </cell>
          <cell r="K59">
            <v>95.371666666666698</v>
          </cell>
          <cell r="L59">
            <v>678.22736666666697</v>
          </cell>
          <cell r="M59">
            <v>46.6116666666667</v>
          </cell>
          <cell r="N59">
            <v>846.60166666666703</v>
          </cell>
          <cell r="O59" t="str">
            <v>VIA</v>
          </cell>
          <cell r="P59">
            <v>729.99</v>
          </cell>
          <cell r="Q59">
            <v>0.37253526044267898</v>
          </cell>
          <cell r="R59">
            <v>0.24825642295668701</v>
          </cell>
          <cell r="S59" t="e">
            <v>#VALUE!</v>
          </cell>
          <cell r="T59" t="e">
            <v>#VALUE!</v>
          </cell>
        </row>
        <row r="60">
          <cell r="A60" t="str">
            <v>12487K</v>
          </cell>
          <cell r="B60" t="str">
            <v>MKP000631005279</v>
          </cell>
          <cell r="C60" t="str">
            <v/>
          </cell>
          <cell r="D60" t="str">
            <v>Guarda-Roupa Closet Modulado Valencia 2 Gavetas 70cm Rustic/Preto Madesa</v>
          </cell>
          <cell r="E60" t="str">
            <v>VALENCIA</v>
          </cell>
          <cell r="F60" t="str">
            <v>QUARTO</v>
          </cell>
          <cell r="G60" t="str">
            <v/>
          </cell>
          <cell r="H60">
            <v>609.99</v>
          </cell>
          <cell r="I60">
            <v>409.99</v>
          </cell>
          <cell r="J60">
            <v>294.12560000000002</v>
          </cell>
          <cell r="K60">
            <v>71.973333333333301</v>
          </cell>
          <cell r="L60">
            <v>366.09893333333298</v>
          </cell>
          <cell r="M60">
            <v>34.950000000000003</v>
          </cell>
          <cell r="N60">
            <v>444.94</v>
          </cell>
          <cell r="O60" t="str">
            <v>WEB (B2W)</v>
          </cell>
          <cell r="P60">
            <v>409.99</v>
          </cell>
          <cell r="Q60">
            <v>0.39392830817854702</v>
          </cell>
          <cell r="R60">
            <v>0.21535453804472501</v>
          </cell>
          <cell r="S60" t="e">
            <v>#VALUE!</v>
          </cell>
          <cell r="T60" t="e">
            <v>#VALUE!</v>
          </cell>
        </row>
        <row r="61">
          <cell r="A61" t="str">
            <v>044825ZXTPER</v>
          </cell>
          <cell r="B61" t="str">
            <v>MKP000631000282</v>
          </cell>
          <cell r="C61" t="str">
            <v/>
          </cell>
          <cell r="D61" t="str">
            <v>Conjunto Sala de Jantar Madesa Maris Mesa Tampo de Madeira com 6 Cadeiras Rustic/Sintético Bege</v>
          </cell>
          <cell r="E61" t="str">
            <v>MARIS</v>
          </cell>
          <cell r="F61" t="str">
            <v>SALA DE JANTAR</v>
          </cell>
          <cell r="G61" t="str">
            <v>4290X</v>
          </cell>
          <cell r="H61">
            <v>1619.99</v>
          </cell>
          <cell r="I61">
            <v>769.99</v>
          </cell>
          <cell r="J61">
            <v>562.97410000000002</v>
          </cell>
          <cell r="K61">
            <v>139.661666666667</v>
          </cell>
          <cell r="L61">
            <v>702.635766666667</v>
          </cell>
          <cell r="M61">
            <v>54.914999999999999</v>
          </cell>
          <cell r="N61">
            <v>824.90499999999997</v>
          </cell>
          <cell r="O61" t="str">
            <v>WEB</v>
          </cell>
          <cell r="P61">
            <v>769.99</v>
          </cell>
          <cell r="Q61">
            <v>0.36771833730894499</v>
          </cell>
          <cell r="R61">
            <v>0.17401510018965299</v>
          </cell>
          <cell r="S61" t="e">
            <v>#VALUE!</v>
          </cell>
          <cell r="T61" t="e">
            <v>#VALUE!</v>
          </cell>
        </row>
        <row r="62">
          <cell r="A62" t="str">
            <v>GRNC2400043B</v>
          </cell>
          <cell r="B62" t="str">
            <v>MKP000631004999</v>
          </cell>
          <cell r="C62" t="str">
            <v/>
          </cell>
          <cell r="D62" t="str">
            <v>Armário de Cozinha Completa Suspenso 240cm Cinza Nice Madesa 04</v>
          </cell>
          <cell r="E62" t="str">
            <v>NICE</v>
          </cell>
          <cell r="F62" t="str">
            <v>COZINHA</v>
          </cell>
          <cell r="G62" t="str">
            <v/>
          </cell>
          <cell r="H62">
            <v>1659.99</v>
          </cell>
          <cell r="I62">
            <v>1555.54</v>
          </cell>
          <cell r="J62">
            <v>1092.0600999999999</v>
          </cell>
          <cell r="K62">
            <v>151.93666666666701</v>
          </cell>
          <cell r="L62">
            <v>1243.9967666666701</v>
          </cell>
          <cell r="M62">
            <v>46.566666666666698</v>
          </cell>
          <cell r="N62">
            <v>1602.10666666667</v>
          </cell>
          <cell r="O62" t="str">
            <v>WEB (MADEIRA)</v>
          </cell>
          <cell r="P62">
            <v>1555.54</v>
          </cell>
          <cell r="Q62">
            <v>0.42440878482786798</v>
          </cell>
          <cell r="R62">
            <v>0.287870442750079</v>
          </cell>
          <cell r="S62" t="e">
            <v>#VALUE!</v>
          </cell>
          <cell r="T62" t="e">
            <v>#VALUE!</v>
          </cell>
        </row>
        <row r="63">
          <cell r="A63" t="str">
            <v>MDJA040002D8PT</v>
          </cell>
          <cell r="B63" t="str">
            <v>MKP000631003149</v>
          </cell>
          <cell r="C63" t="str">
            <v/>
          </cell>
          <cell r="D63" t="str">
            <v>Conjunto Sala de Jantar Madesa Havana Mesa Tampo de Madeira com 4 Cadeiras Preto/Rustic</v>
          </cell>
          <cell r="E63" t="str">
            <v>HAVANA</v>
          </cell>
          <cell r="F63" t="str">
            <v>SALA DE JANTAR</v>
          </cell>
          <cell r="G63" t="str">
            <v>4280X</v>
          </cell>
          <cell r="H63">
            <v>1269.99</v>
          </cell>
          <cell r="I63">
            <v>629.99</v>
          </cell>
          <cell r="J63">
            <v>465.81150000000002</v>
          </cell>
          <cell r="K63">
            <v>106.554285714286</v>
          </cell>
          <cell r="L63">
            <v>572.36578571428595</v>
          </cell>
          <cell r="M63">
            <v>46.395714285714298</v>
          </cell>
          <cell r="N63">
            <v>676.38571428571402</v>
          </cell>
          <cell r="O63" t="str">
            <v>VIA/MELI</v>
          </cell>
          <cell r="P63">
            <v>599.99</v>
          </cell>
          <cell r="Q63">
            <v>0.352456948787224</v>
          </cell>
          <cell r="R63">
            <v>0.18173680392446301</v>
          </cell>
          <cell r="S63" t="e">
            <v>#VALUE!</v>
          </cell>
          <cell r="T63" t="e">
            <v>#VALUE!</v>
          </cell>
        </row>
        <row r="64">
          <cell r="A64" t="str">
            <v>GRGM25000373</v>
          </cell>
          <cell r="B64" t="str">
            <v>MKP000631004944</v>
          </cell>
          <cell r="C64" t="str">
            <v/>
          </cell>
          <cell r="D64" t="str">
            <v>Armário de Cozinha Completa 100% MDF 250cm Branco/Preto Acordes Madesa 03</v>
          </cell>
          <cell r="E64" t="str">
            <v>ACORDES</v>
          </cell>
          <cell r="F64" t="str">
            <v>COZINHA</v>
          </cell>
          <cell r="G64" t="str">
            <v/>
          </cell>
          <cell r="H64">
            <v>2099.9899999999998</v>
          </cell>
          <cell r="I64">
            <v>1999.99</v>
          </cell>
          <cell r="J64">
            <v>1671.6458</v>
          </cell>
          <cell r="K64">
            <v>129.28</v>
          </cell>
          <cell r="L64">
            <v>1800.9258</v>
          </cell>
          <cell r="M64">
            <v>59.99</v>
          </cell>
          <cell r="N64">
            <v>2059.98</v>
          </cell>
          <cell r="O64" t="str">
            <v/>
          </cell>
          <cell r="P64">
            <v>0</v>
          </cell>
          <cell r="Q64">
            <v>0.19641972001485</v>
          </cell>
          <cell r="R64">
            <v>0.14384501571358499</v>
          </cell>
          <cell r="S64" t="e">
            <v>#VALUE!</v>
          </cell>
          <cell r="T64" t="e">
            <v>#VALUE!</v>
          </cell>
        </row>
        <row r="65">
          <cell r="A65" t="str">
            <v>GRNC3000093B</v>
          </cell>
          <cell r="B65" t="str">
            <v>MKP000631004914</v>
          </cell>
          <cell r="C65" t="str">
            <v/>
          </cell>
          <cell r="D65" t="str">
            <v>Armário de Cozinha Completa 300cm Cinza Nice Madesa 09</v>
          </cell>
          <cell r="E65" t="str">
            <v>NICE</v>
          </cell>
          <cell r="F65" t="str">
            <v>COZINHA</v>
          </cell>
          <cell r="G65" t="str">
            <v/>
          </cell>
          <cell r="H65">
            <v>2099.9899999999998</v>
          </cell>
          <cell r="I65">
            <v>2069.9899999999998</v>
          </cell>
          <cell r="J65">
            <v>1443.269</v>
          </cell>
          <cell r="K65">
            <v>233.53</v>
          </cell>
          <cell r="L65">
            <v>1676.799</v>
          </cell>
          <cell r="M65">
            <v>94.944999999999993</v>
          </cell>
          <cell r="N65">
            <v>2164.9349999999999</v>
          </cell>
          <cell r="O65" t="str">
            <v>WEB (MADEIRA)</v>
          </cell>
          <cell r="P65">
            <v>2069.9899999999998</v>
          </cell>
          <cell r="Q65">
            <v>0.43423713805257402</v>
          </cell>
          <cell r="R65">
            <v>0.29111181483290499</v>
          </cell>
          <cell r="S65" t="e">
            <v>#VALUE!</v>
          </cell>
          <cell r="T65" t="e">
            <v>#VALUE!</v>
          </cell>
        </row>
        <row r="66">
          <cell r="A66" t="str">
            <v>045677GX4TPER</v>
          </cell>
          <cell r="B66" t="str">
            <v>MKP000631000753</v>
          </cell>
          <cell r="C66" t="str">
            <v/>
          </cell>
          <cell r="D66" t="str">
            <v>Conjunto Sala de Jantar Madesa Talita Mesa Tampo de Madeira com 4 Cadeiras Rustic/Crema/Sintético Bege</v>
          </cell>
          <cell r="E66" t="str">
            <v>TALITA</v>
          </cell>
          <cell r="F66" t="str">
            <v>SALA DE JANTAR</v>
          </cell>
          <cell r="G66" t="str">
            <v>4291X</v>
          </cell>
          <cell r="H66">
            <v>1129.99</v>
          </cell>
          <cell r="I66">
            <v>549.99</v>
          </cell>
          <cell r="J66">
            <v>396.72730000000001</v>
          </cell>
          <cell r="K66">
            <v>125.97</v>
          </cell>
          <cell r="L66">
            <v>522.69730000000004</v>
          </cell>
          <cell r="M66">
            <v>56.566666666666698</v>
          </cell>
          <cell r="N66">
            <v>606.55666666666696</v>
          </cell>
          <cell r="O66" t="str">
            <v>MAGALU</v>
          </cell>
          <cell r="P66">
            <v>499.99</v>
          </cell>
          <cell r="Q66">
            <v>0.38631750323206898</v>
          </cell>
          <cell r="R66">
            <v>0.160435813742804</v>
          </cell>
          <cell r="S66" t="e">
            <v>#VALUE!</v>
          </cell>
          <cell r="T66" t="e">
            <v>#VALUE!</v>
          </cell>
        </row>
        <row r="67">
          <cell r="A67" t="str">
            <v>G2675009RM</v>
          </cell>
          <cell r="B67" t="str">
            <v>MKP000631001686</v>
          </cell>
          <cell r="C67" t="str">
            <v/>
          </cell>
          <cell r="D67" t="str">
            <v>Torre Quente Madesa Reims 70 cm 3 Portas Branco</v>
          </cell>
          <cell r="E67" t="str">
            <v>REIMS</v>
          </cell>
          <cell r="F67" t="str">
            <v>MODULAÇÃO</v>
          </cell>
          <cell r="G67" t="str">
            <v/>
          </cell>
          <cell r="H67">
            <v>1139.99</v>
          </cell>
          <cell r="I67">
            <v>619.99</v>
          </cell>
          <cell r="J67">
            <v>433.54750000000001</v>
          </cell>
          <cell r="K67">
            <v>85.177340000000001</v>
          </cell>
          <cell r="L67">
            <v>518.72483999999997</v>
          </cell>
          <cell r="M67">
            <v>30.120819999999998</v>
          </cell>
          <cell r="N67">
            <v>650.11081999999999</v>
          </cell>
          <cell r="O67" t="str">
            <v/>
          </cell>
          <cell r="P67">
            <v>0</v>
          </cell>
          <cell r="Q67">
            <v>0.430039384381181</v>
          </cell>
          <cell r="R67">
            <v>0.25328646301187402</v>
          </cell>
          <cell r="S67" t="e">
            <v>#VALUE!</v>
          </cell>
          <cell r="T67" t="e">
            <v>#VALUE!</v>
          </cell>
        </row>
        <row r="68">
          <cell r="A68" t="str">
            <v>MDJA0800047KPT</v>
          </cell>
          <cell r="B68" t="str">
            <v>MKP000631005437</v>
          </cell>
          <cell r="C68" t="str">
            <v/>
          </cell>
          <cell r="D68" t="str">
            <v>Conjunto Sala de Jantar Mesa Tampo de Madeira 8 Cadeiras Rustic/Preto Marisa Madesa</v>
          </cell>
          <cell r="E68" t="str">
            <v>MARISA</v>
          </cell>
          <cell r="F68" t="str">
            <v>SALA DE JANTAR</v>
          </cell>
          <cell r="G68" t="str">
            <v>4291X</v>
          </cell>
          <cell r="H68">
            <v>1459.99</v>
          </cell>
          <cell r="I68">
            <v>1219.99</v>
          </cell>
          <cell r="J68">
            <v>869.50390000000004</v>
          </cell>
          <cell r="K68">
            <v>114.446666666667</v>
          </cell>
          <cell r="L68">
            <v>983.95056666666699</v>
          </cell>
          <cell r="M68">
            <v>53.323333333333302</v>
          </cell>
          <cell r="N68">
            <v>1273.3133333333301</v>
          </cell>
          <cell r="O68" t="str">
            <v>WEB (VIA)</v>
          </cell>
          <cell r="P68">
            <v>1219.99</v>
          </cell>
          <cell r="Q68">
            <v>0.40308743871073999</v>
          </cell>
          <cell r="R68">
            <v>0.29408262616987102</v>
          </cell>
          <cell r="S68" t="e">
            <v>#VALUE!</v>
          </cell>
          <cell r="T68" t="e">
            <v>#VALUE!</v>
          </cell>
        </row>
        <row r="69">
          <cell r="A69" t="str">
            <v>10935Z</v>
          </cell>
          <cell r="B69" t="str">
            <v>MKP000631000460</v>
          </cell>
          <cell r="C69" t="str">
            <v/>
          </cell>
          <cell r="D69" t="str">
            <v>Guarda-Roupa Casal Madesa Mônaco 3 Portas de Correr Rustic</v>
          </cell>
          <cell r="E69" t="str">
            <v>MÔNACO</v>
          </cell>
          <cell r="F69" t="str">
            <v>QUARTO</v>
          </cell>
          <cell r="G69" t="str">
            <v/>
          </cell>
          <cell r="H69">
            <v>1469.99</v>
          </cell>
          <cell r="I69">
            <v>859.99</v>
          </cell>
          <cell r="J69">
            <v>620.85310000000004</v>
          </cell>
          <cell r="K69">
            <v>158.57499999999999</v>
          </cell>
          <cell r="L69">
            <v>779.42809999999997</v>
          </cell>
          <cell r="M69">
            <v>42.47</v>
          </cell>
          <cell r="N69">
            <v>902.46</v>
          </cell>
          <cell r="O69" t="str">
            <v>WEB (VIA)</v>
          </cell>
          <cell r="P69">
            <v>859.99</v>
          </cell>
          <cell r="Q69">
            <v>0.38517468947163203</v>
          </cell>
          <cell r="R69">
            <v>0.15784894078106701</v>
          </cell>
          <cell r="S69" t="e">
            <v>#VALUE!</v>
          </cell>
          <cell r="T69" t="e">
            <v>#VALUE!</v>
          </cell>
        </row>
        <row r="70">
          <cell r="A70" t="str">
            <v>MDJA0401097KPT</v>
          </cell>
          <cell r="B70" t="str">
            <v>MKP000631004162</v>
          </cell>
          <cell r="C70" t="str">
            <v/>
          </cell>
          <cell r="D70" t="str">
            <v>Conjunto Sala de Jantar Madesa Nanda Mesa Tampo de Vidro Redondo 4 Cadeiras Rustic/Preto</v>
          </cell>
          <cell r="E70" t="str">
            <v>NANDA</v>
          </cell>
          <cell r="F70" t="str">
            <v>SALA DE JANTAR</v>
          </cell>
          <cell r="G70" t="str">
            <v>4291X</v>
          </cell>
          <cell r="H70">
            <v>1039.99</v>
          </cell>
          <cell r="I70">
            <v>699.99</v>
          </cell>
          <cell r="J70">
            <v>532.41049999999996</v>
          </cell>
          <cell r="K70">
            <v>97</v>
          </cell>
          <cell r="L70">
            <v>629.41049999999996</v>
          </cell>
          <cell r="M70">
            <v>29.945</v>
          </cell>
          <cell r="N70">
            <v>729.93499999999995</v>
          </cell>
          <cell r="O70" t="str">
            <v>B2W</v>
          </cell>
          <cell r="P70">
            <v>679.99</v>
          </cell>
          <cell r="Q70">
            <v>0.31475618906839697</v>
          </cell>
          <cell r="R70">
            <v>0.15971214334683001</v>
          </cell>
          <cell r="S70" t="e">
            <v>#VALUE!</v>
          </cell>
          <cell r="T70" t="e">
            <v>#VALUE!</v>
          </cell>
        </row>
        <row r="71">
          <cell r="A71" t="str">
            <v>MDJA060135F9SIL</v>
          </cell>
          <cell r="B71" t="str">
            <v>MKP000631004929</v>
          </cell>
          <cell r="C71" t="str">
            <v/>
          </cell>
          <cell r="D71" t="str">
            <v>Conjunto Sala de Jantar Mesa Tampo de Madeira 6 Cadeiras Rustic/Cinza/Silver Hanna Madesa</v>
          </cell>
          <cell r="E71" t="str">
            <v>HANNA</v>
          </cell>
          <cell r="F71" t="str">
            <v>SALA DE JANTAR</v>
          </cell>
          <cell r="G71">
            <v>4256</v>
          </cell>
          <cell r="H71">
            <v>1829.99</v>
          </cell>
          <cell r="I71">
            <v>1666.65</v>
          </cell>
          <cell r="J71">
            <v>1178.8132000000001</v>
          </cell>
          <cell r="K71">
            <v>111.18</v>
          </cell>
          <cell r="L71">
            <v>1289.9931999999999</v>
          </cell>
          <cell r="M71">
            <v>44.99</v>
          </cell>
          <cell r="N71">
            <v>1711.64</v>
          </cell>
          <cell r="O71" t="str">
            <v>WEB (VIA)</v>
          </cell>
          <cell r="P71">
            <v>1666.65</v>
          </cell>
          <cell r="Q71">
            <v>0.41383723901293301</v>
          </cell>
          <cell r="R71">
            <v>0.32685970747752802</v>
          </cell>
          <cell r="S71" t="e">
            <v>#VALUE!</v>
          </cell>
          <cell r="T71" t="e">
            <v>#VALUE!</v>
          </cell>
        </row>
        <row r="72">
          <cell r="A72" t="str">
            <v>XC10638N3E</v>
          </cell>
          <cell r="B72" t="str">
            <v>MKP000631003105</v>
          </cell>
          <cell r="C72" t="str">
            <v/>
          </cell>
          <cell r="D72" t="str">
            <v>Guarda-Roupa Casal 100% MDF Madesa Zurique 3 Portas de Correr de Espelho Preto</v>
          </cell>
          <cell r="E72" t="str">
            <v>ZURIQUE</v>
          </cell>
          <cell r="F72" t="str">
            <v>QUARTO</v>
          </cell>
          <cell r="G72" t="str">
            <v/>
          </cell>
          <cell r="H72">
            <v>3389.99</v>
          </cell>
          <cell r="I72">
            <v>2769.99</v>
          </cell>
          <cell r="J72">
            <v>2275.1352000000002</v>
          </cell>
          <cell r="K72">
            <v>361.6</v>
          </cell>
          <cell r="L72">
            <v>2636.7352000000001</v>
          </cell>
          <cell r="M72">
            <v>169.9</v>
          </cell>
          <cell r="N72">
            <v>2939.89</v>
          </cell>
          <cell r="O72" t="str">
            <v>MADEIRAMADEIRA/ZEMA</v>
          </cell>
          <cell r="P72">
            <v>2759.99</v>
          </cell>
          <cell r="Q72">
            <v>0.217505667355505</v>
          </cell>
          <cell r="R72">
            <v>0.114973547590217</v>
          </cell>
          <cell r="S72" t="e">
            <v>#VALUE!</v>
          </cell>
          <cell r="T72" t="e">
            <v>#VALUE!</v>
          </cell>
        </row>
        <row r="73">
          <cell r="A73" t="str">
            <v>GCSM448001A9</v>
          </cell>
          <cell r="B73" t="str">
            <v>MKP000631001794</v>
          </cell>
          <cell r="C73" t="str">
            <v/>
          </cell>
          <cell r="D73" t="str">
            <v>Armário de Cozinha Completa de Canto 100% MDF 448cm Branco/Rustic/Crema Smart Madesa 01</v>
          </cell>
          <cell r="E73" t="str">
            <v>SMART</v>
          </cell>
          <cell r="F73" t="str">
            <v>COZINHA</v>
          </cell>
          <cell r="G73" t="str">
            <v/>
          </cell>
          <cell r="H73">
            <v>3049.99</v>
          </cell>
          <cell r="I73">
            <v>2719.99</v>
          </cell>
          <cell r="J73">
            <v>2058.8791999999999</v>
          </cell>
          <cell r="K73">
            <v>177.75</v>
          </cell>
          <cell r="L73">
            <v>2236.6291999999999</v>
          </cell>
          <cell r="M73">
            <v>59.99</v>
          </cell>
          <cell r="N73">
            <v>2779.98</v>
          </cell>
          <cell r="O73" t="str">
            <v>MELI</v>
          </cell>
          <cell r="P73">
            <v>2822.22</v>
          </cell>
          <cell r="Q73">
            <v>0.32110227739441899</v>
          </cell>
          <cell r="R73">
            <v>0.242932892050233</v>
          </cell>
          <cell r="S73" t="e">
            <v>#VALUE!</v>
          </cell>
          <cell r="T73" t="e">
            <v>#VALUE!</v>
          </cell>
        </row>
        <row r="74">
          <cell r="A74" t="str">
            <v>GCAG3990026E</v>
          </cell>
          <cell r="B74" t="str">
            <v>MKP000631004718</v>
          </cell>
          <cell r="C74" t="str">
            <v/>
          </cell>
          <cell r="D74" t="str">
            <v>Armário de Cozinha Completa de Canto 399cm Rustic Branco Agata Madesa 02</v>
          </cell>
          <cell r="E74" t="str">
            <v>ÁGATA</v>
          </cell>
          <cell r="F74" t="str">
            <v>COZINHA</v>
          </cell>
          <cell r="G74" t="str">
            <v/>
          </cell>
          <cell r="H74">
            <v>2599.9899999999998</v>
          </cell>
          <cell r="I74">
            <v>2499.9899999999998</v>
          </cell>
          <cell r="J74">
            <v>2030.0596</v>
          </cell>
          <cell r="K74">
            <v>140.56</v>
          </cell>
          <cell r="L74">
            <v>2170.6196</v>
          </cell>
          <cell r="M74">
            <v>59.99</v>
          </cell>
          <cell r="N74">
            <v>2559.98</v>
          </cell>
          <cell r="O74" t="str">
            <v/>
          </cell>
          <cell r="P74">
            <v>0</v>
          </cell>
          <cell r="Q74">
            <v>0.23148601154369999</v>
          </cell>
          <cell r="R74">
            <v>0.17937753810018101</v>
          </cell>
          <cell r="S74" t="e">
            <v>#VALUE!</v>
          </cell>
          <cell r="T74" t="e">
            <v>#VALUE!</v>
          </cell>
        </row>
        <row r="75">
          <cell r="A75" t="str">
            <v>GRTE2900016E</v>
          </cell>
          <cell r="B75" t="str">
            <v>MKP000631001988</v>
          </cell>
          <cell r="C75" t="str">
            <v/>
          </cell>
          <cell r="D75" t="str">
            <v>Armário de Cozinha Completa 290cm Rustic/Branco Stella Madesa 01</v>
          </cell>
          <cell r="E75" t="str">
            <v>STELLA</v>
          </cell>
          <cell r="F75" t="str">
            <v>COZINHA</v>
          </cell>
          <cell r="G75" t="str">
            <v/>
          </cell>
          <cell r="H75">
            <v>3519.99</v>
          </cell>
          <cell r="I75">
            <v>2499.9899999999998</v>
          </cell>
          <cell r="J75">
            <v>2147.7577999999999</v>
          </cell>
          <cell r="K75">
            <v>145.9</v>
          </cell>
          <cell r="L75">
            <v>2293.6578</v>
          </cell>
          <cell r="M75">
            <v>59.99</v>
          </cell>
          <cell r="N75">
            <v>2559.98</v>
          </cell>
          <cell r="O75" t="str">
            <v/>
          </cell>
          <cell r="P75">
            <v>0</v>
          </cell>
          <cell r="Q75">
            <v>0.16399996312433299</v>
          </cell>
          <cell r="R75">
            <v>0.116112438394254</v>
          </cell>
          <cell r="S75" t="e">
            <v>#VALUE!</v>
          </cell>
          <cell r="T75" t="e">
            <v>#VALUE!</v>
          </cell>
        </row>
        <row r="76">
          <cell r="A76" t="str">
            <v>GRRM2500068N</v>
          </cell>
          <cell r="B76" t="str">
            <v>MKP000631005005</v>
          </cell>
          <cell r="C76" t="str">
            <v/>
          </cell>
          <cell r="D76" t="str">
            <v>Armário de Cozinha Completa 250cm Preto Reims Madesa 06</v>
          </cell>
          <cell r="E76" t="str">
            <v>REIMS</v>
          </cell>
          <cell r="F76" t="str">
            <v>COZINHA</v>
          </cell>
          <cell r="G76" t="str">
            <v/>
          </cell>
          <cell r="H76">
            <v>1399.99</v>
          </cell>
          <cell r="I76">
            <v>1219.99</v>
          </cell>
          <cell r="J76">
            <v>1000.7181</v>
          </cell>
          <cell r="K76">
            <v>98.95</v>
          </cell>
          <cell r="L76">
            <v>1099.6681000000001</v>
          </cell>
          <cell r="M76">
            <v>54.99</v>
          </cell>
          <cell r="N76">
            <v>1274.98</v>
          </cell>
          <cell r="O76" t="str">
            <v>MELI</v>
          </cell>
          <cell r="P76">
            <v>1211.0999999999999</v>
          </cell>
          <cell r="Q76">
            <v>0.219114553838888</v>
          </cell>
          <cell r="R76">
            <v>0.15942255667869201</v>
          </cell>
          <cell r="S76" t="e">
            <v>#VALUE!</v>
          </cell>
          <cell r="T76" t="e">
            <v>#VALUE!</v>
          </cell>
        </row>
        <row r="77">
          <cell r="A77" t="str">
            <v>42917K6XTPT</v>
          </cell>
          <cell r="B77" t="str">
            <v>MKP000631000095</v>
          </cell>
          <cell r="C77" t="str">
            <v/>
          </cell>
          <cell r="D77" t="str">
            <v>Kit 6 Cadeiras 4291 Madesa Rustic/Preto</v>
          </cell>
          <cell r="E77">
            <v>4291</v>
          </cell>
          <cell r="F77" t="str">
            <v>SALA DE JANTAR</v>
          </cell>
          <cell r="G77" t="str">
            <v>4291X</v>
          </cell>
          <cell r="H77">
            <v>729.99</v>
          </cell>
          <cell r="I77">
            <v>539.99</v>
          </cell>
          <cell r="J77">
            <v>381.67439999999999</v>
          </cell>
          <cell r="K77">
            <v>63.21</v>
          </cell>
          <cell r="L77">
            <v>444.88440000000003</v>
          </cell>
          <cell r="M77">
            <v>35.99</v>
          </cell>
          <cell r="N77">
            <v>575.98</v>
          </cell>
          <cell r="O77" t="str">
            <v>WEB (B2W)</v>
          </cell>
          <cell r="P77">
            <v>539.99</v>
          </cell>
          <cell r="Q77">
            <v>0.41479229416486901</v>
          </cell>
          <cell r="R77">
            <v>0.29467340279857002</v>
          </cell>
          <cell r="S77" t="e">
            <v>#VALUE!</v>
          </cell>
          <cell r="T77" t="e">
            <v>#VALUE!</v>
          </cell>
        </row>
        <row r="78">
          <cell r="A78" t="str">
            <v>MDJA040102D8PT</v>
          </cell>
          <cell r="B78" t="str">
            <v>MKP000631003146</v>
          </cell>
          <cell r="C78" t="str">
            <v/>
          </cell>
          <cell r="D78" t="str">
            <v>Conjunto Sala de Jantar Madesa Aline Mesa Tampo de Vidro com 4 Cadeiras Preto/Rustic</v>
          </cell>
          <cell r="E78" t="str">
            <v>ALINE</v>
          </cell>
          <cell r="F78" t="str">
            <v>SALA DE JANTAR</v>
          </cell>
          <cell r="G78" t="str">
            <v>4291X</v>
          </cell>
          <cell r="H78">
            <v>1239.99</v>
          </cell>
          <cell r="I78">
            <v>599.99</v>
          </cell>
          <cell r="J78">
            <v>494.04250000000002</v>
          </cell>
          <cell r="K78">
            <v>105.575</v>
          </cell>
          <cell r="L78">
            <v>599.61749999999995</v>
          </cell>
          <cell r="M78">
            <v>42.422499999999999</v>
          </cell>
          <cell r="N78">
            <v>642.41250000000002</v>
          </cell>
          <cell r="O78" t="str">
            <v>MELI</v>
          </cell>
          <cell r="P78">
            <v>644.44000000000005</v>
          </cell>
          <cell r="Q78">
            <v>0.21445017382107801</v>
          </cell>
          <cell r="R78">
            <v>7.1370498692916701E-2</v>
          </cell>
          <cell r="S78" t="e">
            <v>#VALUE!</v>
          </cell>
          <cell r="T78" t="e">
            <v>#VALUE!</v>
          </cell>
        </row>
        <row r="79">
          <cell r="A79" t="str">
            <v>MDJA0400505ZPT</v>
          </cell>
          <cell r="B79" t="str">
            <v>MKP000631001550</v>
          </cell>
          <cell r="C79" t="str">
            <v/>
          </cell>
          <cell r="D79" t="str">
            <v>Conjunto Sala de Jantar Madesa Maya Mesa Tampo de Vidro com 4 Cadeiras Rustic/Sintético Preto</v>
          </cell>
          <cell r="E79" t="str">
            <v>MAYA</v>
          </cell>
          <cell r="F79" t="str">
            <v>SALA DE JANTAR</v>
          </cell>
          <cell r="G79" t="str">
            <v>4290X</v>
          </cell>
          <cell r="H79">
            <v>1269.99</v>
          </cell>
          <cell r="I79">
            <v>689.99</v>
          </cell>
          <cell r="J79">
            <v>493.51929999999999</v>
          </cell>
          <cell r="K79">
            <v>127.145</v>
          </cell>
          <cell r="L79">
            <v>620.66430000000003</v>
          </cell>
          <cell r="M79">
            <v>24.95</v>
          </cell>
          <cell r="N79">
            <v>714.94</v>
          </cell>
          <cell r="O79" t="str">
            <v>WEB (VIA)</v>
          </cell>
          <cell r="P79">
            <v>689.99</v>
          </cell>
          <cell r="Q79">
            <v>0.39810135084889298</v>
          </cell>
          <cell r="R79">
            <v>0.15189483268169299</v>
          </cell>
          <cell r="S79" t="e">
            <v>#VALUE!</v>
          </cell>
          <cell r="T79" t="e">
            <v>#VALUE!</v>
          </cell>
        </row>
        <row r="80">
          <cell r="A80" t="str">
            <v>GRGL12000109</v>
          </cell>
          <cell r="B80" t="str">
            <v>MKP000631003780</v>
          </cell>
          <cell r="C80" t="str">
            <v/>
          </cell>
          <cell r="D80" t="str">
            <v>Armário de Cozinha Compacta 120cm Branco Glamy Madesa 01</v>
          </cell>
          <cell r="E80" t="str">
            <v>GLAMY</v>
          </cell>
          <cell r="F80" t="str">
            <v>COZINHA</v>
          </cell>
          <cell r="G80" t="str">
            <v/>
          </cell>
          <cell r="H80">
            <v>1299.99</v>
          </cell>
          <cell r="I80">
            <v>1199.99</v>
          </cell>
          <cell r="J80">
            <v>988.31389999999999</v>
          </cell>
          <cell r="K80">
            <v>74.849999999999994</v>
          </cell>
          <cell r="L80">
            <v>1063.1639</v>
          </cell>
          <cell r="M80">
            <v>34.994999999999997</v>
          </cell>
          <cell r="N80">
            <v>1234.9849999999999</v>
          </cell>
          <cell r="O80" t="str">
            <v/>
          </cell>
          <cell r="P80">
            <v>0</v>
          </cell>
          <cell r="Q80">
            <v>0.214179017415418</v>
          </cell>
          <cell r="R80">
            <v>0.161612993067202</v>
          </cell>
          <cell r="S80" t="e">
            <v>#VALUE!</v>
          </cell>
          <cell r="T80" t="e">
            <v>#VALUE!</v>
          </cell>
        </row>
        <row r="81">
          <cell r="A81" t="str">
            <v>XC10638N2E</v>
          </cell>
          <cell r="B81" t="str">
            <v>MKP000631003103</v>
          </cell>
          <cell r="C81" t="str">
            <v/>
          </cell>
          <cell r="D81" t="str">
            <v>Guarda-Roupa Casal 100% MDF Madesa Zurique 3 Portas de Correr com Espelhos Preto</v>
          </cell>
          <cell r="E81" t="str">
            <v>ZURIQUE</v>
          </cell>
          <cell r="F81" t="str">
            <v>QUARTO</v>
          </cell>
          <cell r="G81" t="str">
            <v/>
          </cell>
          <cell r="H81">
            <v>3189.99</v>
          </cell>
          <cell r="I81">
            <v>2359.92</v>
          </cell>
          <cell r="J81">
            <v>2033.8746000000001</v>
          </cell>
          <cell r="K81">
            <v>339.89</v>
          </cell>
          <cell r="L81">
            <v>2373.7646</v>
          </cell>
          <cell r="M81">
            <v>99.9</v>
          </cell>
          <cell r="N81">
            <v>2459.8200000000002</v>
          </cell>
          <cell r="O81" t="str">
            <v/>
          </cell>
          <cell r="P81">
            <v>0</v>
          </cell>
          <cell r="Q81">
            <v>0.160307523384185</v>
          </cell>
          <cell r="R81">
            <v>3.6252710146574801E-2</v>
          </cell>
          <cell r="S81" t="e">
            <v>#VALUE!</v>
          </cell>
          <cell r="T81" t="e">
            <v>#VALUE!</v>
          </cell>
        </row>
        <row r="82">
          <cell r="A82" t="str">
            <v>MDJA040191D8OXF</v>
          </cell>
          <cell r="B82" t="str">
            <v>MKP000631001508</v>
          </cell>
          <cell r="C82" t="str">
            <v/>
          </cell>
          <cell r="D82" t="str">
            <v>Conjunto Sala de Jantar Mesa Tampo de Vidro 4 Cadeiras Preto/Oxford Antônia Madesa</v>
          </cell>
          <cell r="E82" t="str">
            <v>ANTÔNIA</v>
          </cell>
          <cell r="F82" t="str">
            <v>SALA DE JANTAR</v>
          </cell>
          <cell r="G82">
            <v>4255</v>
          </cell>
          <cell r="H82">
            <v>1189.99</v>
          </cell>
          <cell r="I82">
            <v>1189.99</v>
          </cell>
          <cell r="J82">
            <v>896.24159999999995</v>
          </cell>
          <cell r="K82">
            <v>84.444999999999993</v>
          </cell>
          <cell r="L82">
            <v>980.6866</v>
          </cell>
          <cell r="M82">
            <v>29.9</v>
          </cell>
          <cell r="N82">
            <v>1219.8900000000001</v>
          </cell>
          <cell r="O82" t="str">
            <v/>
          </cell>
          <cell r="P82">
            <v>0</v>
          </cell>
          <cell r="Q82">
            <v>0.32775581941297999</v>
          </cell>
          <cell r="R82">
            <v>0.24391421275665401</v>
          </cell>
          <cell r="S82" t="e">
            <v>#VALUE!</v>
          </cell>
          <cell r="T82" t="e">
            <v>#VALUE!</v>
          </cell>
        </row>
        <row r="83">
          <cell r="A83" t="str">
            <v>MDJA040101D8PT</v>
          </cell>
          <cell r="B83" t="str">
            <v>MKP000631003148</v>
          </cell>
          <cell r="C83" t="str">
            <v/>
          </cell>
          <cell r="D83" t="str">
            <v>Conjunto Sala de Jantar Madesa Sheila Mesa Tampo de Madeira com 4 Cadeiras Rustic/Preto</v>
          </cell>
          <cell r="E83" t="str">
            <v>SHEILA</v>
          </cell>
          <cell r="F83" t="str">
            <v>SALA DE JANTAR</v>
          </cell>
          <cell r="G83" t="str">
            <v>4280X</v>
          </cell>
          <cell r="H83">
            <v>949.99</v>
          </cell>
          <cell r="I83">
            <v>539.99</v>
          </cell>
          <cell r="J83">
            <v>422.10250000000002</v>
          </cell>
          <cell r="K83">
            <v>115.6825</v>
          </cell>
          <cell r="L83">
            <v>537.78499999999997</v>
          </cell>
          <cell r="M83">
            <v>44.922499999999999</v>
          </cell>
          <cell r="N83">
            <v>584.91250000000002</v>
          </cell>
          <cell r="O83" t="str">
            <v>VIA/MELI</v>
          </cell>
          <cell r="P83">
            <v>539.99</v>
          </cell>
          <cell r="Q83">
            <v>0.27928642924408198</v>
          </cell>
          <cell r="R83">
            <v>8.7632604107589399E-2</v>
          </cell>
          <cell r="S83" t="e">
            <v>#VALUE!</v>
          </cell>
          <cell r="T83" t="e">
            <v>#VALUE!</v>
          </cell>
        </row>
        <row r="84">
          <cell r="A84" t="str">
            <v>109509</v>
          </cell>
          <cell r="B84" t="str">
            <v>MKP000631001943</v>
          </cell>
          <cell r="C84" t="str">
            <v/>
          </cell>
          <cell r="D84" t="str">
            <v>Guarda-Roupa Casal Madesa Reno 3 Portas de Correr Branco</v>
          </cell>
          <cell r="E84" t="str">
            <v>RENO</v>
          </cell>
          <cell r="F84" t="str">
            <v>QUARTO</v>
          </cell>
          <cell r="G84" t="str">
            <v/>
          </cell>
          <cell r="H84">
            <v>1939.99</v>
          </cell>
          <cell r="I84">
            <v>1099.99</v>
          </cell>
          <cell r="J84">
            <v>918.40129999999999</v>
          </cell>
          <cell r="K84">
            <v>218.71</v>
          </cell>
          <cell r="L84">
            <v>1137.1113</v>
          </cell>
          <cell r="M84">
            <v>54.9</v>
          </cell>
          <cell r="N84">
            <v>1154.8900000000001</v>
          </cell>
          <cell r="O84" t="str">
            <v>LOJA</v>
          </cell>
          <cell r="P84">
            <v>1099.99</v>
          </cell>
          <cell r="Q84">
            <v>0.19772260775327699</v>
          </cell>
          <cell r="R84">
            <v>1.5634969065912999E-2</v>
          </cell>
          <cell r="S84" t="e">
            <v>#VALUE!</v>
          </cell>
          <cell r="T84" t="e">
            <v>#VALUE!</v>
          </cell>
        </row>
        <row r="85">
          <cell r="A85" t="str">
            <v>106209</v>
          </cell>
          <cell r="B85" t="str">
            <v>MKP000631000131</v>
          </cell>
          <cell r="C85" t="str">
            <v/>
          </cell>
          <cell r="D85" t="str">
            <v>Guarda-Roupa Casal 100% MDF Madesa Royale 3 Portas de Correr com Espelho Branco</v>
          </cell>
          <cell r="E85" t="str">
            <v>ROYALE</v>
          </cell>
          <cell r="F85" t="str">
            <v>QUARTO</v>
          </cell>
          <cell r="G85" t="str">
            <v/>
          </cell>
          <cell r="H85">
            <v>3159.99</v>
          </cell>
          <cell r="I85">
            <v>2129.9899999999998</v>
          </cell>
          <cell r="J85">
            <v>1792.614</v>
          </cell>
          <cell r="K85">
            <v>320.58999999999997</v>
          </cell>
          <cell r="L85">
            <v>2113.2040000000002</v>
          </cell>
          <cell r="M85">
            <v>119.9</v>
          </cell>
          <cell r="N85">
            <v>2249.89</v>
          </cell>
          <cell r="O85" t="str">
            <v>LOJA/MAGALU</v>
          </cell>
          <cell r="P85">
            <v>1999.99</v>
          </cell>
          <cell r="Q85">
            <v>0.18820337228204201</v>
          </cell>
          <cell r="R85">
            <v>6.4681876430292301E-2</v>
          </cell>
          <cell r="S85" t="e">
            <v>#VALUE!</v>
          </cell>
          <cell r="T85" t="e">
            <v>#VALUE!</v>
          </cell>
        </row>
        <row r="86">
          <cell r="A86" t="str">
            <v>10289B4E</v>
          </cell>
          <cell r="B86" t="str">
            <v>MKP000631003472</v>
          </cell>
          <cell r="C86" t="str">
            <v/>
          </cell>
          <cell r="D86" t="str">
            <v>Guarda-Roupa Casal Madesa Austin 4 Portas de Correr de Espelho 3 Gavetas Branco/Rustic</v>
          </cell>
          <cell r="E86" t="str">
            <v>AUSTIN</v>
          </cell>
          <cell r="F86" t="str">
            <v>QUARTO</v>
          </cell>
          <cell r="G86" t="str">
            <v/>
          </cell>
          <cell r="H86">
            <v>2369.9899999999998</v>
          </cell>
          <cell r="I86">
            <v>2169.9899999999998</v>
          </cell>
          <cell r="J86">
            <v>1632.2095999999999</v>
          </cell>
          <cell r="K86">
            <v>134.83000000000001</v>
          </cell>
          <cell r="L86">
            <v>1767.0396000000001</v>
          </cell>
          <cell r="M86">
            <v>59.99</v>
          </cell>
          <cell r="N86">
            <v>2229.98</v>
          </cell>
          <cell r="O86" t="str">
            <v>COLOMBO</v>
          </cell>
          <cell r="P86">
            <v>1999.99</v>
          </cell>
          <cell r="Q86">
            <v>0.32947998835443698</v>
          </cell>
          <cell r="R86">
            <v>0.26198643199620397</v>
          </cell>
          <cell r="S86" t="e">
            <v>#VALUE!</v>
          </cell>
          <cell r="T86" t="e">
            <v>#VALUE!</v>
          </cell>
        </row>
        <row r="87">
          <cell r="A87" t="str">
            <v>MDJA0601185ZPER</v>
          </cell>
          <cell r="B87" t="str">
            <v>MKP000631001509</v>
          </cell>
          <cell r="C87" t="str">
            <v/>
          </cell>
          <cell r="D87" t="str">
            <v>Conjunto Sala de Jantar Madesa Analu Mesa Tampo de Madeira com 6 Cadeiras Rustic/Sintético Bege</v>
          </cell>
          <cell r="E87" t="str">
            <v>ANALU</v>
          </cell>
          <cell r="F87" t="str">
            <v>SALA DE JANTAR</v>
          </cell>
          <cell r="G87" t="str">
            <v>4290X</v>
          </cell>
          <cell r="H87">
            <v>1269.99</v>
          </cell>
          <cell r="I87">
            <v>699.99</v>
          </cell>
          <cell r="J87">
            <v>562.97410000000002</v>
          </cell>
          <cell r="K87">
            <v>98.72</v>
          </cell>
          <cell r="L87">
            <v>661.69410000000005</v>
          </cell>
          <cell r="M87">
            <v>43.293333333333301</v>
          </cell>
          <cell r="N87">
            <v>743.28333333333296</v>
          </cell>
          <cell r="O87" t="str">
            <v/>
          </cell>
          <cell r="P87">
            <v>0</v>
          </cell>
          <cell r="Q87">
            <v>0.24337869184390501</v>
          </cell>
          <cell r="R87">
            <v>0.12330355270408699</v>
          </cell>
          <cell r="S87" t="e">
            <v>#VALUE!</v>
          </cell>
          <cell r="T87" t="e">
            <v>#VALUE!</v>
          </cell>
        </row>
        <row r="88">
          <cell r="A88" t="str">
            <v>GCGL3490027K</v>
          </cell>
          <cell r="B88" t="str">
            <v>MKP000631004493</v>
          </cell>
          <cell r="C88" t="str">
            <v/>
          </cell>
          <cell r="D88" t="str">
            <v>Armário de Cozinha Completa de Canto 349cm Rustic Preto Glamy Madesa 02</v>
          </cell>
          <cell r="E88" t="str">
            <v>GLAMY</v>
          </cell>
          <cell r="F88" t="str">
            <v>COZINHA</v>
          </cell>
          <cell r="G88" t="str">
            <v/>
          </cell>
          <cell r="H88">
            <v>2499.9899999999998</v>
          </cell>
          <cell r="I88">
            <v>2399.9899999999998</v>
          </cell>
          <cell r="J88">
            <v>2025.4161999999999</v>
          </cell>
          <cell r="K88">
            <v>156.88999999999999</v>
          </cell>
          <cell r="L88">
            <v>2182.3062</v>
          </cell>
          <cell r="M88">
            <v>59.99</v>
          </cell>
          <cell r="N88">
            <v>2459.98</v>
          </cell>
          <cell r="O88" t="str">
            <v/>
          </cell>
          <cell r="P88">
            <v>0</v>
          </cell>
          <cell r="Q88">
            <v>0.18493670584840799</v>
          </cell>
          <cell r="R88">
            <v>0.12723869821750899</v>
          </cell>
          <cell r="S88" t="e">
            <v>#VALUE!</v>
          </cell>
          <cell r="T88" t="e">
            <v>#VALUE!</v>
          </cell>
        </row>
        <row r="89">
          <cell r="A89" t="str">
            <v>GCRM4020018N</v>
          </cell>
          <cell r="B89" t="str">
            <v>MKP000631002497</v>
          </cell>
          <cell r="C89" t="str">
            <v/>
          </cell>
          <cell r="D89" t="str">
            <v>Armário de Cozinha Completa de Canto 402cm Preto Reims Madesa 01</v>
          </cell>
          <cell r="E89" t="str">
            <v>REIMS</v>
          </cell>
          <cell r="F89" t="str">
            <v>COZINHA</v>
          </cell>
          <cell r="G89" t="str">
            <v/>
          </cell>
          <cell r="H89">
            <v>4139.99</v>
          </cell>
          <cell r="I89">
            <v>1999.99</v>
          </cell>
          <cell r="J89">
            <v>1761.4073000000001</v>
          </cell>
          <cell r="K89">
            <v>98.47</v>
          </cell>
          <cell r="L89">
            <v>1859.8773000000001</v>
          </cell>
          <cell r="M89">
            <v>59.99</v>
          </cell>
          <cell r="N89">
            <v>2059.98</v>
          </cell>
          <cell r="O89" t="str">
            <v/>
          </cell>
          <cell r="P89">
            <v>0</v>
          </cell>
          <cell r="Q89">
            <v>0.135450046108018</v>
          </cell>
          <cell r="R89">
            <v>0.10758919419039099</v>
          </cell>
          <cell r="S89" t="e">
            <v>#VALUE!</v>
          </cell>
          <cell r="T89" t="e">
            <v>#VALUE!</v>
          </cell>
        </row>
        <row r="90">
          <cell r="A90" t="str">
            <v>MDJA040140F9SIL</v>
          </cell>
          <cell r="B90" t="str">
            <v>MKP000631004735</v>
          </cell>
          <cell r="C90" t="str">
            <v/>
          </cell>
          <cell r="D90" t="str">
            <v>Conjunto Sala de Jantar Mesa Tampo de Vidro 4 Cadeiras Rustic/Cinza/Silver Anne Madesa</v>
          </cell>
          <cell r="E90" t="str">
            <v>ANNE</v>
          </cell>
          <cell r="F90" t="str">
            <v>SALA DE JANTAR</v>
          </cell>
          <cell r="G90">
            <v>4255</v>
          </cell>
          <cell r="H90">
            <v>1239.99</v>
          </cell>
          <cell r="I90">
            <v>999.99</v>
          </cell>
          <cell r="J90">
            <v>776.298</v>
          </cell>
          <cell r="K90">
            <v>59.72</v>
          </cell>
          <cell r="L90">
            <v>836.01800000000003</v>
          </cell>
          <cell r="M90">
            <v>19.989999999999998</v>
          </cell>
          <cell r="N90">
            <v>1019.98</v>
          </cell>
          <cell r="O90" t="str">
            <v>MAGALU</v>
          </cell>
          <cell r="P90">
            <v>978.94</v>
          </cell>
          <cell r="Q90">
            <v>0.28815223020025799</v>
          </cell>
          <cell r="R90">
            <v>0.220045501412649</v>
          </cell>
          <cell r="S90" t="e">
            <v>#VALUE!</v>
          </cell>
          <cell r="T90" t="e">
            <v>#VALUE!</v>
          </cell>
        </row>
        <row r="91">
          <cell r="A91" t="str">
            <v>GRAG270004F9</v>
          </cell>
          <cell r="B91" t="str">
            <v>MKP000631004466</v>
          </cell>
          <cell r="C91" t="str">
            <v/>
          </cell>
          <cell r="D91" t="str">
            <v>Armário de Cozinha Completa 270cm Rustic Cinza Agata Madesa 04</v>
          </cell>
          <cell r="E91" t="str">
            <v>ÁGATA</v>
          </cell>
          <cell r="F91" t="str">
            <v>COZINHA</v>
          </cell>
          <cell r="G91" t="str">
            <v/>
          </cell>
          <cell r="H91">
            <v>2129.9899999999998</v>
          </cell>
          <cell r="I91">
            <v>1889.99</v>
          </cell>
          <cell r="J91">
            <v>1370.0536999999999</v>
          </cell>
          <cell r="K91">
            <v>202.93</v>
          </cell>
          <cell r="L91">
            <v>1572.9837</v>
          </cell>
          <cell r="M91">
            <v>129.99</v>
          </cell>
          <cell r="N91">
            <v>2019.98</v>
          </cell>
          <cell r="O91" t="str">
            <v>LOJA</v>
          </cell>
          <cell r="P91">
            <v>1819.99</v>
          </cell>
          <cell r="Q91">
            <v>0.379500672126939</v>
          </cell>
          <cell r="R91">
            <v>0.28417096756946703</v>
          </cell>
          <cell r="S91" t="e">
            <v>#VALUE!</v>
          </cell>
          <cell r="T91" t="e">
            <v>#VALUE!</v>
          </cell>
        </row>
        <row r="92">
          <cell r="A92" t="str">
            <v>10978N1E</v>
          </cell>
          <cell r="B92" t="str">
            <v>MKP000631002362</v>
          </cell>
          <cell r="C92" t="str">
            <v/>
          </cell>
          <cell r="D92" t="str">
            <v>Guarda-Roupa Solteiro Madesa Tokio 2 Portas de Correr com Espelho 2 Gavetas Preto</v>
          </cell>
          <cell r="E92" t="str">
            <v>TOKIO</v>
          </cell>
          <cell r="F92" t="str">
            <v>QUARTO</v>
          </cell>
          <cell r="G92" t="str">
            <v/>
          </cell>
          <cell r="H92">
            <v>1059.99</v>
          </cell>
          <cell r="I92">
            <v>959.99</v>
          </cell>
          <cell r="J92">
            <v>750.39959999999996</v>
          </cell>
          <cell r="K92">
            <v>116.31</v>
          </cell>
          <cell r="L92">
            <v>866.70960000000002</v>
          </cell>
          <cell r="M92">
            <v>49.99</v>
          </cell>
          <cell r="N92">
            <v>1009.98</v>
          </cell>
          <cell r="O92" t="str">
            <v>VIA</v>
          </cell>
          <cell r="P92">
            <v>899.99</v>
          </cell>
          <cell r="Q92">
            <v>0.27930505293446301</v>
          </cell>
          <cell r="R92">
            <v>0.165303811103511</v>
          </cell>
          <cell r="S92" t="e">
            <v>#VALUE!</v>
          </cell>
          <cell r="T92" t="e">
            <v>#VALUE!</v>
          </cell>
        </row>
        <row r="93">
          <cell r="A93" t="str">
            <v>MDJA0401647GBE</v>
          </cell>
          <cell r="B93" t="str">
            <v>MKP000631005573</v>
          </cell>
          <cell r="C93" t="str">
            <v/>
          </cell>
          <cell r="D93" t="str">
            <v>Conjunto Sala de Jantar Mesa Tampo de Vidro 4 Cadeiras Rustic/Crema/Sintético Bege Perla Madesa</v>
          </cell>
          <cell r="E93" t="str">
            <v>PERLA</v>
          </cell>
          <cell r="F93" t="str">
            <v>SALA DE JANTAR</v>
          </cell>
          <cell r="G93" t="str">
            <v>4290X</v>
          </cell>
          <cell r="H93">
            <v>759.99</v>
          </cell>
          <cell r="I93">
            <v>659.99</v>
          </cell>
          <cell r="J93">
            <v>512.16920000000005</v>
          </cell>
          <cell r="K93">
            <v>102.743333333333</v>
          </cell>
          <cell r="L93">
            <v>614.91253333333304</v>
          </cell>
          <cell r="M93">
            <v>33.233333333333299</v>
          </cell>
          <cell r="N93">
            <v>693.22333333333302</v>
          </cell>
          <cell r="O93" t="str">
            <v>VIA</v>
          </cell>
          <cell r="P93">
            <v>659.99</v>
          </cell>
          <cell r="Q93">
            <v>0.28861712106077397</v>
          </cell>
          <cell r="R93">
            <v>0.12735274653695999</v>
          </cell>
          <cell r="S93" t="e">
            <v>#VALUE!</v>
          </cell>
          <cell r="T93" t="e">
            <v>#VALUE!</v>
          </cell>
        </row>
        <row r="94">
          <cell r="A94" t="str">
            <v>1085093E</v>
          </cell>
          <cell r="B94" t="str">
            <v>MKP000631000271</v>
          </cell>
          <cell r="C94" t="str">
            <v/>
          </cell>
          <cell r="D94" t="str">
            <v>Guarda-Roupa Casal Madesa Veneza 3 Portas de Correr com Espelho Branco</v>
          </cell>
          <cell r="E94" t="str">
            <v>VENEZA</v>
          </cell>
          <cell r="F94" t="str">
            <v>QUARTO</v>
          </cell>
          <cell r="G94" t="str">
            <v/>
          </cell>
          <cell r="H94">
            <v>2739.99</v>
          </cell>
          <cell r="I94">
            <v>1879.99</v>
          </cell>
          <cell r="J94">
            <v>1497.2784999999999</v>
          </cell>
          <cell r="K94">
            <v>231.85</v>
          </cell>
          <cell r="L94">
            <v>1729.1285</v>
          </cell>
          <cell r="M94">
            <v>99.99</v>
          </cell>
          <cell r="N94">
            <v>1979.98</v>
          </cell>
          <cell r="O94" t="str">
            <v>LOJA</v>
          </cell>
          <cell r="P94">
            <v>1759.99</v>
          </cell>
          <cell r="Q94">
            <v>0.25560475222211498</v>
          </cell>
          <cell r="R94">
            <v>0.145073949102106</v>
          </cell>
          <cell r="S94" t="e">
            <v>#VALUE!</v>
          </cell>
          <cell r="T94" t="e">
            <v>#VALUE!</v>
          </cell>
        </row>
        <row r="95">
          <cell r="A95" t="str">
            <v>1094091E2G</v>
          </cell>
          <cell r="B95" t="str">
            <v>MKP000631000785</v>
          </cell>
          <cell r="C95" t="str">
            <v/>
          </cell>
          <cell r="D95" t="str">
            <v>Guarda-Roupa Solteiro Madesa Dallas 2 Portas de Correr com Espelho 2 Gavetas Branco</v>
          </cell>
          <cell r="E95" t="str">
            <v>DALLAS</v>
          </cell>
          <cell r="F95" t="str">
            <v>QUARTO</v>
          </cell>
          <cell r="G95" t="str">
            <v/>
          </cell>
          <cell r="H95">
            <v>1479.99</v>
          </cell>
          <cell r="I95">
            <v>859.92</v>
          </cell>
          <cell r="J95">
            <v>693.77409999999998</v>
          </cell>
          <cell r="K95">
            <v>202.465</v>
          </cell>
          <cell r="L95">
            <v>896.23910000000001</v>
          </cell>
          <cell r="M95">
            <v>84.944999999999993</v>
          </cell>
          <cell r="N95">
            <v>944.86500000000001</v>
          </cell>
          <cell r="O95" t="str">
            <v/>
          </cell>
          <cell r="P95">
            <v>0</v>
          </cell>
          <cell r="Q95">
            <v>0.23948126630844199</v>
          </cell>
          <cell r="R95">
            <v>5.4255499453214999E-2</v>
          </cell>
          <cell r="S95" t="e">
            <v>#VALUE!</v>
          </cell>
          <cell r="T95" t="e">
            <v>#VALUE!</v>
          </cell>
        </row>
        <row r="96">
          <cell r="A96" t="str">
            <v>GRNC3000063B</v>
          </cell>
          <cell r="B96" t="str">
            <v>MKP000631004917</v>
          </cell>
          <cell r="C96" t="str">
            <v/>
          </cell>
          <cell r="D96" t="str">
            <v>Armário de Cozinha Completa Suspenso 300cm Cinza Nice Madesa 06</v>
          </cell>
          <cell r="E96" t="str">
            <v>NICE</v>
          </cell>
          <cell r="F96" t="str">
            <v>COZINHA</v>
          </cell>
          <cell r="G96" t="str">
            <v/>
          </cell>
          <cell r="H96">
            <v>1899.99</v>
          </cell>
          <cell r="I96">
            <v>1819.99</v>
          </cell>
          <cell r="J96">
            <v>1371.7868000000001</v>
          </cell>
          <cell r="K96">
            <v>204.64</v>
          </cell>
          <cell r="L96">
            <v>1576.4268</v>
          </cell>
          <cell r="M96">
            <v>49.9</v>
          </cell>
          <cell r="N96">
            <v>1869.89</v>
          </cell>
          <cell r="O96" t="str">
            <v>CARREFOUR</v>
          </cell>
          <cell r="P96">
            <v>1799.99</v>
          </cell>
          <cell r="Q96">
            <v>0.326729488868095</v>
          </cell>
          <cell r="R96">
            <v>0.18615720057537699</v>
          </cell>
          <cell r="S96" t="e">
            <v>#VALUE!</v>
          </cell>
          <cell r="T96" t="e">
            <v>#VALUE!</v>
          </cell>
        </row>
        <row r="97">
          <cell r="A97" t="str">
            <v>GRGL26000309</v>
          </cell>
          <cell r="B97" t="str">
            <v>MKP000631005029</v>
          </cell>
          <cell r="C97" t="str">
            <v/>
          </cell>
          <cell r="D97" t="str">
            <v>Armário de Cozinha Completa 260cm Branco Glamy Madesa 03</v>
          </cell>
          <cell r="E97" t="str">
            <v>GLAMY</v>
          </cell>
          <cell r="F97" t="str">
            <v>COZINHA</v>
          </cell>
          <cell r="G97" t="str">
            <v/>
          </cell>
          <cell r="H97">
            <v>1899.99</v>
          </cell>
          <cell r="I97">
            <v>1729.92</v>
          </cell>
          <cell r="J97">
            <v>1407.5279</v>
          </cell>
          <cell r="K97">
            <v>118.05</v>
          </cell>
          <cell r="L97">
            <v>1525.5779</v>
          </cell>
          <cell r="M97">
            <v>39.99</v>
          </cell>
          <cell r="N97">
            <v>1769.91</v>
          </cell>
          <cell r="O97" t="str">
            <v/>
          </cell>
          <cell r="P97">
            <v>0</v>
          </cell>
          <cell r="Q97">
            <v>0.22904846149053201</v>
          </cell>
          <cell r="R97">
            <v>0.16015707883550201</v>
          </cell>
          <cell r="S97" t="e">
            <v>#VALUE!</v>
          </cell>
          <cell r="T97" t="e">
            <v>#VALUE!</v>
          </cell>
        </row>
        <row r="98">
          <cell r="A98" t="str">
            <v>MDJA0601367KSL</v>
          </cell>
          <cell r="B98" t="str">
            <v>MKP000631005288</v>
          </cell>
          <cell r="C98" t="str">
            <v/>
          </cell>
          <cell r="D98" t="str">
            <v>Conjunto Sala de Jantar Mesa Tampo de Vidro 6 Cadeiras Rustic/Preto/Silver Alexis Madesa</v>
          </cell>
          <cell r="E98" t="str">
            <v>ALEXIS</v>
          </cell>
          <cell r="F98" t="str">
            <v>SALA DE JANTAR</v>
          </cell>
          <cell r="G98">
            <v>4255</v>
          </cell>
          <cell r="H98">
            <v>1779.99</v>
          </cell>
          <cell r="I98">
            <v>1759.99</v>
          </cell>
          <cell r="J98">
            <v>1296.7293999999999</v>
          </cell>
          <cell r="K98">
            <v>152.72</v>
          </cell>
          <cell r="L98">
            <v>1449.4494</v>
          </cell>
          <cell r="M98">
            <v>79.989999999999995</v>
          </cell>
          <cell r="N98">
            <v>1839.98</v>
          </cell>
          <cell r="O98" t="str">
            <v>MAGALU</v>
          </cell>
          <cell r="P98">
            <v>1659.99</v>
          </cell>
          <cell r="Q98">
            <v>0.35725310153375101</v>
          </cell>
          <cell r="R98">
            <v>0.26943375877764297</v>
          </cell>
          <cell r="S98" t="e">
            <v>#VALUE!</v>
          </cell>
          <cell r="T98" t="e">
            <v>#VALUE!</v>
          </cell>
        </row>
        <row r="99">
          <cell r="A99" t="str">
            <v>42905Z4XTPER</v>
          </cell>
          <cell r="B99" t="str">
            <v>MKP000631000087</v>
          </cell>
          <cell r="C99" t="str">
            <v/>
          </cell>
          <cell r="D99" t="str">
            <v>Kit 4 Cadeiras 4290 Madesa Rustic/Sintético Bege</v>
          </cell>
          <cell r="E99">
            <v>4290</v>
          </cell>
          <cell r="F99" t="str">
            <v>SALA DE JANTAR</v>
          </cell>
          <cell r="G99" t="str">
            <v>4290X</v>
          </cell>
          <cell r="H99">
            <v>669.99</v>
          </cell>
          <cell r="I99">
            <v>379.99</v>
          </cell>
          <cell r="J99">
            <v>256.8476</v>
          </cell>
          <cell r="K99">
            <v>88.186000000000007</v>
          </cell>
          <cell r="L99">
            <v>345.03359999999998</v>
          </cell>
          <cell r="M99">
            <v>39.956000000000003</v>
          </cell>
          <cell r="N99">
            <v>419.94600000000003</v>
          </cell>
          <cell r="O99" t="str">
            <v>WEB (MELI)</v>
          </cell>
          <cell r="P99">
            <v>379.99</v>
          </cell>
          <cell r="Q99">
            <v>0.47943761203141499</v>
          </cell>
          <cell r="R99">
            <v>0.217116246069948</v>
          </cell>
          <cell r="S99" t="e">
            <v>#VALUE!</v>
          </cell>
          <cell r="T99" t="e">
            <v>#VALUE!</v>
          </cell>
        </row>
        <row r="100">
          <cell r="A100" t="str">
            <v>42905Z4XTLIB</v>
          </cell>
          <cell r="B100" t="str">
            <v>MKP000631000086</v>
          </cell>
          <cell r="C100" t="str">
            <v/>
          </cell>
          <cell r="D100" t="str">
            <v>Kit 4 Cadeiras 4290 Madesa Rustic/Lírio Bege</v>
          </cell>
          <cell r="E100">
            <v>4290</v>
          </cell>
          <cell r="F100" t="str">
            <v>SALA DE JANTAR</v>
          </cell>
          <cell r="G100" t="str">
            <v>4290X</v>
          </cell>
          <cell r="H100">
            <v>669.99</v>
          </cell>
          <cell r="I100">
            <v>379.99</v>
          </cell>
          <cell r="J100">
            <v>256.8476</v>
          </cell>
          <cell r="K100">
            <v>71.84</v>
          </cell>
          <cell r="L100">
            <v>328.68759999999997</v>
          </cell>
          <cell r="M100">
            <v>39.954000000000001</v>
          </cell>
          <cell r="N100">
            <v>419.94400000000002</v>
          </cell>
          <cell r="O100" t="str">
            <v>WEB (MELI)</v>
          </cell>
          <cell r="P100">
            <v>379.99</v>
          </cell>
          <cell r="Q100">
            <v>0.47943761203141499</v>
          </cell>
          <cell r="R100">
            <v>0.27763870617571201</v>
          </cell>
          <cell r="S100" t="e">
            <v>#VALUE!</v>
          </cell>
          <cell r="T100" t="e">
            <v>#VALUE!</v>
          </cell>
        </row>
        <row r="101">
          <cell r="A101" t="str">
            <v>GRSM250001A9</v>
          </cell>
          <cell r="B101" t="str">
            <v>MKP000631001759</v>
          </cell>
          <cell r="C101" t="str">
            <v/>
          </cell>
          <cell r="D101" t="str">
            <v>Armário de Cozinha Completa 100% MDF 250 cm Branco/Rustic/Crema Smart Madesa 01</v>
          </cell>
          <cell r="E101" t="str">
            <v>SMART</v>
          </cell>
          <cell r="F101" t="str">
            <v>COZINHA</v>
          </cell>
          <cell r="G101" t="str">
            <v/>
          </cell>
          <cell r="H101">
            <v>2599.9899999999998</v>
          </cell>
          <cell r="I101">
            <v>1689.99</v>
          </cell>
          <cell r="J101">
            <v>1329.146</v>
          </cell>
          <cell r="K101">
            <v>239.4</v>
          </cell>
          <cell r="L101">
            <v>1568.546</v>
          </cell>
          <cell r="M101">
            <v>129.9</v>
          </cell>
          <cell r="N101">
            <v>1819.89</v>
          </cell>
          <cell r="O101" t="str">
            <v>MAGALU</v>
          </cell>
          <cell r="P101">
            <v>1684.2</v>
          </cell>
          <cell r="Q101">
            <v>0.27148560052845899</v>
          </cell>
          <cell r="R101">
            <v>0.160240120468255</v>
          </cell>
          <cell r="S101" t="e">
            <v>#VALUE!</v>
          </cell>
          <cell r="T101" t="e">
            <v>#VALUE!</v>
          </cell>
        </row>
        <row r="102">
          <cell r="A102" t="str">
            <v>1018732E</v>
          </cell>
          <cell r="B102" t="str">
            <v>MKP000631002379</v>
          </cell>
          <cell r="C102" t="str">
            <v/>
          </cell>
          <cell r="D102" t="str">
            <v>Guarda-Roupa Casal Madesa Kansas 3 Portas de Correr com Espelhos 3 Gavetas Branco/Preto</v>
          </cell>
          <cell r="E102" t="str">
            <v>KANSAS</v>
          </cell>
          <cell r="F102" t="str">
            <v>QUARTO</v>
          </cell>
          <cell r="G102" t="str">
            <v/>
          </cell>
          <cell r="H102">
            <v>2009.99</v>
          </cell>
          <cell r="I102">
            <v>1689.99</v>
          </cell>
          <cell r="J102">
            <v>1403.7782999999999</v>
          </cell>
          <cell r="K102">
            <v>156.01</v>
          </cell>
          <cell r="L102">
            <v>1559.7882999999999</v>
          </cell>
          <cell r="M102">
            <v>79.989999999999995</v>
          </cell>
          <cell r="N102">
            <v>1769.98</v>
          </cell>
          <cell r="O102" t="str">
            <v/>
          </cell>
          <cell r="P102">
            <v>0</v>
          </cell>
          <cell r="Q102">
            <v>0.20388668210642699</v>
          </cell>
          <cell r="R102">
            <v>0.13475655638653</v>
          </cell>
          <cell r="S102" t="e">
            <v>#VALUE!</v>
          </cell>
          <cell r="T102" t="e">
            <v>#VALUE!</v>
          </cell>
        </row>
        <row r="103">
          <cell r="A103" t="str">
            <v>044705ZXTFLH</v>
          </cell>
          <cell r="B103" t="str">
            <v>MKP000631000289</v>
          </cell>
          <cell r="C103" t="str">
            <v/>
          </cell>
          <cell r="D103" t="str">
            <v>Conjunto Sala de Jantar Rosie Madesa Mesa Tampo de Madeira com 4 Cadeiras Rustic/Floral Hibiscos</v>
          </cell>
          <cell r="E103" t="str">
            <v>ROSIE</v>
          </cell>
          <cell r="F103" t="str">
            <v>SALA DE JANTAR</v>
          </cell>
          <cell r="G103" t="str">
            <v>4290X</v>
          </cell>
          <cell r="H103">
            <v>649.99</v>
          </cell>
          <cell r="I103">
            <v>549.99</v>
          </cell>
          <cell r="J103">
            <v>439.91309999999999</v>
          </cell>
          <cell r="K103">
            <v>125.56333333333301</v>
          </cell>
          <cell r="L103">
            <v>565.47643333333303</v>
          </cell>
          <cell r="M103">
            <v>39.9</v>
          </cell>
          <cell r="N103">
            <v>589.89</v>
          </cell>
          <cell r="O103" t="str">
            <v/>
          </cell>
          <cell r="P103">
            <v>0</v>
          </cell>
          <cell r="Q103">
            <v>0.25022419200519402</v>
          </cell>
          <cell r="R103">
            <v>4.3173446721298803E-2</v>
          </cell>
          <cell r="S103" t="e">
            <v>#VALUE!</v>
          </cell>
          <cell r="T103" t="e">
            <v>#VALUE!</v>
          </cell>
        </row>
        <row r="104">
          <cell r="A104" t="str">
            <v>GRRM240002D8</v>
          </cell>
          <cell r="B104" t="str">
            <v>MKP000631001763</v>
          </cell>
          <cell r="C104" t="str">
            <v/>
          </cell>
          <cell r="D104" t="str">
            <v>Armário de Cozinha Completa 240cm Preto/Rustic Reims Madesa 02</v>
          </cell>
          <cell r="E104" t="str">
            <v>REIMS</v>
          </cell>
          <cell r="F104" t="str">
            <v>COZINHA</v>
          </cell>
          <cell r="G104" t="str">
            <v/>
          </cell>
          <cell r="H104">
            <v>1799.99</v>
          </cell>
          <cell r="I104">
            <v>1639.92</v>
          </cell>
          <cell r="J104">
            <v>1381.1389999999999</v>
          </cell>
          <cell r="K104">
            <v>62.5</v>
          </cell>
          <cell r="L104">
            <v>1443.6389999999999</v>
          </cell>
          <cell r="M104">
            <v>49.99</v>
          </cell>
          <cell r="N104">
            <v>1689.91</v>
          </cell>
          <cell r="O104" t="str">
            <v/>
          </cell>
          <cell r="P104">
            <v>0</v>
          </cell>
          <cell r="Q104">
            <v>0.187367817431845</v>
          </cell>
          <cell r="R104">
            <v>0.17059043154140399</v>
          </cell>
          <cell r="S104" t="e">
            <v>#VALUE!</v>
          </cell>
          <cell r="T104" t="e">
            <v>#VALUE!</v>
          </cell>
        </row>
        <row r="105">
          <cell r="A105" t="str">
            <v>MDJA0400505ZLIB</v>
          </cell>
          <cell r="B105" t="str">
            <v>MKP000631001552</v>
          </cell>
          <cell r="C105" t="str">
            <v/>
          </cell>
          <cell r="D105" t="str">
            <v>Conjunto Sala de Jantar Madesa Maya Mesa Tampo de Vidro com 4 Cadeiras Rustic/Lírio Bege</v>
          </cell>
          <cell r="E105" t="str">
            <v>MAYA</v>
          </cell>
          <cell r="F105" t="str">
            <v>SALA DE JANTAR</v>
          </cell>
          <cell r="G105" t="str">
            <v>4290X</v>
          </cell>
          <cell r="H105">
            <v>699.99</v>
          </cell>
          <cell r="I105">
            <v>599.99</v>
          </cell>
          <cell r="J105">
            <v>493.51929999999999</v>
          </cell>
          <cell r="K105">
            <v>111.256666666667</v>
          </cell>
          <cell r="L105">
            <v>604.77596666666705</v>
          </cell>
          <cell r="M105">
            <v>53.233333333333299</v>
          </cell>
          <cell r="N105">
            <v>653.22333333333302</v>
          </cell>
          <cell r="O105" t="str">
            <v/>
          </cell>
          <cell r="P105">
            <v>0</v>
          </cell>
          <cell r="Q105">
            <v>0.21573766213398299</v>
          </cell>
          <cell r="R105">
            <v>8.0107956229962696E-2</v>
          </cell>
          <cell r="S105" t="e">
            <v>#VALUE!</v>
          </cell>
          <cell r="T105" t="e">
            <v>#VALUE!</v>
          </cell>
        </row>
        <row r="106">
          <cell r="A106" t="str">
            <v>GRRM30000209</v>
          </cell>
          <cell r="B106" t="str">
            <v>MKP000631004196</v>
          </cell>
          <cell r="C106" t="str">
            <v/>
          </cell>
          <cell r="D106" t="str">
            <v>Armário de Cozinha Completa 300cm Branco Reims Madesa 02</v>
          </cell>
          <cell r="E106" t="str">
            <v>REIMS</v>
          </cell>
          <cell r="F106" t="str">
            <v>COZINHA</v>
          </cell>
          <cell r="G106" t="str">
            <v/>
          </cell>
          <cell r="H106">
            <v>1959.9</v>
          </cell>
          <cell r="I106">
            <v>1659.99</v>
          </cell>
          <cell r="J106">
            <v>1401.2494999999999</v>
          </cell>
          <cell r="K106">
            <v>150.97</v>
          </cell>
          <cell r="L106">
            <v>1552.2194999999999</v>
          </cell>
          <cell r="M106">
            <v>79.989999999999995</v>
          </cell>
          <cell r="N106">
            <v>1739.98</v>
          </cell>
          <cell r="O106" t="str">
            <v>AMAZON</v>
          </cell>
          <cell r="P106">
            <v>1599.99</v>
          </cell>
          <cell r="Q106">
            <v>0.18464984287237901</v>
          </cell>
          <cell r="R106">
            <v>0.120962595818439</v>
          </cell>
          <cell r="S106" t="e">
            <v>#VALUE!</v>
          </cell>
          <cell r="T106" t="e">
            <v>#VALUE!</v>
          </cell>
        </row>
        <row r="107">
          <cell r="A107" t="str">
            <v>GRRM23500209</v>
          </cell>
          <cell r="B107" t="str">
            <v>MKP000631003195</v>
          </cell>
          <cell r="C107" t="str">
            <v/>
          </cell>
          <cell r="D107" t="str">
            <v>Armário de Cozinha Completa 235cm Branco Reims Madesa 02</v>
          </cell>
          <cell r="E107" t="str">
            <v>REIMS</v>
          </cell>
          <cell r="F107" t="str">
            <v>COZINHA</v>
          </cell>
          <cell r="G107" t="str">
            <v/>
          </cell>
          <cell r="H107">
            <v>3179.99</v>
          </cell>
          <cell r="I107">
            <v>1639.92</v>
          </cell>
          <cell r="J107">
            <v>1430.5051000000001</v>
          </cell>
          <cell r="K107">
            <v>224.68</v>
          </cell>
          <cell r="L107">
            <v>1655.1850999999999</v>
          </cell>
          <cell r="M107">
            <v>99.99</v>
          </cell>
          <cell r="N107">
            <v>1739.91</v>
          </cell>
          <cell r="O107" t="str">
            <v/>
          </cell>
          <cell r="P107">
            <v>0</v>
          </cell>
          <cell r="Q107">
            <v>0.14639227780453201</v>
          </cell>
          <cell r="R107">
            <v>5.11875680852854E-2</v>
          </cell>
          <cell r="S107" t="e">
            <v>#VALUE!</v>
          </cell>
          <cell r="T107" t="e">
            <v>#VALUE!</v>
          </cell>
        </row>
        <row r="108">
          <cell r="A108" t="str">
            <v>MDJA0601367GSL</v>
          </cell>
          <cell r="B108" t="str">
            <v>MKP000631005290</v>
          </cell>
          <cell r="C108" t="str">
            <v/>
          </cell>
          <cell r="D108" t="str">
            <v>Conjunto Sala de Jantar Mesa Tampo de Vidro 6 Cadeiras Rustic/Crema/Silver Alexis Madesa</v>
          </cell>
          <cell r="E108" t="str">
            <v>ALEXIS</v>
          </cell>
          <cell r="F108" t="str">
            <v>SALA DE JANTAR</v>
          </cell>
          <cell r="G108">
            <v>4255</v>
          </cell>
          <cell r="H108">
            <v>1739.99</v>
          </cell>
          <cell r="I108">
            <v>1639.99</v>
          </cell>
          <cell r="J108">
            <v>1296.7293999999999</v>
          </cell>
          <cell r="K108">
            <v>192.11</v>
          </cell>
          <cell r="L108">
            <v>1488.8394000000001</v>
          </cell>
          <cell r="M108">
            <v>59.9</v>
          </cell>
          <cell r="N108">
            <v>1699.89</v>
          </cell>
          <cell r="O108" t="str">
            <v/>
          </cell>
          <cell r="P108">
            <v>0</v>
          </cell>
          <cell r="Q108">
            <v>0.264712591539916</v>
          </cell>
          <cell r="R108">
            <v>0.141755114755829</v>
          </cell>
          <cell r="S108" t="e">
            <v>#VALUE!</v>
          </cell>
          <cell r="T108" t="e">
            <v>#VALUE!</v>
          </cell>
        </row>
        <row r="109">
          <cell r="A109" t="str">
            <v>GRGM22000109</v>
          </cell>
          <cell r="B109" t="str">
            <v>MKP000631000981</v>
          </cell>
          <cell r="C109" t="str">
            <v/>
          </cell>
          <cell r="D109" t="str">
            <v>Kit Área De Serviço Madesa Acordes 100% MDF com Armário, Balcão e Torre Portas Branco Brilho</v>
          </cell>
          <cell r="E109" t="str">
            <v>ACORDES</v>
          </cell>
          <cell r="F109" t="str">
            <v>COZINHA</v>
          </cell>
          <cell r="G109" t="str">
            <v/>
          </cell>
          <cell r="H109">
            <v>1699.99</v>
          </cell>
          <cell r="I109">
            <v>1599.99</v>
          </cell>
          <cell r="J109">
            <v>1306.3977</v>
          </cell>
          <cell r="K109">
            <v>125.5</v>
          </cell>
          <cell r="L109">
            <v>1431.8977</v>
          </cell>
          <cell r="M109">
            <v>49.99</v>
          </cell>
          <cell r="N109">
            <v>1649.98</v>
          </cell>
          <cell r="O109" t="str">
            <v>B2W</v>
          </cell>
          <cell r="P109">
            <v>1639.99</v>
          </cell>
          <cell r="Q109">
            <v>0.22473424440352299</v>
          </cell>
          <cell r="R109">
            <v>0.152302989242877</v>
          </cell>
          <cell r="S109" t="e">
            <v>#VALUE!</v>
          </cell>
          <cell r="T109" t="e">
            <v>#VALUE!</v>
          </cell>
        </row>
        <row r="110">
          <cell r="A110" t="str">
            <v>MDJA040139F9SIL</v>
          </cell>
          <cell r="B110" t="str">
            <v>MKP000631004740</v>
          </cell>
          <cell r="C110" t="str">
            <v/>
          </cell>
          <cell r="D110" t="str">
            <v>Conjunto Sala de Jantar Mesa Tampo de Madeira 4 Cadeiras Rustic/Cinza/Silver Karina Madesa</v>
          </cell>
          <cell r="E110" t="str">
            <v>KARINA</v>
          </cell>
          <cell r="F110" t="str">
            <v>SALA DE JANTAR</v>
          </cell>
          <cell r="G110">
            <v>4255</v>
          </cell>
          <cell r="H110">
            <v>969.99</v>
          </cell>
          <cell r="I110">
            <v>869.99</v>
          </cell>
          <cell r="J110">
            <v>691.69219999999996</v>
          </cell>
          <cell r="K110">
            <v>107.22</v>
          </cell>
          <cell r="L110">
            <v>798.91219999999998</v>
          </cell>
          <cell r="M110">
            <v>39.9</v>
          </cell>
          <cell r="N110">
            <v>909.89</v>
          </cell>
          <cell r="O110" t="str">
            <v>LOJA/WEB</v>
          </cell>
          <cell r="P110">
            <v>939.99</v>
          </cell>
          <cell r="Q110">
            <v>0.25777043604077099</v>
          </cell>
          <cell r="R110">
            <v>0.13891113441502101</v>
          </cell>
          <cell r="S110" t="e">
            <v>#VALUE!</v>
          </cell>
          <cell r="T110" t="e">
            <v>#VALUE!</v>
          </cell>
        </row>
        <row r="111">
          <cell r="A111" t="str">
            <v>GRNC3400013B</v>
          </cell>
          <cell r="B111" t="str">
            <v>MKP000631004844</v>
          </cell>
          <cell r="C111" t="str">
            <v/>
          </cell>
          <cell r="D111" t="str">
            <v>Armário de Cozinha Completa 340cm Cinza Nice Madesa 01</v>
          </cell>
          <cell r="E111" t="str">
            <v>NICE</v>
          </cell>
          <cell r="F111" t="str">
            <v>COZINHA</v>
          </cell>
          <cell r="G111" t="str">
            <v/>
          </cell>
          <cell r="H111">
            <v>1899.99</v>
          </cell>
          <cell r="I111">
            <v>1849.99</v>
          </cell>
          <cell r="J111">
            <v>1240.4527</v>
          </cell>
          <cell r="K111">
            <v>178.25</v>
          </cell>
          <cell r="L111">
            <v>1418.7027</v>
          </cell>
          <cell r="M111">
            <v>79.900000000000006</v>
          </cell>
          <cell r="N111">
            <v>1929.89</v>
          </cell>
          <cell r="O111" t="str">
            <v>MAGALU</v>
          </cell>
          <cell r="P111">
            <v>1768.41</v>
          </cell>
          <cell r="Q111">
            <v>0.49138294430734802</v>
          </cell>
          <cell r="R111">
            <v>0.36032024186603701</v>
          </cell>
          <cell r="S111" t="e">
            <v>#VALUE!</v>
          </cell>
          <cell r="T111" t="e">
            <v>#VALUE!</v>
          </cell>
        </row>
        <row r="112">
          <cell r="A112" t="str">
            <v>GREA1800017K</v>
          </cell>
          <cell r="B112" t="str">
            <v>MKP000631005583</v>
          </cell>
          <cell r="C112" t="str">
            <v/>
          </cell>
          <cell r="D112" t="str">
            <v>Armário de Cozinha Compacta 180cm Rustic/Preto Easy Madesa</v>
          </cell>
          <cell r="E112" t="str">
            <v>EASY</v>
          </cell>
          <cell r="F112" t="str">
            <v>COZINHA</v>
          </cell>
          <cell r="G112" t="str">
            <v/>
          </cell>
          <cell r="H112">
            <v>499.99</v>
          </cell>
          <cell r="I112">
            <v>499.99</v>
          </cell>
          <cell r="J112">
            <v>414.52699999999999</v>
          </cell>
          <cell r="K112">
            <v>111.26666666666701</v>
          </cell>
          <cell r="L112">
            <v>525.79366666666704</v>
          </cell>
          <cell r="M112">
            <v>39.93</v>
          </cell>
          <cell r="N112">
            <v>539.91999999999996</v>
          </cell>
          <cell r="O112" t="str">
            <v/>
          </cell>
          <cell r="P112">
            <v>0</v>
          </cell>
          <cell r="Q112">
            <v>0.20616992379266</v>
          </cell>
          <cell r="R112">
            <v>2.68666859813829E-2</v>
          </cell>
          <cell r="S112" t="e">
            <v>#VALUE!</v>
          </cell>
          <cell r="T112" t="e">
            <v>#VALUE!</v>
          </cell>
        </row>
        <row r="113">
          <cell r="A113" t="str">
            <v>G2007009</v>
          </cell>
          <cell r="B113" t="str">
            <v>MKP000631002492</v>
          </cell>
          <cell r="C113" t="str">
            <v/>
          </cell>
          <cell r="D113" t="str">
            <v>Armário de Cozinha Compacta Branco Emilly Top Madesa</v>
          </cell>
          <cell r="E113" t="str">
            <v>TOP/EMILLY</v>
          </cell>
          <cell r="F113" t="str">
            <v>COZINHA</v>
          </cell>
          <cell r="G113" t="str">
            <v/>
          </cell>
          <cell r="H113">
            <v>1159.99</v>
          </cell>
          <cell r="I113">
            <v>759.99</v>
          </cell>
          <cell r="J113">
            <v>587.28110000000004</v>
          </cell>
          <cell r="K113">
            <v>114.315</v>
          </cell>
          <cell r="L113">
            <v>701.59609999999998</v>
          </cell>
          <cell r="M113">
            <v>39.945</v>
          </cell>
          <cell r="N113">
            <v>799.93499999999995</v>
          </cell>
          <cell r="O113" t="str">
            <v>MAGALU</v>
          </cell>
          <cell r="P113">
            <v>736.83</v>
          </cell>
          <cell r="Q113">
            <v>0.29408216950962701</v>
          </cell>
          <cell r="R113">
            <v>0.14016454766496</v>
          </cell>
          <cell r="S113" t="e">
            <v>#VALUE!</v>
          </cell>
          <cell r="T113" t="e">
            <v>#VALUE!</v>
          </cell>
        </row>
        <row r="114">
          <cell r="A114" t="str">
            <v>69487K1</v>
          </cell>
          <cell r="B114" t="str">
            <v>MKP000631001774</v>
          </cell>
          <cell r="C114" t="str">
            <v/>
          </cell>
          <cell r="D114" t="str">
            <v>Rack para TV até 55 Polegadas Madesa Le Mans com 2 Portas Rustic/Preto</v>
          </cell>
          <cell r="E114" t="str">
            <v>LE MANS</v>
          </cell>
          <cell r="F114" t="str">
            <v>SALA DE ESTAR</v>
          </cell>
          <cell r="G114" t="str">
            <v/>
          </cell>
          <cell r="H114">
            <v>549.99</v>
          </cell>
          <cell r="I114">
            <v>299.99</v>
          </cell>
          <cell r="J114">
            <v>246.9177</v>
          </cell>
          <cell r="K114">
            <v>92.12</v>
          </cell>
          <cell r="L114">
            <v>339.03769999999997</v>
          </cell>
          <cell r="M114">
            <v>35.9</v>
          </cell>
          <cell r="N114">
            <v>335.89</v>
          </cell>
          <cell r="O114" t="str">
            <v>WEB (B2W)</v>
          </cell>
          <cell r="P114">
            <v>299.99</v>
          </cell>
          <cell r="Q114">
            <v>0.21493922873896801</v>
          </cell>
          <cell r="R114">
            <v>-9.2842182447557802E-3</v>
          </cell>
          <cell r="S114" t="e">
            <v>#VALUE!</v>
          </cell>
          <cell r="T114" t="e">
            <v>#VALUE!</v>
          </cell>
        </row>
        <row r="115">
          <cell r="A115" t="str">
            <v>MDJA0601367KSM</v>
          </cell>
          <cell r="B115" t="str">
            <v>MKP000631005289</v>
          </cell>
          <cell r="C115" t="str">
            <v/>
          </cell>
          <cell r="D115" t="str">
            <v>Conjunto Sala de Jantar Mesa Tampo de Vidro 6 Cadeiras Rustic/Preto/Imperial Alexis Madesa</v>
          </cell>
          <cell r="E115" t="str">
            <v>ALEXIS</v>
          </cell>
          <cell r="F115" t="str">
            <v>SALA DE JANTAR</v>
          </cell>
          <cell r="G115">
            <v>4255</v>
          </cell>
          <cell r="H115">
            <v>1779.99</v>
          </cell>
          <cell r="I115">
            <v>1679.99</v>
          </cell>
          <cell r="J115">
            <v>1296.7293999999999</v>
          </cell>
          <cell r="K115">
            <v>62.5</v>
          </cell>
          <cell r="L115">
            <v>1359.2293999999999</v>
          </cell>
          <cell r="M115">
            <v>39.99</v>
          </cell>
          <cell r="N115">
            <v>1719.98</v>
          </cell>
          <cell r="O115" t="str">
            <v>IMPÉRIO</v>
          </cell>
          <cell r="P115">
            <v>1799</v>
          </cell>
          <cell r="Q115">
            <v>0.29555942820452702</v>
          </cell>
          <cell r="R115">
            <v>0.265408179075585</v>
          </cell>
          <cell r="S115" t="e">
            <v>#VALUE!</v>
          </cell>
          <cell r="T115" t="e">
            <v>#VALUE!</v>
          </cell>
        </row>
        <row r="116">
          <cell r="A116" t="str">
            <v>GCRM4020048N</v>
          </cell>
          <cell r="B116" t="str">
            <v>MKP000631004291</v>
          </cell>
          <cell r="C116" t="str">
            <v/>
          </cell>
          <cell r="D116" t="str">
            <v>Armário de Cozinha Completa de Canto 402cm Preto Reims Madesa 04</v>
          </cell>
          <cell r="E116" t="str">
            <v>REIMS</v>
          </cell>
          <cell r="F116" t="str">
            <v>COZINHA</v>
          </cell>
          <cell r="G116" t="str">
            <v/>
          </cell>
          <cell r="H116">
            <v>1649.99</v>
          </cell>
          <cell r="I116">
            <v>1489.92</v>
          </cell>
          <cell r="J116">
            <v>1248.8893</v>
          </cell>
          <cell r="K116">
            <v>188.92</v>
          </cell>
          <cell r="L116">
            <v>1437.8092999999999</v>
          </cell>
          <cell r="M116">
            <v>0</v>
          </cell>
          <cell r="N116">
            <v>1489.92</v>
          </cell>
          <cell r="O116" t="str">
            <v/>
          </cell>
          <cell r="P116">
            <v>0</v>
          </cell>
          <cell r="Q116">
            <v>0.192996048568916</v>
          </cell>
          <cell r="R116">
            <v>3.6243123479587899E-2</v>
          </cell>
          <cell r="S116" t="e">
            <v>#VALUE!</v>
          </cell>
          <cell r="T116" t="e">
            <v>#VALUE!</v>
          </cell>
        </row>
        <row r="117">
          <cell r="A117" t="str">
            <v>GREM325001C1</v>
          </cell>
          <cell r="B117" t="str">
            <v>MKP000631005019</v>
          </cell>
          <cell r="C117" t="str">
            <v/>
          </cell>
          <cell r="D117" t="str">
            <v>Armário de Cozinha Completa 325cm Preto/Rustic Emilly Joy Madesa</v>
          </cell>
          <cell r="E117" t="str">
            <v>JOY/EMILLY</v>
          </cell>
          <cell r="F117" t="str">
            <v>COZINHA</v>
          </cell>
          <cell r="G117" t="str">
            <v/>
          </cell>
          <cell r="H117">
            <v>1579.99</v>
          </cell>
          <cell r="I117">
            <v>1549.99</v>
          </cell>
          <cell r="J117">
            <v>1092.4088999999999</v>
          </cell>
          <cell r="K117">
            <v>157.63999999999999</v>
          </cell>
          <cell r="L117">
            <v>1250.0489</v>
          </cell>
          <cell r="M117">
            <v>0</v>
          </cell>
          <cell r="N117">
            <v>1549.99</v>
          </cell>
          <cell r="O117" t="str">
            <v>MAGALU</v>
          </cell>
          <cell r="P117">
            <v>1473.67</v>
          </cell>
          <cell r="Q117">
            <v>0.41887346395658198</v>
          </cell>
          <cell r="R117">
            <v>0.239943493410538</v>
          </cell>
          <cell r="S117" t="e">
            <v>#VALUE!</v>
          </cell>
          <cell r="T117" t="e">
            <v>#VALUE!</v>
          </cell>
        </row>
        <row r="118">
          <cell r="A118" t="str">
            <v>GRNC2600033B</v>
          </cell>
          <cell r="B118" t="str">
            <v>MKP000631004805</v>
          </cell>
          <cell r="C118" t="str">
            <v/>
          </cell>
          <cell r="D118" t="str">
            <v>Armário de Cozinha Completa 260cm Cinza Nice Madesa 03</v>
          </cell>
          <cell r="E118" t="str">
            <v>NICE</v>
          </cell>
          <cell r="F118" t="str">
            <v>COZINHA</v>
          </cell>
          <cell r="G118" t="str">
            <v/>
          </cell>
          <cell r="H118">
            <v>1599.99</v>
          </cell>
          <cell r="I118">
            <v>1499.99</v>
          </cell>
          <cell r="J118">
            <v>1135.2568000000001</v>
          </cell>
          <cell r="K118">
            <v>153.83000000000001</v>
          </cell>
          <cell r="L118">
            <v>1289.0868</v>
          </cell>
          <cell r="M118">
            <v>39.9</v>
          </cell>
          <cell r="N118">
            <v>1539.89</v>
          </cell>
          <cell r="O118" t="str">
            <v>VIA</v>
          </cell>
          <cell r="P118">
            <v>1499.99</v>
          </cell>
          <cell r="Q118">
            <v>0.321278146054707</v>
          </cell>
          <cell r="R118">
            <v>0.19455881481371201</v>
          </cell>
          <cell r="S118" t="e">
            <v>#VALUE!</v>
          </cell>
          <cell r="T118" t="e">
            <v>#VALUE!</v>
          </cell>
        </row>
        <row r="119">
          <cell r="A119" t="str">
            <v>XA70145Z3</v>
          </cell>
          <cell r="B119" t="str">
            <v>MKP000631001807</v>
          </cell>
          <cell r="C119" t="str">
            <v/>
          </cell>
          <cell r="D119" t="str">
            <v>Buffet Aparador Madesa 7014 com 3 Gavetas e 2 Portas com Pés Rustic</v>
          </cell>
          <cell r="E119">
            <v>7014</v>
          </cell>
          <cell r="F119" t="str">
            <v>SALA DE JANTAR</v>
          </cell>
          <cell r="G119" t="str">
            <v/>
          </cell>
          <cell r="H119">
            <v>1399.99</v>
          </cell>
          <cell r="I119">
            <v>719.99</v>
          </cell>
          <cell r="J119">
            <v>551.73620000000005</v>
          </cell>
          <cell r="K119">
            <v>73.760000000000005</v>
          </cell>
          <cell r="L119">
            <v>625.49620000000004</v>
          </cell>
          <cell r="M119">
            <v>29.99</v>
          </cell>
          <cell r="N119">
            <v>749.98</v>
          </cell>
          <cell r="O119" t="str">
            <v>CARREFOUR</v>
          </cell>
          <cell r="P119">
            <v>699.99</v>
          </cell>
          <cell r="Q119">
            <v>0.30495334545748498</v>
          </cell>
          <cell r="R119">
            <v>0.19901607715602401</v>
          </cell>
          <cell r="S119" t="e">
            <v>#VALUE!</v>
          </cell>
          <cell r="T119" t="e">
            <v>#VALUE!</v>
          </cell>
        </row>
        <row r="120">
          <cell r="A120" t="str">
            <v>GRNC2600133B</v>
          </cell>
          <cell r="B120" t="str">
            <v>MKP000631004993</v>
          </cell>
          <cell r="C120" t="str">
            <v/>
          </cell>
          <cell r="D120" t="str">
            <v>Armário de Cozinha Completa Suspenso 260cm Cinza Nice Madesa 13</v>
          </cell>
          <cell r="E120" t="str">
            <v>NICE</v>
          </cell>
          <cell r="F120" t="str">
            <v>COZINHA</v>
          </cell>
          <cell r="G120" t="str">
            <v/>
          </cell>
          <cell r="H120">
            <v>1759.99</v>
          </cell>
          <cell r="I120">
            <v>1659.99</v>
          </cell>
          <cell r="J120">
            <v>1172.1424</v>
          </cell>
          <cell r="K120">
            <v>153.57</v>
          </cell>
          <cell r="L120">
            <v>1325.7123999999999</v>
          </cell>
          <cell r="M120">
            <v>39.9</v>
          </cell>
          <cell r="N120">
            <v>1699.89</v>
          </cell>
          <cell r="O120" t="str">
            <v>WEB (B2W)/CARREFOUR</v>
          </cell>
          <cell r="P120">
            <v>1659.99</v>
          </cell>
          <cell r="Q120">
            <v>0.416201649219412</v>
          </cell>
          <cell r="R120">
            <v>0.28224643595398202</v>
          </cell>
          <cell r="S120" t="e">
            <v>#VALUE!</v>
          </cell>
          <cell r="T120" t="e">
            <v>#VALUE!</v>
          </cell>
        </row>
        <row r="121">
          <cell r="A121" t="str">
            <v>MDJA0601447KPT</v>
          </cell>
          <cell r="B121" t="str">
            <v>MKP000631005518</v>
          </cell>
          <cell r="C121" t="str">
            <v/>
          </cell>
          <cell r="D121" t="str">
            <v>Conjunto Sala de Jantar Mesa Tampo de Madeira 6 Cadeiras Rustic/Preto Bahamas Madesa</v>
          </cell>
          <cell r="E121" t="str">
            <v>BAHAMAS</v>
          </cell>
          <cell r="F121" t="str">
            <v>SALA DE JANTAR</v>
          </cell>
          <cell r="G121">
            <v>4280</v>
          </cell>
          <cell r="H121">
            <v>829.99</v>
          </cell>
          <cell r="I121">
            <v>729.99</v>
          </cell>
          <cell r="J121">
            <v>582.85569999999996</v>
          </cell>
          <cell r="K121">
            <v>156.61500000000001</v>
          </cell>
          <cell r="L121">
            <v>739.47069999999997</v>
          </cell>
          <cell r="M121">
            <v>59.9</v>
          </cell>
          <cell r="N121">
            <v>789.89</v>
          </cell>
          <cell r="O121" t="str">
            <v/>
          </cell>
          <cell r="P121">
            <v>0</v>
          </cell>
          <cell r="Q121">
            <v>0.25243692392473799</v>
          </cell>
          <cell r="R121">
            <v>6.8182958432294799E-2</v>
          </cell>
          <cell r="S121" t="e">
            <v>#VALUE!</v>
          </cell>
          <cell r="T121" t="e">
            <v>#VALUE!</v>
          </cell>
        </row>
        <row r="122">
          <cell r="A122" t="str">
            <v>GRTP2400059B</v>
          </cell>
          <cell r="B122" t="str">
            <v>MKP000631004954</v>
          </cell>
          <cell r="C122" t="str">
            <v/>
          </cell>
          <cell r="D122" t="str">
            <v>Armário de Cozinha Completa 240cm Branco/Rustic Topazio Madesa 05</v>
          </cell>
          <cell r="E122" t="str">
            <v>TOPÁZIO</v>
          </cell>
          <cell r="F122" t="str">
            <v>COZINHA</v>
          </cell>
          <cell r="G122" t="str">
            <v/>
          </cell>
          <cell r="H122">
            <v>1549.99</v>
          </cell>
          <cell r="I122">
            <v>1399.92</v>
          </cell>
          <cell r="J122">
            <v>1072.4292</v>
          </cell>
          <cell r="K122">
            <v>210.04</v>
          </cell>
          <cell r="L122">
            <v>1282.4692</v>
          </cell>
          <cell r="M122">
            <v>79.900000000000006</v>
          </cell>
          <cell r="N122">
            <v>1479.82</v>
          </cell>
          <cell r="O122" t="str">
            <v/>
          </cell>
          <cell r="P122">
            <v>0</v>
          </cell>
          <cell r="Q122">
            <v>0.30537288615416303</v>
          </cell>
          <cell r="R122">
            <v>0.153883461684694</v>
          </cell>
          <cell r="S122" t="e">
            <v>#VALUE!</v>
          </cell>
          <cell r="T122" t="e">
            <v>#VALUE!</v>
          </cell>
        </row>
        <row r="123">
          <cell r="A123" t="str">
            <v>XAGRRM260002D8</v>
          </cell>
          <cell r="B123" t="str">
            <v>MKP000631003311</v>
          </cell>
          <cell r="C123" t="str">
            <v/>
          </cell>
          <cell r="D123" t="str">
            <v>Armário de Cozinha Completa 260cm Preto/Rustic Reims Madesa 02</v>
          </cell>
          <cell r="E123" t="str">
            <v>REIMS</v>
          </cell>
          <cell r="F123" t="str">
            <v>COZINHA</v>
          </cell>
          <cell r="G123" t="str">
            <v/>
          </cell>
          <cell r="H123">
            <v>2479.9899999999998</v>
          </cell>
          <cell r="I123">
            <v>1739.99</v>
          </cell>
          <cell r="J123">
            <v>1301.0676000000001</v>
          </cell>
          <cell r="K123">
            <v>186.87</v>
          </cell>
          <cell r="L123">
            <v>1487.9376</v>
          </cell>
          <cell r="M123">
            <v>99.9</v>
          </cell>
          <cell r="N123">
            <v>1839.89</v>
          </cell>
          <cell r="O123" t="str">
            <v>WEB (VIA)</v>
          </cell>
          <cell r="P123">
            <v>1739.99</v>
          </cell>
          <cell r="Q123">
            <v>0.33735556861150001</v>
          </cell>
          <cell r="R123">
            <v>0.23653706983411099</v>
          </cell>
          <cell r="S123" t="e">
            <v>#VALUE!</v>
          </cell>
          <cell r="T123" t="e">
            <v>#VALUE!</v>
          </cell>
        </row>
        <row r="124">
          <cell r="A124" t="str">
            <v>GRNC1200013B</v>
          </cell>
          <cell r="B124" t="str">
            <v>MKP000631004809</v>
          </cell>
          <cell r="C124" t="str">
            <v/>
          </cell>
          <cell r="D124" t="str">
            <v>Armário de Cozinha Compacta 120cm Cinza Nice Madesa 01</v>
          </cell>
          <cell r="E124" t="str">
            <v>NICE</v>
          </cell>
          <cell r="F124" t="str">
            <v>COZINHA</v>
          </cell>
          <cell r="G124" t="str">
            <v/>
          </cell>
          <cell r="H124">
            <v>1339.99</v>
          </cell>
          <cell r="I124">
            <v>888.88</v>
          </cell>
          <cell r="J124">
            <v>618.25890000000004</v>
          </cell>
          <cell r="K124">
            <v>122.95</v>
          </cell>
          <cell r="L124">
            <v>741.20889999999997</v>
          </cell>
          <cell r="M124">
            <v>54.9</v>
          </cell>
          <cell r="N124">
            <v>943.78</v>
          </cell>
          <cell r="O124" t="str">
            <v>WEB (B2W)</v>
          </cell>
          <cell r="P124">
            <v>888.88</v>
          </cell>
          <cell r="Q124">
            <v>0.43771484729132099</v>
          </cell>
          <cell r="R124">
            <v>0.27329825640248001</v>
          </cell>
          <cell r="S124" t="e">
            <v>#VALUE!</v>
          </cell>
          <cell r="T124" t="e">
            <v>#VALUE!</v>
          </cell>
        </row>
        <row r="125">
          <cell r="A125" t="str">
            <v>GRNC2600113B</v>
          </cell>
          <cell r="B125" t="str">
            <v>MKP000631004918</v>
          </cell>
          <cell r="C125" t="str">
            <v/>
          </cell>
          <cell r="D125" t="str">
            <v>Armário de Cozinha Completa Suspenso 260cm Cinza Nice Madesa 11</v>
          </cell>
          <cell r="E125" t="str">
            <v>NICE</v>
          </cell>
          <cell r="F125" t="str">
            <v>COZINHA</v>
          </cell>
          <cell r="G125" t="str">
            <v/>
          </cell>
          <cell r="H125">
            <v>1559.99</v>
          </cell>
          <cell r="I125">
            <v>1469.99</v>
          </cell>
          <cell r="J125">
            <v>1084.6153999999999</v>
          </cell>
          <cell r="K125">
            <v>145.28</v>
          </cell>
          <cell r="L125">
            <v>1229.8954000000001</v>
          </cell>
          <cell r="M125">
            <v>0</v>
          </cell>
          <cell r="N125">
            <v>1469.99</v>
          </cell>
          <cell r="O125" t="str">
            <v>MADEIRAMADEIRA</v>
          </cell>
          <cell r="P125">
            <v>1459.99</v>
          </cell>
          <cell r="Q125">
            <v>0.35530990985375999</v>
          </cell>
          <cell r="R125">
            <v>0.19521546303856399</v>
          </cell>
          <cell r="S125" t="e">
            <v>#VALUE!</v>
          </cell>
          <cell r="T125" t="e">
            <v>#VALUE!</v>
          </cell>
        </row>
        <row r="126">
          <cell r="A126" t="str">
            <v>10956E2E</v>
          </cell>
          <cell r="B126" t="str">
            <v>MKP000631002084</v>
          </cell>
          <cell r="C126" t="str">
            <v/>
          </cell>
          <cell r="D126" t="str">
            <v>Guarda-Roupa Casal Madesa Reno 3 Portas de Correr com Espelhos Rustic/Branco</v>
          </cell>
          <cell r="E126" t="str">
            <v>RENO</v>
          </cell>
          <cell r="F126" t="str">
            <v>QUARTO</v>
          </cell>
          <cell r="G126" t="str">
            <v/>
          </cell>
          <cell r="H126">
            <v>1769.99</v>
          </cell>
          <cell r="I126">
            <v>1359.92</v>
          </cell>
          <cell r="J126">
            <v>1157.5255</v>
          </cell>
          <cell r="K126">
            <v>212.7</v>
          </cell>
          <cell r="L126">
            <v>1370.2255</v>
          </cell>
          <cell r="M126">
            <v>99.9</v>
          </cell>
          <cell r="N126">
            <v>1459.82</v>
          </cell>
          <cell r="O126" t="str">
            <v/>
          </cell>
          <cell r="P126">
            <v>0</v>
          </cell>
          <cell r="Q126">
            <v>0.17485100760199199</v>
          </cell>
          <cell r="R126">
            <v>6.5386682702956597E-2</v>
          </cell>
          <cell r="S126" t="e">
            <v>#VALUE!</v>
          </cell>
          <cell r="T126" t="e">
            <v>#VALUE!</v>
          </cell>
        </row>
        <row r="127">
          <cell r="A127" t="str">
            <v>GRNC2400033B</v>
          </cell>
          <cell r="B127" t="str">
            <v>MKP000631005000</v>
          </cell>
          <cell r="C127" t="str">
            <v/>
          </cell>
          <cell r="D127" t="str">
            <v>Armário de Cozinha Completa 240cm Cinza Nice Madesa 03</v>
          </cell>
          <cell r="E127" t="str">
            <v>NICE</v>
          </cell>
          <cell r="F127" t="str">
            <v>COZINHA</v>
          </cell>
          <cell r="G127" t="str">
            <v/>
          </cell>
          <cell r="H127">
            <v>1649.99</v>
          </cell>
          <cell r="I127">
            <v>1549.99</v>
          </cell>
          <cell r="J127">
            <v>1145.7644</v>
          </cell>
          <cell r="K127">
            <v>160.16</v>
          </cell>
          <cell r="L127">
            <v>1305.9244000000001</v>
          </cell>
          <cell r="M127">
            <v>59.9</v>
          </cell>
          <cell r="N127">
            <v>1609.89</v>
          </cell>
          <cell r="O127" t="str">
            <v>WEB</v>
          </cell>
          <cell r="P127">
            <v>1549.99</v>
          </cell>
          <cell r="Q127">
            <v>0.35279992989832798</v>
          </cell>
          <cell r="R127">
            <v>0.232758956031452</v>
          </cell>
          <cell r="S127" t="e">
            <v>#VALUE!</v>
          </cell>
          <cell r="T127" t="e">
            <v>#VALUE!</v>
          </cell>
        </row>
        <row r="128">
          <cell r="A128" t="str">
            <v>GREM325002J1</v>
          </cell>
          <cell r="B128" t="str">
            <v>MKP000631005013</v>
          </cell>
          <cell r="C128" t="str">
            <v/>
          </cell>
          <cell r="D128" t="str">
            <v>Armário de Cozinha Completa 325cm Rustic/Cinza Emilly Madesa 02</v>
          </cell>
          <cell r="E128" t="str">
            <v>EMILLY</v>
          </cell>
          <cell r="F128" t="str">
            <v>COZINHA</v>
          </cell>
          <cell r="G128" t="str">
            <v/>
          </cell>
          <cell r="H128">
            <v>1479.99</v>
          </cell>
          <cell r="I128">
            <v>1379.99</v>
          </cell>
          <cell r="J128">
            <v>1092.4088999999999</v>
          </cell>
          <cell r="K128">
            <v>215.77</v>
          </cell>
          <cell r="L128">
            <v>1308.1789000000001</v>
          </cell>
          <cell r="M128">
            <v>59.9</v>
          </cell>
          <cell r="N128">
            <v>1439.89</v>
          </cell>
          <cell r="O128" t="str">
            <v/>
          </cell>
          <cell r="P128">
            <v>0</v>
          </cell>
          <cell r="Q128">
            <v>0.26325408004273898</v>
          </cell>
          <cell r="R128">
            <v>0.100682788875436</v>
          </cell>
          <cell r="S128" t="e">
            <v>#VALUE!</v>
          </cell>
          <cell r="T128" t="e">
            <v>#VALUE!</v>
          </cell>
        </row>
        <row r="129">
          <cell r="A129" t="str">
            <v>MDJA0401067KSIM</v>
          </cell>
          <cell r="B129" t="str">
            <v>MKP000631003211</v>
          </cell>
          <cell r="C129" t="str">
            <v/>
          </cell>
          <cell r="D129" t="str">
            <v>Conjunto Sala de Jantar Madesa Sabrina Mesa Tampo de Vidro com 4 Cadeiras Rustic/Preto/Imperial</v>
          </cell>
          <cell r="E129" t="str">
            <v>SABRINA</v>
          </cell>
          <cell r="F129" t="str">
            <v>SALA DE JANTAR</v>
          </cell>
          <cell r="G129">
            <v>4255</v>
          </cell>
          <cell r="H129">
            <v>1469.99</v>
          </cell>
          <cell r="I129">
            <v>1369.99</v>
          </cell>
          <cell r="J129">
            <v>1066.3361</v>
          </cell>
          <cell r="K129">
            <v>186.06</v>
          </cell>
          <cell r="L129">
            <v>1252.3960999999999</v>
          </cell>
          <cell r="M129">
            <v>69.900000000000006</v>
          </cell>
          <cell r="N129">
            <v>1439.89</v>
          </cell>
          <cell r="O129" t="str">
            <v/>
          </cell>
          <cell r="P129">
            <v>0</v>
          </cell>
          <cell r="Q129">
            <v>0.28476378132560698</v>
          </cell>
          <cell r="R129">
            <v>0.14970814744632299</v>
          </cell>
          <cell r="S129" t="e">
            <v>#VALUE!</v>
          </cell>
          <cell r="T129" t="e">
            <v>#VALUE!</v>
          </cell>
        </row>
        <row r="130">
          <cell r="A130" t="str">
            <v>10938N3E2G</v>
          </cell>
          <cell r="B130" t="str">
            <v>MKP000631001931</v>
          </cell>
          <cell r="C130" t="str">
            <v/>
          </cell>
          <cell r="D130" t="str">
            <v>Guarda-Roupa Casal Madesa Lyon 3 Portas de Correr de Espelho 2 Gavetas Preto</v>
          </cell>
          <cell r="E130" t="str">
            <v>LYON</v>
          </cell>
          <cell r="F130" t="str">
            <v>QUARTO</v>
          </cell>
          <cell r="G130" t="str">
            <v/>
          </cell>
          <cell r="H130">
            <v>2039.99</v>
          </cell>
          <cell r="I130">
            <v>1369.99</v>
          </cell>
          <cell r="J130">
            <v>1099.374</v>
          </cell>
          <cell r="K130">
            <v>113.13</v>
          </cell>
          <cell r="L130">
            <v>1212.5039999999999</v>
          </cell>
          <cell r="M130">
            <v>59.99</v>
          </cell>
          <cell r="N130">
            <v>1429.98</v>
          </cell>
          <cell r="O130" t="str">
            <v>IMPÉRIO</v>
          </cell>
          <cell r="P130">
            <v>1359</v>
          </cell>
          <cell r="Q130">
            <v>0.24615462981660499</v>
          </cell>
          <cell r="R130">
            <v>0.179361057777954</v>
          </cell>
          <cell r="S130" t="e">
            <v>#VALUE!</v>
          </cell>
          <cell r="T130" t="e">
            <v>#VALUE!</v>
          </cell>
        </row>
        <row r="131">
          <cell r="A131" t="str">
            <v>10957K2E</v>
          </cell>
          <cell r="B131" t="str">
            <v>MKP000631002085</v>
          </cell>
          <cell r="C131" t="str">
            <v/>
          </cell>
          <cell r="D131" t="str">
            <v>Guarda-Roupa Casal Madesa Reno 3 Portas de Correr com Espelhos Rustic/Preto</v>
          </cell>
          <cell r="E131" t="str">
            <v>RENO</v>
          </cell>
          <cell r="F131" t="str">
            <v>QUARTO</v>
          </cell>
          <cell r="G131" t="str">
            <v/>
          </cell>
          <cell r="H131">
            <v>1499.99</v>
          </cell>
          <cell r="I131">
            <v>1359.92</v>
          </cell>
          <cell r="J131">
            <v>1157.5255</v>
          </cell>
          <cell r="K131">
            <v>178.32</v>
          </cell>
          <cell r="L131">
            <v>1335.8454999999999</v>
          </cell>
          <cell r="M131">
            <v>69.900000000000006</v>
          </cell>
          <cell r="N131">
            <v>1429.82</v>
          </cell>
          <cell r="O131" t="str">
            <v/>
          </cell>
          <cell r="P131">
            <v>0</v>
          </cell>
          <cell r="Q131">
            <v>0.17485100760199199</v>
          </cell>
          <cell r="R131">
            <v>7.0348329952827596E-2</v>
          </cell>
          <cell r="S131" t="e">
            <v>#VALUE!</v>
          </cell>
          <cell r="T131" t="e">
            <v>#VALUE!</v>
          </cell>
        </row>
        <row r="132">
          <cell r="A132" t="str">
            <v>MDJA060140F9SIL</v>
          </cell>
          <cell r="B132" t="str">
            <v>MKP000631005354</v>
          </cell>
          <cell r="C132" t="str">
            <v/>
          </cell>
          <cell r="D132" t="str">
            <v>Conjunto Sala de Jantar Mesa Tampo de Madeira 6 Cadeiras Rustic/Cinza/Silver Renata Madesa</v>
          </cell>
          <cell r="E132" t="str">
            <v>RENATA</v>
          </cell>
          <cell r="F132" t="str">
            <v>SALA DE JANTAR</v>
          </cell>
          <cell r="G132">
            <v>4255</v>
          </cell>
          <cell r="H132">
            <v>1459.99</v>
          </cell>
          <cell r="I132">
            <v>1359.99</v>
          </cell>
          <cell r="J132">
            <v>1064.2978000000001</v>
          </cell>
          <cell r="K132">
            <v>119.33</v>
          </cell>
          <cell r="L132">
            <v>1183.6278</v>
          </cell>
          <cell r="M132">
            <v>49.99</v>
          </cell>
          <cell r="N132">
            <v>1409.98</v>
          </cell>
          <cell r="O132" t="str">
            <v>WEB</v>
          </cell>
          <cell r="P132">
            <v>1359.99</v>
          </cell>
          <cell r="Q132">
            <v>0.277828442377688</v>
          </cell>
          <cell r="R132">
            <v>0.19123596116955</v>
          </cell>
          <cell r="S132" t="e">
            <v>#VALUE!</v>
          </cell>
          <cell r="T132" t="e">
            <v>#VALUE!</v>
          </cell>
        </row>
        <row r="133">
          <cell r="A133" t="str">
            <v>1095D82E</v>
          </cell>
          <cell r="B133" t="str">
            <v>MKP000631002083</v>
          </cell>
          <cell r="C133" t="str">
            <v/>
          </cell>
          <cell r="D133" t="str">
            <v>Guarda-Roupa Casal Madesa Reno 3 Portas de Correr com Espelhos Preto/Rustic</v>
          </cell>
          <cell r="E133" t="str">
            <v>RENO</v>
          </cell>
          <cell r="F133" t="str">
            <v>QUARTO</v>
          </cell>
          <cell r="G133" t="str">
            <v/>
          </cell>
          <cell r="H133">
            <v>1769.99</v>
          </cell>
          <cell r="I133">
            <v>1359.92</v>
          </cell>
          <cell r="J133">
            <v>1157.5255</v>
          </cell>
          <cell r="K133">
            <v>222.18</v>
          </cell>
          <cell r="L133">
            <v>1379.7055</v>
          </cell>
          <cell r="M133">
            <v>49.9</v>
          </cell>
          <cell r="N133">
            <v>1409.82</v>
          </cell>
          <cell r="O133" t="str">
            <v/>
          </cell>
          <cell r="P133">
            <v>0</v>
          </cell>
          <cell r="Q133">
            <v>0.17485100760199199</v>
          </cell>
          <cell r="R133">
            <v>2.1826759406264402E-2</v>
          </cell>
          <cell r="S133" t="e">
            <v>#VALUE!</v>
          </cell>
          <cell r="T133" t="e">
            <v>#VALUE!</v>
          </cell>
        </row>
        <row r="134">
          <cell r="A134" t="str">
            <v>10957K1E</v>
          </cell>
          <cell r="B134" t="str">
            <v>MKP000631002079</v>
          </cell>
          <cell r="C134" t="str">
            <v/>
          </cell>
          <cell r="D134" t="str">
            <v>Guarda-Roupa Casal Madesa Reno 3 Portas de Correr com Espelho Rustic/Preto</v>
          </cell>
          <cell r="E134" t="str">
            <v>RENO</v>
          </cell>
          <cell r="F134" t="str">
            <v>QUARTO</v>
          </cell>
          <cell r="G134" t="str">
            <v/>
          </cell>
          <cell r="H134">
            <v>2059.9899999999998</v>
          </cell>
          <cell r="I134">
            <v>1289.99</v>
          </cell>
          <cell r="J134">
            <v>986.06849999999997</v>
          </cell>
          <cell r="K134">
            <v>203.32</v>
          </cell>
          <cell r="L134">
            <v>1189.3885</v>
          </cell>
          <cell r="M134">
            <v>79.900000000000006</v>
          </cell>
          <cell r="N134">
            <v>1369.89</v>
          </cell>
          <cell r="O134" t="str">
            <v>AMAZON</v>
          </cell>
          <cell r="P134">
            <v>1099.99</v>
          </cell>
          <cell r="Q134">
            <v>0.30821540288529597</v>
          </cell>
          <cell r="R134">
            <v>0.15175991696573499</v>
          </cell>
          <cell r="S134" t="e">
            <v>#VALUE!</v>
          </cell>
          <cell r="T134" t="e">
            <v>#VALUE!</v>
          </cell>
        </row>
        <row r="135">
          <cell r="A135" t="str">
            <v>MDDR0400047K</v>
          </cell>
          <cell r="B135" t="str">
            <v>MKP000631002031</v>
          </cell>
          <cell r="C135" t="str">
            <v/>
          </cell>
          <cell r="D135" t="str">
            <v>Guarda-Roupa Closet Modulado Valencia 4 Gavetas 358cm Rustic/Preto Madesa 04</v>
          </cell>
          <cell r="E135" t="str">
            <v>VALENCIA</v>
          </cell>
          <cell r="F135" t="str">
            <v>QUARTO</v>
          </cell>
          <cell r="G135" t="str">
            <v/>
          </cell>
          <cell r="H135">
            <v>1259.99</v>
          </cell>
          <cell r="I135">
            <v>1259.99</v>
          </cell>
          <cell r="J135">
            <v>1015.8582</v>
          </cell>
          <cell r="K135">
            <v>196.27</v>
          </cell>
          <cell r="L135">
            <v>1212.1282000000001</v>
          </cell>
          <cell r="M135">
            <v>99.9</v>
          </cell>
          <cell r="N135">
            <v>1359.89</v>
          </cell>
          <cell r="O135" t="str">
            <v/>
          </cell>
          <cell r="P135">
            <v>0</v>
          </cell>
          <cell r="Q135">
            <v>0.240320745552873</v>
          </cell>
          <cell r="R135">
            <v>0.12190278223046</v>
          </cell>
          <cell r="S135" t="e">
            <v>#VALUE!</v>
          </cell>
          <cell r="T135" t="e">
            <v>#VALUE!</v>
          </cell>
        </row>
        <row r="136">
          <cell r="A136" t="str">
            <v>GRRM25000309</v>
          </cell>
          <cell r="B136" t="str">
            <v>MKP000631004324</v>
          </cell>
          <cell r="C136" t="str">
            <v/>
          </cell>
          <cell r="D136" t="str">
            <v>Armário de Cozinha Completa 250cm Branco Reims Madesa 03</v>
          </cell>
          <cell r="E136" t="str">
            <v>REIMS</v>
          </cell>
          <cell r="F136" t="str">
            <v>COZINHA</v>
          </cell>
          <cell r="G136" t="str">
            <v/>
          </cell>
          <cell r="H136">
            <v>2099.9</v>
          </cell>
          <cell r="I136">
            <v>1199.92</v>
          </cell>
          <cell r="J136">
            <v>1046.9449999999999</v>
          </cell>
          <cell r="K136">
            <v>262.41000000000003</v>
          </cell>
          <cell r="L136">
            <v>1309.355</v>
          </cell>
          <cell r="M136">
            <v>99.9</v>
          </cell>
          <cell r="N136">
            <v>1299.82</v>
          </cell>
          <cell r="O136" t="str">
            <v/>
          </cell>
          <cell r="P136">
            <v>0</v>
          </cell>
          <cell r="Q136">
            <v>0.14611560301639501</v>
          </cell>
          <cell r="R136">
            <v>-7.28221147053332E-3</v>
          </cell>
          <cell r="S136" t="e">
            <v>#VALUE!</v>
          </cell>
          <cell r="T136" t="e">
            <v>#VALUE!</v>
          </cell>
        </row>
        <row r="137">
          <cell r="A137" t="str">
            <v>GCEM2930035Z</v>
          </cell>
          <cell r="B137" t="str">
            <v>MKP000631002065</v>
          </cell>
          <cell r="C137" t="str">
            <v/>
          </cell>
          <cell r="D137" t="str">
            <v>Armário de Cozinha Completa de Canto 293cm Rustic Emilly Point Madesa 03</v>
          </cell>
          <cell r="E137" t="str">
            <v>POINT/EMILLY</v>
          </cell>
          <cell r="F137" t="str">
            <v>COZINHA</v>
          </cell>
          <cell r="G137" t="str">
            <v/>
          </cell>
          <cell r="H137">
            <v>1959.99</v>
          </cell>
          <cell r="I137">
            <v>1299.99</v>
          </cell>
          <cell r="J137">
            <v>1065.2134000000001</v>
          </cell>
          <cell r="K137">
            <v>103.08</v>
          </cell>
          <cell r="L137">
            <v>1168.2934</v>
          </cell>
          <cell r="M137">
            <v>39.99</v>
          </cell>
          <cell r="N137">
            <v>1339.98</v>
          </cell>
          <cell r="O137" t="str">
            <v/>
          </cell>
          <cell r="P137">
            <v>0</v>
          </cell>
          <cell r="Q137">
            <v>0.220403348286832</v>
          </cell>
          <cell r="R137">
            <v>0.14695503715076999</v>
          </cell>
          <cell r="S137" t="e">
            <v>#VALUE!</v>
          </cell>
          <cell r="T137" t="e">
            <v>#VALUE!</v>
          </cell>
        </row>
        <row r="138">
          <cell r="A138" t="str">
            <v>GCEM2930047K</v>
          </cell>
          <cell r="B138" t="str">
            <v>MKP000631002197</v>
          </cell>
          <cell r="C138" t="str">
            <v/>
          </cell>
          <cell r="D138" t="str">
            <v>Armário de Cozinha Completa de Canto 293cm Rustic/Preto Emilly Play Madesa 04</v>
          </cell>
          <cell r="E138" t="str">
            <v>PLAY/EMILLY</v>
          </cell>
          <cell r="F138" t="str">
            <v>COZINHA</v>
          </cell>
          <cell r="G138" t="str">
            <v/>
          </cell>
          <cell r="H138">
            <v>1369.99</v>
          </cell>
          <cell r="I138">
            <v>1269.99</v>
          </cell>
          <cell r="J138">
            <v>1058.5971</v>
          </cell>
          <cell r="K138">
            <v>122.22</v>
          </cell>
          <cell r="L138">
            <v>1180.8171</v>
          </cell>
          <cell r="M138">
            <v>59.99</v>
          </cell>
          <cell r="N138">
            <v>1329.98</v>
          </cell>
          <cell r="O138" t="str">
            <v/>
          </cell>
          <cell r="P138">
            <v>0</v>
          </cell>
          <cell r="Q138">
            <v>0.19969155403883099</v>
          </cell>
          <cell r="R138">
            <v>0.12632176481861601</v>
          </cell>
          <cell r="S138" t="e">
            <v>#VALUE!</v>
          </cell>
          <cell r="T138" t="e">
            <v>#VALUE!</v>
          </cell>
        </row>
        <row r="139">
          <cell r="A139" t="str">
            <v>10938N3E</v>
          </cell>
          <cell r="B139" t="str">
            <v>MKP000631001939</v>
          </cell>
          <cell r="C139" t="str">
            <v/>
          </cell>
          <cell r="D139" t="str">
            <v>Guarda-Roupa Casal Madesa Mônaco 3 Portas de Correr de Espelho Preto</v>
          </cell>
          <cell r="E139" t="str">
            <v>MÔNACO</v>
          </cell>
          <cell r="F139" t="str">
            <v>QUARTO</v>
          </cell>
          <cell r="G139" t="str">
            <v/>
          </cell>
          <cell r="H139">
            <v>2199.9899999999998</v>
          </cell>
          <cell r="I139">
            <v>1249.99</v>
          </cell>
          <cell r="J139">
            <v>1010.6371</v>
          </cell>
          <cell r="K139">
            <v>191.59</v>
          </cell>
          <cell r="L139">
            <v>1202.2271000000001</v>
          </cell>
          <cell r="M139">
            <v>79.900000000000006</v>
          </cell>
          <cell r="N139">
            <v>1329.89</v>
          </cell>
          <cell r="O139" t="str">
            <v>COLOMBO</v>
          </cell>
          <cell r="P139">
            <v>1239.99</v>
          </cell>
          <cell r="Q139">
            <v>0.23683367649970499</v>
          </cell>
          <cell r="R139">
            <v>0.10618867267257601</v>
          </cell>
          <cell r="S139" t="e">
            <v>#VALUE!</v>
          </cell>
          <cell r="T139" t="e">
            <v>#VALUE!</v>
          </cell>
        </row>
        <row r="140">
          <cell r="A140" t="str">
            <v>XAGRRM25000309</v>
          </cell>
          <cell r="B140" t="str">
            <v>MKP000631004140</v>
          </cell>
          <cell r="C140" t="str">
            <v/>
          </cell>
          <cell r="D140" t="str">
            <v>Armário de Cozinha Completa 250cm Branco Reims Madesa XA03</v>
          </cell>
          <cell r="E140" t="str">
            <v>REIMS</v>
          </cell>
          <cell r="F140" t="str">
            <v>COZINHA</v>
          </cell>
          <cell r="G140" t="str">
            <v/>
          </cell>
          <cell r="H140">
            <v>1629.99</v>
          </cell>
          <cell r="I140">
            <v>1199.92</v>
          </cell>
          <cell r="J140">
            <v>1046.9449999999999</v>
          </cell>
          <cell r="K140">
            <v>106.87</v>
          </cell>
          <cell r="L140">
            <v>1153.8150000000001</v>
          </cell>
          <cell r="M140">
            <v>59.99</v>
          </cell>
          <cell r="N140">
            <v>1259.9100000000001</v>
          </cell>
          <cell r="O140" t="str">
            <v/>
          </cell>
          <cell r="P140">
            <v>0</v>
          </cell>
          <cell r="Q140">
            <v>0.14611560301639501</v>
          </cell>
          <cell r="R140">
            <v>9.1951482690032699E-2</v>
          </cell>
          <cell r="S140" t="e">
            <v>#VALUE!</v>
          </cell>
          <cell r="T140" t="e">
            <v>#VALUE!</v>
          </cell>
        </row>
        <row r="141">
          <cell r="A141" t="str">
            <v>GRTP26000209</v>
          </cell>
          <cell r="B141" t="str">
            <v>MKP000631004956</v>
          </cell>
          <cell r="C141" t="str">
            <v/>
          </cell>
          <cell r="D141" t="str">
            <v>Armário de Cozinha Completa 260cm Branco Diamante Madesa 02</v>
          </cell>
          <cell r="E141" t="str">
            <v>DIAMANTE</v>
          </cell>
          <cell r="F141" t="str">
            <v>COZINHA</v>
          </cell>
          <cell r="G141" t="str">
            <v/>
          </cell>
          <cell r="H141">
            <v>1199.99</v>
          </cell>
          <cell r="I141">
            <v>1199.99</v>
          </cell>
          <cell r="J141">
            <v>987.83429999999998</v>
          </cell>
          <cell r="K141">
            <v>138.68</v>
          </cell>
          <cell r="L141">
            <v>1126.5143</v>
          </cell>
          <cell r="M141">
            <v>79.989999999999995</v>
          </cell>
          <cell r="N141">
            <v>1279.98</v>
          </cell>
          <cell r="O141" t="str">
            <v/>
          </cell>
          <cell r="P141">
            <v>0</v>
          </cell>
          <cell r="Q141">
            <v>0.21476850925301899</v>
          </cell>
          <cell r="R141">
            <v>0.13623058313596201</v>
          </cell>
          <cell r="S141" t="e">
            <v>#VALUE!</v>
          </cell>
          <cell r="T141" t="e">
            <v>#VALUE!</v>
          </cell>
        </row>
        <row r="142">
          <cell r="A142" t="str">
            <v>G2461009K</v>
          </cell>
          <cell r="B142" t="str">
            <v>MKP000631002981</v>
          </cell>
          <cell r="C142" t="str">
            <v/>
          </cell>
          <cell r="D142" t="str">
            <v>Balcão Madesa Acordes 100% MDF 60 cm 3 Gavetas Frentes Branco Brilho</v>
          </cell>
          <cell r="E142" t="str">
            <v>ACORDES</v>
          </cell>
          <cell r="F142" t="str">
            <v>MODULAÇÃO</v>
          </cell>
          <cell r="G142" t="str">
            <v/>
          </cell>
          <cell r="H142">
            <v>1019.99</v>
          </cell>
          <cell r="I142">
            <v>619.99</v>
          </cell>
          <cell r="J142">
            <v>404.4554</v>
          </cell>
          <cell r="K142">
            <v>57.51</v>
          </cell>
          <cell r="L142">
            <v>461.96539999999999</v>
          </cell>
          <cell r="M142">
            <v>19.989999999999998</v>
          </cell>
          <cell r="N142">
            <v>639.98</v>
          </cell>
          <cell r="O142" t="str">
            <v/>
          </cell>
          <cell r="P142">
            <v>0</v>
          </cell>
          <cell r="Q142">
            <v>0.53290078461061396</v>
          </cell>
          <cell r="R142">
            <v>0.38534184594776999</v>
          </cell>
          <cell r="S142" t="e">
            <v>#VALUE!</v>
          </cell>
          <cell r="T142" t="e">
            <v>#VALUE!</v>
          </cell>
        </row>
        <row r="143">
          <cell r="A143" t="str">
            <v>GRRM26000709</v>
          </cell>
          <cell r="B143" t="str">
            <v>MKP000631004206</v>
          </cell>
          <cell r="C143" t="str">
            <v/>
          </cell>
          <cell r="D143" t="str">
            <v>Armário de Cozinha Completa 260cm Branco Reims Madesa 07</v>
          </cell>
          <cell r="E143" t="str">
            <v>REIMS</v>
          </cell>
          <cell r="F143" t="str">
            <v>COZINHA</v>
          </cell>
          <cell r="G143" t="str">
            <v/>
          </cell>
          <cell r="H143">
            <v>1499.9</v>
          </cell>
          <cell r="I143">
            <v>1199.99</v>
          </cell>
          <cell r="J143">
            <v>1043.0427999999999</v>
          </cell>
          <cell r="K143">
            <v>115.7</v>
          </cell>
          <cell r="L143">
            <v>1158.7428</v>
          </cell>
          <cell r="M143">
            <v>59.99</v>
          </cell>
          <cell r="N143">
            <v>1259.98</v>
          </cell>
          <cell r="O143" t="str">
            <v/>
          </cell>
          <cell r="P143">
            <v>0</v>
          </cell>
          <cell r="Q143">
            <v>0.15047052719217299</v>
          </cell>
          <cell r="R143">
            <v>8.7368137260486201E-2</v>
          </cell>
          <cell r="S143" t="e">
            <v>#VALUE!</v>
          </cell>
          <cell r="T143" t="e">
            <v>#VALUE!</v>
          </cell>
        </row>
        <row r="144">
          <cell r="A144" t="str">
            <v>GRRM2600108N</v>
          </cell>
          <cell r="B144" t="str">
            <v>MKP000631004202</v>
          </cell>
          <cell r="C144" t="str">
            <v/>
          </cell>
          <cell r="D144" t="str">
            <v>Armário de Cozinha Completa 260cm Preto Reims Madesa 10</v>
          </cell>
          <cell r="E144" t="str">
            <v>REIMS</v>
          </cell>
          <cell r="F144" t="str">
            <v>COZINHA</v>
          </cell>
          <cell r="G144" t="str">
            <v/>
          </cell>
          <cell r="H144">
            <v>1299.99</v>
          </cell>
          <cell r="I144">
            <v>1219.99</v>
          </cell>
          <cell r="J144">
            <v>974.56899999999996</v>
          </cell>
          <cell r="K144">
            <v>150.06</v>
          </cell>
          <cell r="L144">
            <v>1124.6289999999999</v>
          </cell>
          <cell r="M144">
            <v>39.9</v>
          </cell>
          <cell r="N144">
            <v>1259.8900000000001</v>
          </cell>
          <cell r="O144" t="str">
            <v>VIA</v>
          </cell>
          <cell r="P144">
            <v>1175.99</v>
          </cell>
          <cell r="Q144">
            <v>0.25182516579123698</v>
          </cell>
          <cell r="R144">
            <v>0.120271662921728</v>
          </cell>
          <cell r="S144" t="e">
            <v>#VALUE!</v>
          </cell>
          <cell r="T144" t="e">
            <v>#VALUE!</v>
          </cell>
        </row>
        <row r="145">
          <cell r="A145" t="str">
            <v>045355ZXPE</v>
          </cell>
          <cell r="B145" t="str">
            <v>MKP000631000664</v>
          </cell>
          <cell r="C145" t="str">
            <v/>
          </cell>
          <cell r="D145" t="str">
            <v>Conjunto Sala de Jantar Madesa Panamá Mesa Tampo de Madeira com 8 Cadeiras Rustic/Crema/Sintético Bege</v>
          </cell>
          <cell r="E145" t="str">
            <v>PANAMÁ</v>
          </cell>
          <cell r="F145" t="str">
            <v>SALA DE JANTAR</v>
          </cell>
          <cell r="G145" t="str">
            <v>4280X</v>
          </cell>
          <cell r="H145">
            <v>1299.99</v>
          </cell>
          <cell r="I145">
            <v>1199.99</v>
          </cell>
          <cell r="J145">
            <v>920.25429999999994</v>
          </cell>
          <cell r="K145">
            <v>62.5</v>
          </cell>
          <cell r="L145">
            <v>982.75429999999994</v>
          </cell>
          <cell r="M145">
            <v>39.99</v>
          </cell>
          <cell r="N145">
            <v>1239.98</v>
          </cell>
          <cell r="O145" t="str">
            <v/>
          </cell>
          <cell r="P145">
            <v>0</v>
          </cell>
          <cell r="Q145">
            <v>0.30397652040311002</v>
          </cell>
          <cell r="R145">
            <v>0.26173958231472499</v>
          </cell>
          <cell r="S145" t="e">
            <v>#VALUE!</v>
          </cell>
          <cell r="T145" t="e">
            <v>#VALUE!</v>
          </cell>
        </row>
        <row r="146">
          <cell r="A146" t="str">
            <v>42565Z2TSILK</v>
          </cell>
          <cell r="B146" t="str">
            <v>MKP000631005591</v>
          </cell>
          <cell r="C146" t="str">
            <v/>
          </cell>
          <cell r="D146" t="str">
            <v>Kit 2 Cadeiras de Jantar 4256 Rustic/Silver Madesa</v>
          </cell>
          <cell r="E146">
            <v>4256</v>
          </cell>
          <cell r="F146" t="str">
            <v>SALA DE JANTAR</v>
          </cell>
          <cell r="G146">
            <v>4256</v>
          </cell>
          <cell r="H146">
            <v>699.99</v>
          </cell>
          <cell r="I146">
            <v>399.99</v>
          </cell>
          <cell r="J146">
            <v>298.66000000000003</v>
          </cell>
          <cell r="K146">
            <v>58.976666666666702</v>
          </cell>
          <cell r="L146">
            <v>357.636666666667</v>
          </cell>
          <cell r="M146">
            <v>13.33</v>
          </cell>
          <cell r="N146">
            <v>413.32</v>
          </cell>
          <cell r="O146" t="str">
            <v/>
          </cell>
          <cell r="P146">
            <v>0</v>
          </cell>
          <cell r="Q146">
            <v>0.33928212683318798</v>
          </cell>
          <cell r="R146">
            <v>0.155698054822865</v>
          </cell>
          <cell r="S146" t="e">
            <v>#VALUE!</v>
          </cell>
          <cell r="T146" t="e">
            <v>#VALUE!</v>
          </cell>
        </row>
        <row r="147">
          <cell r="A147" t="str">
            <v>XAGRTP2400029B</v>
          </cell>
          <cell r="B147" t="str">
            <v>MKP000631003305</v>
          </cell>
          <cell r="C147" t="str">
            <v/>
          </cell>
          <cell r="D147" t="str">
            <v>Armário de Cozinha Completa 240cm Branco/Rustic Diamante Madesa XA02</v>
          </cell>
          <cell r="E147" t="str">
            <v>DIAMANTE</v>
          </cell>
          <cell r="F147" t="str">
            <v>COZINHA</v>
          </cell>
          <cell r="G147" t="str">
            <v/>
          </cell>
          <cell r="H147">
            <v>1859.99</v>
          </cell>
          <cell r="I147">
            <v>1289.99</v>
          </cell>
          <cell r="J147">
            <v>971.64779999999996</v>
          </cell>
          <cell r="K147">
            <v>102.23</v>
          </cell>
          <cell r="L147">
            <v>1073.8778</v>
          </cell>
          <cell r="M147">
            <v>39.99</v>
          </cell>
          <cell r="N147">
            <v>1329.98</v>
          </cell>
          <cell r="O147" t="str">
            <v>MAGALU</v>
          </cell>
          <cell r="P147">
            <v>1263.1500000000001</v>
          </cell>
          <cell r="Q147">
            <v>0.32763126721431401</v>
          </cell>
          <cell r="R147">
            <v>0.23848355930255799</v>
          </cell>
          <cell r="S147" t="e">
            <v>#VALUE!</v>
          </cell>
          <cell r="T147" t="e">
            <v>#VALUE!</v>
          </cell>
        </row>
        <row r="148">
          <cell r="A148" t="str">
            <v>G241246E</v>
          </cell>
          <cell r="B148" t="str">
            <v>MKP000631000935</v>
          </cell>
          <cell r="C148" t="str">
            <v/>
          </cell>
          <cell r="D148" t="str">
            <v>Balcão Gabinete de Pia Madesa Acordes 100% MDF 120 cm 3 Portas e 2 Gavetas Branco/Rustic</v>
          </cell>
          <cell r="E148" t="str">
            <v>ACORDES</v>
          </cell>
          <cell r="F148" t="str">
            <v>MODULAÇÃO</v>
          </cell>
          <cell r="G148" t="str">
            <v/>
          </cell>
          <cell r="H148">
            <v>1099.99</v>
          </cell>
          <cell r="I148">
            <v>599.99</v>
          </cell>
          <cell r="J148">
            <v>465.74610000000001</v>
          </cell>
          <cell r="K148">
            <v>43.47</v>
          </cell>
          <cell r="L148">
            <v>509.21609999999998</v>
          </cell>
          <cell r="M148">
            <v>14.994999999999999</v>
          </cell>
          <cell r="N148">
            <v>614.98500000000001</v>
          </cell>
          <cell r="O148" t="str">
            <v/>
          </cell>
          <cell r="P148">
            <v>0</v>
          </cell>
          <cell r="Q148">
            <v>0.28823408290482699</v>
          </cell>
          <cell r="R148">
            <v>0.207709261352891</v>
          </cell>
          <cell r="S148" t="e">
            <v>#VALUE!</v>
          </cell>
          <cell r="T148" t="e">
            <v>#VALUE!</v>
          </cell>
        </row>
        <row r="149">
          <cell r="A149" t="str">
            <v>MDJA0401617KPT</v>
          </cell>
          <cell r="B149" t="str">
            <v>MKP000631005557</v>
          </cell>
          <cell r="C149" t="str">
            <v/>
          </cell>
          <cell r="D149" t="str">
            <v>Conjunto Sala de Jantar Mesa Tampo de Madeira 4 Cadeiras Rustic/Preto Claire Madesa</v>
          </cell>
          <cell r="E149" t="str">
            <v>CLAIRE</v>
          </cell>
          <cell r="F149" t="str">
            <v>SALA DE JANTAR</v>
          </cell>
          <cell r="G149" t="str">
            <v>4280X</v>
          </cell>
          <cell r="H149">
            <v>659.99</v>
          </cell>
          <cell r="I149">
            <v>555.54</v>
          </cell>
          <cell r="J149">
            <v>426.03739999999999</v>
          </cell>
          <cell r="K149">
            <v>109.33</v>
          </cell>
          <cell r="L149">
            <v>535.36739999999998</v>
          </cell>
          <cell r="M149">
            <v>49.9</v>
          </cell>
          <cell r="N149">
            <v>605.44000000000005</v>
          </cell>
          <cell r="O149" t="str">
            <v>LEROY</v>
          </cell>
          <cell r="P149">
            <v>554.99</v>
          </cell>
          <cell r="Q149">
            <v>0.30397002704457399</v>
          </cell>
          <cell r="R149">
            <v>0.13088693857713399</v>
          </cell>
          <cell r="S149" t="e">
            <v>#VALUE!</v>
          </cell>
          <cell r="T149" t="e">
            <v>#VALUE!</v>
          </cell>
        </row>
        <row r="150">
          <cell r="A150" t="str">
            <v>MDJA0401497GSM</v>
          </cell>
          <cell r="B150" t="str">
            <v>MKP000631005297</v>
          </cell>
          <cell r="C150" t="str">
            <v/>
          </cell>
          <cell r="D150" t="str">
            <v>Conjunto Sala de Jantar Mesa Tampo de Madeira 4 Cadeiras Rustic/Crema/Imperial Ashley Madesa</v>
          </cell>
          <cell r="E150" t="str">
            <v>ASHLEY</v>
          </cell>
          <cell r="F150" t="str">
            <v>SALA DE JANTAR</v>
          </cell>
          <cell r="G150">
            <v>4256</v>
          </cell>
          <cell r="H150">
            <v>1259.99</v>
          </cell>
          <cell r="I150">
            <v>1159.99</v>
          </cell>
          <cell r="J150">
            <v>910.24810000000002</v>
          </cell>
          <cell r="K150">
            <v>92.36</v>
          </cell>
          <cell r="L150">
            <v>1002.6081</v>
          </cell>
          <cell r="M150">
            <v>49.99</v>
          </cell>
          <cell r="N150">
            <v>1209.98</v>
          </cell>
          <cell r="O150" t="str">
            <v/>
          </cell>
          <cell r="P150">
            <v>0</v>
          </cell>
          <cell r="Q150">
            <v>0.274366845698442</v>
          </cell>
          <cell r="R150">
            <v>0.20683246026039501</v>
          </cell>
          <cell r="S150" t="e">
            <v>#VALUE!</v>
          </cell>
          <cell r="T150" t="e">
            <v>#VALUE!</v>
          </cell>
        </row>
        <row r="151">
          <cell r="A151" t="str">
            <v>GREM2610027K</v>
          </cell>
          <cell r="B151" t="str">
            <v>MKP000631004980</v>
          </cell>
          <cell r="C151" t="str">
            <v/>
          </cell>
          <cell r="D151" t="str">
            <v>Armário de Cozinha Completa 261cm Rustic/Preto Emilly Madesa 02</v>
          </cell>
          <cell r="E151" t="str">
            <v>EMILLY</v>
          </cell>
          <cell r="F151" t="str">
            <v>COZINHA</v>
          </cell>
          <cell r="G151" t="str">
            <v/>
          </cell>
          <cell r="H151">
            <v>1199.99</v>
          </cell>
          <cell r="I151">
            <v>1179.99</v>
          </cell>
          <cell r="J151">
            <v>834.34050000000002</v>
          </cell>
          <cell r="K151">
            <v>132.06</v>
          </cell>
          <cell r="L151">
            <v>966.40049999999997</v>
          </cell>
          <cell r="M151">
            <v>29.9</v>
          </cell>
          <cell r="N151">
            <v>1209.8900000000001</v>
          </cell>
          <cell r="O151" t="str">
            <v>IMPÉRIO</v>
          </cell>
          <cell r="P151">
            <v>1059</v>
          </cell>
          <cell r="Q151">
            <v>0.41427870275984402</v>
          </cell>
          <cell r="R151">
            <v>0.25195506417887797</v>
          </cell>
          <cell r="S151" t="e">
            <v>#VALUE!</v>
          </cell>
          <cell r="T151" t="e">
            <v>#VALUE!</v>
          </cell>
        </row>
        <row r="152">
          <cell r="A152" t="str">
            <v>GREM2930015Z</v>
          </cell>
          <cell r="B152" t="str">
            <v>MKP000631004264</v>
          </cell>
          <cell r="C152" t="str">
            <v/>
          </cell>
          <cell r="D152" t="str">
            <v>Armário de Cozinha Completa 293cm Rustic Emilly Madesa 01</v>
          </cell>
          <cell r="E152" t="str">
            <v>EMILLY</v>
          </cell>
          <cell r="F152" t="str">
            <v>COZINHA</v>
          </cell>
          <cell r="G152" t="str">
            <v/>
          </cell>
          <cell r="H152">
            <v>1249.99</v>
          </cell>
          <cell r="I152">
            <v>1149.99</v>
          </cell>
          <cell r="J152">
            <v>910.59690000000001</v>
          </cell>
          <cell r="K152">
            <v>212.68</v>
          </cell>
          <cell r="L152">
            <v>1123.2769000000001</v>
          </cell>
          <cell r="M152">
            <v>49.9</v>
          </cell>
          <cell r="N152">
            <v>1199.8900000000001</v>
          </cell>
          <cell r="O152" t="str">
            <v/>
          </cell>
          <cell r="P152">
            <v>0</v>
          </cell>
          <cell r="Q152">
            <v>0.262896897628358</v>
          </cell>
          <cell r="R152">
            <v>6.8204999141351599E-2</v>
          </cell>
          <cell r="S152" t="e">
            <v>#VALUE!</v>
          </cell>
          <cell r="T152" t="e">
            <v>#VALUE!</v>
          </cell>
        </row>
        <row r="153">
          <cell r="A153" t="str">
            <v>GREM261002F9</v>
          </cell>
          <cell r="B153" t="str">
            <v>MKP000631004978</v>
          </cell>
          <cell r="C153" t="str">
            <v/>
          </cell>
          <cell r="D153" t="str">
            <v>Armário de Cozinha Completa 261cm Rustic/Cinza Emilly Madesa 02</v>
          </cell>
          <cell r="E153" t="str">
            <v>EMILLY</v>
          </cell>
          <cell r="F153" t="str">
            <v>COZINHA</v>
          </cell>
          <cell r="G153" t="str">
            <v/>
          </cell>
          <cell r="H153">
            <v>1149.99</v>
          </cell>
          <cell r="I153">
            <v>1079.92</v>
          </cell>
          <cell r="J153">
            <v>834.34050000000002</v>
          </cell>
          <cell r="K153">
            <v>165.55</v>
          </cell>
          <cell r="L153">
            <v>999.89049999999997</v>
          </cell>
          <cell r="M153">
            <v>69.989999999999995</v>
          </cell>
          <cell r="N153">
            <v>1149.9100000000001</v>
          </cell>
          <cell r="O153" t="str">
            <v/>
          </cell>
          <cell r="P153">
            <v>0</v>
          </cell>
          <cell r="Q153">
            <v>0.29433966108561199</v>
          </cell>
          <cell r="R153">
            <v>0.15003592893421799</v>
          </cell>
          <cell r="S153" t="e">
            <v>#VALUE!</v>
          </cell>
          <cell r="T153" t="e">
            <v>#VALUE!</v>
          </cell>
        </row>
        <row r="154">
          <cell r="A154" t="str">
            <v>GRGL15000109</v>
          </cell>
          <cell r="B154" t="str">
            <v>MKP000631004622</v>
          </cell>
          <cell r="C154" t="str">
            <v/>
          </cell>
          <cell r="D154" t="str">
            <v>Armário de Cozinha Compacta 150cm Branco Glamy Madesa 01</v>
          </cell>
          <cell r="E154" t="str">
            <v>GLAMY</v>
          </cell>
          <cell r="F154" t="str">
            <v>COZINHA</v>
          </cell>
          <cell r="G154" t="str">
            <v/>
          </cell>
          <cell r="H154">
            <v>1199.99</v>
          </cell>
          <cell r="I154">
            <v>1099.99</v>
          </cell>
          <cell r="J154">
            <v>901.11389999999994</v>
          </cell>
          <cell r="K154">
            <v>150.62</v>
          </cell>
          <cell r="L154">
            <v>1051.7338999999999</v>
          </cell>
          <cell r="M154">
            <v>79.989999999999995</v>
          </cell>
          <cell r="N154">
            <v>1179.98</v>
          </cell>
          <cell r="O154" t="str">
            <v/>
          </cell>
          <cell r="P154">
            <v>0</v>
          </cell>
          <cell r="Q154">
            <v>0.22070029105088701</v>
          </cell>
          <cell r="R154">
            <v>0.121937782931595</v>
          </cell>
          <cell r="S154" t="e">
            <v>#VALUE!</v>
          </cell>
          <cell r="T154" t="e">
            <v>#VALUE!</v>
          </cell>
        </row>
        <row r="155">
          <cell r="A155" t="str">
            <v>GRRM19000109</v>
          </cell>
          <cell r="B155" t="str">
            <v>MKP000631002178</v>
          </cell>
          <cell r="C155" t="str">
            <v/>
          </cell>
          <cell r="D155" t="str">
            <v>Armário de Cozinha Compacta 190cm Branco Reims Madesa 01</v>
          </cell>
          <cell r="E155" t="str">
            <v>REIMS</v>
          </cell>
          <cell r="F155" t="str">
            <v>COZINHA</v>
          </cell>
          <cell r="G155" t="str">
            <v/>
          </cell>
          <cell r="H155">
            <v>1169.99</v>
          </cell>
          <cell r="I155">
            <v>1111.0999999999999</v>
          </cell>
          <cell r="J155">
            <v>910.86940000000004</v>
          </cell>
          <cell r="K155">
            <v>134.42330000000001</v>
          </cell>
          <cell r="L155">
            <v>1045.2927</v>
          </cell>
          <cell r="M155">
            <v>76.585899999999995</v>
          </cell>
          <cell r="N155">
            <v>1187.6858999999999</v>
          </cell>
          <cell r="O155" t="str">
            <v>VIA</v>
          </cell>
          <cell r="P155">
            <v>1099.99</v>
          </cell>
          <cell r="Q155">
            <v>0.21982361027826799</v>
          </cell>
          <cell r="R155">
            <v>0.13622327985261901</v>
          </cell>
          <cell r="S155" t="e">
            <v>#VALUE!</v>
          </cell>
          <cell r="T155" t="e">
            <v>#VALUE!</v>
          </cell>
        </row>
        <row r="156">
          <cell r="A156" t="str">
            <v>044745ZXTFBM</v>
          </cell>
          <cell r="B156" t="str">
            <v>MKP000631000672</v>
          </cell>
          <cell r="C156" t="str">
            <v/>
          </cell>
          <cell r="D156" t="str">
            <v>Conjunto Sala de Jantar Lexy Madesa Mesa Tampo de Madeira com 4 Cadeiras Rustic/Bege Marrom</v>
          </cell>
          <cell r="E156" t="str">
            <v>LEXY</v>
          </cell>
          <cell r="F156" t="str">
            <v>SALA DE JANTAR</v>
          </cell>
          <cell r="G156" t="str">
            <v>4290X</v>
          </cell>
          <cell r="H156">
            <v>1239.99</v>
          </cell>
          <cell r="I156">
            <v>529.99</v>
          </cell>
          <cell r="J156">
            <v>396.20409999999998</v>
          </cell>
          <cell r="K156">
            <v>121.75</v>
          </cell>
          <cell r="L156">
            <v>517.95410000000004</v>
          </cell>
          <cell r="M156">
            <v>39.9</v>
          </cell>
          <cell r="N156">
            <v>569.89</v>
          </cell>
          <cell r="O156" t="str">
            <v>AMAZON</v>
          </cell>
          <cell r="P156">
            <v>499.99</v>
          </cell>
          <cell r="Q156">
            <v>0.337669145776129</v>
          </cell>
          <cell r="R156">
            <v>0.100271240250825</v>
          </cell>
          <cell r="S156" t="e">
            <v>#VALUE!</v>
          </cell>
          <cell r="T156" t="e">
            <v>#VALUE!</v>
          </cell>
        </row>
        <row r="157">
          <cell r="A157" t="str">
            <v>MDJA0401387GSIM</v>
          </cell>
          <cell r="B157" t="str">
            <v>MKP000631004897</v>
          </cell>
          <cell r="C157" t="str">
            <v/>
          </cell>
          <cell r="D157" t="str">
            <v>Conjunto Sala de Jantar Mesa Tampo de Vidro 4 Cadeiras Rustic/Crema/Imperial Anaju Madesa</v>
          </cell>
          <cell r="E157" t="str">
            <v>ANAJU</v>
          </cell>
          <cell r="F157" t="str">
            <v>SALA DE JANTAR</v>
          </cell>
          <cell r="G157">
            <v>4256</v>
          </cell>
          <cell r="H157">
            <v>1279.99</v>
          </cell>
          <cell r="I157">
            <v>1059.99</v>
          </cell>
          <cell r="J157">
            <v>852.64160000000004</v>
          </cell>
          <cell r="K157">
            <v>257.20999999999998</v>
          </cell>
          <cell r="L157">
            <v>1109.8516</v>
          </cell>
          <cell r="M157">
            <v>59.99</v>
          </cell>
          <cell r="N157">
            <v>1119.98</v>
          </cell>
          <cell r="O157" t="str">
            <v>MAGALU</v>
          </cell>
          <cell r="P157">
            <v>1052.6199999999999</v>
          </cell>
          <cell r="Q157">
            <v>0.24318353690460301</v>
          </cell>
          <cell r="R157">
            <v>9.1259047606004895E-3</v>
          </cell>
          <cell r="S157" t="e">
            <v>#VALUE!</v>
          </cell>
          <cell r="T157" t="e">
            <v>#VALUE!</v>
          </cell>
        </row>
        <row r="158">
          <cell r="A158" t="str">
            <v>XA1094092E2G</v>
          </cell>
          <cell r="B158" t="str">
            <v>MKP000631001600</v>
          </cell>
          <cell r="C158" t="str">
            <v/>
          </cell>
          <cell r="D158" t="str">
            <v>Guarda-Roupa Infantil Madesa Bento 2 Portas de Correr de Espelho 2 Gavetas Branco</v>
          </cell>
          <cell r="E158" t="str">
            <v>BENTO</v>
          </cell>
          <cell r="F158" t="str">
            <v>QUARTO</v>
          </cell>
          <cell r="G158" t="str">
            <v/>
          </cell>
          <cell r="H158">
            <v>1149.99</v>
          </cell>
          <cell r="I158">
            <v>1029.92</v>
          </cell>
          <cell r="J158">
            <v>823.70209999999997</v>
          </cell>
          <cell r="K158">
            <v>128.71</v>
          </cell>
          <cell r="L158">
            <v>952.41210000000001</v>
          </cell>
          <cell r="M158">
            <v>49.9</v>
          </cell>
          <cell r="N158">
            <v>1079.82</v>
          </cell>
          <cell r="O158" t="str">
            <v/>
          </cell>
          <cell r="P158">
            <v>0</v>
          </cell>
          <cell r="Q158">
            <v>0.25035495235474098</v>
          </cell>
          <cell r="R158">
            <v>0.13377391992394899</v>
          </cell>
          <cell r="S158" t="e">
            <v>#VALUE!</v>
          </cell>
          <cell r="T158" t="e">
            <v>#VALUE!</v>
          </cell>
        </row>
        <row r="159">
          <cell r="A159" t="str">
            <v>GRAG120001F9</v>
          </cell>
          <cell r="B159" t="str">
            <v>MKP000631004283</v>
          </cell>
          <cell r="C159" t="str">
            <v/>
          </cell>
          <cell r="D159" t="str">
            <v>Armário de Cozinha Compacta 120cm Rustic/Cinza Agata Madesa 01</v>
          </cell>
          <cell r="E159" t="str">
            <v>ÁGATA</v>
          </cell>
          <cell r="F159" t="str">
            <v>COZINHA</v>
          </cell>
          <cell r="G159" t="str">
            <v/>
          </cell>
          <cell r="H159">
            <v>1159.99</v>
          </cell>
          <cell r="I159">
            <v>1019.92</v>
          </cell>
          <cell r="J159">
            <v>850.05830000000003</v>
          </cell>
          <cell r="K159">
            <v>62.34</v>
          </cell>
          <cell r="L159">
            <v>912.39829999999995</v>
          </cell>
          <cell r="M159">
            <v>29.99</v>
          </cell>
          <cell r="N159">
            <v>1049.9100000000001</v>
          </cell>
          <cell r="O159" t="str">
            <v/>
          </cell>
          <cell r="P159">
            <v>0</v>
          </cell>
          <cell r="Q159">
            <v>0.199823588570337</v>
          </cell>
          <cell r="R159">
            <v>0.15071455087103899</v>
          </cell>
          <cell r="S159" t="e">
            <v>#VALUE!</v>
          </cell>
          <cell r="T159" t="e">
            <v>#VALUE!</v>
          </cell>
        </row>
        <row r="160">
          <cell r="A160" t="str">
            <v>10936E1E2G</v>
          </cell>
          <cell r="B160" t="str">
            <v>MKP000631000814</v>
          </cell>
          <cell r="C160" t="str">
            <v/>
          </cell>
          <cell r="D160" t="str">
            <v>Guarda-Roupa Casal Madesa Lyon 3 Portas de Correr com Espelho 2 Gavetas Rustic/Branco</v>
          </cell>
          <cell r="E160" t="str">
            <v>LYON</v>
          </cell>
          <cell r="F160" t="str">
            <v>QUARTO</v>
          </cell>
          <cell r="G160" t="str">
            <v/>
          </cell>
          <cell r="H160">
            <v>1149.99</v>
          </cell>
          <cell r="I160">
            <v>1049.99</v>
          </cell>
          <cell r="J160">
            <v>839.51800000000003</v>
          </cell>
          <cell r="K160">
            <v>166.95</v>
          </cell>
          <cell r="L160">
            <v>1006.468</v>
          </cell>
          <cell r="M160">
            <v>39.9</v>
          </cell>
          <cell r="N160">
            <v>1089.8900000000001</v>
          </cell>
          <cell r="O160" t="str">
            <v>COLOMBO</v>
          </cell>
          <cell r="P160">
            <v>999.99</v>
          </cell>
          <cell r="Q160">
            <v>0.25070576211588103</v>
          </cell>
          <cell r="R160">
            <v>8.2885894037366195E-2</v>
          </cell>
          <cell r="S160" t="e">
            <v>#VALUE!</v>
          </cell>
          <cell r="T160" t="e">
            <v>#VALUE!</v>
          </cell>
        </row>
        <row r="161">
          <cell r="A161" t="str">
            <v>42905Z6XTPT</v>
          </cell>
          <cell r="B161" t="str">
            <v>MKP000631003154</v>
          </cell>
          <cell r="C161" t="str">
            <v/>
          </cell>
          <cell r="D161" t="str">
            <v>Kit 6 Cadeiras 4290 Madesa Rustic/Sintético Preto</v>
          </cell>
          <cell r="E161">
            <v>4290</v>
          </cell>
          <cell r="F161" t="str">
            <v>SALA DE JANTAR</v>
          </cell>
          <cell r="G161" t="str">
            <v>4290X</v>
          </cell>
          <cell r="H161">
            <v>599.99</v>
          </cell>
          <cell r="I161">
            <v>499.99</v>
          </cell>
          <cell r="J161">
            <v>379.90859999999998</v>
          </cell>
          <cell r="K161">
            <v>63.945</v>
          </cell>
          <cell r="L161">
            <v>443.85359999999997</v>
          </cell>
          <cell r="M161">
            <v>39.99</v>
          </cell>
          <cell r="N161">
            <v>539.98</v>
          </cell>
          <cell r="O161" t="str">
            <v/>
          </cell>
          <cell r="P161">
            <v>0</v>
          </cell>
          <cell r="Q161">
            <v>0.316079709698596</v>
          </cell>
          <cell r="R161">
            <v>0.21657231123055001</v>
          </cell>
          <cell r="S161" t="e">
            <v>#VALUE!</v>
          </cell>
          <cell r="T161" t="e">
            <v>#VALUE!</v>
          </cell>
        </row>
        <row r="162">
          <cell r="A162" t="str">
            <v>42917G6XTPER</v>
          </cell>
          <cell r="B162" t="str">
            <v>MKP000631000094</v>
          </cell>
          <cell r="C162" t="str">
            <v/>
          </cell>
          <cell r="D162" t="str">
            <v>Kit 6 Cadeiras 4291 Madesa Rustic/Crema/Sintético Bege</v>
          </cell>
          <cell r="E162">
            <v>4291</v>
          </cell>
          <cell r="F162" t="str">
            <v>SALA DE JANTAR</v>
          </cell>
          <cell r="G162" t="str">
            <v>4291X</v>
          </cell>
          <cell r="H162">
            <v>599.99</v>
          </cell>
          <cell r="I162">
            <v>499.99</v>
          </cell>
          <cell r="J162">
            <v>381.67439999999999</v>
          </cell>
          <cell r="K162">
            <v>60.215000000000003</v>
          </cell>
          <cell r="L162">
            <v>441.88940000000002</v>
          </cell>
          <cell r="M162">
            <v>39.945</v>
          </cell>
          <cell r="N162">
            <v>539.93499999999995</v>
          </cell>
          <cell r="O162" t="str">
            <v/>
          </cell>
          <cell r="P162">
            <v>0</v>
          </cell>
          <cell r="Q162">
            <v>0.30999092420136098</v>
          </cell>
          <cell r="R162">
            <v>0.22187814416910701</v>
          </cell>
          <cell r="S162" t="e">
            <v>#VALUE!</v>
          </cell>
          <cell r="T162" t="e">
            <v>#VALUE!</v>
          </cell>
        </row>
        <row r="163">
          <cell r="A163" t="str">
            <v>1094091E2GCP</v>
          </cell>
          <cell r="B163" t="str">
            <v>MKP000631001011</v>
          </cell>
          <cell r="C163" t="str">
            <v/>
          </cell>
          <cell r="D163" t="str">
            <v>Guarda-Roupa Solteiro Madesa Dallas 2 Portas de Correr com Espelho 2 Gavetas com Pés Branco</v>
          </cell>
          <cell r="E163" t="str">
            <v>DALLAS</v>
          </cell>
          <cell r="F163" t="str">
            <v>QUARTO</v>
          </cell>
          <cell r="G163" t="str">
            <v/>
          </cell>
          <cell r="H163">
            <v>1209.99</v>
          </cell>
          <cell r="I163">
            <v>939.92</v>
          </cell>
          <cell r="J163">
            <v>730.36540000000002</v>
          </cell>
          <cell r="K163">
            <v>147.77000000000001</v>
          </cell>
          <cell r="L163">
            <v>878.1354</v>
          </cell>
          <cell r="M163">
            <v>99.99</v>
          </cell>
          <cell r="N163">
            <v>1039.9100000000001</v>
          </cell>
          <cell r="O163" t="str">
            <v/>
          </cell>
          <cell r="P163">
            <v>0</v>
          </cell>
          <cell r="Q163">
            <v>0.28691747993538602</v>
          </cell>
          <cell r="R163">
            <v>0.18422512063629301</v>
          </cell>
          <cell r="S163" t="e">
            <v>#VALUE!</v>
          </cell>
          <cell r="T163" t="e">
            <v>#VALUE!</v>
          </cell>
        </row>
        <row r="164">
          <cell r="A164" t="str">
            <v>XAMDJA060167D8PT</v>
          </cell>
          <cell r="B164" t="str">
            <v>MKP000631006052</v>
          </cell>
          <cell r="C164" t="str">
            <v/>
          </cell>
          <cell r="D164" t="str">
            <v>Conjunto Sala de Jantar Mesa Tampo de Vidro 6 Cadeiras Preto/Rustic Dora Madesa</v>
          </cell>
          <cell r="E164" t="str">
            <v>DORA</v>
          </cell>
          <cell r="F164" t="str">
            <v>SALA DE JANTAR</v>
          </cell>
          <cell r="G164" t="str">
            <v>4280X</v>
          </cell>
          <cell r="H164">
            <v>1099.99</v>
          </cell>
          <cell r="I164">
            <v>999.99</v>
          </cell>
          <cell r="J164">
            <v>760.36220000000003</v>
          </cell>
          <cell r="K164">
            <v>100.45</v>
          </cell>
          <cell r="L164">
            <v>860.81219999999996</v>
          </cell>
          <cell r="M164">
            <v>69.900000000000006</v>
          </cell>
          <cell r="N164">
            <v>1069.8900000000001</v>
          </cell>
          <cell r="O164" t="str">
            <v/>
          </cell>
          <cell r="P164">
            <v>0</v>
          </cell>
          <cell r="Q164">
            <v>0.31514954320454103</v>
          </cell>
          <cell r="R164">
            <v>0.242884336444116</v>
          </cell>
          <cell r="S164" t="e">
            <v>#VALUE!</v>
          </cell>
          <cell r="T164" t="e">
            <v>#VALUE!</v>
          </cell>
        </row>
        <row r="165">
          <cell r="A165" t="str">
            <v>MDJA0401627GBE</v>
          </cell>
          <cell r="B165" t="str">
            <v>MKP000631005562</v>
          </cell>
          <cell r="C165" t="str">
            <v/>
          </cell>
          <cell r="D165" t="str">
            <v>Conjunto Sala de Jantar Mesa Tampo de Madeira 4 Cadeiras Rustic/Crema/Sintético Bege Briana Madesa</v>
          </cell>
          <cell r="E165" t="str">
            <v>BRIANA</v>
          </cell>
          <cell r="F165" t="str">
            <v>SALA DE JANTAR</v>
          </cell>
          <cell r="G165" t="str">
            <v>4291X</v>
          </cell>
          <cell r="H165">
            <v>599.99</v>
          </cell>
          <cell r="I165">
            <v>499.99</v>
          </cell>
          <cell r="J165">
            <v>400.66219999999998</v>
          </cell>
          <cell r="K165">
            <v>111.735</v>
          </cell>
          <cell r="L165">
            <v>512.3972</v>
          </cell>
          <cell r="M165">
            <v>49.9</v>
          </cell>
          <cell r="N165">
            <v>549.89</v>
          </cell>
          <cell r="O165" t="str">
            <v/>
          </cell>
          <cell r="P165">
            <v>0</v>
          </cell>
          <cell r="Q165">
            <v>0.24790908650728699</v>
          </cell>
          <cell r="R165">
            <v>7.3171360030850993E-2</v>
          </cell>
          <cell r="S165" t="e">
            <v>#VALUE!</v>
          </cell>
          <cell r="T165" t="e">
            <v>#VALUE!</v>
          </cell>
        </row>
        <row r="166">
          <cell r="A166" t="str">
            <v>1094094G</v>
          </cell>
          <cell r="B166" t="str">
            <v>MKP000631000780</v>
          </cell>
          <cell r="C166" t="str">
            <v/>
          </cell>
          <cell r="D166" t="str">
            <v>Guarda-Roupa Solteiro Madesa Dallas Plus 2 Portas de Correr 4 Gavetas Branco</v>
          </cell>
          <cell r="E166" t="str">
            <v>DALLAS PLUS</v>
          </cell>
          <cell r="F166" t="str">
            <v>QUARTO</v>
          </cell>
          <cell r="G166" t="str">
            <v/>
          </cell>
          <cell r="H166">
            <v>1399.99</v>
          </cell>
          <cell r="I166">
            <v>829.99</v>
          </cell>
          <cell r="J166">
            <v>652.58299999999997</v>
          </cell>
          <cell r="K166">
            <v>234.01</v>
          </cell>
          <cell r="L166">
            <v>886.59299999999996</v>
          </cell>
          <cell r="M166">
            <v>199.9</v>
          </cell>
          <cell r="N166">
            <v>1029.8900000000001</v>
          </cell>
          <cell r="O166" t="str">
            <v/>
          </cell>
          <cell r="P166">
            <v>0</v>
          </cell>
          <cell r="Q166">
            <v>0.27185354200155398</v>
          </cell>
          <cell r="R166">
            <v>0.16162658626901</v>
          </cell>
          <cell r="S166" t="e">
            <v>#VALUE!</v>
          </cell>
          <cell r="T166" t="e">
            <v>#VALUE!</v>
          </cell>
        </row>
        <row r="167">
          <cell r="A167" t="str">
            <v>XAGREM1690037K</v>
          </cell>
          <cell r="B167" t="str">
            <v>MKP000631003306</v>
          </cell>
          <cell r="C167" t="str">
            <v/>
          </cell>
          <cell r="D167" t="str">
            <v>Armário de Cozinha Completa 169cm Rustic/Preto Emilly Box Madesa 03</v>
          </cell>
          <cell r="E167" t="str">
            <v>BOX/EMILLY</v>
          </cell>
          <cell r="F167" t="str">
            <v>COZINHA</v>
          </cell>
          <cell r="G167" t="str">
            <v/>
          </cell>
          <cell r="H167">
            <v>1679.99</v>
          </cell>
          <cell r="I167">
            <v>1049.99</v>
          </cell>
          <cell r="J167">
            <v>758.08410000000003</v>
          </cell>
          <cell r="K167">
            <v>229.68</v>
          </cell>
          <cell r="L167">
            <v>987.76409999999998</v>
          </cell>
          <cell r="M167">
            <v>99.9</v>
          </cell>
          <cell r="N167">
            <v>1149.8900000000001</v>
          </cell>
          <cell r="O167" t="str">
            <v>WEB (VIA)</v>
          </cell>
          <cell r="P167">
            <v>1049.99</v>
          </cell>
          <cell r="Q167">
            <v>0.38505740985729697</v>
          </cell>
          <cell r="R167">
            <v>0.164134230025165</v>
          </cell>
          <cell r="S167" t="e">
            <v>#VALUE!</v>
          </cell>
          <cell r="T167" t="e">
            <v>#VALUE!</v>
          </cell>
        </row>
        <row r="168">
          <cell r="A168" t="str">
            <v>42905Z6XTLIB</v>
          </cell>
          <cell r="B168" t="str">
            <v>MKP000631000943</v>
          </cell>
          <cell r="C168" t="str">
            <v/>
          </cell>
          <cell r="D168" t="str">
            <v>Kit 6 Cadeiras 4290 Madesa Rustic/Lírio Bege</v>
          </cell>
          <cell r="E168">
            <v>4290</v>
          </cell>
          <cell r="F168" t="str">
            <v>SALA DE JANTAR</v>
          </cell>
          <cell r="G168" t="str">
            <v>4290X</v>
          </cell>
          <cell r="H168">
            <v>869.99</v>
          </cell>
          <cell r="I168">
            <v>555.54</v>
          </cell>
          <cell r="J168">
            <v>379.90859999999998</v>
          </cell>
          <cell r="K168">
            <v>120.35</v>
          </cell>
          <cell r="L168">
            <v>500.2586</v>
          </cell>
          <cell r="M168">
            <v>49.945</v>
          </cell>
          <cell r="N168">
            <v>605.48500000000001</v>
          </cell>
          <cell r="O168" t="str">
            <v>WEB (MELI)</v>
          </cell>
          <cell r="P168">
            <v>555.54</v>
          </cell>
          <cell r="Q168">
            <v>0.46229908983371298</v>
          </cell>
          <cell r="R168">
            <v>0.210344010077987</v>
          </cell>
          <cell r="S168" t="e">
            <v>#VALUE!</v>
          </cell>
          <cell r="T168" t="e">
            <v>#VALUE!</v>
          </cell>
        </row>
        <row r="169">
          <cell r="A169" t="str">
            <v>MDJA0401627KPT</v>
          </cell>
          <cell r="B169" t="str">
            <v>MKP000631005561</v>
          </cell>
          <cell r="C169" t="str">
            <v/>
          </cell>
          <cell r="D169" t="str">
            <v>Conjunto Sala de Jantar Mesa Tampo de Madeira 4 Cadeiras Rustic/Preto Briana Madesa</v>
          </cell>
          <cell r="E169" t="str">
            <v>BRIANA</v>
          </cell>
          <cell r="F169" t="str">
            <v>SALA DE JANTAR</v>
          </cell>
          <cell r="G169" t="str">
            <v>4291X</v>
          </cell>
          <cell r="H169">
            <v>669.99</v>
          </cell>
          <cell r="I169">
            <v>549.99</v>
          </cell>
          <cell r="J169">
            <v>400.66219999999998</v>
          </cell>
          <cell r="K169">
            <v>63.924999999999997</v>
          </cell>
          <cell r="L169">
            <v>464.5872</v>
          </cell>
          <cell r="M169">
            <v>39.945</v>
          </cell>
          <cell r="N169">
            <v>589.93499999999995</v>
          </cell>
          <cell r="O169" t="str">
            <v>WEB (B2W)</v>
          </cell>
          <cell r="P169">
            <v>549.99</v>
          </cell>
          <cell r="Q169">
            <v>0.37270249102610598</v>
          </cell>
          <cell r="R169">
            <v>0.26980467821756599</v>
          </cell>
          <cell r="S169" t="e">
            <v>#VALUE!</v>
          </cell>
          <cell r="T169" t="e">
            <v>#VALUE!</v>
          </cell>
        </row>
        <row r="170">
          <cell r="A170" t="str">
            <v>104409A1ECP</v>
          </cell>
          <cell r="B170" t="str">
            <v>MKP000631000133</v>
          </cell>
          <cell r="C170" t="str">
            <v/>
          </cell>
          <cell r="D170" t="str">
            <v>Guarda-Roupa Solteiro Madesa Luke 2 Portas de Correr com Espelho com Pés Branco</v>
          </cell>
          <cell r="E170" t="str">
            <v>LUKE</v>
          </cell>
          <cell r="F170" t="str">
            <v>QUARTO</v>
          </cell>
          <cell r="G170" t="str">
            <v/>
          </cell>
          <cell r="H170">
            <v>1579.99</v>
          </cell>
          <cell r="I170">
            <v>949.99</v>
          </cell>
          <cell r="J170">
            <v>743.91409999999996</v>
          </cell>
          <cell r="K170">
            <v>92.92</v>
          </cell>
          <cell r="L170">
            <v>836.83410000000003</v>
          </cell>
          <cell r="M170">
            <v>49.99</v>
          </cell>
          <cell r="N170">
            <v>999.98</v>
          </cell>
          <cell r="O170" t="str">
            <v>MAGALU</v>
          </cell>
          <cell r="P170">
            <v>947.36</v>
          </cell>
          <cell r="Q170">
            <v>0.27701571996014002</v>
          </cell>
          <cell r="R170">
            <v>0.19495608508305301</v>
          </cell>
          <cell r="S170" t="e">
            <v>#VALUE!</v>
          </cell>
          <cell r="T170" t="e">
            <v>#VALUE!</v>
          </cell>
        </row>
        <row r="171">
          <cell r="A171" t="str">
            <v>6002091CPC</v>
          </cell>
          <cell r="B171" t="str">
            <v>MKP000631000168</v>
          </cell>
          <cell r="C171" t="str">
            <v/>
          </cell>
          <cell r="D171" t="str">
            <v>Rack para TV até 65 Polegadas Madesa Londres com Pés Retro Branco</v>
          </cell>
          <cell r="E171" t="str">
            <v>LONDRES</v>
          </cell>
          <cell r="F171" t="str">
            <v>SALA DE ESTAR</v>
          </cell>
          <cell r="G171" t="str">
            <v/>
          </cell>
          <cell r="H171">
            <v>559.99</v>
          </cell>
          <cell r="I171">
            <v>449.92</v>
          </cell>
          <cell r="J171">
            <v>320.73250000000002</v>
          </cell>
          <cell r="K171">
            <v>111.80500000000001</v>
          </cell>
          <cell r="L171">
            <v>432.53750000000002</v>
          </cell>
          <cell r="M171">
            <v>49.9</v>
          </cell>
          <cell r="N171">
            <v>499.82</v>
          </cell>
          <cell r="O171" t="str">
            <v/>
          </cell>
          <cell r="P171">
            <v>0</v>
          </cell>
          <cell r="Q171">
            <v>0.40278892846842801</v>
          </cell>
          <cell r="R171">
            <v>0.155552986735254</v>
          </cell>
          <cell r="S171" t="e">
            <v>#VALUE!</v>
          </cell>
          <cell r="T171" t="e">
            <v>#VALUE!</v>
          </cell>
        </row>
        <row r="172">
          <cell r="A172" t="str">
            <v>GREM1690035Z</v>
          </cell>
          <cell r="B172" t="str">
            <v>MKP000631001508</v>
          </cell>
          <cell r="C172" t="str">
            <v/>
          </cell>
          <cell r="D172" t="str">
            <v>Armário de Cozinha Completa 169cm Rustic Emilly Box Madesa 03</v>
          </cell>
          <cell r="E172" t="str">
            <v>BOX/EMILLY</v>
          </cell>
          <cell r="F172" t="str">
            <v>COZINHA</v>
          </cell>
          <cell r="G172" t="str">
            <v/>
          </cell>
          <cell r="H172">
            <v>1049.99</v>
          </cell>
          <cell r="I172">
            <v>949.99</v>
          </cell>
          <cell r="J172">
            <v>758.08410000000003</v>
          </cell>
          <cell r="K172">
            <v>62.5</v>
          </cell>
          <cell r="L172">
            <v>820.58410000000003</v>
          </cell>
          <cell r="M172">
            <v>29.99</v>
          </cell>
          <cell r="N172">
            <v>979.98</v>
          </cell>
          <cell r="O172" t="str">
            <v/>
          </cell>
          <cell r="P172">
            <v>0</v>
          </cell>
          <cell r="Q172">
            <v>0.25314592404721298</v>
          </cell>
          <cell r="R172">
            <v>0.194246878534449</v>
          </cell>
          <cell r="S172" t="e">
            <v>#VALUE!</v>
          </cell>
          <cell r="T172" t="e">
            <v>#VALUE!</v>
          </cell>
        </row>
        <row r="173">
          <cell r="A173" t="str">
            <v>6914095Z</v>
          </cell>
          <cell r="B173" t="str">
            <v>MKP000631000171</v>
          </cell>
          <cell r="C173" t="str">
            <v/>
          </cell>
          <cell r="D173" t="str">
            <v>Rack para TV até 75 Polegadas Madesa Metz 180 cm 2 Portas Branco/Rustic</v>
          </cell>
          <cell r="E173" t="str">
            <v>METZ</v>
          </cell>
          <cell r="F173" t="str">
            <v>SALA DE ESTAR</v>
          </cell>
          <cell r="G173" t="str">
            <v/>
          </cell>
          <cell r="H173">
            <v>859.99</v>
          </cell>
          <cell r="I173">
            <v>459.99</v>
          </cell>
          <cell r="J173">
            <v>283.82510000000002</v>
          </cell>
          <cell r="K173">
            <v>89.155000000000001</v>
          </cell>
          <cell r="L173">
            <v>372.98009999999999</v>
          </cell>
          <cell r="M173">
            <v>29.9</v>
          </cell>
          <cell r="N173">
            <v>489.89</v>
          </cell>
          <cell r="O173" t="str">
            <v>CAMICADO</v>
          </cell>
          <cell r="P173">
            <v>399.99</v>
          </cell>
          <cell r="Q173">
            <v>0.620681187111358</v>
          </cell>
          <cell r="R173">
            <v>0.31344809012598801</v>
          </cell>
          <cell r="S173" t="e">
            <v>#VALUE!</v>
          </cell>
          <cell r="T173" t="e">
            <v>#VALUE!</v>
          </cell>
        </row>
        <row r="174">
          <cell r="A174" t="str">
            <v>MDJA0601415ZPT</v>
          </cell>
          <cell r="B174" t="str">
            <v>MKP000631005343</v>
          </cell>
          <cell r="C174" t="str">
            <v/>
          </cell>
          <cell r="D174" t="str">
            <v>Conjunto Sala de Jantar Mesa Tampo de Madeira 6 Cadeiras Rustic/Preto Augusta Madesa</v>
          </cell>
          <cell r="E174" t="str">
            <v>AUGUSTA</v>
          </cell>
          <cell r="F174" t="str">
            <v>SALA DE JANTAR</v>
          </cell>
          <cell r="G174">
            <v>4280</v>
          </cell>
          <cell r="H174">
            <v>999.99</v>
          </cell>
          <cell r="I174">
            <v>899.99</v>
          </cell>
          <cell r="J174">
            <v>682.62339999999995</v>
          </cell>
          <cell r="K174">
            <v>174.65</v>
          </cell>
          <cell r="L174">
            <v>857.27340000000004</v>
          </cell>
          <cell r="M174">
            <v>69.989999999999995</v>
          </cell>
          <cell r="N174">
            <v>969.98</v>
          </cell>
          <cell r="O174" t="str">
            <v/>
          </cell>
          <cell r="P174">
            <v>0</v>
          </cell>
          <cell r="Q174">
            <v>0.31842828710530602</v>
          </cell>
          <cell r="R174">
            <v>0.131471010298465</v>
          </cell>
          <cell r="S174" t="e">
            <v>#VALUE!</v>
          </cell>
          <cell r="T174" t="e">
            <v>#VALUE!</v>
          </cell>
        </row>
        <row r="175">
          <cell r="A175" t="str">
            <v>MDJA0601417GBE</v>
          </cell>
          <cell r="B175" t="str">
            <v>MKP000631005346</v>
          </cell>
          <cell r="C175" t="str">
            <v/>
          </cell>
          <cell r="D175" t="str">
            <v>Conjunto Sala de Jantar Mesa Tampo de Madeira 6 Cadeiras Crema/Rustic/Bege Augusta Madesa</v>
          </cell>
          <cell r="E175" t="str">
            <v>AUGUSTA</v>
          </cell>
          <cell r="F175" t="str">
            <v>SALA DE JANTAR</v>
          </cell>
          <cell r="G175">
            <v>4280</v>
          </cell>
          <cell r="H175">
            <v>999.99</v>
          </cell>
          <cell r="I175">
            <v>899.99</v>
          </cell>
          <cell r="J175">
            <v>682.62339999999995</v>
          </cell>
          <cell r="K175">
            <v>202.08</v>
          </cell>
          <cell r="L175">
            <v>884.70339999999999</v>
          </cell>
          <cell r="M175">
            <v>69.900000000000006</v>
          </cell>
          <cell r="N175">
            <v>969.89</v>
          </cell>
          <cell r="O175" t="str">
            <v>WEB</v>
          </cell>
          <cell r="P175">
            <v>899.99</v>
          </cell>
          <cell r="Q175">
            <v>0.31842828710530602</v>
          </cell>
          <cell r="R175">
            <v>9.6288315383438003E-2</v>
          </cell>
          <cell r="S175" t="e">
            <v>#VALUE!</v>
          </cell>
          <cell r="T175" t="e">
            <v>#VALUE!</v>
          </cell>
        </row>
        <row r="176">
          <cell r="A176" t="str">
            <v>G251275ZPRRF</v>
          </cell>
          <cell r="B176" t="str">
            <v>MKP000631000366</v>
          </cell>
          <cell r="C176" t="str">
            <v/>
          </cell>
          <cell r="D176" t="str">
            <v>Armário Aéreo Madesa Glamy 2 Portas de Correr de Vidro Reflex e 1 Nicho Rustic</v>
          </cell>
          <cell r="E176" t="str">
            <v>GLAMY</v>
          </cell>
          <cell r="F176" t="str">
            <v>MODULAÇÃO</v>
          </cell>
          <cell r="G176" t="str">
            <v/>
          </cell>
          <cell r="H176">
            <v>879.99</v>
          </cell>
          <cell r="I176">
            <v>439.99</v>
          </cell>
          <cell r="J176">
            <v>291.9674</v>
          </cell>
          <cell r="K176">
            <v>87.405000000000001</v>
          </cell>
          <cell r="L176">
            <v>379.37240000000003</v>
          </cell>
          <cell r="M176">
            <v>44.9</v>
          </cell>
          <cell r="N176">
            <v>484.89</v>
          </cell>
          <cell r="O176" t="str">
            <v/>
          </cell>
          <cell r="P176">
            <v>0</v>
          </cell>
          <cell r="Q176">
            <v>0.50698331389052298</v>
          </cell>
          <cell r="R176">
            <v>0.27813726038056502</v>
          </cell>
          <cell r="S176" t="e">
            <v>#VALUE!</v>
          </cell>
          <cell r="T176" t="e">
            <v>#VALUE!</v>
          </cell>
        </row>
        <row r="177">
          <cell r="A177" t="str">
            <v>GRSM120001A9</v>
          </cell>
          <cell r="B177" t="str">
            <v>MKP000631001783</v>
          </cell>
          <cell r="C177" t="str">
            <v/>
          </cell>
          <cell r="D177" t="str">
            <v>Armário de Cozinha Compacta 100% MDF 120 cm Branco/Rustic/Crema Smart Madesa 01</v>
          </cell>
          <cell r="E177" t="str">
            <v>SMART</v>
          </cell>
          <cell r="F177" t="str">
            <v>COZINHA</v>
          </cell>
          <cell r="G177" t="str">
            <v/>
          </cell>
          <cell r="H177">
            <v>1009.99</v>
          </cell>
          <cell r="I177">
            <v>879.92</v>
          </cell>
          <cell r="J177">
            <v>650.09780000000001</v>
          </cell>
          <cell r="K177">
            <v>117.79</v>
          </cell>
          <cell r="L177">
            <v>767.88779999999997</v>
          </cell>
          <cell r="M177">
            <v>49.9</v>
          </cell>
          <cell r="N177">
            <v>929.82</v>
          </cell>
          <cell r="O177" t="str">
            <v/>
          </cell>
          <cell r="P177">
            <v>0</v>
          </cell>
          <cell r="Q177">
            <v>0.35351942430815803</v>
          </cell>
          <cell r="R177">
            <v>0.21088002700394501</v>
          </cell>
          <cell r="S177" t="e">
            <v>#VALUE!</v>
          </cell>
          <cell r="T177" t="e">
            <v>#VALUE!</v>
          </cell>
        </row>
        <row r="178">
          <cell r="A178" t="str">
            <v>GRRM26000309</v>
          </cell>
          <cell r="B178" t="str">
            <v>MKP000631002544</v>
          </cell>
          <cell r="C178" t="str">
            <v/>
          </cell>
          <cell r="D178" t="str">
            <v>Armário de Cozinha Compacta Reims 260cm Branco Reims Madesa 03</v>
          </cell>
          <cell r="E178" t="str">
            <v>REIMS</v>
          </cell>
          <cell r="F178" t="str">
            <v>COZINHA</v>
          </cell>
          <cell r="G178" t="str">
            <v/>
          </cell>
          <cell r="H178">
            <v>1819.99</v>
          </cell>
          <cell r="I178">
            <v>899.99</v>
          </cell>
          <cell r="J178">
            <v>788.53869999999995</v>
          </cell>
          <cell r="K178">
            <v>168.15</v>
          </cell>
          <cell r="L178">
            <v>956.68870000000004</v>
          </cell>
          <cell r="M178">
            <v>49.9</v>
          </cell>
          <cell r="N178">
            <v>949.89</v>
          </cell>
          <cell r="O178" t="str">
            <v/>
          </cell>
          <cell r="P178">
            <v>0</v>
          </cell>
          <cell r="Q178">
            <v>0.14133903637196299</v>
          </cell>
          <cell r="R178">
            <v>-7.1064913801113204E-3</v>
          </cell>
          <cell r="S178" t="e">
            <v>#VALUE!</v>
          </cell>
          <cell r="T178" t="e">
            <v>#VALUE!</v>
          </cell>
        </row>
        <row r="179">
          <cell r="A179" t="str">
            <v>21089G1</v>
          </cell>
          <cell r="B179" t="str">
            <v>MKP000631000386</v>
          </cell>
          <cell r="C179" t="str">
            <v/>
          </cell>
          <cell r="D179" t="str">
            <v>Painel para TV até 50 Polegadas Madesa Arizona 1 Prateleira 2 Nichos Rustic</v>
          </cell>
          <cell r="E179" t="str">
            <v>ARIZONA</v>
          </cell>
          <cell r="F179" t="str">
            <v>SALA DE ESTAR</v>
          </cell>
          <cell r="G179" t="str">
            <v/>
          </cell>
          <cell r="H179">
            <v>559.99</v>
          </cell>
          <cell r="I179">
            <v>289.99</v>
          </cell>
          <cell r="J179">
            <v>202.96889999999999</v>
          </cell>
          <cell r="K179">
            <v>118.33</v>
          </cell>
          <cell r="L179">
            <v>321.2989</v>
          </cell>
          <cell r="M179">
            <v>36.5966666666667</v>
          </cell>
          <cell r="N179">
            <v>326.58666666666699</v>
          </cell>
          <cell r="O179" t="str">
            <v>MELI</v>
          </cell>
          <cell r="P179" t="str">
            <v/>
          </cell>
          <cell r="Q179">
            <v>0.42874105343232399</v>
          </cell>
          <cell r="R179">
            <v>1.6457468938321E-2</v>
          </cell>
          <cell r="S179" t="e">
            <v>#VALUE!</v>
          </cell>
          <cell r="T179" t="e">
            <v>#VALUE!</v>
          </cell>
        </row>
        <row r="180">
          <cell r="A180" t="str">
            <v>1093092G</v>
          </cell>
          <cell r="B180" t="str">
            <v>MKP000631000476</v>
          </cell>
          <cell r="C180" t="str">
            <v/>
          </cell>
          <cell r="D180" t="str">
            <v>Guarda-Roupa Casal Madesa Lyon 3 Portas de Correr 2 Gavetas Branco</v>
          </cell>
          <cell r="E180" t="str">
            <v>LYON</v>
          </cell>
          <cell r="F180" t="str">
            <v>QUARTO</v>
          </cell>
          <cell r="G180" t="str">
            <v/>
          </cell>
          <cell r="H180">
            <v>999.99</v>
          </cell>
          <cell r="I180">
            <v>869.92</v>
          </cell>
          <cell r="J180">
            <v>709.59</v>
          </cell>
          <cell r="K180">
            <v>109.64</v>
          </cell>
          <cell r="L180">
            <v>819.23</v>
          </cell>
          <cell r="M180">
            <v>29.99</v>
          </cell>
          <cell r="N180">
            <v>899.91</v>
          </cell>
          <cell r="O180" t="str">
            <v/>
          </cell>
          <cell r="P180">
            <v>0</v>
          </cell>
          <cell r="Q180">
            <v>0.22594737806338899</v>
          </cell>
          <cell r="R180">
            <v>9.8482721580020097E-2</v>
          </cell>
          <cell r="S180" t="e">
            <v>#VALUE!</v>
          </cell>
          <cell r="T180" t="e">
            <v>#VALUE!</v>
          </cell>
        </row>
        <row r="181">
          <cell r="A181" t="str">
            <v>GREM2290037K</v>
          </cell>
          <cell r="B181" t="str">
            <v>MKP000631000381</v>
          </cell>
          <cell r="C181" t="str">
            <v/>
          </cell>
          <cell r="D181" t="str">
            <v>Armário de Cozinha Completa 229cm Rustic/Preto Emilly Fit Madesa 03</v>
          </cell>
          <cell r="E181" t="str">
            <v>FIT/EMILLY</v>
          </cell>
          <cell r="F181" t="str">
            <v>COZINHA</v>
          </cell>
          <cell r="G181" t="str">
            <v/>
          </cell>
          <cell r="H181">
            <v>939.99</v>
          </cell>
          <cell r="I181">
            <v>819.92</v>
          </cell>
          <cell r="J181">
            <v>587.28110000000004</v>
          </cell>
          <cell r="K181">
            <v>187.34</v>
          </cell>
          <cell r="L181">
            <v>774.62109999999996</v>
          </cell>
          <cell r="M181">
            <v>99.9</v>
          </cell>
          <cell r="N181">
            <v>919.82</v>
          </cell>
          <cell r="O181" t="str">
            <v/>
          </cell>
          <cell r="P181">
            <v>0</v>
          </cell>
          <cell r="Q181">
            <v>0.39612870225178298</v>
          </cell>
          <cell r="R181">
            <v>0.18744506185023899</v>
          </cell>
          <cell r="S181" t="e">
            <v>#VALUE!</v>
          </cell>
          <cell r="T181" t="e">
            <v>#VALUE!</v>
          </cell>
        </row>
        <row r="182">
          <cell r="A182" t="str">
            <v>10946E1E2G</v>
          </cell>
          <cell r="B182" t="str">
            <v>MKP000631000771</v>
          </cell>
          <cell r="C182" t="str">
            <v/>
          </cell>
          <cell r="D182" t="str">
            <v>Guarda-Roupa Solteiro Madesa Dallas 2 Portas de Correr com Espelho 2 Gavetas Rustic/Branco</v>
          </cell>
          <cell r="E182" t="str">
            <v>DALLAS</v>
          </cell>
          <cell r="F182" t="str">
            <v>QUARTO</v>
          </cell>
          <cell r="G182" t="str">
            <v/>
          </cell>
          <cell r="H182">
            <v>969.99</v>
          </cell>
          <cell r="I182">
            <v>839.92</v>
          </cell>
          <cell r="J182">
            <v>693.77409999999998</v>
          </cell>
          <cell r="K182">
            <v>220.04</v>
          </cell>
          <cell r="L182">
            <v>913.81410000000005</v>
          </cell>
          <cell r="M182">
            <v>69.900000000000006</v>
          </cell>
          <cell r="N182">
            <v>909.82</v>
          </cell>
          <cell r="O182" t="str">
            <v/>
          </cell>
          <cell r="P182">
            <v>0</v>
          </cell>
          <cell r="Q182">
            <v>0.21065343892197699</v>
          </cell>
          <cell r="R182">
            <v>-4.3708014573206099E-3</v>
          </cell>
          <cell r="S182" t="e">
            <v>#VALUE!</v>
          </cell>
          <cell r="T182" t="e">
            <v>#VALUE!</v>
          </cell>
        </row>
        <row r="183">
          <cell r="A183" t="str">
            <v>1093D8</v>
          </cell>
          <cell r="B183" t="str">
            <v>MKP000631002097</v>
          </cell>
          <cell r="C183" t="str">
            <v/>
          </cell>
          <cell r="D183" t="str">
            <v>Guarda-Roupa Casal Madesa Mônaco 3 Portas de Correr Preto/Rustic</v>
          </cell>
          <cell r="E183" t="str">
            <v>MÔNACO</v>
          </cell>
          <cell r="F183" t="str">
            <v>QUARTO</v>
          </cell>
          <cell r="G183" t="str">
            <v/>
          </cell>
          <cell r="H183">
            <v>1469.99</v>
          </cell>
          <cell r="I183">
            <v>819.92</v>
          </cell>
          <cell r="J183">
            <v>620.85310000000004</v>
          </cell>
          <cell r="K183">
            <v>195.22</v>
          </cell>
          <cell r="L183">
            <v>816.07309999999995</v>
          </cell>
          <cell r="M183">
            <v>49.9</v>
          </cell>
          <cell r="N183">
            <v>869.82</v>
          </cell>
          <cell r="O183" t="str">
            <v/>
          </cell>
          <cell r="P183">
            <v>0</v>
          </cell>
          <cell r="Q183">
            <v>0.32063446248395899</v>
          </cell>
          <cell r="R183">
            <v>6.5860399025528205E-2</v>
          </cell>
          <cell r="S183" t="e">
            <v>#VALUE!</v>
          </cell>
          <cell r="T183" t="e">
            <v>#VALUE!</v>
          </cell>
        </row>
        <row r="184">
          <cell r="A184" t="str">
            <v>60193Z1</v>
          </cell>
          <cell r="B184" t="str">
            <v>MKP000631002527</v>
          </cell>
          <cell r="C184" t="str">
            <v/>
          </cell>
          <cell r="D184" t="str">
            <v>Rack para TV até 55 Polegadas Madesa Oslo com 2 Portas Cinza</v>
          </cell>
          <cell r="E184" t="str">
            <v>OSLO</v>
          </cell>
          <cell r="F184" t="str">
            <v>SALA DE ESTAR</v>
          </cell>
          <cell r="G184" t="str">
            <v/>
          </cell>
          <cell r="H184">
            <v>379.99</v>
          </cell>
          <cell r="I184">
            <v>279.99</v>
          </cell>
          <cell r="J184">
            <v>204.40770000000001</v>
          </cell>
          <cell r="K184">
            <v>98.38</v>
          </cell>
          <cell r="L184">
            <v>302.78769999999997</v>
          </cell>
          <cell r="M184">
            <v>19.933333333333302</v>
          </cell>
          <cell r="N184">
            <v>299.92333333333301</v>
          </cell>
          <cell r="O184" t="str">
            <v>VIA</v>
          </cell>
          <cell r="P184">
            <v>279.99</v>
          </cell>
          <cell r="Q184">
            <v>0.369762489377846</v>
          </cell>
          <cell r="R184">
            <v>-9.4599835682447307E-3</v>
          </cell>
          <cell r="S184" t="e">
            <v>#VALUE!</v>
          </cell>
          <cell r="T184" t="e">
            <v>#VALUE!</v>
          </cell>
        </row>
        <row r="185">
          <cell r="A185" t="str">
            <v>G2660709TE</v>
          </cell>
          <cell r="B185" t="str">
            <v>MKP000631001918</v>
          </cell>
          <cell r="C185" t="str">
            <v/>
          </cell>
          <cell r="D185" t="str">
            <v>Paneleiro Madesa Stella 60 cm 3 Portas Branco</v>
          </cell>
          <cell r="E185" t="str">
            <v>STELLA</v>
          </cell>
          <cell r="F185" t="str">
            <v>MODULAÇÃO</v>
          </cell>
          <cell r="G185" t="str">
            <v/>
          </cell>
          <cell r="H185">
            <v>1219.99</v>
          </cell>
          <cell r="I185">
            <v>819.99</v>
          </cell>
          <cell r="J185">
            <v>520.87829999999997</v>
          </cell>
          <cell r="K185">
            <v>148.56</v>
          </cell>
          <cell r="L185">
            <v>669.43830000000003</v>
          </cell>
          <cell r="M185">
            <v>69.989999999999995</v>
          </cell>
          <cell r="N185">
            <v>889.98</v>
          </cell>
          <cell r="O185" t="str">
            <v/>
          </cell>
          <cell r="P185">
            <v>0</v>
          </cell>
          <cell r="Q185">
            <v>0.57424488599352297</v>
          </cell>
          <cell r="R185">
            <v>0.32944290758386502</v>
          </cell>
          <cell r="S185" t="e">
            <v>#VALUE!</v>
          </cell>
          <cell r="T185" t="e">
            <v>#VALUE!</v>
          </cell>
        </row>
        <row r="186">
          <cell r="A186" t="str">
            <v>G266075ZGL</v>
          </cell>
          <cell r="B186" t="str">
            <v>MKP000631000357</v>
          </cell>
          <cell r="C186" t="str">
            <v/>
          </cell>
          <cell r="D186" t="str">
            <v>Paneleiro Madesa Glamy 60 cm 3 Portas Rustic</v>
          </cell>
          <cell r="E186" t="str">
            <v>GLAMY</v>
          </cell>
          <cell r="F186" t="str">
            <v>MODULAÇÃO</v>
          </cell>
          <cell r="G186" t="str">
            <v/>
          </cell>
          <cell r="H186">
            <v>1279.99</v>
          </cell>
          <cell r="I186">
            <v>849.99</v>
          </cell>
          <cell r="J186">
            <v>545.34879999999998</v>
          </cell>
          <cell r="K186">
            <v>75.239999999999995</v>
          </cell>
          <cell r="L186">
            <v>620.58879999999999</v>
          </cell>
          <cell r="M186">
            <v>39.99</v>
          </cell>
          <cell r="N186">
            <v>889.98</v>
          </cell>
          <cell r="O186" t="str">
            <v/>
          </cell>
          <cell r="P186">
            <v>0</v>
          </cell>
          <cell r="Q186">
            <v>0.55861716391417804</v>
          </cell>
          <cell r="R186">
            <v>0.434089690307012</v>
          </cell>
          <cell r="S186" t="e">
            <v>#VALUE!</v>
          </cell>
          <cell r="T186" t="e">
            <v>#VALUE!</v>
          </cell>
        </row>
        <row r="187">
          <cell r="A187" t="str">
            <v>044805ZXTPER</v>
          </cell>
          <cell r="B187" t="str">
            <v>MKP000631000631</v>
          </cell>
          <cell r="C187" t="str">
            <v/>
          </cell>
          <cell r="D187" t="str">
            <v>Conjunto Sala de Jantar Madesa Megan Mesa Tampo de Madeira com 6 Cadeiras Rustic/Sintético Bege</v>
          </cell>
          <cell r="E187" t="str">
            <v>MEGAN</v>
          </cell>
          <cell r="F187" t="str">
            <v>SALA DE JANTAR</v>
          </cell>
          <cell r="G187" t="str">
            <v>4290X</v>
          </cell>
          <cell r="H187">
            <v>939.99</v>
          </cell>
          <cell r="I187">
            <v>839.99</v>
          </cell>
          <cell r="J187">
            <v>662.74180000000001</v>
          </cell>
          <cell r="K187">
            <v>62.75</v>
          </cell>
          <cell r="L187">
            <v>725.49180000000001</v>
          </cell>
          <cell r="M187">
            <v>29.99</v>
          </cell>
          <cell r="N187">
            <v>869.98</v>
          </cell>
          <cell r="O187" t="str">
            <v/>
          </cell>
          <cell r="P187">
            <v>0</v>
          </cell>
          <cell r="Q187">
            <v>0.26744683977983602</v>
          </cell>
          <cell r="R187">
            <v>0.19915897050800599</v>
          </cell>
          <cell r="S187" t="e">
            <v>#VALUE!</v>
          </cell>
          <cell r="T187" t="e">
            <v>#VALUE!</v>
          </cell>
        </row>
        <row r="188">
          <cell r="A188" t="str">
            <v>10935Z1E</v>
          </cell>
          <cell r="B188" t="str">
            <v>MKP000631000458</v>
          </cell>
          <cell r="C188" t="str">
            <v/>
          </cell>
          <cell r="D188" t="str">
            <v>Guarda-Roupa Casal Madesa Mônaco 3 Portas de Correr com Espelho Rustic</v>
          </cell>
          <cell r="E188" t="str">
            <v>MÔNACO</v>
          </cell>
          <cell r="F188" t="str">
            <v>QUARTO</v>
          </cell>
          <cell r="G188" t="str">
            <v/>
          </cell>
          <cell r="H188">
            <v>1539.99</v>
          </cell>
          <cell r="I188">
            <v>1029.99</v>
          </cell>
          <cell r="J188">
            <v>750.78110000000004</v>
          </cell>
          <cell r="K188">
            <v>164.45</v>
          </cell>
          <cell r="L188">
            <v>915.23109999999997</v>
          </cell>
          <cell r="M188">
            <v>69.900000000000006</v>
          </cell>
          <cell r="N188">
            <v>1099.8900000000001</v>
          </cell>
          <cell r="O188" t="str">
            <v>MELI</v>
          </cell>
          <cell r="P188">
            <v>922.22</v>
          </cell>
          <cell r="Q188">
            <v>0.37189122102301198</v>
          </cell>
          <cell r="R188">
            <v>0.20176204676611201</v>
          </cell>
          <cell r="S188" t="e">
            <v>#VALUE!</v>
          </cell>
          <cell r="T188" t="e">
            <v>#VALUE!</v>
          </cell>
        </row>
        <row r="189">
          <cell r="A189" t="str">
            <v>G2660709GL</v>
          </cell>
          <cell r="B189" t="str">
            <v>MKP000631000356</v>
          </cell>
          <cell r="C189" t="str">
            <v/>
          </cell>
          <cell r="D189" t="str">
            <v>Paneleiro Madesa Glamy 60 cm 3 Portas Branco</v>
          </cell>
          <cell r="E189" t="str">
            <v>GLAMY</v>
          </cell>
          <cell r="F189" t="str">
            <v>MODULAÇÃO</v>
          </cell>
          <cell r="G189" t="str">
            <v/>
          </cell>
          <cell r="H189">
            <v>1129.99</v>
          </cell>
          <cell r="I189">
            <v>849.99</v>
          </cell>
          <cell r="J189">
            <v>545.34879999999998</v>
          </cell>
          <cell r="K189">
            <v>122.07</v>
          </cell>
          <cell r="L189">
            <v>667.41880000000003</v>
          </cell>
          <cell r="M189">
            <v>0</v>
          </cell>
          <cell r="N189">
            <v>849.99</v>
          </cell>
          <cell r="O189" t="str">
            <v/>
          </cell>
          <cell r="P189">
            <v>0</v>
          </cell>
          <cell r="Q189">
            <v>0.55861716391417804</v>
          </cell>
          <cell r="R189">
            <v>0.27354818294000699</v>
          </cell>
          <cell r="S189" t="e">
            <v>#VALUE!</v>
          </cell>
          <cell r="T189" t="e">
            <v>#VALUE!</v>
          </cell>
        </row>
        <row r="190">
          <cell r="A190" t="str">
            <v>1094H91E</v>
          </cell>
          <cell r="B190" t="str">
            <v>MKP000631004570</v>
          </cell>
          <cell r="C190" t="str">
            <v/>
          </cell>
          <cell r="D190" t="str">
            <v>Guarda-Roupa Solteiro Madesa Denver 2 Portas de Correr com Espelho Preto/Cinza</v>
          </cell>
          <cell r="E190" t="str">
            <v>DENVER</v>
          </cell>
          <cell r="F190" t="str">
            <v>QUARTO</v>
          </cell>
          <cell r="G190" t="str">
            <v/>
          </cell>
          <cell r="H190">
            <v>859.99</v>
          </cell>
          <cell r="I190">
            <v>729.92</v>
          </cell>
          <cell r="J190">
            <v>605.03719999999998</v>
          </cell>
          <cell r="K190">
            <v>211.51</v>
          </cell>
          <cell r="L190">
            <v>816.54719999999998</v>
          </cell>
          <cell r="M190">
            <v>69.989999999999995</v>
          </cell>
          <cell r="N190">
            <v>799.91</v>
          </cell>
          <cell r="O190" t="str">
            <v/>
          </cell>
          <cell r="P190">
            <v>0</v>
          </cell>
          <cell r="Q190">
            <v>0.20640515988107799</v>
          </cell>
          <cell r="R190">
            <v>-2.0375062213182599E-2</v>
          </cell>
          <cell r="S190" t="e">
            <v>#VALUE!</v>
          </cell>
          <cell r="T190" t="e">
            <v>#VALUE!</v>
          </cell>
        </row>
        <row r="191">
          <cell r="A191" t="str">
            <v>MDJA0600177GBE</v>
          </cell>
          <cell r="B191" t="str">
            <v>MKP000631003482</v>
          </cell>
          <cell r="C191" t="str">
            <v/>
          </cell>
          <cell r="D191" t="str">
            <v>Conjunto Sala de Jantar Madesa Medelin Mesa Tampo de Madeira com 6 Cadeiras Rustic/Crema/Bege</v>
          </cell>
          <cell r="E191" t="str">
            <v>MEDELIN</v>
          </cell>
          <cell r="F191" t="str">
            <v>SALA DE JANTAR</v>
          </cell>
          <cell r="G191" t="str">
            <v>4280X</v>
          </cell>
          <cell r="H191">
            <v>1719.99</v>
          </cell>
          <cell r="I191">
            <v>799.99</v>
          </cell>
          <cell r="J191">
            <v>582.85569999999996</v>
          </cell>
          <cell r="K191">
            <v>110.58</v>
          </cell>
          <cell r="L191">
            <v>693.4357</v>
          </cell>
          <cell r="M191">
            <v>29.9</v>
          </cell>
          <cell r="N191">
            <v>829.89</v>
          </cell>
          <cell r="O191" t="str">
            <v>WEB (VIA)</v>
          </cell>
          <cell r="P191">
            <v>799.99</v>
          </cell>
          <cell r="Q191">
            <v>0.37253526044267898</v>
          </cell>
          <cell r="R191">
            <v>0.196780033101843</v>
          </cell>
          <cell r="S191" t="e">
            <v>#VALUE!</v>
          </cell>
          <cell r="T191" t="e">
            <v>#VALUE!</v>
          </cell>
        </row>
        <row r="192">
          <cell r="A192" t="str">
            <v>G26755F8AG</v>
          </cell>
          <cell r="B192" t="str">
            <v>MKP000631002654</v>
          </cell>
          <cell r="C192" t="str">
            <v/>
          </cell>
          <cell r="D192" t="str">
            <v>Torre Quente Madesa Agata 70 cm 3 Portas Branco/Cinza</v>
          </cell>
          <cell r="E192" t="str">
            <v>ÁGATA</v>
          </cell>
          <cell r="F192" t="str">
            <v>MODULAÇÃO</v>
          </cell>
          <cell r="G192" t="str">
            <v/>
          </cell>
          <cell r="H192">
            <v>1269.99</v>
          </cell>
          <cell r="I192">
            <v>889.99</v>
          </cell>
          <cell r="J192">
            <v>520.20249999999999</v>
          </cell>
          <cell r="K192">
            <v>171.32</v>
          </cell>
          <cell r="L192">
            <v>691.52250000000004</v>
          </cell>
          <cell r="M192">
            <v>69.989999999999995</v>
          </cell>
          <cell r="N192">
            <v>959.98</v>
          </cell>
          <cell r="O192" t="str">
            <v/>
          </cell>
          <cell r="P192">
            <v>0</v>
          </cell>
          <cell r="Q192">
            <v>0.71085298513559603</v>
          </cell>
          <cell r="R192">
            <v>0.388212241828718</v>
          </cell>
          <cell r="S192" t="e">
            <v>#VALUE!</v>
          </cell>
          <cell r="T192" t="e">
            <v>#VALUE!</v>
          </cell>
        </row>
        <row r="193">
          <cell r="A193" t="str">
            <v>G241247GAG</v>
          </cell>
          <cell r="B193" t="str">
            <v>MKP000631005384</v>
          </cell>
          <cell r="C193" t="str">
            <v/>
          </cell>
          <cell r="D193" t="str">
            <v>Balcão Gabinete de Pia 2 Portas e 3 Gavetas Rustic/Crema Agata Madesa</v>
          </cell>
          <cell r="E193" t="str">
            <v>ÁGATA</v>
          </cell>
          <cell r="F193" t="str">
            <v>MODULAÇÃO</v>
          </cell>
          <cell r="G193" t="str">
            <v/>
          </cell>
          <cell r="H193">
            <v>879.99</v>
          </cell>
          <cell r="I193">
            <v>779.99</v>
          </cell>
          <cell r="J193">
            <v>542.59109999999998</v>
          </cell>
          <cell r="K193">
            <v>57.48</v>
          </cell>
          <cell r="L193">
            <v>600.0711</v>
          </cell>
          <cell r="M193">
            <v>39.99</v>
          </cell>
          <cell r="N193">
            <v>819.98</v>
          </cell>
          <cell r="O193" t="str">
            <v/>
          </cell>
          <cell r="P193">
            <v>0</v>
          </cell>
          <cell r="Q193">
            <v>0.43752818651098402</v>
          </cell>
          <cell r="R193">
            <v>0.36647140647166598</v>
          </cell>
          <cell r="S193" t="e">
            <v>#VALUE!</v>
          </cell>
          <cell r="T193" t="e">
            <v>#VALUE!</v>
          </cell>
        </row>
        <row r="194">
          <cell r="A194" t="str">
            <v>G251258NRMRF</v>
          </cell>
          <cell r="B194" t="str">
            <v>MKP000631002229</v>
          </cell>
          <cell r="C194" t="str">
            <v/>
          </cell>
          <cell r="D194" t="str">
            <v>Armário Aéreo Madesa Reims 2 Portas de Correr de Vidro Reflex Preto</v>
          </cell>
          <cell r="E194" t="str">
            <v>REIMS</v>
          </cell>
          <cell r="F194" t="str">
            <v>MODULAÇÃO</v>
          </cell>
          <cell r="G194" t="str">
            <v/>
          </cell>
          <cell r="H194">
            <v>879.99</v>
          </cell>
          <cell r="I194">
            <v>349.99</v>
          </cell>
          <cell r="J194">
            <v>262.13409999999999</v>
          </cell>
          <cell r="K194">
            <v>92.594999999999999</v>
          </cell>
          <cell r="L194">
            <v>354.72910000000002</v>
          </cell>
          <cell r="M194">
            <v>54.945</v>
          </cell>
          <cell r="N194">
            <v>404.935</v>
          </cell>
          <cell r="O194" t="str">
            <v/>
          </cell>
          <cell r="P194">
            <v>0</v>
          </cell>
          <cell r="Q194">
            <v>0.33515631884596497</v>
          </cell>
          <cell r="R194">
            <v>0.14153307411204799</v>
          </cell>
          <cell r="S194" t="e">
            <v>#VALUE!</v>
          </cell>
          <cell r="T194" t="e">
            <v>#VALUE!</v>
          </cell>
        </row>
        <row r="195">
          <cell r="A195" t="str">
            <v>10949B1E</v>
          </cell>
          <cell r="B195" t="str">
            <v>MKP000631000765</v>
          </cell>
          <cell r="C195" t="str">
            <v/>
          </cell>
          <cell r="D195" t="str">
            <v>Guarda-Roupa Solteiro Madesa Denver 2 Portas de Correr com Espelho Branco/Rustic</v>
          </cell>
          <cell r="E195" t="str">
            <v>DENVER</v>
          </cell>
          <cell r="F195" t="str">
            <v>QUARTO</v>
          </cell>
          <cell r="G195" t="str">
            <v/>
          </cell>
          <cell r="H195">
            <v>869.99</v>
          </cell>
          <cell r="I195">
            <v>739.92</v>
          </cell>
          <cell r="J195">
            <v>605.03719999999998</v>
          </cell>
          <cell r="K195">
            <v>138.47</v>
          </cell>
          <cell r="L195">
            <v>743.50720000000001</v>
          </cell>
          <cell r="M195">
            <v>69.900000000000006</v>
          </cell>
          <cell r="N195">
            <v>809.82</v>
          </cell>
          <cell r="O195" t="str">
            <v/>
          </cell>
          <cell r="P195">
            <v>0</v>
          </cell>
          <cell r="Q195">
            <v>0.222933069239379</v>
          </cell>
          <cell r="R195">
            <v>8.9189183373072703E-2</v>
          </cell>
          <cell r="S195" t="e">
            <v>#VALUE!</v>
          </cell>
          <cell r="T195" t="e">
            <v>#VALUE!</v>
          </cell>
        </row>
        <row r="196">
          <cell r="A196" t="str">
            <v>G2412409TE</v>
          </cell>
          <cell r="B196" t="str">
            <v>MKP000631001911</v>
          </cell>
          <cell r="C196" t="str">
            <v/>
          </cell>
          <cell r="D196" t="str">
            <v>Balcão Gabinete de Pia Madesa Stella 2 Portas e 3 Gavetas (Sem Tampo e Pia) Branco</v>
          </cell>
          <cell r="E196" t="str">
            <v>STELLA</v>
          </cell>
          <cell r="F196" t="str">
            <v>MODULAÇÃO</v>
          </cell>
          <cell r="G196" t="str">
            <v/>
          </cell>
          <cell r="H196">
            <v>1239.99</v>
          </cell>
          <cell r="I196">
            <v>719.99</v>
          </cell>
          <cell r="J196">
            <v>553.34939999999995</v>
          </cell>
          <cell r="K196">
            <v>79.047200000000004</v>
          </cell>
          <cell r="L196">
            <v>632.39660000000003</v>
          </cell>
          <cell r="M196">
            <v>89.700999999999993</v>
          </cell>
          <cell r="N196">
            <v>809.69100000000003</v>
          </cell>
          <cell r="O196" t="str">
            <v/>
          </cell>
          <cell r="P196">
            <v>0</v>
          </cell>
          <cell r="Q196">
            <v>0.30114896663843799</v>
          </cell>
          <cell r="R196">
            <v>0.28035318342951199</v>
          </cell>
          <cell r="S196" t="e">
            <v>#VALUE!</v>
          </cell>
          <cell r="T196" t="e">
            <v>#VALUE!</v>
          </cell>
        </row>
        <row r="197">
          <cell r="A197" t="str">
            <v>104409ACP</v>
          </cell>
          <cell r="B197" t="str">
            <v>MKP000631000142</v>
          </cell>
          <cell r="C197" t="str">
            <v/>
          </cell>
          <cell r="D197" t="str">
            <v>Guarda-Roupa Solteiro Madesa Luke 2 Portas de Correr de Madeira com Pés Branco</v>
          </cell>
          <cell r="E197" t="str">
            <v>LUKE</v>
          </cell>
          <cell r="F197" t="str">
            <v>QUARTO</v>
          </cell>
          <cell r="G197" t="str">
            <v/>
          </cell>
          <cell r="H197">
            <v>929.99</v>
          </cell>
          <cell r="I197">
            <v>799.92</v>
          </cell>
          <cell r="J197">
            <v>605.5059</v>
          </cell>
          <cell r="K197">
            <v>62.5</v>
          </cell>
          <cell r="L197">
            <v>668.0059</v>
          </cell>
          <cell r="M197">
            <v>29.99</v>
          </cell>
          <cell r="N197">
            <v>829.91</v>
          </cell>
          <cell r="O197" t="str">
            <v/>
          </cell>
          <cell r="P197">
            <v>0</v>
          </cell>
          <cell r="Q197">
            <v>0.32107713566457402</v>
          </cell>
          <cell r="R197">
            <v>0.24236926649899301</v>
          </cell>
          <cell r="S197" t="e">
            <v>#VALUE!</v>
          </cell>
          <cell r="T197" t="e">
            <v>#VALUE!</v>
          </cell>
        </row>
        <row r="198">
          <cell r="A198" t="str">
            <v>MDFC0200150909</v>
          </cell>
          <cell r="B198" t="str">
            <v>MKP000631002769</v>
          </cell>
          <cell r="C198" t="str">
            <v/>
          </cell>
          <cell r="D198" t="str">
            <v>Kit Madesa com 2 Estantes Livreiro 6908 Branco</v>
          </cell>
          <cell r="E198">
            <v>6908</v>
          </cell>
          <cell r="F198" t="str">
            <v>ESCRITÓRIO</v>
          </cell>
          <cell r="G198" t="str">
            <v/>
          </cell>
          <cell r="H198">
            <v>1389.99</v>
          </cell>
          <cell r="I198">
            <v>699.99</v>
          </cell>
          <cell r="J198">
            <v>461.98559999999998</v>
          </cell>
          <cell r="K198">
            <v>164.49</v>
          </cell>
          <cell r="L198">
            <v>626.47559999999999</v>
          </cell>
          <cell r="M198">
            <v>69.900000000000006</v>
          </cell>
          <cell r="N198">
            <v>769.89</v>
          </cell>
          <cell r="O198" t="str">
            <v>AMAZON</v>
          </cell>
          <cell r="P198">
            <v>629.99</v>
          </cell>
          <cell r="Q198">
            <v>0.51517709642898002</v>
          </cell>
          <cell r="R198">
            <v>0.228922562985693</v>
          </cell>
          <cell r="S198" t="e">
            <v>#VALUE!</v>
          </cell>
          <cell r="T198" t="e">
            <v>#VALUE!</v>
          </cell>
        </row>
        <row r="199">
          <cell r="A199" t="str">
            <v>MDJA0600437GPER</v>
          </cell>
          <cell r="B199" t="str">
            <v>MKP000631000793</v>
          </cell>
          <cell r="C199" t="str">
            <v/>
          </cell>
          <cell r="D199" t="str">
            <v>Conjunto Sala de Jantar Madesa Ohana Mesa Tampo de Madeira com 6 Cadeiras Rustic/Crema/Sintético Bege</v>
          </cell>
          <cell r="E199" t="str">
            <v>OHANA</v>
          </cell>
          <cell r="F199" t="str">
            <v>SALA DE JANTAR</v>
          </cell>
          <cell r="G199" t="str">
            <v>4291X</v>
          </cell>
          <cell r="H199">
            <v>1919.99</v>
          </cell>
          <cell r="I199">
            <v>939.99</v>
          </cell>
          <cell r="J199">
            <v>664.50760000000002</v>
          </cell>
          <cell r="K199">
            <v>108.02</v>
          </cell>
          <cell r="L199">
            <v>772.52760000000001</v>
          </cell>
          <cell r="M199">
            <v>39.9</v>
          </cell>
          <cell r="N199">
            <v>979.89</v>
          </cell>
          <cell r="O199" t="str">
            <v>WEB (VIA)</v>
          </cell>
          <cell r="P199">
            <v>939.99</v>
          </cell>
          <cell r="Q199">
            <v>0.414566214141117</v>
          </cell>
          <cell r="R199">
            <v>0.26842070108563099</v>
          </cell>
          <cell r="S199" t="e">
            <v>#VALUE!</v>
          </cell>
          <cell r="T199" t="e">
            <v>#VALUE!</v>
          </cell>
        </row>
        <row r="200">
          <cell r="A200" t="str">
            <v>044825ZXTFBM</v>
          </cell>
          <cell r="B200" t="str">
            <v>MKP000631000578</v>
          </cell>
          <cell r="C200" t="str">
            <v/>
          </cell>
          <cell r="D200" t="str">
            <v>Conjunto Sala de Jantar Madesa Maris Mesa Tampo de Madeira com 6 Cadeiras Rustic/Bege Marrom</v>
          </cell>
          <cell r="E200" t="str">
            <v>MARIS</v>
          </cell>
          <cell r="F200" t="str">
            <v>SALA DE JANTAR</v>
          </cell>
          <cell r="G200" t="str">
            <v>4290X</v>
          </cell>
          <cell r="H200">
            <v>1069.99</v>
          </cell>
          <cell r="I200">
            <v>777.77</v>
          </cell>
          <cell r="J200">
            <v>562.97410000000002</v>
          </cell>
          <cell r="K200">
            <v>66.709999999999994</v>
          </cell>
          <cell r="L200">
            <v>629.68409999999994</v>
          </cell>
          <cell r="M200">
            <v>49.99</v>
          </cell>
          <cell r="N200">
            <v>827.76</v>
          </cell>
          <cell r="O200" t="str">
            <v>WEB (VIA)</v>
          </cell>
          <cell r="P200">
            <v>777.77</v>
          </cell>
          <cell r="Q200">
            <v>0.38153780076206001</v>
          </cell>
          <cell r="R200">
            <v>0.31456392181412901</v>
          </cell>
          <cell r="S200" t="e">
            <v>#VALUE!</v>
          </cell>
          <cell r="T200" t="e">
            <v>#VALUE!</v>
          </cell>
        </row>
        <row r="201">
          <cell r="A201" t="str">
            <v>MDJA0401657GBE</v>
          </cell>
          <cell r="B201" t="str">
            <v>MKP000631005568</v>
          </cell>
          <cell r="C201" t="str">
            <v/>
          </cell>
          <cell r="D201" t="str">
            <v>Conjunto Sala de Jantar Mesa Tampo de Vidro 4 Cadeiras Rustic/Crema/Bege Tifani Madesa</v>
          </cell>
          <cell r="E201" t="str">
            <v>TIFANI</v>
          </cell>
          <cell r="F201" t="str">
            <v>SALA DE JANTAR</v>
          </cell>
          <cell r="G201" t="str">
            <v>4291X</v>
          </cell>
          <cell r="H201">
            <v>669.99</v>
          </cell>
          <cell r="I201">
            <v>666.65</v>
          </cell>
          <cell r="J201">
            <v>512.69240000000002</v>
          </cell>
          <cell r="K201">
            <v>149.29</v>
          </cell>
          <cell r="L201">
            <v>661.98239999999998</v>
          </cell>
          <cell r="M201">
            <v>79.900000000000006</v>
          </cell>
          <cell r="N201">
            <v>746.55</v>
          </cell>
          <cell r="O201" t="str">
            <v>LEROY</v>
          </cell>
          <cell r="P201">
            <v>665.99</v>
          </cell>
          <cell r="Q201">
            <v>0.30029233903213698</v>
          </cell>
          <cell r="R201">
            <v>0.12774901568380101</v>
          </cell>
          <cell r="S201" t="e">
            <v>#VALUE!</v>
          </cell>
          <cell r="T201" t="e">
            <v>#VALUE!</v>
          </cell>
        </row>
        <row r="202">
          <cell r="A202" t="str">
            <v>MDJA0401107KPT</v>
          </cell>
          <cell r="B202" t="str">
            <v>MKP000631004180</v>
          </cell>
          <cell r="C202" t="str">
            <v/>
          </cell>
          <cell r="D202" t="str">
            <v>Conjunto Sala de Jantar Madesa Beta Mesa Tampo de Vidro Redondo 4 Cadeiras Rustic/Preto</v>
          </cell>
          <cell r="E202" t="str">
            <v>BETA</v>
          </cell>
          <cell r="F202" t="str">
            <v>SALA DE JANTAR</v>
          </cell>
          <cell r="G202" t="str">
            <v>4280X</v>
          </cell>
          <cell r="H202">
            <v>799.99</v>
          </cell>
          <cell r="I202">
            <v>699.99</v>
          </cell>
          <cell r="J202">
            <v>557.78570000000002</v>
          </cell>
          <cell r="K202">
            <v>109.79</v>
          </cell>
          <cell r="L202">
            <v>667.57569999999998</v>
          </cell>
          <cell r="M202">
            <v>39.9</v>
          </cell>
          <cell r="N202">
            <v>739.89</v>
          </cell>
          <cell r="O202" t="str">
            <v/>
          </cell>
          <cell r="P202">
            <v>0</v>
          </cell>
          <cell r="Q202">
            <v>0.25494432718515397</v>
          </cell>
          <cell r="R202">
            <v>0.108323745157291</v>
          </cell>
          <cell r="S202" t="e">
            <v>#VALUE!</v>
          </cell>
          <cell r="T202" t="e">
            <v>#VALUE!</v>
          </cell>
        </row>
        <row r="203">
          <cell r="A203" t="str">
            <v>MDJA040165J7PT</v>
          </cell>
          <cell r="B203" t="str">
            <v>MKP000631005566</v>
          </cell>
          <cell r="C203" t="str">
            <v/>
          </cell>
          <cell r="D203" t="str">
            <v>Conjunto Sala de Jantar Mesa Tampo de Vidro 4 Cadeiras Rustic/Crema/Preto Tifani Madesa</v>
          </cell>
          <cell r="E203" t="str">
            <v>TIFANI</v>
          </cell>
          <cell r="F203" t="str">
            <v>SALA DE JANTAR</v>
          </cell>
          <cell r="G203" t="str">
            <v>4291X</v>
          </cell>
          <cell r="H203">
            <v>759.99</v>
          </cell>
          <cell r="I203">
            <v>659.99</v>
          </cell>
          <cell r="J203">
            <v>512.69240000000002</v>
          </cell>
          <cell r="K203">
            <v>132.57</v>
          </cell>
          <cell r="L203">
            <v>645.26239999999996</v>
          </cell>
          <cell r="M203">
            <v>79.900000000000006</v>
          </cell>
          <cell r="N203">
            <v>739.89</v>
          </cell>
          <cell r="O203" t="str">
            <v/>
          </cell>
          <cell r="P203">
            <v>0</v>
          </cell>
          <cell r="Q203">
            <v>0.28730209380907501</v>
          </cell>
          <cell r="R203">
            <v>0.14664979704380701</v>
          </cell>
          <cell r="S203" t="e">
            <v>#VALUE!</v>
          </cell>
          <cell r="T203" t="e">
            <v>#VALUE!</v>
          </cell>
        </row>
        <row r="204">
          <cell r="A204" t="str">
            <v>G200778NRM</v>
          </cell>
          <cell r="B204" t="str">
            <v>MKP000631001683</v>
          </cell>
          <cell r="C204" t="str">
            <v/>
          </cell>
          <cell r="D204" t="str">
            <v>Kit Madesa Reims 120 cm com Armário Aéreo e Balcão Gabinete de Pia Preto</v>
          </cell>
          <cell r="E204" t="str">
            <v>REIMS</v>
          </cell>
          <cell r="F204" t="str">
            <v>MODULAÇÃO</v>
          </cell>
          <cell r="G204" t="str">
            <v/>
          </cell>
          <cell r="H204">
            <v>1399.99</v>
          </cell>
          <cell r="I204">
            <v>699.99</v>
          </cell>
          <cell r="J204">
            <v>560.80499999999995</v>
          </cell>
          <cell r="K204">
            <v>62.5</v>
          </cell>
          <cell r="L204">
            <v>623.30499999999995</v>
          </cell>
          <cell r="M204">
            <v>29.99</v>
          </cell>
          <cell r="N204">
            <v>729.98</v>
          </cell>
          <cell r="O204" t="str">
            <v/>
          </cell>
          <cell r="P204">
            <v>0</v>
          </cell>
          <cell r="Q204">
            <v>0.24818787279000701</v>
          </cell>
          <cell r="R204">
            <v>0.17114414291558699</v>
          </cell>
          <cell r="S204" t="e">
            <v>#VALUE!</v>
          </cell>
          <cell r="T204" t="e">
            <v>#VALUE!</v>
          </cell>
        </row>
        <row r="205">
          <cell r="A205" t="str">
            <v>045987K4XTPT</v>
          </cell>
          <cell r="B205" t="str">
            <v>MKP000631000700</v>
          </cell>
          <cell r="C205" t="str">
            <v/>
          </cell>
          <cell r="D205" t="str">
            <v>Conjunto Sala de Jantar Moscou Plus Madesa Mesa Tampo de Vidro com 4 Cadeiras Rustic/Preto</v>
          </cell>
          <cell r="E205" t="str">
            <v>MOSCOU</v>
          </cell>
          <cell r="F205" t="str">
            <v>SALA DE JANTAR</v>
          </cell>
          <cell r="G205" t="str">
            <v>4291X</v>
          </cell>
          <cell r="H205">
            <v>759.99</v>
          </cell>
          <cell r="I205">
            <v>659.99</v>
          </cell>
          <cell r="J205">
            <v>512.69240000000002</v>
          </cell>
          <cell r="K205">
            <v>117.73</v>
          </cell>
          <cell r="L205">
            <v>630.42240000000004</v>
          </cell>
          <cell r="M205">
            <v>59.9</v>
          </cell>
          <cell r="N205">
            <v>719.89</v>
          </cell>
          <cell r="O205" t="str">
            <v>MELI</v>
          </cell>
          <cell r="P205">
            <v>699.99</v>
          </cell>
          <cell r="Q205">
            <v>0.28730209380907501</v>
          </cell>
          <cell r="R205">
            <v>0.14191691158182199</v>
          </cell>
          <cell r="S205" t="e">
            <v>#VALUE!</v>
          </cell>
          <cell r="T205" t="e">
            <v>#VALUE!</v>
          </cell>
        </row>
        <row r="206">
          <cell r="A206" t="str">
            <v>42905Z4XTFLH</v>
          </cell>
          <cell r="B206" t="str">
            <v>MKP000631000084</v>
          </cell>
          <cell r="C206" t="str">
            <v/>
          </cell>
          <cell r="D206" t="str">
            <v>Kit 4 Cadeiras 4290 Madesa Rustic/Hibiscos</v>
          </cell>
          <cell r="E206">
            <v>4290</v>
          </cell>
          <cell r="F206" t="str">
            <v>SALA DE JANTAR</v>
          </cell>
          <cell r="G206" t="str">
            <v>4290X</v>
          </cell>
          <cell r="H206">
            <v>669.99</v>
          </cell>
          <cell r="I206">
            <v>379.99</v>
          </cell>
          <cell r="J206">
            <v>256.8476</v>
          </cell>
          <cell r="K206">
            <v>90.33</v>
          </cell>
          <cell r="L206">
            <v>347.17759999999998</v>
          </cell>
          <cell r="M206">
            <v>29.945</v>
          </cell>
          <cell r="N206">
            <v>409.935</v>
          </cell>
          <cell r="O206" t="str">
            <v>WEB (MELI)</v>
          </cell>
          <cell r="P206">
            <v>379.99</v>
          </cell>
          <cell r="Q206">
            <v>0.47943761203141499</v>
          </cell>
          <cell r="R206">
            <v>0.18076454241287501</v>
          </cell>
          <cell r="S206" t="e">
            <v>#VALUE!</v>
          </cell>
          <cell r="T206" t="e">
            <v>#VALUE!</v>
          </cell>
        </row>
        <row r="207">
          <cell r="A207" t="str">
            <v>10948N2G</v>
          </cell>
          <cell r="B207" t="str">
            <v>MKP000631001958</v>
          </cell>
          <cell r="C207" t="str">
            <v/>
          </cell>
          <cell r="D207" t="str">
            <v>Guarda-Roupa Solteiro Madesa Dallas 2 Portas de Correr 2 Gavetas Preto</v>
          </cell>
          <cell r="E207" t="str">
            <v>DALLAS</v>
          </cell>
          <cell r="F207" t="str">
            <v>QUARTO</v>
          </cell>
          <cell r="G207" t="str">
            <v/>
          </cell>
          <cell r="H207">
            <v>1339.99</v>
          </cell>
          <cell r="I207">
            <v>719.92</v>
          </cell>
          <cell r="J207">
            <v>563.84609999999998</v>
          </cell>
          <cell r="K207">
            <v>122.27</v>
          </cell>
          <cell r="L207">
            <v>686.11609999999996</v>
          </cell>
          <cell r="M207">
            <v>29.9</v>
          </cell>
          <cell r="N207">
            <v>749.82</v>
          </cell>
          <cell r="O207" t="str">
            <v/>
          </cell>
          <cell r="P207">
            <v>0</v>
          </cell>
          <cell r="Q207">
            <v>0.27680230474237599</v>
          </cell>
          <cell r="R207">
            <v>9.2847114358634006E-2</v>
          </cell>
          <cell r="S207" t="e">
            <v>#VALUE!</v>
          </cell>
          <cell r="T207" t="e">
            <v>#VALUE!</v>
          </cell>
        </row>
        <row r="208">
          <cell r="A208" t="str">
            <v>MDJA0401657KPT</v>
          </cell>
          <cell r="B208" t="str">
            <v>MKP000631005565</v>
          </cell>
          <cell r="C208" t="str">
            <v/>
          </cell>
          <cell r="D208" t="str">
            <v>Conjunto Sala de Jantar Mesa Tampo de Vidro 4 Cadeiras Rustic/Preto Tifani Madesa</v>
          </cell>
          <cell r="E208" t="str">
            <v>TIFANI</v>
          </cell>
          <cell r="F208" t="str">
            <v>SALA DE JANTAR</v>
          </cell>
          <cell r="G208" t="str">
            <v>4291X</v>
          </cell>
          <cell r="H208">
            <v>759.99</v>
          </cell>
          <cell r="I208">
            <v>679.99</v>
          </cell>
          <cell r="J208">
            <v>512.69240000000002</v>
          </cell>
          <cell r="K208">
            <v>82.69</v>
          </cell>
          <cell r="L208">
            <v>595.38239999999996</v>
          </cell>
          <cell r="M208">
            <v>39.99</v>
          </cell>
          <cell r="N208">
            <v>719.98</v>
          </cell>
          <cell r="O208" t="str">
            <v>CARREFOUR</v>
          </cell>
          <cell r="P208">
            <v>659.99</v>
          </cell>
          <cell r="Q208">
            <v>0.32631183922367502</v>
          </cell>
          <cell r="R208">
            <v>0.20927323347146301</v>
          </cell>
          <cell r="S208" t="e">
            <v>#VALUE!</v>
          </cell>
          <cell r="T208" t="e">
            <v>#VALUE!</v>
          </cell>
        </row>
        <row r="209">
          <cell r="A209" t="str">
            <v>42917G4XTFBM</v>
          </cell>
          <cell r="B209" t="str">
            <v>MKP000631000088</v>
          </cell>
          <cell r="C209" t="str">
            <v/>
          </cell>
          <cell r="D209" t="str">
            <v>Kit 4 Cadeiras 4291 Madesa Rustic/Crema/Bege Marrom</v>
          </cell>
          <cell r="E209">
            <v>4291</v>
          </cell>
          <cell r="F209" t="str">
            <v>SALA DE JANTAR</v>
          </cell>
          <cell r="G209" t="str">
            <v>4291X</v>
          </cell>
          <cell r="H209">
            <v>669.99</v>
          </cell>
          <cell r="I209">
            <v>379.99</v>
          </cell>
          <cell r="J209">
            <v>257.37079999999997</v>
          </cell>
          <cell r="K209">
            <v>65.924999999999997</v>
          </cell>
          <cell r="L209">
            <v>323.29579999999999</v>
          </cell>
          <cell r="M209">
            <v>24.945</v>
          </cell>
          <cell r="N209">
            <v>404.935</v>
          </cell>
          <cell r="O209" t="str">
            <v>WEB (MELI)</v>
          </cell>
          <cell r="P209">
            <v>379.99</v>
          </cell>
          <cell r="Q209">
            <v>0.47643011561529103</v>
          </cell>
          <cell r="R209">
            <v>0.25252168447595003</v>
          </cell>
          <cell r="S209" t="e">
            <v>#VALUE!</v>
          </cell>
          <cell r="T209" t="e">
            <v>#VALUE!</v>
          </cell>
        </row>
        <row r="210">
          <cell r="A210" t="str">
            <v>G241247KAG</v>
          </cell>
          <cell r="B210" t="str">
            <v>MKP000631003075</v>
          </cell>
          <cell r="C210" t="str">
            <v/>
          </cell>
          <cell r="D210" t="str">
            <v>Balcão Gabinete de Pia Madesa Agata 2 Portas e 3 Gavetas (Sem Tampo e Pia) Rustic/Preto</v>
          </cell>
          <cell r="E210" t="str">
            <v>ÁGATA</v>
          </cell>
          <cell r="F210" t="str">
            <v>MODULAÇÃO</v>
          </cell>
          <cell r="G210" t="str">
            <v/>
          </cell>
          <cell r="H210">
            <v>1199.99</v>
          </cell>
          <cell r="I210">
            <v>729.99</v>
          </cell>
          <cell r="J210">
            <v>542.59109999999998</v>
          </cell>
          <cell r="K210">
            <v>97.55</v>
          </cell>
          <cell r="L210">
            <v>640.14110000000005</v>
          </cell>
          <cell r="M210">
            <v>19.899999999999999</v>
          </cell>
          <cell r="N210">
            <v>749.89</v>
          </cell>
          <cell r="O210" t="str">
            <v/>
          </cell>
          <cell r="P210">
            <v>0</v>
          </cell>
          <cell r="Q210">
            <v>0.34537776237022699</v>
          </cell>
          <cell r="R210">
            <v>0.17144485801645901</v>
          </cell>
          <cell r="S210" t="e">
            <v>#VALUE!</v>
          </cell>
          <cell r="T210" t="e">
            <v>#VALUE!</v>
          </cell>
        </row>
        <row r="211">
          <cell r="A211" t="str">
            <v>G241207KGLCT</v>
          </cell>
          <cell r="B211" t="str">
            <v>MKP000631003119</v>
          </cell>
          <cell r="C211" t="str">
            <v/>
          </cell>
          <cell r="D211" t="str">
            <v>Balcão de Pia Madesa Glamy 120 cm 2 Portas (Com Tampo) Rustic/Preto</v>
          </cell>
          <cell r="E211" t="str">
            <v>GLAMY</v>
          </cell>
          <cell r="F211" t="str">
            <v>MODULAÇÃO</v>
          </cell>
          <cell r="G211" t="str">
            <v/>
          </cell>
          <cell r="H211">
            <v>1149.99</v>
          </cell>
          <cell r="I211">
            <v>619.99</v>
          </cell>
          <cell r="J211">
            <v>467.7081</v>
          </cell>
          <cell r="K211">
            <v>50.683199999999999</v>
          </cell>
          <cell r="L211">
            <v>518.3913</v>
          </cell>
          <cell r="M211">
            <v>49.813600000000001</v>
          </cell>
          <cell r="N211">
            <v>669.80359999999996</v>
          </cell>
          <cell r="O211" t="str">
            <v/>
          </cell>
          <cell r="P211">
            <v>0</v>
          </cell>
          <cell r="Q211">
            <v>0.32559175263374801</v>
          </cell>
          <cell r="R211">
            <v>0.29208109781163399</v>
          </cell>
          <cell r="S211" t="e">
            <v>#VALUE!</v>
          </cell>
          <cell r="T211" t="e">
            <v>#VALUE!</v>
          </cell>
        </row>
        <row r="212">
          <cell r="A212" t="str">
            <v>G241539BGLFF</v>
          </cell>
          <cell r="B212" t="str">
            <v>MKP000631005602</v>
          </cell>
          <cell r="C212" t="str">
            <v/>
          </cell>
          <cell r="D212" t="str">
            <v>Balcão Gabinete de Pia Madesa Glamy 150 cm 2 Gavetas 2 Portas (Sem Tampo e Pia) Branco/Rustic</v>
          </cell>
          <cell r="E212" t="str">
            <v>GLAMY</v>
          </cell>
          <cell r="F212" t="str">
            <v>MODULAÇÃO</v>
          </cell>
          <cell r="G212" t="str">
            <v/>
          </cell>
          <cell r="H212">
            <v>689.99</v>
          </cell>
          <cell r="I212">
            <v>629.99</v>
          </cell>
          <cell r="J212">
            <v>489.39909999999998</v>
          </cell>
          <cell r="K212">
            <v>70.45</v>
          </cell>
          <cell r="L212">
            <v>559.84910000000002</v>
          </cell>
          <cell r="M212">
            <v>29.99</v>
          </cell>
          <cell r="N212">
            <v>659.98</v>
          </cell>
          <cell r="O212" t="str">
            <v/>
          </cell>
          <cell r="P212">
            <v>0</v>
          </cell>
          <cell r="Q212">
            <v>0.28727249396249399</v>
          </cell>
          <cell r="R212">
            <v>0.178853373167877</v>
          </cell>
          <cell r="S212" t="e">
            <v>#VALUE!</v>
          </cell>
          <cell r="T212" t="e">
            <v>#VALUE!</v>
          </cell>
        </row>
        <row r="213">
          <cell r="A213" t="str">
            <v>MDES0200145Z5Z</v>
          </cell>
          <cell r="B213" t="str">
            <v>MKP000631001559</v>
          </cell>
          <cell r="C213" t="str">
            <v/>
          </cell>
          <cell r="D213" t="str">
            <v>Rack Madesa Dubai e Painel para TV até 65 Polegadas com Pés Rustic</v>
          </cell>
          <cell r="E213" t="str">
            <v>DUBAI</v>
          </cell>
          <cell r="F213" t="str">
            <v>SALA DE ESTAR</v>
          </cell>
          <cell r="G213" t="str">
            <v/>
          </cell>
          <cell r="H213">
            <v>699.99</v>
          </cell>
          <cell r="I213">
            <v>599.99</v>
          </cell>
          <cell r="J213">
            <v>442.649</v>
          </cell>
          <cell r="K213">
            <v>146.72</v>
          </cell>
          <cell r="L213">
            <v>589.36900000000003</v>
          </cell>
          <cell r="M213">
            <v>59.9</v>
          </cell>
          <cell r="N213">
            <v>659.89</v>
          </cell>
          <cell r="O213" t="str">
            <v/>
          </cell>
          <cell r="P213">
            <v>0</v>
          </cell>
          <cell r="Q213">
            <v>0.35545319203251302</v>
          </cell>
          <cell r="R213">
            <v>0.11965508874745701</v>
          </cell>
          <cell r="S213" t="e">
            <v>#VALUE!</v>
          </cell>
          <cell r="T213" t="e">
            <v>#VALUE!</v>
          </cell>
        </row>
        <row r="214">
          <cell r="A214" t="str">
            <v>MDJA0400505ZPER</v>
          </cell>
          <cell r="B214" t="str">
            <v>MKP000631001554</v>
          </cell>
          <cell r="C214" t="str">
            <v/>
          </cell>
          <cell r="D214" t="str">
            <v>Conjunto Sala de Jantar Madesa Maya Mesa Tampo de Vidro com 4 Cadeiras Rustic/Sintético Bege</v>
          </cell>
          <cell r="E214" t="str">
            <v>MAYA</v>
          </cell>
          <cell r="F214" t="str">
            <v>SALA DE JANTAR</v>
          </cell>
          <cell r="G214" t="str">
            <v>4290X</v>
          </cell>
          <cell r="H214">
            <v>1269.99</v>
          </cell>
          <cell r="I214">
            <v>599.99</v>
          </cell>
          <cell r="J214">
            <v>493.51929999999999</v>
          </cell>
          <cell r="K214">
            <v>151.15</v>
          </cell>
          <cell r="L214">
            <v>644.66930000000002</v>
          </cell>
          <cell r="M214">
            <v>59.9</v>
          </cell>
          <cell r="N214">
            <v>659.89</v>
          </cell>
          <cell r="O214" t="str">
            <v>WEB (B2W)</v>
          </cell>
          <cell r="P214">
            <v>599.99</v>
          </cell>
          <cell r="Q214">
            <v>0.21573766213398299</v>
          </cell>
          <cell r="R214">
            <v>2.3610089700254001E-2</v>
          </cell>
          <cell r="S214" t="e">
            <v>#VALUE!</v>
          </cell>
          <cell r="T214" t="e">
            <v>#VALUE!</v>
          </cell>
        </row>
        <row r="215">
          <cell r="A215" t="str">
            <v>G2712209PR</v>
          </cell>
          <cell r="B215" t="str">
            <v>MKP000631005990</v>
          </cell>
          <cell r="C215" t="str">
            <v/>
          </cell>
          <cell r="D215" t="str">
            <v>Bancada Ilha para Cozinha 120 cm Branco Madesa</v>
          </cell>
          <cell r="E215" t="str">
            <v>PR</v>
          </cell>
          <cell r="F215" t="str">
            <v>COZINHA</v>
          </cell>
          <cell r="G215" t="str">
            <v/>
          </cell>
          <cell r="H215">
            <v>299.99</v>
          </cell>
          <cell r="I215">
            <v>299.99</v>
          </cell>
          <cell r="J215">
            <v>199.48089999999999</v>
          </cell>
          <cell r="K215">
            <v>66.099999999999994</v>
          </cell>
          <cell r="L215">
            <v>265.58089999999999</v>
          </cell>
          <cell r="M215">
            <v>24.99</v>
          </cell>
          <cell r="N215">
            <v>324.98</v>
          </cell>
          <cell r="O215" t="str">
            <v/>
          </cell>
          <cell r="P215">
            <v>0</v>
          </cell>
          <cell r="Q215">
            <v>0.50385325111326495</v>
          </cell>
          <cell r="R215">
            <v>0.223657273546404</v>
          </cell>
          <cell r="S215" t="e">
            <v>#VALUE!</v>
          </cell>
          <cell r="T215" t="e">
            <v>#VALUE!</v>
          </cell>
        </row>
        <row r="216">
          <cell r="A216" t="str">
            <v>MDES0200119B</v>
          </cell>
          <cell r="B216" t="str">
            <v>MKP000631001154</v>
          </cell>
          <cell r="C216" t="str">
            <v/>
          </cell>
          <cell r="D216" t="str">
            <v>Rack Madesa Reims e Painel para TV até 55 Polegadas 2 Portas e 1 Gaveta Branco/Rustic</v>
          </cell>
          <cell r="E216" t="str">
            <v>REIMS</v>
          </cell>
          <cell r="F216" t="str">
            <v>SALA DE ESTAR</v>
          </cell>
          <cell r="G216" t="str">
            <v/>
          </cell>
          <cell r="H216">
            <v>699.99</v>
          </cell>
          <cell r="I216">
            <v>599.99</v>
          </cell>
          <cell r="J216">
            <v>447.71749999999997</v>
          </cell>
          <cell r="K216">
            <v>68.61</v>
          </cell>
          <cell r="L216">
            <v>516.32749999999999</v>
          </cell>
          <cell r="M216">
            <v>39.99</v>
          </cell>
          <cell r="N216">
            <v>639.98</v>
          </cell>
          <cell r="O216" t="str">
            <v/>
          </cell>
          <cell r="P216">
            <v>0</v>
          </cell>
          <cell r="Q216">
            <v>0.34010843891516401</v>
          </cell>
          <cell r="R216">
            <v>0.239484629426091</v>
          </cell>
          <cell r="S216" t="e">
            <v>#VALUE!</v>
          </cell>
          <cell r="T216" t="e">
            <v>#VALUE!</v>
          </cell>
        </row>
        <row r="217">
          <cell r="A217" t="str">
            <v>MDES0200149B5Z</v>
          </cell>
          <cell r="B217" t="str">
            <v>MKP000631002881</v>
          </cell>
          <cell r="C217" t="str">
            <v/>
          </cell>
          <cell r="D217" t="str">
            <v>Rack Madesa Dubai e Painel para TV até 65 Polegadas com Pés Branco/Rustic 9B5Z</v>
          </cell>
          <cell r="E217" t="str">
            <v>DUBAI</v>
          </cell>
          <cell r="F217" t="str">
            <v>SALA DE ESTAR</v>
          </cell>
          <cell r="G217" t="str">
            <v/>
          </cell>
          <cell r="H217">
            <v>1099.99</v>
          </cell>
          <cell r="I217">
            <v>639.99</v>
          </cell>
          <cell r="J217">
            <v>442.649</v>
          </cell>
          <cell r="K217">
            <v>95.28</v>
          </cell>
          <cell r="L217">
            <v>537.92899999999997</v>
          </cell>
          <cell r="M217">
            <v>19.899999999999999</v>
          </cell>
          <cell r="N217">
            <v>659.89</v>
          </cell>
          <cell r="O217" t="str">
            <v>MAGALU</v>
          </cell>
          <cell r="P217">
            <v>631.57000000000005</v>
          </cell>
          <cell r="Q217">
            <v>0.445818244252218</v>
          </cell>
          <cell r="R217">
            <v>0.22672322927375199</v>
          </cell>
          <cell r="S217" t="e">
            <v>#VALUE!</v>
          </cell>
          <cell r="T217" t="e">
            <v>#VALUE!</v>
          </cell>
        </row>
        <row r="218">
          <cell r="A218" t="str">
            <v>MDES0200149B9B</v>
          </cell>
          <cell r="B218" t="str">
            <v>MKP000631002883</v>
          </cell>
          <cell r="C218" t="str">
            <v/>
          </cell>
          <cell r="D218" t="str">
            <v>Rack Madesa Dubai e Painel para TV até 65 Polegadas com Pés Branco/Rustic 9B9B</v>
          </cell>
          <cell r="E218" t="str">
            <v>DUBAI</v>
          </cell>
          <cell r="F218" t="str">
            <v>SALA DE ESTAR</v>
          </cell>
          <cell r="G218" t="str">
            <v/>
          </cell>
          <cell r="H218">
            <v>699.99</v>
          </cell>
          <cell r="I218">
            <v>599.99</v>
          </cell>
          <cell r="J218">
            <v>442.649</v>
          </cell>
          <cell r="K218">
            <v>92.48</v>
          </cell>
          <cell r="L218">
            <v>535.12900000000002</v>
          </cell>
          <cell r="M218">
            <v>39.9</v>
          </cell>
          <cell r="N218">
            <v>639.89</v>
          </cell>
          <cell r="O218" t="str">
            <v/>
          </cell>
          <cell r="P218">
            <v>0</v>
          </cell>
          <cell r="Q218">
            <v>0.35545319203251302</v>
          </cell>
          <cell r="R218">
            <v>0.195767749458542</v>
          </cell>
          <cell r="S218" t="e">
            <v>#VALUE!</v>
          </cell>
          <cell r="T218" t="e">
            <v>#VALUE!</v>
          </cell>
        </row>
        <row r="219">
          <cell r="A219" t="str">
            <v>G256068NPR</v>
          </cell>
          <cell r="B219" t="str">
            <v>MKP000631002812</v>
          </cell>
          <cell r="C219" t="str">
            <v/>
          </cell>
          <cell r="D219" t="str">
            <v>Armário Aéreo Madesa para Reims, Lux, Glamy 60 cm com Nicho para Microondas e Forno Elétrico Preto</v>
          </cell>
          <cell r="E219" t="str">
            <v>PR</v>
          </cell>
          <cell r="F219" t="str">
            <v>MODULAÇÃO</v>
          </cell>
          <cell r="G219" t="str">
            <v/>
          </cell>
          <cell r="H219">
            <v>379.99</v>
          </cell>
          <cell r="I219">
            <v>189.99</v>
          </cell>
          <cell r="J219">
            <v>99.843999999999994</v>
          </cell>
          <cell r="K219">
            <v>49.07</v>
          </cell>
          <cell r="L219">
            <v>148.91399999999999</v>
          </cell>
          <cell r="M219">
            <v>26.5966666666667</v>
          </cell>
          <cell r="N219">
            <v>216.58666666666701</v>
          </cell>
          <cell r="O219" t="str">
            <v/>
          </cell>
          <cell r="P219">
            <v>0</v>
          </cell>
          <cell r="Q219">
            <v>0.90286847482072097</v>
          </cell>
          <cell r="R219">
            <v>0.45444126587605399</v>
          </cell>
          <cell r="S219" t="e">
            <v>#VALUE!</v>
          </cell>
          <cell r="T219" t="e">
            <v>#VALUE!</v>
          </cell>
        </row>
        <row r="220">
          <cell r="A220" t="str">
            <v>MDJA0200455ZSIM</v>
          </cell>
          <cell r="B220" t="str">
            <v>MKP000631003223</v>
          </cell>
          <cell r="C220" t="str">
            <v/>
          </cell>
          <cell r="D220" t="str">
            <v>Conjunto Sala de Jantar Madesa Vic Mesa Tampo de Madeira com 2 Cadeiras Rustic/Imperial</v>
          </cell>
          <cell r="E220" t="str">
            <v>VIC</v>
          </cell>
          <cell r="F220" t="str">
            <v>SALA DE JANTAR</v>
          </cell>
          <cell r="G220">
            <v>4255</v>
          </cell>
          <cell r="H220">
            <v>669.99</v>
          </cell>
          <cell r="I220">
            <v>569.99</v>
          </cell>
          <cell r="J220">
            <v>431.42200000000003</v>
          </cell>
          <cell r="K220">
            <v>127.13</v>
          </cell>
          <cell r="L220">
            <v>558.55200000000002</v>
          </cell>
          <cell r="M220">
            <v>59.99</v>
          </cell>
          <cell r="N220">
            <v>629.98</v>
          </cell>
          <cell r="O220" t="str">
            <v/>
          </cell>
          <cell r="P220">
            <v>0</v>
          </cell>
          <cell r="Q220">
            <v>0.32118899824302</v>
          </cell>
          <cell r="R220">
            <v>0.12788066285681499</v>
          </cell>
          <cell r="S220" t="e">
            <v>#VALUE!</v>
          </cell>
          <cell r="T220" t="e">
            <v>#VALUE!</v>
          </cell>
        </row>
        <row r="221">
          <cell r="A221" t="str">
            <v>10946E</v>
          </cell>
          <cell r="B221" t="str">
            <v>MKP000631000766</v>
          </cell>
          <cell r="C221" t="str">
            <v/>
          </cell>
          <cell r="D221" t="str">
            <v>Guarda-Roupa Solteiro Madesa Denver 2 Portas de Correr Rustic/Branco</v>
          </cell>
          <cell r="E221" t="str">
            <v>DENVER</v>
          </cell>
          <cell r="F221" t="str">
            <v>QUARTO</v>
          </cell>
          <cell r="G221" t="str">
            <v/>
          </cell>
          <cell r="H221">
            <v>1009.99</v>
          </cell>
          <cell r="I221">
            <v>599.91999999999996</v>
          </cell>
          <cell r="J221">
            <v>475.10919999999999</v>
          </cell>
          <cell r="K221">
            <v>124.94</v>
          </cell>
          <cell r="L221">
            <v>600.04920000000004</v>
          </cell>
          <cell r="M221">
            <v>29.9</v>
          </cell>
          <cell r="N221">
            <v>629.82000000000005</v>
          </cell>
          <cell r="O221" t="str">
            <v/>
          </cell>
          <cell r="P221">
            <v>0</v>
          </cell>
          <cell r="Q221">
            <v>0.26269918578718299</v>
          </cell>
          <cell r="R221">
            <v>4.9613931657603902E-2</v>
          </cell>
          <cell r="S221" t="e">
            <v>#VALUE!</v>
          </cell>
          <cell r="T221" t="e">
            <v>#VALUE!</v>
          </cell>
        </row>
        <row r="222">
          <cell r="A222" t="str">
            <v>044765ZXTPER</v>
          </cell>
          <cell r="B222" t="str">
            <v>MKP000631000068</v>
          </cell>
          <cell r="C222" t="str">
            <v/>
          </cell>
          <cell r="D222" t="str">
            <v>Conjunto Sala de Jantar Madesa Magda Mesa Tampo de Vidro com 4 Cadeiras Rustic/Sintético Bege</v>
          </cell>
          <cell r="E222" t="str">
            <v>MAGDA</v>
          </cell>
          <cell r="F222" t="str">
            <v>SALA DE JANTAR</v>
          </cell>
          <cell r="G222" t="str">
            <v>4290X</v>
          </cell>
          <cell r="H222">
            <v>699.99</v>
          </cell>
          <cell r="I222">
            <v>599.99</v>
          </cell>
          <cell r="J222">
            <v>493.51929999999999</v>
          </cell>
          <cell r="K222">
            <v>85.51</v>
          </cell>
          <cell r="L222">
            <v>579.02930000000003</v>
          </cell>
          <cell r="M222">
            <v>19.899999999999999</v>
          </cell>
          <cell r="N222">
            <v>619.89</v>
          </cell>
          <cell r="O222" t="str">
            <v/>
          </cell>
          <cell r="P222">
            <v>0</v>
          </cell>
          <cell r="Q222">
            <v>0.21573766213398299</v>
          </cell>
          <cell r="R222">
            <v>7.0567586130788201E-2</v>
          </cell>
          <cell r="S222" t="e">
            <v>#VALUE!</v>
          </cell>
          <cell r="T222" t="e">
            <v>#VALUE!</v>
          </cell>
        </row>
        <row r="223">
          <cell r="A223" t="str">
            <v>MDJA0400217KPT</v>
          </cell>
          <cell r="B223" t="str">
            <v>MKP000631000067</v>
          </cell>
          <cell r="C223" t="str">
            <v/>
          </cell>
          <cell r="D223" t="str">
            <v>Conjunto Sala de Jantar Madesa Alana Mesa Tampo de Madeira com 4 Cadeiras Rustic/Preto</v>
          </cell>
          <cell r="E223" t="str">
            <v>ALANA</v>
          </cell>
          <cell r="F223" t="str">
            <v>SALA DE JANTAR</v>
          </cell>
          <cell r="G223" t="str">
            <v>4291X</v>
          </cell>
          <cell r="H223">
            <v>1239.99</v>
          </cell>
          <cell r="I223">
            <v>529.99</v>
          </cell>
          <cell r="J223">
            <v>400.66219999999998</v>
          </cell>
          <cell r="K223">
            <v>45.45</v>
          </cell>
          <cell r="L223">
            <v>446.11219999999997</v>
          </cell>
          <cell r="M223">
            <v>19.989999999999998</v>
          </cell>
          <cell r="N223">
            <v>549.98</v>
          </cell>
          <cell r="O223" t="str">
            <v>AMAZON</v>
          </cell>
          <cell r="P223">
            <v>499.99</v>
          </cell>
          <cell r="Q223">
            <v>0.32278512921857899</v>
          </cell>
          <cell r="R223">
            <v>0.23282887130188301</v>
          </cell>
          <cell r="S223" t="e">
            <v>#VALUE!</v>
          </cell>
          <cell r="T223" t="e">
            <v>#VALUE!</v>
          </cell>
        </row>
        <row r="224">
          <cell r="A224" t="str">
            <v>045647GX4TPER</v>
          </cell>
          <cell r="B224" t="str">
            <v>MKP000631000288</v>
          </cell>
          <cell r="C224" t="str">
            <v/>
          </cell>
          <cell r="D224" t="str">
            <v>Conjunto Sala de Jantar Madesa Bea Mesa Tampo de Madeira com 4 Cadeiras Rustic/Crema/Sintético Bege</v>
          </cell>
          <cell r="E224" t="str">
            <v>BEA</v>
          </cell>
          <cell r="F224" t="str">
            <v>SALA DE JANTAR</v>
          </cell>
          <cell r="G224" t="str">
            <v>4291X</v>
          </cell>
          <cell r="H224">
            <v>669.99</v>
          </cell>
          <cell r="I224">
            <v>639.99</v>
          </cell>
          <cell r="J224">
            <v>440.43630000000002</v>
          </cell>
          <cell r="K224">
            <v>106.31</v>
          </cell>
          <cell r="L224">
            <v>546.74630000000002</v>
          </cell>
          <cell r="M224">
            <v>39.9</v>
          </cell>
          <cell r="N224">
            <v>679.89</v>
          </cell>
          <cell r="O224" t="str">
            <v>CAMICADO</v>
          </cell>
          <cell r="P224">
            <v>569.99</v>
          </cell>
          <cell r="Q224">
            <v>0.45308186450571802</v>
          </cell>
          <cell r="R224">
            <v>0.24352007503297199</v>
          </cell>
          <cell r="S224" t="e">
            <v>#VALUE!</v>
          </cell>
          <cell r="T224" t="e">
            <v>#VALUE!</v>
          </cell>
        </row>
        <row r="225">
          <cell r="A225" t="str">
            <v>MDES0200146E5Z</v>
          </cell>
          <cell r="B225" t="str">
            <v>MKP000631002893</v>
          </cell>
          <cell r="C225" t="str">
            <v/>
          </cell>
          <cell r="D225" t="str">
            <v>Rack Madesa Dubai e Painel para TV até 65 Polegadas com Pés Rustic/Branco 6E5Z</v>
          </cell>
          <cell r="E225" t="str">
            <v>DUBAI</v>
          </cell>
          <cell r="F225" t="str">
            <v>SALA DE ESTAR</v>
          </cell>
          <cell r="G225" t="str">
            <v/>
          </cell>
          <cell r="H225">
            <v>699.99</v>
          </cell>
          <cell r="I225">
            <v>599.99</v>
          </cell>
          <cell r="J225">
            <v>442.649</v>
          </cell>
          <cell r="K225">
            <v>0</v>
          </cell>
          <cell r="L225">
            <v>442.649</v>
          </cell>
          <cell r="M225">
            <v>0</v>
          </cell>
          <cell r="N225">
            <v>599.99</v>
          </cell>
          <cell r="O225" t="str">
            <v/>
          </cell>
          <cell r="P225">
            <v>0</v>
          </cell>
          <cell r="Q225">
            <v>0.35545319203251302</v>
          </cell>
          <cell r="R225">
            <v>0.35545319203251302</v>
          </cell>
          <cell r="S225" t="e">
            <v>#VALUE!</v>
          </cell>
          <cell r="T225" t="e">
            <v>#VALUE!</v>
          </cell>
        </row>
        <row r="226">
          <cell r="A226" t="str">
            <v>G251055ZEMRF</v>
          </cell>
          <cell r="B226" t="str">
            <v>MKP000631001678</v>
          </cell>
          <cell r="C226" t="str">
            <v/>
          </cell>
          <cell r="D226" t="str">
            <v>Armário Aéreo Madesa Emilly 2 Portas de Correr de Vidro Reflex com Nicho Aberto Rustic</v>
          </cell>
          <cell r="E226" t="str">
            <v>EMILLY</v>
          </cell>
          <cell r="F226" t="str">
            <v>MODULAÇÃO</v>
          </cell>
          <cell r="G226" t="str">
            <v/>
          </cell>
          <cell r="H226">
            <v>499.99</v>
          </cell>
          <cell r="I226">
            <v>279.99</v>
          </cell>
          <cell r="J226">
            <v>204.9854</v>
          </cell>
          <cell r="K226">
            <v>24.375</v>
          </cell>
          <cell r="L226">
            <v>229.3604</v>
          </cell>
          <cell r="M226">
            <v>19.95</v>
          </cell>
          <cell r="N226">
            <v>299.94</v>
          </cell>
          <cell r="O226" t="str">
            <v/>
          </cell>
          <cell r="P226">
            <v>0</v>
          </cell>
          <cell r="Q226">
            <v>0.365902156934103</v>
          </cell>
          <cell r="R226">
            <v>0.307723565183876</v>
          </cell>
          <cell r="S226" t="e">
            <v>#VALUE!</v>
          </cell>
          <cell r="T226" t="e">
            <v>#VALUE!</v>
          </cell>
        </row>
        <row r="227">
          <cell r="A227" t="str">
            <v>70039B1CP</v>
          </cell>
          <cell r="B227" t="str">
            <v>MKP000631001181</v>
          </cell>
          <cell r="C227" t="str">
            <v/>
          </cell>
          <cell r="D227" t="str">
            <v>Rack com Painel para TV até 65 Polegadas Madesa Miami com Pés Branco/Rustic</v>
          </cell>
          <cell r="E227" t="str">
            <v>MIAMI</v>
          </cell>
          <cell r="F227" t="str">
            <v>SALA DE ESTAR</v>
          </cell>
          <cell r="G227" t="str">
            <v/>
          </cell>
          <cell r="H227">
            <v>1079.99</v>
          </cell>
          <cell r="I227">
            <v>519.91999999999996</v>
          </cell>
          <cell r="J227">
            <v>428.64249999999998</v>
          </cell>
          <cell r="K227">
            <v>142.62</v>
          </cell>
          <cell r="L227">
            <v>571.26250000000005</v>
          </cell>
          <cell r="M227">
            <v>59.99</v>
          </cell>
          <cell r="N227">
            <v>579.91</v>
          </cell>
          <cell r="O227" t="str">
            <v/>
          </cell>
          <cell r="P227">
            <v>0</v>
          </cell>
          <cell r="Q227">
            <v>0.21294551986795501</v>
          </cell>
          <cell r="R227">
            <v>1.5137524343012101E-2</v>
          </cell>
          <cell r="S227" t="e">
            <v>#VALUE!</v>
          </cell>
          <cell r="T227" t="e">
            <v>#VALUE!</v>
          </cell>
        </row>
        <row r="228">
          <cell r="A228" t="str">
            <v>XA70035Z1-1E</v>
          </cell>
          <cell r="B228" t="str">
            <v>MKP000631001546</v>
          </cell>
          <cell r="C228" t="str">
            <v/>
          </cell>
          <cell r="D228" t="str">
            <v>Rack com Painel para TV até 65 Polegadas Madesa Dublin 1 Porta com Espelho Rustic</v>
          </cell>
          <cell r="E228" t="str">
            <v>DUBLIN</v>
          </cell>
          <cell r="F228" t="str">
            <v>SALA DE ESTAR</v>
          </cell>
          <cell r="G228" t="str">
            <v/>
          </cell>
          <cell r="H228">
            <v>649.99</v>
          </cell>
          <cell r="I228">
            <v>529.91999999999996</v>
          </cell>
          <cell r="J228">
            <v>397.53390000000002</v>
          </cell>
          <cell r="K228">
            <v>117.05</v>
          </cell>
          <cell r="L228">
            <v>514.58389999999997</v>
          </cell>
          <cell r="M228">
            <v>59.99</v>
          </cell>
          <cell r="N228">
            <v>589.91</v>
          </cell>
          <cell r="O228" t="str">
            <v/>
          </cell>
          <cell r="P228" t="e">
            <v>#VALUE!</v>
          </cell>
          <cell r="Q228">
            <v>0.333018391639053</v>
          </cell>
          <cell r="R228">
            <v>0.14638254325485101</v>
          </cell>
          <cell r="S228" t="e">
            <v>#VALUE!</v>
          </cell>
          <cell r="T228" t="e">
            <v>#VALUE!</v>
          </cell>
        </row>
        <row r="229">
          <cell r="A229" t="str">
            <v>MDES0200158ND8</v>
          </cell>
          <cell r="B229" t="str">
            <v>MKP000631002904</v>
          </cell>
          <cell r="C229" t="str">
            <v/>
          </cell>
          <cell r="D229" t="str">
            <v>Rack Madesa Dubai com Pés e Painel para TV até 58 Polegadas Preto/Rustic 8ND8</v>
          </cell>
          <cell r="E229" t="str">
            <v>DUBAI</v>
          </cell>
          <cell r="F229" t="str">
            <v>SALA DE ESTAR</v>
          </cell>
          <cell r="G229" t="str">
            <v/>
          </cell>
          <cell r="H229">
            <v>599.99</v>
          </cell>
          <cell r="I229">
            <v>499.99</v>
          </cell>
          <cell r="J229">
            <v>355.10019999999997</v>
          </cell>
          <cell r="K229">
            <v>138.84</v>
          </cell>
          <cell r="L229">
            <v>493.9402</v>
          </cell>
          <cell r="M229">
            <v>79.989999999999995</v>
          </cell>
          <cell r="N229">
            <v>579.98</v>
          </cell>
          <cell r="O229" t="str">
            <v/>
          </cell>
          <cell r="P229">
            <v>0</v>
          </cell>
          <cell r="Q229">
            <v>0.40802511516467799</v>
          </cell>
          <cell r="R229">
            <v>0.17419072187281001</v>
          </cell>
          <cell r="S229" t="e">
            <v>#VALUE!</v>
          </cell>
          <cell r="T229" t="e">
            <v>#VALUE!</v>
          </cell>
        </row>
        <row r="230">
          <cell r="A230" t="str">
            <v>42805Z6XPE</v>
          </cell>
          <cell r="B230" t="str">
            <v>MKP000631005579</v>
          </cell>
          <cell r="C230" t="str">
            <v/>
          </cell>
          <cell r="D230" t="str">
            <v>Kit 6 Cadeiras Rustic/Crema/Sintético Bege 4280 Madesa</v>
          </cell>
          <cell r="E230">
            <v>4280</v>
          </cell>
          <cell r="F230" t="str">
            <v>SALA DE JANTAR</v>
          </cell>
          <cell r="G230" t="str">
            <v>4280X</v>
          </cell>
          <cell r="H230">
            <v>639.99</v>
          </cell>
          <cell r="I230">
            <v>539.99</v>
          </cell>
          <cell r="J230">
            <v>399.79020000000003</v>
          </cell>
          <cell r="K230">
            <v>91.14</v>
          </cell>
          <cell r="L230">
            <v>490.93020000000001</v>
          </cell>
          <cell r="M230">
            <v>39.9</v>
          </cell>
          <cell r="N230">
            <v>579.89</v>
          </cell>
          <cell r="O230" t="str">
            <v/>
          </cell>
          <cell r="P230">
            <v>0</v>
          </cell>
          <cell r="Q230">
            <v>0.35068343346085001</v>
          </cell>
          <cell r="R230">
            <v>0.18120661552294001</v>
          </cell>
          <cell r="S230" t="e">
            <v>#VALUE!</v>
          </cell>
          <cell r="T230" t="e">
            <v>#VALUE!</v>
          </cell>
        </row>
        <row r="231">
          <cell r="A231" t="str">
            <v>7003771CP</v>
          </cell>
          <cell r="B231" t="str">
            <v>MKP000631001177</v>
          </cell>
          <cell r="C231" t="str">
            <v/>
          </cell>
          <cell r="D231" t="str">
            <v>Rack com Painel para TV até 65 Polegadas Madesa Miami com Pés Preto/Branco</v>
          </cell>
          <cell r="E231" t="str">
            <v>MIAMI</v>
          </cell>
          <cell r="F231" t="str">
            <v>SALA DE ESTAR</v>
          </cell>
          <cell r="G231" t="str">
            <v/>
          </cell>
          <cell r="H231">
            <v>1079.99</v>
          </cell>
          <cell r="I231">
            <v>529.99</v>
          </cell>
          <cell r="J231">
            <v>428.64249999999998</v>
          </cell>
          <cell r="K231">
            <v>68.98</v>
          </cell>
          <cell r="L231">
            <v>497.6225</v>
          </cell>
          <cell r="M231">
            <v>39.99</v>
          </cell>
          <cell r="N231">
            <v>569.98</v>
          </cell>
          <cell r="O231" t="str">
            <v/>
          </cell>
          <cell r="P231">
            <v>0</v>
          </cell>
          <cell r="Q231">
            <v>0.236438290650134</v>
          </cell>
          <cell r="R231">
            <v>0.14540640746750799</v>
          </cell>
          <cell r="S231" t="e">
            <v>#VALUE!</v>
          </cell>
          <cell r="T231" t="e">
            <v>#VALUE!</v>
          </cell>
        </row>
        <row r="232">
          <cell r="A232" t="str">
            <v>G251207GGL</v>
          </cell>
          <cell r="B232" t="str">
            <v>MKP000631001308</v>
          </cell>
          <cell r="C232" t="str">
            <v/>
          </cell>
          <cell r="D232" t="str">
            <v>Armário Aéreo Madesa Glamy 120 cm 2 Portas com Vidro Rustic/Crema</v>
          </cell>
          <cell r="E232" t="str">
            <v>GLAMY</v>
          </cell>
          <cell r="F232" t="str">
            <v>MODULAÇÃO</v>
          </cell>
          <cell r="G232" t="str">
            <v/>
          </cell>
          <cell r="H232">
            <v>949.99</v>
          </cell>
          <cell r="I232">
            <v>549.99</v>
          </cell>
          <cell r="J232">
            <v>346.32569999999998</v>
          </cell>
          <cell r="K232">
            <v>37.03</v>
          </cell>
          <cell r="L232">
            <v>383.35570000000001</v>
          </cell>
          <cell r="M232">
            <v>19.989999999999998</v>
          </cell>
          <cell r="N232">
            <v>569.98</v>
          </cell>
          <cell r="O232" t="str">
            <v/>
          </cell>
          <cell r="P232">
            <v>0</v>
          </cell>
          <cell r="Q232">
            <v>0.58807157539853405</v>
          </cell>
          <cell r="R232">
            <v>0.486817595251616</v>
          </cell>
          <cell r="S232" t="e">
            <v>#VALUE!</v>
          </cell>
          <cell r="T232" t="e">
            <v>#VALUE!</v>
          </cell>
        </row>
        <row r="233">
          <cell r="A233" t="str">
            <v>323509</v>
          </cell>
          <cell r="B233" t="str">
            <v>MKP000631004971</v>
          </cell>
          <cell r="C233" t="str">
            <v/>
          </cell>
          <cell r="D233" t="str">
            <v>Mesa de Cabeceira Branca com 1 Gaveta 3235 Madesa</v>
          </cell>
          <cell r="E233">
            <v>3235</v>
          </cell>
          <cell r="F233" t="str">
            <v>QUARTO</v>
          </cell>
          <cell r="G233" t="str">
            <v/>
          </cell>
          <cell r="H233">
            <v>199.99</v>
          </cell>
          <cell r="I233">
            <v>169.99</v>
          </cell>
          <cell r="J233">
            <v>117.66549999999999</v>
          </cell>
          <cell r="K233">
            <v>40.936666666666703</v>
          </cell>
          <cell r="L233">
            <v>158.60216666666699</v>
          </cell>
          <cell r="M233">
            <v>16.66</v>
          </cell>
          <cell r="N233">
            <v>186.65</v>
          </cell>
          <cell r="O233" t="str">
            <v/>
          </cell>
          <cell r="P233">
            <v>0</v>
          </cell>
          <cell r="Q233">
            <v>0.44468854507055999</v>
          </cell>
          <cell r="R233">
            <v>0.17684394811756499</v>
          </cell>
          <cell r="S233" t="e">
            <v>#VALUE!</v>
          </cell>
          <cell r="T233" t="e">
            <v>#VALUE!</v>
          </cell>
        </row>
        <row r="234">
          <cell r="A234" t="str">
            <v>G264003BNC</v>
          </cell>
          <cell r="B234" t="str">
            <v>MKP000631004819</v>
          </cell>
          <cell r="C234" t="str">
            <v/>
          </cell>
          <cell r="D234" t="str">
            <v>Paneleiro 40 cm 2 Portas Suspenso Cinza Nice Madesa</v>
          </cell>
          <cell r="E234" t="str">
            <v>NICE</v>
          </cell>
          <cell r="F234" t="str">
            <v>MODULAÇÃO</v>
          </cell>
          <cell r="G234" t="str">
            <v/>
          </cell>
          <cell r="H234">
            <v>559.99</v>
          </cell>
          <cell r="I234">
            <v>519.99</v>
          </cell>
          <cell r="J234">
            <v>287.17140000000001</v>
          </cell>
          <cell r="K234">
            <v>124.58</v>
          </cell>
          <cell r="L234">
            <v>411.75139999999999</v>
          </cell>
          <cell r="M234">
            <v>39.9</v>
          </cell>
          <cell r="N234">
            <v>559.89</v>
          </cell>
          <cell r="O234" t="str">
            <v/>
          </cell>
          <cell r="P234">
            <v>0</v>
          </cell>
          <cell r="Q234">
            <v>0.81073045574872704</v>
          </cell>
          <cell r="R234">
            <v>0.35977679735879498</v>
          </cell>
          <cell r="S234" t="e">
            <v>#VALUE!</v>
          </cell>
          <cell r="T234" t="e">
            <v>#VALUE!</v>
          </cell>
        </row>
        <row r="235">
          <cell r="A235" t="str">
            <v>70035Z1</v>
          </cell>
          <cell r="B235" t="str">
            <v>MKP000631000075</v>
          </cell>
          <cell r="C235" t="str">
            <v/>
          </cell>
          <cell r="D235" t="str">
            <v>Rack com Painel para TV até 65 Polegadas Rustic Miami Madesa  1 Porta</v>
          </cell>
          <cell r="E235" t="str">
            <v>MIAMI</v>
          </cell>
          <cell r="F235" t="str">
            <v>SALA DE ESTAR</v>
          </cell>
          <cell r="G235" t="str">
            <v/>
          </cell>
          <cell r="H235">
            <v>609.99</v>
          </cell>
          <cell r="I235">
            <v>489.92</v>
          </cell>
          <cell r="J235">
            <v>356.46269999999998</v>
          </cell>
          <cell r="K235">
            <v>92.12</v>
          </cell>
          <cell r="L235">
            <v>448.58269999999999</v>
          </cell>
          <cell r="M235">
            <v>39.99</v>
          </cell>
          <cell r="N235">
            <v>529.91</v>
          </cell>
          <cell r="O235" t="str">
            <v/>
          </cell>
          <cell r="P235">
            <v>0</v>
          </cell>
          <cell r="Q235">
            <v>0.37439344986165501</v>
          </cell>
          <cell r="R235">
            <v>0.18129834253527799</v>
          </cell>
          <cell r="S235" t="e">
            <v>#VALUE!</v>
          </cell>
          <cell r="T235" t="e">
            <v>#VALUE!</v>
          </cell>
        </row>
        <row r="236">
          <cell r="A236" t="str">
            <v>G2440109TE</v>
          </cell>
          <cell r="B236" t="str">
            <v>MKP000631001914</v>
          </cell>
          <cell r="C236" t="str">
            <v/>
          </cell>
          <cell r="D236" t="str">
            <v>Balcão Madesa Stella 40 cm 3 Gavetas Branco</v>
          </cell>
          <cell r="E236" t="str">
            <v>STELLA</v>
          </cell>
          <cell r="F236" t="str">
            <v>MODULAÇÃO</v>
          </cell>
          <cell r="G236" t="str">
            <v/>
          </cell>
          <cell r="H236">
            <v>939.99</v>
          </cell>
          <cell r="I236">
            <v>519.99</v>
          </cell>
          <cell r="J236">
            <v>344.87599999999998</v>
          </cell>
          <cell r="K236">
            <v>35.94</v>
          </cell>
          <cell r="L236">
            <v>380.81599999999997</v>
          </cell>
          <cell r="M236">
            <v>19.989999999999998</v>
          </cell>
          <cell r="N236">
            <v>539.98</v>
          </cell>
          <cell r="O236" t="str">
            <v/>
          </cell>
          <cell r="P236">
            <v>0</v>
          </cell>
          <cell r="Q236">
            <v>0.507759310592793</v>
          </cell>
          <cell r="R236">
            <v>0.41795512793580097</v>
          </cell>
          <cell r="S236" t="e">
            <v>#VALUE!</v>
          </cell>
          <cell r="T236" t="e">
            <v>#VALUE!</v>
          </cell>
        </row>
        <row r="237">
          <cell r="A237" t="str">
            <v>044745ZXTPER</v>
          </cell>
          <cell r="B237" t="str">
            <v>MKP000631000062</v>
          </cell>
          <cell r="C237" t="str">
            <v/>
          </cell>
          <cell r="D237" t="str">
            <v>Conjunto Sala de Jantar Lexy Madesa Mesa Tampo de Madeira com 4 Cadeiras Rustic/Sintético Bege</v>
          </cell>
          <cell r="E237" t="str">
            <v>LEXY</v>
          </cell>
          <cell r="F237" t="str">
            <v>SALA DE JANTAR</v>
          </cell>
          <cell r="G237" t="str">
            <v>4290X</v>
          </cell>
          <cell r="H237">
            <v>599.99</v>
          </cell>
          <cell r="I237">
            <v>499.99</v>
          </cell>
          <cell r="J237">
            <v>396.20409999999998</v>
          </cell>
          <cell r="K237">
            <v>90.06</v>
          </cell>
          <cell r="L237">
            <v>486.26409999999998</v>
          </cell>
          <cell r="M237">
            <v>39.9</v>
          </cell>
          <cell r="N237">
            <v>539.89</v>
          </cell>
          <cell r="O237" t="str">
            <v>VIA/MELI</v>
          </cell>
          <cell r="P237">
            <v>499.99</v>
          </cell>
          <cell r="Q237">
            <v>0.261950595665214</v>
          </cell>
          <cell r="R237">
            <v>0.110281429371405</v>
          </cell>
          <cell r="S237" t="e">
            <v>#VALUE!</v>
          </cell>
          <cell r="T237" t="e">
            <v>#VALUE!</v>
          </cell>
        </row>
        <row r="238">
          <cell r="A238" t="str">
            <v>42917G6XTFLH</v>
          </cell>
          <cell r="B238" t="str">
            <v>MKP000631003156</v>
          </cell>
          <cell r="C238" t="str">
            <v/>
          </cell>
          <cell r="D238" t="str">
            <v>Kit 6 Cadeiras 4291 Madesa Rustic/Crema/Hibiscos</v>
          </cell>
          <cell r="E238">
            <v>4291</v>
          </cell>
          <cell r="F238" t="str">
            <v>SALA DE JANTAR</v>
          </cell>
          <cell r="G238" t="str">
            <v>4291X</v>
          </cell>
          <cell r="H238">
            <v>599.99</v>
          </cell>
          <cell r="I238">
            <v>499.99</v>
          </cell>
          <cell r="J238">
            <v>381.67439999999999</v>
          </cell>
          <cell r="K238">
            <v>85.85</v>
          </cell>
          <cell r="L238">
            <v>467.52440000000001</v>
          </cell>
          <cell r="M238">
            <v>39.9</v>
          </cell>
          <cell r="N238">
            <v>539.89</v>
          </cell>
          <cell r="O238" t="str">
            <v/>
          </cell>
          <cell r="P238">
            <v>0</v>
          </cell>
          <cell r="Q238">
            <v>0.30999092420136098</v>
          </cell>
          <cell r="R238">
            <v>0.154784648672882</v>
          </cell>
          <cell r="S238" t="e">
            <v>#VALUE!</v>
          </cell>
          <cell r="T238" t="e">
            <v>#VALUE!</v>
          </cell>
        </row>
        <row r="239">
          <cell r="A239" t="str">
            <v>G247007KGL</v>
          </cell>
          <cell r="B239" t="str">
            <v>MKP000631003504</v>
          </cell>
          <cell r="C239" t="str">
            <v/>
          </cell>
          <cell r="D239" t="str">
            <v>Balcão de Cozinha Madesa Glamy 70 cm 2 Portas Rustic/Preto</v>
          </cell>
          <cell r="E239" t="str">
            <v>GLAMY</v>
          </cell>
          <cell r="F239" t="str">
            <v>MODULAÇÃO</v>
          </cell>
          <cell r="G239" t="str">
            <v/>
          </cell>
          <cell r="H239">
            <v>879.99</v>
          </cell>
          <cell r="I239">
            <v>499.99</v>
          </cell>
          <cell r="J239">
            <v>321.34289999999999</v>
          </cell>
          <cell r="K239">
            <v>35.576799999999999</v>
          </cell>
          <cell r="L239">
            <v>356.91969999999998</v>
          </cell>
          <cell r="M239">
            <v>34.9664</v>
          </cell>
          <cell r="N239">
            <v>534.95640000000003</v>
          </cell>
          <cell r="O239" t="str">
            <v/>
          </cell>
          <cell r="P239">
            <v>0</v>
          </cell>
          <cell r="Q239">
            <v>0.55593915409364902</v>
          </cell>
          <cell r="R239">
            <v>0.49881443921419799</v>
          </cell>
          <cell r="S239" t="e">
            <v>#VALUE!</v>
          </cell>
          <cell r="T239" t="e">
            <v>#VALUE!</v>
          </cell>
        </row>
        <row r="240">
          <cell r="A240" t="str">
            <v>045667GX4TPER</v>
          </cell>
          <cell r="B240" t="str">
            <v>MKP000631000038</v>
          </cell>
          <cell r="C240" t="str">
            <v/>
          </cell>
          <cell r="D240" t="str">
            <v>Conjunto Sala de Jantar Madesa Cíntia Mesa Tampo de Madeira com 4 Cadeiras Rustic/Crema/Sintético Bege</v>
          </cell>
          <cell r="E240" t="str">
            <v>CÍNTIA</v>
          </cell>
          <cell r="F240" t="str">
            <v>SALA DE JANTAR</v>
          </cell>
          <cell r="G240" t="str">
            <v>4291X</v>
          </cell>
          <cell r="H240">
            <v>669.99</v>
          </cell>
          <cell r="I240">
            <v>569.99</v>
          </cell>
          <cell r="J240">
            <v>428.30459999999999</v>
          </cell>
          <cell r="K240">
            <v>89.41</v>
          </cell>
          <cell r="L240">
            <v>517.71460000000002</v>
          </cell>
          <cell r="M240">
            <v>19.899999999999999</v>
          </cell>
          <cell r="N240">
            <v>589.89</v>
          </cell>
          <cell r="O240" t="str">
            <v>COLOMBO</v>
          </cell>
          <cell r="P240">
            <v>549.99</v>
          </cell>
          <cell r="Q240">
            <v>0.33080522600037399</v>
          </cell>
          <cell r="R240">
            <v>0.13941155995987001</v>
          </cell>
          <cell r="S240" t="e">
            <v>#VALUE!</v>
          </cell>
          <cell r="T240" t="e">
            <v>#VALUE!</v>
          </cell>
        </row>
        <row r="241">
          <cell r="A241" t="str">
            <v>045667GX4TFBM</v>
          </cell>
          <cell r="B241" t="str">
            <v>MKP000631000039</v>
          </cell>
          <cell r="C241" t="str">
            <v/>
          </cell>
          <cell r="D241" t="str">
            <v>Conjunto Sala de Jantar Madesa Cíntia Mesa Tampo de Madeira com 4 Cadeiras Rustic/Crema/Bege Marrom</v>
          </cell>
          <cell r="E241" t="str">
            <v>CÍNTIA</v>
          </cell>
          <cell r="F241" t="str">
            <v>SALA DE JANTAR</v>
          </cell>
          <cell r="G241" t="str">
            <v>4291X</v>
          </cell>
          <cell r="H241">
            <v>669.99</v>
          </cell>
          <cell r="I241">
            <v>569.99</v>
          </cell>
          <cell r="J241">
            <v>428.30459999999999</v>
          </cell>
          <cell r="K241">
            <v>94.72</v>
          </cell>
          <cell r="L241">
            <v>523.02459999999996</v>
          </cell>
          <cell r="M241">
            <v>39.99</v>
          </cell>
          <cell r="N241">
            <v>609.98</v>
          </cell>
          <cell r="O241" t="str">
            <v/>
          </cell>
          <cell r="P241">
            <v>0</v>
          </cell>
          <cell r="Q241">
            <v>0.33080522600037399</v>
          </cell>
          <cell r="R241">
            <v>0.16625489508524099</v>
          </cell>
          <cell r="S241" t="e">
            <v>#VALUE!</v>
          </cell>
          <cell r="T241" t="e">
            <v>#VALUE!</v>
          </cell>
        </row>
        <row r="242">
          <cell r="A242" t="str">
            <v>34345Z1</v>
          </cell>
          <cell r="B242" t="str">
            <v>MKP000631003456</v>
          </cell>
          <cell r="C242" t="str">
            <v/>
          </cell>
          <cell r="D242" t="str">
            <v>Comoda Madesa 4 Gavetas Rustic</v>
          </cell>
          <cell r="E242">
            <v>3434</v>
          </cell>
          <cell r="F242" t="str">
            <v>QUARTO</v>
          </cell>
          <cell r="G242" t="str">
            <v/>
          </cell>
          <cell r="H242">
            <v>599.99</v>
          </cell>
          <cell r="I242">
            <v>499.99</v>
          </cell>
          <cell r="J242">
            <v>394.18759999999997</v>
          </cell>
          <cell r="K242">
            <v>74.17</v>
          </cell>
          <cell r="L242">
            <v>468.35759999999999</v>
          </cell>
          <cell r="M242">
            <v>29.99</v>
          </cell>
          <cell r="N242">
            <v>529.98</v>
          </cell>
          <cell r="O242" t="str">
            <v/>
          </cell>
          <cell r="P242">
            <v>0</v>
          </cell>
          <cell r="Q242">
            <v>0.26840621064691</v>
          </cell>
          <cell r="R242">
            <v>0.13157126093395299</v>
          </cell>
          <cell r="S242" t="e">
            <v>#VALUE!</v>
          </cell>
          <cell r="T242" t="e">
            <v>#VALUE!</v>
          </cell>
        </row>
        <row r="243">
          <cell r="A243" t="str">
            <v>G256025ZGL</v>
          </cell>
          <cell r="B243" t="str">
            <v>MKP000631000369</v>
          </cell>
          <cell r="C243" t="str">
            <v/>
          </cell>
          <cell r="D243" t="str">
            <v>Armário Aéreo Madesa Glamy 60 cm 1 Porta Basculante Rustic</v>
          </cell>
          <cell r="E243" t="str">
            <v>GLAMY</v>
          </cell>
          <cell r="F243" t="str">
            <v>MODULAÇÃO</v>
          </cell>
          <cell r="G243" t="str">
            <v/>
          </cell>
          <cell r="H243">
            <v>369.99</v>
          </cell>
          <cell r="I243">
            <v>249.99</v>
          </cell>
          <cell r="J243">
            <v>158.20259999999999</v>
          </cell>
          <cell r="K243">
            <v>17.045000000000002</v>
          </cell>
          <cell r="L243">
            <v>175.24760000000001</v>
          </cell>
          <cell r="M243">
            <v>14.994999999999999</v>
          </cell>
          <cell r="N243">
            <v>264.98500000000001</v>
          </cell>
          <cell r="O243" t="str">
            <v/>
          </cell>
          <cell r="P243">
            <v>0</v>
          </cell>
          <cell r="Q243">
            <v>0.58018894758998896</v>
          </cell>
          <cell r="R243">
            <v>0.51206065018864799</v>
          </cell>
          <cell r="S243" t="e">
            <v>#VALUE!</v>
          </cell>
          <cell r="T243" t="e">
            <v>#VALUE!</v>
          </cell>
        </row>
        <row r="244">
          <cell r="A244" t="str">
            <v>G25121F9AG</v>
          </cell>
          <cell r="B244" t="str">
            <v>MKP000631002577</v>
          </cell>
          <cell r="C244" t="str">
            <v/>
          </cell>
          <cell r="D244" t="str">
            <v>Armário Aéreo Madesa Agata 120 cm 2 Portas Rustic/Cinza</v>
          </cell>
          <cell r="E244" t="str">
            <v>ÁGATA</v>
          </cell>
          <cell r="F244" t="str">
            <v>MODULAÇÃO</v>
          </cell>
          <cell r="G244" t="str">
            <v/>
          </cell>
          <cell r="H244">
            <v>829.99</v>
          </cell>
          <cell r="I244">
            <v>489.99</v>
          </cell>
          <cell r="J244">
            <v>307.46719999999999</v>
          </cell>
          <cell r="K244">
            <v>125.64</v>
          </cell>
          <cell r="L244">
            <v>433.10719999999998</v>
          </cell>
          <cell r="M244">
            <v>39.9</v>
          </cell>
          <cell r="N244">
            <v>529.89</v>
          </cell>
          <cell r="O244" t="str">
            <v/>
          </cell>
          <cell r="P244">
            <v>0</v>
          </cell>
          <cell r="Q244">
            <v>0.59363340219704797</v>
          </cell>
          <cell r="R244">
            <v>0.22346153561981899</v>
          </cell>
          <cell r="S244" t="e">
            <v>#VALUE!</v>
          </cell>
          <cell r="T244" t="e">
            <v>#VALUE!</v>
          </cell>
        </row>
        <row r="245">
          <cell r="A245" t="str">
            <v>G241243BNC</v>
          </cell>
          <cell r="B245" t="str">
            <v>MKP000631004826</v>
          </cell>
          <cell r="C245" t="str">
            <v/>
          </cell>
          <cell r="D245" t="str">
            <v>Balcão de Pia 3 Portas 1 Gaveta Suspenso Cinza Nice Madesa</v>
          </cell>
          <cell r="E245" t="str">
            <v>NICE</v>
          </cell>
          <cell r="F245" t="str">
            <v>MODULAÇÃO</v>
          </cell>
          <cell r="G245" t="str">
            <v/>
          </cell>
          <cell r="H245">
            <v>729.99</v>
          </cell>
          <cell r="I245">
            <v>519.99</v>
          </cell>
          <cell r="J245">
            <v>353.94479999999999</v>
          </cell>
          <cell r="K245">
            <v>126.69</v>
          </cell>
          <cell r="L245">
            <v>480.63479999999998</v>
          </cell>
          <cell r="M245">
            <v>0</v>
          </cell>
          <cell r="N245">
            <v>519.99</v>
          </cell>
          <cell r="O245" t="str">
            <v/>
          </cell>
          <cell r="P245">
            <v>0</v>
          </cell>
          <cell r="Q245">
            <v>0.46912738935562798</v>
          </cell>
          <cell r="R245">
            <v>8.1881711436624996E-2</v>
          </cell>
          <cell r="S245" t="e">
            <v>#VALUE!</v>
          </cell>
          <cell r="T245" t="e">
            <v>#VALUE!</v>
          </cell>
        </row>
        <row r="246">
          <cell r="A246" t="str">
            <v>MDES0200077K</v>
          </cell>
          <cell r="B246" t="str">
            <v>MKP000631000696</v>
          </cell>
          <cell r="C246" t="str">
            <v/>
          </cell>
          <cell r="D246" t="str">
            <v>Rack Madesa Le Mans e Painel para TV até 55 Polegadas 2 Portas Preto/Rustic</v>
          </cell>
          <cell r="E246" t="str">
            <v>LE MANS</v>
          </cell>
          <cell r="F246" t="str">
            <v>SALA DE ESTAR</v>
          </cell>
          <cell r="G246" t="str">
            <v/>
          </cell>
          <cell r="H246">
            <v>559.99</v>
          </cell>
          <cell r="I246">
            <v>459.99</v>
          </cell>
          <cell r="J246">
            <v>351.69940000000003</v>
          </cell>
          <cell r="K246">
            <v>94.99</v>
          </cell>
          <cell r="L246">
            <v>446.68939999999998</v>
          </cell>
          <cell r="M246">
            <v>59.99</v>
          </cell>
          <cell r="N246">
            <v>519.98</v>
          </cell>
          <cell r="O246" t="str">
            <v>WEB</v>
          </cell>
          <cell r="P246">
            <v>459.99</v>
          </cell>
          <cell r="Q246">
            <v>0.30790669531992398</v>
          </cell>
          <cell r="R246">
            <v>0.16407508214880401</v>
          </cell>
          <cell r="S246" t="e">
            <v>#VALUE!</v>
          </cell>
          <cell r="T246" t="e">
            <v>#VALUE!</v>
          </cell>
        </row>
        <row r="247">
          <cell r="A247" t="str">
            <v>MDES0200079B</v>
          </cell>
          <cell r="B247" t="str">
            <v>MKP000631000698</v>
          </cell>
          <cell r="C247" t="str">
            <v/>
          </cell>
          <cell r="D247" t="str">
            <v>Rack Madesa Le Mans e Painel para TV até 55 Polegadas 2 Portas Branco</v>
          </cell>
          <cell r="E247" t="str">
            <v>LE MANS</v>
          </cell>
          <cell r="F247" t="str">
            <v>SALA DE ESTAR</v>
          </cell>
          <cell r="G247" t="str">
            <v/>
          </cell>
          <cell r="H247">
            <v>559.99</v>
          </cell>
          <cell r="I247">
            <v>459.99</v>
          </cell>
          <cell r="J247">
            <v>351.69940000000003</v>
          </cell>
          <cell r="K247">
            <v>72.540000000000006</v>
          </cell>
          <cell r="L247">
            <v>424.23939999999999</v>
          </cell>
          <cell r="M247">
            <v>59.99</v>
          </cell>
          <cell r="N247">
            <v>519.98</v>
          </cell>
          <cell r="O247" t="str">
            <v/>
          </cell>
          <cell r="P247">
            <v>0</v>
          </cell>
          <cell r="Q247">
            <v>0.30790669531992398</v>
          </cell>
          <cell r="R247">
            <v>0.22567588017520299</v>
          </cell>
          <cell r="S247" t="e">
            <v>#VALUE!</v>
          </cell>
          <cell r="T247" t="e">
            <v>#VALUE!</v>
          </cell>
        </row>
        <row r="248">
          <cell r="A248" t="str">
            <v>GREA180001F9</v>
          </cell>
          <cell r="B248" t="str">
            <v>MKP000631005585</v>
          </cell>
          <cell r="C248" t="str">
            <v/>
          </cell>
          <cell r="D248" t="str">
            <v>Armário de Cozinha Compacta 180cm Rustic/Cinza Easy Madesa</v>
          </cell>
          <cell r="E248" t="str">
            <v>EASY</v>
          </cell>
          <cell r="F248" t="str">
            <v>COZINHA</v>
          </cell>
          <cell r="G248" t="str">
            <v/>
          </cell>
          <cell r="H248">
            <v>499.99</v>
          </cell>
          <cell r="I248">
            <v>499.99</v>
          </cell>
          <cell r="J248">
            <v>414.52699999999999</v>
          </cell>
          <cell r="K248">
            <v>92.36</v>
          </cell>
          <cell r="L248">
            <v>506.887</v>
          </cell>
          <cell r="M248">
            <v>19.899999999999999</v>
          </cell>
          <cell r="N248">
            <v>519.89</v>
          </cell>
          <cell r="O248" t="str">
            <v/>
          </cell>
          <cell r="P248">
            <v>0</v>
          </cell>
          <cell r="Q248">
            <v>0.20616992379266</v>
          </cell>
          <cell r="R248">
            <v>2.5652660257611499E-2</v>
          </cell>
          <cell r="S248" t="e">
            <v>#VALUE!</v>
          </cell>
          <cell r="T248" t="e">
            <v>#VALUE!</v>
          </cell>
        </row>
        <row r="249">
          <cell r="A249" t="str">
            <v>MDFC0200038N8N</v>
          </cell>
          <cell r="B249" t="str">
            <v>MKP000631002345</v>
          </cell>
          <cell r="C249" t="str">
            <v/>
          </cell>
          <cell r="D249" t="str">
            <v>Mesa para Computador Gamer Madesa 9409 e Painel para TV até 58 Polegadas Preto</v>
          </cell>
          <cell r="E249" t="str">
            <v>GAMER</v>
          </cell>
          <cell r="F249" t="str">
            <v>ESCRITÓRIO</v>
          </cell>
          <cell r="G249" t="str">
            <v/>
          </cell>
          <cell r="H249">
            <v>579.99</v>
          </cell>
          <cell r="I249">
            <v>469.92</v>
          </cell>
          <cell r="J249">
            <v>347.12139999999999</v>
          </cell>
          <cell r="K249">
            <v>59.93</v>
          </cell>
          <cell r="L249">
            <v>407.0514</v>
          </cell>
          <cell r="M249">
            <v>39.99</v>
          </cell>
          <cell r="N249">
            <v>509.91</v>
          </cell>
          <cell r="O249" t="str">
            <v/>
          </cell>
          <cell r="P249">
            <v>0</v>
          </cell>
          <cell r="Q249">
            <v>0.35376268936458599</v>
          </cell>
          <cell r="R249">
            <v>0.25269192047982197</v>
          </cell>
          <cell r="S249" t="e">
            <v>#VALUE!</v>
          </cell>
          <cell r="T249" t="e">
            <v>#VALUE!</v>
          </cell>
        </row>
        <row r="250">
          <cell r="A250" t="str">
            <v>G265000911</v>
          </cell>
          <cell r="B250" t="str">
            <v>MKP000631002993</v>
          </cell>
          <cell r="C250" t="str">
            <v/>
          </cell>
          <cell r="D250" t="str">
            <v>Paneleiro Madesa Smart 100% MDF 2 Portas Branco Brilho</v>
          </cell>
          <cell r="E250" t="str">
            <v>SMART</v>
          </cell>
          <cell r="F250" t="str">
            <v>MODULAÇÃO</v>
          </cell>
          <cell r="G250" t="str">
            <v/>
          </cell>
          <cell r="H250">
            <v>959.99</v>
          </cell>
          <cell r="I250">
            <v>459.99</v>
          </cell>
          <cell r="J250">
            <v>319.82780000000002</v>
          </cell>
          <cell r="K250">
            <v>144.31</v>
          </cell>
          <cell r="L250">
            <v>464.13780000000003</v>
          </cell>
          <cell r="M250">
            <v>79.989999999999995</v>
          </cell>
          <cell r="N250">
            <v>539.98</v>
          </cell>
          <cell r="O250" t="str">
            <v>WEB</v>
          </cell>
          <cell r="P250">
            <v>459.99</v>
          </cell>
          <cell r="Q250">
            <v>0.43824270435528101</v>
          </cell>
          <cell r="R250">
            <v>0.16340448892548701</v>
          </cell>
          <cell r="S250" t="e">
            <v>#VALUE!</v>
          </cell>
          <cell r="T250" t="e">
            <v>#VALUE!</v>
          </cell>
        </row>
        <row r="251">
          <cell r="A251" t="str">
            <v>MDES020024D88N</v>
          </cell>
          <cell r="B251" t="str">
            <v>MKP000631002868</v>
          </cell>
          <cell r="C251" t="str">
            <v/>
          </cell>
          <cell r="D251" t="str">
            <v>Rack Madesa Cancun e Painel para TV até 58 Polegadas Preto/Rustic D88N</v>
          </cell>
          <cell r="E251" t="str">
            <v>CANCUN</v>
          </cell>
          <cell r="F251" t="str">
            <v>SALA DE ESTAR</v>
          </cell>
          <cell r="G251" t="str">
            <v/>
          </cell>
          <cell r="H251">
            <v>689.99</v>
          </cell>
          <cell r="I251">
            <v>469.99</v>
          </cell>
          <cell r="J251">
            <v>361.60750000000002</v>
          </cell>
          <cell r="K251">
            <v>62.31</v>
          </cell>
          <cell r="L251">
            <v>423.91750000000002</v>
          </cell>
          <cell r="M251">
            <v>19.989999999999998</v>
          </cell>
          <cell r="N251">
            <v>489.98</v>
          </cell>
          <cell r="O251" t="str">
            <v/>
          </cell>
          <cell r="P251">
            <v>0</v>
          </cell>
          <cell r="Q251">
            <v>0.29972414842059403</v>
          </cell>
          <cell r="R251">
            <v>0.15583810529171399</v>
          </cell>
          <cell r="S251" t="e">
            <v>#VALUE!</v>
          </cell>
          <cell r="T251" t="e">
            <v>#VALUE!</v>
          </cell>
        </row>
        <row r="252">
          <cell r="A252" t="str">
            <v>G2280073FF</v>
          </cell>
          <cell r="B252" t="str">
            <v>MKP000631006022</v>
          </cell>
          <cell r="C252" t="str">
            <v/>
          </cell>
          <cell r="D252" t="str">
            <v>Balcão para Forno de Embutir 80 x 60 cm Sem Tampo Branco/Preto Agata, Glamy, Stella Madesa</v>
          </cell>
          <cell r="E252" t="str">
            <v>PR</v>
          </cell>
          <cell r="F252" t="str">
            <v>MODULAÇÃO</v>
          </cell>
          <cell r="G252" t="str">
            <v/>
          </cell>
          <cell r="H252">
            <v>449.99</v>
          </cell>
          <cell r="I252">
            <v>449.99</v>
          </cell>
          <cell r="J252">
            <v>301.64659999999998</v>
          </cell>
          <cell r="K252">
            <v>96.43</v>
          </cell>
          <cell r="L252">
            <v>398.07659999999998</v>
          </cell>
          <cell r="M252">
            <v>29.99</v>
          </cell>
          <cell r="N252">
            <v>479.98</v>
          </cell>
          <cell r="O252" t="str">
            <v/>
          </cell>
          <cell r="P252">
            <v>0</v>
          </cell>
          <cell r="Q252">
            <v>0.49177879014714598</v>
          </cell>
          <cell r="R252">
            <v>0.20574783848133699</v>
          </cell>
          <cell r="S252" t="e">
            <v>#VALUE!</v>
          </cell>
          <cell r="T252" t="e">
            <v>#VALUE!</v>
          </cell>
        </row>
        <row r="253">
          <cell r="A253" t="str">
            <v>G26500095Z</v>
          </cell>
          <cell r="B253" t="str">
            <v>MKP000631000715</v>
          </cell>
          <cell r="C253" t="str">
            <v/>
          </cell>
          <cell r="D253" t="str">
            <v>Paneleiro Madesa Smart 2 Portas Branco/Rustic</v>
          </cell>
          <cell r="E253" t="str">
            <v>SMART</v>
          </cell>
          <cell r="F253" t="str">
            <v>MODULAÇÃO</v>
          </cell>
          <cell r="G253" t="str">
            <v/>
          </cell>
          <cell r="H253">
            <v>959.99</v>
          </cell>
          <cell r="I253">
            <v>459.99</v>
          </cell>
          <cell r="J253">
            <v>319.82780000000002</v>
          </cell>
          <cell r="K253">
            <v>89.2</v>
          </cell>
          <cell r="L253">
            <v>409.02780000000001</v>
          </cell>
          <cell r="M253">
            <v>19.989999999999998</v>
          </cell>
          <cell r="N253">
            <v>479.98</v>
          </cell>
          <cell r="O253" t="str">
            <v/>
          </cell>
          <cell r="P253">
            <v>0</v>
          </cell>
          <cell r="Q253">
            <v>0.43824270435528101</v>
          </cell>
          <cell r="R253">
            <v>0.17346547105111201</v>
          </cell>
          <cell r="S253" t="e">
            <v>#VALUE!</v>
          </cell>
          <cell r="T253" t="e">
            <v>#VALUE!</v>
          </cell>
        </row>
        <row r="254">
          <cell r="A254" t="str">
            <v>MDES02000509</v>
          </cell>
          <cell r="B254" t="str">
            <v>MKP000631000154</v>
          </cell>
          <cell r="C254" t="str">
            <v/>
          </cell>
          <cell r="D254" t="str">
            <v>Rack Madesa Copenhagen e Painel para TV até 55 Polegadas Branco</v>
          </cell>
          <cell r="E254" t="str">
            <v>COPENHAGEN</v>
          </cell>
          <cell r="F254" t="str">
            <v>SALA DE ESTAR</v>
          </cell>
          <cell r="G254" t="str">
            <v/>
          </cell>
          <cell r="H254">
            <v>899.99</v>
          </cell>
          <cell r="I254">
            <v>459.99</v>
          </cell>
          <cell r="J254">
            <v>314.44319999999999</v>
          </cell>
          <cell r="K254">
            <v>75.45</v>
          </cell>
          <cell r="L254">
            <v>389.89319999999998</v>
          </cell>
          <cell r="M254">
            <v>59.9</v>
          </cell>
          <cell r="N254">
            <v>519.89</v>
          </cell>
          <cell r="O254" t="str">
            <v/>
          </cell>
          <cell r="P254">
            <v>0</v>
          </cell>
          <cell r="Q254">
            <v>0.46287151383779301</v>
          </cell>
          <cell r="R254">
            <v>0.333416433012938</v>
          </cell>
          <cell r="S254" t="e">
            <v>#VALUE!</v>
          </cell>
          <cell r="T254" t="e">
            <v>#VALUE!</v>
          </cell>
        </row>
        <row r="255">
          <cell r="A255" t="str">
            <v>XAG241238NRM</v>
          </cell>
          <cell r="B255" t="str">
            <v>MKP000631005976</v>
          </cell>
          <cell r="C255" t="str">
            <v/>
          </cell>
          <cell r="D255" t="str">
            <v>Balcão Gabinete de Pia Cozinha 2 Portas 1 Gaveta Preto Reims Madesa</v>
          </cell>
          <cell r="E255" t="str">
            <v>REIMS</v>
          </cell>
          <cell r="F255" t="str">
            <v>MODULAÇÃO</v>
          </cell>
          <cell r="G255" t="str">
            <v/>
          </cell>
          <cell r="H255">
            <v>499.99</v>
          </cell>
          <cell r="I255">
            <v>449.99</v>
          </cell>
          <cell r="J255">
            <v>369.74979999999999</v>
          </cell>
          <cell r="K255">
            <v>62.5</v>
          </cell>
          <cell r="L255">
            <v>432.24979999999999</v>
          </cell>
          <cell r="M255">
            <v>19.989999999999998</v>
          </cell>
          <cell r="N255">
            <v>469.98</v>
          </cell>
          <cell r="O255" t="str">
            <v/>
          </cell>
          <cell r="P255">
            <v>0</v>
          </cell>
          <cell r="Q255">
            <v>0.21701215254207001</v>
          </cell>
          <cell r="R255">
            <v>8.7287952475628497E-2</v>
          </cell>
          <cell r="S255" t="e">
            <v>#VALUE!</v>
          </cell>
          <cell r="T255" t="e">
            <v>#VALUE!</v>
          </cell>
        </row>
        <row r="256">
          <cell r="A256" t="str">
            <v>G246018NRM</v>
          </cell>
          <cell r="B256" t="str">
            <v>MKP000631003019</v>
          </cell>
          <cell r="C256" t="str">
            <v/>
          </cell>
          <cell r="D256" t="str">
            <v>Balcão Madesa Reims 60 cm 3 Gavetas Preto</v>
          </cell>
          <cell r="E256" t="str">
            <v>REIMS</v>
          </cell>
          <cell r="F256" t="str">
            <v>MODULAÇÃO</v>
          </cell>
          <cell r="G256" t="str">
            <v/>
          </cell>
          <cell r="H256">
            <v>1019.99</v>
          </cell>
          <cell r="I256">
            <v>449.99</v>
          </cell>
          <cell r="J256">
            <v>341.9984</v>
          </cell>
          <cell r="K256">
            <v>63.82</v>
          </cell>
          <cell r="L256">
            <v>405.8184</v>
          </cell>
          <cell r="M256">
            <v>19.899999999999999</v>
          </cell>
          <cell r="N256">
            <v>469.89</v>
          </cell>
          <cell r="O256" t="str">
            <v/>
          </cell>
          <cell r="P256">
            <v>0</v>
          </cell>
          <cell r="Q256">
            <v>0.31576638955036002</v>
          </cell>
          <cell r="R256">
            <v>0.15788244199868701</v>
          </cell>
          <cell r="S256" t="e">
            <v>#VALUE!</v>
          </cell>
          <cell r="T256" t="e">
            <v>#VALUE!</v>
          </cell>
        </row>
        <row r="257">
          <cell r="A257" t="str">
            <v>21058N1</v>
          </cell>
          <cell r="B257" t="str">
            <v>MKP000631005825</v>
          </cell>
          <cell r="C257" t="str">
            <v/>
          </cell>
          <cell r="D257" t="str">
            <v>Painel para TV até 60 Polegadas Madesa Alfa Preto</v>
          </cell>
          <cell r="E257" t="str">
            <v>ALFA</v>
          </cell>
          <cell r="F257" t="str">
            <v>SALA DE ESTAR</v>
          </cell>
          <cell r="G257" t="str">
            <v/>
          </cell>
          <cell r="H257">
            <v>899.99</v>
          </cell>
          <cell r="I257">
            <v>399.99</v>
          </cell>
          <cell r="J257">
            <v>309.11309999999997</v>
          </cell>
          <cell r="K257">
            <v>97.64</v>
          </cell>
          <cell r="L257">
            <v>406.75310000000002</v>
          </cell>
          <cell r="M257">
            <v>59.9</v>
          </cell>
          <cell r="N257">
            <v>459.89</v>
          </cell>
          <cell r="O257" t="str">
            <v>MELI</v>
          </cell>
          <cell r="P257">
            <v>499.99</v>
          </cell>
          <cell r="Q257">
            <v>0.29399239307554398</v>
          </cell>
          <cell r="R257">
            <v>0.13063674253496799</v>
          </cell>
          <cell r="S257" t="e">
            <v>#VALUE!</v>
          </cell>
          <cell r="T257" t="e">
            <v>#VALUE!</v>
          </cell>
        </row>
        <row r="258">
          <cell r="A258" t="str">
            <v>G241208NRM</v>
          </cell>
          <cell r="B258" t="str">
            <v>MKP000631002304</v>
          </cell>
          <cell r="C258" t="str">
            <v/>
          </cell>
          <cell r="D258" t="str">
            <v>Balcão Gabinete de Pia Madesa Reims 2 Portas Preto</v>
          </cell>
          <cell r="E258" t="str">
            <v>REIMS</v>
          </cell>
          <cell r="F258" t="str">
            <v>MODULAÇÃO</v>
          </cell>
          <cell r="G258" t="str">
            <v/>
          </cell>
          <cell r="H258">
            <v>1069.99</v>
          </cell>
          <cell r="I258">
            <v>399.99</v>
          </cell>
          <cell r="J258">
            <v>333.65989999999999</v>
          </cell>
          <cell r="K258">
            <v>109.91</v>
          </cell>
          <cell r="L258">
            <v>443.56990000000002</v>
          </cell>
          <cell r="M258">
            <v>59.9</v>
          </cell>
          <cell r="N258">
            <v>459.89</v>
          </cell>
          <cell r="O258" t="str">
            <v/>
          </cell>
          <cell r="P258">
            <v>0</v>
          </cell>
          <cell r="Q258">
            <v>0.19879554000945299</v>
          </cell>
          <cell r="R258">
            <v>3.6792622763627297E-2</v>
          </cell>
          <cell r="S258" t="e">
            <v>#VALUE!</v>
          </cell>
          <cell r="T258" t="e">
            <v>#VALUE!</v>
          </cell>
        </row>
        <row r="259">
          <cell r="A259" t="str">
            <v>G248003BNC</v>
          </cell>
          <cell r="B259" t="str">
            <v>MKP000631004839</v>
          </cell>
          <cell r="C259" t="str">
            <v/>
          </cell>
          <cell r="D259" t="str">
            <v>Balcão 80 cm 2 Portas Suspenso Cinza Nice Madesa</v>
          </cell>
          <cell r="E259" t="str">
            <v>NICE</v>
          </cell>
          <cell r="F259" t="str">
            <v>MODULAÇÃO</v>
          </cell>
          <cell r="G259" t="str">
            <v/>
          </cell>
          <cell r="H259">
            <v>659.99</v>
          </cell>
          <cell r="I259">
            <v>389.99</v>
          </cell>
          <cell r="J259">
            <v>226.21860000000001</v>
          </cell>
          <cell r="K259">
            <v>112.86</v>
          </cell>
          <cell r="L259">
            <v>339.07859999999999</v>
          </cell>
          <cell r="M259">
            <v>59.9</v>
          </cell>
          <cell r="N259">
            <v>449.89</v>
          </cell>
          <cell r="O259" t="str">
            <v/>
          </cell>
          <cell r="P259">
            <v>0</v>
          </cell>
          <cell r="Q259">
            <v>0.72395196504619896</v>
          </cell>
          <cell r="R259">
            <v>0.32680151445712002</v>
          </cell>
          <cell r="S259" t="e">
            <v>#VALUE!</v>
          </cell>
          <cell r="T259" t="e">
            <v>#VALUE!</v>
          </cell>
        </row>
        <row r="260">
          <cell r="A260" t="str">
            <v>72705Z1</v>
          </cell>
          <cell r="B260" t="str">
            <v>MKP000631000026</v>
          </cell>
          <cell r="C260" t="str">
            <v/>
          </cell>
          <cell r="D260" t="str">
            <v>Buffet Aparador para Sala de Jantar Madesa 3 Portas Rustic</v>
          </cell>
          <cell r="E260">
            <v>7270</v>
          </cell>
          <cell r="F260" t="str">
            <v>SALA DE JANTAR</v>
          </cell>
          <cell r="G260" t="str">
            <v/>
          </cell>
          <cell r="H260">
            <v>479.99</v>
          </cell>
          <cell r="I260">
            <v>379.99</v>
          </cell>
          <cell r="J260">
            <v>286.6918</v>
          </cell>
          <cell r="K260">
            <v>125.06</v>
          </cell>
          <cell r="L260">
            <v>411.7518</v>
          </cell>
          <cell r="M260">
            <v>59.99</v>
          </cell>
          <cell r="N260">
            <v>439.98</v>
          </cell>
          <cell r="O260" t="str">
            <v/>
          </cell>
          <cell r="P260">
            <v>0</v>
          </cell>
          <cell r="Q260">
            <v>0.32543030529648898</v>
          </cell>
          <cell r="R260">
            <v>6.85563487518452E-2</v>
          </cell>
          <cell r="S260" t="e">
            <v>#VALUE!</v>
          </cell>
          <cell r="T260" t="e">
            <v>#VALUE!</v>
          </cell>
        </row>
        <row r="261">
          <cell r="A261" t="str">
            <v>G2220109PRPT</v>
          </cell>
          <cell r="B261" t="str">
            <v>MKP000631003565</v>
          </cell>
          <cell r="C261" t="str">
            <v/>
          </cell>
          <cell r="D261" t="str">
            <v>Balcão Porta-Temperos Madesa para Cozinha Lux, Glamy e Stella 20 x 60 cm (Sem Tampo) Branco</v>
          </cell>
          <cell r="E261" t="str">
            <v>PR</v>
          </cell>
          <cell r="F261" t="str">
            <v>MODULAÇÃO</v>
          </cell>
          <cell r="G261" t="str">
            <v/>
          </cell>
          <cell r="H261">
            <v>569.99</v>
          </cell>
          <cell r="I261">
            <v>419.99</v>
          </cell>
          <cell r="J261">
            <v>261.81799999999998</v>
          </cell>
          <cell r="K261">
            <v>27.11</v>
          </cell>
          <cell r="L261">
            <v>288.928</v>
          </cell>
          <cell r="M261">
            <v>19.989999999999998</v>
          </cell>
          <cell r="N261">
            <v>439.98</v>
          </cell>
          <cell r="O261" t="str">
            <v/>
          </cell>
          <cell r="P261">
            <v>0</v>
          </cell>
          <cell r="Q261">
            <v>0.60412958620110202</v>
          </cell>
          <cell r="R261">
            <v>0.52280152840846195</v>
          </cell>
          <cell r="S261" t="e">
            <v>#VALUE!</v>
          </cell>
          <cell r="T261" t="e">
            <v>#VALUE!</v>
          </cell>
        </row>
        <row r="262">
          <cell r="A262" t="str">
            <v>G251255ZPRRF</v>
          </cell>
          <cell r="B262" t="str">
            <v>MKP000631000480</v>
          </cell>
          <cell r="C262" t="str">
            <v/>
          </cell>
          <cell r="D262" t="str">
            <v>Armário Aéreo Madesa 2 Portas de Correr Vidro Reflex para Cozinhas Glamy, Lux, Agata e Reims Rustic</v>
          </cell>
          <cell r="E262" t="str">
            <v>PR</v>
          </cell>
          <cell r="F262" t="str">
            <v>MODULAÇÃO</v>
          </cell>
          <cell r="G262" t="str">
            <v/>
          </cell>
          <cell r="H262">
            <v>759.99</v>
          </cell>
          <cell r="I262">
            <v>399.99</v>
          </cell>
          <cell r="J262">
            <v>262.13409999999999</v>
          </cell>
          <cell r="K262">
            <v>113.86</v>
          </cell>
          <cell r="L262">
            <v>375.9941</v>
          </cell>
          <cell r="M262">
            <v>39.99</v>
          </cell>
          <cell r="N262">
            <v>439.98</v>
          </cell>
          <cell r="O262" t="str">
            <v/>
          </cell>
          <cell r="P262">
            <v>0</v>
          </cell>
          <cell r="Q262">
            <v>0.52589838559729496</v>
          </cell>
          <cell r="R262">
            <v>0.17017793630272399</v>
          </cell>
          <cell r="S262" t="e">
            <v>#VALUE!</v>
          </cell>
          <cell r="T262" t="e">
            <v>#VALUE!</v>
          </cell>
        </row>
        <row r="263">
          <cell r="A263" t="str">
            <v>G2460073AG</v>
          </cell>
          <cell r="B263" t="str">
            <v>MKP000631003058</v>
          </cell>
          <cell r="C263" t="str">
            <v/>
          </cell>
          <cell r="D263" t="str">
            <v>Balcão Madesa Agata 60 cm 1 Porta Branco/Preto</v>
          </cell>
          <cell r="E263" t="str">
            <v>ÁGATA</v>
          </cell>
          <cell r="F263" t="str">
            <v>MODULAÇÃO</v>
          </cell>
          <cell r="G263" t="str">
            <v/>
          </cell>
          <cell r="H263">
            <v>799.99</v>
          </cell>
          <cell r="I263">
            <v>419.99</v>
          </cell>
          <cell r="J263">
            <v>251.9753</v>
          </cell>
          <cell r="K263">
            <v>101.44</v>
          </cell>
          <cell r="L263">
            <v>353.4153</v>
          </cell>
          <cell r="M263">
            <v>59.99</v>
          </cell>
          <cell r="N263">
            <v>479.98</v>
          </cell>
          <cell r="O263" t="str">
            <v/>
          </cell>
          <cell r="P263">
            <v>0</v>
          </cell>
          <cell r="Q263">
            <v>0.66679035603886605</v>
          </cell>
          <cell r="R263">
            <v>0.35811890430323801</v>
          </cell>
          <cell r="S263" t="e">
            <v>#VALUE!</v>
          </cell>
          <cell r="T263" t="e">
            <v>#VALUE!</v>
          </cell>
        </row>
        <row r="264">
          <cell r="A264" t="str">
            <v>G25600H8LX</v>
          </cell>
          <cell r="B264" t="str">
            <v>MKP000631004422</v>
          </cell>
          <cell r="C264" t="str">
            <v/>
          </cell>
          <cell r="D264" t="str">
            <v>Armário Aéreo Madesa Lux 60 cm 1 Porta Rustic/Branco Veludo</v>
          </cell>
          <cell r="E264" t="str">
            <v>LUX</v>
          </cell>
          <cell r="F264" t="str">
            <v>MODULAÇÃO</v>
          </cell>
          <cell r="G264" t="str">
            <v/>
          </cell>
          <cell r="H264">
            <v>779.99</v>
          </cell>
          <cell r="I264">
            <v>389.99</v>
          </cell>
          <cell r="J264">
            <v>203.8409</v>
          </cell>
          <cell r="K264">
            <v>107.39</v>
          </cell>
          <cell r="L264">
            <v>311.23090000000002</v>
          </cell>
          <cell r="M264">
            <v>39.99</v>
          </cell>
          <cell r="N264">
            <v>429.98</v>
          </cell>
          <cell r="O264" t="str">
            <v>LOJA</v>
          </cell>
          <cell r="P264">
            <v>379.99</v>
          </cell>
          <cell r="Q264">
            <v>0.91320780078973396</v>
          </cell>
          <cell r="R264">
            <v>0.38154662663636502</v>
          </cell>
          <cell r="S264" t="e">
            <v>#VALUE!</v>
          </cell>
          <cell r="T264" t="e">
            <v>#VALUE!</v>
          </cell>
        </row>
        <row r="265">
          <cell r="A265" t="str">
            <v>69083Z1</v>
          </cell>
          <cell r="B265" t="str">
            <v>MKP000631002614</v>
          </cell>
          <cell r="C265" t="str">
            <v/>
          </cell>
          <cell r="D265" t="str">
            <v>Estante Livreiro Madesa 6908 com 6 Nichos Cinza</v>
          </cell>
          <cell r="E265">
            <v>6908</v>
          </cell>
          <cell r="F265" t="str">
            <v>ESCRITÓRIO</v>
          </cell>
          <cell r="G265" t="str">
            <v/>
          </cell>
          <cell r="H265">
            <v>819.99</v>
          </cell>
          <cell r="I265">
            <v>369.92</v>
          </cell>
          <cell r="J265">
            <v>230.99279999999999</v>
          </cell>
          <cell r="K265">
            <v>67.010000000000005</v>
          </cell>
          <cell r="L265">
            <v>298.00279999999998</v>
          </cell>
          <cell r="M265">
            <v>39.99</v>
          </cell>
          <cell r="N265">
            <v>409.91</v>
          </cell>
          <cell r="O265" t="str">
            <v/>
          </cell>
          <cell r="P265">
            <v>0</v>
          </cell>
          <cell r="Q265">
            <v>0.60143519624854103</v>
          </cell>
          <cell r="R265">
            <v>0.37552398836521</v>
          </cell>
          <cell r="S265" t="e">
            <v>#VALUE!</v>
          </cell>
          <cell r="T265" t="e">
            <v>#VALUE!</v>
          </cell>
        </row>
        <row r="266">
          <cell r="A266" t="str">
            <v>G251283BPRNT</v>
          </cell>
          <cell r="B266" t="str">
            <v>MKP000631004822</v>
          </cell>
          <cell r="C266" t="str">
            <v/>
          </cell>
          <cell r="D266" t="str">
            <v>Armário Aéreo 2 Portas de Correr de Vidro Neutral e 1 Nicho Cinza Nice Madesa</v>
          </cell>
          <cell r="E266" t="str">
            <v>NICE</v>
          </cell>
          <cell r="F266" t="str">
            <v>MODULAÇÃO</v>
          </cell>
          <cell r="G266" t="str">
            <v/>
          </cell>
          <cell r="H266">
            <v>429.99</v>
          </cell>
          <cell r="I266">
            <v>379.99</v>
          </cell>
          <cell r="J266">
            <v>240.41040000000001</v>
          </cell>
          <cell r="K266">
            <v>51.55</v>
          </cell>
          <cell r="L266">
            <v>291.96039999999999</v>
          </cell>
          <cell r="M266">
            <v>39.99</v>
          </cell>
          <cell r="N266">
            <v>419.98</v>
          </cell>
          <cell r="O266" t="str">
            <v/>
          </cell>
          <cell r="P266">
            <v>0</v>
          </cell>
          <cell r="Q266">
            <v>0.58058885971655105</v>
          </cell>
          <cell r="R266">
            <v>0.43848275314049401</v>
          </cell>
          <cell r="S266" t="e">
            <v>#VALUE!</v>
          </cell>
          <cell r="T266" t="e">
            <v>#VALUE!</v>
          </cell>
        </row>
        <row r="267">
          <cell r="A267" t="str">
            <v>G2580009</v>
          </cell>
          <cell r="B267" t="str">
            <v>MKP000631000921</v>
          </cell>
          <cell r="C267" t="str">
            <v/>
          </cell>
          <cell r="D267" t="str">
            <v>Armário Aéreo Madesa Acordes 100% MDF 80 cm 2 Portas Branco Brilho</v>
          </cell>
          <cell r="E267" t="str">
            <v>ACORDES</v>
          </cell>
          <cell r="F267" t="str">
            <v>MODULAÇÃO</v>
          </cell>
          <cell r="G267" t="str">
            <v/>
          </cell>
          <cell r="H267">
            <v>719.99</v>
          </cell>
          <cell r="I267">
            <v>379.99</v>
          </cell>
          <cell r="J267">
            <v>229.3905</v>
          </cell>
          <cell r="K267">
            <v>51.55</v>
          </cell>
          <cell r="L267">
            <v>280.94049999999999</v>
          </cell>
          <cell r="M267">
            <v>39.99</v>
          </cell>
          <cell r="N267">
            <v>419.98</v>
          </cell>
          <cell r="O267" t="str">
            <v/>
          </cell>
          <cell r="P267">
            <v>0</v>
          </cell>
          <cell r="Q267">
            <v>0.65652021334798105</v>
          </cell>
          <cell r="R267">
            <v>0.49490728463856298</v>
          </cell>
          <cell r="S267" t="e">
            <v>#VALUE!</v>
          </cell>
          <cell r="T267" t="e">
            <v>#VALUE!</v>
          </cell>
        </row>
        <row r="268">
          <cell r="A268" t="str">
            <v>G2580073</v>
          </cell>
          <cell r="B268" t="str">
            <v>MKP000631004908</v>
          </cell>
          <cell r="C268" t="str">
            <v/>
          </cell>
          <cell r="D268" t="str">
            <v>Armário Aéreo 100% MDF 80 cm 2 Portas Branco/Preto Acordes Madesa</v>
          </cell>
          <cell r="E268" t="str">
            <v>ACORDES</v>
          </cell>
          <cell r="F268" t="str">
            <v>MODULAÇÃO</v>
          </cell>
          <cell r="G268" t="str">
            <v/>
          </cell>
          <cell r="H268">
            <v>399.99</v>
          </cell>
          <cell r="I268">
            <v>379.99</v>
          </cell>
          <cell r="J268">
            <v>229.3905</v>
          </cell>
          <cell r="K268">
            <v>92.98</v>
          </cell>
          <cell r="L268">
            <v>322.37049999999999</v>
          </cell>
          <cell r="M268">
            <v>39.99</v>
          </cell>
          <cell r="N268">
            <v>419.98</v>
          </cell>
          <cell r="O268" t="str">
            <v/>
          </cell>
          <cell r="P268">
            <v>0</v>
          </cell>
          <cell r="Q268">
            <v>0.65652021334798105</v>
          </cell>
          <cell r="R268">
            <v>0.302786700395973</v>
          </cell>
          <cell r="S268" t="e">
            <v>#VALUE!</v>
          </cell>
          <cell r="T268" t="e">
            <v>#VALUE!</v>
          </cell>
        </row>
        <row r="269">
          <cell r="A269" t="str">
            <v>70048N</v>
          </cell>
          <cell r="B269" t="str">
            <v>MKP000631005987</v>
          </cell>
          <cell r="C269" t="str">
            <v/>
          </cell>
          <cell r="D269" t="str">
            <v>Rack com Painel para TV até 65 Polegadas Preto Orlando Madesa</v>
          </cell>
          <cell r="E269" t="str">
            <v>ORLANDO</v>
          </cell>
          <cell r="F269" t="str">
            <v>SALA DE ESTAR</v>
          </cell>
          <cell r="G269" t="str">
            <v/>
          </cell>
          <cell r="H269">
            <v>479.99</v>
          </cell>
          <cell r="I269">
            <v>379.99</v>
          </cell>
          <cell r="J269">
            <v>304.98200000000003</v>
          </cell>
          <cell r="K269">
            <v>99.61</v>
          </cell>
          <cell r="L269">
            <v>404.59199999999998</v>
          </cell>
          <cell r="M269">
            <v>39.9</v>
          </cell>
          <cell r="N269">
            <v>419.89</v>
          </cell>
          <cell r="O269" t="str">
            <v/>
          </cell>
          <cell r="P269">
            <v>0</v>
          </cell>
          <cell r="Q269">
            <v>0.245942383484927</v>
          </cell>
          <cell r="R269">
            <v>3.7810930517657097E-2</v>
          </cell>
          <cell r="S269" t="e">
            <v>#VALUE!</v>
          </cell>
          <cell r="T269" t="e">
            <v>#VALUE!</v>
          </cell>
        </row>
        <row r="270">
          <cell r="A270" t="str">
            <v>MDJA0200055ZPER</v>
          </cell>
          <cell r="B270" t="str">
            <v>MKP000631000717</v>
          </cell>
          <cell r="C270" t="str">
            <v/>
          </cell>
          <cell r="D270" t="str">
            <v>Conjunto Sala de Jantar Madesa Lola Mesa Tampo de Madeira com 2 Cadeiras Rustic/Crema/Sintético Bege</v>
          </cell>
          <cell r="E270" t="str">
            <v>LOLA</v>
          </cell>
          <cell r="F270" t="str">
            <v>SALA DE JANTAR</v>
          </cell>
          <cell r="G270" t="str">
            <v>4280X</v>
          </cell>
          <cell r="H270">
            <v>1019.99</v>
          </cell>
          <cell r="I270">
            <v>449.99</v>
          </cell>
          <cell r="J270">
            <v>312.721</v>
          </cell>
          <cell r="K270">
            <v>34.090000000000003</v>
          </cell>
          <cell r="L270">
            <v>346.81099999999998</v>
          </cell>
          <cell r="M270">
            <v>19.989999999999998</v>
          </cell>
          <cell r="N270">
            <v>469.98</v>
          </cell>
          <cell r="O270" t="str">
            <v>CARREFOUR/RIACHUELO</v>
          </cell>
          <cell r="P270">
            <v>439.99</v>
          </cell>
          <cell r="Q270">
            <v>0.43895037429529898</v>
          </cell>
          <cell r="R270">
            <v>0.355147328083596</v>
          </cell>
          <cell r="S270" t="e">
            <v>#VALUE!</v>
          </cell>
          <cell r="T270" t="e">
            <v>#VALUE!</v>
          </cell>
        </row>
        <row r="271">
          <cell r="A271" t="str">
            <v>XB70035Z1</v>
          </cell>
          <cell r="B271" t="str">
            <v>MKP000631001511</v>
          </cell>
          <cell r="C271" t="str">
            <v/>
          </cell>
          <cell r="D271" t="str">
            <v>Rack com Painel Sobreposto para TV até 65 Polegadas Madesa Everest Rustic</v>
          </cell>
          <cell r="E271" t="str">
            <v>EVEREST</v>
          </cell>
          <cell r="F271" t="str">
            <v>SALA DE ESTAR</v>
          </cell>
          <cell r="G271" t="str">
            <v/>
          </cell>
          <cell r="H271">
            <v>959.99</v>
          </cell>
          <cell r="I271">
            <v>519.99</v>
          </cell>
          <cell r="J271">
            <v>356.46269999999998</v>
          </cell>
          <cell r="K271">
            <v>60.24</v>
          </cell>
          <cell r="L271">
            <v>416.70269999999999</v>
          </cell>
          <cell r="M271">
            <v>19.989999999999998</v>
          </cell>
          <cell r="N271">
            <v>539.98</v>
          </cell>
          <cell r="O271" t="str">
            <v>WEB (VIA)</v>
          </cell>
          <cell r="P271">
            <v>519.99</v>
          </cell>
          <cell r="Q271">
            <v>0.45875010204433703</v>
          </cell>
          <cell r="R271">
            <v>0.29583993576235501</v>
          </cell>
          <cell r="S271" t="e">
            <v>#VALUE!</v>
          </cell>
          <cell r="T271" t="e">
            <v>#VALUE!</v>
          </cell>
        </row>
        <row r="272">
          <cell r="A272" t="str">
            <v>42917G4XTFLH</v>
          </cell>
          <cell r="B272" t="str">
            <v>MKP000631000089</v>
          </cell>
          <cell r="C272" t="str">
            <v/>
          </cell>
          <cell r="D272" t="str">
            <v>Kit 4 Cadeiras 4291 Madesa Rustic/Crema/Hibiscos</v>
          </cell>
          <cell r="E272">
            <v>4291</v>
          </cell>
          <cell r="F272" t="str">
            <v>SALA DE JANTAR</v>
          </cell>
          <cell r="G272" t="str">
            <v>4291X</v>
          </cell>
          <cell r="H272">
            <v>669.99</v>
          </cell>
          <cell r="I272">
            <v>379.99</v>
          </cell>
          <cell r="J272">
            <v>257.37079999999997</v>
          </cell>
          <cell r="K272">
            <v>34.090000000000003</v>
          </cell>
          <cell r="L272">
            <v>291.46080000000001</v>
          </cell>
          <cell r="M272">
            <v>19.989999999999998</v>
          </cell>
          <cell r="N272">
            <v>399.98</v>
          </cell>
          <cell r="O272" t="str">
            <v>WEB (MELI)</v>
          </cell>
          <cell r="P272">
            <v>379.99</v>
          </cell>
          <cell r="Q272">
            <v>0.47643011561529103</v>
          </cell>
          <cell r="R272">
            <v>0.37232862875556499</v>
          </cell>
          <cell r="S272" t="e">
            <v>#VALUE!</v>
          </cell>
          <cell r="T272" t="e">
            <v>#VALUE!</v>
          </cell>
        </row>
        <row r="273">
          <cell r="A273" t="str">
            <v>G244007KAG</v>
          </cell>
          <cell r="B273" t="str">
            <v>MKP000631003077</v>
          </cell>
          <cell r="C273" t="str">
            <v/>
          </cell>
          <cell r="D273" t="str">
            <v>Balcão Madesa Agata 40 cm 1 Porta Rustic/Preto</v>
          </cell>
          <cell r="E273" t="str">
            <v>ÁGATA</v>
          </cell>
          <cell r="F273" t="str">
            <v>MODULAÇÃO</v>
          </cell>
          <cell r="G273" t="str">
            <v/>
          </cell>
          <cell r="H273">
            <v>509.99</v>
          </cell>
          <cell r="I273">
            <v>359.99</v>
          </cell>
          <cell r="J273">
            <v>220.15819999999999</v>
          </cell>
          <cell r="K273">
            <v>62.56</v>
          </cell>
          <cell r="L273">
            <v>282.71820000000002</v>
          </cell>
          <cell r="M273">
            <v>39.9</v>
          </cell>
          <cell r="N273">
            <v>399.89</v>
          </cell>
          <cell r="O273" t="str">
            <v/>
          </cell>
          <cell r="P273">
            <v>0</v>
          </cell>
          <cell r="Q273">
            <v>0.63514236580785999</v>
          </cell>
          <cell r="R273">
            <v>0.41444731892039499</v>
          </cell>
          <cell r="S273" t="e">
            <v>#VALUE!</v>
          </cell>
          <cell r="T273" t="e">
            <v>#VALUE!</v>
          </cell>
        </row>
        <row r="274">
          <cell r="A274" t="str">
            <v>GRRM7000028N</v>
          </cell>
          <cell r="B274" t="str">
            <v>MKP000631005998</v>
          </cell>
          <cell r="C274" t="str">
            <v/>
          </cell>
          <cell r="D274" t="str">
            <v>Armário Aéreo 70 cm 2 Portas Preto Reims Madesa</v>
          </cell>
          <cell r="E274" t="str">
            <v>REIMS</v>
          </cell>
          <cell r="F274" t="str">
            <v>MODULAÇÃO</v>
          </cell>
          <cell r="G274" t="str">
            <v/>
          </cell>
          <cell r="H274">
            <v>329.99</v>
          </cell>
          <cell r="I274">
            <v>329.99</v>
          </cell>
          <cell r="J274">
            <v>238.44839999999999</v>
          </cell>
          <cell r="K274">
            <v>79.209999999999994</v>
          </cell>
          <cell r="L274">
            <v>317.65839999999997</v>
          </cell>
          <cell r="M274">
            <v>59.99</v>
          </cell>
          <cell r="N274">
            <v>389.98</v>
          </cell>
          <cell r="O274" t="str">
            <v/>
          </cell>
          <cell r="P274">
            <v>0</v>
          </cell>
          <cell r="Q274">
            <v>0.38390528097483601</v>
          </cell>
          <cell r="R274">
            <v>0.22767098241381301</v>
          </cell>
          <cell r="S274" t="e">
            <v>#VALUE!</v>
          </cell>
          <cell r="T274" t="e">
            <v>#VALUE!</v>
          </cell>
        </row>
        <row r="275">
          <cell r="A275" t="str">
            <v>70080909PP</v>
          </cell>
          <cell r="B275" t="str">
            <v>MKP000631001664</v>
          </cell>
          <cell r="C275" t="str">
            <v/>
          </cell>
          <cell r="D275" t="str">
            <v>Rack para TV até 65 Polegadas Madesa Cancun com Pés Branco</v>
          </cell>
          <cell r="E275" t="str">
            <v>CANCUN</v>
          </cell>
          <cell r="F275" t="str">
            <v>SALA DE ESTAR</v>
          </cell>
          <cell r="G275" t="str">
            <v/>
          </cell>
          <cell r="H275">
            <v>459.99</v>
          </cell>
          <cell r="I275">
            <v>359.99</v>
          </cell>
          <cell r="J275">
            <v>271.62799999999999</v>
          </cell>
          <cell r="K275">
            <v>34.090000000000003</v>
          </cell>
          <cell r="L275">
            <v>305.71800000000002</v>
          </cell>
          <cell r="M275">
            <v>19.989999999999998</v>
          </cell>
          <cell r="N275">
            <v>379.98</v>
          </cell>
          <cell r="O275" t="str">
            <v/>
          </cell>
          <cell r="P275">
            <v>0</v>
          </cell>
          <cell r="Q275">
            <v>0.32530519681328901</v>
          </cell>
          <cell r="R275">
            <v>0.24291013286754501</v>
          </cell>
          <cell r="S275" t="e">
            <v>#VALUE!</v>
          </cell>
          <cell r="T275" t="e">
            <v>#VALUE!</v>
          </cell>
        </row>
        <row r="276">
          <cell r="A276" t="str">
            <v>G2440009AG</v>
          </cell>
          <cell r="B276" t="str">
            <v>MKP000631004451</v>
          </cell>
          <cell r="C276" t="str">
            <v/>
          </cell>
          <cell r="D276" t="str">
            <v>Balcão Madesa Agata 40 cm 1 Porta Branco</v>
          </cell>
          <cell r="E276" t="str">
            <v>ÁGATA</v>
          </cell>
          <cell r="F276" t="str">
            <v>MODULAÇÃO</v>
          </cell>
          <cell r="G276" t="str">
            <v/>
          </cell>
          <cell r="H276">
            <v>459.99</v>
          </cell>
          <cell r="I276">
            <v>359.99</v>
          </cell>
          <cell r="J276">
            <v>220.15819999999999</v>
          </cell>
          <cell r="K276">
            <v>62.5</v>
          </cell>
          <cell r="L276">
            <v>282.65820000000002</v>
          </cell>
          <cell r="M276">
            <v>19.989999999999998</v>
          </cell>
          <cell r="N276">
            <v>379.98</v>
          </cell>
          <cell r="O276" t="str">
            <v/>
          </cell>
          <cell r="P276">
            <v>0</v>
          </cell>
          <cell r="Q276">
            <v>0.63514236580785999</v>
          </cell>
          <cell r="R276">
            <v>0.34430913378773398</v>
          </cell>
          <cell r="S276" t="e">
            <v>#VALUE!</v>
          </cell>
          <cell r="T276" t="e">
            <v>#VALUE!</v>
          </cell>
        </row>
        <row r="277">
          <cell r="A277" t="str">
            <v>70088N5ZPP</v>
          </cell>
          <cell r="B277" t="str">
            <v>MKP000631001671</v>
          </cell>
          <cell r="C277" t="str">
            <v/>
          </cell>
          <cell r="D277" t="str">
            <v>Rack para TV até 65 Polegadas Madesa Cancun com Pés Preto 8N5Z</v>
          </cell>
          <cell r="E277" t="str">
            <v>CANCUN</v>
          </cell>
          <cell r="F277" t="str">
            <v>SALA DE ESTAR</v>
          </cell>
          <cell r="G277" t="str">
            <v/>
          </cell>
          <cell r="H277">
            <v>609.99</v>
          </cell>
          <cell r="I277">
            <v>339.92</v>
          </cell>
          <cell r="J277">
            <v>235.7561</v>
          </cell>
          <cell r="K277">
            <v>111.1</v>
          </cell>
          <cell r="L277">
            <v>346.85610000000003</v>
          </cell>
          <cell r="M277">
            <v>39.99</v>
          </cell>
          <cell r="N277">
            <v>379.91</v>
          </cell>
          <cell r="O277" t="str">
            <v/>
          </cell>
          <cell r="P277">
            <v>0</v>
          </cell>
          <cell r="Q277">
            <v>0.441829076744992</v>
          </cell>
          <cell r="R277">
            <v>9.5295714851202099E-2</v>
          </cell>
          <cell r="S277" t="e">
            <v>#VALUE!</v>
          </cell>
          <cell r="T277" t="e">
            <v>#VALUE!</v>
          </cell>
        </row>
        <row r="278">
          <cell r="A278" t="str">
            <v>3201091</v>
          </cell>
          <cell r="B278" t="str">
            <v>MKP000631001043</v>
          </cell>
          <cell r="C278" t="str">
            <v/>
          </cell>
          <cell r="D278" t="str">
            <v>Kit 2 Gavetas Brancas para Guarda-Roupa Denver, Mônaco e Lyon</v>
          </cell>
          <cell r="E278" t="str">
            <v>PR</v>
          </cell>
          <cell r="F278" t="str">
            <v>QUARTO</v>
          </cell>
          <cell r="G278" t="str">
            <v/>
          </cell>
          <cell r="H278">
            <v>299.99</v>
          </cell>
          <cell r="I278">
            <v>169.99</v>
          </cell>
          <cell r="J278">
            <v>88.736900000000006</v>
          </cell>
          <cell r="K278">
            <v>30.35</v>
          </cell>
          <cell r="L278">
            <v>119.0869</v>
          </cell>
          <cell r="M278">
            <v>19.95</v>
          </cell>
          <cell r="N278">
            <v>189.94</v>
          </cell>
          <cell r="O278" t="str">
            <v/>
          </cell>
          <cell r="P278">
            <v>0</v>
          </cell>
          <cell r="Q278">
            <v>0.91566304434795498</v>
          </cell>
          <cell r="R278">
            <v>0.59496972378993795</v>
          </cell>
          <cell r="S278" t="e">
            <v>#VALUE!</v>
          </cell>
          <cell r="T278" t="e">
            <v>#VALUE!</v>
          </cell>
        </row>
        <row r="279">
          <cell r="A279" t="str">
            <v>GRRM70000209</v>
          </cell>
          <cell r="B279" t="str">
            <v>MKP000631005999</v>
          </cell>
          <cell r="C279" t="str">
            <v/>
          </cell>
          <cell r="D279" t="str">
            <v>Armário Aéreo 70 cm 2 Portas Branco Reims Madesa</v>
          </cell>
          <cell r="E279" t="str">
            <v>REIMS</v>
          </cell>
          <cell r="F279" t="str">
            <v>MODULAÇÃO</v>
          </cell>
          <cell r="G279" t="str">
            <v/>
          </cell>
          <cell r="H279">
            <v>329.99</v>
          </cell>
          <cell r="I279">
            <v>329.99</v>
          </cell>
          <cell r="J279">
            <v>238.44839999999999</v>
          </cell>
          <cell r="K279">
            <v>63.84</v>
          </cell>
          <cell r="L279">
            <v>302.28840000000002</v>
          </cell>
          <cell r="M279">
            <v>39.9</v>
          </cell>
          <cell r="N279">
            <v>369.89</v>
          </cell>
          <cell r="O279" t="str">
            <v/>
          </cell>
          <cell r="P279">
            <v>0</v>
          </cell>
          <cell r="Q279">
            <v>0.38390528097483601</v>
          </cell>
          <cell r="R279">
            <v>0.22363279570105901</v>
          </cell>
          <cell r="S279" t="e">
            <v>#VALUE!</v>
          </cell>
          <cell r="T279" t="e">
            <v>#VALUE!</v>
          </cell>
        </row>
        <row r="280">
          <cell r="A280" t="str">
            <v>G2560009TE</v>
          </cell>
          <cell r="B280" t="str">
            <v>MKP000631001905</v>
          </cell>
          <cell r="C280" t="str">
            <v/>
          </cell>
          <cell r="D280" t="str">
            <v>Armário Aéreo Madesa Stella 60 cm 1 Porta Branco</v>
          </cell>
          <cell r="E280" t="str">
            <v>STELLA</v>
          </cell>
          <cell r="F280" t="str">
            <v>MODULAÇÃO</v>
          </cell>
          <cell r="G280" t="str">
            <v/>
          </cell>
          <cell r="H280">
            <v>439.99</v>
          </cell>
          <cell r="I280">
            <v>319.99</v>
          </cell>
          <cell r="J280">
            <v>184.84219999999999</v>
          </cell>
          <cell r="K280">
            <v>28.0928</v>
          </cell>
          <cell r="L280">
            <v>212.935</v>
          </cell>
          <cell r="M280">
            <v>31.879000000000001</v>
          </cell>
          <cell r="N280">
            <v>351.86900000000003</v>
          </cell>
          <cell r="O280" t="str">
            <v/>
          </cell>
          <cell r="P280">
            <v>0</v>
          </cell>
          <cell r="Q280">
            <v>0.73115230180121205</v>
          </cell>
          <cell r="R280">
            <v>0.652471411463592</v>
          </cell>
          <cell r="S280" t="e">
            <v>#VALUE!</v>
          </cell>
          <cell r="T280" t="e">
            <v>#VALUE!</v>
          </cell>
        </row>
        <row r="281">
          <cell r="A281" t="str">
            <v>60247K5ZPP</v>
          </cell>
          <cell r="B281" t="str">
            <v>MKP000631001617</v>
          </cell>
          <cell r="C281" t="str">
            <v/>
          </cell>
          <cell r="D281" t="str">
            <v>Rack Madesa Dubai para TV até 65 Polegadas com Pés Rustic/Preto 7K5Z</v>
          </cell>
          <cell r="E281" t="str">
            <v>DUBAI</v>
          </cell>
          <cell r="F281" t="str">
            <v>SALA DE ESTAR</v>
          </cell>
          <cell r="G281" t="str">
            <v/>
          </cell>
          <cell r="H281">
            <v>639.99</v>
          </cell>
          <cell r="I281">
            <v>329.92</v>
          </cell>
          <cell r="J281">
            <v>200.49459999999999</v>
          </cell>
          <cell r="K281">
            <v>66.89</v>
          </cell>
          <cell r="L281">
            <v>267.38459999999998</v>
          </cell>
          <cell r="M281">
            <v>0</v>
          </cell>
          <cell r="N281">
            <v>329.92</v>
          </cell>
          <cell r="O281" t="str">
            <v>LEROY</v>
          </cell>
          <cell r="P281">
            <v>0</v>
          </cell>
          <cell r="Q281">
            <v>0.64553060281922803</v>
          </cell>
          <cell r="R281">
            <v>0.23387809170759999</v>
          </cell>
          <cell r="S281" t="e">
            <v>#VALUE!</v>
          </cell>
          <cell r="T281" t="e">
            <v>#VALUE!</v>
          </cell>
        </row>
        <row r="282">
          <cell r="A282" t="str">
            <v>G243508NRM</v>
          </cell>
          <cell r="B282" t="str">
            <v>MKP000631003042</v>
          </cell>
          <cell r="C282" t="str">
            <v/>
          </cell>
          <cell r="D282" t="str">
            <v>Balcão Madesa Reims 35 cm 1 Porta Preto</v>
          </cell>
          <cell r="E282" t="str">
            <v>REIMS</v>
          </cell>
          <cell r="F282" t="str">
            <v>MODULAÇÃO</v>
          </cell>
          <cell r="G282" t="str">
            <v/>
          </cell>
          <cell r="H282">
            <v>439.99</v>
          </cell>
          <cell r="I282">
            <v>269.99</v>
          </cell>
          <cell r="J282">
            <v>206.21709999999999</v>
          </cell>
          <cell r="K282">
            <v>88.3</v>
          </cell>
          <cell r="L282">
            <v>294.51710000000003</v>
          </cell>
          <cell r="M282">
            <v>59.9</v>
          </cell>
          <cell r="N282">
            <v>329.89</v>
          </cell>
          <cell r="O282" t="str">
            <v/>
          </cell>
          <cell r="P282">
            <v>0</v>
          </cell>
          <cell r="Q282">
            <v>0.309251269657075</v>
          </cell>
          <cell r="R282">
            <v>0.12010474094713</v>
          </cell>
          <cell r="S282" t="e">
            <v>#VALUE!</v>
          </cell>
          <cell r="T282" t="e">
            <v>#VALUE!</v>
          </cell>
        </row>
        <row r="283">
          <cell r="A283" t="str">
            <v>53195Z1</v>
          </cell>
          <cell r="B283" t="str">
            <v>MKP000631000905</v>
          </cell>
          <cell r="C283" t="str">
            <v/>
          </cell>
          <cell r="D283" t="str">
            <v>Mesa Madesa Retangular para Escritório com Tampo de Madeira 5319 Rustic</v>
          </cell>
          <cell r="E283">
            <v>5319</v>
          </cell>
          <cell r="F283" t="str">
            <v>ESCRITÓRIO</v>
          </cell>
          <cell r="G283" t="str">
            <v/>
          </cell>
          <cell r="H283">
            <v>399.99</v>
          </cell>
          <cell r="I283">
            <v>299.99</v>
          </cell>
          <cell r="J283">
            <v>167.74010000000001</v>
          </cell>
          <cell r="K283">
            <v>34.090000000000003</v>
          </cell>
          <cell r="L283">
            <v>201.83009999999999</v>
          </cell>
          <cell r="M283">
            <v>19.989999999999998</v>
          </cell>
          <cell r="N283">
            <v>319.98</v>
          </cell>
          <cell r="O283" t="str">
            <v/>
          </cell>
          <cell r="P283">
            <v>0</v>
          </cell>
          <cell r="Q283">
            <v>0.78842149253517801</v>
          </cell>
          <cell r="R283">
            <v>0.58539286261068102</v>
          </cell>
          <cell r="S283" t="e">
            <v>#VALUE!</v>
          </cell>
          <cell r="T283" t="e">
            <v>#VALUE!</v>
          </cell>
        </row>
        <row r="284">
          <cell r="A284" t="str">
            <v>G2512909RM</v>
          </cell>
          <cell r="B284" t="str">
            <v>MKP000631004433</v>
          </cell>
          <cell r="C284" t="str">
            <v/>
          </cell>
          <cell r="D284" t="str">
            <v>Armário Aéreo Madesa Reims 120 x 50 cm 2 Portas Branco</v>
          </cell>
          <cell r="E284" t="str">
            <v>REIMS</v>
          </cell>
          <cell r="F284" t="str">
            <v>MODULAÇÃO</v>
          </cell>
          <cell r="G284" t="str">
            <v/>
          </cell>
          <cell r="H284">
            <v>519.99</v>
          </cell>
          <cell r="I284">
            <v>289.99</v>
          </cell>
          <cell r="J284">
            <v>210.77330000000001</v>
          </cell>
          <cell r="K284">
            <v>56.49</v>
          </cell>
          <cell r="L284">
            <v>267.26330000000002</v>
          </cell>
          <cell r="M284">
            <v>29.9</v>
          </cell>
          <cell r="N284">
            <v>319.89</v>
          </cell>
          <cell r="O284" t="str">
            <v/>
          </cell>
          <cell r="P284">
            <v>0</v>
          </cell>
          <cell r="Q284">
            <v>0.37583840078415998</v>
          </cell>
          <cell r="R284">
            <v>0.19690956446320901</v>
          </cell>
          <cell r="S284" t="e">
            <v>#VALUE!</v>
          </cell>
          <cell r="T284" t="e">
            <v>#VALUE!</v>
          </cell>
        </row>
        <row r="285">
          <cell r="A285" t="str">
            <v>699709</v>
          </cell>
          <cell r="B285" t="str">
            <v>MKP000631006082</v>
          </cell>
          <cell r="C285" t="str">
            <v/>
          </cell>
          <cell r="D285" t="str">
            <v>Rack para TV até 65 Polegadas com Pés Branco Turim Madesa</v>
          </cell>
          <cell r="E285" t="str">
            <v>TURIM</v>
          </cell>
          <cell r="F285" t="str">
            <v>SALA DE ESTAR</v>
          </cell>
          <cell r="G285" t="str">
            <v/>
          </cell>
          <cell r="H285">
            <v>349.99</v>
          </cell>
          <cell r="I285">
            <v>249.99</v>
          </cell>
          <cell r="J285">
            <v>174.50899999999999</v>
          </cell>
          <cell r="K285">
            <v>143.27000000000001</v>
          </cell>
          <cell r="L285">
            <v>317.779</v>
          </cell>
          <cell r="M285">
            <v>59.99</v>
          </cell>
          <cell r="N285">
            <v>309.98</v>
          </cell>
          <cell r="O285" t="str">
            <v>CAMICADO</v>
          </cell>
          <cell r="P285">
            <v>249.99</v>
          </cell>
          <cell r="Q285">
            <v>0.43253356560406597</v>
          </cell>
          <cell r="R285">
            <v>-2.4542213299179601E-2</v>
          </cell>
          <cell r="S285" t="e">
            <v>#VALUE!</v>
          </cell>
          <cell r="T285" t="e">
            <v>#VALUE!</v>
          </cell>
        </row>
        <row r="286">
          <cell r="A286" t="str">
            <v>21015Z1</v>
          </cell>
          <cell r="B286" t="str">
            <v>MKP000631001681</v>
          </cell>
          <cell r="C286" t="str">
            <v/>
          </cell>
          <cell r="D286" t="str">
            <v>Painel para TV até 65 Polegadas Madesa Rustic</v>
          </cell>
          <cell r="E286">
            <v>2101</v>
          </cell>
          <cell r="F286" t="str">
            <v>SALA DE ESTAR</v>
          </cell>
          <cell r="G286" t="str">
            <v/>
          </cell>
          <cell r="H286">
            <v>369.99</v>
          </cell>
          <cell r="I286">
            <v>269.99</v>
          </cell>
          <cell r="J286">
            <v>198.82689999999999</v>
          </cell>
          <cell r="K286">
            <v>87.11</v>
          </cell>
          <cell r="L286">
            <v>285.93689999999998</v>
          </cell>
          <cell r="M286">
            <v>39.9</v>
          </cell>
          <cell r="N286">
            <v>309.89</v>
          </cell>
          <cell r="O286" t="str">
            <v/>
          </cell>
          <cell r="P286">
            <v>0</v>
          </cell>
          <cell r="Q286">
            <v>0.357914849550036</v>
          </cell>
          <cell r="R286">
            <v>8.3770580152474003E-2</v>
          </cell>
          <cell r="S286" t="e">
            <v>#VALUE!</v>
          </cell>
          <cell r="T286" t="e">
            <v>#VALUE!</v>
          </cell>
        </row>
        <row r="287">
          <cell r="A287" t="str">
            <v>700809</v>
          </cell>
          <cell r="B287" t="str">
            <v>MKP000631001642</v>
          </cell>
          <cell r="C287" t="str">
            <v/>
          </cell>
          <cell r="D287" t="str">
            <v>Rack para TV até 65 Polegadas Madesa Cancun Branco</v>
          </cell>
          <cell r="E287" t="str">
            <v>CANCUN</v>
          </cell>
          <cell r="F287" t="str">
            <v>SALA DE ESTAR</v>
          </cell>
          <cell r="G287" t="str">
            <v/>
          </cell>
          <cell r="H287">
            <v>719.99</v>
          </cell>
          <cell r="I287">
            <v>299.99</v>
          </cell>
          <cell r="J287">
            <v>250.32939999999999</v>
          </cell>
          <cell r="K287">
            <v>109.7</v>
          </cell>
          <cell r="L287">
            <v>360.02940000000001</v>
          </cell>
          <cell r="M287">
            <v>0</v>
          </cell>
          <cell r="N287">
            <v>299.99</v>
          </cell>
          <cell r="O287" t="str">
            <v/>
          </cell>
          <cell r="P287">
            <v>0</v>
          </cell>
          <cell r="Q287">
            <v>0.19838101317703799</v>
          </cell>
          <cell r="R287">
            <v>-0.16676249217424999</v>
          </cell>
          <cell r="S287" t="e">
            <v>#VALUE!</v>
          </cell>
          <cell r="T287" t="e">
            <v>#VALUE!</v>
          </cell>
        </row>
        <row r="288">
          <cell r="A288" t="str">
            <v>G256003BNC</v>
          </cell>
          <cell r="B288" t="str">
            <v>MKP000631004814</v>
          </cell>
          <cell r="C288" t="str">
            <v/>
          </cell>
          <cell r="D288" t="str">
            <v>Armário Aéreo 60 cm 1 Porta Cinza Nice Madesa</v>
          </cell>
          <cell r="E288" t="str">
            <v>NICE</v>
          </cell>
          <cell r="F288" t="str">
            <v>MODULAÇÃO</v>
          </cell>
          <cell r="G288" t="str">
            <v/>
          </cell>
          <cell r="H288">
            <v>449.99</v>
          </cell>
          <cell r="I288">
            <v>279.99</v>
          </cell>
          <cell r="J288">
            <v>145.0899</v>
          </cell>
          <cell r="K288">
            <v>47.13</v>
          </cell>
          <cell r="L288">
            <v>192.2199</v>
          </cell>
          <cell r="M288">
            <v>19.899999999999999</v>
          </cell>
          <cell r="N288">
            <v>299.89</v>
          </cell>
          <cell r="O288" t="str">
            <v/>
          </cell>
          <cell r="P288">
            <v>0</v>
          </cell>
          <cell r="Q288">
            <v>0.92976906042391605</v>
          </cell>
          <cell r="R288">
            <v>0.56014023522018297</v>
          </cell>
          <cell r="S288" t="e">
            <v>#VALUE!</v>
          </cell>
          <cell r="T288" t="e">
            <v>#VALUE!</v>
          </cell>
        </row>
        <row r="289">
          <cell r="A289" t="str">
            <v>70085Z</v>
          </cell>
          <cell r="B289" t="str">
            <v>MKP000631001639</v>
          </cell>
          <cell r="C289" t="str">
            <v/>
          </cell>
          <cell r="D289" t="str">
            <v>Rack para TV até 65 Polegadas Madesa Cancun Rustic</v>
          </cell>
          <cell r="E289" t="str">
            <v>CANCUN</v>
          </cell>
          <cell r="F289" t="str">
            <v>SALA DE ESTAR</v>
          </cell>
          <cell r="G289" t="str">
            <v/>
          </cell>
          <cell r="H289">
            <v>419.99</v>
          </cell>
          <cell r="I289">
            <v>310.92</v>
          </cell>
          <cell r="J289">
            <v>250.32939999999999</v>
          </cell>
          <cell r="K289">
            <v>51.56</v>
          </cell>
          <cell r="L289">
            <v>301.88940000000002</v>
          </cell>
          <cell r="M289">
            <v>19.989999999999998</v>
          </cell>
          <cell r="N289">
            <v>330.91</v>
          </cell>
          <cell r="O289" t="str">
            <v/>
          </cell>
          <cell r="P289">
            <v>0</v>
          </cell>
          <cell r="Q289">
            <v>0.242043483506132</v>
          </cell>
          <cell r="R289">
            <v>9.6129907177926702E-2</v>
          </cell>
          <cell r="S289" t="e">
            <v>#VALUE!</v>
          </cell>
          <cell r="T289" t="e">
            <v>#VALUE!</v>
          </cell>
        </row>
        <row r="290">
          <cell r="A290" t="str">
            <v>2101091</v>
          </cell>
          <cell r="B290" t="str">
            <v>MKP000631001679</v>
          </cell>
          <cell r="C290" t="str">
            <v/>
          </cell>
          <cell r="D290" t="str">
            <v>Painel para TV até 65 Polegadas Madesa Branco</v>
          </cell>
          <cell r="E290">
            <v>2101</v>
          </cell>
          <cell r="F290" t="str">
            <v>SALA DE ESTAR</v>
          </cell>
          <cell r="G290" t="str">
            <v/>
          </cell>
          <cell r="H290">
            <v>369.99</v>
          </cell>
          <cell r="I290">
            <v>269.99</v>
          </cell>
          <cell r="J290">
            <v>198.82689999999999</v>
          </cell>
          <cell r="K290">
            <v>34.090000000000003</v>
          </cell>
          <cell r="L290">
            <v>232.9169</v>
          </cell>
          <cell r="M290">
            <v>19.989999999999998</v>
          </cell>
          <cell r="N290">
            <v>289.98</v>
          </cell>
          <cell r="O290" t="str">
            <v/>
          </cell>
          <cell r="P290">
            <v>0</v>
          </cell>
          <cell r="Q290">
            <v>0.357914849550036</v>
          </cell>
          <cell r="R290">
            <v>0.244993386053137</v>
          </cell>
          <cell r="S290" t="e">
            <v>#VALUE!</v>
          </cell>
          <cell r="T290" t="e">
            <v>#VALUE!</v>
          </cell>
        </row>
        <row r="291">
          <cell r="A291" t="str">
            <v>XB940909</v>
          </cell>
          <cell r="B291" t="str">
            <v>MKP000631003422</v>
          </cell>
          <cell r="C291" t="str">
            <v/>
          </cell>
          <cell r="D291" t="str">
            <v>Escrivaninha Mesa para Computador Office 9409 Madesa Branco</v>
          </cell>
          <cell r="E291" t="str">
            <v>GAMER</v>
          </cell>
          <cell r="F291" t="str">
            <v>ESCRITÓRIO</v>
          </cell>
          <cell r="G291" t="str">
            <v/>
          </cell>
          <cell r="H291">
            <v>389.99</v>
          </cell>
          <cell r="I291">
            <v>289.99</v>
          </cell>
          <cell r="J291">
            <v>224.06039999999999</v>
          </cell>
          <cell r="K291">
            <v>78.22</v>
          </cell>
          <cell r="L291">
            <v>302.28039999999999</v>
          </cell>
          <cell r="M291">
            <v>19.899999999999999</v>
          </cell>
          <cell r="N291">
            <v>309.89</v>
          </cell>
          <cell r="O291" t="str">
            <v/>
          </cell>
          <cell r="P291">
            <v>0</v>
          </cell>
          <cell r="Q291">
            <v>0.29424922922569102</v>
          </cell>
          <cell r="R291">
            <v>2.5173977538735601E-2</v>
          </cell>
          <cell r="S291" t="e">
            <v>#VALUE!</v>
          </cell>
          <cell r="T291" t="e">
            <v>#VALUE!</v>
          </cell>
        </row>
        <row r="292">
          <cell r="A292" t="str">
            <v>G258047KAG</v>
          </cell>
          <cell r="B292" t="str">
            <v>MKP000631003070</v>
          </cell>
          <cell r="C292" t="str">
            <v/>
          </cell>
          <cell r="D292" t="str">
            <v>Armário Aéreo Madesa Agata 80 cm 1 Porta Basculante Rustic/Preto</v>
          </cell>
          <cell r="E292" t="str">
            <v>ÁGATA</v>
          </cell>
          <cell r="F292" t="str">
            <v>MODULAÇÃO</v>
          </cell>
          <cell r="G292" t="str">
            <v/>
          </cell>
          <cell r="H292">
            <v>389.99</v>
          </cell>
          <cell r="I292">
            <v>279.99</v>
          </cell>
          <cell r="J292">
            <v>162.35550000000001</v>
          </cell>
          <cell r="K292">
            <v>58.32</v>
          </cell>
          <cell r="L292">
            <v>220.6755</v>
          </cell>
          <cell r="M292">
            <v>0</v>
          </cell>
          <cell r="N292">
            <v>279.99</v>
          </cell>
          <cell r="O292" t="str">
            <v/>
          </cell>
          <cell r="P292">
            <v>0</v>
          </cell>
          <cell r="Q292">
            <v>0.72454890656614701</v>
          </cell>
          <cell r="R292">
            <v>0.26878606823140799</v>
          </cell>
          <cell r="S292" t="e">
            <v>#VALUE!</v>
          </cell>
          <cell r="T292" t="e">
            <v>#VALUE!</v>
          </cell>
        </row>
        <row r="293">
          <cell r="A293" t="str">
            <v>G2632009EM</v>
          </cell>
          <cell r="B293" t="str">
            <v>MKP000631002518</v>
          </cell>
          <cell r="C293" t="str">
            <v/>
          </cell>
          <cell r="D293" t="str">
            <v>Paneleiro Madesa Emilly 2 Portas Branco</v>
          </cell>
          <cell r="E293" t="str">
            <v>EMILLY</v>
          </cell>
          <cell r="F293" t="str">
            <v>MODULAÇÃO</v>
          </cell>
          <cell r="G293" t="str">
            <v/>
          </cell>
          <cell r="H293">
            <v>439.99</v>
          </cell>
          <cell r="I293">
            <v>259.99</v>
          </cell>
          <cell r="J293">
            <v>181.81200000000001</v>
          </cell>
          <cell r="K293">
            <v>34.090000000000003</v>
          </cell>
          <cell r="L293">
            <v>215.90199999999999</v>
          </cell>
          <cell r="M293">
            <v>19.989999999999998</v>
          </cell>
          <cell r="N293">
            <v>279.98</v>
          </cell>
          <cell r="O293" t="str">
            <v/>
          </cell>
          <cell r="P293">
            <v>0</v>
          </cell>
          <cell r="Q293">
            <v>0.42999361978307299</v>
          </cell>
          <cell r="R293">
            <v>0.29679206306564998</v>
          </cell>
          <cell r="S293" t="e">
            <v>#VALUE!</v>
          </cell>
          <cell r="T293" t="e">
            <v>#VALUE!</v>
          </cell>
        </row>
        <row r="294">
          <cell r="A294" t="str">
            <v>XA69078N1</v>
          </cell>
          <cell r="B294" t="str">
            <v>MKP000631003528</v>
          </cell>
          <cell r="C294" t="str">
            <v/>
          </cell>
          <cell r="D294" t="str">
            <v>Estante para Livros Home Sala Madesa 6907 com 3 Nichos Preto</v>
          </cell>
          <cell r="E294">
            <v>6907</v>
          </cell>
          <cell r="F294" t="str">
            <v>ESCRITÓRIO</v>
          </cell>
          <cell r="G294" t="str">
            <v/>
          </cell>
          <cell r="H294">
            <v>409.99</v>
          </cell>
          <cell r="I294">
            <v>249.92</v>
          </cell>
          <cell r="J294">
            <v>154.5402</v>
          </cell>
          <cell r="K294">
            <v>33.9</v>
          </cell>
          <cell r="L294">
            <v>188.4402</v>
          </cell>
          <cell r="M294">
            <v>19.989999999999998</v>
          </cell>
          <cell r="N294">
            <v>269.91000000000003</v>
          </cell>
          <cell r="O294" t="str">
            <v/>
          </cell>
          <cell r="P294">
            <v>0</v>
          </cell>
          <cell r="Q294">
            <v>0.61718439603417097</v>
          </cell>
          <cell r="R294">
            <v>0.43233768590778399</v>
          </cell>
          <cell r="S294" t="e">
            <v>#VALUE!</v>
          </cell>
          <cell r="T294" t="e">
            <v>#VALUE!</v>
          </cell>
        </row>
        <row r="295">
          <cell r="A295" t="str">
            <v>G263205ZEM</v>
          </cell>
          <cell r="B295" t="str">
            <v>MKP000631000387</v>
          </cell>
          <cell r="C295" t="str">
            <v/>
          </cell>
          <cell r="D295" t="str">
            <v>Paneleiro Madesa Emilly 2 Portas Rustic</v>
          </cell>
          <cell r="E295" t="str">
            <v>EMILLY</v>
          </cell>
          <cell r="F295" t="str">
            <v>MODULAÇÃO</v>
          </cell>
          <cell r="G295" t="str">
            <v/>
          </cell>
          <cell r="H295">
            <v>629.99</v>
          </cell>
          <cell r="I295">
            <v>259.99</v>
          </cell>
          <cell r="J295">
            <v>181.81200000000001</v>
          </cell>
          <cell r="K295">
            <v>47.01</v>
          </cell>
          <cell r="L295">
            <v>228.822</v>
          </cell>
          <cell r="M295">
            <v>19.899999999999999</v>
          </cell>
          <cell r="N295">
            <v>279.89</v>
          </cell>
          <cell r="O295" t="str">
            <v/>
          </cell>
          <cell r="P295">
            <v>0</v>
          </cell>
          <cell r="Q295">
            <v>0.42999361978307299</v>
          </cell>
          <cell r="R295">
            <v>0.22317784129148399</v>
          </cell>
          <cell r="S295" t="e">
            <v>#VALUE!</v>
          </cell>
          <cell r="T295" t="e">
            <v>#VALUE!</v>
          </cell>
        </row>
        <row r="296">
          <cell r="A296" t="str">
            <v>G263207KEM</v>
          </cell>
          <cell r="B296" t="str">
            <v>MKP000631001690</v>
          </cell>
          <cell r="C296" t="str">
            <v/>
          </cell>
          <cell r="D296" t="str">
            <v>Paneleiro Madesa Emilly 2 Portas Rustic/Preto</v>
          </cell>
          <cell r="E296" t="str">
            <v>EMILLY</v>
          </cell>
          <cell r="F296" t="str">
            <v>MODULAÇÃO</v>
          </cell>
          <cell r="G296" t="str">
            <v/>
          </cell>
          <cell r="H296">
            <v>479.99</v>
          </cell>
          <cell r="I296">
            <v>259.99</v>
          </cell>
          <cell r="J296">
            <v>181.81200000000001</v>
          </cell>
          <cell r="K296">
            <v>72.3</v>
          </cell>
          <cell r="L296">
            <v>254.11199999999999</v>
          </cell>
          <cell r="M296">
            <v>39.99</v>
          </cell>
          <cell r="N296">
            <v>299.98</v>
          </cell>
          <cell r="O296" t="str">
            <v/>
          </cell>
          <cell r="P296">
            <v>0</v>
          </cell>
          <cell r="Q296">
            <v>0.42999361978307299</v>
          </cell>
          <cell r="R296">
            <v>0.180503085253746</v>
          </cell>
          <cell r="S296" t="e">
            <v>#VALUE!</v>
          </cell>
          <cell r="T296" t="e">
            <v>#VALUE!</v>
          </cell>
        </row>
        <row r="297">
          <cell r="A297" t="str">
            <v>6990131</v>
          </cell>
          <cell r="B297" t="str">
            <v>MKP000631003458</v>
          </cell>
          <cell r="C297" t="str">
            <v/>
          </cell>
          <cell r="D297" t="str">
            <v>Estante Escada para Livros com 4 Prateleiras Madesa Preto</v>
          </cell>
          <cell r="E297" t="str">
            <v>ESTANTE ESCADA</v>
          </cell>
          <cell r="F297" t="str">
            <v>SALA DE ESTAR</v>
          </cell>
          <cell r="G297" t="str">
            <v/>
          </cell>
          <cell r="H297">
            <v>639.99</v>
          </cell>
          <cell r="I297">
            <v>219.92</v>
          </cell>
          <cell r="J297">
            <v>149.24279999999999</v>
          </cell>
          <cell r="K297">
            <v>44.1</v>
          </cell>
          <cell r="L297">
            <v>193.34280000000001</v>
          </cell>
          <cell r="M297">
            <v>39.99</v>
          </cell>
          <cell r="N297">
            <v>259.91000000000003</v>
          </cell>
          <cell r="O297" t="str">
            <v/>
          </cell>
          <cell r="P297">
            <v>0</v>
          </cell>
          <cell r="Q297">
            <v>0.47357192440774398</v>
          </cell>
          <cell r="R297">
            <v>0.344296244804565</v>
          </cell>
          <cell r="S297" t="e">
            <v>#VALUE!</v>
          </cell>
          <cell r="T297" t="e">
            <v>#VALUE!</v>
          </cell>
        </row>
        <row r="298">
          <cell r="A298" t="str">
            <v>G2560209SM</v>
          </cell>
          <cell r="B298" t="str">
            <v>MKP000631006073</v>
          </cell>
          <cell r="C298" t="str">
            <v/>
          </cell>
          <cell r="D298" t="str">
            <v>Armário Aéreo 100% MDF 60 cm 1 Porta Basculante Branco Smart Madesa</v>
          </cell>
          <cell r="E298" t="str">
            <v>SMART</v>
          </cell>
          <cell r="F298" t="str">
            <v>MODULAÇÃO</v>
          </cell>
          <cell r="G298" t="str">
            <v/>
          </cell>
          <cell r="H298">
            <v>239.99</v>
          </cell>
          <cell r="I298">
            <v>169.99</v>
          </cell>
          <cell r="J298">
            <v>114.6789</v>
          </cell>
          <cell r="K298">
            <v>98.77</v>
          </cell>
          <cell r="L298">
            <v>213.44890000000001</v>
          </cell>
          <cell r="M298">
            <v>59.9</v>
          </cell>
          <cell r="N298">
            <v>229.89</v>
          </cell>
          <cell r="O298" t="str">
            <v/>
          </cell>
          <cell r="P298">
            <v>0</v>
          </cell>
          <cell r="Q298">
            <v>0.48231278814149797</v>
          </cell>
          <cell r="R298">
            <v>7.7025929859559E-2</v>
          </cell>
          <cell r="S298" t="e">
            <v>#VALUE!</v>
          </cell>
          <cell r="T298" t="e">
            <v>#VALUE!</v>
          </cell>
        </row>
        <row r="299">
          <cell r="A299" t="str">
            <v>G2560609PR</v>
          </cell>
          <cell r="B299" t="str">
            <v>MKP000631001836</v>
          </cell>
          <cell r="C299" t="str">
            <v/>
          </cell>
          <cell r="D299" t="str">
            <v>Armário Aéreo Madesa para Glamy, Lux, Reims 60 cm com Nicho para Microondas e Forno Elétrico Branco</v>
          </cell>
          <cell r="E299" t="str">
            <v>PR</v>
          </cell>
          <cell r="F299" t="str">
            <v>MODULAÇÃO</v>
          </cell>
          <cell r="G299" t="str">
            <v/>
          </cell>
          <cell r="H299">
            <v>379.99</v>
          </cell>
          <cell r="I299">
            <v>189.99</v>
          </cell>
          <cell r="J299">
            <v>99.843999999999994</v>
          </cell>
          <cell r="K299">
            <v>53.27</v>
          </cell>
          <cell r="L299">
            <v>153.114</v>
          </cell>
          <cell r="M299">
            <v>39.9</v>
          </cell>
          <cell r="N299">
            <v>229.89</v>
          </cell>
          <cell r="O299" t="str">
            <v/>
          </cell>
          <cell r="P299">
            <v>0</v>
          </cell>
          <cell r="Q299">
            <v>0.90286847482072097</v>
          </cell>
          <cell r="R299">
            <v>0.50143030683020495</v>
          </cell>
          <cell r="S299" t="e">
            <v>#VALUE!</v>
          </cell>
          <cell r="T299" t="e">
            <v>#VALUE!</v>
          </cell>
        </row>
        <row r="300">
          <cell r="A300" t="str">
            <v>G256065ZPR</v>
          </cell>
          <cell r="B300" t="str">
            <v>MKP000631002811</v>
          </cell>
          <cell r="C300" t="str">
            <v/>
          </cell>
          <cell r="D300" t="str">
            <v>Armário Aéreo Madesa para Glamy, Lux, Reims 60 cm com Nicho para Microondas e Forno Elétrico Rustic</v>
          </cell>
          <cell r="E300" t="str">
            <v>PR</v>
          </cell>
          <cell r="F300" t="str">
            <v>MODULAÇÃO</v>
          </cell>
          <cell r="G300" t="str">
            <v/>
          </cell>
          <cell r="H300">
            <v>379.99</v>
          </cell>
          <cell r="I300">
            <v>189.99</v>
          </cell>
          <cell r="J300">
            <v>99.843999999999994</v>
          </cell>
          <cell r="K300">
            <v>53.45</v>
          </cell>
          <cell r="L300">
            <v>153.29400000000001</v>
          </cell>
          <cell r="M300">
            <v>39.9</v>
          </cell>
          <cell r="N300">
            <v>229.89</v>
          </cell>
          <cell r="O300" t="str">
            <v/>
          </cell>
          <cell r="P300">
            <v>0</v>
          </cell>
          <cell r="Q300">
            <v>0.90286847482072097</v>
          </cell>
          <cell r="R300">
            <v>0.49966730596109499</v>
          </cell>
          <cell r="S300" t="e">
            <v>#VALUE!</v>
          </cell>
          <cell r="T300" t="e">
            <v>#VALUE!</v>
          </cell>
        </row>
        <row r="301">
          <cell r="A301" t="str">
            <v>G2560609</v>
          </cell>
          <cell r="B301" t="str">
            <v>MKP000631003357</v>
          </cell>
          <cell r="C301" t="str">
            <v/>
          </cell>
          <cell r="D301" t="str">
            <v>Armário Aéreo Madesa Acordes 100% MDF 60 cm com Nicho para Microondas e Forno Elétrico Branco</v>
          </cell>
          <cell r="E301" t="str">
            <v>ACORDES</v>
          </cell>
          <cell r="F301" t="str">
            <v>MODULAÇÃO</v>
          </cell>
          <cell r="G301" t="str">
            <v/>
          </cell>
          <cell r="H301">
            <v>349.99</v>
          </cell>
          <cell r="I301">
            <v>199.99</v>
          </cell>
          <cell r="J301">
            <v>109.7085</v>
          </cell>
          <cell r="K301">
            <v>57.4</v>
          </cell>
          <cell r="L301">
            <v>167.10849999999999</v>
          </cell>
          <cell r="M301">
            <v>0</v>
          </cell>
          <cell r="N301">
            <v>199.99</v>
          </cell>
          <cell r="O301" t="str">
            <v/>
          </cell>
          <cell r="P301">
            <v>0</v>
          </cell>
          <cell r="Q301">
            <v>0.82292165146729701</v>
          </cell>
          <cell r="R301">
            <v>0.196767369702918</v>
          </cell>
          <cell r="S301" t="e">
            <v>#VALUE!</v>
          </cell>
          <cell r="T301" t="e">
            <v>#VALUE!</v>
          </cell>
        </row>
        <row r="302">
          <cell r="A302" t="str">
            <v>21135Z1</v>
          </cell>
          <cell r="B302" t="str">
            <v>MKP000631000143</v>
          </cell>
          <cell r="C302" t="str">
            <v/>
          </cell>
          <cell r="D302" t="str">
            <v>Painel para TV até 55 Polegadas Madesa Rustic</v>
          </cell>
          <cell r="E302">
            <v>2113</v>
          </cell>
          <cell r="F302" t="str">
            <v>SALA DE ESTAR</v>
          </cell>
          <cell r="G302" t="str">
            <v/>
          </cell>
          <cell r="H302">
            <v>369.99</v>
          </cell>
          <cell r="I302">
            <v>149.99</v>
          </cell>
          <cell r="J302">
            <v>104.7817</v>
          </cell>
          <cell r="K302">
            <v>104.81</v>
          </cell>
          <cell r="L302">
            <v>209.5917</v>
          </cell>
          <cell r="M302">
            <v>49.99</v>
          </cell>
          <cell r="N302">
            <v>199.98</v>
          </cell>
          <cell r="O302" t="str">
            <v/>
          </cell>
          <cell r="P302">
            <v>0</v>
          </cell>
          <cell r="Q302">
            <v>0.43145224786389202</v>
          </cell>
          <cell r="R302">
            <v>-4.5859163316104498E-2</v>
          </cell>
          <cell r="S302" t="e">
            <v>#VALUE!</v>
          </cell>
          <cell r="T302" t="e">
            <v>#VALUE!</v>
          </cell>
        </row>
        <row r="303">
          <cell r="A303" t="str">
            <v>G270055ZPR</v>
          </cell>
          <cell r="B303" t="str">
            <v>MKP000631000125</v>
          </cell>
          <cell r="C303" t="str">
            <v/>
          </cell>
          <cell r="D303" t="str">
            <v>Tampo para Balcão de Pia 120 cm Madesa Rustic</v>
          </cell>
          <cell r="E303" t="str">
            <v>PR</v>
          </cell>
          <cell r="F303" t="str">
            <v>MODULAÇÃO</v>
          </cell>
          <cell r="G303" t="str">
            <v/>
          </cell>
          <cell r="H303">
            <v>349.99</v>
          </cell>
          <cell r="I303">
            <v>149.99</v>
          </cell>
          <cell r="J303">
            <v>90.698899999999995</v>
          </cell>
          <cell r="K303">
            <v>51.94</v>
          </cell>
          <cell r="L303">
            <v>142.63890000000001</v>
          </cell>
          <cell r="M303">
            <v>39.99</v>
          </cell>
          <cell r="N303">
            <v>189.98</v>
          </cell>
          <cell r="O303" t="str">
            <v/>
          </cell>
          <cell r="P303">
            <v>0</v>
          </cell>
          <cell r="Q303">
            <v>0.65371355110150198</v>
          </cell>
          <cell r="R303">
            <v>0.331894735587557</v>
          </cell>
          <cell r="S303" t="e">
            <v>#VALUE!</v>
          </cell>
          <cell r="T303" t="e">
            <v>#VALUE!</v>
          </cell>
        </row>
        <row r="304">
          <cell r="A304" t="str">
            <v>XA9400091</v>
          </cell>
          <cell r="B304" t="str">
            <v>MKP000631003420</v>
          </cell>
          <cell r="C304" t="str">
            <v/>
          </cell>
          <cell r="D304" t="str">
            <v>Escrivaninha Mesa para Computador Madesa Alaska 3 Gavetas 1 Porta Branco</v>
          </cell>
          <cell r="E304" t="str">
            <v>ALASKA</v>
          </cell>
          <cell r="F304" t="str">
            <v>ESCRITÓRIO</v>
          </cell>
          <cell r="G304" t="str">
            <v/>
          </cell>
          <cell r="H304">
            <v>879.99</v>
          </cell>
          <cell r="I304">
            <v>459.99</v>
          </cell>
          <cell r="J304">
            <v>332.56990000000002</v>
          </cell>
          <cell r="K304">
            <v>0</v>
          </cell>
          <cell r="L304">
            <v>332.56990000000002</v>
          </cell>
          <cell r="M304">
            <v>0</v>
          </cell>
          <cell r="N304">
            <v>459.99</v>
          </cell>
          <cell r="O304" t="str">
            <v>MAGALU</v>
          </cell>
          <cell r="P304">
            <v>399.99</v>
          </cell>
          <cell r="Q304">
            <v>0.38313780050449497</v>
          </cell>
          <cell r="R304">
            <v>0.38313780050449497</v>
          </cell>
          <cell r="S304" t="e">
            <v>#VALUE!</v>
          </cell>
          <cell r="T304" t="e">
            <v>#VALUE!</v>
          </cell>
        </row>
        <row r="305">
          <cell r="A305" t="str">
            <v>G247008NRM</v>
          </cell>
          <cell r="B305" t="str">
            <v>MKP000631001196</v>
          </cell>
          <cell r="C305" t="str">
            <v/>
          </cell>
          <cell r="D305" t="str">
            <v>Balcão Madesa Reims 70 cm 2 Portas Preto</v>
          </cell>
          <cell r="E305" t="str">
            <v>REIMS</v>
          </cell>
          <cell r="F305" t="str">
            <v>MODULAÇÃO</v>
          </cell>
          <cell r="G305" t="str">
            <v/>
          </cell>
          <cell r="H305">
            <v>649.99</v>
          </cell>
          <cell r="I305">
            <v>339.99</v>
          </cell>
          <cell r="J305">
            <v>258.0575</v>
          </cell>
          <cell r="K305">
            <v>0</v>
          </cell>
          <cell r="L305">
            <v>258.0575</v>
          </cell>
          <cell r="M305">
            <v>0</v>
          </cell>
          <cell r="N305">
            <v>339.99</v>
          </cell>
          <cell r="O305" t="str">
            <v/>
          </cell>
          <cell r="P305">
            <v>0</v>
          </cell>
          <cell r="Q305">
            <v>0.31749706945157602</v>
          </cell>
          <cell r="R305">
            <v>0.31749706945157602</v>
          </cell>
          <cell r="S305" t="e">
            <v>#VALUE!</v>
          </cell>
          <cell r="T305" t="e">
            <v>#VALUE!</v>
          </cell>
        </row>
        <row r="306">
          <cell r="A306" t="str">
            <v>GRRM320002D8</v>
          </cell>
          <cell r="B306" t="str">
            <v>MKP000631001841</v>
          </cell>
          <cell r="C306" t="str">
            <v/>
          </cell>
          <cell r="D306" t="str">
            <v>Armário de Cozinha Completa 320cm Preto Reims Madesa 02</v>
          </cell>
          <cell r="E306" t="str">
            <v>REIMS</v>
          </cell>
          <cell r="F306" t="str">
            <v>COZINHA</v>
          </cell>
          <cell r="G306" t="str">
            <v/>
          </cell>
          <cell r="H306">
            <v>3139.99</v>
          </cell>
          <cell r="I306">
            <v>1919.92</v>
          </cell>
          <cell r="J306">
            <v>1675.2973</v>
          </cell>
          <cell r="K306">
            <v>0</v>
          </cell>
          <cell r="L306">
            <v>1675.2973</v>
          </cell>
          <cell r="M306">
            <v>0</v>
          </cell>
          <cell r="N306">
            <v>1919.92</v>
          </cell>
          <cell r="O306" t="str">
            <v/>
          </cell>
          <cell r="P306">
            <v>0</v>
          </cell>
          <cell r="Q306">
            <v>0.14601748597099801</v>
          </cell>
          <cell r="R306">
            <v>0.14601748597099801</v>
          </cell>
          <cell r="S306" t="e">
            <v>#VALUE!</v>
          </cell>
          <cell r="T306" t="e">
            <v>#VALUE!</v>
          </cell>
        </row>
        <row r="307">
          <cell r="A307" t="str">
            <v>1060094RFCT</v>
          </cell>
          <cell r="B307" t="str">
            <v>MKP000631000274</v>
          </cell>
          <cell r="C307" t="str">
            <v/>
          </cell>
          <cell r="D307" t="str">
            <v>Guarda-Roupa Kremlin Reflex Madesa 4 Portas de Correr Branco</v>
          </cell>
          <cell r="E307" t="str">
            <v>KREMLIN</v>
          </cell>
          <cell r="F307" t="str">
            <v>QUARTO</v>
          </cell>
          <cell r="G307" t="str">
            <v/>
          </cell>
          <cell r="H307">
            <v>6199.99</v>
          </cell>
          <cell r="I307">
            <v>5049.99</v>
          </cell>
          <cell r="J307">
            <v>3743.2889</v>
          </cell>
          <cell r="K307">
            <v>0</v>
          </cell>
          <cell r="L307">
            <v>3743.2889</v>
          </cell>
          <cell r="M307">
            <v>0</v>
          </cell>
          <cell r="N307">
            <v>5049.99</v>
          </cell>
          <cell r="O307" t="str">
            <v>WEB (MADEIRA)</v>
          </cell>
          <cell r="P307">
            <v>5049.99</v>
          </cell>
          <cell r="Q307">
            <v>0.34907834658447001</v>
          </cell>
          <cell r="R307">
            <v>0.34907834658447001</v>
          </cell>
          <cell r="S307" t="e">
            <v>#VALUE!</v>
          </cell>
          <cell r="T307" t="e">
            <v>#VALUE!</v>
          </cell>
        </row>
        <row r="308">
          <cell r="A308" t="str">
            <v>MDJA0401377GSIM</v>
          </cell>
          <cell r="B308" t="str">
            <v>MKP000631004900</v>
          </cell>
          <cell r="C308" t="str">
            <v/>
          </cell>
          <cell r="D308" t="str">
            <v>Conjunto Sala de Jantar Mesa Tampo de Madeira 4 Cadeiras Rustic/Crema/Imperial Livia Madesa</v>
          </cell>
          <cell r="E308" t="str">
            <v>LIVIA</v>
          </cell>
          <cell r="F308" t="str">
            <v>SALA DE JANTAR</v>
          </cell>
          <cell r="G308">
            <v>4256</v>
          </cell>
          <cell r="H308">
            <v>1119.99</v>
          </cell>
          <cell r="I308">
            <v>1069.99</v>
          </cell>
          <cell r="J308">
            <v>740.6114</v>
          </cell>
          <cell r="K308">
            <v>0</v>
          </cell>
          <cell r="L308">
            <v>740.6114</v>
          </cell>
          <cell r="M308">
            <v>0</v>
          </cell>
          <cell r="N308">
            <v>1069.99</v>
          </cell>
          <cell r="O308" t="str">
            <v>WEB (MADEIRA)</v>
          </cell>
          <cell r="P308">
            <v>1069.99</v>
          </cell>
          <cell r="Q308">
            <v>0.44473876583590199</v>
          </cell>
          <cell r="R308">
            <v>0.44473876583590199</v>
          </cell>
          <cell r="S308" t="e">
            <v>#VALUE!</v>
          </cell>
          <cell r="T308" t="e">
            <v>#VALUE!</v>
          </cell>
        </row>
        <row r="309">
          <cell r="A309" t="str">
            <v>MDJA0400217GPER</v>
          </cell>
          <cell r="B309" t="str">
            <v>MKP000631000066</v>
          </cell>
          <cell r="C309" t="str">
            <v/>
          </cell>
          <cell r="D309" t="str">
            <v>Conjunto Sala de Jantar Madesa Alana Mesa Tampo de Madeira com 4 Cadeiras Rustic/Crema/Sintético Bege</v>
          </cell>
          <cell r="E309" t="str">
            <v>ALANA</v>
          </cell>
          <cell r="F309" t="str">
            <v>SALA DE JANTAR</v>
          </cell>
          <cell r="G309" t="str">
            <v>4291X</v>
          </cell>
          <cell r="H309">
            <v>1239.99</v>
          </cell>
          <cell r="I309">
            <v>549.99</v>
          </cell>
          <cell r="J309">
            <v>400.66219999999998</v>
          </cell>
          <cell r="K309">
            <v>0</v>
          </cell>
          <cell r="L309">
            <v>400.66219999999998</v>
          </cell>
          <cell r="M309">
            <v>0</v>
          </cell>
          <cell r="N309">
            <v>549.99</v>
          </cell>
          <cell r="O309" t="str">
            <v>B2W</v>
          </cell>
          <cell r="P309">
            <v>519.99</v>
          </cell>
          <cell r="Q309">
            <v>0.37270249102610598</v>
          </cell>
          <cell r="R309">
            <v>0.37270249102610598</v>
          </cell>
          <cell r="S309" t="e">
            <v>#VALUE!</v>
          </cell>
          <cell r="T309" t="e">
            <v>#VALUE!</v>
          </cell>
        </row>
        <row r="310">
          <cell r="A310" t="str">
            <v>GREM1370037K</v>
          </cell>
          <cell r="B310" t="str">
            <v>MKP000631001815</v>
          </cell>
          <cell r="C310" t="str">
            <v/>
          </cell>
          <cell r="D310" t="str">
            <v>Armário de Cozinha Compacta 137cm Rustic/Preto Emilly Gold Madesa 03</v>
          </cell>
          <cell r="E310" t="str">
            <v>GOLD/EMILLY</v>
          </cell>
          <cell r="F310" t="str">
            <v>COZINHA</v>
          </cell>
          <cell r="G310" t="str">
            <v/>
          </cell>
          <cell r="H310">
            <v>1399.99</v>
          </cell>
          <cell r="I310">
            <v>939.99</v>
          </cell>
          <cell r="J310">
            <v>675.21140000000003</v>
          </cell>
          <cell r="K310">
            <v>0</v>
          </cell>
          <cell r="L310">
            <v>675.21140000000003</v>
          </cell>
          <cell r="M310">
            <v>0</v>
          </cell>
          <cell r="N310">
            <v>939.99</v>
          </cell>
          <cell r="O310" t="str">
            <v>WEB (VIA)</v>
          </cell>
          <cell r="P310">
            <v>939.99</v>
          </cell>
          <cell r="Q310">
            <v>0.39214177959673102</v>
          </cell>
          <cell r="R310">
            <v>0.39214177959673102</v>
          </cell>
          <cell r="S310" t="e">
            <v>#VALUE!</v>
          </cell>
          <cell r="T310" t="e">
            <v>#VALUE!</v>
          </cell>
        </row>
        <row r="311">
          <cell r="A311" t="str">
            <v>MDJA0400345ZPT</v>
          </cell>
          <cell r="B311" t="str">
            <v>MKP000631000635</v>
          </cell>
          <cell r="C311" t="str">
            <v/>
          </cell>
          <cell r="D311" t="str">
            <v>Conjunto Sala de Jantar Madesa Anita Mesa Tampo de Vidro com 4 Cadeiras Rustic/Preto/Sintético Preto</v>
          </cell>
          <cell r="E311" t="str">
            <v>ANITA</v>
          </cell>
          <cell r="F311" t="str">
            <v>SALA DE JANTAR</v>
          </cell>
          <cell r="G311" t="str">
            <v>4280X</v>
          </cell>
          <cell r="H311">
            <v>779.99</v>
          </cell>
          <cell r="I311">
            <v>679.99</v>
          </cell>
          <cell r="J311">
            <v>519.41769999999997</v>
          </cell>
          <cell r="K311">
            <v>0</v>
          </cell>
          <cell r="L311">
            <v>519.41769999999997</v>
          </cell>
          <cell r="M311">
            <v>0</v>
          </cell>
          <cell r="N311">
            <v>679.99</v>
          </cell>
          <cell r="O311" t="str">
            <v>VIA</v>
          </cell>
          <cell r="P311">
            <v>679.99</v>
          </cell>
          <cell r="Q311">
            <v>0.30913906091378901</v>
          </cell>
          <cell r="R311">
            <v>0.30913906091378901</v>
          </cell>
          <cell r="S311" t="e">
            <v>#VALUE!</v>
          </cell>
          <cell r="T311" t="e">
            <v>#VALUE!</v>
          </cell>
        </row>
        <row r="312">
          <cell r="A312" t="str">
            <v>GRRM25000109</v>
          </cell>
          <cell r="B312" t="str">
            <v>MKP000631002232</v>
          </cell>
          <cell r="C312" t="str">
            <v/>
          </cell>
          <cell r="D312" t="str">
            <v>Armário de Cozinha Completa 250cm Branco Reims Madesa 01</v>
          </cell>
          <cell r="E312" t="str">
            <v>REIMS</v>
          </cell>
          <cell r="F312" t="str">
            <v>COZINHA</v>
          </cell>
          <cell r="G312" t="str">
            <v/>
          </cell>
          <cell r="H312">
            <v>2859.99</v>
          </cell>
          <cell r="I312">
            <v>1679.99</v>
          </cell>
          <cell r="J312">
            <v>1285.1099999999999</v>
          </cell>
          <cell r="K312">
            <v>0</v>
          </cell>
          <cell r="L312">
            <v>1285.1099999999999</v>
          </cell>
          <cell r="M312">
            <v>0</v>
          </cell>
          <cell r="N312">
            <v>1679.99</v>
          </cell>
          <cell r="O312" t="str">
            <v>WEB (VIA)</v>
          </cell>
          <cell r="P312">
            <v>1679.99</v>
          </cell>
          <cell r="Q312">
            <v>0.30727330734334002</v>
          </cell>
          <cell r="R312">
            <v>0.30727330734334002</v>
          </cell>
          <cell r="S312" t="e">
            <v>#VALUE!</v>
          </cell>
          <cell r="T312" t="e">
            <v>#VALUE!</v>
          </cell>
        </row>
        <row r="313">
          <cell r="A313" t="str">
            <v>044745ZXTLIB</v>
          </cell>
          <cell r="B313" t="str">
            <v>MKP000631000061</v>
          </cell>
          <cell r="C313" t="str">
            <v/>
          </cell>
          <cell r="D313" t="str">
            <v>Conjunto Sala de Jantar Lexy Madesa Mesa Tampo de Madeira com 4 Cadeiras Rustic/Floral Lírio Bege</v>
          </cell>
          <cell r="E313" t="str">
            <v>LEXY</v>
          </cell>
          <cell r="F313" t="str">
            <v>SALA DE JANTAR</v>
          </cell>
          <cell r="G313" t="str">
            <v>4290X</v>
          </cell>
          <cell r="H313">
            <v>869.99</v>
          </cell>
          <cell r="I313">
            <v>579.99</v>
          </cell>
          <cell r="J313">
            <v>396.20409999999998</v>
          </cell>
          <cell r="K313">
            <v>0</v>
          </cell>
          <cell r="L313">
            <v>396.20409999999998</v>
          </cell>
          <cell r="M313">
            <v>0</v>
          </cell>
          <cell r="N313">
            <v>579.99</v>
          </cell>
          <cell r="O313" t="str">
            <v>WEB (B2W)/VIA</v>
          </cell>
          <cell r="P313">
            <v>579.99</v>
          </cell>
          <cell r="Q313">
            <v>0.46386672929432099</v>
          </cell>
          <cell r="R313">
            <v>0.46386672929432099</v>
          </cell>
          <cell r="S313" t="e">
            <v>#VALUE!</v>
          </cell>
          <cell r="T313" t="e">
            <v>#VALUE!</v>
          </cell>
        </row>
        <row r="314">
          <cell r="A314" t="str">
            <v>GRRM240001D8</v>
          </cell>
          <cell r="B314" t="str">
            <v>MKP000631001762</v>
          </cell>
          <cell r="C314" t="str">
            <v/>
          </cell>
          <cell r="D314" t="str">
            <v>Armário de Cozinha Completa 240cm Preto/Rustic Reims Madesa 01</v>
          </cell>
          <cell r="E314" t="str">
            <v>REIMS</v>
          </cell>
          <cell r="F314" t="str">
            <v>COZINHA</v>
          </cell>
          <cell r="G314" t="str">
            <v/>
          </cell>
          <cell r="H314">
            <v>2139.9899999999998</v>
          </cell>
          <cell r="I314">
            <v>1239.92</v>
          </cell>
          <cell r="J314">
            <v>1073.4211</v>
          </cell>
          <cell r="K314">
            <v>0</v>
          </cell>
          <cell r="L314">
            <v>1073.4211</v>
          </cell>
          <cell r="M314">
            <v>0</v>
          </cell>
          <cell r="N314">
            <v>1239.92</v>
          </cell>
          <cell r="O314" t="str">
            <v/>
          </cell>
          <cell r="P314">
            <v>0</v>
          </cell>
          <cell r="Q314">
            <v>0.155110515342022</v>
          </cell>
          <cell r="R314">
            <v>0.155110515342022</v>
          </cell>
          <cell r="S314" t="e">
            <v>#VALUE!</v>
          </cell>
          <cell r="T314" t="e">
            <v>#VALUE!</v>
          </cell>
        </row>
        <row r="315">
          <cell r="A315" t="str">
            <v>GRTP240002C7</v>
          </cell>
          <cell r="B315" t="str">
            <v>MKP000631001053</v>
          </cell>
          <cell r="C315" t="str">
            <v/>
          </cell>
          <cell r="D315" t="str">
            <v>Armário de Cozinha Completa 240cm Branco/Preto/Branco Diamante Madesa 02</v>
          </cell>
          <cell r="E315" t="str">
            <v>DIAMANTE</v>
          </cell>
          <cell r="F315" t="str">
            <v>COZINHA</v>
          </cell>
          <cell r="G315" t="str">
            <v/>
          </cell>
          <cell r="H315">
            <v>1299.99</v>
          </cell>
          <cell r="I315">
            <v>1199.99</v>
          </cell>
          <cell r="J315">
            <v>971.64779999999996</v>
          </cell>
          <cell r="K315">
            <v>0</v>
          </cell>
          <cell r="L315">
            <v>971.64779999999996</v>
          </cell>
          <cell r="M315">
            <v>0</v>
          </cell>
          <cell r="N315">
            <v>1199.99</v>
          </cell>
          <cell r="O315" t="str">
            <v/>
          </cell>
          <cell r="P315">
            <v>0</v>
          </cell>
          <cell r="Q315">
            <v>0.235005111934592</v>
          </cell>
          <cell r="R315">
            <v>0.235005111934592</v>
          </cell>
          <cell r="S315" t="e">
            <v>#VALUE!</v>
          </cell>
          <cell r="T315" t="e">
            <v>#VALUE!</v>
          </cell>
        </row>
        <row r="316">
          <cell r="A316" t="str">
            <v>XAGREM1370027K</v>
          </cell>
          <cell r="B316" t="str">
            <v>MKP000631003286</v>
          </cell>
          <cell r="C316" t="str">
            <v/>
          </cell>
          <cell r="D316" t="str">
            <v>Armário de Cozinha Compacta Madesa Emilly Force com Balcão e Paneleiro Rustic/Preto</v>
          </cell>
          <cell r="E316" t="str">
            <v>FORCE/EMILLY</v>
          </cell>
          <cell r="F316" t="str">
            <v>COZINHA</v>
          </cell>
          <cell r="G316" t="str">
            <v/>
          </cell>
          <cell r="H316">
            <v>1039.99</v>
          </cell>
          <cell r="I316">
            <v>919.92</v>
          </cell>
          <cell r="J316">
            <v>681.82770000000005</v>
          </cell>
          <cell r="K316">
            <v>0</v>
          </cell>
          <cell r="L316">
            <v>681.82770000000005</v>
          </cell>
          <cell r="M316">
            <v>0</v>
          </cell>
          <cell r="N316">
            <v>919.92</v>
          </cell>
          <cell r="O316" t="str">
            <v/>
          </cell>
          <cell r="P316">
            <v>0</v>
          </cell>
          <cell r="Q316">
            <v>0.34919716520757399</v>
          </cell>
          <cell r="R316">
            <v>0.34919716520757399</v>
          </cell>
          <cell r="S316" t="e">
            <v>#VALUE!</v>
          </cell>
          <cell r="T316" t="e">
            <v>#VALUE!</v>
          </cell>
        </row>
        <row r="317">
          <cell r="A317" t="str">
            <v>XAGRLX2400059N</v>
          </cell>
          <cell r="B317" t="str">
            <v>MKP000631005331</v>
          </cell>
          <cell r="C317" t="str">
            <v/>
          </cell>
          <cell r="D317" t="str">
            <v>Armário de Cozinha Completa 240cm Rustic/Cinza Lux Madesa 05</v>
          </cell>
          <cell r="E317" t="str">
            <v>LUX</v>
          </cell>
          <cell r="F317" t="str">
            <v>COZINHA</v>
          </cell>
          <cell r="G317" t="str">
            <v/>
          </cell>
          <cell r="H317">
            <v>3449.99</v>
          </cell>
          <cell r="I317">
            <v>3349.99</v>
          </cell>
          <cell r="J317">
            <v>2550.6327000000001</v>
          </cell>
          <cell r="K317">
            <v>0</v>
          </cell>
          <cell r="L317">
            <v>2550.6327000000001</v>
          </cell>
          <cell r="M317">
            <v>0</v>
          </cell>
          <cell r="N317">
            <v>3349.99</v>
          </cell>
          <cell r="O317" t="str">
            <v/>
          </cell>
          <cell r="P317">
            <v>0</v>
          </cell>
          <cell r="Q317">
            <v>0.31339569197869999</v>
          </cell>
          <cell r="R317">
            <v>0.31339569197869999</v>
          </cell>
          <cell r="S317" t="e">
            <v>#VALUE!</v>
          </cell>
          <cell r="T317" t="e">
            <v>#VALUE!</v>
          </cell>
        </row>
        <row r="318">
          <cell r="A318" t="str">
            <v>XAGCRM40200209</v>
          </cell>
          <cell r="B318" t="str">
            <v>MKP000631003298</v>
          </cell>
          <cell r="C318" t="str">
            <v/>
          </cell>
          <cell r="D318" t="str">
            <v>Armário de Cozinha Completa de Canto 402cm Branco Reims Madesa XA02</v>
          </cell>
          <cell r="E318" t="str">
            <v>REIMS</v>
          </cell>
          <cell r="F318" t="str">
            <v>COZINHA</v>
          </cell>
          <cell r="G318" t="str">
            <v/>
          </cell>
          <cell r="H318">
            <v>2739.99</v>
          </cell>
          <cell r="I318">
            <v>1759.92</v>
          </cell>
          <cell r="J318">
            <v>1529.1610000000001</v>
          </cell>
          <cell r="K318">
            <v>0</v>
          </cell>
          <cell r="L318">
            <v>1529.1610000000001</v>
          </cell>
          <cell r="M318">
            <v>0</v>
          </cell>
          <cell r="N318">
            <v>1759.92</v>
          </cell>
          <cell r="O318" t="str">
            <v/>
          </cell>
          <cell r="P318">
            <v>0</v>
          </cell>
          <cell r="Q318">
            <v>0.15090562733420501</v>
          </cell>
          <cell r="R318">
            <v>0.15090562733420501</v>
          </cell>
          <cell r="S318" t="e">
            <v>#VALUE!</v>
          </cell>
          <cell r="T318" t="e">
            <v>#VALUE!</v>
          </cell>
        </row>
        <row r="319">
          <cell r="A319" t="str">
            <v>10445ZA1ECP</v>
          </cell>
          <cell r="B319" t="str">
            <v>MKP000631000134</v>
          </cell>
          <cell r="C319" t="str">
            <v/>
          </cell>
          <cell r="D319" t="str">
            <v>Guarda-Roupa Solteiro Madesa Luke 2 Portas de Correr com Espelho com Pés Rustic</v>
          </cell>
          <cell r="E319" t="str">
            <v>LUKE</v>
          </cell>
          <cell r="F319" t="str">
            <v>QUARTO</v>
          </cell>
          <cell r="G319" t="str">
            <v/>
          </cell>
          <cell r="H319">
            <v>1109.99</v>
          </cell>
          <cell r="I319">
            <v>969.92</v>
          </cell>
          <cell r="J319">
            <v>743.91409999999996</v>
          </cell>
          <cell r="K319">
            <v>0</v>
          </cell>
          <cell r="L319">
            <v>743.91409999999996</v>
          </cell>
          <cell r="M319">
            <v>0</v>
          </cell>
          <cell r="N319">
            <v>969.92</v>
          </cell>
          <cell r="O319" t="str">
            <v/>
          </cell>
          <cell r="P319">
            <v>0</v>
          </cell>
          <cell r="Q319">
            <v>0.30380644754548902</v>
          </cell>
          <cell r="R319">
            <v>0.30380644754548902</v>
          </cell>
          <cell r="S319" t="e">
            <v>#VALUE!</v>
          </cell>
          <cell r="T319" t="e">
            <v>#VALUE!</v>
          </cell>
        </row>
        <row r="320">
          <cell r="A320" t="str">
            <v>GRSM300001A9</v>
          </cell>
          <cell r="B320" t="str">
            <v>MKP000631001778</v>
          </cell>
          <cell r="C320" t="str">
            <v/>
          </cell>
          <cell r="D320" t="str">
            <v>Armário de Cozinha Completa 100% MDF 300 cm Branco/Rustic/Crema Smart Madesa 01</v>
          </cell>
          <cell r="E320" t="str">
            <v>SMART</v>
          </cell>
          <cell r="F320" t="str">
            <v>COZINHA</v>
          </cell>
          <cell r="G320" t="str">
            <v/>
          </cell>
          <cell r="H320">
            <v>2859.99</v>
          </cell>
          <cell r="I320">
            <v>2169.9899999999998</v>
          </cell>
          <cell r="J320">
            <v>1648.9738</v>
          </cell>
          <cell r="K320">
            <v>0</v>
          </cell>
          <cell r="L320">
            <v>1648.9738</v>
          </cell>
          <cell r="M320">
            <v>0</v>
          </cell>
          <cell r="N320">
            <v>2169.9899999999998</v>
          </cell>
          <cell r="O320" t="str">
            <v>MAGALU</v>
          </cell>
          <cell r="P320">
            <v>2105.25</v>
          </cell>
          <cell r="Q320">
            <v>0.31596390433856503</v>
          </cell>
          <cell r="R320">
            <v>0.31596390433856503</v>
          </cell>
          <cell r="S320" t="e">
            <v>#VALUE!</v>
          </cell>
          <cell r="T320" t="e">
            <v>#VALUE!</v>
          </cell>
        </row>
        <row r="321">
          <cell r="A321" t="str">
            <v>XC94098N</v>
          </cell>
          <cell r="B321" t="str">
            <v>MKP000631004132</v>
          </cell>
          <cell r="C321" t="str">
            <v/>
          </cell>
          <cell r="D321" t="str">
            <v>Mesa para Computador Gamer Escrivaninha 9409 Madesa Preto</v>
          </cell>
          <cell r="E321" t="str">
            <v>GAMER</v>
          </cell>
          <cell r="F321" t="str">
            <v>ESCRITÓRIO</v>
          </cell>
          <cell r="G321" t="str">
            <v/>
          </cell>
          <cell r="H321">
            <v>469.99</v>
          </cell>
          <cell r="I321">
            <v>359.99</v>
          </cell>
          <cell r="J321">
            <v>224.06039999999999</v>
          </cell>
          <cell r="K321">
            <v>0</v>
          </cell>
          <cell r="L321">
            <v>224.06039999999999</v>
          </cell>
          <cell r="M321">
            <v>0</v>
          </cell>
          <cell r="N321">
            <v>359.99</v>
          </cell>
          <cell r="O321" t="str">
            <v>MELI</v>
          </cell>
          <cell r="P321" t="str">
            <v/>
          </cell>
          <cell r="Q321">
            <v>0.60666498854773099</v>
          </cell>
          <cell r="R321">
            <v>0.60666498854773099</v>
          </cell>
          <cell r="S321" t="e">
            <v>#VALUE!</v>
          </cell>
          <cell r="T321" t="e">
            <v>#VALUE!</v>
          </cell>
        </row>
        <row r="322">
          <cell r="A322" t="str">
            <v>GCGM3890029B</v>
          </cell>
          <cell r="B322" t="str">
            <v>MKP000631004304</v>
          </cell>
          <cell r="C322" t="str">
            <v/>
          </cell>
          <cell r="D322" t="str">
            <v>Armário de Cozinha Completa de Canto 100% MDF 389cm Branco/Rustic Acordes Madesa 02</v>
          </cell>
          <cell r="E322" t="str">
            <v>ACORDES</v>
          </cell>
          <cell r="F322" t="str">
            <v>COZINHA</v>
          </cell>
          <cell r="G322" t="str">
            <v/>
          </cell>
          <cell r="H322">
            <v>3489.99</v>
          </cell>
          <cell r="I322">
            <v>2769.92</v>
          </cell>
          <cell r="J322">
            <v>2247.3728999999998</v>
          </cell>
          <cell r="K322">
            <v>0</v>
          </cell>
          <cell r="L322">
            <v>2247.3728999999998</v>
          </cell>
          <cell r="M322">
            <v>0</v>
          </cell>
          <cell r="N322">
            <v>2769.92</v>
          </cell>
          <cell r="O322" t="str">
            <v/>
          </cell>
          <cell r="P322">
            <v>0</v>
          </cell>
          <cell r="Q322">
            <v>0.232514639648809</v>
          </cell>
          <cell r="R322">
            <v>0.232514639648809</v>
          </cell>
          <cell r="S322" t="e">
            <v>#VALUE!</v>
          </cell>
          <cell r="T322" t="e">
            <v>#VALUE!</v>
          </cell>
        </row>
        <row r="323">
          <cell r="A323" t="str">
            <v>GRRM25000609</v>
          </cell>
          <cell r="B323" t="str">
            <v>MKP000631005006</v>
          </cell>
          <cell r="C323" t="str">
            <v/>
          </cell>
          <cell r="D323" t="str">
            <v>Armário de Cozinha Completa 250cm Branco Reims Madesa 06</v>
          </cell>
          <cell r="E323" t="str">
            <v>REIMS</v>
          </cell>
          <cell r="F323" t="str">
            <v>COZINHA</v>
          </cell>
          <cell r="G323" t="str">
            <v/>
          </cell>
          <cell r="H323">
            <v>1399.99</v>
          </cell>
          <cell r="I323">
            <v>1169.99</v>
          </cell>
          <cell r="J323">
            <v>1000.7181</v>
          </cell>
          <cell r="K323">
            <v>0</v>
          </cell>
          <cell r="L323">
            <v>1000.7181</v>
          </cell>
          <cell r="M323">
            <v>0</v>
          </cell>
          <cell r="N323">
            <v>1169.99</v>
          </cell>
          <cell r="O323" t="str">
            <v>WEB</v>
          </cell>
          <cell r="P323">
            <v>1169.99</v>
          </cell>
          <cell r="Q323">
            <v>0.16915043307400901</v>
          </cell>
          <cell r="R323">
            <v>0.16915043307400901</v>
          </cell>
          <cell r="S323" t="e">
            <v>#VALUE!</v>
          </cell>
          <cell r="T323" t="e">
            <v>#VALUE!</v>
          </cell>
        </row>
        <row r="324">
          <cell r="A324" t="str">
            <v>MDJA040137F9SIL</v>
          </cell>
          <cell r="B324" t="str">
            <v>MKP000631005026</v>
          </cell>
          <cell r="C324" t="str">
            <v/>
          </cell>
          <cell r="D324" t="str">
            <v>Conjunto Sala de Jantar Mesa Tampo de Madeira 4 Cadeiras Rustic/Cinza/Silver Livia Madesa</v>
          </cell>
          <cell r="E324" t="str">
            <v>LIVIA</v>
          </cell>
          <cell r="F324" t="str">
            <v>SALA DE JANTAR</v>
          </cell>
          <cell r="G324">
            <v>4256</v>
          </cell>
          <cell r="H324">
            <v>1299.99</v>
          </cell>
          <cell r="I324">
            <v>1069.99</v>
          </cell>
          <cell r="J324">
            <v>740.6114</v>
          </cell>
          <cell r="K324">
            <v>0</v>
          </cell>
          <cell r="L324">
            <v>740.6114</v>
          </cell>
          <cell r="M324">
            <v>0</v>
          </cell>
          <cell r="N324">
            <v>1069.99</v>
          </cell>
          <cell r="O324" t="str">
            <v>WEB (MADEIRA)</v>
          </cell>
          <cell r="P324">
            <v>1069.99</v>
          </cell>
          <cell r="Q324">
            <v>0.44473876583590199</v>
          </cell>
          <cell r="R324">
            <v>0.44473876583590199</v>
          </cell>
          <cell r="S324" t="e">
            <v>#VALUE!</v>
          </cell>
          <cell r="T324" t="e">
            <v>#VALUE!</v>
          </cell>
        </row>
        <row r="325">
          <cell r="A325" t="str">
            <v>3435092</v>
          </cell>
          <cell r="B325" t="str">
            <v>MKP000631000529</v>
          </cell>
          <cell r="C325" t="str">
            <v/>
          </cell>
          <cell r="D325" t="str">
            <v>Cômoda Madesa Laura com 6 Gavetas Branco</v>
          </cell>
          <cell r="E325" t="str">
            <v>LAURA</v>
          </cell>
          <cell r="F325" t="str">
            <v>QUARTO</v>
          </cell>
          <cell r="G325" t="str">
            <v/>
          </cell>
          <cell r="H325">
            <v>1119.99</v>
          </cell>
          <cell r="I325">
            <v>619.99</v>
          </cell>
          <cell r="J325">
            <v>498.8603</v>
          </cell>
          <cell r="K325">
            <v>0</v>
          </cell>
          <cell r="L325">
            <v>498.8603</v>
          </cell>
          <cell r="M325">
            <v>0</v>
          </cell>
          <cell r="N325">
            <v>619.99</v>
          </cell>
          <cell r="O325" t="str">
            <v>LEROY</v>
          </cell>
          <cell r="P325">
            <v>599.99</v>
          </cell>
          <cell r="Q325">
            <v>0.24281286765052301</v>
          </cell>
          <cell r="R325">
            <v>0.24281286765052301</v>
          </cell>
          <cell r="S325" t="e">
            <v>#VALUE!</v>
          </cell>
          <cell r="T325" t="e">
            <v>#VALUE!</v>
          </cell>
        </row>
        <row r="326">
          <cell r="A326" t="str">
            <v>XAGRSM300001A9</v>
          </cell>
          <cell r="B326" t="str">
            <v>MKP000631003315</v>
          </cell>
          <cell r="C326" t="str">
            <v/>
          </cell>
          <cell r="D326" t="str">
            <v>Armário de Cozinha Completa 100% MDF 300 cm Branco/Rustic/Crema Smart Madesa XA01</v>
          </cell>
          <cell r="E326" t="str">
            <v>SMART</v>
          </cell>
          <cell r="F326" t="str">
            <v>COZINHA</v>
          </cell>
          <cell r="G326" t="str">
            <v/>
          </cell>
          <cell r="H326">
            <v>2729.99</v>
          </cell>
          <cell r="I326">
            <v>2119.9899999999998</v>
          </cell>
          <cell r="J326">
            <v>1648.9738</v>
          </cell>
          <cell r="K326">
            <v>0</v>
          </cell>
          <cell r="L326">
            <v>1648.9738</v>
          </cell>
          <cell r="M326">
            <v>0</v>
          </cell>
          <cell r="N326">
            <v>2119.9899999999998</v>
          </cell>
          <cell r="O326" t="str">
            <v>COLOMBO</v>
          </cell>
          <cell r="P326">
            <v>1879.99</v>
          </cell>
          <cell r="Q326">
            <v>0.28564201565846598</v>
          </cell>
          <cell r="R326">
            <v>0.28564201565846598</v>
          </cell>
          <cell r="S326" t="e">
            <v>#VALUE!</v>
          </cell>
          <cell r="T326" t="e">
            <v>#VALUE!</v>
          </cell>
        </row>
        <row r="327">
          <cell r="A327" t="str">
            <v>GRSM300001C9</v>
          </cell>
          <cell r="B327" t="str">
            <v>MKP000631003007</v>
          </cell>
          <cell r="C327" t="str">
            <v/>
          </cell>
          <cell r="D327" t="str">
            <v>Armário de Cozinha Completa 100% MDF 300 cm Frentes Branco Brilho Smart Madesa 01</v>
          </cell>
          <cell r="E327" t="str">
            <v>SMART</v>
          </cell>
          <cell r="F327" t="str">
            <v>COZINHA</v>
          </cell>
          <cell r="G327" t="str">
            <v/>
          </cell>
          <cell r="H327">
            <v>2859.99</v>
          </cell>
          <cell r="I327">
            <v>2119.9899999999998</v>
          </cell>
          <cell r="J327">
            <v>1648.9738</v>
          </cell>
          <cell r="K327">
            <v>0</v>
          </cell>
          <cell r="L327">
            <v>1648.9738</v>
          </cell>
          <cell r="M327">
            <v>0</v>
          </cell>
          <cell r="N327">
            <v>2119.9899999999998</v>
          </cell>
          <cell r="O327" t="str">
            <v>VIA/CARREFOUR</v>
          </cell>
          <cell r="P327">
            <v>1999.99</v>
          </cell>
          <cell r="Q327">
            <v>0.28564201565846598</v>
          </cell>
          <cell r="R327">
            <v>0.28564201565846598</v>
          </cell>
          <cell r="S327" t="e">
            <v>#VALUE!</v>
          </cell>
          <cell r="T327" t="e">
            <v>#VALUE!</v>
          </cell>
        </row>
        <row r="328">
          <cell r="A328" t="str">
            <v>106309</v>
          </cell>
          <cell r="B328" t="str">
            <v>MKP000631000130</v>
          </cell>
          <cell r="C328" t="str">
            <v/>
          </cell>
          <cell r="D328" t="str">
            <v>Guarda-Roupa Casal 100% MDF Madesa Royale 3 Portas de Correr Branco</v>
          </cell>
          <cell r="E328" t="str">
            <v>ROYALE</v>
          </cell>
          <cell r="F328" t="str">
            <v>QUARTO</v>
          </cell>
          <cell r="G328" t="str">
            <v/>
          </cell>
          <cell r="H328">
            <v>2959.99</v>
          </cell>
          <cell r="I328">
            <v>1879.99</v>
          </cell>
          <cell r="J328">
            <v>1551.3534</v>
          </cell>
          <cell r="K328">
            <v>0</v>
          </cell>
          <cell r="L328">
            <v>1551.3534</v>
          </cell>
          <cell r="M328">
            <v>0</v>
          </cell>
          <cell r="N328">
            <v>1879.99</v>
          </cell>
          <cell r="O328" t="str">
            <v>LOJA</v>
          </cell>
          <cell r="P328">
            <v>1859.99</v>
          </cell>
          <cell r="Q328">
            <v>0.21183864359984</v>
          </cell>
          <cell r="R328">
            <v>0.21183864359984</v>
          </cell>
          <cell r="S328" t="e">
            <v>#VALUE!</v>
          </cell>
          <cell r="T328" t="e">
            <v>#VALUE!</v>
          </cell>
        </row>
        <row r="329">
          <cell r="A329" t="str">
            <v>10939B2E</v>
          </cell>
          <cell r="B329" t="str">
            <v>MKP000631001861</v>
          </cell>
          <cell r="C329" t="str">
            <v/>
          </cell>
          <cell r="D329" t="str">
            <v>Guarda-Roupa Casal Madesa Mônaco 3 Portas de Correr com Espelhos Branco/Rustic</v>
          </cell>
          <cell r="E329" t="str">
            <v>MÔNACO</v>
          </cell>
          <cell r="F329" t="str">
            <v>QUARTO</v>
          </cell>
          <cell r="G329" t="str">
            <v/>
          </cell>
          <cell r="H329">
            <v>1199.99</v>
          </cell>
          <cell r="I329">
            <v>1079.92</v>
          </cell>
          <cell r="J329">
            <v>880.70910000000003</v>
          </cell>
          <cell r="K329">
            <v>0</v>
          </cell>
          <cell r="L329">
            <v>880.70910000000003</v>
          </cell>
          <cell r="M329">
            <v>0</v>
          </cell>
          <cell r="N329">
            <v>1079.92</v>
          </cell>
          <cell r="O329" t="str">
            <v/>
          </cell>
          <cell r="P329">
            <v>0</v>
          </cell>
          <cell r="Q329">
            <v>0.22619375682617601</v>
          </cell>
          <cell r="R329">
            <v>0.22619375682617601</v>
          </cell>
          <cell r="S329" t="e">
            <v>#VALUE!</v>
          </cell>
          <cell r="T329" t="e">
            <v>#VALUE!</v>
          </cell>
        </row>
        <row r="330">
          <cell r="A330" t="str">
            <v>1065092ECP</v>
          </cell>
          <cell r="B330" t="str">
            <v>MKP000631000249</v>
          </cell>
          <cell r="C330" t="str">
            <v/>
          </cell>
          <cell r="D330" t="str">
            <v>Guarda-Roupa Casal Madesa Montana 4 Portas de Correr Com Espelho Com Pés-Branco</v>
          </cell>
          <cell r="E330" t="str">
            <v>MONTANA</v>
          </cell>
          <cell r="F330" t="str">
            <v>QUARTO</v>
          </cell>
          <cell r="G330" t="str">
            <v/>
          </cell>
          <cell r="H330">
            <v>2919.99</v>
          </cell>
          <cell r="I330">
            <v>2759.92</v>
          </cell>
          <cell r="J330">
            <v>2182.2345</v>
          </cell>
          <cell r="K330">
            <v>0</v>
          </cell>
          <cell r="L330">
            <v>2182.2345</v>
          </cell>
          <cell r="M330">
            <v>0</v>
          </cell>
          <cell r="N330">
            <v>2759.92</v>
          </cell>
          <cell r="O330" t="str">
            <v/>
          </cell>
          <cell r="P330">
            <v>0</v>
          </cell>
          <cell r="Q330">
            <v>0.264722008565074</v>
          </cell>
          <cell r="R330">
            <v>0.264722008565074</v>
          </cell>
          <cell r="S330" t="e">
            <v>#VALUE!</v>
          </cell>
          <cell r="T330" t="e">
            <v>#VALUE!</v>
          </cell>
        </row>
        <row r="331">
          <cell r="A331" t="str">
            <v>GREM2290039B</v>
          </cell>
          <cell r="B331" t="str">
            <v>MKP000631000379</v>
          </cell>
          <cell r="C331" t="str">
            <v/>
          </cell>
          <cell r="D331" t="str">
            <v>Armário de Cozinha Completa 229cm Rustic/Branco Emilly Fit Madesa 03</v>
          </cell>
          <cell r="E331" t="str">
            <v>FIT/EMILLY</v>
          </cell>
          <cell r="F331" t="str">
            <v>COZINHA</v>
          </cell>
          <cell r="G331" t="str">
            <v/>
          </cell>
          <cell r="H331">
            <v>1319.99</v>
          </cell>
          <cell r="I331">
            <v>799.99</v>
          </cell>
          <cell r="J331">
            <v>587.28110000000004</v>
          </cell>
          <cell r="K331">
            <v>0</v>
          </cell>
          <cell r="L331">
            <v>587.28110000000004</v>
          </cell>
          <cell r="M331">
            <v>0</v>
          </cell>
          <cell r="N331">
            <v>799.99</v>
          </cell>
          <cell r="O331" t="str">
            <v>VIA</v>
          </cell>
          <cell r="P331">
            <v>749.99</v>
          </cell>
          <cell r="Q331">
            <v>0.36219265356913399</v>
          </cell>
          <cell r="R331">
            <v>0.36219265356913399</v>
          </cell>
          <cell r="S331" t="e">
            <v>#VALUE!</v>
          </cell>
          <cell r="T331" t="e">
            <v>#VALUE!</v>
          </cell>
        </row>
        <row r="332">
          <cell r="A332" t="str">
            <v>106509CP</v>
          </cell>
          <cell r="B332" t="str">
            <v>MKP000631000250</v>
          </cell>
          <cell r="C332" t="str">
            <v/>
          </cell>
          <cell r="D332" t="str">
            <v>Guarda-Roupa Casal Madesa Montana 4 Portas de Correr de Madeira Com Pés Branco</v>
          </cell>
          <cell r="E332" t="str">
            <v>MONTANA</v>
          </cell>
          <cell r="F332" t="str">
            <v>QUARTO</v>
          </cell>
          <cell r="G332" t="str">
            <v/>
          </cell>
          <cell r="H332">
            <v>3219.99</v>
          </cell>
          <cell r="I332">
            <v>2339.9899999999998</v>
          </cell>
          <cell r="J332">
            <v>1781.1581000000001</v>
          </cell>
          <cell r="K332">
            <v>0</v>
          </cell>
          <cell r="L332">
            <v>1781.1581000000001</v>
          </cell>
          <cell r="M332">
            <v>0</v>
          </cell>
          <cell r="N332">
            <v>2339.9899999999998</v>
          </cell>
          <cell r="O332" t="str">
            <v>MADEIRAMADEIRA</v>
          </cell>
          <cell r="P332">
            <v>2159.9899999999998</v>
          </cell>
          <cell r="Q332">
            <v>0.313746376584987</v>
          </cell>
          <cell r="R332">
            <v>0.313746376584987</v>
          </cell>
          <cell r="S332" t="e">
            <v>#VALUE!</v>
          </cell>
          <cell r="T332" t="e">
            <v>#VALUE!</v>
          </cell>
        </row>
        <row r="333">
          <cell r="A333" t="str">
            <v>1082091ECP</v>
          </cell>
          <cell r="B333" t="str">
            <v>MKP000631000255</v>
          </cell>
          <cell r="C333" t="str">
            <v/>
          </cell>
          <cell r="D333" t="str">
            <v>Guarda-Roupa Casal Madesa Napoli 3 Portas de Correr Central com Espelho com Pés Branco</v>
          </cell>
          <cell r="E333" t="str">
            <v>NAPOLI</v>
          </cell>
          <cell r="F333" t="str">
            <v>QUARTO</v>
          </cell>
          <cell r="G333" t="str">
            <v/>
          </cell>
          <cell r="H333">
            <v>2769.99</v>
          </cell>
          <cell r="I333">
            <v>1519.99</v>
          </cell>
          <cell r="J333">
            <v>1154.31</v>
          </cell>
          <cell r="K333">
            <v>0</v>
          </cell>
          <cell r="L333">
            <v>1154.31</v>
          </cell>
          <cell r="M333">
            <v>0</v>
          </cell>
          <cell r="N333">
            <v>1519.99</v>
          </cell>
          <cell r="O333" t="str">
            <v>MADEIRAMADEIRA</v>
          </cell>
          <cell r="P333">
            <v>1399.99</v>
          </cell>
          <cell r="Q333">
            <v>0.31679531495005703</v>
          </cell>
          <cell r="R333">
            <v>0.31679531495005703</v>
          </cell>
          <cell r="S333" t="e">
            <v>#VALUE!</v>
          </cell>
          <cell r="T333" t="e">
            <v>#VALUE!</v>
          </cell>
        </row>
        <row r="334">
          <cell r="A334" t="str">
            <v>10939B1ECP</v>
          </cell>
          <cell r="B334" t="str">
            <v>MKP000631001068</v>
          </cell>
          <cell r="C334" t="str">
            <v/>
          </cell>
          <cell r="D334" t="str">
            <v>Guarda-Roupa Casal Madesa Mônaco 3 Portas de Correr com Espelho com Pés Branco/Rustic</v>
          </cell>
          <cell r="E334" t="str">
            <v>MÔNACO</v>
          </cell>
          <cell r="F334" t="str">
            <v>QUARTO</v>
          </cell>
          <cell r="G334" t="str">
            <v/>
          </cell>
          <cell r="H334">
            <v>1129.99</v>
          </cell>
          <cell r="I334">
            <v>989.92</v>
          </cell>
          <cell r="J334">
            <v>796.96439999999996</v>
          </cell>
          <cell r="K334">
            <v>0</v>
          </cell>
          <cell r="L334">
            <v>796.96439999999996</v>
          </cell>
          <cell r="M334">
            <v>0</v>
          </cell>
          <cell r="N334">
            <v>989.92</v>
          </cell>
          <cell r="O334" t="str">
            <v/>
          </cell>
          <cell r="P334">
            <v>0</v>
          </cell>
          <cell r="Q334">
            <v>0.242113198531829</v>
          </cell>
          <cell r="R334">
            <v>0.242113198531829</v>
          </cell>
          <cell r="S334" t="e">
            <v>#VALUE!</v>
          </cell>
          <cell r="T334" t="e">
            <v>#VALUE!</v>
          </cell>
        </row>
        <row r="335">
          <cell r="A335" t="str">
            <v>1063093ECP</v>
          </cell>
          <cell r="B335" t="str">
            <v>MKP000631000346</v>
          </cell>
          <cell r="C335" t="str">
            <v/>
          </cell>
          <cell r="D335" t="str">
            <v>Guarda-Roupa Casal 100% MDF Madesa Royale 3 Portas de Correr de Espelho com Pés Branco</v>
          </cell>
          <cell r="E335" t="str">
            <v>ROYALE</v>
          </cell>
          <cell r="F335" t="str">
            <v>QUARTO</v>
          </cell>
          <cell r="G335" t="str">
            <v/>
          </cell>
          <cell r="H335">
            <v>4129.99</v>
          </cell>
          <cell r="I335">
            <v>2839.99</v>
          </cell>
          <cell r="J335">
            <v>2321.3184999999999</v>
          </cell>
          <cell r="K335">
            <v>0</v>
          </cell>
          <cell r="L335">
            <v>2321.3184999999999</v>
          </cell>
          <cell r="M335">
            <v>0</v>
          </cell>
          <cell r="N335">
            <v>2839.99</v>
          </cell>
          <cell r="O335" t="str">
            <v>IMPÉRIO</v>
          </cell>
          <cell r="P335">
            <v>2799</v>
          </cell>
          <cell r="Q335">
            <v>0.22343831749068399</v>
          </cell>
          <cell r="R335">
            <v>0.22343831749068399</v>
          </cell>
          <cell r="S335" t="e">
            <v>#VALUE!</v>
          </cell>
          <cell r="T335" t="e">
            <v>#VALUE!</v>
          </cell>
        </row>
        <row r="336">
          <cell r="A336" t="str">
            <v>109309</v>
          </cell>
          <cell r="B336" t="str">
            <v>MKP000631000457</v>
          </cell>
          <cell r="C336" t="str">
            <v/>
          </cell>
          <cell r="D336" t="str">
            <v>Guarda-Roupa Casal Madesa Mônaco 3 Portas de Correr Branco</v>
          </cell>
          <cell r="E336" t="str">
            <v>MÔNACO</v>
          </cell>
          <cell r="F336" t="str">
            <v>QUARTO</v>
          </cell>
          <cell r="G336" t="str">
            <v/>
          </cell>
          <cell r="H336">
            <v>1459.99</v>
          </cell>
          <cell r="I336">
            <v>869.99</v>
          </cell>
          <cell r="J336">
            <v>620.85310000000004</v>
          </cell>
          <cell r="K336">
            <v>0</v>
          </cell>
          <cell r="L336">
            <v>620.85310000000004</v>
          </cell>
          <cell r="M336">
            <v>0</v>
          </cell>
          <cell r="N336">
            <v>869.99</v>
          </cell>
          <cell r="O336" t="str">
            <v>IMPÉRIO</v>
          </cell>
          <cell r="P336">
            <v>859</v>
          </cell>
          <cell r="Q336">
            <v>0.40128155919653102</v>
          </cell>
          <cell r="R336">
            <v>0.40128155919653102</v>
          </cell>
          <cell r="S336" t="e">
            <v>#VALUE!</v>
          </cell>
          <cell r="T336" t="e">
            <v>#VALUE!</v>
          </cell>
        </row>
        <row r="337">
          <cell r="A337" t="str">
            <v>6019091</v>
          </cell>
          <cell r="B337" t="str">
            <v>MKP000631000174</v>
          </cell>
          <cell r="C337" t="str">
            <v/>
          </cell>
          <cell r="D337" t="str">
            <v>Rack para TV até 55 Polegadas Madesa Oslo com 2 Portas Branco</v>
          </cell>
          <cell r="E337" t="str">
            <v>OSLO</v>
          </cell>
          <cell r="F337" t="str">
            <v>SALA DE ESTAR</v>
          </cell>
          <cell r="G337" t="str">
            <v/>
          </cell>
          <cell r="H337">
            <v>469.99</v>
          </cell>
          <cell r="I337">
            <v>309.99</v>
          </cell>
          <cell r="J337">
            <v>204.40770000000001</v>
          </cell>
          <cell r="K337">
            <v>0</v>
          </cell>
          <cell r="L337">
            <v>204.40770000000001</v>
          </cell>
          <cell r="M337">
            <v>0</v>
          </cell>
          <cell r="N337">
            <v>309.99</v>
          </cell>
          <cell r="O337" t="str">
            <v>MELI</v>
          </cell>
          <cell r="P337">
            <v>319.99</v>
          </cell>
          <cell r="Q337">
            <v>0.51652799772219904</v>
          </cell>
          <cell r="R337">
            <v>0.51652799772219904</v>
          </cell>
          <cell r="S337" t="e">
            <v>#VALUE!</v>
          </cell>
          <cell r="T337" t="e">
            <v>#VALUE!</v>
          </cell>
        </row>
        <row r="338">
          <cell r="A338" t="str">
            <v>10938N3E4G</v>
          </cell>
          <cell r="B338" t="str">
            <v>MKP000631001936</v>
          </cell>
          <cell r="C338" t="str">
            <v/>
          </cell>
          <cell r="D338" t="str">
            <v>Guarda-Roupa Casal Madesa Lyon Plus 3 Portas de Correr de Espelho 4 Gavetas Preto</v>
          </cell>
          <cell r="E338" t="str">
            <v>LYON PLUS</v>
          </cell>
          <cell r="F338" t="str">
            <v>QUARTO</v>
          </cell>
          <cell r="G338" t="str">
            <v/>
          </cell>
          <cell r="H338">
            <v>1719.99</v>
          </cell>
          <cell r="I338">
            <v>1649.99</v>
          </cell>
          <cell r="J338">
            <v>1188.1108999999999</v>
          </cell>
          <cell r="K338">
            <v>0</v>
          </cell>
          <cell r="L338">
            <v>1188.1108999999999</v>
          </cell>
          <cell r="M338">
            <v>0</v>
          </cell>
          <cell r="N338">
            <v>1649.99</v>
          </cell>
          <cell r="O338" t="str">
            <v>WEB (MADEIRA)</v>
          </cell>
          <cell r="P338">
            <v>1649.99</v>
          </cell>
          <cell r="Q338">
            <v>0.388750831256577</v>
          </cell>
          <cell r="R338">
            <v>0.388750831256577</v>
          </cell>
          <cell r="S338" t="e">
            <v>#VALUE!</v>
          </cell>
          <cell r="T338" t="e">
            <v>#VALUE!</v>
          </cell>
        </row>
        <row r="339">
          <cell r="A339" t="str">
            <v>16695Z2E</v>
          </cell>
          <cell r="B339" t="str">
            <v>MKP000631000422</v>
          </cell>
          <cell r="C339" t="str">
            <v/>
          </cell>
          <cell r="D339" t="str">
            <v>Guarda-Roupa Casal Madesa Vip Plus 6 Portas Batentes com Espelho Rustic</v>
          </cell>
          <cell r="E339" t="str">
            <v>VIP PLUS</v>
          </cell>
          <cell r="F339" t="str">
            <v>QUARTO</v>
          </cell>
          <cell r="G339" t="str">
            <v/>
          </cell>
          <cell r="H339">
            <v>1799.99</v>
          </cell>
          <cell r="I339">
            <v>1079.99</v>
          </cell>
          <cell r="J339">
            <v>857.94989999999996</v>
          </cell>
          <cell r="K339">
            <v>0</v>
          </cell>
          <cell r="L339">
            <v>857.94989999999996</v>
          </cell>
          <cell r="M339">
            <v>0</v>
          </cell>
          <cell r="N339">
            <v>1079.99</v>
          </cell>
          <cell r="O339" t="str">
            <v/>
          </cell>
          <cell r="P339">
            <v>0</v>
          </cell>
          <cell r="Q339">
            <v>0.25880310726768502</v>
          </cell>
          <cell r="R339">
            <v>0.25880310726768502</v>
          </cell>
          <cell r="S339" t="e">
            <v>#VALUE!</v>
          </cell>
          <cell r="T339" t="e">
            <v>#VALUE!</v>
          </cell>
        </row>
        <row r="340">
          <cell r="A340" t="str">
            <v>6009091</v>
          </cell>
          <cell r="B340" t="str">
            <v>MKP000631000172</v>
          </cell>
          <cell r="C340" t="str">
            <v/>
          </cell>
          <cell r="D340" t="str">
            <v>Rack para TV até 55 Polegadas Madesa Copenhagen Branco</v>
          </cell>
          <cell r="E340" t="str">
            <v>COPENHAGEN</v>
          </cell>
          <cell r="F340" t="str">
            <v>SALA DE ESTAR</v>
          </cell>
          <cell r="G340" t="str">
            <v/>
          </cell>
          <cell r="H340">
            <v>469.99</v>
          </cell>
          <cell r="I340">
            <v>319.99</v>
          </cell>
          <cell r="J340">
            <v>209.66149999999999</v>
          </cell>
          <cell r="K340">
            <v>0</v>
          </cell>
          <cell r="L340">
            <v>209.66149999999999</v>
          </cell>
          <cell r="M340">
            <v>0</v>
          </cell>
          <cell r="N340">
            <v>319.99</v>
          </cell>
          <cell r="O340" t="str">
            <v>COLOMBO</v>
          </cell>
          <cell r="P340">
            <v>299.99</v>
          </cell>
          <cell r="Q340">
            <v>0.526222029318687</v>
          </cell>
          <cell r="R340">
            <v>0.526222029318687</v>
          </cell>
          <cell r="S340" t="e">
            <v>#VALUE!</v>
          </cell>
          <cell r="T340" t="e">
            <v>#VALUE!</v>
          </cell>
        </row>
        <row r="341">
          <cell r="A341" t="str">
            <v>GRRM31000109</v>
          </cell>
          <cell r="B341" t="str">
            <v>MKP000631002182</v>
          </cell>
          <cell r="C341" t="str">
            <v/>
          </cell>
          <cell r="D341" t="str">
            <v>Armário de Cozinha Completa 310cm Branco Reims Madesa 01</v>
          </cell>
          <cell r="E341" t="str">
            <v>REIMS</v>
          </cell>
          <cell r="F341" t="str">
            <v>COZINHA</v>
          </cell>
          <cell r="G341" t="str">
            <v/>
          </cell>
          <cell r="H341">
            <v>2589.9899999999998</v>
          </cell>
          <cell r="I341">
            <v>1739.99</v>
          </cell>
          <cell r="J341">
            <v>1463.6193000000001</v>
          </cell>
          <cell r="K341">
            <v>0</v>
          </cell>
          <cell r="L341">
            <v>1463.6193000000001</v>
          </cell>
          <cell r="M341">
            <v>0</v>
          </cell>
          <cell r="N341">
            <v>1739.99</v>
          </cell>
          <cell r="O341" t="str">
            <v>MELI/AMAZON</v>
          </cell>
          <cell r="P341">
            <v>1689.99</v>
          </cell>
          <cell r="Q341">
            <v>0.18882690328010801</v>
          </cell>
          <cell r="R341">
            <v>0.18882690328010801</v>
          </cell>
          <cell r="S341" t="e">
            <v>#VALUE!</v>
          </cell>
          <cell r="T341" t="e">
            <v>#VALUE!</v>
          </cell>
        </row>
        <row r="342">
          <cell r="A342" t="str">
            <v>104409A2ECP</v>
          </cell>
          <cell r="B342" t="str">
            <v>MKP000631000138</v>
          </cell>
          <cell r="C342" t="str">
            <v/>
          </cell>
          <cell r="D342" t="str">
            <v>Guarda-Roupa Solteiro Madesa Luke 2 Portas de Correr de Espelho com Pés Branco</v>
          </cell>
          <cell r="E342" t="str">
            <v>LUKE</v>
          </cell>
          <cell r="F342" t="str">
            <v>QUARTO</v>
          </cell>
          <cell r="G342" t="str">
            <v/>
          </cell>
          <cell r="H342">
            <v>1299.99</v>
          </cell>
          <cell r="I342">
            <v>1159.92</v>
          </cell>
          <cell r="J342">
            <v>882.32230000000004</v>
          </cell>
          <cell r="K342">
            <v>0</v>
          </cell>
          <cell r="L342">
            <v>882.32230000000004</v>
          </cell>
          <cell r="M342">
            <v>0</v>
          </cell>
          <cell r="N342">
            <v>1159.92</v>
          </cell>
          <cell r="O342" t="str">
            <v/>
          </cell>
          <cell r="P342">
            <v>0</v>
          </cell>
          <cell r="Q342">
            <v>0.31462165242791701</v>
          </cell>
          <cell r="R342">
            <v>0.31462165242791701</v>
          </cell>
          <cell r="S342" t="e">
            <v>#VALUE!</v>
          </cell>
          <cell r="T342" t="e">
            <v>#VALUE!</v>
          </cell>
        </row>
        <row r="343">
          <cell r="A343" t="str">
            <v>10948N</v>
          </cell>
          <cell r="B343" t="str">
            <v>MKP000631001964</v>
          </cell>
          <cell r="C343" t="str">
            <v/>
          </cell>
          <cell r="D343" t="str">
            <v>Guarda-Roupa Solteiro Madesa Denver 2 Portas de Correr Preto</v>
          </cell>
          <cell r="E343" t="str">
            <v>DENVER</v>
          </cell>
          <cell r="F343" t="str">
            <v>QUARTO</v>
          </cell>
          <cell r="G343" t="str">
            <v/>
          </cell>
          <cell r="H343">
            <v>949.99</v>
          </cell>
          <cell r="I343">
            <v>639.99</v>
          </cell>
          <cell r="J343">
            <v>475.10919999999999</v>
          </cell>
          <cell r="K343">
            <v>0</v>
          </cell>
          <cell r="L343">
            <v>475.10919999999999</v>
          </cell>
          <cell r="M343">
            <v>0</v>
          </cell>
          <cell r="N343">
            <v>639.99</v>
          </cell>
          <cell r="O343" t="str">
            <v>LEROY</v>
          </cell>
          <cell r="P343">
            <v>587.99</v>
          </cell>
          <cell r="Q343">
            <v>0.34703769154543801</v>
          </cell>
          <cell r="R343">
            <v>0.34703769154543801</v>
          </cell>
          <cell r="S343" t="e">
            <v>#VALUE!</v>
          </cell>
          <cell r="T343" t="e">
            <v>#VALUE!</v>
          </cell>
        </row>
        <row r="344">
          <cell r="A344" t="str">
            <v>G200705Z</v>
          </cell>
          <cell r="B344" t="str">
            <v>MKP000631000196</v>
          </cell>
          <cell r="C344" t="str">
            <v/>
          </cell>
          <cell r="D344" t="str">
            <v>Armário de Cozinha Compacta Rustic Emilly Top Madesa</v>
          </cell>
          <cell r="E344" t="str">
            <v>TOP/EMILLY</v>
          </cell>
          <cell r="F344" t="str">
            <v>COZINHA</v>
          </cell>
          <cell r="G344" t="str">
            <v/>
          </cell>
          <cell r="H344">
            <v>1099.99</v>
          </cell>
          <cell r="I344">
            <v>759.99</v>
          </cell>
          <cell r="J344">
            <v>587.28110000000004</v>
          </cell>
          <cell r="K344">
            <v>0</v>
          </cell>
          <cell r="L344">
            <v>587.28110000000004</v>
          </cell>
          <cell r="M344">
            <v>0</v>
          </cell>
          <cell r="N344">
            <v>759.99</v>
          </cell>
          <cell r="O344" t="str">
            <v>MAGALU</v>
          </cell>
          <cell r="P344">
            <v>736.83</v>
          </cell>
          <cell r="Q344">
            <v>0.29408216950962701</v>
          </cell>
          <cell r="R344">
            <v>0.29408216950962701</v>
          </cell>
          <cell r="S344" t="e">
            <v>#VALUE!</v>
          </cell>
          <cell r="T344" t="e">
            <v>#VALUE!</v>
          </cell>
        </row>
        <row r="345">
          <cell r="A345" t="str">
            <v>10445ZACP</v>
          </cell>
          <cell r="B345" t="str">
            <v>MKP000631000141</v>
          </cell>
          <cell r="C345" t="str">
            <v/>
          </cell>
          <cell r="D345" t="str">
            <v>Guarda-Roupa Solteiro Madesa Luke 2 Portas de Correr de Madeira com Pés Rustic</v>
          </cell>
          <cell r="E345" t="str">
            <v>LUKE</v>
          </cell>
          <cell r="F345" t="str">
            <v>QUARTO</v>
          </cell>
          <cell r="G345" t="str">
            <v/>
          </cell>
          <cell r="H345">
            <v>929.99</v>
          </cell>
          <cell r="I345">
            <v>799.92</v>
          </cell>
          <cell r="J345">
            <v>605.5059</v>
          </cell>
          <cell r="K345">
            <v>0</v>
          </cell>
          <cell r="L345">
            <v>605.5059</v>
          </cell>
          <cell r="M345">
            <v>0</v>
          </cell>
          <cell r="N345">
            <v>799.92</v>
          </cell>
          <cell r="O345" t="str">
            <v/>
          </cell>
          <cell r="P345">
            <v>0</v>
          </cell>
          <cell r="Q345">
            <v>0.32107713566457402</v>
          </cell>
          <cell r="R345">
            <v>0.32107713566457402</v>
          </cell>
          <cell r="S345" t="e">
            <v>#VALUE!</v>
          </cell>
          <cell r="T345" t="e">
            <v>#VALUE!</v>
          </cell>
        </row>
        <row r="346">
          <cell r="A346" t="str">
            <v>10935Z3E</v>
          </cell>
          <cell r="B346" t="str">
            <v>MKP000631000456</v>
          </cell>
          <cell r="C346" t="str">
            <v/>
          </cell>
          <cell r="D346" t="str">
            <v>Guarda-Roupa Casal Madesa Mônaco 3 Portas de Correr de Espelho Rustic</v>
          </cell>
          <cell r="E346" t="str">
            <v>MÔNACO</v>
          </cell>
          <cell r="F346" t="str">
            <v>QUARTO</v>
          </cell>
          <cell r="G346" t="str">
            <v/>
          </cell>
          <cell r="H346">
            <v>1459.99</v>
          </cell>
          <cell r="I346">
            <v>1329.92</v>
          </cell>
          <cell r="J346">
            <v>1010.6371</v>
          </cell>
          <cell r="K346">
            <v>0</v>
          </cell>
          <cell r="L346">
            <v>1010.6371</v>
          </cell>
          <cell r="M346">
            <v>0</v>
          </cell>
          <cell r="N346">
            <v>1329.92</v>
          </cell>
          <cell r="O346" t="str">
            <v/>
          </cell>
          <cell r="P346">
            <v>0</v>
          </cell>
          <cell r="Q346">
            <v>0.31592240181960501</v>
          </cell>
          <cell r="R346">
            <v>0.31592240181960501</v>
          </cell>
          <cell r="S346" t="e">
            <v>#VALUE!</v>
          </cell>
          <cell r="T346" t="e">
            <v>#VALUE!</v>
          </cell>
        </row>
        <row r="347">
          <cell r="A347" t="str">
            <v>044805ZXTFLH</v>
          </cell>
          <cell r="B347" t="str">
            <v>MKP000631000629</v>
          </cell>
          <cell r="C347" t="str">
            <v/>
          </cell>
          <cell r="D347" t="str">
            <v>Conjunto Sala de Jantar Madesa Megan Mesa Tampo de Madeira com 6 Cadeiras Rustic/Floral Hibiscos</v>
          </cell>
          <cell r="E347" t="str">
            <v>MEGAN</v>
          </cell>
          <cell r="F347" t="str">
            <v>SALA DE JANTAR</v>
          </cell>
          <cell r="G347" t="str">
            <v>4290X</v>
          </cell>
          <cell r="H347">
            <v>1479.99</v>
          </cell>
          <cell r="I347">
            <v>939.99</v>
          </cell>
          <cell r="J347">
            <v>662.74180000000001</v>
          </cell>
          <cell r="K347">
            <v>0</v>
          </cell>
          <cell r="L347">
            <v>662.74180000000001</v>
          </cell>
          <cell r="M347">
            <v>0</v>
          </cell>
          <cell r="N347">
            <v>939.99</v>
          </cell>
          <cell r="O347" t="str">
            <v>WEB (VIA)</v>
          </cell>
          <cell r="P347">
            <v>939.99</v>
          </cell>
          <cell r="Q347">
            <v>0.41833516461463599</v>
          </cell>
          <cell r="R347">
            <v>0.41833516461463599</v>
          </cell>
          <cell r="S347" t="e">
            <v>#VALUE!</v>
          </cell>
          <cell r="T347" t="e">
            <v>#VALUE!</v>
          </cell>
        </row>
        <row r="348">
          <cell r="A348" t="str">
            <v>1093093E</v>
          </cell>
          <cell r="B348" t="str">
            <v>MKP000631000455</v>
          </cell>
          <cell r="C348" t="str">
            <v/>
          </cell>
          <cell r="D348" t="str">
            <v>Guarda-Roupa Casal Madesa Mônaco 3 Portas de Correr de Espelho Branco</v>
          </cell>
          <cell r="E348" t="str">
            <v>MÔNACO</v>
          </cell>
          <cell r="F348" t="str">
            <v>QUARTO</v>
          </cell>
          <cell r="G348" t="str">
            <v/>
          </cell>
          <cell r="H348">
            <v>2199.9899999999998</v>
          </cell>
          <cell r="I348">
            <v>1229.99</v>
          </cell>
          <cell r="J348">
            <v>1010.6371</v>
          </cell>
          <cell r="K348">
            <v>0</v>
          </cell>
          <cell r="L348">
            <v>1010.6371</v>
          </cell>
          <cell r="M348">
            <v>0</v>
          </cell>
          <cell r="N348">
            <v>1229.99</v>
          </cell>
          <cell r="O348" t="str">
            <v>ZEMA</v>
          </cell>
          <cell r="P348">
            <v>1289.99</v>
          </cell>
          <cell r="Q348">
            <v>0.217044179359732</v>
          </cell>
          <cell r="R348">
            <v>0.217044179359732</v>
          </cell>
          <cell r="S348" t="e">
            <v>#VALUE!</v>
          </cell>
          <cell r="T348" t="e">
            <v>#VALUE!</v>
          </cell>
        </row>
        <row r="349">
          <cell r="A349" t="str">
            <v>10938N</v>
          </cell>
          <cell r="B349" t="str">
            <v>MKP000631001942</v>
          </cell>
          <cell r="C349" t="str">
            <v/>
          </cell>
          <cell r="D349" t="str">
            <v>Guarda-Roupa Casal Madesa Mônaco 3 Portas de Correr Preto</v>
          </cell>
          <cell r="E349" t="str">
            <v>MÔNACO</v>
          </cell>
          <cell r="F349" t="str">
            <v>QUARTO</v>
          </cell>
          <cell r="G349" t="str">
            <v/>
          </cell>
          <cell r="H349">
            <v>939.99</v>
          </cell>
          <cell r="I349">
            <v>819.92</v>
          </cell>
          <cell r="J349">
            <v>620.85310000000004</v>
          </cell>
          <cell r="K349">
            <v>0</v>
          </cell>
          <cell r="L349">
            <v>620.85310000000004</v>
          </cell>
          <cell r="M349">
            <v>0</v>
          </cell>
          <cell r="N349">
            <v>819.92</v>
          </cell>
          <cell r="O349" t="str">
            <v/>
          </cell>
          <cell r="P349">
            <v>0</v>
          </cell>
          <cell r="Q349">
            <v>0.32063446248395899</v>
          </cell>
          <cell r="R349">
            <v>0.32063446248395899</v>
          </cell>
          <cell r="S349" t="e">
            <v>#VALUE!</v>
          </cell>
          <cell r="T349" t="e">
            <v>#VALUE!</v>
          </cell>
        </row>
        <row r="350">
          <cell r="A350" t="str">
            <v>044175ZXPE</v>
          </cell>
          <cell r="B350" t="str">
            <v>MKP000631000426</v>
          </cell>
          <cell r="C350" t="str">
            <v/>
          </cell>
          <cell r="D350" t="str">
            <v>Conjunto Sala de Jantar Madesa Atlanta Mesa Tampo de Vidro com 6 Cadeiras Rustic/Crema/Sintético Bege</v>
          </cell>
          <cell r="E350" t="str">
            <v>ATLANTA</v>
          </cell>
          <cell r="F350" t="str">
            <v>SALA DE JANTAR</v>
          </cell>
          <cell r="G350" t="str">
            <v>4280X</v>
          </cell>
          <cell r="H350">
            <v>2379.9899999999998</v>
          </cell>
          <cell r="I350">
            <v>1229.99</v>
          </cell>
          <cell r="J350">
            <v>953.78269999999998</v>
          </cell>
          <cell r="K350">
            <v>0</v>
          </cell>
          <cell r="L350">
            <v>953.78269999999998</v>
          </cell>
          <cell r="M350">
            <v>0</v>
          </cell>
          <cell r="N350">
            <v>1229.99</v>
          </cell>
          <cell r="O350" t="str">
            <v>AMAZON</v>
          </cell>
          <cell r="P350">
            <v>1199.99</v>
          </cell>
          <cell r="Q350">
            <v>0.289591434191457</v>
          </cell>
          <cell r="R350">
            <v>0.289591434191457</v>
          </cell>
          <cell r="S350" t="e">
            <v>#VALUE!</v>
          </cell>
          <cell r="T350" t="e">
            <v>#VALUE!</v>
          </cell>
        </row>
        <row r="351">
          <cell r="A351" t="str">
            <v>1065094E</v>
          </cell>
          <cell r="B351" t="str">
            <v>MKP000631000277</v>
          </cell>
          <cell r="C351" t="str">
            <v/>
          </cell>
          <cell r="D351" t="str">
            <v>Guarda-Roupa Madesa Montana 4 Portas de Correr de Espelho Branco</v>
          </cell>
          <cell r="E351" t="str">
            <v>MONTANA</v>
          </cell>
          <cell r="F351" t="str">
            <v>QUARTO</v>
          </cell>
          <cell r="G351" t="str">
            <v/>
          </cell>
          <cell r="H351">
            <v>4349.99</v>
          </cell>
          <cell r="I351">
            <v>3359.99</v>
          </cell>
          <cell r="J351">
            <v>2546.0437999999999</v>
          </cell>
          <cell r="K351">
            <v>0</v>
          </cell>
          <cell r="L351">
            <v>2546.0437999999999</v>
          </cell>
          <cell r="M351">
            <v>0</v>
          </cell>
          <cell r="N351">
            <v>3359.99</v>
          </cell>
          <cell r="O351" t="str">
            <v>LOJA</v>
          </cell>
          <cell r="P351">
            <v>2899.99</v>
          </cell>
          <cell r="Q351">
            <v>0.31969057248740201</v>
          </cell>
          <cell r="R351">
            <v>0.31969057248740201</v>
          </cell>
          <cell r="S351" t="e">
            <v>#VALUE!</v>
          </cell>
          <cell r="T351" t="e">
            <v>#VALUE!</v>
          </cell>
        </row>
        <row r="352">
          <cell r="A352" t="str">
            <v>MDES0200148ND8</v>
          </cell>
          <cell r="B352" t="str">
            <v>MKP000631001558</v>
          </cell>
          <cell r="C352" t="str">
            <v/>
          </cell>
          <cell r="D352" t="str">
            <v>Rack Madesa Dubai e Painel para TV até 65 Polegadas com Pés Preto/Rustic 8ND8</v>
          </cell>
          <cell r="E352" t="str">
            <v>DUBAI</v>
          </cell>
          <cell r="F352" t="str">
            <v>SALA DE ESTAR</v>
          </cell>
          <cell r="G352" t="str">
            <v/>
          </cell>
          <cell r="H352">
            <v>699.99</v>
          </cell>
          <cell r="I352">
            <v>599.99</v>
          </cell>
          <cell r="J352">
            <v>442.649</v>
          </cell>
          <cell r="K352">
            <v>0</v>
          </cell>
          <cell r="L352">
            <v>442.649</v>
          </cell>
          <cell r="M352">
            <v>0</v>
          </cell>
          <cell r="N352">
            <v>599.99</v>
          </cell>
          <cell r="O352" t="str">
            <v/>
          </cell>
          <cell r="P352">
            <v>0</v>
          </cell>
          <cell r="Q352">
            <v>0.35545319203251302</v>
          </cell>
          <cell r="R352">
            <v>0.35545319203251302</v>
          </cell>
          <cell r="S352" t="e">
            <v>#VALUE!</v>
          </cell>
          <cell r="T352" t="e">
            <v>#VALUE!</v>
          </cell>
        </row>
        <row r="353">
          <cell r="A353" t="str">
            <v>G200880909</v>
          </cell>
          <cell r="B353" t="str">
            <v>MKP000631000402</v>
          </cell>
          <cell r="C353" t="str">
            <v/>
          </cell>
          <cell r="D353" t="str">
            <v>Armário de Cozinha Completa 240cm Branco Topazio Madesa</v>
          </cell>
          <cell r="E353" t="str">
            <v>TOPÁZIO</v>
          </cell>
          <cell r="F353" t="str">
            <v>COZINHA</v>
          </cell>
          <cell r="G353" t="str">
            <v/>
          </cell>
          <cell r="H353">
            <v>1919.99</v>
          </cell>
          <cell r="I353">
            <v>1389.99</v>
          </cell>
          <cell r="J353">
            <v>1072.4292</v>
          </cell>
          <cell r="K353">
            <v>0</v>
          </cell>
          <cell r="L353">
            <v>1072.4292</v>
          </cell>
          <cell r="M353">
            <v>0</v>
          </cell>
          <cell r="N353">
            <v>1389.99</v>
          </cell>
          <cell r="O353" t="str">
            <v/>
          </cell>
          <cell r="P353">
            <v>0</v>
          </cell>
          <cell r="Q353">
            <v>0.296113533648655</v>
          </cell>
          <cell r="R353">
            <v>0.296113533648655</v>
          </cell>
          <cell r="S353" t="e">
            <v>#VALUE!</v>
          </cell>
          <cell r="T353" t="e">
            <v>#VALUE!</v>
          </cell>
        </row>
        <row r="354">
          <cell r="A354" t="str">
            <v>MDES02000609</v>
          </cell>
          <cell r="B354" t="str">
            <v>MKP000631000164</v>
          </cell>
          <cell r="C354" t="str">
            <v/>
          </cell>
          <cell r="D354" t="str">
            <v>Rack Madesa Oslo e Painel para TV até 55 Polegadas 2 Portas Branco</v>
          </cell>
          <cell r="E354" t="str">
            <v>OSLO</v>
          </cell>
          <cell r="F354" t="str">
            <v>SALA DE ESTAR</v>
          </cell>
          <cell r="G354" t="str">
            <v/>
          </cell>
          <cell r="H354">
            <v>539.99</v>
          </cell>
          <cell r="I354">
            <v>429.92</v>
          </cell>
          <cell r="J354">
            <v>309.18939999999998</v>
          </cell>
          <cell r="K354">
            <v>0</v>
          </cell>
          <cell r="L354">
            <v>309.18939999999998</v>
          </cell>
          <cell r="M354">
            <v>0</v>
          </cell>
          <cell r="N354">
            <v>429.92</v>
          </cell>
          <cell r="O354" t="str">
            <v/>
          </cell>
          <cell r="P354">
            <v>0</v>
          </cell>
          <cell r="Q354">
            <v>0.39047457642467698</v>
          </cell>
          <cell r="R354">
            <v>0.39047457642467698</v>
          </cell>
          <cell r="S354" t="e">
            <v>#VALUE!</v>
          </cell>
          <cell r="T354" t="e">
            <v>#VALUE!</v>
          </cell>
        </row>
        <row r="355">
          <cell r="A355" t="str">
            <v>1082092ECP</v>
          </cell>
          <cell r="B355" t="str">
            <v>MKP000631000253</v>
          </cell>
          <cell r="C355" t="str">
            <v/>
          </cell>
          <cell r="D355" t="str">
            <v>Guarda-Roupa Casal Madesa Napoli 3 Portas de Correr 2 Portas com Espelho com Pés Branco</v>
          </cell>
          <cell r="E355" t="str">
            <v>NAPOLI</v>
          </cell>
          <cell r="F355" t="str">
            <v>QUARTO</v>
          </cell>
          <cell r="G355" t="str">
            <v/>
          </cell>
          <cell r="H355">
            <v>1799.99</v>
          </cell>
          <cell r="I355">
            <v>1639.92</v>
          </cell>
          <cell r="J355">
            <v>1284.2380000000001</v>
          </cell>
          <cell r="K355">
            <v>0</v>
          </cell>
          <cell r="L355">
            <v>1284.2380000000001</v>
          </cell>
          <cell r="M355">
            <v>0</v>
          </cell>
          <cell r="N355">
            <v>1639.92</v>
          </cell>
          <cell r="O355" t="str">
            <v/>
          </cell>
          <cell r="P355">
            <v>0</v>
          </cell>
          <cell r="Q355">
            <v>0.27695956668468003</v>
          </cell>
          <cell r="R355">
            <v>0.27695956668468003</v>
          </cell>
          <cell r="S355" t="e">
            <v>#VALUE!</v>
          </cell>
          <cell r="T355" t="e">
            <v>#VALUE!</v>
          </cell>
        </row>
        <row r="356">
          <cell r="A356" t="str">
            <v>G2560009GL</v>
          </cell>
          <cell r="B356" t="str">
            <v>MKP000631000003</v>
          </cell>
          <cell r="C356" t="str">
            <v/>
          </cell>
          <cell r="D356" t="str">
            <v>Armário Aéreo Madesa Glamy 60 cm 1 Porta Branco</v>
          </cell>
          <cell r="E356" t="str">
            <v>GLAMY</v>
          </cell>
          <cell r="F356" t="str">
            <v>MODULAÇÃO</v>
          </cell>
          <cell r="G356" t="str">
            <v/>
          </cell>
          <cell r="H356">
            <v>499.99</v>
          </cell>
          <cell r="I356">
            <v>329.99</v>
          </cell>
          <cell r="J356">
            <v>194.02</v>
          </cell>
          <cell r="K356">
            <v>0</v>
          </cell>
          <cell r="L356">
            <v>194.02</v>
          </cell>
          <cell r="M356">
            <v>0</v>
          </cell>
          <cell r="N356">
            <v>329.99</v>
          </cell>
          <cell r="O356" t="str">
            <v/>
          </cell>
          <cell r="P356">
            <v>0</v>
          </cell>
          <cell r="Q356">
            <v>0.70080404082053405</v>
          </cell>
          <cell r="R356">
            <v>0.70080404082053405</v>
          </cell>
          <cell r="S356" t="e">
            <v>#VALUE!</v>
          </cell>
          <cell r="T356" t="e">
            <v>#VALUE!</v>
          </cell>
        </row>
        <row r="357">
          <cell r="A357" t="str">
            <v>MDES0200238N8N</v>
          </cell>
          <cell r="B357" t="str">
            <v>MKP000631001537</v>
          </cell>
          <cell r="C357" t="str">
            <v/>
          </cell>
          <cell r="D357" t="str">
            <v>Rack Madesa Cancun e Painel para TV até 65 Polegadas Preto</v>
          </cell>
          <cell r="E357" t="str">
            <v>CANCUN</v>
          </cell>
          <cell r="F357" t="str">
            <v>SALA DE ESTAR</v>
          </cell>
          <cell r="G357" t="str">
            <v/>
          </cell>
          <cell r="H357">
            <v>679.99</v>
          </cell>
          <cell r="I357">
            <v>559.91999999999996</v>
          </cell>
          <cell r="J357">
            <v>413.28440000000001</v>
          </cell>
          <cell r="K357">
            <v>0</v>
          </cell>
          <cell r="L357">
            <v>413.28440000000001</v>
          </cell>
          <cell r="M357">
            <v>0</v>
          </cell>
          <cell r="N357">
            <v>559.91999999999996</v>
          </cell>
          <cell r="O357" t="str">
            <v/>
          </cell>
          <cell r="P357">
            <v>0</v>
          </cell>
          <cell r="Q357">
            <v>0.35480555278641002</v>
          </cell>
          <cell r="R357">
            <v>0.35480555278641002</v>
          </cell>
          <cell r="S357" t="e">
            <v>#VALUE!</v>
          </cell>
          <cell r="T357" t="e">
            <v>#VALUE!</v>
          </cell>
        </row>
        <row r="358">
          <cell r="A358" t="str">
            <v>044685ZXPE</v>
          </cell>
          <cell r="B358" t="str">
            <v>MKP000631000051</v>
          </cell>
          <cell r="C358" t="str">
            <v/>
          </cell>
          <cell r="D358" t="str">
            <v>Conjunto Sala de Jantar Havana Madesa Mesa Tampo de Madeira com 4 Cadeiras Rustic/Crema/Sintético Bege</v>
          </cell>
          <cell r="E358" t="str">
            <v>HAVANA</v>
          </cell>
          <cell r="F358" t="str">
            <v>SALA DE JANTAR</v>
          </cell>
          <cell r="G358" t="str">
            <v>4280X</v>
          </cell>
          <cell r="H358">
            <v>1419.99</v>
          </cell>
          <cell r="I358">
            <v>599.99</v>
          </cell>
          <cell r="J358">
            <v>465.81150000000002</v>
          </cell>
          <cell r="K358">
            <v>0</v>
          </cell>
          <cell r="L358">
            <v>465.81150000000002</v>
          </cell>
          <cell r="M358">
            <v>0</v>
          </cell>
          <cell r="N358">
            <v>599.99</v>
          </cell>
          <cell r="O358" t="str">
            <v>VIA</v>
          </cell>
          <cell r="P358">
            <v>599.99</v>
          </cell>
          <cell r="Q358">
            <v>0.28805321465871903</v>
          </cell>
          <cell r="R358">
            <v>0.28805321465871903</v>
          </cell>
          <cell r="S358" t="e">
            <v>#VALUE!</v>
          </cell>
          <cell r="T358" t="e">
            <v>#VALUE!</v>
          </cell>
        </row>
        <row r="359">
          <cell r="A359" t="str">
            <v>10947K1E4G</v>
          </cell>
          <cell r="B359" t="str">
            <v>MKP000631002029</v>
          </cell>
          <cell r="C359" t="str">
            <v/>
          </cell>
          <cell r="D359" t="str">
            <v>Guarda-Roupa Solteiro Madesa Dallas Plus 2 Portas de Correr com Espelho 4 Gavetas Rustic/Preto</v>
          </cell>
          <cell r="E359" t="str">
            <v>DALLAS PLUS</v>
          </cell>
          <cell r="F359" t="str">
            <v>QUARTO</v>
          </cell>
          <cell r="G359" t="str">
            <v/>
          </cell>
          <cell r="H359">
            <v>1049.99</v>
          </cell>
          <cell r="I359">
            <v>949.99</v>
          </cell>
          <cell r="J359">
            <v>782.51099999999997</v>
          </cell>
          <cell r="K359">
            <v>0</v>
          </cell>
          <cell r="L359">
            <v>782.51099999999997</v>
          </cell>
          <cell r="M359">
            <v>0</v>
          </cell>
          <cell r="N359">
            <v>949.99</v>
          </cell>
          <cell r="O359" t="str">
            <v/>
          </cell>
          <cell r="P359">
            <v>0</v>
          </cell>
          <cell r="Q359">
            <v>0.21402766223094599</v>
          </cell>
          <cell r="R359">
            <v>0.21402766223094599</v>
          </cell>
          <cell r="S359" t="e">
            <v>#VALUE!</v>
          </cell>
          <cell r="T359" t="e">
            <v>#VALUE!</v>
          </cell>
        </row>
        <row r="360">
          <cell r="A360" t="str">
            <v>10937K2E2G</v>
          </cell>
          <cell r="B360" t="str">
            <v>MKP000631002225</v>
          </cell>
          <cell r="C360" t="str">
            <v/>
          </cell>
          <cell r="D360" t="str">
            <v>Guarda-Roupa Casal Madesa Lyon 3 Portas de Correr com Espelhos 2 Gavetas Rustic/Preto</v>
          </cell>
          <cell r="E360" t="str">
            <v>LYON</v>
          </cell>
          <cell r="F360" t="str">
            <v>QUARTO</v>
          </cell>
          <cell r="G360" t="str">
            <v/>
          </cell>
          <cell r="H360">
            <v>1279.99</v>
          </cell>
          <cell r="I360">
            <v>1179.99</v>
          </cell>
          <cell r="J360">
            <v>969.44600000000003</v>
          </cell>
          <cell r="K360">
            <v>0</v>
          </cell>
          <cell r="L360">
            <v>969.44600000000003</v>
          </cell>
          <cell r="M360">
            <v>0</v>
          </cell>
          <cell r="N360">
            <v>1179.99</v>
          </cell>
          <cell r="O360" t="str">
            <v/>
          </cell>
          <cell r="P360">
            <v>0</v>
          </cell>
          <cell r="Q360">
            <v>0.21717970882338999</v>
          </cell>
          <cell r="R360">
            <v>0.21717970882338999</v>
          </cell>
          <cell r="S360" t="e">
            <v>#VALUE!</v>
          </cell>
          <cell r="T360" t="e">
            <v>#VALUE!</v>
          </cell>
        </row>
        <row r="361">
          <cell r="A361" t="str">
            <v>1093F91E</v>
          </cell>
          <cell r="B361" t="str">
            <v>MKP000631004580</v>
          </cell>
          <cell r="C361" t="str">
            <v/>
          </cell>
          <cell r="D361" t="str">
            <v>Guarda-Roupa Casal Madesa Mônaco 3 Portas de Correr com Espelho Rustic/Cinza</v>
          </cell>
          <cell r="E361" t="str">
            <v>MÔNACO</v>
          </cell>
          <cell r="F361" t="str">
            <v>QUARTO</v>
          </cell>
          <cell r="G361" t="str">
            <v/>
          </cell>
          <cell r="H361">
            <v>1109.99</v>
          </cell>
          <cell r="I361">
            <v>969.92</v>
          </cell>
          <cell r="J361">
            <v>750.78110000000004</v>
          </cell>
          <cell r="K361">
            <v>0</v>
          </cell>
          <cell r="L361">
            <v>750.78110000000004</v>
          </cell>
          <cell r="M361">
            <v>0</v>
          </cell>
          <cell r="N361">
            <v>969.92</v>
          </cell>
          <cell r="O361" t="str">
            <v/>
          </cell>
          <cell r="P361">
            <v>0</v>
          </cell>
          <cell r="Q361">
            <v>0.29188121544348899</v>
          </cell>
          <cell r="R361">
            <v>0.29188121544348899</v>
          </cell>
          <cell r="S361" t="e">
            <v>#VALUE!</v>
          </cell>
          <cell r="T361" t="e">
            <v>#VALUE!</v>
          </cell>
        </row>
        <row r="362">
          <cell r="A362" t="str">
            <v>GRRM260001D8</v>
          </cell>
          <cell r="B362" t="str">
            <v>MKP000631001792</v>
          </cell>
          <cell r="C362" t="str">
            <v/>
          </cell>
          <cell r="D362" t="str">
            <v>Armário de Cozinha Completa 260cm Preto/Rustic Reims Madesa 01</v>
          </cell>
          <cell r="E362" t="str">
            <v>REIMS</v>
          </cell>
          <cell r="F362" t="str">
            <v>COZINHA</v>
          </cell>
          <cell r="G362" t="str">
            <v/>
          </cell>
          <cell r="H362">
            <v>1999.99</v>
          </cell>
          <cell r="I362">
            <v>1299.99</v>
          </cell>
          <cell r="J362">
            <v>1068.8104000000001</v>
          </cell>
          <cell r="K362">
            <v>0</v>
          </cell>
          <cell r="L362">
            <v>1068.8104000000001</v>
          </cell>
          <cell r="M362">
            <v>0</v>
          </cell>
          <cell r="N362">
            <v>1299.99</v>
          </cell>
          <cell r="O362" t="str">
            <v>MAGALU</v>
          </cell>
          <cell r="P362">
            <v>1263.1500000000001</v>
          </cell>
          <cell r="Q362">
            <v>0.216296173764776</v>
          </cell>
          <cell r="R362">
            <v>0.216296173764776</v>
          </cell>
          <cell r="S362" t="e">
            <v>#VALUE!</v>
          </cell>
          <cell r="T362" t="e">
            <v>#VALUE!</v>
          </cell>
        </row>
        <row r="363">
          <cell r="A363" t="str">
            <v>10978N2E</v>
          </cell>
          <cell r="B363" t="str">
            <v>MKP000631002365</v>
          </cell>
          <cell r="C363" t="str">
            <v/>
          </cell>
          <cell r="D363" t="str">
            <v>Guarda-Roupa Solteiro Madesa Tokio 2 Portas de Correr de Espelho 2 Gavetas Preto</v>
          </cell>
          <cell r="E363" t="str">
            <v>TOKIO</v>
          </cell>
          <cell r="F363" t="str">
            <v>QUARTO</v>
          </cell>
          <cell r="G363" t="str">
            <v/>
          </cell>
          <cell r="H363">
            <v>1759.99</v>
          </cell>
          <cell r="I363">
            <v>1249.99</v>
          </cell>
          <cell r="J363">
            <v>869.96169999999995</v>
          </cell>
          <cell r="K363">
            <v>0</v>
          </cell>
          <cell r="L363">
            <v>869.96169999999995</v>
          </cell>
          <cell r="M363">
            <v>0</v>
          </cell>
          <cell r="N363">
            <v>1249.99</v>
          </cell>
          <cell r="O363" t="str">
            <v>WEB (MADEIRA)</v>
          </cell>
          <cell r="P363">
            <v>1249.99</v>
          </cell>
          <cell r="Q363">
            <v>0.43683336864140099</v>
          </cell>
          <cell r="R363">
            <v>0.43683336864140099</v>
          </cell>
          <cell r="S363" t="e">
            <v>#VALUE!</v>
          </cell>
          <cell r="T363" t="e">
            <v>#VALUE!</v>
          </cell>
        </row>
        <row r="364">
          <cell r="A364" t="str">
            <v>MDJA0400885ZFLH</v>
          </cell>
          <cell r="B364" t="str">
            <v>MKP000631002566</v>
          </cell>
          <cell r="C364" t="str">
            <v/>
          </cell>
          <cell r="D364" t="str">
            <v>Conjunto Sala de Jantar Madesa Luana Mesa Tampo de Madeira com 4 Cadeiras Rustic/Floral Hibiscos</v>
          </cell>
          <cell r="E364" t="str">
            <v>LUANA</v>
          </cell>
          <cell r="F364" t="str">
            <v>SALA DE JANTAR</v>
          </cell>
          <cell r="G364" t="str">
            <v>4290X</v>
          </cell>
          <cell r="H364">
            <v>869.99</v>
          </cell>
          <cell r="I364">
            <v>579.99</v>
          </cell>
          <cell r="J364">
            <v>396.20409999999998</v>
          </cell>
          <cell r="K364">
            <v>0</v>
          </cell>
          <cell r="L364">
            <v>396.20409999999998</v>
          </cell>
          <cell r="M364">
            <v>0</v>
          </cell>
          <cell r="N364">
            <v>579.99</v>
          </cell>
          <cell r="O364" t="str">
            <v>WEB (MADEIRA)</v>
          </cell>
          <cell r="P364">
            <v>579.99</v>
          </cell>
          <cell r="Q364">
            <v>0.46386672929432099</v>
          </cell>
          <cell r="R364">
            <v>0.46386672929432099</v>
          </cell>
          <cell r="S364" t="e">
            <v>#VALUE!</v>
          </cell>
          <cell r="T364" t="e">
            <v>#VALUE!</v>
          </cell>
        </row>
        <row r="365">
          <cell r="A365" t="str">
            <v>XA70035Z1</v>
          </cell>
          <cell r="B365" t="str">
            <v>MKP000631001549</v>
          </cell>
          <cell r="C365" t="str">
            <v/>
          </cell>
          <cell r="D365" t="str">
            <v>Rack com Painel para TV até 65 Polegadas Madesa Havaí 1 Porta Rustic</v>
          </cell>
          <cell r="E365" t="str">
            <v>HAVAÍ</v>
          </cell>
          <cell r="F365" t="str">
            <v>SALA DE ESTAR</v>
          </cell>
          <cell r="G365" t="str">
            <v/>
          </cell>
          <cell r="H365">
            <v>959.99</v>
          </cell>
          <cell r="I365">
            <v>519.99</v>
          </cell>
          <cell r="J365">
            <v>356.46269999999998</v>
          </cell>
          <cell r="K365">
            <v>0</v>
          </cell>
          <cell r="L365">
            <v>356.46269999999998</v>
          </cell>
          <cell r="M365">
            <v>0</v>
          </cell>
          <cell r="N365">
            <v>519.99</v>
          </cell>
          <cell r="O365" t="str">
            <v>LEROY</v>
          </cell>
          <cell r="P365">
            <v>499.99</v>
          </cell>
          <cell r="Q365">
            <v>0.45875010204433703</v>
          </cell>
          <cell r="R365">
            <v>0.45875010204433703</v>
          </cell>
          <cell r="S365" t="e">
            <v>#VALUE!</v>
          </cell>
          <cell r="T365" t="e">
            <v>#VALUE!</v>
          </cell>
        </row>
        <row r="366">
          <cell r="A366" t="str">
            <v>60240909PP</v>
          </cell>
          <cell r="B366" t="str">
            <v>MKP000631001571</v>
          </cell>
          <cell r="C366" t="str">
            <v/>
          </cell>
          <cell r="D366" t="str">
            <v>Rack Madesa Dubai para TV até 65 Polegadas com Pés Branco</v>
          </cell>
          <cell r="E366" t="str">
            <v>DUBAI</v>
          </cell>
          <cell r="F366" t="str">
            <v>SALA DE ESTAR</v>
          </cell>
          <cell r="G366" t="str">
            <v/>
          </cell>
          <cell r="H366">
            <v>569.99</v>
          </cell>
          <cell r="I366">
            <v>319.92</v>
          </cell>
          <cell r="J366">
            <v>243.82210000000001</v>
          </cell>
          <cell r="K366">
            <v>0</v>
          </cell>
          <cell r="L366">
            <v>243.82210000000001</v>
          </cell>
          <cell r="M366">
            <v>0</v>
          </cell>
          <cell r="N366">
            <v>319.92</v>
          </cell>
          <cell r="O366" t="str">
            <v/>
          </cell>
          <cell r="P366">
            <v>0</v>
          </cell>
          <cell r="Q366">
            <v>0.31210419400046202</v>
          </cell>
          <cell r="R366">
            <v>0.31210419400046202</v>
          </cell>
          <cell r="S366" t="e">
            <v>#VALUE!</v>
          </cell>
          <cell r="T366" t="e">
            <v>#VALUE!</v>
          </cell>
        </row>
        <row r="367">
          <cell r="A367" t="str">
            <v>MDES0200029B5Z</v>
          </cell>
          <cell r="B367" t="str">
            <v>MKP000631000161</v>
          </cell>
          <cell r="C367" t="str">
            <v/>
          </cell>
          <cell r="D367" t="str">
            <v>Rack Madesa Metz e Painel para TV até 55 Polegadas Branco/Rustic/Rustic</v>
          </cell>
          <cell r="E367" t="str">
            <v>METZ</v>
          </cell>
          <cell r="F367" t="str">
            <v>SALA DE ESTAR</v>
          </cell>
          <cell r="G367" t="str">
            <v/>
          </cell>
          <cell r="H367">
            <v>649.99</v>
          </cell>
          <cell r="I367">
            <v>529.91999999999996</v>
          </cell>
          <cell r="J367">
            <v>388.60680000000002</v>
          </cell>
          <cell r="K367">
            <v>0</v>
          </cell>
          <cell r="L367">
            <v>388.60680000000002</v>
          </cell>
          <cell r="M367">
            <v>0</v>
          </cell>
          <cell r="N367">
            <v>529.91999999999996</v>
          </cell>
          <cell r="O367" t="str">
            <v/>
          </cell>
          <cell r="P367">
            <v>0</v>
          </cell>
          <cell r="Q367">
            <v>0.36364057448299902</v>
          </cell>
          <cell r="R367">
            <v>0.36364057448299902</v>
          </cell>
          <cell r="S367" t="e">
            <v>#VALUE!</v>
          </cell>
          <cell r="T367" t="e">
            <v>#VALUE!</v>
          </cell>
        </row>
        <row r="368">
          <cell r="A368" t="str">
            <v>104409A</v>
          </cell>
          <cell r="B368" t="str">
            <v>MKP000631000140</v>
          </cell>
          <cell r="C368" t="str">
            <v/>
          </cell>
          <cell r="D368" t="str">
            <v>Guarda-Roupa Solteiro Madesa Luke 2 Portas de Correr de Madeira Branco</v>
          </cell>
          <cell r="E368" t="str">
            <v>LUKE</v>
          </cell>
          <cell r="F368" t="str">
            <v>QUARTO</v>
          </cell>
          <cell r="G368" t="str">
            <v/>
          </cell>
          <cell r="H368">
            <v>1329.99</v>
          </cell>
          <cell r="I368">
            <v>799.99</v>
          </cell>
          <cell r="J368">
            <v>568.91459999999995</v>
          </cell>
          <cell r="K368">
            <v>0</v>
          </cell>
          <cell r="L368">
            <v>568.91459999999995</v>
          </cell>
          <cell r="M368">
            <v>0</v>
          </cell>
          <cell r="N368">
            <v>799.99</v>
          </cell>
          <cell r="O368" t="str">
            <v>MELI</v>
          </cell>
          <cell r="P368">
            <v>822.22</v>
          </cell>
          <cell r="Q368">
            <v>0.40616886963350901</v>
          </cell>
          <cell r="R368">
            <v>0.40616886963350901</v>
          </cell>
          <cell r="S368" t="e">
            <v>#VALUE!</v>
          </cell>
          <cell r="T368" t="e">
            <v>#VALUE!</v>
          </cell>
        </row>
        <row r="369">
          <cell r="A369" t="str">
            <v>1082093E</v>
          </cell>
          <cell r="B369" t="str">
            <v>MKP000631000256</v>
          </cell>
          <cell r="C369" t="str">
            <v/>
          </cell>
          <cell r="D369" t="str">
            <v>Guarda-Roupa Casal Madesa Napoli 3 Portas de Correr com Espelho Branco</v>
          </cell>
          <cell r="E369" t="str">
            <v>NAPOLI</v>
          </cell>
          <cell r="F369" t="str">
            <v>QUARTO</v>
          </cell>
          <cell r="G369" t="str">
            <v/>
          </cell>
          <cell r="H369">
            <v>2639.99</v>
          </cell>
          <cell r="I369">
            <v>1888.88</v>
          </cell>
          <cell r="J369">
            <v>1367.9827</v>
          </cell>
          <cell r="K369">
            <v>0</v>
          </cell>
          <cell r="L369">
            <v>1367.9827</v>
          </cell>
          <cell r="M369">
            <v>0</v>
          </cell>
          <cell r="N369">
            <v>1888.88</v>
          </cell>
          <cell r="O369" t="str">
            <v>WEB (MADEIRA)</v>
          </cell>
          <cell r="P369">
            <v>1888.88</v>
          </cell>
          <cell r="Q369">
            <v>0.38077769550740698</v>
          </cell>
          <cell r="R369">
            <v>0.38077769550740698</v>
          </cell>
          <cell r="S369" t="e">
            <v>#VALUE!</v>
          </cell>
          <cell r="T369" t="e">
            <v>#VALUE!</v>
          </cell>
        </row>
        <row r="370">
          <cell r="A370" t="str">
            <v>MDES0200029B</v>
          </cell>
          <cell r="B370" t="str">
            <v>MKP000631000162</v>
          </cell>
          <cell r="C370" t="str">
            <v/>
          </cell>
          <cell r="D370" t="str">
            <v>Rack Madesa Metz e Painel para TV até 55 Polegadas Branco/Rustic</v>
          </cell>
          <cell r="E370" t="str">
            <v>METZ</v>
          </cell>
          <cell r="F370" t="str">
            <v>SALA DE ESTAR</v>
          </cell>
          <cell r="G370" t="str">
            <v/>
          </cell>
          <cell r="H370">
            <v>649.99</v>
          </cell>
          <cell r="I370">
            <v>529.91999999999996</v>
          </cell>
          <cell r="J370">
            <v>388.60680000000002</v>
          </cell>
          <cell r="K370">
            <v>0</v>
          </cell>
          <cell r="L370">
            <v>388.60680000000002</v>
          </cell>
          <cell r="M370">
            <v>0</v>
          </cell>
          <cell r="N370">
            <v>529.91999999999996</v>
          </cell>
          <cell r="O370" t="str">
            <v/>
          </cell>
          <cell r="P370">
            <v>0</v>
          </cell>
          <cell r="Q370">
            <v>0.36364057448299902</v>
          </cell>
          <cell r="R370">
            <v>0.36364057448299902</v>
          </cell>
          <cell r="S370" t="e">
            <v>#VALUE!</v>
          </cell>
          <cell r="T370" t="e">
            <v>#VALUE!</v>
          </cell>
        </row>
        <row r="371">
          <cell r="A371" t="str">
            <v>GREM2930037K</v>
          </cell>
          <cell r="B371" t="str">
            <v>MKP000631005148</v>
          </cell>
          <cell r="C371" t="str">
            <v/>
          </cell>
          <cell r="D371" t="str">
            <v>Armário de Cozinha Completa 293cm Rustic/Preto Emilly Madesa 03</v>
          </cell>
          <cell r="E371" t="str">
            <v>EMILLY</v>
          </cell>
          <cell r="F371" t="str">
            <v>COZINHA</v>
          </cell>
          <cell r="G371" t="str">
            <v/>
          </cell>
          <cell r="H371">
            <v>1749.99</v>
          </cell>
          <cell r="I371">
            <v>1549.99</v>
          </cell>
          <cell r="J371">
            <v>1172.3168000000001</v>
          </cell>
          <cell r="K371">
            <v>0</v>
          </cell>
          <cell r="L371">
            <v>1172.3168000000001</v>
          </cell>
          <cell r="M371">
            <v>0</v>
          </cell>
          <cell r="N371">
            <v>1549.99</v>
          </cell>
          <cell r="O371" t="str">
            <v>WEB (B2W)</v>
          </cell>
          <cell r="P371">
            <v>1549.99</v>
          </cell>
          <cell r="Q371">
            <v>0.32215967560986902</v>
          </cell>
          <cell r="R371">
            <v>0.32215967560986902</v>
          </cell>
          <cell r="S371" t="e">
            <v>#VALUE!</v>
          </cell>
          <cell r="T371" t="e">
            <v>#VALUE!</v>
          </cell>
        </row>
        <row r="372">
          <cell r="A372" t="str">
            <v>GRRM20000109</v>
          </cell>
          <cell r="B372" t="str">
            <v>MKP000631003191</v>
          </cell>
          <cell r="C372" t="str">
            <v/>
          </cell>
          <cell r="D372" t="str">
            <v>Armário de Cozinha Compacta 200cm Branco Reims Madesa 01</v>
          </cell>
          <cell r="E372" t="str">
            <v>REIMS</v>
          </cell>
          <cell r="F372" t="str">
            <v>COZINHA</v>
          </cell>
          <cell r="G372" t="str">
            <v/>
          </cell>
          <cell r="H372">
            <v>2019.99</v>
          </cell>
          <cell r="I372">
            <v>1299.99</v>
          </cell>
          <cell r="J372">
            <v>1134.4611</v>
          </cell>
          <cell r="K372">
            <v>0</v>
          </cell>
          <cell r="L372">
            <v>1134.4611</v>
          </cell>
          <cell r="M372">
            <v>0</v>
          </cell>
          <cell r="N372">
            <v>1299.99</v>
          </cell>
          <cell r="O372" t="str">
            <v/>
          </cell>
          <cell r="P372">
            <v>0</v>
          </cell>
          <cell r="Q372">
            <v>0.14590971872019201</v>
          </cell>
          <cell r="R372">
            <v>0.14590971872019201</v>
          </cell>
          <cell r="S372" t="e">
            <v>#VALUE!</v>
          </cell>
          <cell r="T372" t="e">
            <v>#VALUE!</v>
          </cell>
        </row>
        <row r="373">
          <cell r="A373" t="str">
            <v>045747G4TPER</v>
          </cell>
          <cell r="B373" t="str">
            <v>MKP000631001782</v>
          </cell>
          <cell r="C373" t="str">
            <v/>
          </cell>
          <cell r="D373" t="str">
            <v>Conjunto Sala de Jantar Aline Madesa Mesa Tampo de Vidro com 4 Cadeiras Rustic/Crema/Sintético Bege</v>
          </cell>
          <cell r="E373" t="str">
            <v>ALINE</v>
          </cell>
          <cell r="F373" t="str">
            <v>SALA DE JANTAR</v>
          </cell>
          <cell r="G373" t="str">
            <v>4291X</v>
          </cell>
          <cell r="H373">
            <v>1249.99</v>
          </cell>
          <cell r="I373">
            <v>629.99</v>
          </cell>
          <cell r="J373">
            <v>494.04250000000002</v>
          </cell>
          <cell r="K373">
            <v>0</v>
          </cell>
          <cell r="L373">
            <v>494.04250000000002</v>
          </cell>
          <cell r="M373">
            <v>0</v>
          </cell>
          <cell r="N373">
            <v>629.99</v>
          </cell>
          <cell r="O373" t="str">
            <v>MAGALU</v>
          </cell>
          <cell r="P373">
            <v>631.57000000000005</v>
          </cell>
          <cell r="Q373">
            <v>0.27517369457081098</v>
          </cell>
          <cell r="R373">
            <v>0.27517369457081098</v>
          </cell>
          <cell r="S373" t="e">
            <v>#VALUE!</v>
          </cell>
          <cell r="T373" t="e">
            <v>#VALUE!</v>
          </cell>
        </row>
        <row r="374">
          <cell r="A374" t="str">
            <v>GRRM2600028N</v>
          </cell>
          <cell r="B374" t="str">
            <v>MKP000631002188</v>
          </cell>
          <cell r="C374" t="str">
            <v/>
          </cell>
          <cell r="D374" t="str">
            <v>Armário de Cozinha Completa 260cm Preto Reims Madesa 02</v>
          </cell>
          <cell r="E374" t="str">
            <v>REIMS</v>
          </cell>
          <cell r="F374" t="str">
            <v>COZINHA</v>
          </cell>
          <cell r="G374" t="str">
            <v/>
          </cell>
          <cell r="H374">
            <v>2469.9899999999998</v>
          </cell>
          <cell r="I374">
            <v>1599.99</v>
          </cell>
          <cell r="J374">
            <v>1301.0676000000001</v>
          </cell>
          <cell r="K374">
            <v>0</v>
          </cell>
          <cell r="L374">
            <v>1301.0676000000001</v>
          </cell>
          <cell r="M374">
            <v>0</v>
          </cell>
          <cell r="N374">
            <v>1599.99</v>
          </cell>
          <cell r="O374" t="str">
            <v>LOJA</v>
          </cell>
          <cell r="P374">
            <v>1649.99</v>
          </cell>
          <cell r="Q374">
            <v>0.229751628585632</v>
          </cell>
          <cell r="R374">
            <v>0.229751628585632</v>
          </cell>
          <cell r="S374" t="e">
            <v>#VALUE!</v>
          </cell>
          <cell r="T374" t="e">
            <v>#VALUE!</v>
          </cell>
        </row>
        <row r="375">
          <cell r="A375" t="str">
            <v>G2415309GL</v>
          </cell>
          <cell r="B375" t="str">
            <v>MKP000631002391</v>
          </cell>
          <cell r="C375" t="str">
            <v/>
          </cell>
          <cell r="D375" t="str">
            <v>Balcão de Pia Madesa Glamy 150 cm 2 Portas e 2 Gavetas (Sem Tampo e Pia) Branco</v>
          </cell>
          <cell r="E375" t="str">
            <v>GLAMY</v>
          </cell>
          <cell r="F375" t="str">
            <v>MODULAÇÃO</v>
          </cell>
          <cell r="G375" t="str">
            <v/>
          </cell>
          <cell r="H375">
            <v>1119.99</v>
          </cell>
          <cell r="I375">
            <v>559.99</v>
          </cell>
          <cell r="J375">
            <v>436.25069999999999</v>
          </cell>
          <cell r="K375">
            <v>0</v>
          </cell>
          <cell r="L375">
            <v>436.25069999999999</v>
          </cell>
          <cell r="M375">
            <v>0</v>
          </cell>
          <cell r="N375">
            <v>559.99</v>
          </cell>
          <cell r="O375" t="str">
            <v/>
          </cell>
          <cell r="P375">
            <v>0</v>
          </cell>
          <cell r="Q375">
            <v>0.28364263942728302</v>
          </cell>
          <cell r="R375">
            <v>0.28364263942728302</v>
          </cell>
          <cell r="S375" t="e">
            <v>#VALUE!</v>
          </cell>
          <cell r="T375" t="e">
            <v>#VALUE!</v>
          </cell>
        </row>
        <row r="376">
          <cell r="A376" t="str">
            <v>G251218NRM</v>
          </cell>
          <cell r="B376" t="str">
            <v>MKP000631002302</v>
          </cell>
          <cell r="C376" t="str">
            <v/>
          </cell>
          <cell r="D376" t="str">
            <v>Armário Aéreo Madesa Reims 120 cm 2 Portas Preto</v>
          </cell>
          <cell r="E376" t="str">
            <v>REIMS</v>
          </cell>
          <cell r="F376" t="str">
            <v>MODULAÇÃO</v>
          </cell>
          <cell r="G376" t="str">
            <v/>
          </cell>
          <cell r="H376">
            <v>609.99</v>
          </cell>
          <cell r="I376">
            <v>310.92</v>
          </cell>
          <cell r="J376">
            <v>227.14510000000001</v>
          </cell>
          <cell r="K376">
            <v>0</v>
          </cell>
          <cell r="L376">
            <v>227.14510000000001</v>
          </cell>
          <cell r="M376">
            <v>0</v>
          </cell>
          <cell r="N376">
            <v>310.92</v>
          </cell>
          <cell r="O376" t="str">
            <v/>
          </cell>
          <cell r="P376">
            <v>0</v>
          </cell>
          <cell r="Q376">
            <v>0.368816672690716</v>
          </cell>
          <cell r="R376">
            <v>0.368816672690716</v>
          </cell>
          <cell r="S376" t="e">
            <v>#VALUE!</v>
          </cell>
          <cell r="T376" t="e">
            <v>#VALUE!</v>
          </cell>
        </row>
        <row r="377">
          <cell r="A377" t="str">
            <v>MDJA0400505ZFLH</v>
          </cell>
          <cell r="B377" t="str">
            <v>MKP000631001553</v>
          </cell>
          <cell r="C377" t="str">
            <v/>
          </cell>
          <cell r="D377" t="str">
            <v>Conjunto Sala de Jantar Madesa Maya Mesa Tampo de Vidro com 4 Cadeiras Rustic/Floral Hibiscos</v>
          </cell>
          <cell r="E377" t="str">
            <v>MAYA</v>
          </cell>
          <cell r="F377" t="str">
            <v>SALA DE JANTAR</v>
          </cell>
          <cell r="G377" t="str">
            <v>4290X</v>
          </cell>
          <cell r="H377">
            <v>699.99</v>
          </cell>
          <cell r="I377">
            <v>599.99</v>
          </cell>
          <cell r="J377">
            <v>493.51929999999999</v>
          </cell>
          <cell r="K377">
            <v>0</v>
          </cell>
          <cell r="L377">
            <v>493.51929999999999</v>
          </cell>
          <cell r="M377">
            <v>0</v>
          </cell>
          <cell r="N377">
            <v>599.99</v>
          </cell>
          <cell r="O377" t="str">
            <v/>
          </cell>
          <cell r="P377">
            <v>0</v>
          </cell>
          <cell r="Q377">
            <v>0.21573766213398299</v>
          </cell>
          <cell r="R377">
            <v>0.21573766213398299</v>
          </cell>
          <cell r="S377" t="e">
            <v>#VALUE!</v>
          </cell>
          <cell r="T377" t="e">
            <v>#VALUE!</v>
          </cell>
        </row>
        <row r="378">
          <cell r="A378" t="str">
            <v>MDJA0401487GSM</v>
          </cell>
          <cell r="B378" t="str">
            <v>MKP000631005283</v>
          </cell>
          <cell r="C378" t="str">
            <v/>
          </cell>
          <cell r="D378" t="str">
            <v>Conjunto Sala de Jantar Mesa Tampo de Vidro 4 Cadeiras Rustic/Crema/Imperial Avril Madesa</v>
          </cell>
          <cell r="E378" t="str">
            <v>AVRIL</v>
          </cell>
          <cell r="F378" t="str">
            <v>SALA DE JANTAR</v>
          </cell>
          <cell r="G378">
            <v>4255</v>
          </cell>
          <cell r="H378">
            <v>1369.99</v>
          </cell>
          <cell r="I378">
            <v>1359.99</v>
          </cell>
          <cell r="J378">
            <v>1036.2411999999999</v>
          </cell>
          <cell r="K378">
            <v>0</v>
          </cell>
          <cell r="L378">
            <v>1036.2411999999999</v>
          </cell>
          <cell r="M378">
            <v>0</v>
          </cell>
          <cell r="N378">
            <v>1359.99</v>
          </cell>
          <cell r="O378" t="str">
            <v>LOJA</v>
          </cell>
          <cell r="P378">
            <v>1399.99</v>
          </cell>
          <cell r="Q378">
            <v>0.312426103111901</v>
          </cell>
          <cell r="R378">
            <v>0.312426103111901</v>
          </cell>
          <cell r="S378" t="e">
            <v>#VALUE!</v>
          </cell>
          <cell r="T378" t="e">
            <v>#VALUE!</v>
          </cell>
        </row>
        <row r="379">
          <cell r="A379" t="str">
            <v>10936E1E</v>
          </cell>
          <cell r="B379" t="str">
            <v>MKP000631000805</v>
          </cell>
          <cell r="C379" t="str">
            <v/>
          </cell>
          <cell r="D379" t="str">
            <v>Guarda-Roupa Casal Madesa Mônaco 3 Portas de Correr com Espelho Rustic/Branco</v>
          </cell>
          <cell r="E379" t="str">
            <v>MÔNACO</v>
          </cell>
          <cell r="F379" t="str">
            <v>QUARTO</v>
          </cell>
          <cell r="G379" t="str">
            <v/>
          </cell>
          <cell r="H379">
            <v>1479.99</v>
          </cell>
          <cell r="I379">
            <v>919.99</v>
          </cell>
          <cell r="J379">
            <v>750.78110000000004</v>
          </cell>
          <cell r="K379">
            <v>0</v>
          </cell>
          <cell r="L379">
            <v>750.78110000000004</v>
          </cell>
          <cell r="M379">
            <v>0</v>
          </cell>
          <cell r="N379">
            <v>919.99</v>
          </cell>
          <cell r="O379" t="str">
            <v>MAGALU</v>
          </cell>
          <cell r="P379">
            <v>894.73</v>
          </cell>
          <cell r="Q379">
            <v>0.225377143883883</v>
          </cell>
          <cell r="R379">
            <v>0.225377143883883</v>
          </cell>
          <cell r="S379" t="e">
            <v>#VALUE!</v>
          </cell>
          <cell r="T379" t="e">
            <v>#VALUE!</v>
          </cell>
        </row>
        <row r="380">
          <cell r="A380" t="str">
            <v>1093F81E</v>
          </cell>
          <cell r="B380" t="str">
            <v>MKP000631004584</v>
          </cell>
          <cell r="C380" t="str">
            <v/>
          </cell>
          <cell r="D380" t="str">
            <v>Guarda-Roupa Casal Madesa Mônaco 3 Portas de Correr com Espelho Branco/Cinza</v>
          </cell>
          <cell r="E380" t="str">
            <v>MÔNACO</v>
          </cell>
          <cell r="F380" t="str">
            <v>QUARTO</v>
          </cell>
          <cell r="G380" t="str">
            <v/>
          </cell>
          <cell r="H380">
            <v>1129.99</v>
          </cell>
          <cell r="I380">
            <v>869.92</v>
          </cell>
          <cell r="J380">
            <v>750.78110000000004</v>
          </cell>
          <cell r="K380">
            <v>0</v>
          </cell>
          <cell r="L380">
            <v>750.78110000000004</v>
          </cell>
          <cell r="M380">
            <v>0</v>
          </cell>
          <cell r="N380">
            <v>869.92</v>
          </cell>
          <cell r="O380" t="str">
            <v/>
          </cell>
          <cell r="P380">
            <v>0</v>
          </cell>
          <cell r="Q380">
            <v>0.158686599862463</v>
          </cell>
          <cell r="R380">
            <v>0.158686599862463</v>
          </cell>
          <cell r="S380" t="e">
            <v>#VALUE!</v>
          </cell>
          <cell r="T380" t="e">
            <v>#VALUE!</v>
          </cell>
        </row>
        <row r="381">
          <cell r="A381" t="str">
            <v>GRTE2900015Z9B</v>
          </cell>
          <cell r="B381" t="str">
            <v>MKP000631001989</v>
          </cell>
          <cell r="C381" t="str">
            <v/>
          </cell>
          <cell r="D381" t="str">
            <v>Armário de Cozinha Completa 290cm Rustic/Branco/Rustic Stella Madesa 01</v>
          </cell>
          <cell r="E381" t="str">
            <v>STELLA</v>
          </cell>
          <cell r="F381" t="str">
            <v>COZINHA</v>
          </cell>
          <cell r="G381" t="str">
            <v/>
          </cell>
          <cell r="H381">
            <v>3069.99</v>
          </cell>
          <cell r="I381">
            <v>2519.92</v>
          </cell>
          <cell r="J381">
            <v>2147.7577999999999</v>
          </cell>
          <cell r="K381">
            <v>0</v>
          </cell>
          <cell r="L381">
            <v>2147.7577999999999</v>
          </cell>
          <cell r="M381">
            <v>0</v>
          </cell>
          <cell r="N381">
            <v>2519.92</v>
          </cell>
          <cell r="O381" t="str">
            <v/>
          </cell>
          <cell r="P381">
            <v>0</v>
          </cell>
          <cell r="Q381">
            <v>0.17327940794814001</v>
          </cell>
          <cell r="R381">
            <v>0.17327940794814001</v>
          </cell>
          <cell r="S381" t="e">
            <v>#VALUE!</v>
          </cell>
          <cell r="T381" t="e">
            <v>#VALUE!</v>
          </cell>
        </row>
        <row r="382">
          <cell r="A382" t="str">
            <v>GRTP26000173</v>
          </cell>
          <cell r="B382" t="str">
            <v>MKP000631004961</v>
          </cell>
          <cell r="C382" t="str">
            <v/>
          </cell>
          <cell r="D382" t="str">
            <v>Armário de Cozinha Completa 260cm Branco/Preto Topazio Madesa 01</v>
          </cell>
          <cell r="E382" t="str">
            <v>TOPÁZIO</v>
          </cell>
          <cell r="F382" t="str">
            <v>COZINHA</v>
          </cell>
          <cell r="G382" t="str">
            <v/>
          </cell>
          <cell r="H382">
            <v>1399.99</v>
          </cell>
          <cell r="I382">
            <v>1199.99</v>
          </cell>
          <cell r="J382">
            <v>994.45060000000001</v>
          </cell>
          <cell r="K382">
            <v>0</v>
          </cell>
          <cell r="L382">
            <v>994.45060000000001</v>
          </cell>
          <cell r="M382">
            <v>0</v>
          </cell>
          <cell r="N382">
            <v>1199.99</v>
          </cell>
          <cell r="O382" t="str">
            <v/>
          </cell>
          <cell r="P382">
            <v>0</v>
          </cell>
          <cell r="Q382">
            <v>0.20668638542729001</v>
          </cell>
          <cell r="R382">
            <v>0.20668638542729001</v>
          </cell>
          <cell r="S382" t="e">
            <v>#VALUE!</v>
          </cell>
          <cell r="T382" t="e">
            <v>#VALUE!</v>
          </cell>
        </row>
        <row r="383">
          <cell r="A383" t="str">
            <v>94098N1</v>
          </cell>
          <cell r="B383" t="str">
            <v>MKP000631002328</v>
          </cell>
          <cell r="C383" t="str">
            <v/>
          </cell>
          <cell r="D383" t="str">
            <v>Mesa para Computador Gamer Madesa 9409 Preto</v>
          </cell>
          <cell r="E383" t="str">
            <v>GAMER</v>
          </cell>
          <cell r="F383" t="str">
            <v>ESCRITÓRIO</v>
          </cell>
          <cell r="G383" t="str">
            <v/>
          </cell>
          <cell r="H383">
            <v>499.99</v>
          </cell>
          <cell r="I383">
            <v>306.8</v>
          </cell>
          <cell r="J383">
            <v>224.04949999999999</v>
          </cell>
          <cell r="K383">
            <v>0</v>
          </cell>
          <cell r="L383">
            <v>224.04949999999999</v>
          </cell>
          <cell r="M383">
            <v>0</v>
          </cell>
          <cell r="N383">
            <v>306.8</v>
          </cell>
          <cell r="O383" t="str">
            <v>AMAZON</v>
          </cell>
          <cell r="P383">
            <v>289.99</v>
          </cell>
          <cell r="Q383">
            <v>0.36934025739847698</v>
          </cell>
          <cell r="R383">
            <v>0.36934025739847698</v>
          </cell>
          <cell r="S383" t="e">
            <v>#VALUE!</v>
          </cell>
          <cell r="T383" t="e">
            <v>#VALUE!</v>
          </cell>
        </row>
        <row r="384">
          <cell r="A384" t="str">
            <v>G241238NRM</v>
          </cell>
          <cell r="B384" t="str">
            <v>MKP000631001276</v>
          </cell>
          <cell r="C384" t="str">
            <v/>
          </cell>
          <cell r="D384" t="str">
            <v>Balcão Gabinete de Pia Madesa Reims 2 Portas e 1 Gaveta Preto</v>
          </cell>
          <cell r="E384" t="str">
            <v>REIMS</v>
          </cell>
          <cell r="F384" t="str">
            <v>MODULAÇÃO</v>
          </cell>
          <cell r="G384" t="str">
            <v/>
          </cell>
          <cell r="H384">
            <v>1069.99</v>
          </cell>
          <cell r="I384">
            <v>439.92</v>
          </cell>
          <cell r="J384">
            <v>369.74979999999999</v>
          </cell>
          <cell r="K384">
            <v>0</v>
          </cell>
          <cell r="L384">
            <v>369.74979999999999</v>
          </cell>
          <cell r="M384">
            <v>0</v>
          </cell>
          <cell r="N384">
            <v>439.92</v>
          </cell>
          <cell r="O384" t="str">
            <v/>
          </cell>
          <cell r="P384">
            <v>0</v>
          </cell>
          <cell r="Q384">
            <v>0.18977751982556801</v>
          </cell>
          <cell r="R384">
            <v>0.18977751982556801</v>
          </cell>
          <cell r="S384" t="e">
            <v>#VALUE!</v>
          </cell>
          <cell r="T384" t="e">
            <v>#VALUE!</v>
          </cell>
        </row>
        <row r="385">
          <cell r="A385" t="str">
            <v>6906091</v>
          </cell>
          <cell r="B385" t="str">
            <v>MKP000631002606</v>
          </cell>
          <cell r="C385" t="str">
            <v/>
          </cell>
          <cell r="D385" t="str">
            <v>Estante Livreiro Madesa 6906 com 6 Nichos Branco</v>
          </cell>
          <cell r="E385">
            <v>6906</v>
          </cell>
          <cell r="F385" t="str">
            <v>ESCRITÓRIO</v>
          </cell>
          <cell r="G385" t="str">
            <v/>
          </cell>
          <cell r="H385">
            <v>679.99</v>
          </cell>
          <cell r="I385">
            <v>299.99</v>
          </cell>
          <cell r="J385">
            <v>182.8039</v>
          </cell>
          <cell r="K385">
            <v>0</v>
          </cell>
          <cell r="L385">
            <v>182.8039</v>
          </cell>
          <cell r="M385">
            <v>0</v>
          </cell>
          <cell r="N385">
            <v>299.99</v>
          </cell>
          <cell r="O385" t="str">
            <v>LEROY</v>
          </cell>
          <cell r="P385">
            <v>249.99</v>
          </cell>
          <cell r="Q385">
            <v>0.64104813956376205</v>
          </cell>
          <cell r="R385">
            <v>0.64104813956376205</v>
          </cell>
          <cell r="S385" t="e">
            <v>#VALUE!</v>
          </cell>
          <cell r="T385" t="e">
            <v>#VALUE!</v>
          </cell>
        </row>
        <row r="386">
          <cell r="A386" t="str">
            <v>GREM325002F9</v>
          </cell>
          <cell r="B386" t="str">
            <v>MKP000631005143</v>
          </cell>
          <cell r="C386" t="str">
            <v/>
          </cell>
          <cell r="D386" t="str">
            <v>Armário de Cozinha Completa 325cm Cinza/Rustic Emilly Madesa 02</v>
          </cell>
          <cell r="E386" t="str">
            <v>EMILLY</v>
          </cell>
          <cell r="F386" t="str">
            <v>COZINHA</v>
          </cell>
          <cell r="G386" t="str">
            <v/>
          </cell>
          <cell r="H386">
            <v>1479.99</v>
          </cell>
          <cell r="I386">
            <v>1379.99</v>
          </cell>
          <cell r="J386">
            <v>1092.4088999999999</v>
          </cell>
          <cell r="K386">
            <v>0</v>
          </cell>
          <cell r="L386">
            <v>1092.4088999999999</v>
          </cell>
          <cell r="M386">
            <v>0</v>
          </cell>
          <cell r="N386">
            <v>1379.99</v>
          </cell>
          <cell r="O386" t="str">
            <v>MELI</v>
          </cell>
          <cell r="P386">
            <v>1622.22</v>
          </cell>
          <cell r="Q386">
            <v>0.26325408004273898</v>
          </cell>
          <cell r="R386">
            <v>0.26325408004273898</v>
          </cell>
          <cell r="S386" t="e">
            <v>#VALUE!</v>
          </cell>
          <cell r="T386" t="e">
            <v>#VALUE!</v>
          </cell>
        </row>
        <row r="387">
          <cell r="A387" t="str">
            <v>10956E1E</v>
          </cell>
          <cell r="B387" t="str">
            <v>MKP000631002078</v>
          </cell>
          <cell r="C387" t="str">
            <v/>
          </cell>
          <cell r="D387" t="str">
            <v>Guarda-Roupa Casal Madesa Reno 3 Portas de Correr com Espelho Rustic/Branco</v>
          </cell>
          <cell r="E387" t="str">
            <v>RENO</v>
          </cell>
          <cell r="F387" t="str">
            <v>QUARTO</v>
          </cell>
          <cell r="G387" t="str">
            <v/>
          </cell>
          <cell r="H387">
            <v>2069.9899999999998</v>
          </cell>
          <cell r="I387">
            <v>1289.99</v>
          </cell>
          <cell r="J387">
            <v>986.06849999999997</v>
          </cell>
          <cell r="K387">
            <v>0</v>
          </cell>
          <cell r="L387">
            <v>986.06849999999997</v>
          </cell>
          <cell r="M387">
            <v>0</v>
          </cell>
          <cell r="N387">
            <v>1289.99</v>
          </cell>
          <cell r="O387" t="str">
            <v>AMAZON</v>
          </cell>
          <cell r="P387">
            <v>1099.99</v>
          </cell>
          <cell r="Q387">
            <v>0.30821540288529597</v>
          </cell>
          <cell r="R387">
            <v>0.30821540288529597</v>
          </cell>
          <cell r="S387" t="e">
            <v>#VALUE!</v>
          </cell>
          <cell r="T387" t="e">
            <v>#VALUE!</v>
          </cell>
        </row>
        <row r="388">
          <cell r="A388" t="str">
            <v>9400091</v>
          </cell>
          <cell r="B388" t="str">
            <v>MKP000631001970</v>
          </cell>
          <cell r="C388" t="str">
            <v/>
          </cell>
          <cell r="D388" t="str">
            <v>Escrivaninha Madesa Alaska 3 Gavetas 1 Porta Branco</v>
          </cell>
          <cell r="E388" t="str">
            <v>ALASKA</v>
          </cell>
          <cell r="F388" t="str">
            <v>ESCRITÓRIO</v>
          </cell>
          <cell r="G388" t="str">
            <v/>
          </cell>
          <cell r="H388">
            <v>879.99</v>
          </cell>
          <cell r="I388">
            <v>449.92</v>
          </cell>
          <cell r="J388">
            <v>332.56990000000002</v>
          </cell>
          <cell r="K388">
            <v>0</v>
          </cell>
          <cell r="L388">
            <v>332.56990000000002</v>
          </cell>
          <cell r="M388">
            <v>0</v>
          </cell>
          <cell r="N388">
            <v>449.92</v>
          </cell>
          <cell r="O388" t="str">
            <v>LEROY</v>
          </cell>
          <cell r="P388">
            <v>0</v>
          </cell>
          <cell r="Q388">
            <v>0.35285845171195601</v>
          </cell>
          <cell r="R388">
            <v>0.35285845171195601</v>
          </cell>
          <cell r="S388" t="e">
            <v>#VALUE!</v>
          </cell>
          <cell r="T388" t="e">
            <v>#VALUE!</v>
          </cell>
        </row>
        <row r="389">
          <cell r="A389" t="str">
            <v>GRGM27000709</v>
          </cell>
          <cell r="B389" t="str">
            <v>MKP000631004334</v>
          </cell>
          <cell r="C389" t="str">
            <v/>
          </cell>
          <cell r="D389" t="str">
            <v>Armário de Cozinha Completa 100% MDF 270cm Frentes Branco Brilho Acordes Madesa 07</v>
          </cell>
          <cell r="E389" t="str">
            <v>ACORDES</v>
          </cell>
          <cell r="F389" t="str">
            <v>COZINHA</v>
          </cell>
          <cell r="G389" t="str">
            <v/>
          </cell>
          <cell r="H389">
            <v>3019.99</v>
          </cell>
          <cell r="I389">
            <v>2279.9899999999998</v>
          </cell>
          <cell r="J389">
            <v>1713.8506</v>
          </cell>
          <cell r="K389">
            <v>0</v>
          </cell>
          <cell r="L389">
            <v>1713.8506</v>
          </cell>
          <cell r="M389">
            <v>0</v>
          </cell>
          <cell r="N389">
            <v>2279.9899999999998</v>
          </cell>
          <cell r="O389" t="str">
            <v>LOJA</v>
          </cell>
          <cell r="P389">
            <v>2069.9899999999998</v>
          </cell>
          <cell r="Q389">
            <v>0.33033182705657099</v>
          </cell>
          <cell r="R389">
            <v>0.33033182705657099</v>
          </cell>
          <cell r="S389" t="e">
            <v>#VALUE!</v>
          </cell>
          <cell r="T389" t="e">
            <v>#VALUE!</v>
          </cell>
        </row>
        <row r="390">
          <cell r="A390" t="str">
            <v>1104092E</v>
          </cell>
          <cell r="B390" t="str">
            <v>MKP000631000506</v>
          </cell>
          <cell r="C390" t="str">
            <v/>
          </cell>
          <cell r="D390" t="str">
            <v>Sapateira Madesa Isis 1 Porta com Espelho Branco</v>
          </cell>
          <cell r="E390" t="str">
            <v>ISIS</v>
          </cell>
          <cell r="F390" t="str">
            <v>QUARTO</v>
          </cell>
          <cell r="G390" t="str">
            <v/>
          </cell>
          <cell r="H390">
            <v>939.99</v>
          </cell>
          <cell r="I390">
            <v>619.99</v>
          </cell>
          <cell r="J390">
            <v>430.86610000000002</v>
          </cell>
          <cell r="K390">
            <v>0</v>
          </cell>
          <cell r="L390">
            <v>430.86610000000002</v>
          </cell>
          <cell r="M390">
            <v>0</v>
          </cell>
          <cell r="N390">
            <v>619.99</v>
          </cell>
          <cell r="O390" t="str">
            <v>MAGALU</v>
          </cell>
          <cell r="P390">
            <v>578.94000000000005</v>
          </cell>
          <cell r="Q390">
            <v>0.43893891861067702</v>
          </cell>
          <cell r="R390">
            <v>0.43893891861067702</v>
          </cell>
          <cell r="S390" t="e">
            <v>#VALUE!</v>
          </cell>
          <cell r="T390" t="e">
            <v>#VALUE!</v>
          </cell>
        </row>
        <row r="391">
          <cell r="A391" t="str">
            <v>G200709B</v>
          </cell>
          <cell r="B391" t="str">
            <v>MKP000631000197</v>
          </cell>
          <cell r="C391" t="str">
            <v/>
          </cell>
          <cell r="D391" t="str">
            <v>Armário de Cozinha Compacta Rustic/Branco Emilly Top Madesa</v>
          </cell>
          <cell r="E391" t="str">
            <v>TOP/EMILLY</v>
          </cell>
          <cell r="F391" t="str">
            <v>COZINHA</v>
          </cell>
          <cell r="G391" t="str">
            <v/>
          </cell>
          <cell r="H391">
            <v>1099.99</v>
          </cell>
          <cell r="I391">
            <v>759.99</v>
          </cell>
          <cell r="J391">
            <v>587.28110000000004</v>
          </cell>
          <cell r="K391">
            <v>0</v>
          </cell>
          <cell r="L391">
            <v>587.28110000000004</v>
          </cell>
          <cell r="M391">
            <v>0</v>
          </cell>
          <cell r="N391">
            <v>759.99</v>
          </cell>
          <cell r="O391" t="str">
            <v>MAGALU</v>
          </cell>
          <cell r="P391">
            <v>736.83</v>
          </cell>
          <cell r="Q391">
            <v>0.29408216950962701</v>
          </cell>
          <cell r="R391">
            <v>0.29408216950962701</v>
          </cell>
          <cell r="S391" t="e">
            <v>#VALUE!</v>
          </cell>
          <cell r="T391" t="e">
            <v>#VALUE!</v>
          </cell>
        </row>
        <row r="392">
          <cell r="A392" t="str">
            <v>XC10638N1E</v>
          </cell>
          <cell r="B392" t="str">
            <v>MKP000631003101</v>
          </cell>
          <cell r="C392" t="str">
            <v/>
          </cell>
          <cell r="D392" t="str">
            <v>Guarda-Roupa Casal 100% MDF Madesa Zurique 3 Portas de Correr com Espelho Preto</v>
          </cell>
          <cell r="E392" t="str">
            <v>ZURIQUE</v>
          </cell>
          <cell r="F392" t="str">
            <v>QUARTO</v>
          </cell>
          <cell r="G392" t="str">
            <v/>
          </cell>
          <cell r="H392">
            <v>2719.99</v>
          </cell>
          <cell r="I392">
            <v>2379.9899999999998</v>
          </cell>
          <cell r="J392">
            <v>1792.614</v>
          </cell>
          <cell r="K392">
            <v>0</v>
          </cell>
          <cell r="L392">
            <v>1792.614</v>
          </cell>
          <cell r="M392">
            <v>0</v>
          </cell>
          <cell r="N392">
            <v>2379.9899999999998</v>
          </cell>
          <cell r="O392" t="str">
            <v>MAGALU</v>
          </cell>
          <cell r="P392">
            <v>2105.25</v>
          </cell>
          <cell r="Q392">
            <v>0.32766451673366398</v>
          </cell>
          <cell r="R392">
            <v>0.32766451673366398</v>
          </cell>
          <cell r="S392" t="e">
            <v>#VALUE!</v>
          </cell>
          <cell r="T392" t="e">
            <v>#VALUE!</v>
          </cell>
        </row>
        <row r="393">
          <cell r="A393" t="str">
            <v>21055Z1</v>
          </cell>
          <cell r="B393" t="str">
            <v>MKP000631005833</v>
          </cell>
          <cell r="C393" t="str">
            <v/>
          </cell>
          <cell r="D393" t="str">
            <v>Painel para TV até 60 Polegadas Madesa Alfa Rustic</v>
          </cell>
          <cell r="E393" t="str">
            <v>ALFA</v>
          </cell>
          <cell r="F393" t="str">
            <v>SALA DE ESTAR</v>
          </cell>
          <cell r="G393" t="str">
            <v/>
          </cell>
          <cell r="H393">
            <v>899.99</v>
          </cell>
          <cell r="I393">
            <v>399.99</v>
          </cell>
          <cell r="J393">
            <v>309.11309999999997</v>
          </cell>
          <cell r="K393">
            <v>0</v>
          </cell>
          <cell r="L393">
            <v>309.11309999999997</v>
          </cell>
          <cell r="M393">
            <v>0</v>
          </cell>
          <cell r="N393">
            <v>399.99</v>
          </cell>
          <cell r="O393" t="str">
            <v>MELI</v>
          </cell>
          <cell r="P393">
            <v>499.99</v>
          </cell>
          <cell r="Q393">
            <v>0.29399239307554398</v>
          </cell>
          <cell r="R393">
            <v>0.29399239307554398</v>
          </cell>
          <cell r="S393" t="e">
            <v>#VALUE!</v>
          </cell>
          <cell r="T393" t="e">
            <v>#VALUE!</v>
          </cell>
        </row>
        <row r="394">
          <cell r="A394" t="str">
            <v>G2660009</v>
          </cell>
          <cell r="B394" t="str">
            <v>MKP000631000923</v>
          </cell>
          <cell r="C394" t="str">
            <v/>
          </cell>
          <cell r="D394" t="str">
            <v>Paneleiro Madesa Acordes 100% MDF 60 cm 2 Portas Branco Brilho</v>
          </cell>
          <cell r="E394" t="str">
            <v>ACORDES</v>
          </cell>
          <cell r="F394" t="str">
            <v>MODULAÇÃO</v>
          </cell>
          <cell r="G394" t="str">
            <v/>
          </cell>
          <cell r="H394">
            <v>1219.99</v>
          </cell>
          <cell r="I394">
            <v>779.99</v>
          </cell>
          <cell r="J394">
            <v>507.91820000000001</v>
          </cell>
          <cell r="K394">
            <v>0</v>
          </cell>
          <cell r="L394">
            <v>507.91820000000001</v>
          </cell>
          <cell r="M394">
            <v>0</v>
          </cell>
          <cell r="N394">
            <v>779.99</v>
          </cell>
          <cell r="O394" t="str">
            <v/>
          </cell>
          <cell r="P394">
            <v>0</v>
          </cell>
          <cell r="Q394">
            <v>0.53566066346903896</v>
          </cell>
          <cell r="R394">
            <v>0.53566066346903896</v>
          </cell>
          <cell r="S394" t="e">
            <v>#VALUE!</v>
          </cell>
          <cell r="T394" t="e">
            <v>#VALUE!</v>
          </cell>
        </row>
        <row r="395">
          <cell r="A395" t="str">
            <v>1094092E2G</v>
          </cell>
          <cell r="B395" t="str">
            <v>MKP000631000783</v>
          </cell>
          <cell r="C395" t="str">
            <v/>
          </cell>
          <cell r="D395" t="str">
            <v>Guarda-Roupa Solteiro Madesa Dallas 2 Portas de Correr de Espelho 2 Gavetas Branco</v>
          </cell>
          <cell r="E395" t="str">
            <v>DALLAS</v>
          </cell>
          <cell r="F395" t="str">
            <v>QUARTO</v>
          </cell>
          <cell r="G395" t="str">
            <v/>
          </cell>
          <cell r="H395">
            <v>1799.99</v>
          </cell>
          <cell r="I395">
            <v>1149.99</v>
          </cell>
          <cell r="J395">
            <v>823.70209999999997</v>
          </cell>
          <cell r="K395">
            <v>0</v>
          </cell>
          <cell r="L395">
            <v>823.70209999999997</v>
          </cell>
          <cell r="M395">
            <v>0</v>
          </cell>
          <cell r="N395">
            <v>1149.99</v>
          </cell>
          <cell r="O395" t="str">
            <v>WEB (MADEIRA)</v>
          </cell>
          <cell r="P395">
            <v>1149.99</v>
          </cell>
          <cell r="Q395">
            <v>0.396123671409846</v>
          </cell>
          <cell r="R395">
            <v>0.396123671409846</v>
          </cell>
          <cell r="S395" t="e">
            <v>#VALUE!</v>
          </cell>
          <cell r="T395" t="e">
            <v>#VALUE!</v>
          </cell>
        </row>
        <row r="396">
          <cell r="A396" t="str">
            <v>MDJA0401085ZBE</v>
          </cell>
          <cell r="B396" t="str">
            <v>MKP000631004182</v>
          </cell>
          <cell r="C396" t="str">
            <v/>
          </cell>
          <cell r="D396" t="str">
            <v>Conjunto Sala de Jantar Madesa Débora Mesa Tampo de Vidro Redondo 4 Cadeiras Rustic/Bege</v>
          </cell>
          <cell r="E396" t="str">
            <v>DÉBORA</v>
          </cell>
          <cell r="F396" t="str">
            <v>SALA DE JANTAR</v>
          </cell>
          <cell r="G396" t="str">
            <v>4290X</v>
          </cell>
          <cell r="H396">
            <v>1039.99</v>
          </cell>
          <cell r="I396">
            <v>769.99</v>
          </cell>
          <cell r="J396">
            <v>531.88729999999998</v>
          </cell>
          <cell r="K396">
            <v>0</v>
          </cell>
          <cell r="L396">
            <v>531.88729999999998</v>
          </cell>
          <cell r="M396">
            <v>0</v>
          </cell>
          <cell r="N396">
            <v>769.99</v>
          </cell>
          <cell r="O396" t="str">
            <v>AMAZON</v>
          </cell>
          <cell r="P396">
            <v>679.99</v>
          </cell>
          <cell r="Q396">
            <v>0.44765629861814699</v>
          </cell>
          <cell r="R396">
            <v>0.44765629861814699</v>
          </cell>
          <cell r="S396" t="e">
            <v>#VALUE!</v>
          </cell>
          <cell r="T396" t="e">
            <v>#VALUE!</v>
          </cell>
        </row>
        <row r="397">
          <cell r="A397" t="str">
            <v>MDJA0601346ESIL</v>
          </cell>
          <cell r="B397" t="str">
            <v>MKP000631004933</v>
          </cell>
          <cell r="C397" t="str">
            <v/>
          </cell>
          <cell r="D397" t="str">
            <v>Conjunto Sala de Jantar Mesa Tampo de Vidro 6 Cadeiras Rustic/Branco/Silver Geórgia Madesa</v>
          </cell>
          <cell r="E397" t="str">
            <v>GEÓRGIA</v>
          </cell>
          <cell r="F397" t="str">
            <v>SALA DE JANTAR</v>
          </cell>
          <cell r="G397">
            <v>4256</v>
          </cell>
          <cell r="H397">
            <v>2069.9899999999998</v>
          </cell>
          <cell r="I397">
            <v>1799.99</v>
          </cell>
          <cell r="J397">
            <v>1411.2447999999999</v>
          </cell>
          <cell r="K397">
            <v>0</v>
          </cell>
          <cell r="L397">
            <v>1411.2447999999999</v>
          </cell>
          <cell r="M397">
            <v>0</v>
          </cell>
          <cell r="N397">
            <v>1799.99</v>
          </cell>
          <cell r="O397" t="str">
            <v>LOJA</v>
          </cell>
          <cell r="P397">
            <v>1799.99</v>
          </cell>
          <cell r="Q397">
            <v>0.27546262703678298</v>
          </cell>
          <cell r="R397">
            <v>0.27546262703678298</v>
          </cell>
          <cell r="S397" t="e">
            <v>#VALUE!</v>
          </cell>
          <cell r="T397" t="e">
            <v>#VALUE!</v>
          </cell>
        </row>
        <row r="398">
          <cell r="A398" t="str">
            <v>9409091</v>
          </cell>
          <cell r="B398" t="str">
            <v>MKP000631002327</v>
          </cell>
          <cell r="C398" t="str">
            <v/>
          </cell>
          <cell r="D398" t="str">
            <v>Mesa para Computador Gamer Madesa 9409 Branco</v>
          </cell>
          <cell r="E398" t="str">
            <v>GAMER</v>
          </cell>
          <cell r="F398" t="str">
            <v>ESCRITÓRIO</v>
          </cell>
          <cell r="G398" t="str">
            <v/>
          </cell>
          <cell r="H398">
            <v>469.99</v>
          </cell>
          <cell r="I398">
            <v>329.99</v>
          </cell>
          <cell r="J398">
            <v>224.04949999999999</v>
          </cell>
          <cell r="K398">
            <v>0</v>
          </cell>
          <cell r="L398">
            <v>224.04949999999999</v>
          </cell>
          <cell r="M398">
            <v>0</v>
          </cell>
          <cell r="N398">
            <v>329.99</v>
          </cell>
          <cell r="O398" t="str">
            <v>KABUM</v>
          </cell>
          <cell r="P398">
            <v>343.15</v>
          </cell>
          <cell r="Q398">
            <v>0.47284417059623002</v>
          </cell>
          <cell r="R398">
            <v>0.47284417059623002</v>
          </cell>
          <cell r="S398" t="e">
            <v>#VALUE!</v>
          </cell>
          <cell r="T398" t="e">
            <v>#VALUE!</v>
          </cell>
        </row>
        <row r="399">
          <cell r="A399" t="str">
            <v>10945Z1ECP</v>
          </cell>
          <cell r="B399" t="str">
            <v>MKP000631000965</v>
          </cell>
          <cell r="C399" t="str">
            <v/>
          </cell>
          <cell r="D399" t="str">
            <v>Guarda-Roupa Solteiro Madesa Denver 2 Portas de Correr com Espelho com Pés Rustic</v>
          </cell>
          <cell r="E399" t="str">
            <v>DENVER</v>
          </cell>
          <cell r="F399" t="str">
            <v>QUARTO</v>
          </cell>
          <cell r="G399" t="str">
            <v/>
          </cell>
          <cell r="H399">
            <v>949.99</v>
          </cell>
          <cell r="I399">
            <v>819.92</v>
          </cell>
          <cell r="J399">
            <v>641.62850000000003</v>
          </cell>
          <cell r="K399">
            <v>0</v>
          </cell>
          <cell r="L399">
            <v>641.62850000000003</v>
          </cell>
          <cell r="M399">
            <v>0</v>
          </cell>
          <cell r="N399">
            <v>819.92</v>
          </cell>
          <cell r="O399" t="str">
            <v/>
          </cell>
          <cell r="P399">
            <v>0</v>
          </cell>
          <cell r="Q399">
            <v>0.27787341117172898</v>
          </cell>
          <cell r="R399">
            <v>0.27787341117172898</v>
          </cell>
          <cell r="S399" t="e">
            <v>#VALUE!</v>
          </cell>
          <cell r="T399" t="e">
            <v>#VALUE!</v>
          </cell>
        </row>
        <row r="400">
          <cell r="A400" t="str">
            <v>70035Z1-1E</v>
          </cell>
          <cell r="B400" t="str">
            <v>MKP000631000526</v>
          </cell>
          <cell r="C400" t="str">
            <v/>
          </cell>
          <cell r="D400" t="str">
            <v>Rack com Painel para TV até 65 Polegadas Madesa London 1 Porta com Espelho Rustic</v>
          </cell>
          <cell r="E400" t="str">
            <v>LONDON</v>
          </cell>
          <cell r="F400" t="str">
            <v>SALA DE ESTAR</v>
          </cell>
          <cell r="G400" t="str">
            <v/>
          </cell>
          <cell r="H400">
            <v>649.99</v>
          </cell>
          <cell r="I400">
            <v>529.91999999999996</v>
          </cell>
          <cell r="J400">
            <v>397.53390000000002</v>
          </cell>
          <cell r="K400">
            <v>0</v>
          </cell>
          <cell r="L400">
            <v>397.53390000000002</v>
          </cell>
          <cell r="M400">
            <v>0</v>
          </cell>
          <cell r="N400">
            <v>529.91999999999996</v>
          </cell>
          <cell r="O400" t="str">
            <v/>
          </cell>
          <cell r="P400" t="e">
            <v>#VALUE!</v>
          </cell>
          <cell r="Q400">
            <v>0.333018391639053</v>
          </cell>
          <cell r="R400">
            <v>0.333018391639053</v>
          </cell>
          <cell r="S400" t="e">
            <v>#VALUE!</v>
          </cell>
          <cell r="T400" t="e">
            <v>#VALUE!</v>
          </cell>
        </row>
        <row r="401">
          <cell r="A401" t="str">
            <v>GCGL34900209</v>
          </cell>
          <cell r="B401" t="str">
            <v>MKP000631003785</v>
          </cell>
          <cell r="C401" t="str">
            <v/>
          </cell>
          <cell r="D401" t="str">
            <v>Armário de Cozinha Completa de Canto 349cm Branco Glamy Madesa 02</v>
          </cell>
          <cell r="E401" t="str">
            <v>GLAMY</v>
          </cell>
          <cell r="F401" t="str">
            <v>COZINHA</v>
          </cell>
          <cell r="G401" t="str">
            <v/>
          </cell>
          <cell r="H401">
            <v>2499.9899999999998</v>
          </cell>
          <cell r="I401">
            <v>2399.9899999999998</v>
          </cell>
          <cell r="J401">
            <v>2025.4161999999999</v>
          </cell>
          <cell r="K401">
            <v>0</v>
          </cell>
          <cell r="L401">
            <v>2025.4161999999999</v>
          </cell>
          <cell r="M401">
            <v>0</v>
          </cell>
          <cell r="N401">
            <v>2399.9899999999998</v>
          </cell>
          <cell r="O401" t="str">
            <v/>
          </cell>
          <cell r="P401">
            <v>0</v>
          </cell>
          <cell r="Q401">
            <v>0.18493670584840799</v>
          </cell>
          <cell r="R401">
            <v>0.18493670584840799</v>
          </cell>
          <cell r="S401" t="e">
            <v>#VALUE!</v>
          </cell>
          <cell r="T401" t="e">
            <v>#VALUE!</v>
          </cell>
        </row>
        <row r="402">
          <cell r="A402" t="str">
            <v>GCGM40900109</v>
          </cell>
          <cell r="B402" t="str">
            <v>MKP000631004308</v>
          </cell>
          <cell r="C402" t="str">
            <v/>
          </cell>
          <cell r="D402" t="str">
            <v>Armário de Cozinha Completa de Canto 100% MDF 409cm Frentes Branco Brilho Acordes Madesa 01</v>
          </cell>
          <cell r="E402" t="str">
            <v>ACORDES</v>
          </cell>
          <cell r="F402" t="str">
            <v>COZINHA</v>
          </cell>
          <cell r="G402" t="str">
            <v/>
          </cell>
          <cell r="H402">
            <v>3599.99</v>
          </cell>
          <cell r="I402">
            <v>2979.99</v>
          </cell>
          <cell r="J402">
            <v>2179.3024</v>
          </cell>
          <cell r="K402">
            <v>0</v>
          </cell>
          <cell r="L402">
            <v>2179.3024</v>
          </cell>
          <cell r="M402">
            <v>0</v>
          </cell>
          <cell r="N402">
            <v>2979.99</v>
          </cell>
          <cell r="O402" t="str">
            <v>WEB (MADEIRA)</v>
          </cell>
          <cell r="P402">
            <v>2979.99</v>
          </cell>
          <cell r="Q402">
            <v>0.36740545965534599</v>
          </cell>
          <cell r="R402">
            <v>0.36740545965534599</v>
          </cell>
          <cell r="S402" t="e">
            <v>#VALUE!</v>
          </cell>
          <cell r="T402" t="e">
            <v>#VALUE!</v>
          </cell>
        </row>
        <row r="403">
          <cell r="A403" t="str">
            <v>1094D81E</v>
          </cell>
          <cell r="B403" t="str">
            <v>MKP000631002036</v>
          </cell>
          <cell r="C403" t="str">
            <v/>
          </cell>
          <cell r="D403" t="str">
            <v>Guarda-Roupa Solteiro Madesa Denver 2 Portas de Correr com Espelho Preto/Rustic</v>
          </cell>
          <cell r="E403" t="str">
            <v>DENVER</v>
          </cell>
          <cell r="F403" t="str">
            <v>QUARTO</v>
          </cell>
          <cell r="G403" t="str">
            <v/>
          </cell>
          <cell r="H403">
            <v>919.99</v>
          </cell>
          <cell r="I403">
            <v>789.92</v>
          </cell>
          <cell r="J403">
            <v>605.03719999999998</v>
          </cell>
          <cell r="K403">
            <v>0</v>
          </cell>
          <cell r="L403">
            <v>605.03719999999998</v>
          </cell>
          <cell r="M403">
            <v>0</v>
          </cell>
          <cell r="N403">
            <v>789.92</v>
          </cell>
          <cell r="O403" t="str">
            <v/>
          </cell>
          <cell r="P403">
            <v>0</v>
          </cell>
          <cell r="Q403">
            <v>0.30557261603088198</v>
          </cell>
          <cell r="R403">
            <v>0.30557261603088198</v>
          </cell>
          <cell r="S403" t="e">
            <v>#VALUE!</v>
          </cell>
          <cell r="T403" t="e">
            <v>#VALUE!</v>
          </cell>
        </row>
        <row r="404">
          <cell r="A404" t="str">
            <v>6908091</v>
          </cell>
          <cell r="B404" t="str">
            <v>MKP000631002612</v>
          </cell>
          <cell r="C404" t="str">
            <v/>
          </cell>
          <cell r="D404" t="str">
            <v>Estante Livreiro Madesa 6908 com 6 Nichos Branco</v>
          </cell>
          <cell r="E404">
            <v>6908</v>
          </cell>
          <cell r="F404" t="str">
            <v>ESCRITÓRIO</v>
          </cell>
          <cell r="G404" t="str">
            <v/>
          </cell>
          <cell r="H404">
            <v>819.99</v>
          </cell>
          <cell r="I404">
            <v>379.99</v>
          </cell>
          <cell r="J404">
            <v>230.99279999999999</v>
          </cell>
          <cell r="K404">
            <v>0</v>
          </cell>
          <cell r="L404">
            <v>230.99279999999999</v>
          </cell>
          <cell r="M404">
            <v>0</v>
          </cell>
          <cell r="N404">
            <v>379.99</v>
          </cell>
          <cell r="O404" t="str">
            <v>CAMICADO</v>
          </cell>
          <cell r="P404">
            <v>299.99</v>
          </cell>
          <cell r="Q404">
            <v>0.64502962862911695</v>
          </cell>
          <cell r="R404">
            <v>0.64502962862911695</v>
          </cell>
          <cell r="S404" t="e">
            <v>#VALUE!</v>
          </cell>
          <cell r="T404" t="e">
            <v>#VALUE!</v>
          </cell>
        </row>
        <row r="405">
          <cell r="A405" t="str">
            <v>1094F8</v>
          </cell>
          <cell r="B405" t="str">
            <v>MKP000631004575</v>
          </cell>
          <cell r="C405" t="str">
            <v/>
          </cell>
          <cell r="D405" t="str">
            <v>Guarda-Roupa Solteiro Madesa Denver 2 Portas de Correr Branco/Cinza</v>
          </cell>
          <cell r="E405" t="str">
            <v>DENVER</v>
          </cell>
          <cell r="F405" t="str">
            <v>QUARTO</v>
          </cell>
          <cell r="G405" t="str">
            <v/>
          </cell>
          <cell r="H405">
            <v>699.99</v>
          </cell>
          <cell r="I405">
            <v>589.91999999999996</v>
          </cell>
          <cell r="J405">
            <v>475.10919999999999</v>
          </cell>
          <cell r="K405">
            <v>0</v>
          </cell>
          <cell r="L405">
            <v>475.10919999999999</v>
          </cell>
          <cell r="M405">
            <v>0</v>
          </cell>
          <cell r="N405">
            <v>589.91999999999996</v>
          </cell>
          <cell r="O405" t="str">
            <v/>
          </cell>
          <cell r="P405">
            <v>0</v>
          </cell>
          <cell r="Q405">
            <v>0.241651392985023</v>
          </cell>
          <cell r="R405">
            <v>0.241651392985023</v>
          </cell>
          <cell r="S405" t="e">
            <v>#VALUE!</v>
          </cell>
          <cell r="T405" t="e">
            <v>#VALUE!</v>
          </cell>
        </row>
        <row r="406">
          <cell r="A406" t="str">
            <v>7003091-1E</v>
          </cell>
          <cell r="B406" t="str">
            <v>MKP000631000525</v>
          </cell>
          <cell r="C406" t="str">
            <v/>
          </cell>
          <cell r="D406" t="str">
            <v>Rack com Painel para TV até 65 Polegadas Madesa London 1 Porta com Espelho Branco</v>
          </cell>
          <cell r="E406" t="str">
            <v>LONDON</v>
          </cell>
          <cell r="F406" t="str">
            <v>SALA DE ESTAR</v>
          </cell>
          <cell r="G406" t="str">
            <v/>
          </cell>
          <cell r="H406">
            <v>649.99</v>
          </cell>
          <cell r="I406">
            <v>549.99</v>
          </cell>
          <cell r="J406">
            <v>397.53390000000002</v>
          </cell>
          <cell r="K406">
            <v>0</v>
          </cell>
          <cell r="L406">
            <v>397.53390000000002</v>
          </cell>
          <cell r="M406">
            <v>0</v>
          </cell>
          <cell r="N406">
            <v>549.99</v>
          </cell>
          <cell r="O406" t="str">
            <v/>
          </cell>
          <cell r="P406" t="e">
            <v>#VALUE!</v>
          </cell>
          <cell r="Q406">
            <v>0.38350465205608902</v>
          </cell>
          <cell r="R406">
            <v>0.38350465205608902</v>
          </cell>
          <cell r="S406" t="e">
            <v>#VALUE!</v>
          </cell>
          <cell r="T406" t="e">
            <v>#VALUE!</v>
          </cell>
        </row>
        <row r="407">
          <cell r="A407" t="str">
            <v>045747K4TPT</v>
          </cell>
          <cell r="B407" t="str">
            <v>MKP000631003197</v>
          </cell>
          <cell r="C407" t="str">
            <v/>
          </cell>
          <cell r="D407" t="str">
            <v>Conjunto Sala de Jantar Aline Madesa Mesa Tampo de Vidro com 4 Cadeiras Rustic/Preto</v>
          </cell>
          <cell r="E407" t="str">
            <v>ALINE</v>
          </cell>
          <cell r="F407" t="str">
            <v>SALA DE JANTAR</v>
          </cell>
          <cell r="G407" t="str">
            <v>4291X</v>
          </cell>
          <cell r="H407">
            <v>699.99</v>
          </cell>
          <cell r="I407">
            <v>599.99</v>
          </cell>
          <cell r="J407">
            <v>494.04250000000002</v>
          </cell>
          <cell r="K407">
            <v>0</v>
          </cell>
          <cell r="L407">
            <v>494.04250000000002</v>
          </cell>
          <cell r="M407">
            <v>0</v>
          </cell>
          <cell r="N407">
            <v>599.99</v>
          </cell>
          <cell r="O407" t="str">
            <v/>
          </cell>
          <cell r="P407">
            <v>0</v>
          </cell>
          <cell r="Q407">
            <v>0.21445017382107801</v>
          </cell>
          <cell r="R407">
            <v>0.21445017382107801</v>
          </cell>
          <cell r="S407" t="e">
            <v>#VALUE!</v>
          </cell>
          <cell r="T407" t="e">
            <v>#VALUE!</v>
          </cell>
        </row>
        <row r="408">
          <cell r="A408" t="str">
            <v>MDES0200076E</v>
          </cell>
          <cell r="B408" t="str">
            <v>MKP000631001799</v>
          </cell>
          <cell r="C408" t="str">
            <v/>
          </cell>
          <cell r="D408" t="str">
            <v>Rack Madesa Le Mans e Painel para TV até 55 Polegadas 2 Portas Branco/Rustic</v>
          </cell>
          <cell r="E408" t="str">
            <v>LE MANS</v>
          </cell>
          <cell r="F408" t="str">
            <v>SALA DE ESTAR</v>
          </cell>
          <cell r="G408" t="str">
            <v/>
          </cell>
          <cell r="H408">
            <v>559.99</v>
          </cell>
          <cell r="I408">
            <v>459.99</v>
          </cell>
          <cell r="J408">
            <v>351.69940000000003</v>
          </cell>
          <cell r="K408">
            <v>0</v>
          </cell>
          <cell r="L408">
            <v>351.69940000000003</v>
          </cell>
          <cell r="M408">
            <v>0</v>
          </cell>
          <cell r="N408">
            <v>459.99</v>
          </cell>
          <cell r="O408" t="str">
            <v>WEB</v>
          </cell>
          <cell r="P408">
            <v>459.99</v>
          </cell>
          <cell r="Q408">
            <v>0.30790669531992398</v>
          </cell>
          <cell r="R408">
            <v>0.30790669531992398</v>
          </cell>
          <cell r="S408" t="e">
            <v>#VALUE!</v>
          </cell>
          <cell r="T408" t="e">
            <v>#VALUE!</v>
          </cell>
        </row>
        <row r="409">
          <cell r="A409" t="str">
            <v>MDJA0200055ZPT</v>
          </cell>
          <cell r="B409" t="str">
            <v>MKP000631000716</v>
          </cell>
          <cell r="C409" t="str">
            <v/>
          </cell>
          <cell r="D409" t="str">
            <v>Conjunto Sala de Jantar Madesa Lola Mesa Tampo de Madeira com 2 Cadeiras Rustic/Preto/Sintético Preto</v>
          </cell>
          <cell r="E409" t="str">
            <v>LOLA</v>
          </cell>
          <cell r="F409" t="str">
            <v>SALA DE JANTAR</v>
          </cell>
          <cell r="G409" t="str">
            <v>4280X</v>
          </cell>
          <cell r="H409">
            <v>709.99</v>
          </cell>
          <cell r="I409">
            <v>449.99</v>
          </cell>
          <cell r="J409">
            <v>312.721</v>
          </cell>
          <cell r="K409">
            <v>0</v>
          </cell>
          <cell r="L409">
            <v>312.721</v>
          </cell>
          <cell r="M409">
            <v>0</v>
          </cell>
          <cell r="N409">
            <v>449.99</v>
          </cell>
          <cell r="O409" t="str">
            <v>LEROY</v>
          </cell>
          <cell r="P409">
            <v>443.99</v>
          </cell>
          <cell r="Q409">
            <v>0.43895037429529898</v>
          </cell>
          <cell r="R409">
            <v>0.43895037429529898</v>
          </cell>
          <cell r="S409" t="e">
            <v>#VALUE!</v>
          </cell>
          <cell r="T409" t="e">
            <v>#VALUE!</v>
          </cell>
        </row>
        <row r="410">
          <cell r="A410" t="str">
            <v>GRRM3100018N</v>
          </cell>
          <cell r="B410" t="str">
            <v>MKP000631002189</v>
          </cell>
          <cell r="C410" t="str">
            <v/>
          </cell>
          <cell r="D410" t="str">
            <v>Armário de Cozinha Completa 310cm Preto Reims Madesa 01</v>
          </cell>
          <cell r="E410" t="str">
            <v>REIMS</v>
          </cell>
          <cell r="F410" t="str">
            <v>COZINHA</v>
          </cell>
          <cell r="G410" t="str">
            <v/>
          </cell>
          <cell r="H410">
            <v>2589.9899999999998</v>
          </cell>
          <cell r="I410">
            <v>1739.99</v>
          </cell>
          <cell r="J410">
            <v>1463.6193000000001</v>
          </cell>
          <cell r="K410">
            <v>0</v>
          </cell>
          <cell r="L410">
            <v>1463.6193000000001</v>
          </cell>
          <cell r="M410">
            <v>0</v>
          </cell>
          <cell r="N410">
            <v>1739.99</v>
          </cell>
          <cell r="O410" t="str">
            <v>VIA/MELI</v>
          </cell>
          <cell r="P410">
            <v>1649.99</v>
          </cell>
          <cell r="Q410">
            <v>0.18882690328010801</v>
          </cell>
          <cell r="R410">
            <v>0.18882690328010801</v>
          </cell>
          <cell r="S410" t="e">
            <v>#VALUE!</v>
          </cell>
          <cell r="T410" t="e">
            <v>#VALUE!</v>
          </cell>
        </row>
        <row r="411">
          <cell r="A411" t="str">
            <v>GRRM2600118N</v>
          </cell>
          <cell r="B411" t="str">
            <v>MKP000631004200</v>
          </cell>
          <cell r="C411" t="str">
            <v/>
          </cell>
          <cell r="D411" t="str">
            <v>Armário de Cozinha Completa 260cm Preto Reims Madesa 11</v>
          </cell>
          <cell r="E411" t="str">
            <v>REIMS</v>
          </cell>
          <cell r="F411" t="str">
            <v>COZINHA</v>
          </cell>
          <cell r="G411" t="str">
            <v/>
          </cell>
          <cell r="H411">
            <v>1299.99</v>
          </cell>
          <cell r="I411">
            <v>1199.99</v>
          </cell>
          <cell r="J411">
            <v>995.02829999999994</v>
          </cell>
          <cell r="K411">
            <v>0</v>
          </cell>
          <cell r="L411">
            <v>995.02829999999994</v>
          </cell>
          <cell r="M411">
            <v>0</v>
          </cell>
          <cell r="N411">
            <v>1199.99</v>
          </cell>
          <cell r="O411" t="str">
            <v>MAGALU</v>
          </cell>
          <cell r="P411">
            <v>1157.8800000000001</v>
          </cell>
          <cell r="Q411">
            <v>0.20598579959987101</v>
          </cell>
          <cell r="R411">
            <v>0.20598579959987101</v>
          </cell>
          <cell r="S411" t="e">
            <v>#VALUE!</v>
          </cell>
          <cell r="T411" t="e">
            <v>#VALUE!</v>
          </cell>
        </row>
        <row r="412">
          <cell r="A412" t="str">
            <v>800209</v>
          </cell>
          <cell r="B412" t="str">
            <v>MKP000631005254</v>
          </cell>
          <cell r="C412" t="str">
            <v/>
          </cell>
          <cell r="D412" t="str">
            <v>Armário Gabinete com Espelho para Banheiro 60cm Branco Madesa</v>
          </cell>
          <cell r="E412">
            <v>8002</v>
          </cell>
          <cell r="F412" t="str">
            <v>COZINHA</v>
          </cell>
          <cell r="G412" t="str">
            <v/>
          </cell>
          <cell r="H412">
            <v>399.99</v>
          </cell>
          <cell r="I412">
            <v>299.99</v>
          </cell>
          <cell r="J412">
            <v>220.5615</v>
          </cell>
          <cell r="K412">
            <v>0</v>
          </cell>
          <cell r="L412">
            <v>220.5615</v>
          </cell>
          <cell r="M412">
            <v>0</v>
          </cell>
          <cell r="N412">
            <v>299.99</v>
          </cell>
          <cell r="O412" t="str">
            <v>LOJA</v>
          </cell>
          <cell r="P412">
            <v>299.99</v>
          </cell>
          <cell r="Q412">
            <v>0.36011951315166102</v>
          </cell>
          <cell r="R412">
            <v>0.36011951315166102</v>
          </cell>
          <cell r="S412" t="e">
            <v>#VALUE!</v>
          </cell>
          <cell r="T412" t="e">
            <v>#VALUE!</v>
          </cell>
        </row>
        <row r="413">
          <cell r="A413" t="str">
            <v>XA691709ACP</v>
          </cell>
          <cell r="B413" t="str">
            <v>MKP000631004146</v>
          </cell>
          <cell r="C413" t="str">
            <v/>
          </cell>
          <cell r="D413" t="str">
            <v>Rack Retrô Madesa Reims para TV até 75 Polegadas Pés de Madeira Branco</v>
          </cell>
          <cell r="E413" t="str">
            <v>REIMS</v>
          </cell>
          <cell r="F413" t="str">
            <v>SALA DE ESTAR</v>
          </cell>
          <cell r="G413" t="str">
            <v/>
          </cell>
          <cell r="H413">
            <v>869.99</v>
          </cell>
          <cell r="I413">
            <v>449.99</v>
          </cell>
          <cell r="J413">
            <v>342.93579999999997</v>
          </cell>
          <cell r="K413">
            <v>0</v>
          </cell>
          <cell r="L413">
            <v>342.93579999999997</v>
          </cell>
          <cell r="M413">
            <v>0</v>
          </cell>
          <cell r="N413">
            <v>449.99</v>
          </cell>
          <cell r="O413" t="str">
            <v>VIA/CARREFOUR</v>
          </cell>
          <cell r="P413">
            <v>429.99</v>
          </cell>
          <cell r="Q413">
            <v>0.31216979971178299</v>
          </cell>
          <cell r="R413">
            <v>0.31216979971178299</v>
          </cell>
          <cell r="S413" t="e">
            <v>#VALUE!</v>
          </cell>
          <cell r="T413" t="e">
            <v>#VALUE!</v>
          </cell>
        </row>
        <row r="414">
          <cell r="A414" t="str">
            <v>MDJA0200525ZSIM</v>
          </cell>
          <cell r="B414" t="str">
            <v>MKP000631004896</v>
          </cell>
          <cell r="C414" t="str">
            <v/>
          </cell>
          <cell r="D414" t="str">
            <v>Conjunto Sala de Jantar Mesa Tampo de Madeira 2 Cadeiras Rustic/Imperial Tainá Madesa</v>
          </cell>
          <cell r="E414" t="str">
            <v>TAINÁ</v>
          </cell>
          <cell r="F414" t="str">
            <v>SALA DE JANTAR</v>
          </cell>
          <cell r="G414">
            <v>4256</v>
          </cell>
          <cell r="H414">
            <v>679.99</v>
          </cell>
          <cell r="I414">
            <v>579.99</v>
          </cell>
          <cell r="J414">
            <v>438.01650000000001</v>
          </cell>
          <cell r="K414">
            <v>0</v>
          </cell>
          <cell r="L414">
            <v>438.01650000000001</v>
          </cell>
          <cell r="M414">
            <v>0</v>
          </cell>
          <cell r="N414">
            <v>579.99</v>
          </cell>
          <cell r="O414" t="str">
            <v/>
          </cell>
          <cell r="P414">
            <v>0</v>
          </cell>
          <cell r="Q414">
            <v>0.324128200649975</v>
          </cell>
          <cell r="R414">
            <v>0.324128200649975</v>
          </cell>
          <cell r="S414" t="e">
            <v>#VALUE!</v>
          </cell>
          <cell r="T414" t="e">
            <v>#VALUE!</v>
          </cell>
        </row>
        <row r="415">
          <cell r="A415" t="str">
            <v>10288N4E</v>
          </cell>
          <cell r="B415" t="str">
            <v>MKP000631002245</v>
          </cell>
          <cell r="C415" t="str">
            <v/>
          </cell>
          <cell r="D415" t="str">
            <v>Guarda-Roupa Casal Madesa Austin 4 Portas de Correr de Espelho 3 Gavetas Preto</v>
          </cell>
          <cell r="E415" t="str">
            <v>AUSTIN</v>
          </cell>
          <cell r="F415" t="str">
            <v>QUARTO</v>
          </cell>
          <cell r="G415" t="str">
            <v/>
          </cell>
          <cell r="H415">
            <v>2819.99</v>
          </cell>
          <cell r="I415">
            <v>2049.9899999999998</v>
          </cell>
          <cell r="J415">
            <v>1632.2095999999999</v>
          </cell>
          <cell r="K415">
            <v>0</v>
          </cell>
          <cell r="L415">
            <v>1632.2095999999999</v>
          </cell>
          <cell r="M415">
            <v>0</v>
          </cell>
          <cell r="N415">
            <v>2049.9899999999998</v>
          </cell>
          <cell r="O415" t="str">
            <v>MAGALU</v>
          </cell>
          <cell r="P415">
            <v>1899.99</v>
          </cell>
          <cell r="Q415">
            <v>0.25596001886032299</v>
          </cell>
          <cell r="R415">
            <v>0.25596001886032299</v>
          </cell>
          <cell r="S415" t="e">
            <v>#VALUE!</v>
          </cell>
          <cell r="T415" t="e">
            <v>#VALUE!</v>
          </cell>
        </row>
        <row r="416">
          <cell r="A416" t="str">
            <v>104409A1EML</v>
          </cell>
          <cell r="B416" t="str">
            <v>MKP000631000946</v>
          </cell>
          <cell r="C416" t="str">
            <v/>
          </cell>
          <cell r="D416" t="str">
            <v>Guarda-Roupa Infantil Madesa Nick 2 Portas de Correr com Espelho Branco</v>
          </cell>
          <cell r="E416" t="str">
            <v>NICK</v>
          </cell>
          <cell r="F416" t="str">
            <v>QUARTO</v>
          </cell>
          <cell r="G416" t="str">
            <v/>
          </cell>
          <cell r="H416">
            <v>1539.99</v>
          </cell>
          <cell r="I416">
            <v>899.99</v>
          </cell>
          <cell r="J416">
            <v>707.32280000000003</v>
          </cell>
          <cell r="K416">
            <v>0</v>
          </cell>
          <cell r="L416">
            <v>707.32280000000003</v>
          </cell>
          <cell r="M416">
            <v>0</v>
          </cell>
          <cell r="N416">
            <v>899.99</v>
          </cell>
          <cell r="O416" t="str">
            <v>IMPÉRIO</v>
          </cell>
          <cell r="P416">
            <v>959</v>
          </cell>
          <cell r="Q416">
            <v>0.272389353206202</v>
          </cell>
          <cell r="R416">
            <v>0.272389353206202</v>
          </cell>
          <cell r="S416" t="e">
            <v>#VALUE!</v>
          </cell>
          <cell r="T416" t="e">
            <v>#VALUE!</v>
          </cell>
        </row>
        <row r="417">
          <cell r="A417" t="str">
            <v>XA110409</v>
          </cell>
          <cell r="B417" t="str">
            <v>MKP000631004147</v>
          </cell>
          <cell r="C417" t="str">
            <v/>
          </cell>
          <cell r="D417" t="str">
            <v>Sapateira Armário Multiuso Madesa Isis 1 Porta Branco</v>
          </cell>
          <cell r="E417" t="str">
            <v>ISIS</v>
          </cell>
          <cell r="F417" t="str">
            <v>QUARTO</v>
          </cell>
          <cell r="G417" t="str">
            <v/>
          </cell>
          <cell r="H417">
            <v>859.99</v>
          </cell>
          <cell r="I417">
            <v>439.99</v>
          </cell>
          <cell r="J417">
            <v>292.4579</v>
          </cell>
          <cell r="K417">
            <v>0</v>
          </cell>
          <cell r="L417">
            <v>292.4579</v>
          </cell>
          <cell r="M417">
            <v>0</v>
          </cell>
          <cell r="N417">
            <v>439.99</v>
          </cell>
          <cell r="O417" t="str">
            <v>B2W/LEROY</v>
          </cell>
          <cell r="P417">
            <v>379.99</v>
          </cell>
          <cell r="Q417">
            <v>0.50445585501366197</v>
          </cell>
          <cell r="R417">
            <v>0.50445585501366197</v>
          </cell>
          <cell r="S417" t="e">
            <v>#VALUE!</v>
          </cell>
          <cell r="T417" t="e">
            <v>#VALUE!</v>
          </cell>
        </row>
        <row r="418">
          <cell r="A418" t="str">
            <v>1093093ECP</v>
          </cell>
          <cell r="B418" t="str">
            <v>MKP000631001076</v>
          </cell>
          <cell r="C418" t="str">
            <v/>
          </cell>
          <cell r="D418" t="str">
            <v>Guarda-Roupa Casal Madesa Mônaco 3 Portas de Correr de Espelho com Pés Branco</v>
          </cell>
          <cell r="E418" t="str">
            <v>MÔNACO</v>
          </cell>
          <cell r="F418" t="str">
            <v>QUARTO</v>
          </cell>
          <cell r="G418" t="str">
            <v/>
          </cell>
          <cell r="H418">
            <v>1459.99</v>
          </cell>
          <cell r="I418">
            <v>1329.92</v>
          </cell>
          <cell r="J418">
            <v>1056.8204000000001</v>
          </cell>
          <cell r="K418">
            <v>0</v>
          </cell>
          <cell r="L418">
            <v>1056.8204000000001</v>
          </cell>
          <cell r="M418">
            <v>0</v>
          </cell>
          <cell r="N418">
            <v>1329.92</v>
          </cell>
          <cell r="O418" t="str">
            <v/>
          </cell>
          <cell r="P418">
            <v>0</v>
          </cell>
          <cell r="Q418">
            <v>0.25841628341012302</v>
          </cell>
          <cell r="R418">
            <v>0.25841628341012302</v>
          </cell>
          <cell r="S418" t="e">
            <v>#VALUE!</v>
          </cell>
          <cell r="T418" t="e">
            <v>#VALUE!</v>
          </cell>
        </row>
        <row r="419">
          <cell r="A419" t="str">
            <v>045647GX4TFLH</v>
          </cell>
          <cell r="B419" t="str">
            <v>MKP000631000607</v>
          </cell>
          <cell r="C419" t="str">
            <v/>
          </cell>
          <cell r="D419" t="str">
            <v>Conjunto Sala de Jantar Madesa Bea Mesa Tampo de Madeira com 4 Cadeiras Rustic/Crema/Floral Hibiscos</v>
          </cell>
          <cell r="E419" t="str">
            <v>BEA</v>
          </cell>
          <cell r="F419" t="str">
            <v>SALA DE JANTAR</v>
          </cell>
          <cell r="G419" t="str">
            <v>4291X</v>
          </cell>
          <cell r="H419">
            <v>669.99</v>
          </cell>
          <cell r="I419">
            <v>569.99</v>
          </cell>
          <cell r="J419">
            <v>440.43630000000002</v>
          </cell>
          <cell r="K419">
            <v>0</v>
          </cell>
          <cell r="L419">
            <v>440.43630000000002</v>
          </cell>
          <cell r="M419">
            <v>0</v>
          </cell>
          <cell r="N419">
            <v>569.99</v>
          </cell>
          <cell r="O419" t="str">
            <v/>
          </cell>
          <cell r="P419">
            <v>0</v>
          </cell>
          <cell r="Q419">
            <v>0.294148552242401</v>
          </cell>
          <cell r="R419">
            <v>0.294148552242401</v>
          </cell>
          <cell r="S419" t="e">
            <v>#VALUE!</v>
          </cell>
          <cell r="T419" t="e">
            <v>#VALUE!</v>
          </cell>
        </row>
        <row r="420">
          <cell r="A420" t="str">
            <v>10945Z2E</v>
          </cell>
          <cell r="B420" t="str">
            <v>MKP000631000759</v>
          </cell>
          <cell r="C420" t="str">
            <v/>
          </cell>
          <cell r="D420" t="str">
            <v>Guarda-Roupa Solteiro Madesa Denver 2 Portas de Correr de Espelho Rustic</v>
          </cell>
          <cell r="E420" t="str">
            <v>DENVER</v>
          </cell>
          <cell r="F420" t="str">
            <v>QUARTO</v>
          </cell>
          <cell r="G420" t="str">
            <v/>
          </cell>
          <cell r="H420">
            <v>1019.99</v>
          </cell>
          <cell r="I420">
            <v>889.92</v>
          </cell>
          <cell r="J420">
            <v>734.96519999999998</v>
          </cell>
          <cell r="K420">
            <v>0</v>
          </cell>
          <cell r="L420">
            <v>734.96519999999998</v>
          </cell>
          <cell r="M420">
            <v>0</v>
          </cell>
          <cell r="N420">
            <v>889.92</v>
          </cell>
          <cell r="O420" t="str">
            <v/>
          </cell>
          <cell r="P420">
            <v>0</v>
          </cell>
          <cell r="Q420">
            <v>0.210832839432398</v>
          </cell>
          <cell r="R420">
            <v>0.210832839432398</v>
          </cell>
          <cell r="S420" t="e">
            <v>#VALUE!</v>
          </cell>
          <cell r="T420" t="e">
            <v>#VALUE!</v>
          </cell>
        </row>
        <row r="421">
          <cell r="A421" t="str">
            <v>GRNC3000033B</v>
          </cell>
          <cell r="B421" t="str">
            <v>MKP000631004833</v>
          </cell>
          <cell r="C421" t="str">
            <v/>
          </cell>
          <cell r="D421" t="str">
            <v>Armário de Cozinha Completa Suspenso 300cm Cinza Nice Madesa 03</v>
          </cell>
          <cell r="E421" t="str">
            <v>NICE</v>
          </cell>
          <cell r="F421" t="str">
            <v>COZINHA</v>
          </cell>
          <cell r="G421" t="str">
            <v/>
          </cell>
          <cell r="H421">
            <v>2179.9899999999998</v>
          </cell>
          <cell r="I421">
            <v>2139.9899999999998</v>
          </cell>
          <cell r="J421">
            <v>1460.9378999999999</v>
          </cell>
          <cell r="K421">
            <v>0</v>
          </cell>
          <cell r="L421">
            <v>1460.9378999999999</v>
          </cell>
          <cell r="M421">
            <v>0</v>
          </cell>
          <cell r="N421">
            <v>2139.9899999999998</v>
          </cell>
          <cell r="O421" t="str">
            <v>VIA/LEROY</v>
          </cell>
          <cell r="P421">
            <v>1999.99</v>
          </cell>
          <cell r="Q421">
            <v>0.46480558824574297</v>
          </cell>
          <cell r="R421">
            <v>0.46480558824574297</v>
          </cell>
          <cell r="S421" t="e">
            <v>#VALUE!</v>
          </cell>
          <cell r="T421" t="e">
            <v>#VALUE!</v>
          </cell>
        </row>
        <row r="422">
          <cell r="A422" t="str">
            <v>10936E1E2GCP</v>
          </cell>
          <cell r="B422" t="str">
            <v>MKP000631001071</v>
          </cell>
          <cell r="C422" t="str">
            <v/>
          </cell>
          <cell r="D422" t="str">
            <v>Guarda-Roupa Casal Madesa Lyon 3 Portas de Correr com Espelho 2 Gavetas com Pés Rustic/Branco</v>
          </cell>
          <cell r="E422" t="str">
            <v>LYON</v>
          </cell>
          <cell r="F422" t="str">
            <v>QUARTO</v>
          </cell>
          <cell r="G422" t="str">
            <v/>
          </cell>
          <cell r="H422">
            <v>1369.99</v>
          </cell>
          <cell r="I422">
            <v>1129.92</v>
          </cell>
          <cell r="J422">
            <v>885.70129999999995</v>
          </cell>
          <cell r="K422">
            <v>0</v>
          </cell>
          <cell r="L422">
            <v>885.70129999999995</v>
          </cell>
          <cell r="M422">
            <v>0</v>
          </cell>
          <cell r="N422">
            <v>1129.92</v>
          </cell>
          <cell r="O422" t="str">
            <v/>
          </cell>
          <cell r="P422">
            <v>0</v>
          </cell>
          <cell r="Q422">
            <v>0.27573483295101903</v>
          </cell>
          <cell r="R422">
            <v>0.27573483295101903</v>
          </cell>
          <cell r="S422" t="e">
            <v>#VALUE!</v>
          </cell>
          <cell r="T422" t="e">
            <v>#VALUE!</v>
          </cell>
        </row>
        <row r="423">
          <cell r="A423" t="str">
            <v>GCSM448001C9</v>
          </cell>
          <cell r="B423" t="str">
            <v>MKP000631002988</v>
          </cell>
          <cell r="C423" t="str">
            <v/>
          </cell>
          <cell r="D423" t="str">
            <v>Armário de Cozinha Completa de Canto 100% MDF 448 cm Frentes Branco Brilho Smart Madesa 01</v>
          </cell>
          <cell r="E423" t="str">
            <v>SMART</v>
          </cell>
          <cell r="F423" t="str">
            <v>COZINHA</v>
          </cell>
          <cell r="G423" t="str">
            <v/>
          </cell>
          <cell r="H423">
            <v>3659.99</v>
          </cell>
          <cell r="I423">
            <v>2719.99</v>
          </cell>
          <cell r="J423">
            <v>2058.8791999999999</v>
          </cell>
          <cell r="K423">
            <v>0</v>
          </cell>
          <cell r="L423">
            <v>2058.8791999999999</v>
          </cell>
          <cell r="M423">
            <v>0</v>
          </cell>
          <cell r="N423">
            <v>2719.99</v>
          </cell>
          <cell r="O423" t="str">
            <v>LOJA</v>
          </cell>
          <cell r="P423">
            <v>2399.9899999999998</v>
          </cell>
          <cell r="Q423">
            <v>0.32110227739441899</v>
          </cell>
          <cell r="R423">
            <v>0.32110227739441899</v>
          </cell>
          <cell r="S423" t="e">
            <v>#VALUE!</v>
          </cell>
          <cell r="T423" t="e">
            <v>#VALUE!</v>
          </cell>
        </row>
        <row r="424">
          <cell r="A424" t="str">
            <v>MDJA0401487KSL</v>
          </cell>
          <cell r="B424" t="str">
            <v>MKP000631005280</v>
          </cell>
          <cell r="C424" t="str">
            <v/>
          </cell>
          <cell r="D424" t="str">
            <v>Conjunto Sala de Jantar Mesa Tampo de Vidro 4 Cadeiras Rustic/Preto/Silver Avril Madesa</v>
          </cell>
          <cell r="E424" t="str">
            <v>AVRIL</v>
          </cell>
          <cell r="F424" t="str">
            <v>SALA DE JANTAR</v>
          </cell>
          <cell r="G424">
            <v>4255</v>
          </cell>
          <cell r="H424">
            <v>1459.99</v>
          </cell>
          <cell r="I424">
            <v>1359.99</v>
          </cell>
          <cell r="J424">
            <v>1036.2411999999999</v>
          </cell>
          <cell r="K424">
            <v>0</v>
          </cell>
          <cell r="L424">
            <v>1036.2411999999999</v>
          </cell>
          <cell r="M424">
            <v>0</v>
          </cell>
          <cell r="N424">
            <v>1359.99</v>
          </cell>
          <cell r="O424" t="str">
            <v>LOJA</v>
          </cell>
          <cell r="P424">
            <v>1399.99</v>
          </cell>
          <cell r="Q424">
            <v>0.312426103111901</v>
          </cell>
          <cell r="R424">
            <v>0.312426103111901</v>
          </cell>
          <cell r="S424" t="e">
            <v>#VALUE!</v>
          </cell>
          <cell r="T424" t="e">
            <v>#VALUE!</v>
          </cell>
        </row>
        <row r="425">
          <cell r="A425" t="str">
            <v>GRNC3200073B</v>
          </cell>
          <cell r="B425" t="str">
            <v>MKP000631004996</v>
          </cell>
          <cell r="C425" t="str">
            <v/>
          </cell>
          <cell r="D425" t="str">
            <v>Armário de Cozinha Completa Suspenso 320cm Cinza Nice Madesa 07</v>
          </cell>
          <cell r="E425" t="str">
            <v>NICE</v>
          </cell>
          <cell r="F425" t="str">
            <v>COZINHA</v>
          </cell>
          <cell r="G425" t="str">
            <v/>
          </cell>
          <cell r="H425">
            <v>2659.99</v>
          </cell>
          <cell r="I425">
            <v>2579.9899999999998</v>
          </cell>
          <cell r="J425">
            <v>1761.3418999999999</v>
          </cell>
          <cell r="K425">
            <v>0</v>
          </cell>
          <cell r="L425">
            <v>1761.3418999999999</v>
          </cell>
          <cell r="M425">
            <v>0</v>
          </cell>
          <cell r="N425">
            <v>2579.9899999999998</v>
          </cell>
          <cell r="O425" t="str">
            <v>MELI</v>
          </cell>
          <cell r="P425">
            <v>2822.22</v>
          </cell>
          <cell r="Q425">
            <v>0.464786592540608</v>
          </cell>
          <cell r="R425">
            <v>0.464786592540608</v>
          </cell>
          <cell r="S425" t="e">
            <v>#VALUE!</v>
          </cell>
          <cell r="T425" t="e">
            <v>#VALUE!</v>
          </cell>
        </row>
        <row r="426">
          <cell r="A426" t="str">
            <v>GRNC3000073B</v>
          </cell>
          <cell r="B426" t="str">
            <v>MKP000631004916</v>
          </cell>
          <cell r="C426" t="str">
            <v/>
          </cell>
          <cell r="D426" t="str">
            <v>Armário de Cozinha Completa Suspenso 300cm Cinza Nice Madesa 07</v>
          </cell>
          <cell r="E426" t="str">
            <v>NICE</v>
          </cell>
          <cell r="F426" t="str">
            <v>COZINHA</v>
          </cell>
          <cell r="G426" t="str">
            <v/>
          </cell>
          <cell r="H426">
            <v>2129.9899999999998</v>
          </cell>
          <cell r="I426">
            <v>1999.99</v>
          </cell>
          <cell r="J426">
            <v>1377.6837</v>
          </cell>
          <cell r="K426">
            <v>0</v>
          </cell>
          <cell r="L426">
            <v>1377.6837</v>
          </cell>
          <cell r="M426">
            <v>0</v>
          </cell>
          <cell r="N426">
            <v>1999.99</v>
          </cell>
          <cell r="O426" t="str">
            <v>MAGALU</v>
          </cell>
          <cell r="P426">
            <v>1799.99</v>
          </cell>
          <cell r="Q426">
            <v>0.45170477084108601</v>
          </cell>
          <cell r="R426">
            <v>0.45170477084108601</v>
          </cell>
          <cell r="S426" t="e">
            <v>#VALUE!</v>
          </cell>
          <cell r="T426" t="e">
            <v>#VALUE!</v>
          </cell>
        </row>
        <row r="427">
          <cell r="A427" t="str">
            <v>10947K1E2G</v>
          </cell>
          <cell r="B427" t="str">
            <v>MKP000631002021</v>
          </cell>
          <cell r="C427" t="str">
            <v/>
          </cell>
          <cell r="D427" t="str">
            <v>Guarda-Roupa Solteiro Madesa Dallas 2 Portas de Correr com Espelho 2 Gavetas Rustic/Preto</v>
          </cell>
          <cell r="E427" t="str">
            <v>DALLAS</v>
          </cell>
          <cell r="F427" t="str">
            <v>QUARTO</v>
          </cell>
          <cell r="G427" t="str">
            <v/>
          </cell>
          <cell r="H427">
            <v>969.99</v>
          </cell>
          <cell r="I427">
            <v>839.92</v>
          </cell>
          <cell r="J427">
            <v>693.77409999999998</v>
          </cell>
          <cell r="K427">
            <v>0</v>
          </cell>
          <cell r="L427">
            <v>693.77409999999998</v>
          </cell>
          <cell r="M427">
            <v>0</v>
          </cell>
          <cell r="N427">
            <v>839.92</v>
          </cell>
          <cell r="O427" t="str">
            <v/>
          </cell>
          <cell r="P427">
            <v>0</v>
          </cell>
          <cell r="Q427">
            <v>0.21065343892197699</v>
          </cell>
          <cell r="R427">
            <v>0.21065343892197699</v>
          </cell>
          <cell r="S427" t="e">
            <v>#VALUE!</v>
          </cell>
          <cell r="T427" t="e">
            <v>#VALUE!</v>
          </cell>
        </row>
        <row r="428">
          <cell r="A428" t="str">
            <v>60028N1CPC</v>
          </cell>
          <cell r="B428" t="str">
            <v>MKP000631000169</v>
          </cell>
          <cell r="C428" t="str">
            <v/>
          </cell>
          <cell r="D428" t="str">
            <v>Rack para TV até 65 Polegadas Madesa Londres com Pés Retro Preto</v>
          </cell>
          <cell r="E428" t="str">
            <v>LONDRES</v>
          </cell>
          <cell r="F428" t="str">
            <v>SALA DE ESTAR</v>
          </cell>
          <cell r="G428" t="str">
            <v/>
          </cell>
          <cell r="H428">
            <v>899.99</v>
          </cell>
          <cell r="I428">
            <v>449.92</v>
          </cell>
          <cell r="J428">
            <v>320.73250000000002</v>
          </cell>
          <cell r="K428">
            <v>0</v>
          </cell>
          <cell r="L428">
            <v>320.73250000000002</v>
          </cell>
          <cell r="M428">
            <v>0</v>
          </cell>
          <cell r="N428">
            <v>449.92</v>
          </cell>
          <cell r="O428" t="str">
            <v/>
          </cell>
          <cell r="P428">
            <v>0</v>
          </cell>
          <cell r="Q428">
            <v>0.40278892846842801</v>
          </cell>
          <cell r="R428">
            <v>0.40278892846842801</v>
          </cell>
          <cell r="S428" t="e">
            <v>#VALUE!</v>
          </cell>
          <cell r="T428" t="e">
            <v>#VALUE!</v>
          </cell>
        </row>
        <row r="429">
          <cell r="A429" t="str">
            <v>1093091E</v>
          </cell>
          <cell r="B429" t="str">
            <v>MKP000631000459</v>
          </cell>
          <cell r="C429" t="str">
            <v/>
          </cell>
          <cell r="D429" t="str">
            <v>Guarda-Roupa Casal Madesa Mônaco 3 Portas de Correr com Espelho Branco</v>
          </cell>
          <cell r="E429" t="str">
            <v>MÔNACO</v>
          </cell>
          <cell r="F429" t="str">
            <v>QUARTO</v>
          </cell>
          <cell r="G429" t="str">
            <v/>
          </cell>
          <cell r="H429">
            <v>1539.99</v>
          </cell>
          <cell r="I429">
            <v>919.99</v>
          </cell>
          <cell r="J429">
            <v>750.78110000000004</v>
          </cell>
          <cell r="K429">
            <v>0</v>
          </cell>
          <cell r="L429">
            <v>750.78110000000004</v>
          </cell>
          <cell r="M429">
            <v>0</v>
          </cell>
          <cell r="N429">
            <v>919.99</v>
          </cell>
          <cell r="O429" t="str">
            <v>COLOMBO/KOERICH</v>
          </cell>
          <cell r="P429">
            <v>849.99</v>
          </cell>
          <cell r="Q429">
            <v>0.225377143883883</v>
          </cell>
          <cell r="R429">
            <v>0.225377143883883</v>
          </cell>
          <cell r="S429" t="e">
            <v>#VALUE!</v>
          </cell>
          <cell r="T429" t="e">
            <v>#VALUE!</v>
          </cell>
        </row>
        <row r="430">
          <cell r="A430" t="str">
            <v>11685Z2E</v>
          </cell>
          <cell r="B430" t="str">
            <v>MKP000631002357</v>
          </cell>
          <cell r="C430" t="str">
            <v/>
          </cell>
          <cell r="D430" t="str">
            <v>Guarda-Roupa Casal Madesa Cronos 4 Portas de Correr com Espelhos Rustic</v>
          </cell>
          <cell r="E430" t="str">
            <v>CRONOS</v>
          </cell>
          <cell r="F430" t="str">
            <v>QUARTO</v>
          </cell>
          <cell r="G430" t="str">
            <v/>
          </cell>
          <cell r="H430">
            <v>3389.99</v>
          </cell>
          <cell r="I430">
            <v>2399.92</v>
          </cell>
          <cell r="J430">
            <v>1918.0075999999999</v>
          </cell>
          <cell r="K430">
            <v>0</v>
          </cell>
          <cell r="L430">
            <v>1918.0075999999999</v>
          </cell>
          <cell r="M430">
            <v>0</v>
          </cell>
          <cell r="N430">
            <v>2399.92</v>
          </cell>
          <cell r="O430" t="str">
            <v/>
          </cell>
          <cell r="P430">
            <v>0</v>
          </cell>
          <cell r="Q430">
            <v>0.251256772913726</v>
          </cell>
          <cell r="R430">
            <v>0.251256772913726</v>
          </cell>
          <cell r="S430" t="e">
            <v>#VALUE!</v>
          </cell>
          <cell r="T430" t="e">
            <v>#VALUE!</v>
          </cell>
        </row>
        <row r="431">
          <cell r="A431" t="str">
            <v>21138N1</v>
          </cell>
          <cell r="B431" t="str">
            <v>MKP000631000847</v>
          </cell>
          <cell r="C431" t="str">
            <v/>
          </cell>
          <cell r="D431" t="str">
            <v>Painel para TV até 55 Polegadas Madesa Preto</v>
          </cell>
          <cell r="E431">
            <v>2113</v>
          </cell>
          <cell r="F431" t="str">
            <v>SALA DE ESTAR</v>
          </cell>
          <cell r="G431" t="str">
            <v/>
          </cell>
          <cell r="H431">
            <v>369.99</v>
          </cell>
          <cell r="I431">
            <v>189.92</v>
          </cell>
          <cell r="J431">
            <v>104.7817</v>
          </cell>
          <cell r="K431">
            <v>0</v>
          </cell>
          <cell r="L431">
            <v>104.7817</v>
          </cell>
          <cell r="M431">
            <v>0</v>
          </cell>
          <cell r="N431">
            <v>189.92</v>
          </cell>
          <cell r="O431" t="str">
            <v/>
          </cell>
          <cell r="P431">
            <v>0</v>
          </cell>
          <cell r="Q431">
            <v>0.81253024144483199</v>
          </cell>
          <cell r="R431">
            <v>0.81253024144483199</v>
          </cell>
          <cell r="S431" t="e">
            <v>#VALUE!</v>
          </cell>
          <cell r="T431" t="e">
            <v>#VALUE!</v>
          </cell>
        </row>
        <row r="432">
          <cell r="A432" t="str">
            <v>GRSM120001C9</v>
          </cell>
          <cell r="B432" t="str">
            <v>MKP000631002989</v>
          </cell>
          <cell r="C432" t="str">
            <v/>
          </cell>
          <cell r="D432" t="str">
            <v>Armário de Cozinha Compacta 100% MDF 120 cm Frentes Branco Brilho Smart Madesa 01</v>
          </cell>
          <cell r="E432" t="str">
            <v>SMART</v>
          </cell>
          <cell r="F432" t="str">
            <v>COZINHA</v>
          </cell>
          <cell r="G432" t="str">
            <v/>
          </cell>
          <cell r="H432">
            <v>1339.99</v>
          </cell>
          <cell r="I432">
            <v>829.99</v>
          </cell>
          <cell r="J432">
            <v>650.09780000000001</v>
          </cell>
          <cell r="K432">
            <v>0</v>
          </cell>
          <cell r="L432">
            <v>650.09780000000001</v>
          </cell>
          <cell r="M432">
            <v>0</v>
          </cell>
          <cell r="N432">
            <v>829.99</v>
          </cell>
          <cell r="O432" t="str">
            <v>B2W</v>
          </cell>
          <cell r="P432">
            <v>799.99</v>
          </cell>
          <cell r="Q432">
            <v>0.276715595714983</v>
          </cell>
          <cell r="R432">
            <v>0.276715595714983</v>
          </cell>
          <cell r="S432" t="e">
            <v>#VALUE!</v>
          </cell>
          <cell r="T432" t="e">
            <v>#VALUE!</v>
          </cell>
        </row>
        <row r="433">
          <cell r="A433" t="str">
            <v>2105091</v>
          </cell>
          <cell r="B433" t="str">
            <v>MKP000631005831</v>
          </cell>
          <cell r="C433" t="str">
            <v/>
          </cell>
          <cell r="D433" t="str">
            <v>Painel para TV até 60 Polegadas Madesa Alfa Branco</v>
          </cell>
          <cell r="E433" t="str">
            <v>ALFA</v>
          </cell>
          <cell r="F433" t="str">
            <v>SALA DE ESTAR</v>
          </cell>
          <cell r="G433" t="str">
            <v/>
          </cell>
          <cell r="H433">
            <v>899.99</v>
          </cell>
          <cell r="I433">
            <v>399.99</v>
          </cell>
          <cell r="J433">
            <v>309.11309999999997</v>
          </cell>
          <cell r="K433">
            <v>0</v>
          </cell>
          <cell r="L433">
            <v>309.11309999999997</v>
          </cell>
          <cell r="M433">
            <v>0</v>
          </cell>
          <cell r="N433">
            <v>399.99</v>
          </cell>
          <cell r="O433" t="str">
            <v>MELI</v>
          </cell>
          <cell r="P433">
            <v>459.99</v>
          </cell>
          <cell r="Q433">
            <v>0.29399239307554398</v>
          </cell>
          <cell r="R433">
            <v>0.29399239307554398</v>
          </cell>
          <cell r="S433" t="e">
            <v>#VALUE!</v>
          </cell>
          <cell r="T433" t="e">
            <v>#VALUE!</v>
          </cell>
        </row>
        <row r="434">
          <cell r="A434" t="str">
            <v>69178NACP</v>
          </cell>
          <cell r="B434" t="str">
            <v>MKP000631000166</v>
          </cell>
          <cell r="C434" t="str">
            <v/>
          </cell>
          <cell r="D434" t="str">
            <v>Rack para TV até 75 Polegadas Madesa Reims Preto 2 Portas 1 Gaveta</v>
          </cell>
          <cell r="E434" t="str">
            <v>REIMS</v>
          </cell>
          <cell r="F434" t="str">
            <v>SALA DE ESTAR</v>
          </cell>
          <cell r="G434" t="str">
            <v/>
          </cell>
          <cell r="H434">
            <v>719.99</v>
          </cell>
          <cell r="I434">
            <v>489.99</v>
          </cell>
          <cell r="J434">
            <v>342.93579999999997</v>
          </cell>
          <cell r="K434">
            <v>0</v>
          </cell>
          <cell r="L434">
            <v>342.93579999999997</v>
          </cell>
          <cell r="M434">
            <v>0</v>
          </cell>
          <cell r="N434">
            <v>489.99</v>
          </cell>
          <cell r="O434" t="str">
            <v>MAGALU</v>
          </cell>
          <cell r="P434">
            <v>429.99</v>
          </cell>
          <cell r="Q434">
            <v>0.428809707239664</v>
          </cell>
          <cell r="R434">
            <v>0.428809707239664</v>
          </cell>
          <cell r="S434" t="e">
            <v>#VALUE!</v>
          </cell>
          <cell r="T434" t="e">
            <v>#VALUE!</v>
          </cell>
        </row>
        <row r="435">
          <cell r="A435" t="str">
            <v>XA1104092E</v>
          </cell>
          <cell r="B435" t="str">
            <v>MKP000631004148</v>
          </cell>
          <cell r="C435" t="str">
            <v/>
          </cell>
          <cell r="D435" t="str">
            <v>Sapateira Armário Multiuso Madesa Isis 1 Porta com Espelhos Branco</v>
          </cell>
          <cell r="E435" t="str">
            <v>ISIS</v>
          </cell>
          <cell r="F435" t="str">
            <v>QUARTO</v>
          </cell>
          <cell r="G435" t="str">
            <v/>
          </cell>
          <cell r="H435">
            <v>1069.99</v>
          </cell>
          <cell r="I435">
            <v>629.99</v>
          </cell>
          <cell r="J435">
            <v>430.86610000000002</v>
          </cell>
          <cell r="K435">
            <v>0</v>
          </cell>
          <cell r="L435">
            <v>430.86610000000002</v>
          </cell>
          <cell r="M435">
            <v>0</v>
          </cell>
          <cell r="N435">
            <v>629.99</v>
          </cell>
          <cell r="O435" t="str">
            <v>CARREFOUR/CAMICADO</v>
          </cell>
          <cell r="P435">
            <v>549.99</v>
          </cell>
          <cell r="Q435">
            <v>0.46214798518611699</v>
          </cell>
          <cell r="R435">
            <v>0.46214798518611699</v>
          </cell>
          <cell r="S435" t="e">
            <v>#VALUE!</v>
          </cell>
          <cell r="T435" t="e">
            <v>#VALUE!</v>
          </cell>
        </row>
        <row r="436">
          <cell r="A436" t="str">
            <v>106309CP</v>
          </cell>
          <cell r="B436" t="str">
            <v>MKP000631000345</v>
          </cell>
          <cell r="C436" t="str">
            <v/>
          </cell>
          <cell r="D436" t="str">
            <v>Guarda-Roupa Casal 100% MDF Madesa Royale 3 Portas de Correr com Pés Branco</v>
          </cell>
          <cell r="E436" t="str">
            <v>ROYALE</v>
          </cell>
          <cell r="F436" t="str">
            <v>QUARTO</v>
          </cell>
          <cell r="G436" t="str">
            <v/>
          </cell>
          <cell r="H436">
            <v>2589.9899999999998</v>
          </cell>
          <cell r="I436">
            <v>1969.99</v>
          </cell>
          <cell r="J436">
            <v>1597.5367000000001</v>
          </cell>
          <cell r="K436">
            <v>0</v>
          </cell>
          <cell r="L436">
            <v>1597.5367000000001</v>
          </cell>
          <cell r="M436">
            <v>0</v>
          </cell>
          <cell r="N436">
            <v>1969.99</v>
          </cell>
          <cell r="O436" t="str">
            <v>MADEIRAMADEIRA</v>
          </cell>
          <cell r="P436">
            <v>1939.99</v>
          </cell>
          <cell r="Q436">
            <v>0.23314224956459501</v>
          </cell>
          <cell r="R436">
            <v>0.23314224956459501</v>
          </cell>
          <cell r="S436" t="e">
            <v>#VALUE!</v>
          </cell>
          <cell r="T436" t="e">
            <v>#VALUE!</v>
          </cell>
        </row>
        <row r="437">
          <cell r="A437" t="str">
            <v>108209</v>
          </cell>
          <cell r="B437" t="str">
            <v>MKP000631000251</v>
          </cell>
          <cell r="C437" t="str">
            <v/>
          </cell>
          <cell r="D437" t="str">
            <v>Guarda-Roupa Casal Madesa Napoli 3 Portas de Correr Branco</v>
          </cell>
          <cell r="E437" t="str">
            <v>NAPOLI</v>
          </cell>
          <cell r="F437" t="str">
            <v>QUARTO</v>
          </cell>
          <cell r="G437" t="str">
            <v/>
          </cell>
          <cell r="H437">
            <v>1569.99</v>
          </cell>
          <cell r="I437">
            <v>1229.99</v>
          </cell>
          <cell r="J437">
            <v>978.19870000000003</v>
          </cell>
          <cell r="K437">
            <v>0</v>
          </cell>
          <cell r="L437">
            <v>978.19870000000003</v>
          </cell>
          <cell r="M437">
            <v>0</v>
          </cell>
          <cell r="N437">
            <v>1229.99</v>
          </cell>
          <cell r="O437" t="str">
            <v>RIACHUELO</v>
          </cell>
          <cell r="P437">
            <v>1099.99</v>
          </cell>
          <cell r="Q437">
            <v>0.25740302047017699</v>
          </cell>
          <cell r="R437">
            <v>0.25740302047017699</v>
          </cell>
          <cell r="S437" t="e">
            <v>#VALUE!</v>
          </cell>
          <cell r="T437" t="e">
            <v>#VALUE!</v>
          </cell>
        </row>
        <row r="438">
          <cell r="A438" t="str">
            <v>GRSM180001A9</v>
          </cell>
          <cell r="B438" t="str">
            <v>MKP000631001291</v>
          </cell>
          <cell r="C438" t="str">
            <v/>
          </cell>
          <cell r="D438" t="str">
            <v>Armário de Cozinha Compacta 100% MDF 180 cm Branco/Rustic/Crema Smart Madesa 01</v>
          </cell>
          <cell r="E438" t="str">
            <v>SMART</v>
          </cell>
          <cell r="F438" t="str">
            <v>COZINHA</v>
          </cell>
          <cell r="G438" t="str">
            <v/>
          </cell>
          <cell r="H438">
            <v>1299.99</v>
          </cell>
          <cell r="I438">
            <v>1179.92</v>
          </cell>
          <cell r="J438">
            <v>930.16240000000005</v>
          </cell>
          <cell r="K438">
            <v>0</v>
          </cell>
          <cell r="L438">
            <v>930.16240000000005</v>
          </cell>
          <cell r="M438">
            <v>0</v>
          </cell>
          <cell r="N438">
            <v>1179.92</v>
          </cell>
          <cell r="O438" t="str">
            <v/>
          </cell>
          <cell r="P438">
            <v>0</v>
          </cell>
          <cell r="Q438">
            <v>0.268509670999387</v>
          </cell>
          <cell r="R438">
            <v>0.268509670999387</v>
          </cell>
          <cell r="S438" t="e">
            <v>#VALUE!</v>
          </cell>
          <cell r="T438" t="e">
            <v>#VALUE!</v>
          </cell>
        </row>
        <row r="439">
          <cell r="A439" t="str">
            <v>GRSM250002C9</v>
          </cell>
          <cell r="B439" t="str">
            <v>MKP000631004187</v>
          </cell>
          <cell r="C439" t="str">
            <v/>
          </cell>
          <cell r="D439" t="str">
            <v>Armário de Cozinha Completa 100% MDF 250 cm Frentes Branco Brilho Smart Madesa 02</v>
          </cell>
          <cell r="E439" t="str">
            <v>SMART</v>
          </cell>
          <cell r="F439" t="str">
            <v>COZINHA</v>
          </cell>
          <cell r="G439" t="str">
            <v/>
          </cell>
          <cell r="H439">
            <v>1889.99</v>
          </cell>
          <cell r="I439">
            <v>1769.99</v>
          </cell>
          <cell r="J439">
            <v>1329.146</v>
          </cell>
          <cell r="K439">
            <v>0</v>
          </cell>
          <cell r="L439">
            <v>1329.146</v>
          </cell>
          <cell r="M439">
            <v>0</v>
          </cell>
          <cell r="N439">
            <v>1769.99</v>
          </cell>
          <cell r="O439" t="str">
            <v>MELI</v>
          </cell>
          <cell r="P439">
            <v>1799.99</v>
          </cell>
          <cell r="Q439">
            <v>0.33167462415716498</v>
          </cell>
          <cell r="R439">
            <v>0.33167462415716498</v>
          </cell>
          <cell r="S439" t="e">
            <v>#VALUE!</v>
          </cell>
          <cell r="T439" t="e">
            <v>#VALUE!</v>
          </cell>
        </row>
        <row r="440">
          <cell r="A440" t="str">
            <v>MDES02001109</v>
          </cell>
          <cell r="B440" t="str">
            <v>MKP000631001168</v>
          </cell>
          <cell r="C440" t="str">
            <v/>
          </cell>
          <cell r="D440" t="str">
            <v>Rack Madesa Reims e Painel para TV até 55 Polegadas 2 Portas e 1 Gaveta Branco</v>
          </cell>
          <cell r="E440" t="str">
            <v>REIMS</v>
          </cell>
          <cell r="F440" t="str">
            <v>SALA DE ESTAR</v>
          </cell>
          <cell r="G440" t="str">
            <v/>
          </cell>
          <cell r="H440">
            <v>699.99</v>
          </cell>
          <cell r="I440">
            <v>599.99</v>
          </cell>
          <cell r="J440">
            <v>447.71749999999997</v>
          </cell>
          <cell r="K440">
            <v>0</v>
          </cell>
          <cell r="L440">
            <v>447.71749999999997</v>
          </cell>
          <cell r="M440">
            <v>0</v>
          </cell>
          <cell r="N440">
            <v>599.99</v>
          </cell>
          <cell r="O440" t="str">
            <v>LOJA</v>
          </cell>
          <cell r="P440">
            <v>599.99</v>
          </cell>
          <cell r="Q440">
            <v>0.34010843891516401</v>
          </cell>
          <cell r="R440">
            <v>0.34010843891516401</v>
          </cell>
          <cell r="S440" t="e">
            <v>#VALUE!</v>
          </cell>
          <cell r="T440" t="e">
            <v>#VALUE!</v>
          </cell>
        </row>
        <row r="441">
          <cell r="A441" t="str">
            <v>1094091E</v>
          </cell>
          <cell r="B441" t="str">
            <v>MKP000631000763</v>
          </cell>
          <cell r="C441" t="str">
            <v/>
          </cell>
          <cell r="D441" t="str">
            <v>Guarda-Roupa Solteiro Madesa Denver 2 Portas de Correr com Espelho Branco</v>
          </cell>
          <cell r="E441" t="str">
            <v>DENVER</v>
          </cell>
          <cell r="F441" t="str">
            <v>QUARTO</v>
          </cell>
          <cell r="G441" t="str">
            <v/>
          </cell>
          <cell r="H441">
            <v>1269.99</v>
          </cell>
          <cell r="I441">
            <v>789.99</v>
          </cell>
          <cell r="J441">
            <v>605.03719999999998</v>
          </cell>
          <cell r="K441">
            <v>0</v>
          </cell>
          <cell r="L441">
            <v>605.03719999999998</v>
          </cell>
          <cell r="M441">
            <v>0</v>
          </cell>
          <cell r="N441">
            <v>789.99</v>
          </cell>
          <cell r="O441" t="str">
            <v>MAGALU</v>
          </cell>
          <cell r="P441">
            <v>736.83</v>
          </cell>
          <cell r="Q441">
            <v>0.30568831139639002</v>
          </cell>
          <cell r="R441">
            <v>0.30568831139639002</v>
          </cell>
          <cell r="S441" t="e">
            <v>#VALUE!</v>
          </cell>
          <cell r="T441" t="e">
            <v>#VALUE!</v>
          </cell>
        </row>
        <row r="442">
          <cell r="A442" t="str">
            <v>GREM3250019B</v>
          </cell>
          <cell r="B442" t="str">
            <v>MKP000631000436</v>
          </cell>
          <cell r="C442" t="str">
            <v/>
          </cell>
          <cell r="D442" t="str">
            <v>Armário de Cozinha Completa 325cm Rustic/Branco Emilly Joy Madesa 01</v>
          </cell>
          <cell r="E442" t="str">
            <v>JOY/EMILLY</v>
          </cell>
          <cell r="F442" t="str">
            <v>COZINHA</v>
          </cell>
          <cell r="G442" t="str">
            <v/>
          </cell>
          <cell r="H442">
            <v>1499.99</v>
          </cell>
          <cell r="I442">
            <v>1399.99</v>
          </cell>
          <cell r="J442">
            <v>1092.4088999999999</v>
          </cell>
          <cell r="K442">
            <v>0</v>
          </cell>
          <cell r="L442">
            <v>1092.4088999999999</v>
          </cell>
          <cell r="M442">
            <v>0</v>
          </cell>
          <cell r="N442">
            <v>1399.99</v>
          </cell>
          <cell r="O442" t="str">
            <v/>
          </cell>
          <cell r="P442">
            <v>0</v>
          </cell>
          <cell r="Q442">
            <v>0.28156224285613202</v>
          </cell>
          <cell r="R442">
            <v>0.28156224285613202</v>
          </cell>
          <cell r="S442" t="e">
            <v>#VALUE!</v>
          </cell>
          <cell r="T442" t="e">
            <v>#VALUE!</v>
          </cell>
        </row>
        <row r="443">
          <cell r="A443" t="str">
            <v>10948N2E4G</v>
          </cell>
          <cell r="B443" t="str">
            <v>MKP000631001965</v>
          </cell>
          <cell r="C443" t="str">
            <v/>
          </cell>
          <cell r="D443" t="str">
            <v>Guarda-Roupa Solteiro Madesa Dallas Plus 2 Portas de Correr de Espelho 4 Gavetas Preto</v>
          </cell>
          <cell r="E443" t="str">
            <v>DALLAS PLUS</v>
          </cell>
          <cell r="F443" t="str">
            <v>QUARTO</v>
          </cell>
          <cell r="G443" t="str">
            <v/>
          </cell>
          <cell r="H443">
            <v>1459.99</v>
          </cell>
          <cell r="I443">
            <v>1299.99</v>
          </cell>
          <cell r="J443">
            <v>912.43899999999996</v>
          </cell>
          <cell r="K443">
            <v>0</v>
          </cell>
          <cell r="L443">
            <v>912.43899999999996</v>
          </cell>
          <cell r="M443">
            <v>0</v>
          </cell>
          <cell r="N443">
            <v>1299.99</v>
          </cell>
          <cell r="O443" t="str">
            <v>WEB (MADEIRA)</v>
          </cell>
          <cell r="P443">
            <v>1299.99</v>
          </cell>
          <cell r="Q443">
            <v>0.42474181835717201</v>
          </cell>
          <cell r="R443">
            <v>0.42474181835717201</v>
          </cell>
          <cell r="S443" t="e">
            <v>#VALUE!</v>
          </cell>
          <cell r="T443" t="e">
            <v>#VALUE!</v>
          </cell>
        </row>
        <row r="444">
          <cell r="A444" t="str">
            <v>GRRM310001D8</v>
          </cell>
          <cell r="B444" t="str">
            <v>MKP000631001769</v>
          </cell>
          <cell r="C444" t="str">
            <v/>
          </cell>
          <cell r="D444" t="str">
            <v>Armário de Cozinha Completa 310cm Preto/Rustic Reims Madesa 01</v>
          </cell>
          <cell r="E444" t="str">
            <v>REIMS</v>
          </cell>
          <cell r="F444" t="str">
            <v>COZINHA</v>
          </cell>
          <cell r="G444" t="str">
            <v/>
          </cell>
          <cell r="H444">
            <v>2459.9899999999998</v>
          </cell>
          <cell r="I444">
            <v>1769.99</v>
          </cell>
          <cell r="J444">
            <v>1463.6193000000001</v>
          </cell>
          <cell r="K444">
            <v>0</v>
          </cell>
          <cell r="L444">
            <v>1463.6193000000001</v>
          </cell>
          <cell r="M444">
            <v>0</v>
          </cell>
          <cell r="N444">
            <v>1769.99</v>
          </cell>
          <cell r="O444" t="str">
            <v>MAGALU</v>
          </cell>
          <cell r="P444">
            <v>1684.2</v>
          </cell>
          <cell r="Q444">
            <v>0.20932403665352101</v>
          </cell>
          <cell r="R444">
            <v>0.20932403665352101</v>
          </cell>
          <cell r="S444" t="e">
            <v>#VALUE!</v>
          </cell>
          <cell r="T444" t="e">
            <v>#VALUE!</v>
          </cell>
        </row>
        <row r="445">
          <cell r="A445" t="str">
            <v>MDJA060137F9SL</v>
          </cell>
          <cell r="B445" t="str">
            <v>MKP000631005308</v>
          </cell>
          <cell r="C445" t="str">
            <v/>
          </cell>
          <cell r="D445" t="str">
            <v>Conjunto Sala de Jantar Mesa Tampo de Madeira 6 Cadeiras Rustic/Cinza/Silver Britney Madesa</v>
          </cell>
          <cell r="E445" t="str">
            <v>BRITNEY</v>
          </cell>
          <cell r="F445" t="str">
            <v>SALA DE JANTAR</v>
          </cell>
          <cell r="G445">
            <v>4256</v>
          </cell>
          <cell r="H445">
            <v>1649.99</v>
          </cell>
          <cell r="I445">
            <v>1539.92</v>
          </cell>
          <cell r="J445">
            <v>1208.9081000000001</v>
          </cell>
          <cell r="K445">
            <v>0</v>
          </cell>
          <cell r="L445">
            <v>1208.9081000000001</v>
          </cell>
          <cell r="M445">
            <v>0</v>
          </cell>
          <cell r="N445">
            <v>1539.92</v>
          </cell>
          <cell r="O445" t="str">
            <v/>
          </cell>
          <cell r="P445">
            <v>0</v>
          </cell>
          <cell r="Q445">
            <v>0.27381063953496598</v>
          </cell>
          <cell r="R445">
            <v>0.27381063953496598</v>
          </cell>
          <cell r="S445" t="e">
            <v>#VALUE!</v>
          </cell>
          <cell r="T445" t="e">
            <v>#VALUE!</v>
          </cell>
        </row>
        <row r="446">
          <cell r="A446" t="str">
            <v>GRGM20000109</v>
          </cell>
          <cell r="B446" t="str">
            <v>MKP000631000978</v>
          </cell>
          <cell r="C446" t="str">
            <v/>
          </cell>
          <cell r="D446" t="str">
            <v>Kit Área De Serviço Madesa Acordes 100% MDF com 2 Armários e Torre Portas Branco Brilho</v>
          </cell>
          <cell r="E446" t="str">
            <v>ACORDES</v>
          </cell>
          <cell r="F446" t="str">
            <v>COZINHA</v>
          </cell>
          <cell r="G446" t="str">
            <v/>
          </cell>
          <cell r="H446">
            <v>1169.99</v>
          </cell>
          <cell r="I446">
            <v>1069.99</v>
          </cell>
          <cell r="J446">
            <v>882.66020000000003</v>
          </cell>
          <cell r="K446">
            <v>0</v>
          </cell>
          <cell r="L446">
            <v>882.66020000000003</v>
          </cell>
          <cell r="M446">
            <v>0</v>
          </cell>
          <cell r="N446">
            <v>1069.99</v>
          </cell>
          <cell r="O446" t="str">
            <v/>
          </cell>
          <cell r="P446">
            <v>0</v>
          </cell>
          <cell r="Q446">
            <v>0.21223320140638499</v>
          </cell>
          <cell r="R446">
            <v>0.21223320140638499</v>
          </cell>
          <cell r="S446" t="e">
            <v>#VALUE!</v>
          </cell>
          <cell r="T446" t="e">
            <v>#VALUE!</v>
          </cell>
        </row>
        <row r="447">
          <cell r="A447" t="str">
            <v>MDJA040148F9SL</v>
          </cell>
          <cell r="B447" t="str">
            <v>MKP000631005284</v>
          </cell>
          <cell r="C447" t="str">
            <v/>
          </cell>
          <cell r="D447" t="str">
            <v>Conjunto Sala de Jantar Mesa Tampo de Vidro 4 Cadeiras Rustic/Cinza/Silver Avril Madesa</v>
          </cell>
          <cell r="E447" t="str">
            <v>AVRIL</v>
          </cell>
          <cell r="F447" t="str">
            <v>SALA DE JANTAR</v>
          </cell>
          <cell r="G447">
            <v>4255</v>
          </cell>
          <cell r="H447">
            <v>1449.99</v>
          </cell>
          <cell r="I447">
            <v>1349.99</v>
          </cell>
          <cell r="J447">
            <v>1036.2411999999999</v>
          </cell>
          <cell r="K447">
            <v>0</v>
          </cell>
          <cell r="L447">
            <v>1036.2411999999999</v>
          </cell>
          <cell r="M447">
            <v>0</v>
          </cell>
          <cell r="N447">
            <v>1349.99</v>
          </cell>
          <cell r="O447" t="str">
            <v/>
          </cell>
          <cell r="P447">
            <v>0</v>
          </cell>
          <cell r="Q447">
            <v>0.30277584021943899</v>
          </cell>
          <cell r="R447">
            <v>0.30277584021943899</v>
          </cell>
          <cell r="S447" t="e">
            <v>#VALUE!</v>
          </cell>
          <cell r="T447" t="e">
            <v>#VALUE!</v>
          </cell>
        </row>
        <row r="448">
          <cell r="A448" t="str">
            <v>1063092E</v>
          </cell>
          <cell r="B448" t="str">
            <v>MKP000631001194</v>
          </cell>
          <cell r="C448" t="str">
            <v/>
          </cell>
          <cell r="D448" t="str">
            <v>Guarda-Roupa Casal 100% MDF Madesa Royale 3 Portas de Correr com Espelhos Branco</v>
          </cell>
          <cell r="E448" t="str">
            <v>ROYALE</v>
          </cell>
          <cell r="F448" t="str">
            <v>QUARTO</v>
          </cell>
          <cell r="G448" t="str">
            <v/>
          </cell>
          <cell r="H448">
            <v>3969.99</v>
          </cell>
          <cell r="I448">
            <v>2479.9899999999998</v>
          </cell>
          <cell r="J448">
            <v>2033.8746000000001</v>
          </cell>
          <cell r="K448">
            <v>0</v>
          </cell>
          <cell r="L448">
            <v>2033.8746000000001</v>
          </cell>
          <cell r="M448">
            <v>0</v>
          </cell>
          <cell r="N448">
            <v>2479.9899999999998</v>
          </cell>
          <cell r="O448" t="str">
            <v>MADEIRAMADEIRA</v>
          </cell>
          <cell r="P448">
            <v>2469.9899999999998</v>
          </cell>
          <cell r="Q448">
            <v>0.219342628104997</v>
          </cell>
          <cell r="R448">
            <v>0.219342628104997</v>
          </cell>
          <cell r="S448" t="e">
            <v>#VALUE!</v>
          </cell>
          <cell r="T448" t="e">
            <v>#VALUE!</v>
          </cell>
        </row>
        <row r="449">
          <cell r="A449" t="str">
            <v>G2412409</v>
          </cell>
          <cell r="B449" t="str">
            <v>MKP000631000909</v>
          </cell>
          <cell r="C449" t="str">
            <v/>
          </cell>
          <cell r="D449" t="str">
            <v>Balcão Gabinete de Pia Madesa Acordes 100% MDF 120 cm 3 Portas e 2 Gavetas Frentes Branco Brilho</v>
          </cell>
          <cell r="E449" t="str">
            <v>ACORDES</v>
          </cell>
          <cell r="F449" t="str">
            <v>MODULAÇÃO</v>
          </cell>
          <cell r="G449" t="str">
            <v/>
          </cell>
          <cell r="H449">
            <v>1149.99</v>
          </cell>
          <cell r="I449">
            <v>599.99</v>
          </cell>
          <cell r="J449">
            <v>465.74610000000001</v>
          </cell>
          <cell r="K449">
            <v>0</v>
          </cell>
          <cell r="L449">
            <v>465.74610000000001</v>
          </cell>
          <cell r="M449">
            <v>0</v>
          </cell>
          <cell r="N449">
            <v>599.99</v>
          </cell>
          <cell r="O449" t="str">
            <v/>
          </cell>
          <cell r="P449">
            <v>0</v>
          </cell>
          <cell r="Q449">
            <v>0.28823408290482699</v>
          </cell>
          <cell r="R449">
            <v>0.28823408290482699</v>
          </cell>
          <cell r="S449" t="e">
            <v>#VALUE!</v>
          </cell>
          <cell r="T449" t="e">
            <v>#VALUE!</v>
          </cell>
        </row>
        <row r="450">
          <cell r="A450" t="str">
            <v>693909</v>
          </cell>
          <cell r="B450" t="str">
            <v>MKP000631005332</v>
          </cell>
          <cell r="C450" t="str">
            <v/>
          </cell>
          <cell r="D450" t="str">
            <v>Escrivaninha Mesa de Escritório de Canto 3 Gavetas Branca Lisboa Madesa</v>
          </cell>
          <cell r="E450" t="str">
            <v>LISBOA</v>
          </cell>
          <cell r="F450" t="str">
            <v>ESCRITÓRIO</v>
          </cell>
          <cell r="G450" t="str">
            <v/>
          </cell>
          <cell r="H450">
            <v>819.99</v>
          </cell>
          <cell r="I450">
            <v>619.99</v>
          </cell>
          <cell r="J450">
            <v>413.05549999999999</v>
          </cell>
          <cell r="K450">
            <v>0</v>
          </cell>
          <cell r="L450">
            <v>413.05549999999999</v>
          </cell>
          <cell r="M450">
            <v>0</v>
          </cell>
          <cell r="N450">
            <v>619.99</v>
          </cell>
          <cell r="O450" t="str">
            <v>MAGALU</v>
          </cell>
          <cell r="P450">
            <v>589.46</v>
          </cell>
          <cell r="Q450">
            <v>0.50098473449693803</v>
          </cell>
          <cell r="R450">
            <v>0.50098473449693803</v>
          </cell>
          <cell r="S450" t="e">
            <v>#VALUE!</v>
          </cell>
          <cell r="T450" t="e">
            <v>#VALUE!</v>
          </cell>
        </row>
        <row r="451">
          <cell r="A451" t="str">
            <v>XA109409</v>
          </cell>
          <cell r="B451" t="str">
            <v>MKP000631001594</v>
          </cell>
          <cell r="C451" t="str">
            <v/>
          </cell>
          <cell r="D451" t="str">
            <v>Guarda-Roupa Infantil Madesa Enzo 2 Portas de Correr Branco</v>
          </cell>
          <cell r="E451" t="str">
            <v>ENZO</v>
          </cell>
          <cell r="F451" t="str">
            <v>QUARTO</v>
          </cell>
          <cell r="G451" t="str">
            <v/>
          </cell>
          <cell r="H451">
            <v>739.99</v>
          </cell>
          <cell r="I451">
            <v>619.91999999999996</v>
          </cell>
          <cell r="J451">
            <v>475.10919999999999</v>
          </cell>
          <cell r="K451">
            <v>0</v>
          </cell>
          <cell r="L451">
            <v>475.10919999999999</v>
          </cell>
          <cell r="M451">
            <v>0</v>
          </cell>
          <cell r="N451">
            <v>619.91999999999996</v>
          </cell>
          <cell r="O451" t="str">
            <v/>
          </cell>
          <cell r="P451">
            <v>0</v>
          </cell>
          <cell r="Q451">
            <v>0.30479477139150302</v>
          </cell>
          <cell r="R451">
            <v>0.30479477139150302</v>
          </cell>
          <cell r="S451" t="e">
            <v>#VALUE!</v>
          </cell>
          <cell r="T451" t="e">
            <v>#VALUE!</v>
          </cell>
        </row>
        <row r="452">
          <cell r="A452" t="str">
            <v>XAGRSM120001C9</v>
          </cell>
          <cell r="B452" t="str">
            <v>MKP000631003292</v>
          </cell>
          <cell r="C452" t="str">
            <v/>
          </cell>
          <cell r="D452" t="str">
            <v>Armário de Cozinha Compacta Madesa Smart 100 MDF 120 cm com Balcão e Tampo Frentes Branco Brilho</v>
          </cell>
          <cell r="E452" t="str">
            <v>SMART</v>
          </cell>
          <cell r="F452" t="str">
            <v>COZINHA</v>
          </cell>
          <cell r="G452" t="str">
            <v/>
          </cell>
          <cell r="H452">
            <v>949.99</v>
          </cell>
          <cell r="I452">
            <v>819.92</v>
          </cell>
          <cell r="J452">
            <v>650.09780000000001</v>
          </cell>
          <cell r="K452">
            <v>0</v>
          </cell>
          <cell r="L452">
            <v>650.09780000000001</v>
          </cell>
          <cell r="M452">
            <v>0</v>
          </cell>
          <cell r="N452">
            <v>819.92</v>
          </cell>
          <cell r="O452" t="str">
            <v/>
          </cell>
          <cell r="P452">
            <v>0</v>
          </cell>
          <cell r="Q452">
            <v>0.26122561866845301</v>
          </cell>
          <cell r="R452">
            <v>0.26122561866845301</v>
          </cell>
          <cell r="S452" t="e">
            <v>#VALUE!</v>
          </cell>
          <cell r="T452" t="e">
            <v>#VALUE!</v>
          </cell>
        </row>
        <row r="453">
          <cell r="A453" t="str">
            <v>GRLX4000019R</v>
          </cell>
          <cell r="B453" t="str">
            <v>MKP000631005011</v>
          </cell>
          <cell r="C453" t="str">
            <v/>
          </cell>
          <cell r="D453" t="str">
            <v>Armário de Cozinha Completa 400cm Branco/Cinza Lux da Thauane Madesa</v>
          </cell>
          <cell r="E453" t="str">
            <v>LUX</v>
          </cell>
          <cell r="F453" t="str">
            <v>COZINHA</v>
          </cell>
          <cell r="G453" t="str">
            <v/>
          </cell>
          <cell r="H453">
            <v>6709.99</v>
          </cell>
          <cell r="I453">
            <v>6689.99</v>
          </cell>
          <cell r="J453">
            <v>4166.0236000000004</v>
          </cell>
          <cell r="K453">
            <v>0</v>
          </cell>
          <cell r="L453">
            <v>4166.0236000000004</v>
          </cell>
          <cell r="M453">
            <v>0</v>
          </cell>
          <cell r="N453">
            <v>6689.99</v>
          </cell>
          <cell r="O453" t="str">
            <v>LOJA</v>
          </cell>
          <cell r="P453">
            <v>5879.99</v>
          </cell>
          <cell r="Q453">
            <v>0.60584543976179095</v>
          </cell>
          <cell r="R453">
            <v>0.60584543976179095</v>
          </cell>
          <cell r="S453" t="e">
            <v>#VALUE!</v>
          </cell>
          <cell r="T453" t="e">
            <v>#VALUE!</v>
          </cell>
        </row>
        <row r="454">
          <cell r="A454" t="str">
            <v>MDJA0601417KPT</v>
          </cell>
          <cell r="B454" t="str">
            <v>MKP000631005345</v>
          </cell>
          <cell r="C454" t="str">
            <v/>
          </cell>
          <cell r="D454" t="str">
            <v>Conjunto Sala de Jantar Mesa Tampo de Madeira 6 Cadeiras Preto/Rustic Augusta Madesa</v>
          </cell>
          <cell r="E454" t="str">
            <v>AUGUSTA</v>
          </cell>
          <cell r="F454" t="str">
            <v>SALA DE JANTAR</v>
          </cell>
          <cell r="G454">
            <v>4280</v>
          </cell>
          <cell r="H454">
            <v>999.99</v>
          </cell>
          <cell r="I454">
            <v>899.99</v>
          </cell>
          <cell r="J454">
            <v>682.62339999999995</v>
          </cell>
          <cell r="K454">
            <v>0</v>
          </cell>
          <cell r="L454">
            <v>682.62339999999995</v>
          </cell>
          <cell r="M454">
            <v>0</v>
          </cell>
          <cell r="N454">
            <v>899.99</v>
          </cell>
          <cell r="O454" t="str">
            <v/>
          </cell>
          <cell r="P454">
            <v>0</v>
          </cell>
          <cell r="Q454">
            <v>0.31842828710530602</v>
          </cell>
          <cell r="R454">
            <v>0.31842828710530602</v>
          </cell>
          <cell r="S454" t="e">
            <v>#VALUE!</v>
          </cell>
          <cell r="T454" t="e">
            <v>#VALUE!</v>
          </cell>
        </row>
        <row r="455">
          <cell r="A455" t="str">
            <v>MDJA0601306ESIM</v>
          </cell>
          <cell r="B455" t="str">
            <v>MKP000631003217</v>
          </cell>
          <cell r="C455" t="str">
            <v/>
          </cell>
          <cell r="D455" t="str">
            <v>Conjunto Sala de Jantar Madesa Luciana Mesa Tampo de Madeira com 6 Cadeiras Rustic/Branco/Imperial</v>
          </cell>
          <cell r="E455" t="str">
            <v>LUCIANA</v>
          </cell>
          <cell r="F455" t="str">
            <v>SALA DE JANTAR</v>
          </cell>
          <cell r="G455">
            <v>4255</v>
          </cell>
          <cell r="H455">
            <v>1499.99</v>
          </cell>
          <cell r="I455">
            <v>1399.99</v>
          </cell>
          <cell r="J455">
            <v>1094.3927000000001</v>
          </cell>
          <cell r="K455">
            <v>0</v>
          </cell>
          <cell r="L455">
            <v>1094.3927000000001</v>
          </cell>
          <cell r="M455">
            <v>0</v>
          </cell>
          <cell r="N455">
            <v>1399.99</v>
          </cell>
          <cell r="O455" t="str">
            <v/>
          </cell>
          <cell r="P455">
            <v>0</v>
          </cell>
          <cell r="Q455">
            <v>0.27923916159162998</v>
          </cell>
          <cell r="R455">
            <v>0.27923916159162998</v>
          </cell>
          <cell r="S455" t="e">
            <v>#VALUE!</v>
          </cell>
          <cell r="T455" t="e">
            <v>#VALUE!</v>
          </cell>
        </row>
        <row r="456">
          <cell r="A456" t="str">
            <v>G2512109</v>
          </cell>
          <cell r="B456" t="str">
            <v>MKP000631000913</v>
          </cell>
          <cell r="C456" t="str">
            <v/>
          </cell>
          <cell r="D456" t="str">
            <v>Armário Aéreo Madesa Acordes 100% MDF 120 cm 2 Portas Branco Brilho</v>
          </cell>
          <cell r="E456" t="str">
            <v>ACORDES</v>
          </cell>
          <cell r="F456" t="str">
            <v>MODULAÇÃO</v>
          </cell>
          <cell r="G456" t="str">
            <v/>
          </cell>
          <cell r="H456">
            <v>869.99</v>
          </cell>
          <cell r="I456">
            <v>439.99</v>
          </cell>
          <cell r="J456">
            <v>290.38690000000003</v>
          </cell>
          <cell r="K456">
            <v>0</v>
          </cell>
          <cell r="L456">
            <v>290.38690000000003</v>
          </cell>
          <cell r="M456">
            <v>0</v>
          </cell>
          <cell r="N456">
            <v>439.99</v>
          </cell>
          <cell r="O456" t="str">
            <v/>
          </cell>
          <cell r="P456">
            <v>0</v>
          </cell>
          <cell r="Q456">
            <v>0.51518543019674801</v>
          </cell>
          <cell r="R456">
            <v>0.51518543019674801</v>
          </cell>
          <cell r="S456" t="e">
            <v>#VALUE!</v>
          </cell>
          <cell r="T456" t="e">
            <v>#VALUE!</v>
          </cell>
        </row>
        <row r="457">
          <cell r="A457" t="str">
            <v>16685Z7</v>
          </cell>
          <cell r="B457" t="str">
            <v>MKP000631003173</v>
          </cell>
          <cell r="C457" t="str">
            <v/>
          </cell>
          <cell r="D457" t="str">
            <v>Guarda-Roupa Casal Madesa Apolo 4 Portas de Correr Rustic</v>
          </cell>
          <cell r="E457" t="str">
            <v>APOLO</v>
          </cell>
          <cell r="F457" t="str">
            <v>QUARTO</v>
          </cell>
          <cell r="G457" t="str">
            <v/>
          </cell>
          <cell r="H457">
            <v>2999.99</v>
          </cell>
          <cell r="I457">
            <v>1989.99</v>
          </cell>
          <cell r="J457">
            <v>1658.1515999999999</v>
          </cell>
          <cell r="K457">
            <v>0</v>
          </cell>
          <cell r="L457">
            <v>1658.1515999999999</v>
          </cell>
          <cell r="M457">
            <v>0</v>
          </cell>
          <cell r="N457">
            <v>1989.99</v>
          </cell>
          <cell r="O457" t="str">
            <v>AMAZON</v>
          </cell>
          <cell r="P457">
            <v>1899.99</v>
          </cell>
          <cell r="Q457">
            <v>0.20012548912897901</v>
          </cell>
          <cell r="R457">
            <v>0.20012548912897901</v>
          </cell>
          <cell r="S457" t="e">
            <v>#VALUE!</v>
          </cell>
          <cell r="T457" t="e">
            <v>#VALUE!</v>
          </cell>
        </row>
        <row r="458">
          <cell r="A458" t="str">
            <v>12497K</v>
          </cell>
          <cell r="B458" t="str">
            <v>MKP000631005278</v>
          </cell>
          <cell r="C458" t="str">
            <v/>
          </cell>
          <cell r="D458" t="str">
            <v>Guarda-Roupa Closet Modulado Valencia 59cm Rustic/Preto Madesa</v>
          </cell>
          <cell r="E458" t="str">
            <v>VALENCIA</v>
          </cell>
          <cell r="F458" t="str">
            <v>QUARTO</v>
          </cell>
          <cell r="G458" t="str">
            <v/>
          </cell>
          <cell r="H458">
            <v>359.99</v>
          </cell>
          <cell r="I458">
            <v>339.99</v>
          </cell>
          <cell r="J458">
            <v>213.80350000000001</v>
          </cell>
          <cell r="K458">
            <v>0</v>
          </cell>
          <cell r="L458">
            <v>213.80350000000001</v>
          </cell>
          <cell r="M458">
            <v>0</v>
          </cell>
          <cell r="N458">
            <v>339.99</v>
          </cell>
          <cell r="O458" t="str">
            <v>RIACHUELO</v>
          </cell>
          <cell r="P458">
            <v>299.99</v>
          </cell>
          <cell r="Q458">
            <v>0.59019847663859604</v>
          </cell>
          <cell r="R458">
            <v>0.59019847663859604</v>
          </cell>
          <cell r="S458" t="e">
            <v>#VALUE!</v>
          </cell>
          <cell r="T458" t="e">
            <v>#VALUE!</v>
          </cell>
        </row>
        <row r="459">
          <cell r="A459" t="str">
            <v>GRGM24000109</v>
          </cell>
          <cell r="B459" t="str">
            <v>MKP000631003514</v>
          </cell>
          <cell r="C459" t="str">
            <v/>
          </cell>
          <cell r="D459" t="str">
            <v>Armário de Cozinha Completa 100% MDF 240cm Frentes Branco Brilho Acordes Madesa 01</v>
          </cell>
          <cell r="E459" t="str">
            <v>ACORDES</v>
          </cell>
          <cell r="F459" t="str">
            <v>COZINHA</v>
          </cell>
          <cell r="G459" t="str">
            <v/>
          </cell>
          <cell r="H459">
            <v>2259.9899999999998</v>
          </cell>
          <cell r="I459">
            <v>2199.9899999999998</v>
          </cell>
          <cell r="J459">
            <v>1827.2215000000001</v>
          </cell>
          <cell r="K459">
            <v>0</v>
          </cell>
          <cell r="L459">
            <v>1827.2215000000001</v>
          </cell>
          <cell r="M459">
            <v>0</v>
          </cell>
          <cell r="N459">
            <v>2199.9899999999998</v>
          </cell>
          <cell r="O459" t="str">
            <v>MADEIRAMADEIRA</v>
          </cell>
          <cell r="P459">
            <v>2189.9899999999998</v>
          </cell>
          <cell r="Q459">
            <v>0.20400838103098101</v>
          </cell>
          <cell r="R459">
            <v>0.20400838103098101</v>
          </cell>
          <cell r="S459" t="e">
            <v>#VALUE!</v>
          </cell>
          <cell r="T459" t="e">
            <v>#VALUE!</v>
          </cell>
        </row>
        <row r="460">
          <cell r="A460" t="str">
            <v>GRRM31000209</v>
          </cell>
          <cell r="B460" t="str">
            <v>MKP000631004194</v>
          </cell>
          <cell r="C460" t="str">
            <v/>
          </cell>
          <cell r="D460" t="str">
            <v>Armário de Cozinha Completa 310cm Branco Reims Madesa 02</v>
          </cell>
          <cell r="E460" t="str">
            <v>REIMS</v>
          </cell>
          <cell r="F460" t="str">
            <v>COZINHA</v>
          </cell>
          <cell r="G460" t="str">
            <v/>
          </cell>
          <cell r="H460">
            <v>1989.9</v>
          </cell>
          <cell r="I460">
            <v>1769.99</v>
          </cell>
          <cell r="J460">
            <v>1423.1149</v>
          </cell>
          <cell r="K460">
            <v>0</v>
          </cell>
          <cell r="L460">
            <v>1423.1149</v>
          </cell>
          <cell r="M460">
            <v>0</v>
          </cell>
          <cell r="N460">
            <v>1769.99</v>
          </cell>
          <cell r="O460" t="str">
            <v>MAGALU</v>
          </cell>
          <cell r="P460">
            <v>1684.2</v>
          </cell>
          <cell r="Q460">
            <v>0.24374356561089999</v>
          </cell>
          <cell r="R460">
            <v>0.24374356561089999</v>
          </cell>
          <cell r="S460" t="e">
            <v>#VALUE!</v>
          </cell>
          <cell r="T460" t="e">
            <v>#VALUE!</v>
          </cell>
        </row>
        <row r="461">
          <cell r="A461" t="str">
            <v>GCAG459001F9</v>
          </cell>
          <cell r="B461" t="str">
            <v>MKP000631004526</v>
          </cell>
          <cell r="C461" t="str">
            <v/>
          </cell>
          <cell r="D461" t="str">
            <v>Armário de Cozinha Completa de Canto 459cm Rustic Cinza Agata Madesa 01</v>
          </cell>
          <cell r="E461" t="str">
            <v>ÁGATA</v>
          </cell>
          <cell r="F461" t="str">
            <v>COZINHA</v>
          </cell>
          <cell r="G461" t="str">
            <v/>
          </cell>
          <cell r="H461">
            <v>3449.99</v>
          </cell>
          <cell r="I461">
            <v>3349.99</v>
          </cell>
          <cell r="J461">
            <v>2732.2485000000001</v>
          </cell>
          <cell r="K461">
            <v>0</v>
          </cell>
          <cell r="L461">
            <v>2732.2485000000001</v>
          </cell>
          <cell r="M461">
            <v>0</v>
          </cell>
          <cell r="N461">
            <v>3349.99</v>
          </cell>
          <cell r="O461" t="str">
            <v>MAGALU</v>
          </cell>
          <cell r="P461">
            <v>3526.31</v>
          </cell>
          <cell r="Q461">
            <v>0.22609272180037801</v>
          </cell>
          <cell r="R461">
            <v>0.22609272180037801</v>
          </cell>
          <cell r="S461" t="e">
            <v>#VALUE!</v>
          </cell>
          <cell r="T461" t="e">
            <v>#VALUE!</v>
          </cell>
        </row>
        <row r="462">
          <cell r="A462" t="str">
            <v>G251288NPRRF</v>
          </cell>
          <cell r="B462" t="str">
            <v>MKP000631004440</v>
          </cell>
          <cell r="C462" t="str">
            <v/>
          </cell>
          <cell r="D462" t="str">
            <v>Armário Aéreo Madesa Reims 120cm 2 Portas de Correr de Vidro Reflex 1 Nicho Preto</v>
          </cell>
          <cell r="E462" t="str">
            <v>REIMS</v>
          </cell>
          <cell r="F462" t="str">
            <v>MODULAÇÃO</v>
          </cell>
          <cell r="G462" t="str">
            <v/>
          </cell>
          <cell r="H462">
            <v>549.99</v>
          </cell>
          <cell r="I462">
            <v>369.99</v>
          </cell>
          <cell r="J462">
            <v>233.49979999999999</v>
          </cell>
          <cell r="K462">
            <v>0</v>
          </cell>
          <cell r="L462">
            <v>233.49979999999999</v>
          </cell>
          <cell r="M462">
            <v>0</v>
          </cell>
          <cell r="N462">
            <v>369.99</v>
          </cell>
          <cell r="O462" t="str">
            <v/>
          </cell>
          <cell r="P462">
            <v>0</v>
          </cell>
          <cell r="Q462">
            <v>0.58454097176956898</v>
          </cell>
          <cell r="R462">
            <v>0.58454097176956898</v>
          </cell>
          <cell r="S462" t="e">
            <v>#VALUE!</v>
          </cell>
          <cell r="T462" t="e">
            <v>#VALUE!</v>
          </cell>
        </row>
        <row r="463">
          <cell r="A463" t="str">
            <v>MDJA0400885ZLIB</v>
          </cell>
          <cell r="B463" t="str">
            <v>MKP000631002567</v>
          </cell>
          <cell r="C463" t="str">
            <v/>
          </cell>
          <cell r="D463" t="str">
            <v>Conjunto Sala de Jantar Madesa Luana Mesa Tampo de Madeira com 4 Cadeiras Rustic/Lírio Bege</v>
          </cell>
          <cell r="E463" t="str">
            <v>LUANA</v>
          </cell>
          <cell r="F463" t="str">
            <v>SALA DE JANTAR</v>
          </cell>
          <cell r="G463" t="str">
            <v>4290X</v>
          </cell>
          <cell r="H463">
            <v>599.99</v>
          </cell>
          <cell r="I463">
            <v>499.99</v>
          </cell>
          <cell r="J463">
            <v>396.20409999999998</v>
          </cell>
          <cell r="K463">
            <v>0</v>
          </cell>
          <cell r="L463">
            <v>396.20409999999998</v>
          </cell>
          <cell r="M463">
            <v>0</v>
          </cell>
          <cell r="N463">
            <v>499.99</v>
          </cell>
          <cell r="O463" t="str">
            <v>VIA</v>
          </cell>
          <cell r="P463">
            <v>499.99</v>
          </cell>
          <cell r="Q463">
            <v>0.261950595665214</v>
          </cell>
          <cell r="R463">
            <v>0.261950595665214</v>
          </cell>
          <cell r="S463" t="e">
            <v>#VALUE!</v>
          </cell>
          <cell r="T463" t="e">
            <v>#VALUE!</v>
          </cell>
        </row>
        <row r="464">
          <cell r="A464" t="str">
            <v>GRRM1900038N</v>
          </cell>
          <cell r="B464" t="str">
            <v>MKP000631004325</v>
          </cell>
          <cell r="C464" t="str">
            <v/>
          </cell>
          <cell r="D464" t="str">
            <v>Kit com 2 Balcões de Cozinha Madesa Reims 4 Portas 1 Gaveta (Com Tampo) Preto</v>
          </cell>
          <cell r="E464" t="str">
            <v>REIMS</v>
          </cell>
          <cell r="F464" t="str">
            <v>COZINHA</v>
          </cell>
          <cell r="G464" t="str">
            <v/>
          </cell>
          <cell r="H464">
            <v>759.99</v>
          </cell>
          <cell r="I464">
            <v>679.99</v>
          </cell>
          <cell r="J464">
            <v>565.03420000000006</v>
          </cell>
          <cell r="K464">
            <v>0</v>
          </cell>
          <cell r="L464">
            <v>565.03420000000006</v>
          </cell>
          <cell r="M464">
            <v>0</v>
          </cell>
          <cell r="N464">
            <v>679.99</v>
          </cell>
          <cell r="O464" t="str">
            <v>AMAZON</v>
          </cell>
          <cell r="P464">
            <v>669.99</v>
          </cell>
          <cell r="Q464">
            <v>0.203449277937512</v>
          </cell>
          <cell r="R464">
            <v>0.203449277937512</v>
          </cell>
          <cell r="S464" t="e">
            <v>#VALUE!</v>
          </cell>
          <cell r="T464" t="e">
            <v>#VALUE!</v>
          </cell>
        </row>
        <row r="465">
          <cell r="A465" t="str">
            <v>10445ZA</v>
          </cell>
          <cell r="B465" t="str">
            <v>MKP000631000139</v>
          </cell>
          <cell r="C465" t="str">
            <v/>
          </cell>
          <cell r="D465" t="str">
            <v>Guarda-Roupa Solteiro Madesa Luke 2 Portas de Correr de Madeira Rustic</v>
          </cell>
          <cell r="E465" t="str">
            <v>LUKE</v>
          </cell>
          <cell r="F465" t="str">
            <v>QUARTO</v>
          </cell>
          <cell r="G465" t="str">
            <v/>
          </cell>
          <cell r="H465">
            <v>1259.99</v>
          </cell>
          <cell r="I465">
            <v>799.99</v>
          </cell>
          <cell r="J465">
            <v>568.91459999999995</v>
          </cell>
          <cell r="K465">
            <v>0</v>
          </cell>
          <cell r="L465">
            <v>568.91459999999995</v>
          </cell>
          <cell r="M465">
            <v>0</v>
          </cell>
          <cell r="N465">
            <v>799.99</v>
          </cell>
          <cell r="O465" t="str">
            <v>MELI</v>
          </cell>
          <cell r="P465">
            <v>822.22</v>
          </cell>
          <cell r="Q465">
            <v>0.40616886963350901</v>
          </cell>
          <cell r="R465">
            <v>0.40616886963350901</v>
          </cell>
          <cell r="S465" t="e">
            <v>#VALUE!</v>
          </cell>
          <cell r="T465" t="e">
            <v>#VALUE!</v>
          </cell>
        </row>
        <row r="466">
          <cell r="A466" t="str">
            <v>G2512509RF</v>
          </cell>
          <cell r="B466" t="str">
            <v>MKP000631000916</v>
          </cell>
          <cell r="C466" t="str">
            <v/>
          </cell>
          <cell r="D466" t="str">
            <v>Armário Aéreo Madesa Acordes 100% MDF 2 Portas de Correr de Vidro Reflex Branco</v>
          </cell>
          <cell r="E466" t="str">
            <v>ACORDES</v>
          </cell>
          <cell r="F466" t="str">
            <v>MODULAÇÃO</v>
          </cell>
          <cell r="G466" t="str">
            <v/>
          </cell>
          <cell r="H466">
            <v>439.99</v>
          </cell>
          <cell r="I466">
            <v>410.92</v>
          </cell>
          <cell r="J466">
            <v>269.012</v>
          </cell>
          <cell r="K466">
            <v>0</v>
          </cell>
          <cell r="L466">
            <v>269.012</v>
          </cell>
          <cell r="M466">
            <v>0</v>
          </cell>
          <cell r="N466">
            <v>410.92</v>
          </cell>
          <cell r="O466" t="str">
            <v/>
          </cell>
          <cell r="P466">
            <v>0</v>
          </cell>
          <cell r="Q466">
            <v>0.527515501167234</v>
          </cell>
          <cell r="R466">
            <v>0.527515501167234</v>
          </cell>
          <cell r="S466" t="e">
            <v>#VALUE!</v>
          </cell>
          <cell r="T466" t="e">
            <v>#VALUE!</v>
          </cell>
        </row>
        <row r="467">
          <cell r="A467" t="str">
            <v>11639B1E1RCP</v>
          </cell>
          <cell r="B467" t="str">
            <v>MKP000631000986</v>
          </cell>
          <cell r="C467" t="str">
            <v/>
          </cell>
          <cell r="D467" t="str">
            <v>Guarda-Roupa Casal 100% MDF Madesa Eros 3 Portas de Correr com Espelho com Pés Branco/Branco/Rustic</v>
          </cell>
          <cell r="E467" t="str">
            <v>EROS</v>
          </cell>
          <cell r="F467" t="str">
            <v>QUARTO</v>
          </cell>
          <cell r="G467" t="str">
            <v/>
          </cell>
          <cell r="H467">
            <v>2169.9899999999998</v>
          </cell>
          <cell r="I467">
            <v>2069.9899999999998</v>
          </cell>
          <cell r="J467">
            <v>1727.4647</v>
          </cell>
          <cell r="K467">
            <v>0</v>
          </cell>
          <cell r="L467">
            <v>1727.4647</v>
          </cell>
          <cell r="M467">
            <v>0</v>
          </cell>
          <cell r="N467">
            <v>2069.9899999999998</v>
          </cell>
          <cell r="O467" t="str">
            <v/>
          </cell>
          <cell r="P467">
            <v>0</v>
          </cell>
          <cell r="Q467">
            <v>0.198282083564428</v>
          </cell>
          <cell r="R467">
            <v>0.198282083564428</v>
          </cell>
          <cell r="S467" t="e">
            <v>#VALUE!</v>
          </cell>
          <cell r="T467" t="e">
            <v>#VALUE!</v>
          </cell>
        </row>
        <row r="468">
          <cell r="A468" t="str">
            <v>XAGCSM448001A9</v>
          </cell>
          <cell r="B468" t="str">
            <v>MKP000631003301</v>
          </cell>
          <cell r="C468" t="str">
            <v/>
          </cell>
          <cell r="D468" t="str">
            <v>Armário de Cozinha Completa de Canto 100% MDF 448 cm Branco/Rustic/Crema Smart Madesa XA01</v>
          </cell>
          <cell r="E468" t="str">
            <v>SMART</v>
          </cell>
          <cell r="F468" t="str">
            <v>COZINHA</v>
          </cell>
          <cell r="G468" t="str">
            <v/>
          </cell>
          <cell r="H468">
            <v>3619.99</v>
          </cell>
          <cell r="I468">
            <v>2669.99</v>
          </cell>
          <cell r="J468">
            <v>2058.8791999999999</v>
          </cell>
          <cell r="K468">
            <v>0</v>
          </cell>
          <cell r="L468">
            <v>2058.8791999999999</v>
          </cell>
          <cell r="M468">
            <v>0</v>
          </cell>
          <cell r="N468">
            <v>2669.99</v>
          </cell>
          <cell r="O468" t="str">
            <v>MAGALU</v>
          </cell>
          <cell r="P468">
            <v>2526.31</v>
          </cell>
          <cell r="Q468">
            <v>0.29681721977666298</v>
          </cell>
          <cell r="R468">
            <v>0.29681721977666298</v>
          </cell>
          <cell r="S468" t="e">
            <v>#VALUE!</v>
          </cell>
          <cell r="T468" t="e">
            <v>#VALUE!</v>
          </cell>
        </row>
        <row r="469">
          <cell r="A469" t="str">
            <v>1094092ECP</v>
          </cell>
          <cell r="B469" t="str">
            <v>MKP000631000967</v>
          </cell>
          <cell r="C469" t="str">
            <v/>
          </cell>
          <cell r="D469" t="str">
            <v>Guarda-Roupa Solteiro Madesa Denver 2 Portas de Correr de Espelho com Pés Branco</v>
          </cell>
          <cell r="E469" t="str">
            <v>DENVER</v>
          </cell>
          <cell r="F469" t="str">
            <v>QUARTO</v>
          </cell>
          <cell r="G469" t="str">
            <v/>
          </cell>
          <cell r="H469">
            <v>1099.99</v>
          </cell>
          <cell r="I469">
            <v>959.92</v>
          </cell>
          <cell r="J469">
            <v>771.55650000000003</v>
          </cell>
          <cell r="K469">
            <v>0</v>
          </cell>
          <cell r="L469">
            <v>771.55650000000003</v>
          </cell>
          <cell r="M469">
            <v>0</v>
          </cell>
          <cell r="N469">
            <v>959.92</v>
          </cell>
          <cell r="O469" t="str">
            <v/>
          </cell>
          <cell r="P469">
            <v>0</v>
          </cell>
          <cell r="Q469">
            <v>0.244134421782462</v>
          </cell>
          <cell r="R469">
            <v>0.244134421782462</v>
          </cell>
          <cell r="S469" t="e">
            <v>#VALUE!</v>
          </cell>
          <cell r="T469" t="e">
            <v>#VALUE!</v>
          </cell>
        </row>
        <row r="470">
          <cell r="A470" t="str">
            <v>GREM2290025Z</v>
          </cell>
          <cell r="B470" t="str">
            <v>MKP000631000323</v>
          </cell>
          <cell r="C470" t="str">
            <v/>
          </cell>
          <cell r="D470" t="str">
            <v>Armário de Cozinha Compacta 229cm Rustic Emilly Pop Madesa 02</v>
          </cell>
          <cell r="E470" t="str">
            <v>POP/EMILLY</v>
          </cell>
          <cell r="F470" t="str">
            <v>COZINHA</v>
          </cell>
          <cell r="G470" t="str">
            <v/>
          </cell>
          <cell r="H470">
            <v>1279.99</v>
          </cell>
          <cell r="I470">
            <v>789.99</v>
          </cell>
          <cell r="J470">
            <v>587.28110000000004</v>
          </cell>
          <cell r="K470">
            <v>0</v>
          </cell>
          <cell r="L470">
            <v>587.28110000000004</v>
          </cell>
          <cell r="M470">
            <v>0</v>
          </cell>
          <cell r="N470">
            <v>789.99</v>
          </cell>
          <cell r="O470" t="str">
            <v>VIA</v>
          </cell>
          <cell r="P470">
            <v>699.99</v>
          </cell>
          <cell r="Q470">
            <v>0.34516503255425701</v>
          </cell>
          <cell r="R470">
            <v>0.34516503255425701</v>
          </cell>
          <cell r="S470" t="e">
            <v>#VALUE!</v>
          </cell>
          <cell r="T470" t="e">
            <v>#VALUE!</v>
          </cell>
        </row>
        <row r="471">
          <cell r="A471" t="str">
            <v>1082091E</v>
          </cell>
          <cell r="B471" t="str">
            <v>MKP000631000254</v>
          </cell>
          <cell r="C471" t="str">
            <v/>
          </cell>
          <cell r="D471" t="str">
            <v>Guarda-Roupa Casal Madesa Napoli 3 Portas de Correr Central com Espelho Branco</v>
          </cell>
          <cell r="E471" t="str">
            <v>NAPOLI</v>
          </cell>
          <cell r="F471" t="str">
            <v>QUARTO</v>
          </cell>
          <cell r="G471" t="str">
            <v/>
          </cell>
          <cell r="H471">
            <v>2219.9899999999998</v>
          </cell>
          <cell r="I471">
            <v>1469.99</v>
          </cell>
          <cell r="J471">
            <v>1108.1267</v>
          </cell>
          <cell r="K471">
            <v>0</v>
          </cell>
          <cell r="L471">
            <v>1108.1267</v>
          </cell>
          <cell r="M471">
            <v>0</v>
          </cell>
          <cell r="N471">
            <v>1469.99</v>
          </cell>
          <cell r="O471" t="str">
            <v>LEROY</v>
          </cell>
          <cell r="P471">
            <v>1399.99</v>
          </cell>
          <cell r="Q471">
            <v>0.32655408447427497</v>
          </cell>
          <cell r="R471">
            <v>0.32655408447427497</v>
          </cell>
          <cell r="S471" t="e">
            <v>#VALUE!</v>
          </cell>
          <cell r="T471" t="e">
            <v>#VALUE!</v>
          </cell>
        </row>
        <row r="472">
          <cell r="A472" t="str">
            <v>GRRM3000018N</v>
          </cell>
          <cell r="B472" t="str">
            <v>MKP000631004487</v>
          </cell>
          <cell r="C472" t="str">
            <v/>
          </cell>
          <cell r="D472" t="str">
            <v>Armário de Cozinha Completa 300cm Preto Reims Madesa 01</v>
          </cell>
          <cell r="E472" t="str">
            <v>REIMS</v>
          </cell>
          <cell r="F472" t="str">
            <v>COZINHA</v>
          </cell>
          <cell r="G472" t="str">
            <v/>
          </cell>
          <cell r="H472">
            <v>2799.9</v>
          </cell>
          <cell r="I472">
            <v>1899.99</v>
          </cell>
          <cell r="J472">
            <v>1441.7538999999999</v>
          </cell>
          <cell r="K472">
            <v>0</v>
          </cell>
          <cell r="L472">
            <v>1441.7538999999999</v>
          </cell>
          <cell r="M472">
            <v>0</v>
          </cell>
          <cell r="N472">
            <v>1899.99</v>
          </cell>
          <cell r="O472" t="str">
            <v>COLOMBO</v>
          </cell>
          <cell r="P472">
            <v>1769.99</v>
          </cell>
          <cell r="Q472">
            <v>0.31783239844192501</v>
          </cell>
          <cell r="R472">
            <v>0.31783239844192501</v>
          </cell>
          <cell r="S472" t="e">
            <v>#VALUE!</v>
          </cell>
          <cell r="T472" t="e">
            <v>#VALUE!</v>
          </cell>
        </row>
        <row r="473">
          <cell r="A473" t="str">
            <v>1063091ECP</v>
          </cell>
          <cell r="B473" t="str">
            <v>MKP000631000344</v>
          </cell>
          <cell r="C473" t="str">
            <v/>
          </cell>
          <cell r="D473" t="str">
            <v>Guarda-Roupa Casal 100% MDF Madesa Royale 3 Portas de Correr com Espelho com Pés Branco</v>
          </cell>
          <cell r="E473" t="str">
            <v>ROYALE</v>
          </cell>
          <cell r="F473" t="str">
            <v>QUARTO</v>
          </cell>
          <cell r="G473" t="str">
            <v/>
          </cell>
          <cell r="H473">
            <v>3239.99</v>
          </cell>
          <cell r="I473">
            <v>2249.9899999999998</v>
          </cell>
          <cell r="J473">
            <v>1838.7973</v>
          </cell>
          <cell r="K473">
            <v>0</v>
          </cell>
          <cell r="L473">
            <v>1838.7973</v>
          </cell>
          <cell r="M473">
            <v>0</v>
          </cell>
          <cell r="N473">
            <v>2249.9899999999998</v>
          </cell>
          <cell r="O473" t="str">
            <v>MAGALU/AMAZON/MELI</v>
          </cell>
          <cell r="P473">
            <v>2189.46</v>
          </cell>
          <cell r="Q473">
            <v>0.22362046104809899</v>
          </cell>
          <cell r="R473">
            <v>0.22362046104809899</v>
          </cell>
          <cell r="S473" t="e">
            <v>#VALUE!</v>
          </cell>
          <cell r="T473" t="e">
            <v>#VALUE!</v>
          </cell>
        </row>
        <row r="474">
          <cell r="A474" t="str">
            <v>GCRM39200109</v>
          </cell>
          <cell r="B474" t="str">
            <v>MKP000631002538</v>
          </cell>
          <cell r="C474" t="str">
            <v/>
          </cell>
          <cell r="D474" t="str">
            <v>Armário de Cozinha Completa de Canto 392cm Branco Reims Madesa 01</v>
          </cell>
          <cell r="E474" t="str">
            <v>REIMS</v>
          </cell>
          <cell r="F474" t="str">
            <v>COZINHA</v>
          </cell>
          <cell r="G474" t="str">
            <v/>
          </cell>
          <cell r="H474">
            <v>3269.99</v>
          </cell>
          <cell r="I474">
            <v>1859.99</v>
          </cell>
          <cell r="J474">
            <v>1513.1925000000001</v>
          </cell>
          <cell r="K474">
            <v>0</v>
          </cell>
          <cell r="L474">
            <v>1513.1925000000001</v>
          </cell>
          <cell r="M474">
            <v>0</v>
          </cell>
          <cell r="N474">
            <v>1859.99</v>
          </cell>
          <cell r="O474" t="str">
            <v>MADEIRAMADEIRA</v>
          </cell>
          <cell r="P474">
            <v>1849.99</v>
          </cell>
          <cell r="Q474">
            <v>0.22918267173542001</v>
          </cell>
          <cell r="R474">
            <v>0.22918267173542001</v>
          </cell>
          <cell r="S474" t="e">
            <v>#VALUE!</v>
          </cell>
          <cell r="T474" t="e">
            <v>#VALUE!</v>
          </cell>
        </row>
        <row r="475">
          <cell r="A475" t="str">
            <v>G2512709PRMB</v>
          </cell>
          <cell r="B475" t="str">
            <v>MKP000631000931</v>
          </cell>
          <cell r="C475" t="str">
            <v/>
          </cell>
          <cell r="D475" t="str">
            <v>Armário Aéreo Madesa Glamy 2 Portas de Correr de Vidro e 1 Nicho Branco</v>
          </cell>
          <cell r="E475" t="str">
            <v>GLAMY</v>
          </cell>
          <cell r="F475" t="str">
            <v>MODULAÇÃO</v>
          </cell>
          <cell r="G475" t="str">
            <v/>
          </cell>
          <cell r="H475">
            <v>839.99</v>
          </cell>
          <cell r="I475">
            <v>449.99</v>
          </cell>
          <cell r="J475">
            <v>298.58370000000002</v>
          </cell>
          <cell r="K475">
            <v>0</v>
          </cell>
          <cell r="L475">
            <v>298.58370000000002</v>
          </cell>
          <cell r="M475">
            <v>0</v>
          </cell>
          <cell r="N475">
            <v>449.99</v>
          </cell>
          <cell r="O475" t="str">
            <v/>
          </cell>
          <cell r="P475">
            <v>0</v>
          </cell>
          <cell r="Q475">
            <v>0.50708159889505</v>
          </cell>
          <cell r="R475">
            <v>0.50708159889505</v>
          </cell>
          <cell r="S475" t="e">
            <v>#VALUE!</v>
          </cell>
          <cell r="T475" t="e">
            <v>#VALUE!</v>
          </cell>
        </row>
        <row r="476">
          <cell r="A476" t="str">
            <v>10937K2G</v>
          </cell>
          <cell r="B476" t="str">
            <v>MKP000631002217</v>
          </cell>
          <cell r="C476" t="str">
            <v/>
          </cell>
          <cell r="D476" t="str">
            <v>Guarda-Roupa Casal Madesa Lyon 3 Portas de Correr 2 Gavetas Rustic/Preto</v>
          </cell>
          <cell r="E476" t="str">
            <v>LYON</v>
          </cell>
          <cell r="F476" t="str">
            <v>QUARTO</v>
          </cell>
          <cell r="G476" t="str">
            <v/>
          </cell>
          <cell r="H476">
            <v>999.99</v>
          </cell>
          <cell r="I476">
            <v>869.92</v>
          </cell>
          <cell r="J476">
            <v>709.59</v>
          </cell>
          <cell r="K476">
            <v>0</v>
          </cell>
          <cell r="L476">
            <v>709.59</v>
          </cell>
          <cell r="M476">
            <v>0</v>
          </cell>
          <cell r="N476">
            <v>869.92</v>
          </cell>
          <cell r="O476" t="str">
            <v/>
          </cell>
          <cell r="P476">
            <v>0</v>
          </cell>
          <cell r="Q476">
            <v>0.22594737806338899</v>
          </cell>
          <cell r="R476">
            <v>0.22594737806338899</v>
          </cell>
          <cell r="S476" t="e">
            <v>#VALUE!</v>
          </cell>
          <cell r="T476" t="e">
            <v>#VALUE!</v>
          </cell>
        </row>
        <row r="477">
          <cell r="A477" t="str">
            <v>044915ZXTFLH</v>
          </cell>
          <cell r="B477" t="str">
            <v>MKP000631000570</v>
          </cell>
          <cell r="C477" t="str">
            <v/>
          </cell>
          <cell r="D477" t="str">
            <v>Conjunto Sala de Jantar Madesa Rute Mesa Tampo de Madeira com 4 Cadeiras Rustic/Floral Hibiscos</v>
          </cell>
          <cell r="E477" t="str">
            <v>RUTE</v>
          </cell>
          <cell r="F477" t="str">
            <v>SALA DE JANTAR</v>
          </cell>
          <cell r="G477" t="str">
            <v>4290X</v>
          </cell>
          <cell r="H477">
            <v>649.99</v>
          </cell>
          <cell r="I477">
            <v>549.99</v>
          </cell>
          <cell r="J477">
            <v>427.78140000000002</v>
          </cell>
          <cell r="K477">
            <v>0</v>
          </cell>
          <cell r="L477">
            <v>427.78140000000002</v>
          </cell>
          <cell r="M477">
            <v>0</v>
          </cell>
          <cell r="N477">
            <v>549.99</v>
          </cell>
          <cell r="O477" t="str">
            <v/>
          </cell>
          <cell r="P477">
            <v>0</v>
          </cell>
          <cell r="Q477">
            <v>0.285680022553575</v>
          </cell>
          <cell r="R477">
            <v>0.285680022553575</v>
          </cell>
          <cell r="S477" t="e">
            <v>#VALUE!</v>
          </cell>
          <cell r="T477" t="e">
            <v>#VALUE!</v>
          </cell>
        </row>
        <row r="478">
          <cell r="A478" t="str">
            <v>MDJA0601347KSIL</v>
          </cell>
          <cell r="B478" t="str">
            <v>MKP000631004932</v>
          </cell>
          <cell r="C478" t="str">
            <v/>
          </cell>
          <cell r="D478" t="str">
            <v>Conjunto Sala de Jantar Mesa Tampo de Vidro 6 Cadeiras Rustic/Preto/Silver Geórgia Madesa</v>
          </cell>
          <cell r="E478" t="str">
            <v>GEÓRGIA</v>
          </cell>
          <cell r="F478" t="str">
            <v>SALA DE JANTAR</v>
          </cell>
          <cell r="G478">
            <v>4256</v>
          </cell>
          <cell r="H478">
            <v>1899.99</v>
          </cell>
          <cell r="I478">
            <v>1799.99</v>
          </cell>
          <cell r="J478">
            <v>1411.2447999999999</v>
          </cell>
          <cell r="K478">
            <v>0</v>
          </cell>
          <cell r="L478">
            <v>1411.2447999999999</v>
          </cell>
          <cell r="M478">
            <v>0</v>
          </cell>
          <cell r="N478">
            <v>1799.99</v>
          </cell>
          <cell r="O478" t="str">
            <v>MELI/VIA</v>
          </cell>
          <cell r="P478">
            <v>1977.77</v>
          </cell>
          <cell r="Q478">
            <v>0.27546262703678298</v>
          </cell>
          <cell r="R478">
            <v>0.27546262703678298</v>
          </cell>
          <cell r="S478" t="e">
            <v>#VALUE!</v>
          </cell>
          <cell r="T478" t="e">
            <v>#VALUE!</v>
          </cell>
        </row>
        <row r="479">
          <cell r="A479" t="str">
            <v>GRGM25000473</v>
          </cell>
          <cell r="B479" t="str">
            <v>MKP000631004942</v>
          </cell>
          <cell r="C479" t="str">
            <v/>
          </cell>
          <cell r="D479" t="str">
            <v>Armário de Cozinha Completa 100% MDF 250cm Branco/Preto Acordes Madesa 04</v>
          </cell>
          <cell r="E479" t="str">
            <v>ACORDES</v>
          </cell>
          <cell r="F479" t="str">
            <v>COZINHA</v>
          </cell>
          <cell r="G479" t="str">
            <v/>
          </cell>
          <cell r="H479">
            <v>1899.99</v>
          </cell>
          <cell r="I479">
            <v>1889.99</v>
          </cell>
          <cell r="J479">
            <v>1471.7834</v>
          </cell>
          <cell r="K479">
            <v>0</v>
          </cell>
          <cell r="L479">
            <v>1471.7834</v>
          </cell>
          <cell r="M479">
            <v>0</v>
          </cell>
          <cell r="N479">
            <v>1889.99</v>
          </cell>
          <cell r="O479" t="str">
            <v>IMPÉRIO</v>
          </cell>
          <cell r="P479">
            <v>1959</v>
          </cell>
          <cell r="Q479">
            <v>0.28414955624584398</v>
          </cell>
          <cell r="R479">
            <v>0.28414955624584398</v>
          </cell>
          <cell r="S479" t="e">
            <v>#VALUE!</v>
          </cell>
          <cell r="T479" t="e">
            <v>#VALUE!</v>
          </cell>
        </row>
        <row r="480">
          <cell r="A480" t="str">
            <v>26175Z</v>
          </cell>
          <cell r="B480" t="str">
            <v>MKP000631000028</v>
          </cell>
          <cell r="C480" t="str">
            <v/>
          </cell>
          <cell r="D480" t="str">
            <v>Cabeceira Extensível Madesa com 2 Mesas de Cabeceira Rustic</v>
          </cell>
          <cell r="E480">
            <v>2617</v>
          </cell>
          <cell r="F480" t="str">
            <v>QUARTO</v>
          </cell>
          <cell r="G480" t="str">
            <v/>
          </cell>
          <cell r="H480">
            <v>869.99</v>
          </cell>
          <cell r="I480">
            <v>599.99</v>
          </cell>
          <cell r="J480">
            <v>476.0684</v>
          </cell>
          <cell r="K480">
            <v>0</v>
          </cell>
          <cell r="L480">
            <v>476.0684</v>
          </cell>
          <cell r="M480">
            <v>0</v>
          </cell>
          <cell r="N480">
            <v>599.99</v>
          </cell>
          <cell r="O480" t="str">
            <v/>
          </cell>
          <cell r="P480">
            <v>0</v>
          </cell>
          <cell r="Q480">
            <v>0.26030209104405999</v>
          </cell>
          <cell r="R480">
            <v>0.26030209104405999</v>
          </cell>
          <cell r="S480" t="e">
            <v>#VALUE!</v>
          </cell>
          <cell r="T480" t="e">
            <v>#VALUE!</v>
          </cell>
        </row>
        <row r="481">
          <cell r="A481" t="str">
            <v>1082092E</v>
          </cell>
          <cell r="B481" t="str">
            <v>MKP000631000252</v>
          </cell>
          <cell r="C481" t="str">
            <v/>
          </cell>
          <cell r="D481" t="str">
            <v>Guarda-Roupa Casal Madesa Napoli 3 Portas de Correr 2 Portas com Espelho Branco</v>
          </cell>
          <cell r="E481" t="str">
            <v>NAPOLI</v>
          </cell>
          <cell r="F481" t="str">
            <v>QUARTO</v>
          </cell>
          <cell r="G481" t="str">
            <v/>
          </cell>
          <cell r="H481">
            <v>1629.99</v>
          </cell>
          <cell r="I481">
            <v>1469.92</v>
          </cell>
          <cell r="J481">
            <v>1238.0546999999999</v>
          </cell>
          <cell r="K481">
            <v>0</v>
          </cell>
          <cell r="L481">
            <v>1238.0546999999999</v>
          </cell>
          <cell r="M481">
            <v>0</v>
          </cell>
          <cell r="N481">
            <v>1469.92</v>
          </cell>
          <cell r="O481" t="str">
            <v/>
          </cell>
          <cell r="P481">
            <v>0</v>
          </cell>
          <cell r="Q481">
            <v>0.18728195127404301</v>
          </cell>
          <cell r="R481">
            <v>0.18728195127404301</v>
          </cell>
          <cell r="S481" t="e">
            <v>#VALUE!</v>
          </cell>
          <cell r="T481" t="e">
            <v>#VALUE!</v>
          </cell>
        </row>
        <row r="482">
          <cell r="A482" t="str">
            <v>G241245ZEM</v>
          </cell>
          <cell r="B482" t="str">
            <v>MKP000631001017</v>
          </cell>
          <cell r="C482" t="str">
            <v/>
          </cell>
          <cell r="D482" t="str">
            <v>Balcão Gabinete Madesa Emilly 3 Portas e 1 Gaveta Rustic</v>
          </cell>
          <cell r="E482" t="str">
            <v>EMILLY</v>
          </cell>
          <cell r="F482" t="str">
            <v>MODULAÇÃO</v>
          </cell>
          <cell r="G482" t="str">
            <v/>
          </cell>
          <cell r="H482">
            <v>569.99</v>
          </cell>
          <cell r="I482">
            <v>319.92</v>
          </cell>
          <cell r="J482">
            <v>271.92230000000001</v>
          </cell>
          <cell r="K482">
            <v>0</v>
          </cell>
          <cell r="L482">
            <v>271.92230000000001</v>
          </cell>
          <cell r="M482">
            <v>0</v>
          </cell>
          <cell r="N482">
            <v>319.92</v>
          </cell>
          <cell r="O482" t="str">
            <v/>
          </cell>
          <cell r="P482">
            <v>0</v>
          </cell>
          <cell r="Q482">
            <v>0.17651255524096399</v>
          </cell>
          <cell r="R482">
            <v>0.17651255524096399</v>
          </cell>
          <cell r="S482" t="e">
            <v>#VALUE!</v>
          </cell>
          <cell r="T482" t="e">
            <v>#VALUE!</v>
          </cell>
        </row>
        <row r="483">
          <cell r="A483" t="str">
            <v>1093731E</v>
          </cell>
          <cell r="B483" t="str">
            <v>MKP000631002099</v>
          </cell>
          <cell r="C483" t="str">
            <v/>
          </cell>
          <cell r="D483" t="str">
            <v>Guarda-Roupa Casal Madesa Mônaco 3 Portas de Correr com Espelho Branco/Preto</v>
          </cell>
          <cell r="E483" t="str">
            <v>MÔNACO</v>
          </cell>
          <cell r="F483" t="str">
            <v>QUARTO</v>
          </cell>
          <cell r="G483" t="str">
            <v/>
          </cell>
          <cell r="H483">
            <v>1539.99</v>
          </cell>
          <cell r="I483">
            <v>899.99</v>
          </cell>
          <cell r="J483">
            <v>750.78110000000004</v>
          </cell>
          <cell r="K483">
            <v>0</v>
          </cell>
          <cell r="L483">
            <v>750.78110000000004</v>
          </cell>
          <cell r="M483">
            <v>0</v>
          </cell>
          <cell r="N483">
            <v>899.99</v>
          </cell>
          <cell r="O483" t="str">
            <v>ZEMA</v>
          </cell>
          <cell r="P483">
            <v>899.99</v>
          </cell>
          <cell r="Q483">
            <v>0.198738220767678</v>
          </cell>
          <cell r="R483">
            <v>0.198738220767678</v>
          </cell>
          <cell r="S483" t="e">
            <v>#VALUE!</v>
          </cell>
          <cell r="T483" t="e">
            <v>#VALUE!</v>
          </cell>
        </row>
        <row r="484">
          <cell r="A484" t="str">
            <v>MDJA0601377GSM</v>
          </cell>
          <cell r="B484" t="str">
            <v>MKP000631005307</v>
          </cell>
          <cell r="C484" t="str">
            <v/>
          </cell>
          <cell r="D484" t="str">
            <v>Conjunto Sala de Jantar Mesa Tampo de Madeira 6 Cadeiras Rustic/Crema/Imperial Britney Madesa</v>
          </cell>
          <cell r="E484" t="str">
            <v>BRITNEY</v>
          </cell>
          <cell r="F484" t="str">
            <v>SALA DE JANTAR</v>
          </cell>
          <cell r="G484">
            <v>4256</v>
          </cell>
          <cell r="H484">
            <v>1649.99</v>
          </cell>
          <cell r="I484">
            <v>1539.92</v>
          </cell>
          <cell r="J484">
            <v>1208.9081000000001</v>
          </cell>
          <cell r="K484">
            <v>0</v>
          </cell>
          <cell r="L484">
            <v>1208.9081000000001</v>
          </cell>
          <cell r="M484">
            <v>0</v>
          </cell>
          <cell r="N484">
            <v>1539.92</v>
          </cell>
          <cell r="O484" t="str">
            <v/>
          </cell>
          <cell r="P484">
            <v>0</v>
          </cell>
          <cell r="Q484">
            <v>0.27381063953496598</v>
          </cell>
          <cell r="R484">
            <v>0.27381063953496598</v>
          </cell>
          <cell r="S484" t="e">
            <v>#VALUE!</v>
          </cell>
          <cell r="T484" t="e">
            <v>#VALUE!</v>
          </cell>
        </row>
        <row r="485">
          <cell r="A485" t="str">
            <v>52315Z1</v>
          </cell>
          <cell r="B485" t="str">
            <v>MKP000631000096</v>
          </cell>
          <cell r="C485" t="str">
            <v/>
          </cell>
          <cell r="D485" t="str">
            <v>Mesa de Jantar Madesa com Tampo de Madeira 5231 Rustic</v>
          </cell>
          <cell r="E485">
            <v>5231</v>
          </cell>
          <cell r="F485" t="str">
            <v>SALA DE JANTAR</v>
          </cell>
          <cell r="G485" t="str">
            <v/>
          </cell>
          <cell r="H485">
            <v>469.99</v>
          </cell>
          <cell r="I485">
            <v>319.92</v>
          </cell>
          <cell r="J485">
            <v>183.06549999999999</v>
          </cell>
          <cell r="K485">
            <v>0</v>
          </cell>
          <cell r="L485">
            <v>183.06549999999999</v>
          </cell>
          <cell r="M485">
            <v>0</v>
          </cell>
          <cell r="N485">
            <v>319.92</v>
          </cell>
          <cell r="O485" t="str">
            <v/>
          </cell>
          <cell r="P485">
            <v>0</v>
          </cell>
          <cell r="Q485">
            <v>0.74757122450707503</v>
          </cell>
          <cell r="R485">
            <v>0.74757122450707503</v>
          </cell>
          <cell r="S485" t="e">
            <v>#VALUE!</v>
          </cell>
          <cell r="T485" t="e">
            <v>#VALUE!</v>
          </cell>
        </row>
        <row r="486">
          <cell r="A486" t="str">
            <v>XAGREM1690077K</v>
          </cell>
          <cell r="B486" t="str">
            <v>MKP000631003307</v>
          </cell>
          <cell r="C486" t="str">
            <v/>
          </cell>
          <cell r="D486" t="str">
            <v>Armário de Cozinha Completa 169cm Rustic/Preto Emilly Dance Madesa 07</v>
          </cell>
          <cell r="E486" t="str">
            <v>DANCE/EMILLY</v>
          </cell>
          <cell r="F486" t="str">
            <v>COZINHA</v>
          </cell>
          <cell r="G486" t="str">
            <v/>
          </cell>
          <cell r="H486">
            <v>1779.99</v>
          </cell>
          <cell r="I486">
            <v>1039.99</v>
          </cell>
          <cell r="J486">
            <v>734.97609999999997</v>
          </cell>
          <cell r="K486">
            <v>0</v>
          </cell>
          <cell r="L486">
            <v>734.97609999999997</v>
          </cell>
          <cell r="M486">
            <v>0</v>
          </cell>
          <cell r="N486">
            <v>1039.99</v>
          </cell>
          <cell r="O486" t="str">
            <v>MAGALU</v>
          </cell>
          <cell r="P486">
            <v>947.36</v>
          </cell>
          <cell r="Q486">
            <v>0.41499839246473502</v>
          </cell>
          <cell r="R486">
            <v>0.41499839246473502</v>
          </cell>
          <cell r="S486" t="e">
            <v>#VALUE!</v>
          </cell>
          <cell r="T486" t="e">
            <v>#VALUE!</v>
          </cell>
        </row>
        <row r="487">
          <cell r="A487" t="str">
            <v>10948N1E</v>
          </cell>
          <cell r="B487" t="str">
            <v>MKP000631001960</v>
          </cell>
          <cell r="C487" t="str">
            <v/>
          </cell>
          <cell r="D487" t="str">
            <v>Guarda-Roupa Solteiro Madesa Denver 2 Portas de Correr com Espelho Preto</v>
          </cell>
          <cell r="E487" t="str">
            <v>DENVER</v>
          </cell>
          <cell r="F487" t="str">
            <v>QUARTO</v>
          </cell>
          <cell r="G487" t="str">
            <v/>
          </cell>
          <cell r="H487">
            <v>1269.99</v>
          </cell>
          <cell r="I487">
            <v>789.99</v>
          </cell>
          <cell r="J487">
            <v>605.03719999999998</v>
          </cell>
          <cell r="K487">
            <v>0</v>
          </cell>
          <cell r="L487">
            <v>605.03719999999998</v>
          </cell>
          <cell r="M487">
            <v>0</v>
          </cell>
          <cell r="N487">
            <v>789.99</v>
          </cell>
          <cell r="O487" t="str">
            <v>MAGALU</v>
          </cell>
          <cell r="P487">
            <v>736.83</v>
          </cell>
          <cell r="Q487">
            <v>0.30568831139639002</v>
          </cell>
          <cell r="R487">
            <v>0.30568831139639002</v>
          </cell>
          <cell r="S487" t="e">
            <v>#VALUE!</v>
          </cell>
          <cell r="T487" t="e">
            <v>#VALUE!</v>
          </cell>
        </row>
        <row r="488">
          <cell r="A488" t="str">
            <v>GRNC3000043B</v>
          </cell>
          <cell r="B488" t="str">
            <v>MKP000631004791</v>
          </cell>
          <cell r="C488" t="str">
            <v/>
          </cell>
          <cell r="D488" t="str">
            <v>Armário de Cozinha Completa Suspenso 300cm Cinza Nice Madesa 04</v>
          </cell>
          <cell r="E488" t="str">
            <v>NICE</v>
          </cell>
          <cell r="F488" t="str">
            <v>COZINHA</v>
          </cell>
          <cell r="G488" t="str">
            <v/>
          </cell>
          <cell r="H488">
            <v>2599.9899999999998</v>
          </cell>
          <cell r="I488">
            <v>2139.9899999999998</v>
          </cell>
          <cell r="J488">
            <v>1455.0409999999999</v>
          </cell>
          <cell r="K488">
            <v>0</v>
          </cell>
          <cell r="L488">
            <v>1455.0409999999999</v>
          </cell>
          <cell r="M488">
            <v>0</v>
          </cell>
          <cell r="N488">
            <v>2139.9899999999998</v>
          </cell>
          <cell r="O488" t="str">
            <v>LOJA</v>
          </cell>
          <cell r="P488">
            <v>1899.99</v>
          </cell>
          <cell r="Q488">
            <v>0.47074206156390103</v>
          </cell>
          <cell r="R488">
            <v>0.47074206156390103</v>
          </cell>
          <cell r="S488" t="e">
            <v>#VALUE!</v>
          </cell>
          <cell r="T488" t="e">
            <v>#VALUE!</v>
          </cell>
        </row>
        <row r="489">
          <cell r="A489" t="str">
            <v>MDJA0601185ZFLH</v>
          </cell>
          <cell r="B489" t="str">
            <v>MKP000631001563</v>
          </cell>
          <cell r="C489" t="str">
            <v/>
          </cell>
          <cell r="D489" t="str">
            <v>Conjunto Sala de Jantar Madesa Analu Mesa Tampo de Madeira com 6 Cadeiras Rustic/Floral Hibiscos</v>
          </cell>
          <cell r="E489" t="str">
            <v>ANALU</v>
          </cell>
          <cell r="F489" t="str">
            <v>SALA DE JANTAR</v>
          </cell>
          <cell r="G489" t="str">
            <v>4290X</v>
          </cell>
          <cell r="H489">
            <v>799.99</v>
          </cell>
          <cell r="I489">
            <v>699.99</v>
          </cell>
          <cell r="J489">
            <v>562.97410000000002</v>
          </cell>
          <cell r="K489">
            <v>0</v>
          </cell>
          <cell r="L489">
            <v>562.97410000000002</v>
          </cell>
          <cell r="M489">
            <v>0</v>
          </cell>
          <cell r="N489">
            <v>699.99</v>
          </cell>
          <cell r="O489" t="str">
            <v/>
          </cell>
          <cell r="P489">
            <v>0</v>
          </cell>
          <cell r="Q489">
            <v>0.24337869184390501</v>
          </cell>
          <cell r="R489">
            <v>0.24337869184390501</v>
          </cell>
          <cell r="S489" t="e">
            <v>#VALUE!</v>
          </cell>
          <cell r="T489" t="e">
            <v>#VALUE!</v>
          </cell>
        </row>
        <row r="490">
          <cell r="A490" t="str">
            <v>60245Z5ZPP</v>
          </cell>
          <cell r="B490" t="str">
            <v>MKP000631001567</v>
          </cell>
          <cell r="C490" t="str">
            <v/>
          </cell>
          <cell r="D490" t="str">
            <v>Rack Madesa Dubai para TV até 65 Polegadas com Pés Rustic</v>
          </cell>
          <cell r="E490" t="str">
            <v>DUBAI</v>
          </cell>
          <cell r="F490" t="str">
            <v>SALA DE ESTAR</v>
          </cell>
          <cell r="G490" t="str">
            <v/>
          </cell>
          <cell r="H490">
            <v>569.99</v>
          </cell>
          <cell r="I490">
            <v>329.99</v>
          </cell>
          <cell r="J490">
            <v>243.82210000000001</v>
          </cell>
          <cell r="K490">
            <v>0</v>
          </cell>
          <cell r="L490">
            <v>243.82210000000001</v>
          </cell>
          <cell r="M490">
            <v>0</v>
          </cell>
          <cell r="N490">
            <v>329.99</v>
          </cell>
          <cell r="O490" t="str">
            <v>LEROY</v>
          </cell>
          <cell r="P490">
            <v>299.99</v>
          </cell>
          <cell r="Q490">
            <v>0.353404798006415</v>
          </cell>
          <cell r="R490">
            <v>0.353404798006415</v>
          </cell>
          <cell r="S490" t="e">
            <v>#VALUE!</v>
          </cell>
          <cell r="T490" t="e">
            <v>#VALUE!</v>
          </cell>
        </row>
        <row r="491">
          <cell r="A491" t="str">
            <v>XAGRGM35000109</v>
          </cell>
          <cell r="B491" t="str">
            <v>MKP000631003303</v>
          </cell>
          <cell r="C491" t="str">
            <v/>
          </cell>
          <cell r="D491" t="str">
            <v>Armário de Cozinha Completa 100% MDF 350cm Frentes Branco Brilho Acordes Madesa XA01</v>
          </cell>
          <cell r="E491" t="str">
            <v>ACORDES</v>
          </cell>
          <cell r="F491" t="str">
            <v>COZINHA</v>
          </cell>
          <cell r="G491" t="str">
            <v/>
          </cell>
          <cell r="H491">
            <v>1999.99</v>
          </cell>
          <cell r="I491">
            <v>1899.99</v>
          </cell>
          <cell r="J491">
            <v>1572.87</v>
          </cell>
          <cell r="K491">
            <v>0</v>
          </cell>
          <cell r="L491">
            <v>1572.87</v>
          </cell>
          <cell r="M491">
            <v>0</v>
          </cell>
          <cell r="N491">
            <v>1899.99</v>
          </cell>
          <cell r="O491" t="str">
            <v/>
          </cell>
          <cell r="P491">
            <v>0</v>
          </cell>
          <cell r="Q491">
            <v>0.207976501554483</v>
          </cell>
          <cell r="R491">
            <v>0.207976501554483</v>
          </cell>
          <cell r="S491" t="e">
            <v>#VALUE!</v>
          </cell>
          <cell r="T491" t="e">
            <v>#VALUE!</v>
          </cell>
        </row>
        <row r="492">
          <cell r="A492" t="str">
            <v>XC1063D8</v>
          </cell>
          <cell r="B492" t="str">
            <v>MKP000631003109</v>
          </cell>
          <cell r="C492" t="str">
            <v/>
          </cell>
          <cell r="D492" t="str">
            <v>Guarda-Roupa Casal 100% MDF Madesa Zurique 3 Portas de Correr Preto/Rustic</v>
          </cell>
          <cell r="E492" t="str">
            <v>ZURIQUE</v>
          </cell>
          <cell r="F492" t="str">
            <v>QUARTO</v>
          </cell>
          <cell r="G492" t="str">
            <v/>
          </cell>
          <cell r="H492">
            <v>1979.99</v>
          </cell>
          <cell r="I492">
            <v>1849.92</v>
          </cell>
          <cell r="J492">
            <v>1551.3534</v>
          </cell>
          <cell r="K492">
            <v>0</v>
          </cell>
          <cell r="L492">
            <v>1551.3534</v>
          </cell>
          <cell r="M492">
            <v>0</v>
          </cell>
          <cell r="N492">
            <v>1849.92</v>
          </cell>
          <cell r="O492" t="str">
            <v/>
          </cell>
          <cell r="P492">
            <v>0</v>
          </cell>
          <cell r="Q492">
            <v>0.192455568151009</v>
          </cell>
          <cell r="R492">
            <v>0.192455568151009</v>
          </cell>
          <cell r="S492" t="e">
            <v>#VALUE!</v>
          </cell>
          <cell r="T492" t="e">
            <v>#VALUE!</v>
          </cell>
        </row>
        <row r="493">
          <cell r="A493" t="str">
            <v>1093F9</v>
          </cell>
          <cell r="B493" t="str">
            <v>MKP000631004581</v>
          </cell>
          <cell r="C493" t="str">
            <v/>
          </cell>
          <cell r="D493" t="str">
            <v>Guarda-Roupa Casal Madesa Mônaco 3 Portas de Correr Rustic/Cinza</v>
          </cell>
          <cell r="E493" t="str">
            <v>MÔNACO</v>
          </cell>
          <cell r="F493" t="str">
            <v>QUARTO</v>
          </cell>
          <cell r="G493" t="str">
            <v/>
          </cell>
          <cell r="H493">
            <v>869.99</v>
          </cell>
          <cell r="I493">
            <v>739.92</v>
          </cell>
          <cell r="J493">
            <v>620.85310000000004</v>
          </cell>
          <cell r="K493">
            <v>0</v>
          </cell>
          <cell r="L493">
            <v>620.85310000000004</v>
          </cell>
          <cell r="M493">
            <v>0</v>
          </cell>
          <cell r="N493">
            <v>739.92</v>
          </cell>
          <cell r="O493" t="str">
            <v/>
          </cell>
          <cell r="P493">
            <v>0</v>
          </cell>
          <cell r="Q493">
            <v>0.19177950468476301</v>
          </cell>
          <cell r="R493">
            <v>0.19177950468476301</v>
          </cell>
          <cell r="S493" t="e">
            <v>#VALUE!</v>
          </cell>
          <cell r="T493" t="e">
            <v>#VALUE!</v>
          </cell>
        </row>
        <row r="494">
          <cell r="A494" t="str">
            <v>1094772G</v>
          </cell>
          <cell r="B494" t="str">
            <v>MKP000631002015</v>
          </cell>
          <cell r="C494" t="str">
            <v/>
          </cell>
          <cell r="D494" t="str">
            <v>Guarda-Roupa Solteiro Madesa Dallas 2 Portas de Correr 2 Gavetas Preto/Branco</v>
          </cell>
          <cell r="E494" t="str">
            <v>DALLAS</v>
          </cell>
          <cell r="F494" t="str">
            <v>QUARTO</v>
          </cell>
          <cell r="G494" t="str">
            <v/>
          </cell>
          <cell r="H494">
            <v>799.99</v>
          </cell>
          <cell r="I494">
            <v>699.99</v>
          </cell>
          <cell r="J494">
            <v>563.84609999999998</v>
          </cell>
          <cell r="K494">
            <v>0</v>
          </cell>
          <cell r="L494">
            <v>563.84609999999998</v>
          </cell>
          <cell r="M494">
            <v>0</v>
          </cell>
          <cell r="N494">
            <v>699.99</v>
          </cell>
          <cell r="O494" t="str">
            <v/>
          </cell>
          <cell r="P494">
            <v>0</v>
          </cell>
          <cell r="Q494">
            <v>0.24145578022087899</v>
          </cell>
          <cell r="R494">
            <v>0.24145578022087899</v>
          </cell>
          <cell r="S494" t="e">
            <v>#VALUE!</v>
          </cell>
          <cell r="T494" t="e">
            <v>#VALUE!</v>
          </cell>
        </row>
        <row r="495">
          <cell r="A495" t="str">
            <v>GCNC2650013B</v>
          </cell>
          <cell r="B495" t="str">
            <v>MKP000631004840</v>
          </cell>
          <cell r="C495" t="str">
            <v/>
          </cell>
          <cell r="D495" t="str">
            <v>Armário de Cozinha Completa de Canto 265cm Cinza Nice Madesa 01</v>
          </cell>
          <cell r="E495" t="str">
            <v>NICE</v>
          </cell>
          <cell r="F495" t="str">
            <v>COZINHA</v>
          </cell>
          <cell r="G495" t="str">
            <v/>
          </cell>
          <cell r="H495">
            <v>1559.99</v>
          </cell>
          <cell r="I495">
            <v>1459.99</v>
          </cell>
          <cell r="J495">
            <v>1081.9775999999999</v>
          </cell>
          <cell r="K495">
            <v>0</v>
          </cell>
          <cell r="L495">
            <v>1081.9775999999999</v>
          </cell>
          <cell r="M495">
            <v>0</v>
          </cell>
          <cell r="N495">
            <v>1459.99</v>
          </cell>
          <cell r="O495" t="str">
            <v/>
          </cell>
          <cell r="P495">
            <v>0</v>
          </cell>
          <cell r="Q495">
            <v>0.34937174300096402</v>
          </cell>
          <cell r="R495">
            <v>0.34937174300096402</v>
          </cell>
          <cell r="S495" t="e">
            <v>#VALUE!</v>
          </cell>
          <cell r="T495" t="e">
            <v>#VALUE!</v>
          </cell>
        </row>
        <row r="496">
          <cell r="A496" t="str">
            <v>MDJA0601377KSL</v>
          </cell>
          <cell r="B496" t="str">
            <v>MKP000631005304</v>
          </cell>
          <cell r="C496" t="str">
            <v/>
          </cell>
          <cell r="D496" t="str">
            <v>Conjunto Sala de Jantar Mesa Tampo de Madeira 6 Cadeiras Rustic/Preto/Silver Britney Madesa</v>
          </cell>
          <cell r="E496" t="str">
            <v>BRITNEY</v>
          </cell>
          <cell r="F496" t="str">
            <v>SALA DE JANTAR</v>
          </cell>
          <cell r="G496">
            <v>4256</v>
          </cell>
          <cell r="H496">
            <v>1619.99</v>
          </cell>
          <cell r="I496">
            <v>1549.99</v>
          </cell>
          <cell r="J496">
            <v>1208.9081000000001</v>
          </cell>
          <cell r="K496">
            <v>0</v>
          </cell>
          <cell r="L496">
            <v>1208.9081000000001</v>
          </cell>
          <cell r="M496">
            <v>0</v>
          </cell>
          <cell r="N496">
            <v>1549.99</v>
          </cell>
          <cell r="O496" t="str">
            <v>LOJA</v>
          </cell>
          <cell r="P496">
            <v>1599.99</v>
          </cell>
          <cell r="Q496">
            <v>0.28214047039638501</v>
          </cell>
          <cell r="R496">
            <v>0.28214047039638501</v>
          </cell>
          <cell r="S496" t="e">
            <v>#VALUE!</v>
          </cell>
          <cell r="T496" t="e">
            <v>#VALUE!</v>
          </cell>
        </row>
        <row r="497">
          <cell r="A497" t="str">
            <v>MDJA0400505ZFBM</v>
          </cell>
          <cell r="B497" t="str">
            <v>MKP000631001551</v>
          </cell>
          <cell r="C497" t="str">
            <v/>
          </cell>
          <cell r="D497" t="str">
            <v>Conjunto Sala de Jantar Madesa Maya Mesa Tampo de Vidro com 4 Cadeiras Rustic/Bege Marrom</v>
          </cell>
          <cell r="E497" t="str">
            <v>MAYA</v>
          </cell>
          <cell r="F497" t="str">
            <v>SALA DE JANTAR</v>
          </cell>
          <cell r="G497" t="str">
            <v>4290X</v>
          </cell>
          <cell r="H497">
            <v>699.99</v>
          </cell>
          <cell r="I497">
            <v>599.99</v>
          </cell>
          <cell r="J497">
            <v>493.51929999999999</v>
          </cell>
          <cell r="K497">
            <v>0</v>
          </cell>
          <cell r="L497">
            <v>493.51929999999999</v>
          </cell>
          <cell r="M497">
            <v>0</v>
          </cell>
          <cell r="N497">
            <v>599.99</v>
          </cell>
          <cell r="O497" t="str">
            <v/>
          </cell>
          <cell r="P497">
            <v>0</v>
          </cell>
          <cell r="Q497">
            <v>0.21573766213398299</v>
          </cell>
          <cell r="R497">
            <v>0.21573766213398299</v>
          </cell>
          <cell r="S497" t="e">
            <v>#VALUE!</v>
          </cell>
          <cell r="T497" t="e">
            <v>#VALUE!</v>
          </cell>
        </row>
        <row r="498">
          <cell r="A498" t="str">
            <v>10937K1E</v>
          </cell>
          <cell r="B498" t="str">
            <v>MKP000631002102</v>
          </cell>
          <cell r="C498" t="str">
            <v/>
          </cell>
          <cell r="D498" t="str">
            <v>Guarda-Roupa Casal Madesa Mônaco 3 Portas de Correr com Espelho Rustic/Preto</v>
          </cell>
          <cell r="E498" t="str">
            <v>MÔNACO</v>
          </cell>
          <cell r="F498" t="str">
            <v>QUARTO</v>
          </cell>
          <cell r="G498" t="str">
            <v/>
          </cell>
          <cell r="H498">
            <v>1379.99</v>
          </cell>
          <cell r="I498">
            <v>899.99</v>
          </cell>
          <cell r="J498">
            <v>750.78110000000004</v>
          </cell>
          <cell r="K498">
            <v>0</v>
          </cell>
          <cell r="L498">
            <v>750.78110000000004</v>
          </cell>
          <cell r="M498">
            <v>0</v>
          </cell>
          <cell r="N498">
            <v>899.99</v>
          </cell>
          <cell r="O498" t="str">
            <v>B2W</v>
          </cell>
          <cell r="P498">
            <v>849.99</v>
          </cell>
          <cell r="Q498">
            <v>0.198738220767678</v>
          </cell>
          <cell r="R498">
            <v>0.198738220767678</v>
          </cell>
          <cell r="S498" t="e">
            <v>#VALUE!</v>
          </cell>
          <cell r="T498" t="e">
            <v>#VALUE!</v>
          </cell>
        </row>
        <row r="499">
          <cell r="A499" t="str">
            <v>10288N2E</v>
          </cell>
          <cell r="B499" t="str">
            <v>MKP000631002242</v>
          </cell>
          <cell r="C499" t="str">
            <v/>
          </cell>
          <cell r="D499" t="str">
            <v>Guarda-Roupa Casal Madesa Austin 4 Portas de Correr com Espelhos 3 Gavetas Preto</v>
          </cell>
          <cell r="E499" t="str">
            <v>AUSTIN</v>
          </cell>
          <cell r="F499" t="str">
            <v>QUARTO</v>
          </cell>
          <cell r="G499" t="str">
            <v/>
          </cell>
          <cell r="H499">
            <v>2619.9899999999998</v>
          </cell>
          <cell r="I499">
            <v>1699.99</v>
          </cell>
          <cell r="J499">
            <v>1393.0853999999999</v>
          </cell>
          <cell r="K499">
            <v>0</v>
          </cell>
          <cell r="L499">
            <v>1393.0853999999999</v>
          </cell>
          <cell r="M499">
            <v>0</v>
          </cell>
          <cell r="N499">
            <v>1699.99</v>
          </cell>
          <cell r="O499" t="str">
            <v>VIA</v>
          </cell>
          <cell r="P499">
            <v>1629.99</v>
          </cell>
          <cell r="Q499">
            <v>0.22030566108868799</v>
          </cell>
          <cell r="R499">
            <v>0.22030566108868799</v>
          </cell>
          <cell r="S499" t="e">
            <v>#VALUE!</v>
          </cell>
          <cell r="T499" t="e">
            <v>#VALUE!</v>
          </cell>
        </row>
        <row r="500">
          <cell r="A500" t="str">
            <v>G256063BPR</v>
          </cell>
          <cell r="B500" t="str">
            <v>MKP000631004810</v>
          </cell>
          <cell r="C500" t="str">
            <v/>
          </cell>
          <cell r="D500" t="str">
            <v>Armário Aéreo Madesa 60 cm com Nicho para Microondas e Forno Elétrico Cinza Nice Madesa</v>
          </cell>
          <cell r="E500" t="str">
            <v>NICE</v>
          </cell>
          <cell r="F500" t="str">
            <v>MODULAÇÃO</v>
          </cell>
          <cell r="G500" t="str">
            <v/>
          </cell>
          <cell r="H500">
            <v>379.99</v>
          </cell>
          <cell r="I500">
            <v>189.99</v>
          </cell>
          <cell r="J500">
            <v>99.843999999999994</v>
          </cell>
          <cell r="K500">
            <v>0</v>
          </cell>
          <cell r="L500">
            <v>99.843999999999994</v>
          </cell>
          <cell r="M500">
            <v>0</v>
          </cell>
          <cell r="N500">
            <v>189.99</v>
          </cell>
          <cell r="O500" t="str">
            <v/>
          </cell>
          <cell r="P500">
            <v>0</v>
          </cell>
          <cell r="Q500">
            <v>0.90286847482072097</v>
          </cell>
          <cell r="R500">
            <v>0.90286847482072097</v>
          </cell>
          <cell r="S500" t="e">
            <v>#VALUE!</v>
          </cell>
          <cell r="T500" t="e">
            <v>#VALUE!</v>
          </cell>
        </row>
        <row r="501">
          <cell r="A501" t="str">
            <v>GRTP24000209</v>
          </cell>
          <cell r="B501" t="str">
            <v>MKP000631001051</v>
          </cell>
          <cell r="C501" t="str">
            <v/>
          </cell>
          <cell r="D501" t="str">
            <v>Armário de Cozinha Completa 240cm Branco Diamante Madesa 02</v>
          </cell>
          <cell r="E501" t="str">
            <v>DIAMANTE</v>
          </cell>
          <cell r="F501" t="str">
            <v>COZINHA</v>
          </cell>
          <cell r="G501" t="str">
            <v/>
          </cell>
          <cell r="H501">
            <v>1299.99</v>
          </cell>
          <cell r="I501">
            <v>1199.99</v>
          </cell>
          <cell r="J501">
            <v>971.64779999999996</v>
          </cell>
          <cell r="K501">
            <v>0</v>
          </cell>
          <cell r="L501">
            <v>971.64779999999996</v>
          </cell>
          <cell r="M501">
            <v>0</v>
          </cell>
          <cell r="N501">
            <v>1199.99</v>
          </cell>
          <cell r="O501" t="str">
            <v>VIA</v>
          </cell>
          <cell r="P501">
            <v>1199.99</v>
          </cell>
          <cell r="Q501">
            <v>0.235005111934592</v>
          </cell>
          <cell r="R501">
            <v>0.235005111934592</v>
          </cell>
          <cell r="S501" t="e">
            <v>#VALUE!</v>
          </cell>
          <cell r="T501" t="e">
            <v>#VALUE!</v>
          </cell>
        </row>
        <row r="502">
          <cell r="A502" t="str">
            <v>MDJA0400897GSIM</v>
          </cell>
          <cell r="B502" t="str">
            <v>MKP000631001520</v>
          </cell>
          <cell r="C502" t="str">
            <v/>
          </cell>
          <cell r="D502" t="str">
            <v>Conjunto Sala de Jantar Madesa Brenda Mesa Tampo de Vidro com 4 Cadeiras Rustic/Crema/Imperial</v>
          </cell>
          <cell r="E502" t="str">
            <v>BRENDA</v>
          </cell>
          <cell r="F502" t="str">
            <v>SALA DE JANTAR</v>
          </cell>
          <cell r="G502">
            <v>4254</v>
          </cell>
          <cell r="H502">
            <v>1959.99</v>
          </cell>
          <cell r="I502">
            <v>1149.99</v>
          </cell>
          <cell r="J502">
            <v>917.2568</v>
          </cell>
          <cell r="K502">
            <v>0</v>
          </cell>
          <cell r="L502">
            <v>917.2568</v>
          </cell>
          <cell r="M502">
            <v>0</v>
          </cell>
          <cell r="N502">
            <v>1149.99</v>
          </cell>
          <cell r="O502" t="str">
            <v>MAGALU</v>
          </cell>
          <cell r="P502">
            <v>1157.8800000000001</v>
          </cell>
          <cell r="Q502">
            <v>0.253727418537535</v>
          </cell>
          <cell r="R502">
            <v>0.253727418537535</v>
          </cell>
          <cell r="S502" t="e">
            <v>#VALUE!</v>
          </cell>
          <cell r="T502" t="e">
            <v>#VALUE!</v>
          </cell>
        </row>
        <row r="503">
          <cell r="A503" t="str">
            <v>1094092E</v>
          </cell>
          <cell r="B503" t="str">
            <v>MKP000631000761</v>
          </cell>
          <cell r="C503" t="str">
            <v/>
          </cell>
          <cell r="D503" t="str">
            <v>Guarda-Roupa Solteiro Madesa Denver 2 Portas de Correr de Espelho Branco</v>
          </cell>
          <cell r="E503" t="str">
            <v>DENVER</v>
          </cell>
          <cell r="F503" t="str">
            <v>QUARTO</v>
          </cell>
          <cell r="G503" t="str">
            <v/>
          </cell>
          <cell r="H503">
            <v>1079.99</v>
          </cell>
          <cell r="I503">
            <v>949.92</v>
          </cell>
          <cell r="J503">
            <v>734.96519999999998</v>
          </cell>
          <cell r="K503">
            <v>0</v>
          </cell>
          <cell r="L503">
            <v>734.96519999999998</v>
          </cell>
          <cell r="M503">
            <v>0</v>
          </cell>
          <cell r="N503">
            <v>949.92</v>
          </cell>
          <cell r="O503" t="str">
            <v/>
          </cell>
          <cell r="P503">
            <v>0</v>
          </cell>
          <cell r="Q503">
            <v>0.29246935773285598</v>
          </cell>
          <cell r="R503">
            <v>0.29246935773285598</v>
          </cell>
          <cell r="S503" t="e">
            <v>#VALUE!</v>
          </cell>
          <cell r="T503" t="e">
            <v>#VALUE!</v>
          </cell>
        </row>
        <row r="504">
          <cell r="A504" t="str">
            <v>261709</v>
          </cell>
          <cell r="B504" t="str">
            <v>MKP000631000029</v>
          </cell>
          <cell r="C504" t="str">
            <v/>
          </cell>
          <cell r="D504" t="str">
            <v>Cabeceira Extensível Madesa com 2 Mesas de Cabeceira Branco</v>
          </cell>
          <cell r="E504">
            <v>2617</v>
          </cell>
          <cell r="F504" t="str">
            <v>QUARTO</v>
          </cell>
          <cell r="G504" t="str">
            <v/>
          </cell>
          <cell r="H504">
            <v>869.99</v>
          </cell>
          <cell r="I504">
            <v>599.99</v>
          </cell>
          <cell r="J504">
            <v>476.0684</v>
          </cell>
          <cell r="K504">
            <v>0</v>
          </cell>
          <cell r="L504">
            <v>476.0684</v>
          </cell>
          <cell r="M504">
            <v>0</v>
          </cell>
          <cell r="N504">
            <v>599.99</v>
          </cell>
          <cell r="O504" t="str">
            <v/>
          </cell>
          <cell r="P504">
            <v>0</v>
          </cell>
          <cell r="Q504">
            <v>0.26030209104405999</v>
          </cell>
          <cell r="R504">
            <v>0.26030209104405999</v>
          </cell>
          <cell r="S504" t="e">
            <v>#VALUE!</v>
          </cell>
          <cell r="T504" t="e">
            <v>#VALUE!</v>
          </cell>
        </row>
        <row r="505">
          <cell r="A505" t="str">
            <v>109409</v>
          </cell>
          <cell r="B505" t="str">
            <v>MKP000631000775</v>
          </cell>
          <cell r="C505" t="str">
            <v/>
          </cell>
          <cell r="D505" t="str">
            <v>Guarda-Roupa Solteiro Madesa Denver 2 Portas de Correr Branco</v>
          </cell>
          <cell r="E505" t="str">
            <v>DENVER</v>
          </cell>
          <cell r="F505" t="str">
            <v>QUARTO</v>
          </cell>
          <cell r="G505" t="str">
            <v/>
          </cell>
          <cell r="H505">
            <v>1069.99</v>
          </cell>
          <cell r="I505">
            <v>619.99</v>
          </cell>
          <cell r="J505">
            <v>475.10919999999999</v>
          </cell>
          <cell r="K505">
            <v>0</v>
          </cell>
          <cell r="L505">
            <v>475.10919999999999</v>
          </cell>
          <cell r="M505">
            <v>0</v>
          </cell>
          <cell r="N505">
            <v>619.99</v>
          </cell>
          <cell r="O505" t="str">
            <v>MAGALU</v>
          </cell>
          <cell r="P505">
            <v>610.52</v>
          </cell>
          <cell r="Q505">
            <v>0.30494210594111798</v>
          </cell>
          <cell r="R505">
            <v>0.30494210594111798</v>
          </cell>
          <cell r="S505" t="e">
            <v>#VALUE!</v>
          </cell>
          <cell r="T505" t="e">
            <v>#VALUE!</v>
          </cell>
        </row>
        <row r="506">
          <cell r="A506" t="str">
            <v>MDJA0600437KPT</v>
          </cell>
          <cell r="B506" t="str">
            <v>MKP000631000792</v>
          </cell>
          <cell r="C506" t="str">
            <v/>
          </cell>
          <cell r="D506" t="str">
            <v>Conjunto Sala de Jantar Madesa Ohana Mesa Tampo de Madeira com 6 Cadeiras Rustic/Preto/Sintético Preto</v>
          </cell>
          <cell r="E506" t="str">
            <v>OHANA</v>
          </cell>
          <cell r="F506" t="str">
            <v>SALA DE JANTAR</v>
          </cell>
          <cell r="G506" t="str">
            <v>4291X</v>
          </cell>
          <cell r="H506">
            <v>959.99</v>
          </cell>
          <cell r="I506">
            <v>859.99</v>
          </cell>
          <cell r="J506">
            <v>664.50760000000002</v>
          </cell>
          <cell r="K506">
            <v>0</v>
          </cell>
          <cell r="L506">
            <v>664.50760000000002</v>
          </cell>
          <cell r="M506">
            <v>0</v>
          </cell>
          <cell r="N506">
            <v>859.99</v>
          </cell>
          <cell r="O506" t="str">
            <v/>
          </cell>
          <cell r="P506">
            <v>0</v>
          </cell>
          <cell r="Q506">
            <v>0.29417631942810002</v>
          </cell>
          <cell r="R506">
            <v>0.29417631942810002</v>
          </cell>
          <cell r="S506" t="e">
            <v>#VALUE!</v>
          </cell>
          <cell r="T506" t="e">
            <v>#VALUE!</v>
          </cell>
        </row>
        <row r="507">
          <cell r="A507" t="str">
            <v>GRRM19000309</v>
          </cell>
          <cell r="B507" t="str">
            <v>MKP000631004326</v>
          </cell>
          <cell r="C507" t="str">
            <v/>
          </cell>
          <cell r="D507" t="str">
            <v>Kit com 2 Balcões de Cozinha Madesa Reims 4 Portas 1 Gaveta (Com Tampo) Branco</v>
          </cell>
          <cell r="E507" t="str">
            <v>REIMS</v>
          </cell>
          <cell r="F507" t="str">
            <v>COZINHA</v>
          </cell>
          <cell r="G507" t="str">
            <v/>
          </cell>
          <cell r="H507">
            <v>759.99</v>
          </cell>
          <cell r="I507">
            <v>659.99</v>
          </cell>
          <cell r="J507">
            <v>565.03420000000006</v>
          </cell>
          <cell r="K507">
            <v>0</v>
          </cell>
          <cell r="L507">
            <v>565.03420000000006</v>
          </cell>
          <cell r="M507">
            <v>0</v>
          </cell>
          <cell r="N507">
            <v>659.99</v>
          </cell>
          <cell r="O507" t="str">
            <v>B2W</v>
          </cell>
          <cell r="P507">
            <v>659.99</v>
          </cell>
          <cell r="Q507">
            <v>0.16805319040865099</v>
          </cell>
          <cell r="R507">
            <v>0.16805319040865099</v>
          </cell>
          <cell r="S507" t="e">
            <v>#VALUE!</v>
          </cell>
          <cell r="T507" t="e">
            <v>#VALUE!</v>
          </cell>
        </row>
        <row r="508">
          <cell r="A508" t="str">
            <v>G2512809PRRF</v>
          </cell>
          <cell r="B508" t="str">
            <v>MKP000631004441</v>
          </cell>
          <cell r="C508" t="str">
            <v/>
          </cell>
          <cell r="D508" t="str">
            <v>Armário Aéreo Madesa 120cm 2 Portas Correr Vidro Reflex 1 Nicho para Cozinhas Glamy, Lux e Reims Branco</v>
          </cell>
          <cell r="E508" t="str">
            <v>PR</v>
          </cell>
          <cell r="F508" t="str">
            <v>MODULAÇÃO</v>
          </cell>
          <cell r="G508" t="str">
            <v/>
          </cell>
          <cell r="H508">
            <v>599.99</v>
          </cell>
          <cell r="I508">
            <v>369.99</v>
          </cell>
          <cell r="J508">
            <v>233.49979999999999</v>
          </cell>
          <cell r="K508">
            <v>0</v>
          </cell>
          <cell r="L508">
            <v>233.49979999999999</v>
          </cell>
          <cell r="M508">
            <v>0</v>
          </cell>
          <cell r="N508">
            <v>369.99</v>
          </cell>
          <cell r="O508" t="str">
            <v/>
          </cell>
          <cell r="P508">
            <v>0</v>
          </cell>
          <cell r="Q508">
            <v>0.58454097176956898</v>
          </cell>
          <cell r="R508">
            <v>0.58454097176956898</v>
          </cell>
          <cell r="S508" t="e">
            <v>#VALUE!</v>
          </cell>
          <cell r="T508" t="e">
            <v>#VALUE!</v>
          </cell>
        </row>
        <row r="509">
          <cell r="A509" t="str">
            <v>10937K</v>
          </cell>
          <cell r="B509" t="str">
            <v>MKP000631002098</v>
          </cell>
          <cell r="C509" t="str">
            <v/>
          </cell>
          <cell r="D509" t="str">
            <v>Guarda-Roupa Casal Madesa Mônaco 3 Portas de Correr Rustic/Preto</v>
          </cell>
          <cell r="E509" t="str">
            <v>MÔNACO</v>
          </cell>
          <cell r="F509" t="str">
            <v>QUARTO</v>
          </cell>
          <cell r="G509" t="str">
            <v/>
          </cell>
          <cell r="H509">
            <v>899.99</v>
          </cell>
          <cell r="I509">
            <v>769.92</v>
          </cell>
          <cell r="J509">
            <v>620.85310000000004</v>
          </cell>
          <cell r="K509">
            <v>0</v>
          </cell>
          <cell r="L509">
            <v>620.85310000000004</v>
          </cell>
          <cell r="M509">
            <v>0</v>
          </cell>
          <cell r="N509">
            <v>769.92</v>
          </cell>
          <cell r="O509" t="str">
            <v/>
          </cell>
          <cell r="P509">
            <v>0</v>
          </cell>
          <cell r="Q509">
            <v>0.24010011385946201</v>
          </cell>
          <cell r="R509">
            <v>0.24010011385946201</v>
          </cell>
          <cell r="S509" t="e">
            <v>#VALUE!</v>
          </cell>
          <cell r="T509" t="e">
            <v>#VALUE!</v>
          </cell>
        </row>
        <row r="510">
          <cell r="A510" t="str">
            <v>10935Z2E4G</v>
          </cell>
          <cell r="B510" t="str">
            <v>MKP000631001860</v>
          </cell>
          <cell r="C510" t="str">
            <v/>
          </cell>
          <cell r="D510" t="str">
            <v>Guarda-Roupa Casal Madesa Lyon Plus 3 Portas de Correr com Espelhos 4 Gavetas Rustic</v>
          </cell>
          <cell r="E510" t="str">
            <v>LYON PLUS</v>
          </cell>
          <cell r="F510" t="str">
            <v>QUARTO</v>
          </cell>
          <cell r="G510" t="str">
            <v/>
          </cell>
          <cell r="H510">
            <v>1449.99</v>
          </cell>
          <cell r="I510">
            <v>1299.92</v>
          </cell>
          <cell r="J510">
            <v>1058.1829</v>
          </cell>
          <cell r="K510">
            <v>0</v>
          </cell>
          <cell r="L510">
            <v>1058.1829</v>
          </cell>
          <cell r="M510">
            <v>0</v>
          </cell>
          <cell r="N510">
            <v>1299.92</v>
          </cell>
          <cell r="O510" t="str">
            <v/>
          </cell>
          <cell r="P510">
            <v>0</v>
          </cell>
          <cell r="Q510">
            <v>0.228445479510206</v>
          </cell>
          <cell r="R510">
            <v>0.228445479510206</v>
          </cell>
          <cell r="S510" t="e">
            <v>#VALUE!</v>
          </cell>
          <cell r="T510" t="e">
            <v>#VALUE!</v>
          </cell>
        </row>
        <row r="511">
          <cell r="A511" t="str">
            <v>G251298NRM</v>
          </cell>
          <cell r="B511" t="str">
            <v>MKP000631004439</v>
          </cell>
          <cell r="C511" t="str">
            <v/>
          </cell>
          <cell r="D511" t="str">
            <v>Armário Aéreo de Cozinha Madesa Reims 120 x 50 cm 2 Portas Preto</v>
          </cell>
          <cell r="E511" t="str">
            <v>REIMS</v>
          </cell>
          <cell r="F511" t="str">
            <v>MODULAÇÃO</v>
          </cell>
          <cell r="G511" t="str">
            <v/>
          </cell>
          <cell r="H511">
            <v>519.99</v>
          </cell>
          <cell r="I511">
            <v>289.99</v>
          </cell>
          <cell r="J511">
            <v>210.77330000000001</v>
          </cell>
          <cell r="K511">
            <v>0</v>
          </cell>
          <cell r="L511">
            <v>210.77330000000001</v>
          </cell>
          <cell r="M511">
            <v>0</v>
          </cell>
          <cell r="N511">
            <v>289.99</v>
          </cell>
          <cell r="O511" t="str">
            <v>MELI</v>
          </cell>
          <cell r="P511" t="str">
            <v/>
          </cell>
          <cell r="Q511">
            <v>0.37583840078415998</v>
          </cell>
          <cell r="R511">
            <v>0.37583840078415998</v>
          </cell>
          <cell r="S511" t="e">
            <v>#VALUE!</v>
          </cell>
          <cell r="T511" t="e">
            <v>#VALUE!</v>
          </cell>
        </row>
        <row r="512">
          <cell r="A512" t="str">
            <v>MDJA040108D8PT</v>
          </cell>
          <cell r="B512" t="str">
            <v>MKP000631004174</v>
          </cell>
          <cell r="C512" t="str">
            <v/>
          </cell>
          <cell r="D512" t="str">
            <v>Conjunto Sala de Jantar Madesa Débora Mesa Tampo de Vidro Redondo 4 Cadeiras Preto/Rustic</v>
          </cell>
          <cell r="E512" t="str">
            <v>DÉBORA</v>
          </cell>
          <cell r="F512" t="str">
            <v>SALA DE JANTAR</v>
          </cell>
          <cell r="G512" t="str">
            <v>4290X</v>
          </cell>
          <cell r="H512">
            <v>779.9</v>
          </cell>
          <cell r="I512">
            <v>689.92</v>
          </cell>
          <cell r="J512">
            <v>531.88729999999998</v>
          </cell>
          <cell r="K512">
            <v>0</v>
          </cell>
          <cell r="L512">
            <v>531.88729999999998</v>
          </cell>
          <cell r="M512">
            <v>0</v>
          </cell>
          <cell r="N512">
            <v>689.92</v>
          </cell>
          <cell r="O512" t="str">
            <v/>
          </cell>
          <cell r="P512">
            <v>0</v>
          </cell>
          <cell r="Q512">
            <v>0.29711688923574597</v>
          </cell>
          <cell r="R512">
            <v>0.29711688923574597</v>
          </cell>
          <cell r="S512" t="e">
            <v>#VALUE!</v>
          </cell>
          <cell r="T512" t="e">
            <v>#VALUE!</v>
          </cell>
        </row>
        <row r="513">
          <cell r="A513" t="str">
            <v>3227092E</v>
          </cell>
          <cell r="B513" t="str">
            <v>MKP000631000541</v>
          </cell>
          <cell r="C513" t="str">
            <v/>
          </cell>
          <cell r="D513" t="str">
            <v>Mesa de Cabeceira Madesa 3227 2 Gavetas com Espelho Branco</v>
          </cell>
          <cell r="E513">
            <v>3227</v>
          </cell>
          <cell r="F513" t="str">
            <v>QUARTO</v>
          </cell>
          <cell r="G513" t="str">
            <v/>
          </cell>
          <cell r="H513">
            <v>399.99</v>
          </cell>
          <cell r="I513">
            <v>299.99</v>
          </cell>
          <cell r="J513">
            <v>222.12020000000001</v>
          </cell>
          <cell r="K513">
            <v>0</v>
          </cell>
          <cell r="L513">
            <v>222.12020000000001</v>
          </cell>
          <cell r="M513">
            <v>0</v>
          </cell>
          <cell r="N513">
            <v>299.99</v>
          </cell>
          <cell r="O513" t="str">
            <v>LEROY</v>
          </cell>
          <cell r="P513">
            <v>299.99</v>
          </cell>
          <cell r="Q513">
            <v>0.35057504900499797</v>
          </cell>
          <cell r="R513">
            <v>0.35057504900499797</v>
          </cell>
          <cell r="S513" t="e">
            <v>#VALUE!</v>
          </cell>
          <cell r="T513" t="e">
            <v>#VALUE!</v>
          </cell>
        </row>
        <row r="514">
          <cell r="A514" t="str">
            <v>10958N</v>
          </cell>
          <cell r="B514" t="str">
            <v>MKP000631001944</v>
          </cell>
          <cell r="C514" t="str">
            <v/>
          </cell>
          <cell r="D514" t="str">
            <v>Guarda-Roupa Casal Madesa Reno 3 Portas de Correr Preto</v>
          </cell>
          <cell r="E514" t="str">
            <v>RENO</v>
          </cell>
          <cell r="F514" t="str">
            <v>QUARTO</v>
          </cell>
          <cell r="G514" t="str">
            <v/>
          </cell>
          <cell r="H514">
            <v>1819.99</v>
          </cell>
          <cell r="I514">
            <v>1111.0999999999999</v>
          </cell>
          <cell r="J514">
            <v>918.40129999999999</v>
          </cell>
          <cell r="K514">
            <v>0</v>
          </cell>
          <cell r="L514">
            <v>918.40129999999999</v>
          </cell>
          <cell r="M514">
            <v>0</v>
          </cell>
          <cell r="N514">
            <v>1111.0999999999999</v>
          </cell>
          <cell r="O514" t="str">
            <v>LEROY</v>
          </cell>
          <cell r="P514">
            <v>1099.99</v>
          </cell>
          <cell r="Q514">
            <v>0.20981971606529701</v>
          </cell>
          <cell r="R514">
            <v>0.20981971606529701</v>
          </cell>
          <cell r="S514" t="e">
            <v>#VALUE!</v>
          </cell>
          <cell r="T514" t="e">
            <v>#VALUE!</v>
          </cell>
        </row>
        <row r="515">
          <cell r="A515" t="str">
            <v>GRRM3300018N</v>
          </cell>
          <cell r="B515" t="str">
            <v>MKP000631004191</v>
          </cell>
          <cell r="C515" t="str">
            <v/>
          </cell>
          <cell r="D515" t="str">
            <v>Armário de Cozinha Completa 330cm Preto Reims Madesa 01</v>
          </cell>
          <cell r="E515" t="str">
            <v>REIMS</v>
          </cell>
          <cell r="F515" t="str">
            <v>COZINHA</v>
          </cell>
          <cell r="G515" t="str">
            <v/>
          </cell>
          <cell r="H515">
            <v>1999.99</v>
          </cell>
          <cell r="I515">
            <v>1359.99</v>
          </cell>
          <cell r="J515">
            <v>1147.2467999999999</v>
          </cell>
          <cell r="K515">
            <v>0</v>
          </cell>
          <cell r="L515">
            <v>1147.2467999999999</v>
          </cell>
          <cell r="M515">
            <v>0</v>
          </cell>
          <cell r="N515">
            <v>1359.99</v>
          </cell>
          <cell r="O515" t="str">
            <v>LOJA</v>
          </cell>
          <cell r="P515">
            <v>1199.99</v>
          </cell>
          <cell r="Q515">
            <v>0.18543804175352699</v>
          </cell>
          <cell r="R515">
            <v>0.18543804175352699</v>
          </cell>
          <cell r="S515" t="e">
            <v>#VALUE!</v>
          </cell>
          <cell r="T515" t="e">
            <v>#VALUE!</v>
          </cell>
        </row>
        <row r="516">
          <cell r="A516" t="str">
            <v>G200565Z</v>
          </cell>
          <cell r="B516" t="str">
            <v>MKP000631000383</v>
          </cell>
          <cell r="C516" t="str">
            <v/>
          </cell>
          <cell r="D516" t="str">
            <v>Kit de Canto Reto Madesa Emilly 2 Portas com Armário Aéreo, Adega e Balcão Rustic</v>
          </cell>
          <cell r="E516" t="str">
            <v>EMILLY</v>
          </cell>
          <cell r="F516" t="str">
            <v>MODULAÇÃO</v>
          </cell>
          <cell r="G516" t="str">
            <v/>
          </cell>
          <cell r="H516">
            <v>879.99</v>
          </cell>
          <cell r="I516">
            <v>439.99</v>
          </cell>
          <cell r="J516">
            <v>307.1293</v>
          </cell>
          <cell r="K516">
            <v>0</v>
          </cell>
          <cell r="L516">
            <v>307.1293</v>
          </cell>
          <cell r="M516">
            <v>0</v>
          </cell>
          <cell r="N516">
            <v>439.99</v>
          </cell>
          <cell r="O516" t="str">
            <v/>
          </cell>
          <cell r="P516">
            <v>0</v>
          </cell>
          <cell r="Q516">
            <v>0.43258881519933101</v>
          </cell>
          <cell r="R516">
            <v>0.43258881519933101</v>
          </cell>
          <cell r="S516" t="e">
            <v>#VALUE!</v>
          </cell>
          <cell r="T516" t="e">
            <v>#VALUE!</v>
          </cell>
        </row>
        <row r="517">
          <cell r="A517" t="str">
            <v>MDJA0601185ZFBM</v>
          </cell>
          <cell r="B517" t="str">
            <v>MKP000631001562</v>
          </cell>
          <cell r="C517" t="str">
            <v/>
          </cell>
          <cell r="D517" t="str">
            <v>Conjunto Sala de Jantar Madesa Analu Mesa Tampo de Madeira com 6 Cadeiras Rustic/Bege Marrom</v>
          </cell>
          <cell r="E517" t="str">
            <v>ANALU</v>
          </cell>
          <cell r="F517" t="str">
            <v>SALA DE JANTAR</v>
          </cell>
          <cell r="G517" t="str">
            <v>4290X</v>
          </cell>
          <cell r="H517">
            <v>1629.99</v>
          </cell>
          <cell r="I517">
            <v>699.99</v>
          </cell>
          <cell r="J517">
            <v>562.97410000000002</v>
          </cell>
          <cell r="K517">
            <v>0</v>
          </cell>
          <cell r="L517">
            <v>562.97410000000002</v>
          </cell>
          <cell r="M517">
            <v>0</v>
          </cell>
          <cell r="N517">
            <v>699.99</v>
          </cell>
          <cell r="O517" t="str">
            <v>B2W</v>
          </cell>
          <cell r="P517">
            <v>719.99</v>
          </cell>
          <cell r="Q517">
            <v>0.24337869184390501</v>
          </cell>
          <cell r="R517">
            <v>0.24337869184390501</v>
          </cell>
          <cell r="S517" t="e">
            <v>#VALUE!</v>
          </cell>
          <cell r="T517" t="e">
            <v>#VALUE!</v>
          </cell>
        </row>
        <row r="518">
          <cell r="A518" t="str">
            <v>G251255ZEMRF</v>
          </cell>
          <cell r="B518" t="str">
            <v>MKP000631001239</v>
          </cell>
          <cell r="C518" t="str">
            <v/>
          </cell>
          <cell r="D518" t="str">
            <v>Armário Aéreo Madesa Emilly 2 Portas de Correr de Vidro Reflex Rustic</v>
          </cell>
          <cell r="E518" t="str">
            <v>EMILLY</v>
          </cell>
          <cell r="F518" t="str">
            <v>MODULAÇÃO</v>
          </cell>
          <cell r="G518" t="str">
            <v/>
          </cell>
          <cell r="H518">
            <v>509.99</v>
          </cell>
          <cell r="I518">
            <v>289.99</v>
          </cell>
          <cell r="J518">
            <v>221.47710000000001</v>
          </cell>
          <cell r="K518">
            <v>0</v>
          </cell>
          <cell r="L518">
            <v>221.47710000000001</v>
          </cell>
          <cell r="M518">
            <v>0</v>
          </cell>
          <cell r="N518">
            <v>289.99</v>
          </cell>
          <cell r="O518" t="str">
            <v/>
          </cell>
          <cell r="P518">
            <v>0</v>
          </cell>
          <cell r="Q518">
            <v>0.30934530025903401</v>
          </cell>
          <cell r="R518">
            <v>0.30934530025903401</v>
          </cell>
          <cell r="S518" t="e">
            <v>#VALUE!</v>
          </cell>
          <cell r="T518" t="e">
            <v>#VALUE!</v>
          </cell>
        </row>
        <row r="519">
          <cell r="A519" t="str">
            <v>1082093ECP</v>
          </cell>
          <cell r="B519" t="str">
            <v>MKP000631000257</v>
          </cell>
          <cell r="C519" t="str">
            <v/>
          </cell>
          <cell r="D519" t="str">
            <v>Guarda-Roupa Casal Madesa Napoli 3 Portas de Correr com Espelho com Pés Branco</v>
          </cell>
          <cell r="E519" t="str">
            <v>NAPOLI</v>
          </cell>
          <cell r="F519" t="str">
            <v>QUARTO</v>
          </cell>
          <cell r="G519" t="str">
            <v/>
          </cell>
          <cell r="H519">
            <v>2339.9899999999998</v>
          </cell>
          <cell r="I519">
            <v>1749.92</v>
          </cell>
          <cell r="J519">
            <v>1414.1659999999999</v>
          </cell>
          <cell r="K519">
            <v>0</v>
          </cell>
          <cell r="L519">
            <v>1414.1659999999999</v>
          </cell>
          <cell r="M519">
            <v>0</v>
          </cell>
          <cell r="N519">
            <v>1749.92</v>
          </cell>
          <cell r="O519" t="str">
            <v/>
          </cell>
          <cell r="P519">
            <v>0</v>
          </cell>
          <cell r="Q519">
            <v>0.237421915107562</v>
          </cell>
          <cell r="R519">
            <v>0.237421915107562</v>
          </cell>
          <cell r="S519" t="e">
            <v>#VALUE!</v>
          </cell>
          <cell r="T519" t="e">
            <v>#VALUE!</v>
          </cell>
        </row>
        <row r="520">
          <cell r="A520" t="str">
            <v>044745ZXTFLH</v>
          </cell>
          <cell r="B520" t="str">
            <v>MKP000631000060</v>
          </cell>
          <cell r="C520" t="str">
            <v/>
          </cell>
          <cell r="D520" t="str">
            <v>Conjunto Sala de Jantar Lexy Madesa Mesa Tampo de Madeira com 4 Cadeiras Rustic/Floral Hibiscos</v>
          </cell>
          <cell r="E520" t="str">
            <v>LEXY</v>
          </cell>
          <cell r="F520" t="str">
            <v>SALA DE JANTAR</v>
          </cell>
          <cell r="G520" t="str">
            <v>4290X</v>
          </cell>
          <cell r="H520">
            <v>1239.99</v>
          </cell>
          <cell r="I520">
            <v>519.99</v>
          </cell>
          <cell r="J520">
            <v>396.20409999999998</v>
          </cell>
          <cell r="K520">
            <v>0</v>
          </cell>
          <cell r="L520">
            <v>396.20409999999998</v>
          </cell>
          <cell r="M520">
            <v>0</v>
          </cell>
          <cell r="N520">
            <v>519.99</v>
          </cell>
          <cell r="O520" t="str">
            <v>CARREFOUR</v>
          </cell>
          <cell r="P520">
            <v>499.99</v>
          </cell>
          <cell r="Q520">
            <v>0.312429629072491</v>
          </cell>
          <cell r="R520">
            <v>0.312429629072491</v>
          </cell>
          <cell r="S520" t="e">
            <v>#VALUE!</v>
          </cell>
          <cell r="T520" t="e">
            <v>#VALUE!</v>
          </cell>
        </row>
        <row r="521">
          <cell r="A521" t="str">
            <v>GRGM1800029B</v>
          </cell>
          <cell r="B521" t="str">
            <v>MKP000631004351</v>
          </cell>
          <cell r="C521" t="str">
            <v/>
          </cell>
          <cell r="D521" t="str">
            <v>Kit com 2 Balcões de Cozinha Madesa Acordes 100% MDF (Sem Tampo e Pia) Branco/Rustic</v>
          </cell>
          <cell r="E521" t="str">
            <v>ACORDES</v>
          </cell>
          <cell r="F521" t="str">
            <v>COZINHA</v>
          </cell>
          <cell r="G521" t="str">
            <v/>
          </cell>
          <cell r="H521">
            <v>1089.99</v>
          </cell>
          <cell r="I521">
            <v>959.92</v>
          </cell>
          <cell r="J521">
            <v>756.74339999999995</v>
          </cell>
          <cell r="K521">
            <v>0</v>
          </cell>
          <cell r="L521">
            <v>756.74339999999995</v>
          </cell>
          <cell r="M521">
            <v>0</v>
          </cell>
          <cell r="N521">
            <v>959.92</v>
          </cell>
          <cell r="O521" t="str">
            <v/>
          </cell>
          <cell r="P521">
            <v>0</v>
          </cell>
          <cell r="Q521">
            <v>0.26848810310073401</v>
          </cell>
          <cell r="R521">
            <v>0.26848810310073401</v>
          </cell>
          <cell r="S521" t="e">
            <v>#VALUE!</v>
          </cell>
          <cell r="T521" t="e">
            <v>#VALUE!</v>
          </cell>
        </row>
        <row r="522">
          <cell r="A522" t="str">
            <v>9409221</v>
          </cell>
          <cell r="B522" t="str">
            <v>MKP000631004752</v>
          </cell>
          <cell r="C522" t="str">
            <v/>
          </cell>
          <cell r="D522" t="str">
            <v>Mesa para Computador Gamer Madesa 9409 Preto/Azul</v>
          </cell>
          <cell r="E522" t="str">
            <v>GAMER</v>
          </cell>
          <cell r="F522" t="str">
            <v>ESCRITÓRIO</v>
          </cell>
          <cell r="G522" t="str">
            <v/>
          </cell>
          <cell r="H522">
            <v>549.99</v>
          </cell>
          <cell r="I522">
            <v>359.99</v>
          </cell>
          <cell r="J522">
            <v>224.04949999999999</v>
          </cell>
          <cell r="K522">
            <v>0</v>
          </cell>
          <cell r="L522">
            <v>224.04949999999999</v>
          </cell>
          <cell r="M522">
            <v>0</v>
          </cell>
          <cell r="N522">
            <v>359.99</v>
          </cell>
          <cell r="O522" t="str">
            <v>KABUM</v>
          </cell>
          <cell r="P522">
            <v>343.15</v>
          </cell>
          <cell r="Q522">
            <v>0.60674315274080104</v>
          </cell>
          <cell r="R522">
            <v>0.60674315274080104</v>
          </cell>
          <cell r="S522" t="e">
            <v>#VALUE!</v>
          </cell>
          <cell r="T522" t="e">
            <v>#VALUE!</v>
          </cell>
        </row>
        <row r="523">
          <cell r="A523" t="str">
            <v>GRGM18000209</v>
          </cell>
          <cell r="B523" t="str">
            <v>MKP000631004354</v>
          </cell>
          <cell r="C523" t="str">
            <v/>
          </cell>
          <cell r="D523" t="str">
            <v>Kit com 2 Balcões de Cozinha Madesa Acordes 100% MDF (Sem Tampo e Pia) Frentes Branco Brilho</v>
          </cell>
          <cell r="E523" t="str">
            <v>ACORDES</v>
          </cell>
          <cell r="F523" t="str">
            <v>COZINHA</v>
          </cell>
          <cell r="G523" t="str">
            <v/>
          </cell>
          <cell r="H523">
            <v>1749.99</v>
          </cell>
          <cell r="I523">
            <v>1079.99</v>
          </cell>
          <cell r="J523">
            <v>756.74339999999995</v>
          </cell>
          <cell r="K523">
            <v>0</v>
          </cell>
          <cell r="L523">
            <v>756.74339999999995</v>
          </cell>
          <cell r="M523">
            <v>0</v>
          </cell>
          <cell r="N523">
            <v>1079.99</v>
          </cell>
          <cell r="O523" t="str">
            <v>LOJA</v>
          </cell>
          <cell r="P523">
            <v>899.99</v>
          </cell>
          <cell r="Q523">
            <v>0.42715483213993</v>
          </cell>
          <cell r="R523">
            <v>0.42715483213993</v>
          </cell>
          <cell r="S523" t="e">
            <v>#VALUE!</v>
          </cell>
          <cell r="T523" t="e">
            <v>#VALUE!</v>
          </cell>
        </row>
        <row r="524">
          <cell r="A524" t="str">
            <v>G2512709PRRF</v>
          </cell>
          <cell r="B524" t="str">
            <v>MKP000631000365</v>
          </cell>
          <cell r="C524" t="str">
            <v/>
          </cell>
          <cell r="D524" t="str">
            <v>Armário Aéreo Madesa Glamy 2 Portas de Correr de Vidro Reflex e 1 Nicho Branco</v>
          </cell>
          <cell r="E524" t="str">
            <v>GLAMY</v>
          </cell>
          <cell r="F524" t="str">
            <v>MODULAÇÃO</v>
          </cell>
          <cell r="G524" t="str">
            <v/>
          </cell>
          <cell r="H524">
            <v>879.99</v>
          </cell>
          <cell r="I524">
            <v>439.99</v>
          </cell>
          <cell r="J524">
            <v>291.9674</v>
          </cell>
          <cell r="K524">
            <v>0</v>
          </cell>
          <cell r="L524">
            <v>291.9674</v>
          </cell>
          <cell r="M524">
            <v>0</v>
          </cell>
          <cell r="N524">
            <v>439.99</v>
          </cell>
          <cell r="O524" t="str">
            <v/>
          </cell>
          <cell r="P524">
            <v>0</v>
          </cell>
          <cell r="Q524">
            <v>0.50698331389052298</v>
          </cell>
          <cell r="R524">
            <v>0.50698331389052298</v>
          </cell>
          <cell r="S524" t="e">
            <v>#VALUE!</v>
          </cell>
          <cell r="T524" t="e">
            <v>#VALUE!</v>
          </cell>
        </row>
        <row r="525">
          <cell r="A525" t="str">
            <v>XAG241208NRM</v>
          </cell>
          <cell r="B525" t="str">
            <v>MKP000631002489</v>
          </cell>
          <cell r="C525" t="str">
            <v/>
          </cell>
          <cell r="D525" t="str">
            <v>Balcão Cantinho do Café Madesa Reims 2 Portas Preto</v>
          </cell>
          <cell r="E525" t="str">
            <v>REIMS</v>
          </cell>
          <cell r="F525" t="str">
            <v>MODULAÇÃO</v>
          </cell>
          <cell r="G525" t="str">
            <v/>
          </cell>
          <cell r="H525">
            <v>1069.99</v>
          </cell>
          <cell r="I525">
            <v>479.92</v>
          </cell>
          <cell r="J525">
            <v>333.65989999999999</v>
          </cell>
          <cell r="K525">
            <v>0</v>
          </cell>
          <cell r="L525">
            <v>333.65989999999999</v>
          </cell>
          <cell r="M525">
            <v>0</v>
          </cell>
          <cell r="N525">
            <v>479.92</v>
          </cell>
          <cell r="O525" t="str">
            <v/>
          </cell>
          <cell r="P525">
            <v>0</v>
          </cell>
          <cell r="Q525">
            <v>0.43835084767453297</v>
          </cell>
          <cell r="R525">
            <v>0.43835084767453297</v>
          </cell>
          <cell r="S525" t="e">
            <v>#VALUE!</v>
          </cell>
          <cell r="T525" t="e">
            <v>#VALUE!</v>
          </cell>
        </row>
        <row r="526">
          <cell r="A526" t="str">
            <v>GCLX5460039R</v>
          </cell>
          <cell r="B526" t="str">
            <v>MKP000631003390</v>
          </cell>
          <cell r="C526" t="str">
            <v/>
          </cell>
          <cell r="D526" t="str">
            <v>Armário de Cozinha Completa de Canto 546cm Branco/Cinza Lux Madesa 03</v>
          </cell>
          <cell r="E526" t="str">
            <v>LUX</v>
          </cell>
          <cell r="F526" t="str">
            <v>COZINHA</v>
          </cell>
          <cell r="G526" t="str">
            <v/>
          </cell>
          <cell r="H526">
            <v>8439.99</v>
          </cell>
          <cell r="I526">
            <v>8339.99</v>
          </cell>
          <cell r="J526">
            <v>5132.9625999999998</v>
          </cell>
          <cell r="K526">
            <v>0</v>
          </cell>
          <cell r="L526">
            <v>5132.9625999999998</v>
          </cell>
          <cell r="M526">
            <v>0</v>
          </cell>
          <cell r="N526">
            <v>8339.99</v>
          </cell>
          <cell r="O526" t="str">
            <v>LOJA</v>
          </cell>
          <cell r="P526">
            <v>7329.99</v>
          </cell>
          <cell r="Q526">
            <v>0.62479072027526505</v>
          </cell>
          <cell r="R526">
            <v>0.62479072027526505</v>
          </cell>
          <cell r="S526" t="e">
            <v>#VALUE!</v>
          </cell>
          <cell r="T526" t="e">
            <v>#VALUE!</v>
          </cell>
        </row>
        <row r="527">
          <cell r="A527" t="str">
            <v>7003091</v>
          </cell>
          <cell r="B527" t="str">
            <v>MKP000631000074</v>
          </cell>
          <cell r="C527" t="str">
            <v/>
          </cell>
          <cell r="D527" t="str">
            <v>Rack com Painel para TV até 65 Polegadas Madesa Miami 1 Porta Branco</v>
          </cell>
          <cell r="E527" t="str">
            <v>MIAMI</v>
          </cell>
          <cell r="F527" t="str">
            <v>SALA DE ESTAR</v>
          </cell>
          <cell r="G527" t="str">
            <v/>
          </cell>
          <cell r="H527">
            <v>569.99</v>
          </cell>
          <cell r="I527">
            <v>469.99</v>
          </cell>
          <cell r="J527">
            <v>356.46269999999998</v>
          </cell>
          <cell r="K527">
            <v>0</v>
          </cell>
          <cell r="L527">
            <v>356.46269999999998</v>
          </cell>
          <cell r="M527">
            <v>0</v>
          </cell>
          <cell r="N527">
            <v>469.99</v>
          </cell>
          <cell r="O527" t="str">
            <v/>
          </cell>
          <cell r="P527">
            <v>0</v>
          </cell>
          <cell r="Q527">
            <v>0.31848297171064499</v>
          </cell>
          <cell r="R527">
            <v>0.31848297171064499</v>
          </cell>
          <cell r="S527" t="e">
            <v>#VALUE!</v>
          </cell>
          <cell r="T527" t="e">
            <v>#VALUE!</v>
          </cell>
        </row>
        <row r="528">
          <cell r="A528" t="str">
            <v>108209CP</v>
          </cell>
          <cell r="B528" t="str">
            <v>MKP000631000258</v>
          </cell>
          <cell r="C528" t="str">
            <v/>
          </cell>
          <cell r="D528" t="str">
            <v>Guarda-Roupa Casal Madesa Napoli 3 Portas de Correr com Pés Branco</v>
          </cell>
          <cell r="E528" t="str">
            <v>NAPOLI</v>
          </cell>
          <cell r="F528" t="str">
            <v>QUARTO</v>
          </cell>
          <cell r="G528" t="str">
            <v/>
          </cell>
          <cell r="H528">
            <v>1609.99</v>
          </cell>
          <cell r="I528">
            <v>1279.92</v>
          </cell>
          <cell r="J528">
            <v>1024.3820000000001</v>
          </cell>
          <cell r="K528">
            <v>0</v>
          </cell>
          <cell r="L528">
            <v>1024.3820000000001</v>
          </cell>
          <cell r="M528">
            <v>0</v>
          </cell>
          <cell r="N528">
            <v>1279.92</v>
          </cell>
          <cell r="O528" t="str">
            <v/>
          </cell>
          <cell r="P528">
            <v>0</v>
          </cell>
          <cell r="Q528">
            <v>0.249455769429763</v>
          </cell>
          <cell r="R528">
            <v>0.249455769429763</v>
          </cell>
          <cell r="S528" t="e">
            <v>#VALUE!</v>
          </cell>
          <cell r="T528" t="e">
            <v>#VALUE!</v>
          </cell>
        </row>
        <row r="529">
          <cell r="A529" t="str">
            <v>045647GX6TPER</v>
          </cell>
          <cell r="B529" t="str">
            <v>MKP000631000623</v>
          </cell>
          <cell r="C529" t="str">
            <v/>
          </cell>
          <cell r="D529" t="str">
            <v>Conjunto Sala de Jantar Madesa Miriam Mesa Tampo de Madeira com 6 Cadeiras Rustic/Crema/Sintético Bege</v>
          </cell>
          <cell r="E529" t="str">
            <v>MIRIAM</v>
          </cell>
          <cell r="F529" t="str">
            <v>SALA DE JANTAR</v>
          </cell>
          <cell r="G529" t="str">
            <v>4291X</v>
          </cell>
          <cell r="H529">
            <v>799.99</v>
          </cell>
          <cell r="I529">
            <v>699.99</v>
          </cell>
          <cell r="J529">
            <v>564.73990000000003</v>
          </cell>
          <cell r="K529">
            <v>0</v>
          </cell>
          <cell r="L529">
            <v>564.73990000000003</v>
          </cell>
          <cell r="M529">
            <v>0</v>
          </cell>
          <cell r="N529">
            <v>699.99</v>
          </cell>
          <cell r="O529" t="str">
            <v/>
          </cell>
          <cell r="P529">
            <v>0</v>
          </cell>
          <cell r="Q529">
            <v>0.23949095858111</v>
          </cell>
          <cell r="R529">
            <v>0.23949095858111</v>
          </cell>
          <cell r="S529" t="e">
            <v>#VALUE!</v>
          </cell>
          <cell r="T529" t="e">
            <v>#VALUE!</v>
          </cell>
        </row>
        <row r="530">
          <cell r="A530" t="str">
            <v>XAGREM2290029B</v>
          </cell>
          <cell r="B530" t="str">
            <v>MKP000631003287</v>
          </cell>
          <cell r="C530" t="str">
            <v/>
          </cell>
          <cell r="D530" t="str">
            <v>Armário de Cozinha Compacta Madesa Emilly Pop com Balcão Rustic/Branco</v>
          </cell>
          <cell r="E530" t="str">
            <v>POP/EMILLY</v>
          </cell>
          <cell r="F530" t="str">
            <v>COZINHA</v>
          </cell>
          <cell r="G530" t="str">
            <v/>
          </cell>
          <cell r="H530">
            <v>1159.99</v>
          </cell>
          <cell r="I530">
            <v>759.99</v>
          </cell>
          <cell r="J530">
            <v>587.28110000000004</v>
          </cell>
          <cell r="K530">
            <v>0</v>
          </cell>
          <cell r="L530">
            <v>587.28110000000004</v>
          </cell>
          <cell r="M530">
            <v>0</v>
          </cell>
          <cell r="N530">
            <v>759.99</v>
          </cell>
          <cell r="O530" t="str">
            <v>MAGALU</v>
          </cell>
          <cell r="P530">
            <v>736.83</v>
          </cell>
          <cell r="Q530">
            <v>0.29408216950962701</v>
          </cell>
          <cell r="R530">
            <v>0.29408216950962701</v>
          </cell>
          <cell r="S530" t="e">
            <v>#VALUE!</v>
          </cell>
          <cell r="T530" t="e">
            <v>#VALUE!</v>
          </cell>
        </row>
        <row r="531">
          <cell r="A531" t="str">
            <v>42905Z6XTFLH</v>
          </cell>
          <cell r="B531" t="str">
            <v>MKP000631003153</v>
          </cell>
          <cell r="C531" t="str">
            <v/>
          </cell>
          <cell r="D531" t="str">
            <v>Kit 6 Cadeiras 4290 Madesa Rustic/Hibiscos</v>
          </cell>
          <cell r="E531">
            <v>4290</v>
          </cell>
          <cell r="F531" t="str">
            <v>SALA DE JANTAR</v>
          </cell>
          <cell r="G531" t="str">
            <v>4290X</v>
          </cell>
          <cell r="H531">
            <v>599.99</v>
          </cell>
          <cell r="I531">
            <v>499.99</v>
          </cell>
          <cell r="J531">
            <v>379.90859999999998</v>
          </cell>
          <cell r="K531">
            <v>0</v>
          </cell>
          <cell r="L531">
            <v>379.90859999999998</v>
          </cell>
          <cell r="M531">
            <v>0</v>
          </cell>
          <cell r="N531">
            <v>499.99</v>
          </cell>
          <cell r="O531" t="str">
            <v/>
          </cell>
          <cell r="P531">
            <v>0</v>
          </cell>
          <cell r="Q531">
            <v>0.316079709698596</v>
          </cell>
          <cell r="R531">
            <v>0.316079709698596</v>
          </cell>
          <cell r="S531" t="e">
            <v>#VALUE!</v>
          </cell>
          <cell r="T531" t="e">
            <v>#VALUE!</v>
          </cell>
        </row>
        <row r="532">
          <cell r="A532" t="str">
            <v>GCAG389001F9</v>
          </cell>
          <cell r="B532" t="str">
            <v>MKP000631004401</v>
          </cell>
          <cell r="C532" t="str">
            <v/>
          </cell>
          <cell r="D532" t="str">
            <v>Armário de Cozinha Completa de Canto 389cm Rustic Cinza Agata Madesa 01</v>
          </cell>
          <cell r="E532" t="str">
            <v>ÁGATA</v>
          </cell>
          <cell r="F532" t="str">
            <v>COZINHA</v>
          </cell>
          <cell r="G532" t="str">
            <v/>
          </cell>
          <cell r="H532">
            <v>2659.99</v>
          </cell>
          <cell r="I532">
            <v>2539.92</v>
          </cell>
          <cell r="J532">
            <v>2094.8164999999999</v>
          </cell>
          <cell r="K532">
            <v>0</v>
          </cell>
          <cell r="L532">
            <v>2094.8164999999999</v>
          </cell>
          <cell r="M532">
            <v>0</v>
          </cell>
          <cell r="N532">
            <v>2539.92</v>
          </cell>
          <cell r="O532" t="str">
            <v/>
          </cell>
          <cell r="P532">
            <v>0</v>
          </cell>
          <cell r="Q532">
            <v>0.21247851542127899</v>
          </cell>
          <cell r="R532">
            <v>0.21247851542127899</v>
          </cell>
          <cell r="S532" t="e">
            <v>#VALUE!</v>
          </cell>
          <cell r="T532" t="e">
            <v>#VALUE!</v>
          </cell>
        </row>
        <row r="533">
          <cell r="A533" t="str">
            <v>XAGCSM448001C9</v>
          </cell>
          <cell r="B533" t="str">
            <v>MKP000631003302</v>
          </cell>
          <cell r="C533" t="str">
            <v/>
          </cell>
          <cell r="D533" t="str">
            <v>Armário de Cozinha Completa de Canto 100% MDF 448 cm Frentes Branco Brilho Smart Madesa XA01</v>
          </cell>
          <cell r="E533" t="str">
            <v>SMART</v>
          </cell>
          <cell r="F533" t="str">
            <v>COZINHA</v>
          </cell>
          <cell r="G533" t="str">
            <v/>
          </cell>
          <cell r="H533">
            <v>3669.99</v>
          </cell>
          <cell r="I533">
            <v>2629.99</v>
          </cell>
          <cell r="J533">
            <v>2058.8791999999999</v>
          </cell>
          <cell r="K533">
            <v>0</v>
          </cell>
          <cell r="L533">
            <v>2058.8791999999999</v>
          </cell>
          <cell r="M533">
            <v>0</v>
          </cell>
          <cell r="N533">
            <v>2629.99</v>
          </cell>
          <cell r="O533" t="str">
            <v>MADEIRAMADEIRA</v>
          </cell>
          <cell r="P533">
            <v>2489.9899999999998</v>
          </cell>
          <cell r="Q533">
            <v>0.27738917368245802</v>
          </cell>
          <cell r="R533">
            <v>0.27738917368245802</v>
          </cell>
          <cell r="S533" t="e">
            <v>#VALUE!</v>
          </cell>
          <cell r="T533" t="e">
            <v>#VALUE!</v>
          </cell>
        </row>
        <row r="534">
          <cell r="A534" t="str">
            <v>GRGM27000873</v>
          </cell>
          <cell r="B534" t="str">
            <v>MKP000631004940</v>
          </cell>
          <cell r="C534" t="str">
            <v/>
          </cell>
          <cell r="D534" t="str">
            <v>Armário de Cozinha Completa 100% MDF 270cm Branco/Preto Acordes Madesa 08</v>
          </cell>
          <cell r="E534" t="str">
            <v>ACORDES</v>
          </cell>
          <cell r="F534" t="str">
            <v>COZINHA</v>
          </cell>
          <cell r="G534" t="str">
            <v/>
          </cell>
          <cell r="H534">
            <v>1899.99</v>
          </cell>
          <cell r="I534">
            <v>1819.99</v>
          </cell>
          <cell r="J534">
            <v>1374.1521</v>
          </cell>
          <cell r="K534">
            <v>0</v>
          </cell>
          <cell r="L534">
            <v>1374.1521</v>
          </cell>
          <cell r="M534">
            <v>0</v>
          </cell>
          <cell r="N534">
            <v>1819.99</v>
          </cell>
          <cell r="O534" t="str">
            <v>IMPÉRIO</v>
          </cell>
          <cell r="P534">
            <v>1859</v>
          </cell>
          <cell r="Q534">
            <v>0.32444581644200798</v>
          </cell>
          <cell r="R534">
            <v>0.32444581644200798</v>
          </cell>
          <cell r="S534" t="e">
            <v>#VALUE!</v>
          </cell>
          <cell r="T534" t="e">
            <v>#VALUE!</v>
          </cell>
        </row>
        <row r="535">
          <cell r="A535" t="str">
            <v>XA2105091</v>
          </cell>
          <cell r="B535" t="str">
            <v>MKP000631005830</v>
          </cell>
          <cell r="C535" t="str">
            <v/>
          </cell>
          <cell r="D535" t="str">
            <v>Painel para TV com Prateleira até 60 Polegadas Madesa Alfa Branco</v>
          </cell>
          <cell r="E535" t="str">
            <v>ALFA</v>
          </cell>
          <cell r="F535" t="str">
            <v>SALA DE ESTAR</v>
          </cell>
          <cell r="G535" t="str">
            <v/>
          </cell>
          <cell r="H535">
            <v>899.99</v>
          </cell>
          <cell r="I535">
            <v>399.99</v>
          </cell>
          <cell r="J535">
            <v>309.11309999999997</v>
          </cell>
          <cell r="K535">
            <v>0</v>
          </cell>
          <cell r="L535">
            <v>309.11309999999997</v>
          </cell>
          <cell r="M535">
            <v>0</v>
          </cell>
          <cell r="N535">
            <v>399.99</v>
          </cell>
          <cell r="O535" t="str">
            <v/>
          </cell>
          <cell r="P535">
            <v>0</v>
          </cell>
          <cell r="Q535">
            <v>0.29399239307554398</v>
          </cell>
          <cell r="R535">
            <v>0.29399239307554398</v>
          </cell>
          <cell r="S535" t="e">
            <v>#VALUE!</v>
          </cell>
          <cell r="T535" t="e">
            <v>#VALUE!</v>
          </cell>
        </row>
        <row r="536">
          <cell r="A536" t="str">
            <v>044185ZXPE</v>
          </cell>
          <cell r="B536" t="str">
            <v>MKP000631000065</v>
          </cell>
          <cell r="C536" t="str">
            <v/>
          </cell>
          <cell r="D536" t="str">
            <v>Conjunto Sala de Jantar Lousiana Madesa Mesa Tampo de Madeira com 6 Cadeiras Rustic/Crema/Sintético Bege</v>
          </cell>
          <cell r="E536" t="str">
            <v>LOUSIANA</v>
          </cell>
          <cell r="F536" t="str">
            <v>SALA DE JANTAR</v>
          </cell>
          <cell r="G536" t="str">
            <v>4280X</v>
          </cell>
          <cell r="H536">
            <v>1619.99</v>
          </cell>
          <cell r="I536">
            <v>899.99</v>
          </cell>
          <cell r="J536">
            <v>682.62339999999995</v>
          </cell>
          <cell r="K536">
            <v>0</v>
          </cell>
          <cell r="L536">
            <v>682.62339999999995</v>
          </cell>
          <cell r="M536">
            <v>0</v>
          </cell>
          <cell r="N536">
            <v>899.99</v>
          </cell>
          <cell r="O536" t="str">
            <v>LOJA</v>
          </cell>
          <cell r="P536">
            <v>969.99</v>
          </cell>
          <cell r="Q536">
            <v>0.31842828710530602</v>
          </cell>
          <cell r="R536">
            <v>0.31842828710530602</v>
          </cell>
          <cell r="S536" t="e">
            <v>#VALUE!</v>
          </cell>
          <cell r="T536" t="e">
            <v>#VALUE!</v>
          </cell>
        </row>
        <row r="537">
          <cell r="A537" t="str">
            <v>MDES0200026E5Z</v>
          </cell>
          <cell r="B537" t="str">
            <v>MKP000631000163</v>
          </cell>
          <cell r="C537" t="str">
            <v/>
          </cell>
          <cell r="D537" t="str">
            <v>Rack Madesa Metz e Painel para TV até 55 Polegadas Rustic/Branco/Rustic</v>
          </cell>
          <cell r="E537" t="str">
            <v>METZ</v>
          </cell>
          <cell r="F537" t="str">
            <v>SALA DE ESTAR</v>
          </cell>
          <cell r="G537" t="str">
            <v/>
          </cell>
          <cell r="H537">
            <v>1029.99</v>
          </cell>
          <cell r="I537">
            <v>499.99</v>
          </cell>
          <cell r="J537">
            <v>388.60680000000002</v>
          </cell>
          <cell r="K537">
            <v>0</v>
          </cell>
          <cell r="L537">
            <v>388.60680000000002</v>
          </cell>
          <cell r="M537">
            <v>0</v>
          </cell>
          <cell r="N537">
            <v>499.99</v>
          </cell>
          <cell r="O537" t="str">
            <v/>
          </cell>
          <cell r="P537">
            <v>0</v>
          </cell>
          <cell r="Q537">
            <v>0.28662185015805203</v>
          </cell>
          <cell r="R537">
            <v>0.28662185015805203</v>
          </cell>
          <cell r="S537" t="e">
            <v>#VALUE!</v>
          </cell>
          <cell r="T537" t="e">
            <v>#VALUE!</v>
          </cell>
        </row>
        <row r="538">
          <cell r="A538" t="str">
            <v>GREM2930017K</v>
          </cell>
          <cell r="B538" t="str">
            <v>MKP000631004452</v>
          </cell>
          <cell r="C538" t="str">
            <v/>
          </cell>
          <cell r="D538" t="str">
            <v>Armário de Cozinha Completa 293cm Rustic/Preto Emilly Madesa 01</v>
          </cell>
          <cell r="E538" t="str">
            <v>EMILLY</v>
          </cell>
          <cell r="F538" t="str">
            <v>COZINHA</v>
          </cell>
          <cell r="G538" t="str">
            <v/>
          </cell>
          <cell r="H538">
            <v>1299.99</v>
          </cell>
          <cell r="I538">
            <v>1219.99</v>
          </cell>
          <cell r="J538">
            <v>910.59690000000001</v>
          </cell>
          <cell r="K538">
            <v>0</v>
          </cell>
          <cell r="L538">
            <v>910.59690000000001</v>
          </cell>
          <cell r="M538">
            <v>0</v>
          </cell>
          <cell r="N538">
            <v>1219.99</v>
          </cell>
          <cell r="O538" t="str">
            <v>VIA</v>
          </cell>
          <cell r="P538">
            <v>1149.99</v>
          </cell>
          <cell r="Q538">
            <v>0.33976955115924501</v>
          </cell>
          <cell r="R538">
            <v>0.33976955115924501</v>
          </cell>
          <cell r="S538" t="e">
            <v>#VALUE!</v>
          </cell>
          <cell r="T538" t="e">
            <v>#VALUE!</v>
          </cell>
        </row>
        <row r="539">
          <cell r="A539" t="str">
            <v>GRGL24000309</v>
          </cell>
          <cell r="B539" t="str">
            <v>MKP000631003786</v>
          </cell>
          <cell r="C539" t="str">
            <v/>
          </cell>
          <cell r="D539" t="str">
            <v>Armário de Cozinha Completa 240cm Branco Glamy Madesa 03</v>
          </cell>
          <cell r="E539" t="str">
            <v>GLAMY</v>
          </cell>
          <cell r="F539" t="str">
            <v>COZINHA</v>
          </cell>
          <cell r="G539" t="str">
            <v/>
          </cell>
          <cell r="H539">
            <v>2199.9899999999998</v>
          </cell>
          <cell r="I539">
            <v>2099.9899999999998</v>
          </cell>
          <cell r="J539">
            <v>1751.9460999999999</v>
          </cell>
          <cell r="K539">
            <v>0</v>
          </cell>
          <cell r="L539">
            <v>1751.9460999999999</v>
          </cell>
          <cell r="M539">
            <v>0</v>
          </cell>
          <cell r="N539">
            <v>2099.9899999999998</v>
          </cell>
          <cell r="O539" t="str">
            <v/>
          </cell>
          <cell r="P539">
            <v>0</v>
          </cell>
          <cell r="Q539">
            <v>0.198661305847252</v>
          </cell>
          <cell r="R539">
            <v>0.198661305847252</v>
          </cell>
          <cell r="S539" t="e">
            <v>#VALUE!</v>
          </cell>
          <cell r="T539" t="e">
            <v>#VALUE!</v>
          </cell>
        </row>
        <row r="540">
          <cell r="A540" t="str">
            <v>G251285ZPRRF</v>
          </cell>
          <cell r="B540" t="str">
            <v>MKP000631004775</v>
          </cell>
          <cell r="C540" t="str">
            <v/>
          </cell>
          <cell r="D540" t="str">
            <v>Armário Aéreo Madesa 120cm 2 Portas Correr Vidro Reflex 1 Nicho para Cozinhas Glamy, Lux e Reims Rustic</v>
          </cell>
          <cell r="E540" t="str">
            <v>PR</v>
          </cell>
          <cell r="F540" t="str">
            <v>MODULAÇÃO</v>
          </cell>
          <cell r="G540" t="str">
            <v/>
          </cell>
          <cell r="H540">
            <v>599.99</v>
          </cell>
          <cell r="I540">
            <v>369.99</v>
          </cell>
          <cell r="J540">
            <v>233.49979999999999</v>
          </cell>
          <cell r="K540">
            <v>0</v>
          </cell>
          <cell r="L540">
            <v>233.49979999999999</v>
          </cell>
          <cell r="M540">
            <v>0</v>
          </cell>
          <cell r="N540">
            <v>369.99</v>
          </cell>
          <cell r="O540" t="str">
            <v/>
          </cell>
          <cell r="P540">
            <v>0</v>
          </cell>
          <cell r="Q540">
            <v>0.58454097176956898</v>
          </cell>
          <cell r="R540">
            <v>0.58454097176956898</v>
          </cell>
          <cell r="S540" t="e">
            <v>#VALUE!</v>
          </cell>
          <cell r="T540" t="e">
            <v>#VALUE!</v>
          </cell>
        </row>
        <row r="541">
          <cell r="A541" t="str">
            <v>GRGL2900045Z</v>
          </cell>
          <cell r="B541" t="str">
            <v>MKP000631001103</v>
          </cell>
          <cell r="C541" t="str">
            <v/>
          </cell>
          <cell r="D541" t="str">
            <v>Armário de Cozinha Completa 290cm Rustic Safira Madesa 04</v>
          </cell>
          <cell r="E541" t="str">
            <v>SAFIRA/GLAMY</v>
          </cell>
          <cell r="F541" t="str">
            <v>COZINHA</v>
          </cell>
          <cell r="G541" t="str">
            <v/>
          </cell>
          <cell r="H541">
            <v>2199.9899999999998</v>
          </cell>
          <cell r="I541">
            <v>2099.9899999999998</v>
          </cell>
          <cell r="J541">
            <v>1743.5204000000001</v>
          </cell>
          <cell r="K541">
            <v>0</v>
          </cell>
          <cell r="L541">
            <v>1743.5204000000001</v>
          </cell>
          <cell r="M541">
            <v>0</v>
          </cell>
          <cell r="N541">
            <v>2099.9899999999998</v>
          </cell>
          <cell r="O541" t="str">
            <v/>
          </cell>
          <cell r="P541">
            <v>0</v>
          </cell>
          <cell r="Q541">
            <v>0.20445393125311301</v>
          </cell>
          <cell r="R541">
            <v>0.20445393125311301</v>
          </cell>
          <cell r="S541" t="e">
            <v>#VALUE!</v>
          </cell>
          <cell r="T541" t="e">
            <v>#VALUE!</v>
          </cell>
        </row>
        <row r="542">
          <cell r="A542" t="str">
            <v>10638N3E</v>
          </cell>
          <cell r="B542" t="str">
            <v>MKP000631003038</v>
          </cell>
          <cell r="C542" t="str">
            <v/>
          </cell>
          <cell r="D542" t="str">
            <v>Guarda-Roupa Casal 100% MDF Madesa Royale 3 Portas de Correr de Espelho Preto</v>
          </cell>
          <cell r="E542" t="str">
            <v>ROYALE</v>
          </cell>
          <cell r="F542" t="str">
            <v>QUARTO</v>
          </cell>
          <cell r="G542" t="str">
            <v/>
          </cell>
          <cell r="H542">
            <v>4059.99</v>
          </cell>
          <cell r="I542">
            <v>2939.99</v>
          </cell>
          <cell r="J542">
            <v>2275.1352000000002</v>
          </cell>
          <cell r="K542">
            <v>0</v>
          </cell>
          <cell r="L542">
            <v>2275.1352000000002</v>
          </cell>
          <cell r="M542">
            <v>0</v>
          </cell>
          <cell r="N542">
            <v>2939.99</v>
          </cell>
          <cell r="O542" t="str">
            <v>LOJA</v>
          </cell>
          <cell r="P542">
            <v>2699.99</v>
          </cell>
          <cell r="Q542">
            <v>0.292226501528349</v>
          </cell>
          <cell r="R542">
            <v>0.292226501528349</v>
          </cell>
          <cell r="S542" t="e">
            <v>#VALUE!</v>
          </cell>
          <cell r="T542" t="e">
            <v>#VALUE!</v>
          </cell>
        </row>
        <row r="543">
          <cell r="A543" t="str">
            <v>GRRM30000109</v>
          </cell>
          <cell r="B543" t="str">
            <v>MKP000631004197</v>
          </cell>
          <cell r="C543" t="str">
            <v/>
          </cell>
          <cell r="D543" t="str">
            <v>Armário de Cozinha Completa 300cm Branco Reims Madesa 01</v>
          </cell>
          <cell r="E543" t="str">
            <v>REIMS</v>
          </cell>
          <cell r="F543" t="str">
            <v>COZINHA</v>
          </cell>
          <cell r="G543" t="str">
            <v/>
          </cell>
          <cell r="H543">
            <v>2799.9</v>
          </cell>
          <cell r="I543">
            <v>1769.99</v>
          </cell>
          <cell r="J543">
            <v>1441.7538999999999</v>
          </cell>
          <cell r="K543">
            <v>0</v>
          </cell>
          <cell r="L543">
            <v>1441.7538999999999</v>
          </cell>
          <cell r="M543">
            <v>0</v>
          </cell>
          <cell r="N543">
            <v>1769.99</v>
          </cell>
          <cell r="O543" t="str">
            <v>COLOMBO</v>
          </cell>
          <cell r="P543">
            <v>1769.99</v>
          </cell>
          <cell r="Q543">
            <v>0.22766444398034899</v>
          </cell>
          <cell r="R543">
            <v>0.22766444398034899</v>
          </cell>
          <cell r="S543" t="e">
            <v>#VALUE!</v>
          </cell>
          <cell r="T543" t="e">
            <v>#VALUE!</v>
          </cell>
        </row>
        <row r="544">
          <cell r="A544" t="str">
            <v>10978N</v>
          </cell>
          <cell r="B544" t="str">
            <v>MKP000631002359</v>
          </cell>
          <cell r="C544" t="str">
            <v/>
          </cell>
          <cell r="D544" t="str">
            <v>Guarda-Roupa Solteiro Madesa Tokio 2 Portas de Correr 2 Gavetas Preto</v>
          </cell>
          <cell r="E544" t="str">
            <v>TOKIO</v>
          </cell>
          <cell r="F544" t="str">
            <v>QUARTO</v>
          </cell>
          <cell r="G544" t="str">
            <v/>
          </cell>
          <cell r="H544">
            <v>1399.99</v>
          </cell>
          <cell r="I544">
            <v>839.92</v>
          </cell>
          <cell r="J544">
            <v>630.83749999999998</v>
          </cell>
          <cell r="K544">
            <v>0</v>
          </cell>
          <cell r="L544">
            <v>630.83749999999998</v>
          </cell>
          <cell r="M544">
            <v>0</v>
          </cell>
          <cell r="N544">
            <v>839.92</v>
          </cell>
          <cell r="O544" t="str">
            <v>LEROY</v>
          </cell>
          <cell r="P544">
            <v>0</v>
          </cell>
          <cell r="Q544">
            <v>0.33143638417183502</v>
          </cell>
          <cell r="R544">
            <v>0.33143638417183502</v>
          </cell>
          <cell r="S544" t="e">
            <v>#VALUE!</v>
          </cell>
          <cell r="T544" t="e">
            <v>#VALUE!</v>
          </cell>
        </row>
        <row r="545">
          <cell r="A545" t="str">
            <v>70145Z3</v>
          </cell>
          <cell r="B545" t="str">
            <v>MKP000631000021</v>
          </cell>
          <cell r="C545" t="str">
            <v/>
          </cell>
          <cell r="D545" t="str">
            <v>Buffet Aparador Madesa 3 Gavetas e 2 Portas com Pés Rustic</v>
          </cell>
          <cell r="E545">
            <v>7014</v>
          </cell>
          <cell r="F545" t="str">
            <v>SALA DE JANTAR</v>
          </cell>
          <cell r="G545" t="str">
            <v/>
          </cell>
          <cell r="H545">
            <v>1299.99</v>
          </cell>
          <cell r="I545">
            <v>789.99</v>
          </cell>
          <cell r="J545">
            <v>551.73620000000005</v>
          </cell>
          <cell r="K545">
            <v>0</v>
          </cell>
          <cell r="L545">
            <v>551.73620000000005</v>
          </cell>
          <cell r="M545">
            <v>0</v>
          </cell>
          <cell r="N545">
            <v>789.99</v>
          </cell>
          <cell r="O545" t="str">
            <v>LOJA</v>
          </cell>
          <cell r="P545">
            <v>699.99</v>
          </cell>
          <cell r="Q545">
            <v>0.43182557171343799</v>
          </cell>
          <cell r="R545">
            <v>0.43182557171343799</v>
          </cell>
          <cell r="S545" t="e">
            <v>#VALUE!</v>
          </cell>
          <cell r="T545" t="e">
            <v>#VALUE!</v>
          </cell>
        </row>
        <row r="546">
          <cell r="A546" t="str">
            <v>GREM3250027K</v>
          </cell>
          <cell r="B546" t="str">
            <v>MKP000631005023</v>
          </cell>
          <cell r="C546" t="str">
            <v/>
          </cell>
          <cell r="D546" t="str">
            <v>Armário de Cozinha Completa 325cm Rustic/Preto Emilly Madesa 02</v>
          </cell>
          <cell r="E546" t="str">
            <v>EMILLY</v>
          </cell>
          <cell r="F546" t="str">
            <v>COZINHA</v>
          </cell>
          <cell r="G546" t="str">
            <v/>
          </cell>
          <cell r="H546">
            <v>1539.99</v>
          </cell>
          <cell r="I546">
            <v>1389.92</v>
          </cell>
          <cell r="J546">
            <v>1092.4088999999999</v>
          </cell>
          <cell r="K546">
            <v>0</v>
          </cell>
          <cell r="L546">
            <v>1092.4088999999999</v>
          </cell>
          <cell r="M546">
            <v>0</v>
          </cell>
          <cell r="N546">
            <v>1389.92</v>
          </cell>
          <cell r="O546" t="str">
            <v/>
          </cell>
          <cell r="P546">
            <v>0</v>
          </cell>
          <cell r="Q546">
            <v>0.272344082879588</v>
          </cell>
          <cell r="R546">
            <v>0.272344082879588</v>
          </cell>
          <cell r="S546" t="e">
            <v>#VALUE!</v>
          </cell>
          <cell r="T546" t="e">
            <v>#VALUE!</v>
          </cell>
        </row>
        <row r="547">
          <cell r="A547" t="str">
            <v>G2007709RM</v>
          </cell>
          <cell r="B547" t="str">
            <v>MKP000631001682</v>
          </cell>
          <cell r="C547" t="str">
            <v/>
          </cell>
          <cell r="D547" t="str">
            <v>Kit Madesa Reims 120 cm com Armário Aéreo e Balcão Gabinete de Pia Branco</v>
          </cell>
          <cell r="E547" t="str">
            <v>REIMS</v>
          </cell>
          <cell r="F547" t="str">
            <v>MODULAÇÃO</v>
          </cell>
          <cell r="G547" t="str">
            <v/>
          </cell>
          <cell r="H547">
            <v>1399.99</v>
          </cell>
          <cell r="I547">
            <v>729.92</v>
          </cell>
          <cell r="J547">
            <v>560.80499999999995</v>
          </cell>
          <cell r="K547">
            <v>0</v>
          </cell>
          <cell r="L547">
            <v>560.80499999999995</v>
          </cell>
          <cell r="M547">
            <v>0</v>
          </cell>
          <cell r="N547">
            <v>729.92</v>
          </cell>
          <cell r="O547" t="str">
            <v/>
          </cell>
          <cell r="P547">
            <v>0</v>
          </cell>
          <cell r="Q547">
            <v>0.30155758240386599</v>
          </cell>
          <cell r="R547">
            <v>0.30155758240386599</v>
          </cell>
          <cell r="S547" t="e">
            <v>#VALUE!</v>
          </cell>
          <cell r="T547" t="e">
            <v>#VALUE!</v>
          </cell>
        </row>
        <row r="548">
          <cell r="A548" t="str">
            <v>MDJA0600777GSIM</v>
          </cell>
          <cell r="B548" t="str">
            <v>MKP000631000859</v>
          </cell>
          <cell r="C548" t="str">
            <v/>
          </cell>
          <cell r="D548" t="str">
            <v>Conjunto Sala de Jantar Madesa Daniela Mesa Tampo de Madeira com 6 Cadeiras Rustic/Crema/Imperial</v>
          </cell>
          <cell r="E548" t="str">
            <v>DANIELA</v>
          </cell>
          <cell r="F548" t="str">
            <v>SALA DE JANTAR</v>
          </cell>
          <cell r="G548">
            <v>4254</v>
          </cell>
          <cell r="H548">
            <v>1749.99</v>
          </cell>
          <cell r="I548">
            <v>1649.99</v>
          </cell>
          <cell r="J548">
            <v>1305.8308999999999</v>
          </cell>
          <cell r="K548">
            <v>0</v>
          </cell>
          <cell r="L548">
            <v>1305.8308999999999</v>
          </cell>
          <cell r="M548">
            <v>0</v>
          </cell>
          <cell r="N548">
            <v>1649.99</v>
          </cell>
          <cell r="O548" t="str">
            <v>VIA</v>
          </cell>
          <cell r="P548">
            <v>1649.99</v>
          </cell>
          <cell r="Q548">
            <v>0.26355564108645302</v>
          </cell>
          <cell r="R548">
            <v>0.26355564108645302</v>
          </cell>
          <cell r="S548" t="e">
            <v>#VALUE!</v>
          </cell>
          <cell r="T548" t="e">
            <v>#VALUE!</v>
          </cell>
        </row>
        <row r="549">
          <cell r="A549" t="str">
            <v>1065092E</v>
          </cell>
          <cell r="B549" t="str">
            <v>MKP000631000248</v>
          </cell>
          <cell r="C549" t="str">
            <v/>
          </cell>
          <cell r="D549" t="str">
            <v>Guarda-Roupa Casal Madesa Montana 4 Portas de Correr com Espelho Branco</v>
          </cell>
          <cell r="E549" t="str">
            <v>MONTANA</v>
          </cell>
          <cell r="F549" t="str">
            <v>QUARTO</v>
          </cell>
          <cell r="G549" t="str">
            <v/>
          </cell>
          <cell r="H549">
            <v>3789.99</v>
          </cell>
          <cell r="I549">
            <v>2689.99</v>
          </cell>
          <cell r="J549">
            <v>2144.9674</v>
          </cell>
          <cell r="K549">
            <v>0</v>
          </cell>
          <cell r="L549">
            <v>2144.9674</v>
          </cell>
          <cell r="M549">
            <v>0</v>
          </cell>
          <cell r="N549">
            <v>2689.99</v>
          </cell>
          <cell r="O549" t="str">
            <v>MADEIRAMADEIRA</v>
          </cell>
          <cell r="P549">
            <v>2579.9899999999998</v>
          </cell>
          <cell r="Q549">
            <v>0.25409365195946598</v>
          </cell>
          <cell r="R549">
            <v>0.25409365195946598</v>
          </cell>
          <cell r="S549" t="e">
            <v>#VALUE!</v>
          </cell>
          <cell r="T549" t="e">
            <v>#VALUE!</v>
          </cell>
        </row>
        <row r="550">
          <cell r="A550" t="str">
            <v>1163091E</v>
          </cell>
          <cell r="B550" t="str">
            <v>MKP000631000639</v>
          </cell>
          <cell r="C550" t="str">
            <v/>
          </cell>
          <cell r="D550" t="str">
            <v>Guarda-Roupa Casal 100% MDF Madesa Eros 3 Portas de Correr com Espelho Branco</v>
          </cell>
          <cell r="E550" t="str">
            <v>EROS</v>
          </cell>
          <cell r="F550" t="str">
            <v>QUARTO</v>
          </cell>
          <cell r="G550" t="str">
            <v/>
          </cell>
          <cell r="H550">
            <v>3269.99</v>
          </cell>
          <cell r="I550">
            <v>2129.9899999999998</v>
          </cell>
          <cell r="J550">
            <v>1681.2814000000001</v>
          </cell>
          <cell r="K550">
            <v>0</v>
          </cell>
          <cell r="L550">
            <v>1681.2814000000001</v>
          </cell>
          <cell r="M550">
            <v>0</v>
          </cell>
          <cell r="N550">
            <v>2129.9899999999998</v>
          </cell>
          <cell r="O550" t="str">
            <v>MADEIRAMADEIRA</v>
          </cell>
          <cell r="P550">
            <v>2039.99</v>
          </cell>
          <cell r="Q550">
            <v>0.266884889108985</v>
          </cell>
          <cell r="R550">
            <v>0.266884889108985</v>
          </cell>
          <cell r="S550" t="e">
            <v>#VALUE!</v>
          </cell>
          <cell r="T550" t="e">
            <v>#VALUE!</v>
          </cell>
        </row>
        <row r="551">
          <cell r="A551" t="str">
            <v>70036E1CP</v>
          </cell>
          <cell r="B551" t="str">
            <v>MKP000631001178</v>
          </cell>
          <cell r="C551" t="str">
            <v/>
          </cell>
          <cell r="D551" t="str">
            <v>Rack com Painel para TV até 65 Polegadas Madesa Miami com Pés Rustic/Branco</v>
          </cell>
          <cell r="E551" t="str">
            <v>MIAMI</v>
          </cell>
          <cell r="F551" t="str">
            <v>SALA DE ESTAR</v>
          </cell>
          <cell r="G551" t="str">
            <v/>
          </cell>
          <cell r="H551">
            <v>1079.99</v>
          </cell>
          <cell r="I551">
            <v>529.99</v>
          </cell>
          <cell r="J551">
            <v>428.64249999999998</v>
          </cell>
          <cell r="K551">
            <v>0</v>
          </cell>
          <cell r="L551">
            <v>428.64249999999998</v>
          </cell>
          <cell r="M551">
            <v>0</v>
          </cell>
          <cell r="N551">
            <v>529.99</v>
          </cell>
          <cell r="O551" t="str">
            <v>WEB</v>
          </cell>
          <cell r="P551">
            <v>529.99</v>
          </cell>
          <cell r="Q551">
            <v>0.236438290650134</v>
          </cell>
          <cell r="R551">
            <v>0.236438290650134</v>
          </cell>
          <cell r="S551" t="e">
            <v>#VALUE!</v>
          </cell>
          <cell r="T551" t="e">
            <v>#VALUE!</v>
          </cell>
        </row>
        <row r="552">
          <cell r="A552" t="str">
            <v>045647GX6TFLH</v>
          </cell>
          <cell r="B552" t="str">
            <v>MKP000631000622</v>
          </cell>
          <cell r="C552" t="str">
            <v/>
          </cell>
          <cell r="D552" t="str">
            <v>Conjunto Sala de Jantar Madesa Miriam Mesa Tampo de Madeira com 6 Cadeiras Rustic/Crema/Floral Hibiscos</v>
          </cell>
          <cell r="E552" t="str">
            <v>MIRIAM</v>
          </cell>
          <cell r="F552" t="str">
            <v>SALA DE JANTAR</v>
          </cell>
          <cell r="G552" t="str">
            <v>4291X</v>
          </cell>
          <cell r="H552">
            <v>799.99</v>
          </cell>
          <cell r="I552">
            <v>699.99</v>
          </cell>
          <cell r="J552">
            <v>564.73990000000003</v>
          </cell>
          <cell r="K552">
            <v>0</v>
          </cell>
          <cell r="L552">
            <v>564.73990000000003</v>
          </cell>
          <cell r="M552">
            <v>0</v>
          </cell>
          <cell r="N552">
            <v>699.99</v>
          </cell>
          <cell r="O552" t="str">
            <v/>
          </cell>
          <cell r="P552">
            <v>0</v>
          </cell>
          <cell r="Q552">
            <v>0.23949095858111</v>
          </cell>
          <cell r="R552">
            <v>0.23949095858111</v>
          </cell>
          <cell r="S552" t="e">
            <v>#VALUE!</v>
          </cell>
          <cell r="T552" t="e">
            <v>#VALUE!</v>
          </cell>
        </row>
        <row r="553">
          <cell r="A553" t="str">
            <v>XAGRRM2600018N</v>
          </cell>
          <cell r="B553" t="str">
            <v>MKP000631002190</v>
          </cell>
          <cell r="C553" t="str">
            <v/>
          </cell>
          <cell r="D553" t="str">
            <v>Armário de Cozinha Completa 260cm Preto Reims Madesa XA01</v>
          </cell>
          <cell r="E553" t="str">
            <v>REIMS</v>
          </cell>
          <cell r="F553" t="str">
            <v>COZINHA</v>
          </cell>
          <cell r="G553" t="str">
            <v/>
          </cell>
          <cell r="H553">
            <v>1399.99</v>
          </cell>
          <cell r="I553">
            <v>1249.92</v>
          </cell>
          <cell r="J553">
            <v>1068.8104000000001</v>
          </cell>
          <cell r="K553">
            <v>0</v>
          </cell>
          <cell r="L553">
            <v>1068.8104000000001</v>
          </cell>
          <cell r="M553">
            <v>0</v>
          </cell>
          <cell r="N553">
            <v>1249.92</v>
          </cell>
          <cell r="O553" t="str">
            <v/>
          </cell>
          <cell r="P553">
            <v>0</v>
          </cell>
          <cell r="Q553">
            <v>0.169449698468503</v>
          </cell>
          <cell r="R553">
            <v>0.169449698468503</v>
          </cell>
          <cell r="S553" t="e">
            <v>#VALUE!</v>
          </cell>
          <cell r="T553" t="e">
            <v>#VALUE!</v>
          </cell>
        </row>
        <row r="554">
          <cell r="A554" t="str">
            <v>MDJA0400345ZPER</v>
          </cell>
          <cell r="B554" t="str">
            <v>MKP000631000432</v>
          </cell>
          <cell r="C554" t="str">
            <v/>
          </cell>
          <cell r="D554" t="str">
            <v>Conjunto Sala de Jantar Madesa Dallas Mesa Tampo de Vidro com 4 Cadeiras Rustic/Crema/Sintético Bege</v>
          </cell>
          <cell r="E554" t="str">
            <v>DALLAS</v>
          </cell>
          <cell r="F554" t="str">
            <v>SALA DE JANTAR</v>
          </cell>
          <cell r="G554" t="str">
            <v>4280X</v>
          </cell>
          <cell r="H554">
            <v>799.99</v>
          </cell>
          <cell r="I554">
            <v>679.92</v>
          </cell>
          <cell r="J554">
            <v>519.41769999999997</v>
          </cell>
          <cell r="K554">
            <v>0</v>
          </cell>
          <cell r="L554">
            <v>519.41769999999997</v>
          </cell>
          <cell r="M554">
            <v>0</v>
          </cell>
          <cell r="N554">
            <v>679.92</v>
          </cell>
          <cell r="O554" t="str">
            <v/>
          </cell>
          <cell r="P554">
            <v>0</v>
          </cell>
          <cell r="Q554">
            <v>0.30900429461683698</v>
          </cell>
          <cell r="R554">
            <v>0.30900429461683698</v>
          </cell>
          <cell r="S554" t="e">
            <v>#VALUE!</v>
          </cell>
          <cell r="T554" t="e">
            <v>#VALUE!</v>
          </cell>
        </row>
        <row r="555">
          <cell r="A555" t="str">
            <v>XB70038N1</v>
          </cell>
          <cell r="B555" t="str">
            <v>MKP000631001519</v>
          </cell>
          <cell r="C555" t="str">
            <v/>
          </cell>
          <cell r="D555" t="str">
            <v>Rack com Painel Sobreposto para TV até 65 Polegadas Madesa Everest Preto</v>
          </cell>
          <cell r="E555" t="str">
            <v>EVEREST</v>
          </cell>
          <cell r="F555" t="str">
            <v>SALA DE ESTAR</v>
          </cell>
          <cell r="G555" t="str">
            <v/>
          </cell>
          <cell r="H555">
            <v>569.99</v>
          </cell>
          <cell r="I555">
            <v>469.99</v>
          </cell>
          <cell r="J555">
            <v>356.46269999999998</v>
          </cell>
          <cell r="K555">
            <v>0</v>
          </cell>
          <cell r="L555">
            <v>356.46269999999998</v>
          </cell>
          <cell r="M555">
            <v>0</v>
          </cell>
          <cell r="N555">
            <v>469.99</v>
          </cell>
          <cell r="O555" t="str">
            <v/>
          </cell>
          <cell r="P555">
            <v>0</v>
          </cell>
          <cell r="Q555">
            <v>0.31848297171064499</v>
          </cell>
          <cell r="R555">
            <v>0.31848297171064499</v>
          </cell>
          <cell r="S555" t="e">
            <v>#VALUE!</v>
          </cell>
          <cell r="T555" t="e">
            <v>#VALUE!</v>
          </cell>
        </row>
        <row r="556">
          <cell r="A556" t="str">
            <v>10638N1E</v>
          </cell>
          <cell r="B556" t="str">
            <v>MKP000631003023</v>
          </cell>
          <cell r="C556" t="str">
            <v/>
          </cell>
          <cell r="D556" t="str">
            <v>Guarda-Roupa Casal 100% MDF Madesa Royale 3 Portas de Correr com Espelho Preto</v>
          </cell>
          <cell r="E556" t="str">
            <v>ROYALE</v>
          </cell>
          <cell r="F556" t="str">
            <v>QUARTO</v>
          </cell>
          <cell r="G556" t="str">
            <v/>
          </cell>
          <cell r="H556">
            <v>3119.99</v>
          </cell>
          <cell r="I556">
            <v>2169.9899999999998</v>
          </cell>
          <cell r="J556">
            <v>1792.614</v>
          </cell>
          <cell r="K556">
            <v>0</v>
          </cell>
          <cell r="L556">
            <v>1792.614</v>
          </cell>
          <cell r="M556">
            <v>0</v>
          </cell>
          <cell r="N556">
            <v>2169.9899999999998</v>
          </cell>
          <cell r="O556" t="str">
            <v>VIA</v>
          </cell>
          <cell r="P556">
            <v>1999.99</v>
          </cell>
          <cell r="Q556">
            <v>0.21051715539430099</v>
          </cell>
          <cell r="R556">
            <v>0.21051715539430099</v>
          </cell>
          <cell r="S556" t="e">
            <v>#VALUE!</v>
          </cell>
          <cell r="T556" t="e">
            <v>#VALUE!</v>
          </cell>
        </row>
        <row r="557">
          <cell r="A557" t="str">
            <v>GRRM2600078N</v>
          </cell>
          <cell r="B557" t="str">
            <v>MKP000631004207</v>
          </cell>
          <cell r="C557" t="str">
            <v/>
          </cell>
          <cell r="D557" t="str">
            <v>Armário de Cozinha Completa 260cm Preto Reims Madesa 07</v>
          </cell>
          <cell r="E557" t="str">
            <v>REIMS</v>
          </cell>
          <cell r="F557" t="str">
            <v>COZINHA</v>
          </cell>
          <cell r="G557" t="str">
            <v/>
          </cell>
          <cell r="H557">
            <v>1499.9</v>
          </cell>
          <cell r="I557">
            <v>1299.99</v>
          </cell>
          <cell r="J557">
            <v>1043.0427999999999</v>
          </cell>
          <cell r="K557">
            <v>0</v>
          </cell>
          <cell r="L557">
            <v>1043.0427999999999</v>
          </cell>
          <cell r="M557">
            <v>0</v>
          </cell>
          <cell r="N557">
            <v>1299.99</v>
          </cell>
          <cell r="O557" t="str">
            <v>LOJAS MM</v>
          </cell>
          <cell r="P557">
            <v>1154.99</v>
          </cell>
          <cell r="Q557">
            <v>0.246343870069378</v>
          </cell>
          <cell r="R557">
            <v>0.246343870069378</v>
          </cell>
          <cell r="S557" t="e">
            <v>#VALUE!</v>
          </cell>
          <cell r="T557" t="e">
            <v>#VALUE!</v>
          </cell>
        </row>
        <row r="558">
          <cell r="A558" t="str">
            <v>6907091</v>
          </cell>
          <cell r="B558" t="str">
            <v>MKP000631002609</v>
          </cell>
          <cell r="C558" t="str">
            <v/>
          </cell>
          <cell r="D558" t="str">
            <v>Estante Livreiro Madesa 6907 com 3 Nichos Branco</v>
          </cell>
          <cell r="E558">
            <v>6907</v>
          </cell>
          <cell r="F558" t="str">
            <v>ESCRITÓRIO</v>
          </cell>
          <cell r="G558" t="str">
            <v/>
          </cell>
          <cell r="H558">
            <v>409.99</v>
          </cell>
          <cell r="I558">
            <v>239.92</v>
          </cell>
          <cell r="J558">
            <v>154.5402</v>
          </cell>
          <cell r="K558">
            <v>0</v>
          </cell>
          <cell r="L558">
            <v>154.5402</v>
          </cell>
          <cell r="M558">
            <v>0</v>
          </cell>
          <cell r="N558">
            <v>239.92</v>
          </cell>
          <cell r="O558" t="str">
            <v/>
          </cell>
          <cell r="P558">
            <v>0</v>
          </cell>
          <cell r="Q558">
            <v>0.55247631360642702</v>
          </cell>
          <cell r="R558">
            <v>0.55247631360642702</v>
          </cell>
          <cell r="S558" t="e">
            <v>#VALUE!</v>
          </cell>
          <cell r="T558" t="e">
            <v>#VALUE!</v>
          </cell>
        </row>
        <row r="559">
          <cell r="A559" t="str">
            <v>G2560109</v>
          </cell>
          <cell r="B559" t="str">
            <v>MKP000631000919</v>
          </cell>
          <cell r="C559" t="str">
            <v/>
          </cell>
          <cell r="D559" t="str">
            <v>Armário Aéreo Madesa Acordes 100% MDF 60 cm 1 Porta Branco Brilho</v>
          </cell>
          <cell r="E559" t="str">
            <v>ACORDES</v>
          </cell>
          <cell r="F559" t="str">
            <v>MODULAÇÃO</v>
          </cell>
          <cell r="G559" t="str">
            <v/>
          </cell>
          <cell r="H559">
            <v>489.99</v>
          </cell>
          <cell r="I559">
            <v>329.99</v>
          </cell>
          <cell r="J559">
            <v>197.399</v>
          </cell>
          <cell r="K559">
            <v>0</v>
          </cell>
          <cell r="L559">
            <v>197.399</v>
          </cell>
          <cell r="M559">
            <v>0</v>
          </cell>
          <cell r="N559">
            <v>329.99</v>
          </cell>
          <cell r="O559" t="str">
            <v/>
          </cell>
          <cell r="P559">
            <v>0</v>
          </cell>
          <cell r="Q559">
            <v>0.67169033277777501</v>
          </cell>
          <cell r="R559">
            <v>0.67169033277777501</v>
          </cell>
          <cell r="S559" t="e">
            <v>#VALUE!</v>
          </cell>
          <cell r="T559" t="e">
            <v>#VALUE!</v>
          </cell>
        </row>
        <row r="560">
          <cell r="A560" t="str">
            <v>70038N1</v>
          </cell>
          <cell r="B560" t="str">
            <v>MKP000631001183</v>
          </cell>
          <cell r="C560" t="str">
            <v/>
          </cell>
          <cell r="D560" t="str">
            <v>Rack com Painel para TV até 65 Polegadas Madesa Miami 1 Porta Preto</v>
          </cell>
          <cell r="E560" t="str">
            <v>MIAMI</v>
          </cell>
          <cell r="F560" t="str">
            <v>SALA DE ESTAR</v>
          </cell>
          <cell r="G560" t="str">
            <v/>
          </cell>
          <cell r="H560">
            <v>959.99</v>
          </cell>
          <cell r="I560">
            <v>479.92</v>
          </cell>
          <cell r="J560">
            <v>356.46269999999998</v>
          </cell>
          <cell r="K560">
            <v>0</v>
          </cell>
          <cell r="L560">
            <v>356.46269999999998</v>
          </cell>
          <cell r="M560">
            <v>0</v>
          </cell>
          <cell r="N560">
            <v>479.92</v>
          </cell>
          <cell r="O560" t="str">
            <v/>
          </cell>
          <cell r="P560">
            <v>0</v>
          </cell>
          <cell r="Q560">
            <v>0.34634002379491602</v>
          </cell>
          <cell r="R560">
            <v>0.34634002379491602</v>
          </cell>
          <cell r="S560" t="e">
            <v>#VALUE!</v>
          </cell>
          <cell r="T560" t="e">
            <v>#VALUE!</v>
          </cell>
        </row>
        <row r="561">
          <cell r="A561" t="str">
            <v>10945ZCP</v>
          </cell>
          <cell r="B561" t="str">
            <v>MKP000631000973</v>
          </cell>
          <cell r="C561" t="str">
            <v/>
          </cell>
          <cell r="D561" t="str">
            <v>Guarda-Roupa Solteiro Madesa Denver 2 Portas de Correr com Pés Rustic</v>
          </cell>
          <cell r="E561" t="str">
            <v>DENVER</v>
          </cell>
          <cell r="F561" t="str">
            <v>QUARTO</v>
          </cell>
          <cell r="G561" t="str">
            <v/>
          </cell>
          <cell r="H561">
            <v>1269.99</v>
          </cell>
          <cell r="I561">
            <v>669.99</v>
          </cell>
          <cell r="J561">
            <v>511.70049999999998</v>
          </cell>
          <cell r="K561">
            <v>0</v>
          </cell>
          <cell r="L561">
            <v>511.70049999999998</v>
          </cell>
          <cell r="M561">
            <v>0</v>
          </cell>
          <cell r="N561">
            <v>669.99</v>
          </cell>
          <cell r="O561" t="str">
            <v>COLOMBO</v>
          </cell>
          <cell r="P561">
            <v>649.99</v>
          </cell>
          <cell r="Q561">
            <v>0.30934013158087598</v>
          </cell>
          <cell r="R561">
            <v>0.30934013158087598</v>
          </cell>
          <cell r="S561" t="e">
            <v>#VALUE!</v>
          </cell>
          <cell r="T561" t="e">
            <v>#VALUE!</v>
          </cell>
        </row>
        <row r="562">
          <cell r="A562" t="str">
            <v>10287K4E</v>
          </cell>
          <cell r="B562" t="str">
            <v>MKP000631003476</v>
          </cell>
          <cell r="C562" t="str">
            <v/>
          </cell>
          <cell r="D562" t="str">
            <v>Guarda-Roupa Casal Madesa Austin 4 Portas de Correr de Espelho 3 Gavetas Rustic/Preto</v>
          </cell>
          <cell r="E562" t="str">
            <v>AUSTIN</v>
          </cell>
          <cell r="F562" t="str">
            <v>QUARTO</v>
          </cell>
          <cell r="G562" t="str">
            <v/>
          </cell>
          <cell r="H562">
            <v>2819.99</v>
          </cell>
          <cell r="I562">
            <v>2019.99</v>
          </cell>
          <cell r="J562">
            <v>1632.2095999999999</v>
          </cell>
          <cell r="K562">
            <v>0</v>
          </cell>
          <cell r="L562">
            <v>1632.2095999999999</v>
          </cell>
          <cell r="M562">
            <v>0</v>
          </cell>
          <cell r="N562">
            <v>2019.99</v>
          </cell>
          <cell r="O562" t="str">
            <v>MAGALU</v>
          </cell>
          <cell r="P562">
            <v>1999.99</v>
          </cell>
          <cell r="Q562">
            <v>0.23758002648679399</v>
          </cell>
          <cell r="R562">
            <v>0.23758002648679399</v>
          </cell>
          <cell r="S562" t="e">
            <v>#VALUE!</v>
          </cell>
          <cell r="T562" t="e">
            <v>#VALUE!</v>
          </cell>
        </row>
        <row r="563">
          <cell r="A563" t="str">
            <v>XA1094092E</v>
          </cell>
          <cell r="B563" t="str">
            <v>MKP000631001627</v>
          </cell>
          <cell r="C563" t="str">
            <v/>
          </cell>
          <cell r="D563" t="str">
            <v>Guarda-Roupa Infantil Madesa Enzo 2 Portas de Correr de Espelho Branco</v>
          </cell>
          <cell r="E563" t="str">
            <v>ENZO</v>
          </cell>
          <cell r="F563" t="str">
            <v>QUARTO</v>
          </cell>
          <cell r="G563" t="str">
            <v/>
          </cell>
          <cell r="H563">
            <v>1019.99</v>
          </cell>
          <cell r="I563">
            <v>889.92</v>
          </cell>
          <cell r="J563">
            <v>734.96519999999998</v>
          </cell>
          <cell r="K563">
            <v>0</v>
          </cell>
          <cell r="L563">
            <v>734.96519999999998</v>
          </cell>
          <cell r="M563">
            <v>0</v>
          </cell>
          <cell r="N563">
            <v>889.92</v>
          </cell>
          <cell r="O563" t="str">
            <v/>
          </cell>
          <cell r="P563">
            <v>0</v>
          </cell>
          <cell r="Q563">
            <v>0.210832839432398</v>
          </cell>
          <cell r="R563">
            <v>0.210832839432398</v>
          </cell>
          <cell r="S563" t="e">
            <v>#VALUE!</v>
          </cell>
          <cell r="T563" t="e">
            <v>#VALUE!</v>
          </cell>
        </row>
        <row r="564">
          <cell r="A564" t="str">
            <v>GCEM4170027K</v>
          </cell>
          <cell r="B564" t="str">
            <v>MKP000631005132</v>
          </cell>
          <cell r="C564" t="str">
            <v/>
          </cell>
          <cell r="D564" t="str">
            <v>Armário de Cozinha Completa de Canto 417cm Rustic/Preto Emilly Madesa 02</v>
          </cell>
          <cell r="E564" t="str">
            <v>EMILLY</v>
          </cell>
          <cell r="F564" t="str">
            <v>COZINHA</v>
          </cell>
          <cell r="G564" t="str">
            <v/>
          </cell>
          <cell r="H564">
            <v>1499.99</v>
          </cell>
          <cell r="I564">
            <v>1499.99</v>
          </cell>
          <cell r="J564">
            <v>1217.7262000000001</v>
          </cell>
          <cell r="K564">
            <v>0</v>
          </cell>
          <cell r="L564">
            <v>1217.7262000000001</v>
          </cell>
          <cell r="M564">
            <v>0</v>
          </cell>
          <cell r="N564">
            <v>1499.99</v>
          </cell>
          <cell r="O564" t="str">
            <v/>
          </cell>
          <cell r="P564">
            <v>0</v>
          </cell>
          <cell r="Q564">
            <v>0.23179578463533099</v>
          </cell>
          <cell r="R564">
            <v>0.23179578463533099</v>
          </cell>
          <cell r="S564" t="e">
            <v>#VALUE!</v>
          </cell>
          <cell r="T564" t="e">
            <v>#VALUE!</v>
          </cell>
        </row>
        <row r="565">
          <cell r="A565" t="str">
            <v>XAGRGM2500019B</v>
          </cell>
          <cell r="B565" t="str">
            <v>MKP000631003740</v>
          </cell>
          <cell r="C565" t="str">
            <v/>
          </cell>
          <cell r="D565" t="str">
            <v>Armário de Cozinha Completa 100% MDF 250cm Branco/Rustic Acordes Madesa XA01</v>
          </cell>
          <cell r="E565" t="str">
            <v>ACORDES</v>
          </cell>
          <cell r="F565" t="str">
            <v>COZINHA</v>
          </cell>
          <cell r="G565" t="str">
            <v/>
          </cell>
          <cell r="H565">
            <v>2199.9899999999998</v>
          </cell>
          <cell r="I565">
            <v>2099.9899999999998</v>
          </cell>
          <cell r="J565">
            <v>1729.7537</v>
          </cell>
          <cell r="K565">
            <v>0</v>
          </cell>
          <cell r="L565">
            <v>1729.7537</v>
          </cell>
          <cell r="M565">
            <v>0</v>
          </cell>
          <cell r="N565">
            <v>2099.9899999999998</v>
          </cell>
          <cell r="O565" t="str">
            <v/>
          </cell>
          <cell r="P565">
            <v>0</v>
          </cell>
          <cell r="Q565">
            <v>0.21403989481277</v>
          </cell>
          <cell r="R565">
            <v>0.21403989481277</v>
          </cell>
          <cell r="S565" t="e">
            <v>#VALUE!</v>
          </cell>
          <cell r="T565" t="e">
            <v>#VALUE!</v>
          </cell>
        </row>
        <row r="566">
          <cell r="A566" t="str">
            <v>2113091</v>
          </cell>
          <cell r="B566" t="str">
            <v>MKP000631000144</v>
          </cell>
          <cell r="C566" t="str">
            <v/>
          </cell>
          <cell r="D566" t="str">
            <v>Painel para TV até 55 Polegadas Madesa Branco</v>
          </cell>
          <cell r="E566">
            <v>2113</v>
          </cell>
          <cell r="F566" t="str">
            <v>SALA DE ESTAR</v>
          </cell>
          <cell r="G566" t="str">
            <v/>
          </cell>
          <cell r="H566">
            <v>279.99</v>
          </cell>
          <cell r="I566">
            <v>179.92</v>
          </cell>
          <cell r="J566">
            <v>104.7817</v>
          </cell>
          <cell r="K566">
            <v>0</v>
          </cell>
          <cell r="L566">
            <v>104.7817</v>
          </cell>
          <cell r="M566">
            <v>0</v>
          </cell>
          <cell r="N566">
            <v>179.92</v>
          </cell>
          <cell r="O566" t="str">
            <v/>
          </cell>
          <cell r="P566">
            <v>0</v>
          </cell>
          <cell r="Q566">
            <v>0.717093729153087</v>
          </cell>
          <cell r="R566">
            <v>0.717093729153087</v>
          </cell>
          <cell r="S566" t="e">
            <v>#VALUE!</v>
          </cell>
          <cell r="T566" t="e">
            <v>#VALUE!</v>
          </cell>
        </row>
        <row r="567">
          <cell r="A567" t="str">
            <v>GRGL12000209</v>
          </cell>
          <cell r="B567" t="str">
            <v>MKP000631003781</v>
          </cell>
          <cell r="C567" t="str">
            <v/>
          </cell>
          <cell r="D567" t="str">
            <v>Armário de Cozinha Compacta 120cm Branco Glamy Madesa 02</v>
          </cell>
          <cell r="E567" t="str">
            <v>GLAMY</v>
          </cell>
          <cell r="F567" t="str">
            <v>COZINHA</v>
          </cell>
          <cell r="G567" t="str">
            <v/>
          </cell>
          <cell r="H567">
            <v>1269.99</v>
          </cell>
          <cell r="I567">
            <v>1129.92</v>
          </cell>
          <cell r="J567">
            <v>849.92750000000001</v>
          </cell>
          <cell r="K567">
            <v>0</v>
          </cell>
          <cell r="L567">
            <v>849.92750000000001</v>
          </cell>
          <cell r="M567">
            <v>0</v>
          </cell>
          <cell r="N567">
            <v>1129.92</v>
          </cell>
          <cell r="O567" t="str">
            <v/>
          </cell>
          <cell r="P567">
            <v>0</v>
          </cell>
          <cell r="Q567">
            <v>0.32943103970632798</v>
          </cell>
          <cell r="R567">
            <v>0.32943103970632798</v>
          </cell>
          <cell r="S567" t="e">
            <v>#VALUE!</v>
          </cell>
          <cell r="T567" t="e">
            <v>#VALUE!</v>
          </cell>
        </row>
        <row r="568">
          <cell r="A568" t="str">
            <v>10938N1E2G</v>
          </cell>
          <cell r="B568" t="str">
            <v>MKP000631001933</v>
          </cell>
          <cell r="C568" t="str">
            <v/>
          </cell>
          <cell r="D568" t="str">
            <v>Guarda-Roupa Casal Madesa Lyon 3 Portas de Correr com Espelho 2 Gavetas Preto</v>
          </cell>
          <cell r="E568" t="str">
            <v>LYON</v>
          </cell>
          <cell r="F568" t="str">
            <v>QUARTO</v>
          </cell>
          <cell r="G568" t="str">
            <v/>
          </cell>
          <cell r="H568">
            <v>1799.99</v>
          </cell>
          <cell r="I568">
            <v>1129.99</v>
          </cell>
          <cell r="J568">
            <v>839.51800000000003</v>
          </cell>
          <cell r="K568">
            <v>0</v>
          </cell>
          <cell r="L568">
            <v>839.51800000000003</v>
          </cell>
          <cell r="M568">
            <v>0</v>
          </cell>
          <cell r="N568">
            <v>1129.99</v>
          </cell>
          <cell r="O568" t="str">
            <v>IMPÉRIO</v>
          </cell>
          <cell r="P568">
            <v>1099</v>
          </cell>
          <cell r="Q568">
            <v>0.34599853725590102</v>
          </cell>
          <cell r="R568">
            <v>0.34599853725590102</v>
          </cell>
          <cell r="S568" t="e">
            <v>#VALUE!</v>
          </cell>
          <cell r="T568" t="e">
            <v>#VALUE!</v>
          </cell>
        </row>
        <row r="569">
          <cell r="A569" t="str">
            <v>GRGL20000309</v>
          </cell>
          <cell r="B569" t="str">
            <v>MKP000631003784</v>
          </cell>
          <cell r="C569" t="str">
            <v/>
          </cell>
          <cell r="D569" t="str">
            <v>Armário de Cozinha Compacta 200cm Branco Glamy Madesa 03</v>
          </cell>
          <cell r="E569" t="str">
            <v>GLAMY</v>
          </cell>
          <cell r="F569" t="str">
            <v>COZINHA</v>
          </cell>
          <cell r="G569" t="str">
            <v/>
          </cell>
          <cell r="H569">
            <v>1749.99</v>
          </cell>
          <cell r="I569">
            <v>1649.99</v>
          </cell>
          <cell r="J569">
            <v>1357.5078000000001</v>
          </cell>
          <cell r="K569">
            <v>0</v>
          </cell>
          <cell r="L569">
            <v>1357.5078000000001</v>
          </cell>
          <cell r="M569">
            <v>0</v>
          </cell>
          <cell r="N569">
            <v>1649.99</v>
          </cell>
          <cell r="O569" t="str">
            <v/>
          </cell>
          <cell r="P569">
            <v>0</v>
          </cell>
          <cell r="Q569">
            <v>0.21545526294581899</v>
          </cell>
          <cell r="R569">
            <v>0.21545526294581899</v>
          </cell>
          <cell r="S569" t="e">
            <v>#VALUE!</v>
          </cell>
          <cell r="T569" t="e">
            <v>#VALUE!</v>
          </cell>
        </row>
        <row r="570">
          <cell r="A570" t="str">
            <v>G241247KEM</v>
          </cell>
          <cell r="B570" t="str">
            <v>MKP000631001835</v>
          </cell>
          <cell r="C570" t="str">
            <v/>
          </cell>
          <cell r="D570" t="str">
            <v>Balcão Gabinete Madesa Emilly 3 Portas e 1 Gaveta Rustic/Preto</v>
          </cell>
          <cell r="E570" t="str">
            <v>EMILLY</v>
          </cell>
          <cell r="F570" t="str">
            <v>MODULAÇÃO</v>
          </cell>
          <cell r="G570" t="str">
            <v/>
          </cell>
          <cell r="H570">
            <v>569.99</v>
          </cell>
          <cell r="I570">
            <v>319.92</v>
          </cell>
          <cell r="J570">
            <v>271.92230000000001</v>
          </cell>
          <cell r="K570">
            <v>0</v>
          </cell>
          <cell r="L570">
            <v>271.92230000000001</v>
          </cell>
          <cell r="M570">
            <v>0</v>
          </cell>
          <cell r="N570">
            <v>319.92</v>
          </cell>
          <cell r="O570" t="str">
            <v/>
          </cell>
          <cell r="P570">
            <v>0</v>
          </cell>
          <cell r="Q570">
            <v>0.17651255524096399</v>
          </cell>
          <cell r="R570">
            <v>0.17651255524096399</v>
          </cell>
          <cell r="S570" t="e">
            <v>#VALUE!</v>
          </cell>
          <cell r="T570" t="e">
            <v>#VALUE!</v>
          </cell>
        </row>
        <row r="571">
          <cell r="A571" t="str">
            <v>G2708009TE</v>
          </cell>
          <cell r="B571" t="str">
            <v>MKP000631003353</v>
          </cell>
          <cell r="C571" t="str">
            <v/>
          </cell>
          <cell r="D571" t="str">
            <v>Porta-Geladeira Madesa Stella 1 Porta Basculante Branco</v>
          </cell>
          <cell r="E571" t="str">
            <v>STELLA</v>
          </cell>
          <cell r="F571" t="str">
            <v>MODULAÇÃO</v>
          </cell>
          <cell r="G571" t="str">
            <v/>
          </cell>
          <cell r="H571">
            <v>949.99</v>
          </cell>
          <cell r="I571">
            <v>619.99</v>
          </cell>
          <cell r="J571">
            <v>356.32100000000003</v>
          </cell>
          <cell r="K571">
            <v>0</v>
          </cell>
          <cell r="L571">
            <v>356.32100000000003</v>
          </cell>
          <cell r="M571">
            <v>0</v>
          </cell>
          <cell r="N571">
            <v>619.99</v>
          </cell>
          <cell r="O571" t="str">
            <v/>
          </cell>
          <cell r="P571">
            <v>0</v>
          </cell>
          <cell r="Q571">
            <v>0.73997603284678704</v>
          </cell>
          <cell r="R571">
            <v>0.73997603284678704</v>
          </cell>
          <cell r="S571" t="e">
            <v>#VALUE!</v>
          </cell>
          <cell r="T571" t="e">
            <v>#VALUE!</v>
          </cell>
        </row>
        <row r="572">
          <cell r="A572" t="str">
            <v>044795ZXTFLH</v>
          </cell>
          <cell r="B572" t="str">
            <v>MKP000631000692</v>
          </cell>
          <cell r="C572" t="str">
            <v/>
          </cell>
          <cell r="D572" t="str">
            <v>Conjunto Sala de Jantar Madesa Clarice Mesa Tampo de Madeira com 8 Cadeiras Rustic/Floral Hibiscos</v>
          </cell>
          <cell r="E572" t="str">
            <v>CLARICE</v>
          </cell>
          <cell r="F572" t="str">
            <v>SALA DE JANTAR</v>
          </cell>
          <cell r="G572" t="str">
            <v>4290X</v>
          </cell>
          <cell r="H572">
            <v>1199.99</v>
          </cell>
          <cell r="I572">
            <v>1099.99</v>
          </cell>
          <cell r="J572">
            <v>868.45749999999998</v>
          </cell>
          <cell r="K572">
            <v>0</v>
          </cell>
          <cell r="L572">
            <v>868.45749999999998</v>
          </cell>
          <cell r="M572">
            <v>0</v>
          </cell>
          <cell r="N572">
            <v>1099.99</v>
          </cell>
          <cell r="O572" t="str">
            <v/>
          </cell>
          <cell r="P572">
            <v>0</v>
          </cell>
          <cell r="Q572">
            <v>0.26660199261334</v>
          </cell>
          <cell r="R572">
            <v>0.26660199261334</v>
          </cell>
          <cell r="S572" t="e">
            <v>#VALUE!</v>
          </cell>
          <cell r="T572" t="e">
            <v>#VALUE!</v>
          </cell>
        </row>
        <row r="573">
          <cell r="A573" t="str">
            <v>044695ZXPE</v>
          </cell>
          <cell r="B573" t="str">
            <v>MKP000631000052</v>
          </cell>
          <cell r="C573" t="str">
            <v/>
          </cell>
          <cell r="D573" t="str">
            <v>Conjunto Sala de Jantar Honduras Madesa Mesa Tampo de Madeira com 6 Cadeiras Rustic/Crema/Sintético Bege</v>
          </cell>
          <cell r="E573" t="str">
            <v>HONDURAS</v>
          </cell>
          <cell r="F573" t="str">
            <v>SALA DE JANTAR</v>
          </cell>
          <cell r="G573" t="str">
            <v>4280X</v>
          </cell>
          <cell r="H573">
            <v>829.99</v>
          </cell>
          <cell r="I573">
            <v>729.99</v>
          </cell>
          <cell r="J573">
            <v>582.85569999999996</v>
          </cell>
          <cell r="K573">
            <v>0</v>
          </cell>
          <cell r="L573">
            <v>582.85569999999996</v>
          </cell>
          <cell r="M573">
            <v>0</v>
          </cell>
          <cell r="N573">
            <v>729.99</v>
          </cell>
          <cell r="O573" t="str">
            <v/>
          </cell>
          <cell r="P573">
            <v>0</v>
          </cell>
          <cell r="Q573">
            <v>0.25243692392473799</v>
          </cell>
          <cell r="R573">
            <v>0.25243692392473799</v>
          </cell>
          <cell r="S573" t="e">
            <v>#VALUE!</v>
          </cell>
          <cell r="T573" t="e">
            <v>#VALUE!</v>
          </cell>
        </row>
        <row r="574">
          <cell r="A574" t="str">
            <v>G271158NPR</v>
          </cell>
          <cell r="B574" t="str">
            <v>MKP000631003184</v>
          </cell>
          <cell r="C574" t="str">
            <v/>
          </cell>
          <cell r="D574" t="str">
            <v>Bancada para Cozinha Madesa 115 cm Preto</v>
          </cell>
          <cell r="E574" t="str">
            <v>PR</v>
          </cell>
          <cell r="F574" t="str">
            <v>MODULAÇÃO</v>
          </cell>
          <cell r="G574" t="str">
            <v/>
          </cell>
          <cell r="H574">
            <v>619.99</v>
          </cell>
          <cell r="I574">
            <v>289.99</v>
          </cell>
          <cell r="J574">
            <v>178.71639999999999</v>
          </cell>
          <cell r="K574">
            <v>0</v>
          </cell>
          <cell r="L574">
            <v>178.71639999999999</v>
          </cell>
          <cell r="M574">
            <v>0</v>
          </cell>
          <cell r="N574">
            <v>289.99</v>
          </cell>
          <cell r="O574" t="str">
            <v/>
          </cell>
          <cell r="P574">
            <v>0</v>
          </cell>
          <cell r="Q574">
            <v>0.62262668675062804</v>
          </cell>
          <cell r="R574">
            <v>0.62262668675062804</v>
          </cell>
          <cell r="S574" t="e">
            <v>#VALUE!</v>
          </cell>
          <cell r="T574" t="e">
            <v>#VALUE!</v>
          </cell>
        </row>
        <row r="575">
          <cell r="A575" t="str">
            <v>GRTP30000209</v>
          </cell>
          <cell r="B575" t="str">
            <v>MKP000631004969</v>
          </cell>
          <cell r="C575" t="str">
            <v/>
          </cell>
          <cell r="D575" t="str">
            <v>Armário de Cozinha Completa 300cm Branco Diamante Madesa 02</v>
          </cell>
          <cell r="E575" t="str">
            <v>DIAMANTE</v>
          </cell>
          <cell r="F575" t="str">
            <v>COZINHA</v>
          </cell>
          <cell r="G575" t="str">
            <v/>
          </cell>
          <cell r="H575">
            <v>1599.99</v>
          </cell>
          <cell r="I575">
            <v>1589.99</v>
          </cell>
          <cell r="J575">
            <v>1224.0155</v>
          </cell>
          <cell r="K575">
            <v>0</v>
          </cell>
          <cell r="L575">
            <v>1224.0155</v>
          </cell>
          <cell r="M575">
            <v>0</v>
          </cell>
          <cell r="N575">
            <v>1589.99</v>
          </cell>
          <cell r="O575" t="str">
            <v>IMPÉRIO</v>
          </cell>
          <cell r="P575">
            <v>1599</v>
          </cell>
          <cell r="Q575">
            <v>0.298994988217061</v>
          </cell>
          <cell r="R575">
            <v>0.298994988217061</v>
          </cell>
          <cell r="S575" t="e">
            <v>#VALUE!</v>
          </cell>
          <cell r="T575" t="e">
            <v>#VALUE!</v>
          </cell>
        </row>
        <row r="576">
          <cell r="A576" t="str">
            <v>MDJA0600787GSIM</v>
          </cell>
          <cell r="B576" t="str">
            <v>MKP000631000823</v>
          </cell>
          <cell r="C576" t="str">
            <v/>
          </cell>
          <cell r="D576" t="str">
            <v>Conjunto Sala de Jantar Madesa Rafaela Mesa Tampo de Vidro com 6 Cadeiras Rustic/Crema/Imperial</v>
          </cell>
          <cell r="E576" t="str">
            <v>RAFAELA</v>
          </cell>
          <cell r="F576" t="str">
            <v>SALA DE JANTAR</v>
          </cell>
          <cell r="G576">
            <v>4254</v>
          </cell>
          <cell r="H576">
            <v>3339.99</v>
          </cell>
          <cell r="I576">
            <v>1999.99</v>
          </cell>
          <cell r="J576">
            <v>1538.2625</v>
          </cell>
          <cell r="K576">
            <v>0</v>
          </cell>
          <cell r="L576">
            <v>1538.2625</v>
          </cell>
          <cell r="M576">
            <v>0</v>
          </cell>
          <cell r="N576">
            <v>1999.99</v>
          </cell>
          <cell r="O576" t="str">
            <v>COLOMBO</v>
          </cell>
          <cell r="P576">
            <v>1879.99</v>
          </cell>
          <cell r="Q576">
            <v>0.30016170842102702</v>
          </cell>
          <cell r="R576">
            <v>0.30016170842102702</v>
          </cell>
          <cell r="S576" t="e">
            <v>#VALUE!</v>
          </cell>
          <cell r="T576" t="e">
            <v>#VALUE!</v>
          </cell>
        </row>
        <row r="577">
          <cell r="A577" t="str">
            <v>MDMU01000409</v>
          </cell>
          <cell r="B577" t="str">
            <v>MKP000631005973</v>
          </cell>
          <cell r="C577" t="str">
            <v/>
          </cell>
          <cell r="D577" t="str">
            <v>Armário Gabinete para Banheiro 120cm 2 Portas 3 Gavetas Branco Madesa</v>
          </cell>
          <cell r="E577" t="str">
            <v>GLAMY</v>
          </cell>
          <cell r="F577" t="str">
            <v>COZINHA</v>
          </cell>
          <cell r="G577" t="str">
            <v/>
          </cell>
          <cell r="H577">
            <v>899.99</v>
          </cell>
          <cell r="I577">
            <v>719.99</v>
          </cell>
          <cell r="J577">
            <v>557.96010000000001</v>
          </cell>
          <cell r="K577">
            <v>0</v>
          </cell>
          <cell r="L577">
            <v>557.96010000000001</v>
          </cell>
          <cell r="M577">
            <v>0</v>
          </cell>
          <cell r="N577">
            <v>719.99</v>
          </cell>
          <cell r="O577" t="str">
            <v>MADEIRAMADEIRA</v>
          </cell>
          <cell r="P577">
            <v>699.99</v>
          </cell>
          <cell r="Q577">
            <v>0.29039692981630799</v>
          </cell>
          <cell r="R577">
            <v>0.29039692981630799</v>
          </cell>
          <cell r="S577" t="e">
            <v>#VALUE!</v>
          </cell>
          <cell r="T577" t="e">
            <v>#VALUE!</v>
          </cell>
        </row>
        <row r="578">
          <cell r="A578" t="str">
            <v>GRGL2200027K</v>
          </cell>
          <cell r="B578" t="str">
            <v>MKP000631002958</v>
          </cell>
          <cell r="C578" t="str">
            <v/>
          </cell>
          <cell r="D578" t="str">
            <v>Armário de Cozinha Completa 220cm Rustic/Preto Parma Madesa 02</v>
          </cell>
          <cell r="E578" t="str">
            <v>PARMA/GLAMY</v>
          </cell>
          <cell r="F578" t="str">
            <v>COZINHA</v>
          </cell>
          <cell r="G578" t="str">
            <v/>
          </cell>
          <cell r="H578">
            <v>1969.99</v>
          </cell>
          <cell r="I578">
            <v>1869.99</v>
          </cell>
          <cell r="J578">
            <v>1558.7654</v>
          </cell>
          <cell r="K578">
            <v>0</v>
          </cell>
          <cell r="L578">
            <v>1558.7654</v>
          </cell>
          <cell r="M578">
            <v>0</v>
          </cell>
          <cell r="N578">
            <v>1869.99</v>
          </cell>
          <cell r="O578" t="str">
            <v/>
          </cell>
          <cell r="P578">
            <v>0</v>
          </cell>
          <cell r="Q578">
            <v>0.199660962451438</v>
          </cell>
          <cell r="R578">
            <v>0.199660962451438</v>
          </cell>
          <cell r="S578" t="e">
            <v>#VALUE!</v>
          </cell>
          <cell r="T578" t="e">
            <v>#VALUE!</v>
          </cell>
        </row>
        <row r="579">
          <cell r="A579" t="str">
            <v>70089B</v>
          </cell>
          <cell r="B579" t="str">
            <v>MKP000631001633</v>
          </cell>
          <cell r="C579" t="str">
            <v/>
          </cell>
          <cell r="D579" t="str">
            <v>Rack para TV até 65 Polegadas Madesa Cancun Branco/Rustic</v>
          </cell>
          <cell r="E579" t="str">
            <v>CANCUN</v>
          </cell>
          <cell r="F579" t="str">
            <v>SALA DE ESTAR</v>
          </cell>
          <cell r="G579" t="str">
            <v/>
          </cell>
          <cell r="H579">
            <v>429.99</v>
          </cell>
          <cell r="I579">
            <v>319.92</v>
          </cell>
          <cell r="J579">
            <v>250.32939999999999</v>
          </cell>
          <cell r="K579">
            <v>0</v>
          </cell>
          <cell r="L579">
            <v>250.32939999999999</v>
          </cell>
          <cell r="M579">
            <v>0</v>
          </cell>
          <cell r="N579">
            <v>319.92</v>
          </cell>
          <cell r="O579" t="str">
            <v/>
          </cell>
          <cell r="P579">
            <v>0</v>
          </cell>
          <cell r="Q579">
            <v>0.27799611232240401</v>
          </cell>
          <cell r="R579">
            <v>0.27799611232240401</v>
          </cell>
          <cell r="S579" t="e">
            <v>#VALUE!</v>
          </cell>
          <cell r="T579" t="e">
            <v>#VALUE!</v>
          </cell>
        </row>
        <row r="580">
          <cell r="A580" t="str">
            <v>G2570409RM</v>
          </cell>
          <cell r="B580" t="str">
            <v>MKP000631002092</v>
          </cell>
          <cell r="C580" t="str">
            <v/>
          </cell>
          <cell r="D580" t="str">
            <v>Armário Aéreo Madesa Reims 70 cm 1 Porta Branco</v>
          </cell>
          <cell r="E580" t="str">
            <v>REIMS</v>
          </cell>
          <cell r="F580" t="str">
            <v>MODULAÇÃO</v>
          </cell>
          <cell r="G580" t="str">
            <v/>
          </cell>
          <cell r="H580">
            <v>439.99</v>
          </cell>
          <cell r="I580">
            <v>169.99</v>
          </cell>
          <cell r="J580">
            <v>122.1345</v>
          </cell>
          <cell r="K580">
            <v>0</v>
          </cell>
          <cell r="L580">
            <v>122.1345</v>
          </cell>
          <cell r="M580">
            <v>0</v>
          </cell>
          <cell r="N580">
            <v>169.99</v>
          </cell>
          <cell r="O580" t="str">
            <v/>
          </cell>
          <cell r="P580">
            <v>0</v>
          </cell>
          <cell r="Q580">
            <v>0.391826224367398</v>
          </cell>
          <cell r="R580">
            <v>0.391826224367398</v>
          </cell>
          <cell r="S580" t="e">
            <v>#VALUE!</v>
          </cell>
          <cell r="T580" t="e">
            <v>#VALUE!</v>
          </cell>
        </row>
        <row r="581">
          <cell r="A581" t="str">
            <v>7003091CP</v>
          </cell>
          <cell r="B581" t="str">
            <v>MKP000631001179</v>
          </cell>
          <cell r="C581" t="str">
            <v/>
          </cell>
          <cell r="D581" t="str">
            <v>Rack com Painel para TV até 65 Polegadas Madesa Miami com Pés Branco</v>
          </cell>
          <cell r="E581" t="str">
            <v>MIAMI</v>
          </cell>
          <cell r="F581" t="str">
            <v>SALA DE ESTAR</v>
          </cell>
          <cell r="G581" t="str">
            <v/>
          </cell>
          <cell r="H581">
            <v>1079.99</v>
          </cell>
          <cell r="I581">
            <v>519.91999999999996</v>
          </cell>
          <cell r="J581">
            <v>428.64249999999998</v>
          </cell>
          <cell r="K581">
            <v>0</v>
          </cell>
          <cell r="L581">
            <v>428.64249999999998</v>
          </cell>
          <cell r="M581">
            <v>0</v>
          </cell>
          <cell r="N581">
            <v>519.91999999999996</v>
          </cell>
          <cell r="O581" t="str">
            <v/>
          </cell>
          <cell r="P581">
            <v>0</v>
          </cell>
          <cell r="Q581">
            <v>0.21294551986795501</v>
          </cell>
          <cell r="R581">
            <v>0.21294551986795501</v>
          </cell>
          <cell r="S581" t="e">
            <v>#VALUE!</v>
          </cell>
          <cell r="T581" t="e">
            <v>#VALUE!</v>
          </cell>
        </row>
        <row r="582">
          <cell r="A582" t="str">
            <v>2617094E</v>
          </cell>
          <cell r="B582" t="str">
            <v>MKP000631000519</v>
          </cell>
          <cell r="C582" t="str">
            <v/>
          </cell>
          <cell r="D582" t="str">
            <v>Cabeceira Extensível Madesa com 2 Mesas de Cabeceira com Espelho Branco</v>
          </cell>
          <cell r="E582">
            <v>2617</v>
          </cell>
          <cell r="F582" t="str">
            <v>QUARTO</v>
          </cell>
          <cell r="G582" t="str">
            <v/>
          </cell>
          <cell r="H582">
            <v>1199.99</v>
          </cell>
          <cell r="I582">
            <v>689.99</v>
          </cell>
          <cell r="J582">
            <v>538.65620000000001</v>
          </cell>
          <cell r="K582">
            <v>0</v>
          </cell>
          <cell r="L582">
            <v>538.65620000000001</v>
          </cell>
          <cell r="M582">
            <v>0</v>
          </cell>
          <cell r="N582">
            <v>689.99</v>
          </cell>
          <cell r="O582" t="str">
            <v/>
          </cell>
          <cell r="P582">
            <v>0</v>
          </cell>
          <cell r="Q582">
            <v>0.28094691938939897</v>
          </cell>
          <cell r="R582">
            <v>0.28094691938939897</v>
          </cell>
          <cell r="S582" t="e">
            <v>#VALUE!</v>
          </cell>
          <cell r="T582" t="e">
            <v>#VALUE!</v>
          </cell>
        </row>
        <row r="583">
          <cell r="A583" t="str">
            <v>1095091E</v>
          </cell>
          <cell r="B583" t="str">
            <v>MKP000631001929</v>
          </cell>
          <cell r="C583" t="str">
            <v/>
          </cell>
          <cell r="D583" t="str">
            <v>Guarda-Roupa Casal Madesa Reno 3 Portas de Correr com Espelho Branco</v>
          </cell>
          <cell r="E583" t="str">
            <v>RENO</v>
          </cell>
          <cell r="F583" t="str">
            <v>QUARTO</v>
          </cell>
          <cell r="G583" t="str">
            <v/>
          </cell>
          <cell r="H583">
            <v>2059.9899999999998</v>
          </cell>
          <cell r="I583">
            <v>1349.99</v>
          </cell>
          <cell r="J583">
            <v>986.06849999999997</v>
          </cell>
          <cell r="K583">
            <v>0</v>
          </cell>
          <cell r="L583">
            <v>986.06849999999997</v>
          </cell>
          <cell r="M583">
            <v>0</v>
          </cell>
          <cell r="N583">
            <v>1349.99</v>
          </cell>
          <cell r="O583" t="str">
            <v>MAGALU/AMAZON</v>
          </cell>
          <cell r="P583">
            <v>1263.1500000000001</v>
          </cell>
          <cell r="Q583">
            <v>0.36906310261406799</v>
          </cell>
          <cell r="R583">
            <v>0.36906310261406799</v>
          </cell>
          <cell r="S583" t="e">
            <v>#VALUE!</v>
          </cell>
          <cell r="T583" t="e">
            <v>#VALUE!</v>
          </cell>
        </row>
        <row r="584">
          <cell r="A584" t="str">
            <v>GCEM417002C1</v>
          </cell>
          <cell r="B584" t="str">
            <v>MKP000631005135</v>
          </cell>
          <cell r="C584" t="str">
            <v/>
          </cell>
          <cell r="D584" t="str">
            <v>Armário de Cozinha Completa de Canto 417cm Preto/Rustic Emilly Madesa 02</v>
          </cell>
          <cell r="E584" t="str">
            <v>EMILLY</v>
          </cell>
          <cell r="F584" t="str">
            <v>COZINHA</v>
          </cell>
          <cell r="G584" t="str">
            <v/>
          </cell>
          <cell r="H584">
            <v>1599.99</v>
          </cell>
          <cell r="I584">
            <v>1499.99</v>
          </cell>
          <cell r="J584">
            <v>1217.7262000000001</v>
          </cell>
          <cell r="K584">
            <v>0</v>
          </cell>
          <cell r="L584">
            <v>1217.7262000000001</v>
          </cell>
          <cell r="M584">
            <v>0</v>
          </cell>
          <cell r="N584">
            <v>1499.99</v>
          </cell>
          <cell r="O584" t="str">
            <v/>
          </cell>
          <cell r="P584">
            <v>0</v>
          </cell>
          <cell r="Q584">
            <v>0.23179578463533099</v>
          </cell>
          <cell r="R584">
            <v>0.23179578463533099</v>
          </cell>
          <cell r="S584" t="e">
            <v>#VALUE!</v>
          </cell>
          <cell r="T584" t="e">
            <v>#VALUE!</v>
          </cell>
        </row>
        <row r="585">
          <cell r="A585" t="str">
            <v>GCEM417002F9</v>
          </cell>
          <cell r="B585" t="str">
            <v>MKP000631005136</v>
          </cell>
          <cell r="C585" t="str">
            <v/>
          </cell>
          <cell r="D585" t="str">
            <v>Armário de Cozinha Completa de Canto 417cm Cinza/Rustic Emilly Madesa 02</v>
          </cell>
          <cell r="E585" t="str">
            <v>EMILLY</v>
          </cell>
          <cell r="F585" t="str">
            <v>COZINHA</v>
          </cell>
          <cell r="G585" t="str">
            <v/>
          </cell>
          <cell r="H585">
            <v>1599.99</v>
          </cell>
          <cell r="I585">
            <v>1499.99</v>
          </cell>
          <cell r="J585">
            <v>1217.7262000000001</v>
          </cell>
          <cell r="K585">
            <v>0</v>
          </cell>
          <cell r="L585">
            <v>1217.7262000000001</v>
          </cell>
          <cell r="M585">
            <v>0</v>
          </cell>
          <cell r="N585">
            <v>1499.99</v>
          </cell>
          <cell r="O585" t="str">
            <v/>
          </cell>
          <cell r="P585">
            <v>0</v>
          </cell>
          <cell r="Q585">
            <v>0.23179578463533099</v>
          </cell>
          <cell r="R585">
            <v>0.23179578463533099</v>
          </cell>
          <cell r="S585" t="e">
            <v>#VALUE!</v>
          </cell>
          <cell r="T585" t="e">
            <v>#VALUE!</v>
          </cell>
        </row>
        <row r="586">
          <cell r="A586" t="str">
            <v>044775ZXTPER</v>
          </cell>
          <cell r="B586" t="str">
            <v>MKP000631000047</v>
          </cell>
          <cell r="C586" t="str">
            <v/>
          </cell>
          <cell r="D586" t="str">
            <v>Conjunto Sala de Jantar Madesa Gales Mesa Tampo de Vidro com 6 Cadeiras Rustic/Sintético Bege</v>
          </cell>
          <cell r="E586" t="str">
            <v>GALES</v>
          </cell>
          <cell r="F586" t="str">
            <v>SALA DE JANTAR</v>
          </cell>
          <cell r="G586" t="str">
            <v>4290X</v>
          </cell>
          <cell r="H586">
            <v>2349.9899999999998</v>
          </cell>
          <cell r="I586">
            <v>1169.99</v>
          </cell>
          <cell r="J586">
            <v>933.90110000000004</v>
          </cell>
          <cell r="K586">
            <v>0</v>
          </cell>
          <cell r="L586">
            <v>933.90110000000004</v>
          </cell>
          <cell r="M586">
            <v>0</v>
          </cell>
          <cell r="N586">
            <v>1169.99</v>
          </cell>
          <cell r="O586" t="str">
            <v/>
          </cell>
          <cell r="P586">
            <v>0</v>
          </cell>
          <cell r="Q586">
            <v>0.252798610045539</v>
          </cell>
          <cell r="R586">
            <v>0.252798610045539</v>
          </cell>
          <cell r="S586" t="e">
            <v>#VALUE!</v>
          </cell>
          <cell r="T586" t="e">
            <v>#VALUE!</v>
          </cell>
        </row>
        <row r="587">
          <cell r="A587" t="str">
            <v>GRGL2200025Z</v>
          </cell>
          <cell r="B587" t="str">
            <v>MKP000631001397</v>
          </cell>
          <cell r="C587" t="str">
            <v/>
          </cell>
          <cell r="D587" t="str">
            <v>Armário de Cozinha Completa 220cm Rustic Parma Madesa 02</v>
          </cell>
          <cell r="E587" t="str">
            <v>PARMA/GLAMY</v>
          </cell>
          <cell r="F587" t="str">
            <v>COZINHA</v>
          </cell>
          <cell r="G587" t="str">
            <v/>
          </cell>
          <cell r="H587">
            <v>1969.99</v>
          </cell>
          <cell r="I587">
            <v>1869.99</v>
          </cell>
          <cell r="J587">
            <v>1558.7654</v>
          </cell>
          <cell r="K587">
            <v>0</v>
          </cell>
          <cell r="L587">
            <v>1558.7654</v>
          </cell>
          <cell r="M587">
            <v>0</v>
          </cell>
          <cell r="N587">
            <v>1869.99</v>
          </cell>
          <cell r="O587" t="str">
            <v/>
          </cell>
          <cell r="P587">
            <v>0</v>
          </cell>
          <cell r="Q587">
            <v>0.199660962451438</v>
          </cell>
          <cell r="R587">
            <v>0.199660962451438</v>
          </cell>
          <cell r="S587" t="e">
            <v>#VALUE!</v>
          </cell>
          <cell r="T587" t="e">
            <v>#VALUE!</v>
          </cell>
        </row>
        <row r="588">
          <cell r="A588" t="str">
            <v>60246E09PP</v>
          </cell>
          <cell r="B588" t="str">
            <v>MKP000631001623</v>
          </cell>
          <cell r="C588" t="str">
            <v/>
          </cell>
          <cell r="D588" t="str">
            <v>Rack Madesa Dubai para TV até 65 Polegadas com Pés Rustic/Branco 6E09</v>
          </cell>
          <cell r="E588" t="str">
            <v>DUBAI</v>
          </cell>
          <cell r="F588" t="str">
            <v>SALA DE ESTAR</v>
          </cell>
          <cell r="G588" t="str">
            <v/>
          </cell>
          <cell r="H588">
            <v>429.99</v>
          </cell>
          <cell r="I588">
            <v>319.92</v>
          </cell>
          <cell r="J588">
            <v>243.82210000000001</v>
          </cell>
          <cell r="K588">
            <v>0</v>
          </cell>
          <cell r="L588">
            <v>243.82210000000001</v>
          </cell>
          <cell r="M588">
            <v>0</v>
          </cell>
          <cell r="N588">
            <v>319.92</v>
          </cell>
          <cell r="O588" t="str">
            <v/>
          </cell>
          <cell r="P588">
            <v>0</v>
          </cell>
          <cell r="Q588">
            <v>0.31210419400046202</v>
          </cell>
          <cell r="R588">
            <v>0.31210419400046202</v>
          </cell>
          <cell r="S588" t="e">
            <v>#VALUE!</v>
          </cell>
          <cell r="T588" t="e">
            <v>#VALUE!</v>
          </cell>
        </row>
        <row r="589">
          <cell r="A589" t="str">
            <v>XB7003091</v>
          </cell>
          <cell r="B589" t="str">
            <v>MKP000631001539</v>
          </cell>
          <cell r="C589" t="str">
            <v/>
          </cell>
          <cell r="D589" t="str">
            <v>Rack com Painel Sobreposto para TV até 65 Polegadas Madesa Everest Branco</v>
          </cell>
          <cell r="E589" t="str">
            <v>EVEREST</v>
          </cell>
          <cell r="F589" t="str">
            <v>SALA DE ESTAR</v>
          </cell>
          <cell r="G589" t="str">
            <v/>
          </cell>
          <cell r="H589">
            <v>569.99</v>
          </cell>
          <cell r="I589">
            <v>469.99</v>
          </cell>
          <cell r="J589">
            <v>356.46269999999998</v>
          </cell>
          <cell r="K589">
            <v>0</v>
          </cell>
          <cell r="L589">
            <v>356.46269999999998</v>
          </cell>
          <cell r="M589">
            <v>0</v>
          </cell>
          <cell r="N589">
            <v>469.99</v>
          </cell>
          <cell r="O589" t="str">
            <v/>
          </cell>
          <cell r="P589">
            <v>0</v>
          </cell>
          <cell r="Q589">
            <v>0.31848297171064499</v>
          </cell>
          <cell r="R589">
            <v>0.31848297171064499</v>
          </cell>
          <cell r="S589" t="e">
            <v>#VALUE!</v>
          </cell>
          <cell r="T589" t="e">
            <v>#VALUE!</v>
          </cell>
        </row>
        <row r="590">
          <cell r="A590" t="str">
            <v>10939B1E</v>
          </cell>
          <cell r="B590" t="str">
            <v>MKP000631000806</v>
          </cell>
          <cell r="C590" t="str">
            <v/>
          </cell>
          <cell r="D590" t="str">
            <v>Guarda-Roupa Casal Madesa Mônaco 3 Portas de Correr com Espelho Branco/Rustic</v>
          </cell>
          <cell r="E590" t="str">
            <v>MÔNACO</v>
          </cell>
          <cell r="F590" t="str">
            <v>QUARTO</v>
          </cell>
          <cell r="G590" t="str">
            <v/>
          </cell>
          <cell r="H590">
            <v>1539.99</v>
          </cell>
          <cell r="I590">
            <v>919.99</v>
          </cell>
          <cell r="J590">
            <v>750.78110000000004</v>
          </cell>
          <cell r="K590">
            <v>0</v>
          </cell>
          <cell r="L590">
            <v>750.78110000000004</v>
          </cell>
          <cell r="M590">
            <v>0</v>
          </cell>
          <cell r="N590">
            <v>919.99</v>
          </cell>
          <cell r="O590" t="str">
            <v>COLOMBO</v>
          </cell>
          <cell r="P590">
            <v>849.99</v>
          </cell>
          <cell r="Q590">
            <v>0.225377143883883</v>
          </cell>
          <cell r="R590">
            <v>0.225377143883883</v>
          </cell>
          <cell r="S590" t="e">
            <v>#VALUE!</v>
          </cell>
          <cell r="T590" t="e">
            <v>#VALUE!</v>
          </cell>
        </row>
        <row r="591">
          <cell r="A591" t="str">
            <v>XA10946E</v>
          </cell>
          <cell r="B591" t="str">
            <v>MKP000631001593</v>
          </cell>
          <cell r="C591" t="str">
            <v/>
          </cell>
          <cell r="D591" t="str">
            <v>Guarda-Roupa Infantil Madesa Enzo 2 Portas de Correr Rustic/Branco</v>
          </cell>
          <cell r="E591" t="str">
            <v>ENZO</v>
          </cell>
          <cell r="F591" t="str">
            <v>QUARTO</v>
          </cell>
          <cell r="G591" t="str">
            <v/>
          </cell>
          <cell r="H591">
            <v>739.99</v>
          </cell>
          <cell r="I591">
            <v>619.91999999999996</v>
          </cell>
          <cell r="J591">
            <v>475.10919999999999</v>
          </cell>
          <cell r="K591">
            <v>0</v>
          </cell>
          <cell r="L591">
            <v>475.10919999999999</v>
          </cell>
          <cell r="M591">
            <v>0</v>
          </cell>
          <cell r="N591">
            <v>619.91999999999996</v>
          </cell>
          <cell r="O591" t="str">
            <v/>
          </cell>
          <cell r="P591">
            <v>0</v>
          </cell>
          <cell r="Q591">
            <v>0.30479477139150302</v>
          </cell>
          <cell r="R591">
            <v>0.30479477139150302</v>
          </cell>
          <cell r="S591" t="e">
            <v>#VALUE!</v>
          </cell>
          <cell r="T591" t="e">
            <v>#VALUE!</v>
          </cell>
        </row>
        <row r="592">
          <cell r="A592" t="str">
            <v>G2420109PRPT</v>
          </cell>
          <cell r="B592" t="str">
            <v>MKP000631003563</v>
          </cell>
          <cell r="C592" t="str">
            <v/>
          </cell>
          <cell r="D592" t="str">
            <v>Balcão Porta-Temperos Madesa para Cozinha Glamy, Agata e Stella 20 cm (Com Tampo) Branco</v>
          </cell>
          <cell r="E592" t="str">
            <v>PR</v>
          </cell>
          <cell r="F592" t="str">
            <v>MODULAÇÃO</v>
          </cell>
          <cell r="G592" t="str">
            <v/>
          </cell>
          <cell r="H592">
            <v>569.99</v>
          </cell>
          <cell r="I592">
            <v>410.92</v>
          </cell>
          <cell r="J592">
            <v>268.90300000000002</v>
          </cell>
          <cell r="K592">
            <v>0</v>
          </cell>
          <cell r="L592">
            <v>268.90300000000002</v>
          </cell>
          <cell r="M592">
            <v>0</v>
          </cell>
          <cell r="N592">
            <v>410.92</v>
          </cell>
          <cell r="O592" t="str">
            <v/>
          </cell>
          <cell r="P592">
            <v>0</v>
          </cell>
          <cell r="Q592">
            <v>0.52813468053535995</v>
          </cell>
          <cell r="R592">
            <v>0.52813468053535995</v>
          </cell>
          <cell r="S592" t="e">
            <v>#VALUE!</v>
          </cell>
          <cell r="T592" t="e">
            <v>#VALUE!</v>
          </cell>
        </row>
        <row r="593">
          <cell r="A593" t="str">
            <v>GRLX3200049N</v>
          </cell>
          <cell r="B593" t="str">
            <v>MKP000631002720</v>
          </cell>
          <cell r="C593" t="str">
            <v/>
          </cell>
          <cell r="D593" t="str">
            <v>Armário de Cozinha Planejada 320cm Rustic/Cinza Lux Madesa 04</v>
          </cell>
          <cell r="E593" t="str">
            <v>LUX</v>
          </cell>
          <cell r="F593" t="str">
            <v>COZINHA</v>
          </cell>
          <cell r="G593" t="str">
            <v/>
          </cell>
          <cell r="H593">
            <v>5779.99</v>
          </cell>
          <cell r="I593">
            <v>5729.99</v>
          </cell>
          <cell r="J593">
            <v>3663.0430999999999</v>
          </cell>
          <cell r="K593">
            <v>0</v>
          </cell>
          <cell r="L593">
            <v>3663.0430999999999</v>
          </cell>
          <cell r="M593">
            <v>0</v>
          </cell>
          <cell r="N593">
            <v>5729.99</v>
          </cell>
          <cell r="O593" t="str">
            <v>LOJA</v>
          </cell>
          <cell r="P593">
            <v>5039.99</v>
          </cell>
          <cell r="Q593">
            <v>0.56427042859528398</v>
          </cell>
          <cell r="R593">
            <v>0.56427042859528398</v>
          </cell>
          <cell r="S593" t="e">
            <v>#VALUE!</v>
          </cell>
          <cell r="T593" t="e">
            <v>#VALUE!</v>
          </cell>
        </row>
        <row r="594">
          <cell r="A594" t="str">
            <v>MDES03000177</v>
          </cell>
          <cell r="B594" t="str">
            <v>MKP000631000159</v>
          </cell>
          <cell r="C594" t="str">
            <v/>
          </cell>
          <cell r="D594" t="str">
            <v>Rack Londres, Estante Escada e Painel para TV até 55 Polegadas Madesa Preto/Branco</v>
          </cell>
          <cell r="E594" t="str">
            <v>LONDRES</v>
          </cell>
          <cell r="F594" t="str">
            <v>SALA DE ESTAR</v>
          </cell>
          <cell r="G594" t="str">
            <v/>
          </cell>
          <cell r="H594">
            <v>799.99</v>
          </cell>
          <cell r="I594">
            <v>699.99</v>
          </cell>
          <cell r="J594">
            <v>574.75699999999995</v>
          </cell>
          <cell r="K594">
            <v>0</v>
          </cell>
          <cell r="L594">
            <v>574.75699999999995</v>
          </cell>
          <cell r="M594">
            <v>0</v>
          </cell>
          <cell r="N594">
            <v>699.99</v>
          </cell>
          <cell r="O594" t="str">
            <v/>
          </cell>
          <cell r="P594">
            <v>0</v>
          </cell>
          <cell r="Q594">
            <v>0.217888603357593</v>
          </cell>
          <cell r="R594">
            <v>0.217888603357593</v>
          </cell>
          <cell r="S594" t="e">
            <v>#VALUE!</v>
          </cell>
          <cell r="T594" t="e">
            <v>#VALUE!</v>
          </cell>
        </row>
        <row r="595">
          <cell r="A595" t="str">
            <v>MDJA0401165ZSIL</v>
          </cell>
          <cell r="B595" t="str">
            <v>MKP000631004923</v>
          </cell>
          <cell r="C595" t="str">
            <v/>
          </cell>
          <cell r="D595" t="str">
            <v>Conjunto Sala de Jantar Mesa Tampo de Vidro Redondo 4 Cadeiras Rustic/Silver Mile Madesa</v>
          </cell>
          <cell r="E595" t="str">
            <v>MILE</v>
          </cell>
          <cell r="F595" t="str">
            <v>SALA DE JANTAR</v>
          </cell>
          <cell r="G595">
            <v>4255</v>
          </cell>
          <cell r="H595">
            <v>1199.99</v>
          </cell>
          <cell r="I595">
            <v>1099.99</v>
          </cell>
          <cell r="J595">
            <v>908.46050000000002</v>
          </cell>
          <cell r="K595">
            <v>0</v>
          </cell>
          <cell r="L595">
            <v>908.46050000000002</v>
          </cell>
          <cell r="M595">
            <v>0</v>
          </cell>
          <cell r="N595">
            <v>1099.99</v>
          </cell>
          <cell r="O595" t="str">
            <v/>
          </cell>
          <cell r="P595">
            <v>0</v>
          </cell>
          <cell r="Q595">
            <v>0.21082864912673699</v>
          </cell>
          <cell r="R595">
            <v>0.21082864912673699</v>
          </cell>
          <cell r="S595" t="e">
            <v>#VALUE!</v>
          </cell>
          <cell r="T595" t="e">
            <v>#VALUE!</v>
          </cell>
        </row>
        <row r="596">
          <cell r="A596" t="str">
            <v>MDJA0401487GSL</v>
          </cell>
          <cell r="B596" t="str">
            <v>MKP000631005282</v>
          </cell>
          <cell r="C596" t="str">
            <v/>
          </cell>
          <cell r="D596" t="str">
            <v>Conjunto Sala de Jantar Mesa Tampo de Vidro 4 Cadeiras Rustic/Crema/Silver Avril Madesa</v>
          </cell>
          <cell r="E596" t="str">
            <v>AVRIL</v>
          </cell>
          <cell r="F596" t="str">
            <v>SALA DE JANTAR</v>
          </cell>
          <cell r="G596">
            <v>4255</v>
          </cell>
          <cell r="H596">
            <v>1459.99</v>
          </cell>
          <cell r="I596">
            <v>1359.99</v>
          </cell>
          <cell r="J596">
            <v>1036.2411999999999</v>
          </cell>
          <cell r="K596">
            <v>0</v>
          </cell>
          <cell r="L596">
            <v>1036.2411999999999</v>
          </cell>
          <cell r="M596">
            <v>0</v>
          </cell>
          <cell r="N596">
            <v>1359.99</v>
          </cell>
          <cell r="O596" t="str">
            <v>LOJA</v>
          </cell>
          <cell r="P596">
            <v>1399.99</v>
          </cell>
          <cell r="Q596">
            <v>0.312426103111901</v>
          </cell>
          <cell r="R596">
            <v>0.312426103111901</v>
          </cell>
          <cell r="S596" t="e">
            <v>#VALUE!</v>
          </cell>
          <cell r="T596" t="e">
            <v>#VALUE!</v>
          </cell>
        </row>
        <row r="597">
          <cell r="A597" t="str">
            <v>GCAG3890017K</v>
          </cell>
          <cell r="B597" t="str">
            <v>MKP000631004403</v>
          </cell>
          <cell r="C597" t="str">
            <v/>
          </cell>
          <cell r="D597" t="str">
            <v>Armário de Cozinha Completa de Canto 389cm Rustic Preto Agata Madesa 01</v>
          </cell>
          <cell r="E597" t="str">
            <v>ÁGATA</v>
          </cell>
          <cell r="F597" t="str">
            <v>COZINHA</v>
          </cell>
          <cell r="G597" t="str">
            <v/>
          </cell>
          <cell r="H597">
            <v>2599.9899999999998</v>
          </cell>
          <cell r="I597">
            <v>2499.9899999999998</v>
          </cell>
          <cell r="J597">
            <v>2094.8164999999999</v>
          </cell>
          <cell r="K597">
            <v>0</v>
          </cell>
          <cell r="L597">
            <v>2094.8164999999999</v>
          </cell>
          <cell r="M597">
            <v>0</v>
          </cell>
          <cell r="N597">
            <v>2499.9899999999998</v>
          </cell>
          <cell r="O597" t="str">
            <v/>
          </cell>
          <cell r="P597">
            <v>0</v>
          </cell>
          <cell r="Q597">
            <v>0.19341717997733901</v>
          </cell>
          <cell r="R597">
            <v>0.19341717997733901</v>
          </cell>
          <cell r="S597" t="e">
            <v>#VALUE!</v>
          </cell>
          <cell r="T597" t="e">
            <v>#VALUE!</v>
          </cell>
        </row>
        <row r="598">
          <cell r="A598" t="str">
            <v>GCRM40200209</v>
          </cell>
          <cell r="B598" t="str">
            <v>MKP000631002644</v>
          </cell>
          <cell r="C598" t="str">
            <v/>
          </cell>
          <cell r="D598" t="str">
            <v>Armário de Cozinha Completa de Canto 402cm Branco Reims Madesa 02</v>
          </cell>
          <cell r="E598" t="str">
            <v>REIMS</v>
          </cell>
          <cell r="F598" t="str">
            <v>COZINHA</v>
          </cell>
          <cell r="G598" t="str">
            <v/>
          </cell>
          <cell r="H598">
            <v>2989.99</v>
          </cell>
          <cell r="I598">
            <v>1879.99</v>
          </cell>
          <cell r="J598">
            <v>1529.1610000000001</v>
          </cell>
          <cell r="K598">
            <v>0</v>
          </cell>
          <cell r="L598">
            <v>1529.1610000000001</v>
          </cell>
          <cell r="M598">
            <v>0</v>
          </cell>
          <cell r="N598">
            <v>1879.99</v>
          </cell>
          <cell r="O598" t="str">
            <v>MADEIRAMADEIRA</v>
          </cell>
          <cell r="P598">
            <v>1869.99</v>
          </cell>
          <cell r="Q598">
            <v>0.22942580931635001</v>
          </cell>
          <cell r="R598">
            <v>0.22942580931635001</v>
          </cell>
          <cell r="S598" t="e">
            <v>#VALUE!</v>
          </cell>
          <cell r="T598" t="e">
            <v>#VALUE!</v>
          </cell>
        </row>
        <row r="599">
          <cell r="A599" t="str">
            <v>XA70038N1</v>
          </cell>
          <cell r="B599" t="str">
            <v>MKP000631001548</v>
          </cell>
          <cell r="C599" t="str">
            <v/>
          </cell>
          <cell r="D599" t="str">
            <v>Rack com Painel para TV até 65 Polegadas Preto Havaí Madesa 1 Porta</v>
          </cell>
          <cell r="E599" t="str">
            <v>HAVAÍ</v>
          </cell>
          <cell r="F599" t="str">
            <v>SALA DE ESTAR</v>
          </cell>
          <cell r="G599" t="str">
            <v/>
          </cell>
          <cell r="H599">
            <v>569.99</v>
          </cell>
          <cell r="I599">
            <v>469.99</v>
          </cell>
          <cell r="J599">
            <v>356.46269999999998</v>
          </cell>
          <cell r="K599">
            <v>0</v>
          </cell>
          <cell r="L599">
            <v>356.46269999999998</v>
          </cell>
          <cell r="M599">
            <v>0</v>
          </cell>
          <cell r="N599">
            <v>469.99</v>
          </cell>
          <cell r="O599" t="str">
            <v/>
          </cell>
          <cell r="P599">
            <v>0</v>
          </cell>
          <cell r="Q599">
            <v>0.31848297171064499</v>
          </cell>
          <cell r="R599">
            <v>0.31848297171064499</v>
          </cell>
          <cell r="S599" t="e">
            <v>#VALUE!</v>
          </cell>
          <cell r="T599" t="e">
            <v>#VALUE!</v>
          </cell>
        </row>
        <row r="600">
          <cell r="A600" t="str">
            <v>GRLX2600059N</v>
          </cell>
          <cell r="B600" t="str">
            <v>MKP000631002716</v>
          </cell>
          <cell r="C600" t="str">
            <v/>
          </cell>
          <cell r="D600" t="str">
            <v>Armário de Cozinha Completa 260cm Rustic/Cinza Lux Madesa 05</v>
          </cell>
          <cell r="E600" t="str">
            <v>LUX</v>
          </cell>
          <cell r="F600" t="str">
            <v>COZINHA</v>
          </cell>
          <cell r="G600" t="str">
            <v/>
          </cell>
          <cell r="H600">
            <v>3699.99</v>
          </cell>
          <cell r="I600">
            <v>3619.99</v>
          </cell>
          <cell r="J600">
            <v>2310.8326999999999</v>
          </cell>
          <cell r="K600">
            <v>0</v>
          </cell>
          <cell r="L600">
            <v>2310.8326999999999</v>
          </cell>
          <cell r="M600">
            <v>0</v>
          </cell>
          <cell r="N600">
            <v>3619.99</v>
          </cell>
          <cell r="O600" t="str">
            <v>LOJA</v>
          </cell>
          <cell r="P600">
            <v>3169.99</v>
          </cell>
          <cell r="Q600">
            <v>0.56653054113350498</v>
          </cell>
          <cell r="R600">
            <v>0.56653054113350498</v>
          </cell>
          <cell r="S600" t="e">
            <v>#VALUE!</v>
          </cell>
          <cell r="T600" t="e">
            <v>#VALUE!</v>
          </cell>
        </row>
        <row r="601">
          <cell r="A601" t="str">
            <v>10958N1E</v>
          </cell>
          <cell r="B601" t="str">
            <v>MKP000631001930</v>
          </cell>
          <cell r="C601" t="str">
            <v/>
          </cell>
          <cell r="D601" t="str">
            <v>Guarda-Roupa Casal Madesa Reno 3 Portas de Correr com Espelho Preto</v>
          </cell>
          <cell r="E601" t="str">
            <v>RENO</v>
          </cell>
          <cell r="F601" t="str">
            <v>QUARTO</v>
          </cell>
          <cell r="G601" t="str">
            <v/>
          </cell>
          <cell r="H601">
            <v>2059.9899999999998</v>
          </cell>
          <cell r="I601">
            <v>1289.99</v>
          </cell>
          <cell r="J601">
            <v>986.06849999999997</v>
          </cell>
          <cell r="K601">
            <v>0</v>
          </cell>
          <cell r="L601">
            <v>986.06849999999997</v>
          </cell>
          <cell r="M601">
            <v>0</v>
          </cell>
          <cell r="N601">
            <v>1289.99</v>
          </cell>
          <cell r="O601" t="str">
            <v>MAGALU</v>
          </cell>
          <cell r="P601">
            <v>1263.1500000000001</v>
          </cell>
          <cell r="Q601">
            <v>0.30821540288529597</v>
          </cell>
          <cell r="R601">
            <v>0.30821540288529597</v>
          </cell>
          <cell r="S601" t="e">
            <v>#VALUE!</v>
          </cell>
          <cell r="T601" t="e">
            <v>#VALUE!</v>
          </cell>
        </row>
        <row r="602">
          <cell r="A602" t="str">
            <v>GRRM1200018N</v>
          </cell>
          <cell r="B602" t="str">
            <v>MKP000631002184</v>
          </cell>
          <cell r="C602" t="str">
            <v/>
          </cell>
          <cell r="D602" t="str">
            <v>Armário de Cozinha Compacta 120cm Preto Reims Madesa 01</v>
          </cell>
          <cell r="E602" t="str">
            <v>REIMS</v>
          </cell>
          <cell r="F602" t="str">
            <v>COZINHA</v>
          </cell>
          <cell r="G602" t="str">
            <v/>
          </cell>
          <cell r="H602">
            <v>839.99</v>
          </cell>
          <cell r="I602">
            <v>719.92</v>
          </cell>
          <cell r="J602">
            <v>568.69659999999999</v>
          </cell>
          <cell r="K602">
            <v>0</v>
          </cell>
          <cell r="L602">
            <v>568.69659999999999</v>
          </cell>
          <cell r="M602">
            <v>0</v>
          </cell>
          <cell r="N602">
            <v>719.92</v>
          </cell>
          <cell r="O602" t="str">
            <v/>
          </cell>
          <cell r="P602">
            <v>0</v>
          </cell>
          <cell r="Q602">
            <v>0.26591226323491302</v>
          </cell>
          <cell r="R602">
            <v>0.26591226323491302</v>
          </cell>
          <cell r="S602" t="e">
            <v>#VALUE!</v>
          </cell>
          <cell r="T602" t="e">
            <v>#VALUE!</v>
          </cell>
        </row>
        <row r="603">
          <cell r="A603" t="str">
            <v>G253508NRM</v>
          </cell>
          <cell r="B603" t="str">
            <v>MKP000631003040</v>
          </cell>
          <cell r="C603" t="str">
            <v/>
          </cell>
          <cell r="D603" t="str">
            <v>Armário Aéreo Madesa Reims 35 cm 1 Porta Preto</v>
          </cell>
          <cell r="E603" t="str">
            <v>REIMS</v>
          </cell>
          <cell r="F603" t="str">
            <v>MODULAÇÃO</v>
          </cell>
          <cell r="G603" t="str">
            <v/>
          </cell>
          <cell r="H603">
            <v>359.99</v>
          </cell>
          <cell r="I603">
            <v>179.99</v>
          </cell>
          <cell r="J603">
            <v>119.2242</v>
          </cell>
          <cell r="K603">
            <v>0</v>
          </cell>
          <cell r="L603">
            <v>119.2242</v>
          </cell>
          <cell r="M603">
            <v>0</v>
          </cell>
          <cell r="N603">
            <v>179.99</v>
          </cell>
          <cell r="O603" t="str">
            <v/>
          </cell>
          <cell r="P603">
            <v>0</v>
          </cell>
          <cell r="Q603">
            <v>0.50967672670481301</v>
          </cell>
          <cell r="R603">
            <v>0.50967672670481301</v>
          </cell>
          <cell r="S603" t="e">
            <v>#VALUE!</v>
          </cell>
          <cell r="T603" t="e">
            <v>#VALUE!</v>
          </cell>
        </row>
        <row r="604">
          <cell r="A604" t="str">
            <v>G2560009RM</v>
          </cell>
          <cell r="B604" t="str">
            <v>MKP000631003016</v>
          </cell>
          <cell r="C604" t="str">
            <v/>
          </cell>
          <cell r="D604" t="str">
            <v>Armário Aéreo Madesa Reims 60 cm 1 Porta Branco</v>
          </cell>
          <cell r="E604" t="str">
            <v>REIMS</v>
          </cell>
          <cell r="F604" t="str">
            <v>MODULAÇÃO</v>
          </cell>
          <cell r="G604" t="str">
            <v/>
          </cell>
          <cell r="H604">
            <v>409.99</v>
          </cell>
          <cell r="I604">
            <v>219.92</v>
          </cell>
          <cell r="J604">
            <v>144.8937</v>
          </cell>
          <cell r="K604">
            <v>0</v>
          </cell>
          <cell r="L604">
            <v>144.8937</v>
          </cell>
          <cell r="M604">
            <v>0</v>
          </cell>
          <cell r="N604">
            <v>219.92</v>
          </cell>
          <cell r="O604" t="str">
            <v/>
          </cell>
          <cell r="P604">
            <v>0</v>
          </cell>
          <cell r="Q604">
            <v>0.51780236131729596</v>
          </cell>
          <cell r="R604">
            <v>0.51780236131729596</v>
          </cell>
          <cell r="S604" t="e">
            <v>#VALUE!</v>
          </cell>
          <cell r="T604" t="e">
            <v>#VALUE!</v>
          </cell>
        </row>
        <row r="605">
          <cell r="A605" t="str">
            <v>11048N2E</v>
          </cell>
          <cell r="B605" t="str">
            <v>MKP000631004569</v>
          </cell>
          <cell r="C605" t="str">
            <v/>
          </cell>
          <cell r="D605" t="str">
            <v>Sapateira Armário Multiuso Madesa Isis 1 Porta com Espelhos Preto</v>
          </cell>
          <cell r="E605" t="str">
            <v>ISIS</v>
          </cell>
          <cell r="F605" t="str">
            <v>QUARTO</v>
          </cell>
          <cell r="G605" t="str">
            <v/>
          </cell>
          <cell r="H605">
            <v>719.99</v>
          </cell>
          <cell r="I605">
            <v>599.91999999999996</v>
          </cell>
          <cell r="J605">
            <v>430.86610000000002</v>
          </cell>
          <cell r="K605">
            <v>0</v>
          </cell>
          <cell r="L605">
            <v>430.86610000000002</v>
          </cell>
          <cell r="M605">
            <v>0</v>
          </cell>
          <cell r="N605">
            <v>599.91999999999996</v>
          </cell>
          <cell r="O605" t="str">
            <v>LEROY</v>
          </cell>
          <cell r="P605">
            <v>0</v>
          </cell>
          <cell r="Q605">
            <v>0.39235832199377002</v>
          </cell>
          <cell r="R605">
            <v>0.39235832199377002</v>
          </cell>
          <cell r="S605" t="e">
            <v>#VALUE!</v>
          </cell>
          <cell r="T605" t="e">
            <v>#VALUE!</v>
          </cell>
        </row>
        <row r="606">
          <cell r="A606" t="str">
            <v>1094771E</v>
          </cell>
          <cell r="B606" t="str">
            <v>MKP000631002035</v>
          </cell>
          <cell r="C606" t="str">
            <v/>
          </cell>
          <cell r="D606" t="str">
            <v>Guarda-Roupa Solteiro Madesa Denver 2 Portas de Correr com Espelho Preto/Branco</v>
          </cell>
          <cell r="E606" t="str">
            <v>DENVER</v>
          </cell>
          <cell r="F606" t="str">
            <v>QUARTO</v>
          </cell>
          <cell r="G606" t="str">
            <v/>
          </cell>
          <cell r="H606">
            <v>859.99</v>
          </cell>
          <cell r="I606">
            <v>729.92</v>
          </cell>
          <cell r="J606">
            <v>605.03719999999998</v>
          </cell>
          <cell r="K606">
            <v>0</v>
          </cell>
          <cell r="L606">
            <v>605.03719999999998</v>
          </cell>
          <cell r="M606">
            <v>0</v>
          </cell>
          <cell r="N606">
            <v>729.92</v>
          </cell>
          <cell r="O606" t="str">
            <v/>
          </cell>
          <cell r="P606">
            <v>0</v>
          </cell>
          <cell r="Q606">
            <v>0.20640515988107799</v>
          </cell>
          <cell r="R606">
            <v>0.20640515988107799</v>
          </cell>
          <cell r="S606" t="e">
            <v>#VALUE!</v>
          </cell>
          <cell r="T606" t="e">
            <v>#VALUE!</v>
          </cell>
        </row>
        <row r="607">
          <cell r="A607" t="str">
            <v>1163091ECP</v>
          </cell>
          <cell r="B607" t="str">
            <v>MKP000631001018</v>
          </cell>
          <cell r="C607" t="str">
            <v/>
          </cell>
          <cell r="D607" t="str">
            <v>Guarda-Roupa Casal 100% MDF Madesa Eros 3 Portas de Correr com Espelho com Pés Branco</v>
          </cell>
          <cell r="E607" t="str">
            <v>EROS</v>
          </cell>
          <cell r="F607" t="str">
            <v>QUARTO</v>
          </cell>
          <cell r="G607" t="str">
            <v/>
          </cell>
          <cell r="H607">
            <v>2759.99</v>
          </cell>
          <cell r="I607">
            <v>2149.9899999999998</v>
          </cell>
          <cell r="J607">
            <v>1727.4647</v>
          </cell>
          <cell r="K607">
            <v>0</v>
          </cell>
          <cell r="L607">
            <v>1727.4647</v>
          </cell>
          <cell r="M607">
            <v>0</v>
          </cell>
          <cell r="N607">
            <v>2149.9899999999998</v>
          </cell>
          <cell r="O607" t="str">
            <v>IMPÉRIO</v>
          </cell>
          <cell r="P607">
            <v>2099</v>
          </cell>
          <cell r="Q607">
            <v>0.24459272597581899</v>
          </cell>
          <cell r="R607">
            <v>0.24459272597581899</v>
          </cell>
          <cell r="S607" t="e">
            <v>#VALUE!</v>
          </cell>
          <cell r="T607" t="e">
            <v>#VALUE!</v>
          </cell>
        </row>
        <row r="608">
          <cell r="A608" t="str">
            <v>GCSM448002A9</v>
          </cell>
          <cell r="B608" t="str">
            <v>MKP000631004289</v>
          </cell>
          <cell r="C608" t="str">
            <v/>
          </cell>
          <cell r="D608" t="str">
            <v>Armário de Cozinha Completa de Canto 100% MDF 447cm Branco/Rustic/Crema Smart Madesa 02</v>
          </cell>
          <cell r="E608" t="str">
            <v>SMART</v>
          </cell>
          <cell r="F608" t="str">
            <v>COZINHA</v>
          </cell>
          <cell r="G608" t="str">
            <v/>
          </cell>
          <cell r="H608">
            <v>2759.99</v>
          </cell>
          <cell r="I608">
            <v>2669.99</v>
          </cell>
          <cell r="J608">
            <v>2058.8791999999999</v>
          </cell>
          <cell r="K608">
            <v>0</v>
          </cell>
          <cell r="L608">
            <v>2058.8791999999999</v>
          </cell>
          <cell r="M608">
            <v>0</v>
          </cell>
          <cell r="N608">
            <v>2669.99</v>
          </cell>
          <cell r="O608" t="str">
            <v>MELI</v>
          </cell>
          <cell r="P608">
            <v>2699.99</v>
          </cell>
          <cell r="Q608">
            <v>0.29681721977666298</v>
          </cell>
          <cell r="R608">
            <v>0.29681721977666298</v>
          </cell>
          <cell r="S608" t="e">
            <v>#VALUE!</v>
          </cell>
          <cell r="T608" t="e">
            <v>#VALUE!</v>
          </cell>
        </row>
        <row r="609">
          <cell r="A609" t="str">
            <v>G267508NRM</v>
          </cell>
          <cell r="B609" t="str">
            <v>MKP000631001195</v>
          </cell>
          <cell r="C609" t="str">
            <v/>
          </cell>
          <cell r="D609" t="str">
            <v>Torre Quente Madesa Reims 70 cm 3 Portas Preto</v>
          </cell>
          <cell r="E609" t="str">
            <v>REIMS</v>
          </cell>
          <cell r="F609" t="str">
            <v>MODULAÇÃO</v>
          </cell>
          <cell r="G609" t="str">
            <v/>
          </cell>
          <cell r="H609">
            <v>1139.99</v>
          </cell>
          <cell r="I609">
            <v>619.99</v>
          </cell>
          <cell r="J609">
            <v>433.54750000000001</v>
          </cell>
          <cell r="K609">
            <v>0</v>
          </cell>
          <cell r="L609">
            <v>433.54750000000001</v>
          </cell>
          <cell r="M609">
            <v>0</v>
          </cell>
          <cell r="N609">
            <v>619.99</v>
          </cell>
          <cell r="O609" t="str">
            <v/>
          </cell>
          <cell r="P609">
            <v>0</v>
          </cell>
          <cell r="Q609">
            <v>0.430039384381181</v>
          </cell>
          <cell r="R609">
            <v>0.430039384381181</v>
          </cell>
          <cell r="S609" t="e">
            <v>#VALUE!</v>
          </cell>
          <cell r="T609" t="e">
            <v>#VALUE!</v>
          </cell>
        </row>
        <row r="610">
          <cell r="A610" t="str">
            <v>045987G4XTPER</v>
          </cell>
          <cell r="B610" t="str">
            <v>MKP000631003484</v>
          </cell>
          <cell r="C610" t="str">
            <v/>
          </cell>
          <cell r="D610" t="str">
            <v>Conjunto Sala de Jantar Moscou Plus Madesa Mesa Tampo de Vidro com 4 Cadeiras Rustic/Crema/Sintético Bege</v>
          </cell>
          <cell r="E610" t="str">
            <v>MOSCOU</v>
          </cell>
          <cell r="F610" t="str">
            <v>SALA DE JANTAR</v>
          </cell>
          <cell r="G610" t="str">
            <v>4291X</v>
          </cell>
          <cell r="H610">
            <v>759.99</v>
          </cell>
          <cell r="I610">
            <v>699.99</v>
          </cell>
          <cell r="J610">
            <v>512.69240000000002</v>
          </cell>
          <cell r="K610">
            <v>0</v>
          </cell>
          <cell r="L610">
            <v>512.69240000000002</v>
          </cell>
          <cell r="M610">
            <v>0</v>
          </cell>
          <cell r="N610">
            <v>699.99</v>
          </cell>
          <cell r="O610" t="str">
            <v>LEROY</v>
          </cell>
          <cell r="P610">
            <v>0</v>
          </cell>
          <cell r="Q610">
            <v>0.36532158463827402</v>
          </cell>
          <cell r="R610">
            <v>0.36532158463827402</v>
          </cell>
          <cell r="S610" t="e">
            <v>#VALUE!</v>
          </cell>
          <cell r="T610" t="e">
            <v>#VALUE!</v>
          </cell>
        </row>
        <row r="611">
          <cell r="A611" t="str">
            <v>044705ZXTPER</v>
          </cell>
          <cell r="B611" t="str">
            <v>MKP000631000296</v>
          </cell>
          <cell r="C611" t="str">
            <v/>
          </cell>
          <cell r="D611" t="str">
            <v>Conjunto Sala de Jantar Rosie Madesa Mesa Tampo de Madeira com 4 Cadeiras Rustic/Sintético Bege</v>
          </cell>
          <cell r="E611" t="str">
            <v>ROSIE</v>
          </cell>
          <cell r="F611" t="str">
            <v>SALA DE JANTAR</v>
          </cell>
          <cell r="G611" t="str">
            <v>4290X</v>
          </cell>
          <cell r="H611">
            <v>1349.99</v>
          </cell>
          <cell r="I611">
            <v>549.99</v>
          </cell>
          <cell r="J611">
            <v>439.91309999999999</v>
          </cell>
          <cell r="K611">
            <v>0</v>
          </cell>
          <cell r="L611">
            <v>439.91309999999999</v>
          </cell>
          <cell r="M611">
            <v>0</v>
          </cell>
          <cell r="N611">
            <v>549.99</v>
          </cell>
          <cell r="O611" t="str">
            <v>AMAZON/VIA</v>
          </cell>
          <cell r="P611">
            <v>549.99</v>
          </cell>
          <cell r="Q611">
            <v>0.25022419200519402</v>
          </cell>
          <cell r="R611">
            <v>0.25022419200519402</v>
          </cell>
          <cell r="S611" t="e">
            <v>#VALUE!</v>
          </cell>
          <cell r="T611" t="e">
            <v>#VALUE!</v>
          </cell>
        </row>
        <row r="612">
          <cell r="A612" t="str">
            <v>6961091</v>
          </cell>
          <cell r="B612" t="str">
            <v>MKP000631000524</v>
          </cell>
          <cell r="C612" t="str">
            <v/>
          </cell>
          <cell r="D612" t="str">
            <v>Penteadeira Madesa Camarim Carly com 3 Gavetas (Sem Painel) Branco</v>
          </cell>
          <cell r="E612" t="str">
            <v>CARLY</v>
          </cell>
          <cell r="F612" t="str">
            <v>QUARTO</v>
          </cell>
          <cell r="G612" t="str">
            <v/>
          </cell>
          <cell r="H612">
            <v>619.99</v>
          </cell>
          <cell r="I612">
            <v>379.99</v>
          </cell>
          <cell r="J612">
            <v>278.46230000000003</v>
          </cell>
          <cell r="K612">
            <v>0</v>
          </cell>
          <cell r="L612">
            <v>278.46230000000003</v>
          </cell>
          <cell r="M612">
            <v>0</v>
          </cell>
          <cell r="N612">
            <v>379.99</v>
          </cell>
          <cell r="O612" t="str">
            <v/>
          </cell>
          <cell r="P612">
            <v>0</v>
          </cell>
          <cell r="Q612">
            <v>0.36460124045517101</v>
          </cell>
          <cell r="R612">
            <v>0.36460124045517101</v>
          </cell>
          <cell r="S612" t="e">
            <v>#VALUE!</v>
          </cell>
          <cell r="T612" t="e">
            <v>#VALUE!</v>
          </cell>
        </row>
        <row r="613">
          <cell r="A613" t="str">
            <v>1093D81E</v>
          </cell>
          <cell r="B613" t="str">
            <v>MKP000631002101</v>
          </cell>
          <cell r="C613" t="str">
            <v/>
          </cell>
          <cell r="D613" t="str">
            <v>Guarda-Roupa Casal Madesa Mônaco 3 Portas de Correr com Espelho Preto/Rustic</v>
          </cell>
          <cell r="E613" t="str">
            <v>MÔNACO</v>
          </cell>
          <cell r="F613" t="str">
            <v>QUARTO</v>
          </cell>
          <cell r="G613" t="str">
            <v/>
          </cell>
          <cell r="H613">
            <v>1039.99</v>
          </cell>
          <cell r="I613">
            <v>919.92</v>
          </cell>
          <cell r="J613">
            <v>750.78110000000004</v>
          </cell>
          <cell r="K613">
            <v>0</v>
          </cell>
          <cell r="L613">
            <v>750.78110000000004</v>
          </cell>
          <cell r="M613">
            <v>0</v>
          </cell>
          <cell r="N613">
            <v>919.92</v>
          </cell>
          <cell r="O613" t="str">
            <v/>
          </cell>
          <cell r="P613">
            <v>0</v>
          </cell>
          <cell r="Q613">
            <v>0.22528390765297601</v>
          </cell>
          <cell r="R613">
            <v>0.22528390765297601</v>
          </cell>
          <cell r="S613" t="e">
            <v>#VALUE!</v>
          </cell>
          <cell r="T613" t="e">
            <v>#VALUE!</v>
          </cell>
        </row>
        <row r="614">
          <cell r="A614" t="str">
            <v>10936E</v>
          </cell>
          <cell r="B614" t="str">
            <v>MKP000631000808</v>
          </cell>
          <cell r="C614" t="str">
            <v/>
          </cell>
          <cell r="D614" t="str">
            <v>Guarda-Roupa Casal Madesa Mônaco 3 Portas de Correr Rustic/Branco</v>
          </cell>
          <cell r="E614" t="str">
            <v>MÔNACO</v>
          </cell>
          <cell r="F614" t="str">
            <v>QUARTO</v>
          </cell>
          <cell r="G614" t="str">
            <v/>
          </cell>
          <cell r="H614">
            <v>1309.99</v>
          </cell>
          <cell r="I614">
            <v>769.92</v>
          </cell>
          <cell r="J614">
            <v>620.85310000000004</v>
          </cell>
          <cell r="K614">
            <v>0</v>
          </cell>
          <cell r="L614">
            <v>620.85310000000004</v>
          </cell>
          <cell r="M614">
            <v>0</v>
          </cell>
          <cell r="N614">
            <v>769.92</v>
          </cell>
          <cell r="O614" t="str">
            <v>LEROY</v>
          </cell>
          <cell r="P614">
            <v>0</v>
          </cell>
          <cell r="Q614">
            <v>0.24010011385946201</v>
          </cell>
          <cell r="R614">
            <v>0.24010011385946201</v>
          </cell>
          <cell r="S614" t="e">
            <v>#VALUE!</v>
          </cell>
          <cell r="T614" t="e">
            <v>#VALUE!</v>
          </cell>
        </row>
        <row r="615">
          <cell r="A615" t="str">
            <v>MDJA0401107GBE</v>
          </cell>
          <cell r="B615" t="str">
            <v>MKP000631004171</v>
          </cell>
          <cell r="C615" t="str">
            <v/>
          </cell>
          <cell r="D615" t="str">
            <v>Conjunto Sala de Jantar Madesa Beta Mesa Tampo de Vidro Redondo 4 Cadeiras Rustic/Crema/Bege</v>
          </cell>
          <cell r="E615" t="str">
            <v>BETA</v>
          </cell>
          <cell r="F615" t="str">
            <v>SALA DE JANTAR</v>
          </cell>
          <cell r="G615" t="str">
            <v>4280X</v>
          </cell>
          <cell r="H615">
            <v>799.99</v>
          </cell>
          <cell r="I615">
            <v>699.99</v>
          </cell>
          <cell r="J615">
            <v>557.78570000000002</v>
          </cell>
          <cell r="K615">
            <v>0</v>
          </cell>
          <cell r="L615">
            <v>557.78570000000002</v>
          </cell>
          <cell r="M615">
            <v>0</v>
          </cell>
          <cell r="N615">
            <v>699.99</v>
          </cell>
          <cell r="O615" t="str">
            <v/>
          </cell>
          <cell r="P615">
            <v>0</v>
          </cell>
          <cell r="Q615">
            <v>0.25494432718515397</v>
          </cell>
          <cell r="R615">
            <v>0.25494432718515397</v>
          </cell>
          <cell r="S615" t="e">
            <v>#VALUE!</v>
          </cell>
          <cell r="T615" t="e">
            <v>#VALUE!</v>
          </cell>
        </row>
        <row r="616">
          <cell r="A616" t="str">
            <v>G256008NRM</v>
          </cell>
          <cell r="B616" t="str">
            <v>MKP000631003017</v>
          </cell>
          <cell r="C616" t="str">
            <v/>
          </cell>
          <cell r="D616" t="str">
            <v>Armário Aéreo Madesa Reims 60 cm 1 Porta Preto</v>
          </cell>
          <cell r="E616" t="str">
            <v>REIMS</v>
          </cell>
          <cell r="F616" t="str">
            <v>MODULAÇÃO</v>
          </cell>
          <cell r="G616" t="str">
            <v/>
          </cell>
          <cell r="H616">
            <v>439.99</v>
          </cell>
          <cell r="I616">
            <v>219.92</v>
          </cell>
          <cell r="J616">
            <v>144.8937</v>
          </cell>
          <cell r="K616">
            <v>0</v>
          </cell>
          <cell r="L616">
            <v>144.8937</v>
          </cell>
          <cell r="M616">
            <v>0</v>
          </cell>
          <cell r="N616">
            <v>219.92</v>
          </cell>
          <cell r="O616" t="str">
            <v/>
          </cell>
          <cell r="P616">
            <v>0</v>
          </cell>
          <cell r="Q616">
            <v>0.51780236131729596</v>
          </cell>
          <cell r="R616">
            <v>0.51780236131729596</v>
          </cell>
          <cell r="S616" t="e">
            <v>#VALUE!</v>
          </cell>
          <cell r="T616" t="e">
            <v>#VALUE!</v>
          </cell>
        </row>
        <row r="617">
          <cell r="A617" t="str">
            <v>G20088098NRF</v>
          </cell>
          <cell r="B617" t="str">
            <v>MKP000631001049</v>
          </cell>
          <cell r="C617" t="str">
            <v/>
          </cell>
          <cell r="D617" t="str">
            <v>Armário de Cozinha Completa 240cm Branco/Preto Diamante Madesa</v>
          </cell>
          <cell r="E617" t="str">
            <v>DIAMANTE</v>
          </cell>
          <cell r="F617" t="str">
            <v>COZINHA</v>
          </cell>
          <cell r="G617" t="str">
            <v/>
          </cell>
          <cell r="H617">
            <v>1469.99</v>
          </cell>
          <cell r="I617">
            <v>1319.92</v>
          </cell>
          <cell r="J617">
            <v>1065.8128999999999</v>
          </cell>
          <cell r="K617">
            <v>0</v>
          </cell>
          <cell r="L617">
            <v>1065.8128999999999</v>
          </cell>
          <cell r="M617">
            <v>0</v>
          </cell>
          <cell r="N617">
            <v>1319.92</v>
          </cell>
          <cell r="O617" t="str">
            <v/>
          </cell>
          <cell r="P617">
            <v>0</v>
          </cell>
          <cell r="Q617">
            <v>0.238416236095472</v>
          </cell>
          <cell r="R617">
            <v>0.238416236095472</v>
          </cell>
          <cell r="S617" t="e">
            <v>#VALUE!</v>
          </cell>
          <cell r="T617" t="e">
            <v>#VALUE!</v>
          </cell>
        </row>
        <row r="618">
          <cell r="A618" t="str">
            <v>GRAG1800027K</v>
          </cell>
          <cell r="B618" t="str">
            <v>MKP000631003792</v>
          </cell>
          <cell r="C618" t="str">
            <v/>
          </cell>
          <cell r="D618" t="str">
            <v>Armário de Cozinha Compacta 180cm Rustic Preto Agata Madesa 02</v>
          </cell>
          <cell r="E618" t="str">
            <v>ÁGATA</v>
          </cell>
          <cell r="F618" t="str">
            <v>COZINHA</v>
          </cell>
          <cell r="G618" t="str">
            <v/>
          </cell>
          <cell r="H618">
            <v>1639.99</v>
          </cell>
          <cell r="I618">
            <v>1539.99</v>
          </cell>
          <cell r="J618">
            <v>1269.8608999999999</v>
          </cell>
          <cell r="K618">
            <v>0</v>
          </cell>
          <cell r="L618">
            <v>1269.8608999999999</v>
          </cell>
          <cell r="M618">
            <v>0</v>
          </cell>
          <cell r="N618">
            <v>1539.99</v>
          </cell>
          <cell r="O618" t="str">
            <v/>
          </cell>
          <cell r="P618">
            <v>0</v>
          </cell>
          <cell r="Q618">
            <v>0.21272337781248299</v>
          </cell>
          <cell r="R618">
            <v>0.21272337781248299</v>
          </cell>
          <cell r="S618" t="e">
            <v>#VALUE!</v>
          </cell>
          <cell r="T618" t="e">
            <v>#VALUE!</v>
          </cell>
        </row>
        <row r="619">
          <cell r="A619" t="str">
            <v>GRTP24000109</v>
          </cell>
          <cell r="B619" t="str">
            <v>MKP000631001087</v>
          </cell>
          <cell r="C619" t="str">
            <v/>
          </cell>
          <cell r="D619" t="str">
            <v>Armário de Cozinha Completa 240cm Branco Topazio Madesa 01</v>
          </cell>
          <cell r="E619" t="str">
            <v>TOPÁZIO</v>
          </cell>
          <cell r="F619" t="str">
            <v>COZINHA</v>
          </cell>
          <cell r="G619" t="str">
            <v/>
          </cell>
          <cell r="H619">
            <v>1939.99</v>
          </cell>
          <cell r="I619">
            <v>1229.92</v>
          </cell>
          <cell r="J619">
            <v>978.26409999999998</v>
          </cell>
          <cell r="K619">
            <v>0</v>
          </cell>
          <cell r="L619">
            <v>978.26409999999998</v>
          </cell>
          <cell r="M619">
            <v>0</v>
          </cell>
          <cell r="N619">
            <v>1229.92</v>
          </cell>
          <cell r="O619" t="str">
            <v/>
          </cell>
          <cell r="P619">
            <v>0</v>
          </cell>
          <cell r="Q619">
            <v>0.25724740384523997</v>
          </cell>
          <cell r="R619">
            <v>0.25724740384523997</v>
          </cell>
          <cell r="S619" t="e">
            <v>#VALUE!</v>
          </cell>
          <cell r="T619" t="e">
            <v>#VALUE!</v>
          </cell>
        </row>
        <row r="620">
          <cell r="A620" t="str">
            <v>GRRM120001D8</v>
          </cell>
          <cell r="B620" t="str">
            <v>MKP000631001837</v>
          </cell>
          <cell r="C620" t="str">
            <v/>
          </cell>
          <cell r="D620" t="str">
            <v>Armário de Cozinha Compacta 120cm Preto/Rustic Reims Madesa 01</v>
          </cell>
          <cell r="E620" t="str">
            <v>REIMS</v>
          </cell>
          <cell r="F620" t="str">
            <v>COZINHA</v>
          </cell>
          <cell r="G620" t="str">
            <v/>
          </cell>
          <cell r="H620">
            <v>799.99</v>
          </cell>
          <cell r="I620">
            <v>699.99</v>
          </cell>
          <cell r="J620">
            <v>568.69659999999999</v>
          </cell>
          <cell r="K620">
            <v>0</v>
          </cell>
          <cell r="L620">
            <v>568.69659999999999</v>
          </cell>
          <cell r="M620">
            <v>0</v>
          </cell>
          <cell r="N620">
            <v>699.99</v>
          </cell>
          <cell r="O620" t="str">
            <v/>
          </cell>
          <cell r="P620">
            <v>0</v>
          </cell>
          <cell r="Q620">
            <v>0.23086721460968801</v>
          </cell>
          <cell r="R620">
            <v>0.23086721460968801</v>
          </cell>
          <cell r="S620" t="e">
            <v>#VALUE!</v>
          </cell>
          <cell r="T620" t="e">
            <v>#VALUE!</v>
          </cell>
        </row>
        <row r="621">
          <cell r="A621" t="str">
            <v>1094F91E</v>
          </cell>
          <cell r="B621" t="str">
            <v>MKP000631004573</v>
          </cell>
          <cell r="C621" t="str">
            <v/>
          </cell>
          <cell r="D621" t="str">
            <v>Guarda-Roupa Solteiro Madesa Denver 2 Portas de Correr com Espelho Rustic/Cinza</v>
          </cell>
          <cell r="E621" t="str">
            <v>DENVER</v>
          </cell>
          <cell r="F621" t="str">
            <v>QUARTO</v>
          </cell>
          <cell r="G621" t="str">
            <v/>
          </cell>
          <cell r="H621">
            <v>859.99</v>
          </cell>
          <cell r="I621">
            <v>729.92</v>
          </cell>
          <cell r="J621">
            <v>605.03719999999998</v>
          </cell>
          <cell r="K621">
            <v>0</v>
          </cell>
          <cell r="L621">
            <v>605.03719999999998</v>
          </cell>
          <cell r="M621">
            <v>0</v>
          </cell>
          <cell r="N621">
            <v>729.92</v>
          </cell>
          <cell r="O621" t="str">
            <v/>
          </cell>
          <cell r="P621">
            <v>0</v>
          </cell>
          <cell r="Q621">
            <v>0.20640515988107799</v>
          </cell>
          <cell r="R621">
            <v>0.20640515988107799</v>
          </cell>
          <cell r="S621" t="e">
            <v>#VALUE!</v>
          </cell>
          <cell r="T621" t="e">
            <v>#VALUE!</v>
          </cell>
        </row>
        <row r="622">
          <cell r="A622" t="str">
            <v>3227091</v>
          </cell>
          <cell r="B622" t="str">
            <v>MKP000631000530</v>
          </cell>
          <cell r="C622" t="str">
            <v/>
          </cell>
          <cell r="D622" t="str">
            <v>Mesa de Cabeceira Madesa 3227 com 2 Gavetas Branco</v>
          </cell>
          <cell r="E622">
            <v>3227</v>
          </cell>
          <cell r="F622" t="str">
            <v>QUARTO</v>
          </cell>
          <cell r="G622" t="str">
            <v/>
          </cell>
          <cell r="H622">
            <v>459.99</v>
          </cell>
          <cell r="I622">
            <v>269.92</v>
          </cell>
          <cell r="J622">
            <v>190.8263</v>
          </cell>
          <cell r="K622">
            <v>0</v>
          </cell>
          <cell r="L622">
            <v>190.8263</v>
          </cell>
          <cell r="M622">
            <v>0</v>
          </cell>
          <cell r="N622">
            <v>269.92</v>
          </cell>
          <cell r="O622" t="str">
            <v/>
          </cell>
          <cell r="P622">
            <v>0</v>
          </cell>
          <cell r="Q622">
            <v>0.41448007952782201</v>
          </cell>
          <cell r="R622">
            <v>0.41448007952782201</v>
          </cell>
          <cell r="S622" t="e">
            <v>#VALUE!</v>
          </cell>
          <cell r="T622" t="e">
            <v>#VALUE!</v>
          </cell>
        </row>
        <row r="623">
          <cell r="A623" t="str">
            <v>GRSM300002C9</v>
          </cell>
          <cell r="B623" t="str">
            <v>MKP000631004186</v>
          </cell>
          <cell r="C623" t="str">
            <v/>
          </cell>
          <cell r="D623" t="str">
            <v>Armário de Cozinha Completa 100% MDF 300cm Frentes Branco Brilho Smart Madesa 02</v>
          </cell>
          <cell r="E623" t="str">
            <v>SMART</v>
          </cell>
          <cell r="F623" t="str">
            <v>COZINHA</v>
          </cell>
          <cell r="G623" t="str">
            <v/>
          </cell>
          <cell r="H623">
            <v>2129.9899999999998</v>
          </cell>
          <cell r="I623">
            <v>2079.9899999999998</v>
          </cell>
          <cell r="J623">
            <v>1648.9738</v>
          </cell>
          <cell r="K623">
            <v>0</v>
          </cell>
          <cell r="L623">
            <v>1648.9738</v>
          </cell>
          <cell r="M623">
            <v>0</v>
          </cell>
          <cell r="N623">
            <v>2079.9899999999998</v>
          </cell>
          <cell r="O623" t="str">
            <v>MELI</v>
          </cell>
          <cell r="P623">
            <v>2199.9899999999998</v>
          </cell>
          <cell r="Q623">
            <v>0.26138450471438701</v>
          </cell>
          <cell r="R623">
            <v>0.26138450471438701</v>
          </cell>
          <cell r="S623" t="e">
            <v>#VALUE!</v>
          </cell>
          <cell r="T623" t="e">
            <v>#VALUE!</v>
          </cell>
        </row>
        <row r="624">
          <cell r="A624" t="str">
            <v>GRGM26000373</v>
          </cell>
          <cell r="B624" t="str">
            <v>MKP000631004943</v>
          </cell>
          <cell r="C624" t="str">
            <v/>
          </cell>
          <cell r="D624" t="str">
            <v>Armário de Cozinha Completa 100% MDF 260cm Branco/Preto Acordes Madesa 03</v>
          </cell>
          <cell r="E624" t="str">
            <v>ACORDES</v>
          </cell>
          <cell r="F624" t="str">
            <v>COZINHA</v>
          </cell>
          <cell r="G624" t="str">
            <v/>
          </cell>
          <cell r="H624">
            <v>1899.99</v>
          </cell>
          <cell r="I624">
            <v>1799.99</v>
          </cell>
          <cell r="J624">
            <v>1466.4205999999999</v>
          </cell>
          <cell r="K624">
            <v>0</v>
          </cell>
          <cell r="L624">
            <v>1466.4205999999999</v>
          </cell>
          <cell r="M624">
            <v>0</v>
          </cell>
          <cell r="N624">
            <v>1799.99</v>
          </cell>
          <cell r="O624" t="str">
            <v/>
          </cell>
          <cell r="P624">
            <v>0</v>
          </cell>
          <cell r="Q624">
            <v>0.22747184539006099</v>
          </cell>
          <cell r="R624">
            <v>0.22747184539006099</v>
          </cell>
          <cell r="S624" t="e">
            <v>#VALUE!</v>
          </cell>
          <cell r="T624" t="e">
            <v>#VALUE!</v>
          </cell>
        </row>
        <row r="625">
          <cell r="A625" t="str">
            <v>G2420109PT</v>
          </cell>
          <cell r="B625" t="str">
            <v>MKP000631003562</v>
          </cell>
          <cell r="C625" t="str">
            <v/>
          </cell>
          <cell r="D625" t="str">
            <v>Balcão Porta-Temperos Madesa Acordes 100% MDF 20 cm (Com Tampo) Branco</v>
          </cell>
          <cell r="E625" t="str">
            <v>ACORDES</v>
          </cell>
          <cell r="F625" t="str">
            <v>MODULAÇÃO</v>
          </cell>
          <cell r="G625" t="str">
            <v/>
          </cell>
          <cell r="H625">
            <v>829.99</v>
          </cell>
          <cell r="I625">
            <v>439.99</v>
          </cell>
          <cell r="J625">
            <v>280.56599999999997</v>
          </cell>
          <cell r="K625">
            <v>0</v>
          </cell>
          <cell r="L625">
            <v>280.56599999999997</v>
          </cell>
          <cell r="M625">
            <v>0</v>
          </cell>
          <cell r="N625">
            <v>439.99</v>
          </cell>
          <cell r="O625" t="str">
            <v/>
          </cell>
          <cell r="P625">
            <v>0</v>
          </cell>
          <cell r="Q625">
            <v>0.56822280675491699</v>
          </cell>
          <cell r="R625">
            <v>0.56822280675491699</v>
          </cell>
          <cell r="S625" t="e">
            <v>#VALUE!</v>
          </cell>
          <cell r="T625" t="e">
            <v>#VALUE!</v>
          </cell>
        </row>
        <row r="626">
          <cell r="A626" t="str">
            <v>GRGL16000209</v>
          </cell>
          <cell r="B626" t="str">
            <v>MKP000631003783</v>
          </cell>
          <cell r="C626" t="str">
            <v/>
          </cell>
          <cell r="D626" t="str">
            <v>Armário de Cozinha Compacta 160cm Branco Glamy Madesa 02</v>
          </cell>
          <cell r="E626" t="str">
            <v>GLAMY</v>
          </cell>
          <cell r="F626" t="str">
            <v>COZINHA</v>
          </cell>
          <cell r="G626" t="str">
            <v/>
          </cell>
          <cell r="H626">
            <v>1599.99</v>
          </cell>
          <cell r="I626">
            <v>1499.99</v>
          </cell>
          <cell r="J626">
            <v>1244.3658</v>
          </cell>
          <cell r="K626">
            <v>0</v>
          </cell>
          <cell r="L626">
            <v>1244.3658</v>
          </cell>
          <cell r="M626">
            <v>0</v>
          </cell>
          <cell r="N626">
            <v>1499.99</v>
          </cell>
          <cell r="O626" t="str">
            <v/>
          </cell>
          <cell r="P626">
            <v>0</v>
          </cell>
          <cell r="Q626">
            <v>0.205425285715824</v>
          </cell>
          <cell r="R626">
            <v>0.205425285715824</v>
          </cell>
          <cell r="S626" t="e">
            <v>#VALUE!</v>
          </cell>
          <cell r="T626" t="e">
            <v>#VALUE!</v>
          </cell>
        </row>
        <row r="627">
          <cell r="A627" t="str">
            <v>045647GX6TFBM</v>
          </cell>
          <cell r="B627" t="str">
            <v>MKP000631000621</v>
          </cell>
          <cell r="C627" t="str">
            <v/>
          </cell>
          <cell r="D627" t="str">
            <v>Conjunto Sala de Jantar Madesa Miriam Mesa Tampo de Madeira com 6 Cadeiras Rustic/Crema/Bege Marrom</v>
          </cell>
          <cell r="E627" t="str">
            <v>MIRIAM</v>
          </cell>
          <cell r="F627" t="str">
            <v>SALA DE JANTAR</v>
          </cell>
          <cell r="G627" t="str">
            <v>4291X</v>
          </cell>
          <cell r="H627">
            <v>799.99</v>
          </cell>
          <cell r="I627">
            <v>699.99</v>
          </cell>
          <cell r="J627">
            <v>564.73990000000003</v>
          </cell>
          <cell r="K627">
            <v>0</v>
          </cell>
          <cell r="L627">
            <v>564.73990000000003</v>
          </cell>
          <cell r="M627">
            <v>0</v>
          </cell>
          <cell r="N627">
            <v>699.99</v>
          </cell>
          <cell r="O627" t="str">
            <v/>
          </cell>
          <cell r="P627">
            <v>0</v>
          </cell>
          <cell r="Q627">
            <v>0.23949095858111</v>
          </cell>
          <cell r="R627">
            <v>0.23949095858111</v>
          </cell>
          <cell r="S627" t="e">
            <v>#VALUE!</v>
          </cell>
          <cell r="T627" t="e">
            <v>#VALUE!</v>
          </cell>
        </row>
        <row r="628">
          <cell r="A628" t="str">
            <v>XAGREM2930015Z</v>
          </cell>
          <cell r="B628" t="str">
            <v>MKP000631004141</v>
          </cell>
          <cell r="C628" t="str">
            <v/>
          </cell>
          <cell r="D628" t="str">
            <v>Armário de Cozinha Completa 293cm Rustic Emilly Madesa 01XA</v>
          </cell>
          <cell r="E628" t="str">
            <v>EMILLY</v>
          </cell>
          <cell r="F628" t="str">
            <v>COZINHA</v>
          </cell>
          <cell r="G628" t="str">
            <v/>
          </cell>
          <cell r="H628">
            <v>1249.99</v>
          </cell>
          <cell r="I628">
            <v>1239.99</v>
          </cell>
          <cell r="J628">
            <v>910.59690000000001</v>
          </cell>
          <cell r="K628">
            <v>0</v>
          </cell>
          <cell r="L628">
            <v>910.59690000000001</v>
          </cell>
          <cell r="M628">
            <v>0</v>
          </cell>
          <cell r="N628">
            <v>1239.99</v>
          </cell>
          <cell r="O628" t="str">
            <v>MAGALU</v>
          </cell>
          <cell r="P628">
            <v>1210.52</v>
          </cell>
          <cell r="Q628">
            <v>0.36173316645378401</v>
          </cell>
          <cell r="R628">
            <v>0.36173316645378401</v>
          </cell>
          <cell r="S628" t="e">
            <v>#VALUE!</v>
          </cell>
          <cell r="T628" t="e">
            <v>#VALUE!</v>
          </cell>
        </row>
        <row r="629">
          <cell r="A629" t="str">
            <v>1094091E4GCP</v>
          </cell>
          <cell r="B629" t="str">
            <v>MKP000631001004</v>
          </cell>
          <cell r="C629" t="str">
            <v/>
          </cell>
          <cell r="D629" t="str">
            <v>Guarda-Roupa Solteiro Madesa Dallas Plus 2 Portas de Correr com Espelho 4 Gavetas com Pés Branco</v>
          </cell>
          <cell r="E629" t="str">
            <v>DALLAS PLUS</v>
          </cell>
          <cell r="F629" t="str">
            <v>QUARTO</v>
          </cell>
          <cell r="G629" t="str">
            <v/>
          </cell>
          <cell r="H629">
            <v>1179.99</v>
          </cell>
          <cell r="I629">
            <v>1039.92</v>
          </cell>
          <cell r="J629">
            <v>819.10230000000001</v>
          </cell>
          <cell r="K629">
            <v>0</v>
          </cell>
          <cell r="L629">
            <v>819.10230000000001</v>
          </cell>
          <cell r="M629">
            <v>0</v>
          </cell>
          <cell r="N629">
            <v>1039.92</v>
          </cell>
          <cell r="O629" t="str">
            <v/>
          </cell>
          <cell r="P629">
            <v>0</v>
          </cell>
          <cell r="Q629">
            <v>0.26958500787996797</v>
          </cell>
          <cell r="R629">
            <v>0.26958500787996797</v>
          </cell>
          <cell r="S629" t="e">
            <v>#VALUE!</v>
          </cell>
          <cell r="T629" t="e">
            <v>#VALUE!</v>
          </cell>
        </row>
        <row r="630">
          <cell r="A630" t="str">
            <v>G241537GAGFF</v>
          </cell>
          <cell r="B630" t="str">
            <v>MKP000631005418</v>
          </cell>
          <cell r="C630" t="str">
            <v/>
          </cell>
          <cell r="D630" t="str">
            <v>Balcão Gabinete de Pia 150 cm 2 Portas e 2 Gavetas (Sem Tampo e Pia) Rustic/Crema Agata Madesa</v>
          </cell>
          <cell r="E630" t="str">
            <v>ÁGATA</v>
          </cell>
          <cell r="F630" t="str">
            <v>MODULAÇÃO</v>
          </cell>
          <cell r="G630" t="str">
            <v/>
          </cell>
          <cell r="H630">
            <v>799.99</v>
          </cell>
          <cell r="I630">
            <v>699.99</v>
          </cell>
          <cell r="J630">
            <v>477.38729999999998</v>
          </cell>
          <cell r="K630">
            <v>0</v>
          </cell>
          <cell r="L630">
            <v>477.38729999999998</v>
          </cell>
          <cell r="M630">
            <v>0</v>
          </cell>
          <cell r="N630">
            <v>699.99</v>
          </cell>
          <cell r="O630" t="str">
            <v/>
          </cell>
          <cell r="P630">
            <v>0</v>
          </cell>
          <cell r="Q630">
            <v>0.46629372000470098</v>
          </cell>
          <cell r="R630">
            <v>0.46629372000470098</v>
          </cell>
          <cell r="S630" t="e">
            <v>#VALUE!</v>
          </cell>
          <cell r="T630" t="e">
            <v>#VALUE!</v>
          </cell>
        </row>
        <row r="631">
          <cell r="A631" t="str">
            <v>MDES0200235Z5Z</v>
          </cell>
          <cell r="B631" t="str">
            <v>MKP000631001530</v>
          </cell>
          <cell r="C631" t="str">
            <v/>
          </cell>
          <cell r="D631" t="str">
            <v>Rack Madesa Cancun e Painel para TV até 65 Polegadas Rustic</v>
          </cell>
          <cell r="E631" t="str">
            <v>CANCUN</v>
          </cell>
          <cell r="F631" t="str">
            <v>SALA DE ESTAR</v>
          </cell>
          <cell r="G631" t="str">
            <v/>
          </cell>
          <cell r="H631">
            <v>1149.99</v>
          </cell>
          <cell r="I631">
            <v>569.99</v>
          </cell>
          <cell r="J631">
            <v>449.15629999999999</v>
          </cell>
          <cell r="K631">
            <v>0</v>
          </cell>
          <cell r="L631">
            <v>449.15629999999999</v>
          </cell>
          <cell r="M631">
            <v>0</v>
          </cell>
          <cell r="N631">
            <v>569.99</v>
          </cell>
          <cell r="O631" t="str">
            <v/>
          </cell>
          <cell r="P631">
            <v>0</v>
          </cell>
          <cell r="Q631">
            <v>0.26902372292228799</v>
          </cell>
          <cell r="R631">
            <v>0.26902372292228799</v>
          </cell>
          <cell r="S631" t="e">
            <v>#VALUE!</v>
          </cell>
          <cell r="T631" t="e">
            <v>#VALUE!</v>
          </cell>
        </row>
        <row r="632">
          <cell r="A632" t="str">
            <v>10976E</v>
          </cell>
          <cell r="B632" t="str">
            <v>MKP000631002474</v>
          </cell>
          <cell r="C632" t="str">
            <v/>
          </cell>
          <cell r="D632" t="str">
            <v>Guarda-Roupa Solteiro Madesa Tokio 2 Portas de Correr 2 Gavetas Rustic/Branco</v>
          </cell>
          <cell r="E632" t="str">
            <v>TOKIO</v>
          </cell>
          <cell r="F632" t="str">
            <v>QUARTO</v>
          </cell>
          <cell r="G632" t="str">
            <v/>
          </cell>
          <cell r="H632">
            <v>1039.99</v>
          </cell>
          <cell r="I632">
            <v>799.99</v>
          </cell>
          <cell r="J632">
            <v>630.83749999999998</v>
          </cell>
          <cell r="K632">
            <v>0</v>
          </cell>
          <cell r="L632">
            <v>630.83749999999998</v>
          </cell>
          <cell r="M632">
            <v>0</v>
          </cell>
          <cell r="N632">
            <v>799.99</v>
          </cell>
          <cell r="O632" t="str">
            <v>ZEMA</v>
          </cell>
          <cell r="P632">
            <v>819.99</v>
          </cell>
          <cell r="Q632">
            <v>0.268139576356827</v>
          </cell>
          <cell r="R632">
            <v>0.268139576356827</v>
          </cell>
          <cell r="S632" t="e">
            <v>#VALUE!</v>
          </cell>
          <cell r="T632" t="e">
            <v>#VALUE!</v>
          </cell>
        </row>
        <row r="633">
          <cell r="A633" t="str">
            <v>045035ZMPT</v>
          </cell>
          <cell r="B633" t="str">
            <v>MKP000631000616</v>
          </cell>
          <cell r="C633" t="str">
            <v/>
          </cell>
          <cell r="D633" t="str">
            <v>Conjunto Sala de Jantar Madesa Atlanta Mesa Tampo de Vidro com 6 Cadeiras Rustic/Preto/Sintético Preto</v>
          </cell>
          <cell r="E633" t="str">
            <v>ATLANTA</v>
          </cell>
          <cell r="F633" t="str">
            <v>SALA DE JANTAR</v>
          </cell>
          <cell r="G633" t="str">
            <v>4280X</v>
          </cell>
          <cell r="H633">
            <v>1299.99</v>
          </cell>
          <cell r="I633">
            <v>1199.99</v>
          </cell>
          <cell r="J633">
            <v>953.78269999999998</v>
          </cell>
          <cell r="K633">
            <v>0</v>
          </cell>
          <cell r="L633">
            <v>953.78269999999998</v>
          </cell>
          <cell r="M633">
            <v>0</v>
          </cell>
          <cell r="N633">
            <v>1199.99</v>
          </cell>
          <cell r="O633" t="str">
            <v/>
          </cell>
          <cell r="P633">
            <v>0</v>
          </cell>
          <cell r="Q633">
            <v>0.25813772885584901</v>
          </cell>
          <cell r="R633">
            <v>0.25813772885584901</v>
          </cell>
          <cell r="S633" t="e">
            <v>#VALUE!</v>
          </cell>
          <cell r="T633" t="e">
            <v>#VALUE!</v>
          </cell>
        </row>
        <row r="634">
          <cell r="A634" t="str">
            <v>GRSM170001C9</v>
          </cell>
          <cell r="B634" t="str">
            <v>MKP000631002990</v>
          </cell>
          <cell r="C634" t="str">
            <v/>
          </cell>
          <cell r="D634" t="str">
            <v>Armário de Cozinha Compacta 100% MDF 170 cm Frentes Branco Brilho Smart Madesa 01</v>
          </cell>
          <cell r="E634" t="str">
            <v>SMART</v>
          </cell>
          <cell r="F634" t="str">
            <v>COZINHA</v>
          </cell>
          <cell r="G634" t="str">
            <v/>
          </cell>
          <cell r="H634">
            <v>1919.99</v>
          </cell>
          <cell r="I634">
            <v>1339.99</v>
          </cell>
          <cell r="J634">
            <v>969.92560000000003</v>
          </cell>
          <cell r="K634">
            <v>0</v>
          </cell>
          <cell r="L634">
            <v>969.92560000000003</v>
          </cell>
          <cell r="M634">
            <v>0</v>
          </cell>
          <cell r="N634">
            <v>1339.99</v>
          </cell>
          <cell r="O634" t="str">
            <v>LOJA</v>
          </cell>
          <cell r="P634">
            <v>1199.99</v>
          </cell>
          <cell r="Q634">
            <v>0.38153895515284902</v>
          </cell>
          <cell r="R634">
            <v>0.38153895515284902</v>
          </cell>
          <cell r="S634" t="e">
            <v>#VALUE!</v>
          </cell>
          <cell r="T634" t="e">
            <v>#VALUE!</v>
          </cell>
        </row>
        <row r="635">
          <cell r="A635" t="str">
            <v>GREM293002F9</v>
          </cell>
          <cell r="B635" t="str">
            <v>MKP000631005149</v>
          </cell>
          <cell r="C635" t="str">
            <v/>
          </cell>
          <cell r="D635" t="str">
            <v>Armário de Cozinha Completa 293cm Rustic/Cinza Emilly Madesa 02</v>
          </cell>
          <cell r="E635" t="str">
            <v>EMILLY</v>
          </cell>
          <cell r="F635" t="str">
            <v>COZINHA</v>
          </cell>
          <cell r="G635" t="str">
            <v/>
          </cell>
          <cell r="H635">
            <v>1249.99</v>
          </cell>
          <cell r="I635">
            <v>1149.99</v>
          </cell>
          <cell r="J635">
            <v>910.59690000000001</v>
          </cell>
          <cell r="K635">
            <v>0</v>
          </cell>
          <cell r="L635">
            <v>910.59690000000001</v>
          </cell>
          <cell r="M635">
            <v>0</v>
          </cell>
          <cell r="N635">
            <v>1149.99</v>
          </cell>
          <cell r="O635" t="str">
            <v/>
          </cell>
          <cell r="P635">
            <v>0</v>
          </cell>
          <cell r="Q635">
            <v>0.262896897628358</v>
          </cell>
          <cell r="R635">
            <v>0.262896897628358</v>
          </cell>
          <cell r="S635" t="e">
            <v>#VALUE!</v>
          </cell>
          <cell r="T635" t="e">
            <v>#VALUE!</v>
          </cell>
        </row>
        <row r="636">
          <cell r="A636" t="str">
            <v>MDJA0601367GSM</v>
          </cell>
          <cell r="B636" t="str">
            <v>MKP000631005291</v>
          </cell>
          <cell r="C636" t="str">
            <v/>
          </cell>
          <cell r="D636" t="str">
            <v>Conjunto Sala de Jantar Mesa Tampo de Vidro 6 Cadeiras Rustic/Crema/Imperial Alexis Madesa</v>
          </cell>
          <cell r="E636" t="str">
            <v>ALEXIS</v>
          </cell>
          <cell r="F636" t="str">
            <v>SALA DE JANTAR</v>
          </cell>
          <cell r="G636">
            <v>4255</v>
          </cell>
          <cell r="H636">
            <v>1779.99</v>
          </cell>
          <cell r="I636">
            <v>1679.99</v>
          </cell>
          <cell r="J636">
            <v>1296.7293999999999</v>
          </cell>
          <cell r="K636">
            <v>0</v>
          </cell>
          <cell r="L636">
            <v>1296.7293999999999</v>
          </cell>
          <cell r="M636">
            <v>0</v>
          </cell>
          <cell r="N636">
            <v>1679.99</v>
          </cell>
          <cell r="O636" t="str">
            <v>LOJA</v>
          </cell>
          <cell r="P636">
            <v>1649.99</v>
          </cell>
          <cell r="Q636">
            <v>0.29555942820452702</v>
          </cell>
          <cell r="R636">
            <v>0.29555942820452702</v>
          </cell>
          <cell r="S636" t="e">
            <v>#VALUE!</v>
          </cell>
          <cell r="T636" t="e">
            <v>#VALUE!</v>
          </cell>
        </row>
        <row r="637">
          <cell r="A637" t="str">
            <v>GRAG180002F9</v>
          </cell>
          <cell r="B637" t="str">
            <v>MKP000631003791</v>
          </cell>
          <cell r="C637" t="str">
            <v/>
          </cell>
          <cell r="D637" t="str">
            <v>Armário de Cozinha Compacta 180cm Rustic Cinza Agata Madesa 02</v>
          </cell>
          <cell r="E637" t="str">
            <v>ÁGATA</v>
          </cell>
          <cell r="F637" t="str">
            <v>COZINHA</v>
          </cell>
          <cell r="G637" t="str">
            <v/>
          </cell>
          <cell r="H637">
            <v>1769.9</v>
          </cell>
          <cell r="I637">
            <v>1549.99</v>
          </cell>
          <cell r="J637">
            <v>1269.8608999999999</v>
          </cell>
          <cell r="K637">
            <v>0</v>
          </cell>
          <cell r="L637">
            <v>1269.8608999999999</v>
          </cell>
          <cell r="M637">
            <v>0</v>
          </cell>
          <cell r="N637">
            <v>1549.99</v>
          </cell>
          <cell r="O637" t="str">
            <v>LOJA</v>
          </cell>
          <cell r="P637">
            <v>1649.99</v>
          </cell>
          <cell r="Q637">
            <v>0.22059825607670899</v>
          </cell>
          <cell r="R637">
            <v>0.22059825607670899</v>
          </cell>
          <cell r="S637" t="e">
            <v>#VALUE!</v>
          </cell>
          <cell r="T637" t="e">
            <v>#VALUE!</v>
          </cell>
        </row>
        <row r="638">
          <cell r="A638" t="str">
            <v>XB10639B1ECP</v>
          </cell>
          <cell r="B638" t="str">
            <v>MKP000631001472</v>
          </cell>
          <cell r="C638" t="str">
            <v/>
          </cell>
          <cell r="D638" t="str">
            <v>Guarda-Roupa Juvenil 100% MDF Madesa Kevin 3 Portas de Correr com Espelho com Pés Branco/Rustic</v>
          </cell>
          <cell r="E638" t="str">
            <v>KEVIN</v>
          </cell>
          <cell r="F638" t="str">
            <v>QUARTO</v>
          </cell>
          <cell r="G638" t="str">
            <v/>
          </cell>
          <cell r="H638">
            <v>2789.99</v>
          </cell>
          <cell r="I638">
            <v>2119.92</v>
          </cell>
          <cell r="J638">
            <v>1838.7973</v>
          </cell>
          <cell r="K638">
            <v>0</v>
          </cell>
          <cell r="L638">
            <v>1838.7973</v>
          </cell>
          <cell r="M638">
            <v>0</v>
          </cell>
          <cell r="N638">
            <v>2119.92</v>
          </cell>
          <cell r="O638" t="str">
            <v/>
          </cell>
          <cell r="P638">
            <v>0</v>
          </cell>
          <cell r="Q638">
            <v>0.15288400738895999</v>
          </cell>
          <cell r="R638">
            <v>0.15288400738895999</v>
          </cell>
          <cell r="S638" t="e">
            <v>#VALUE!</v>
          </cell>
          <cell r="T638" t="e">
            <v>#VALUE!</v>
          </cell>
        </row>
        <row r="639">
          <cell r="A639" t="str">
            <v>G2412309RM</v>
          </cell>
          <cell r="B639" t="str">
            <v>MKP000631002093</v>
          </cell>
          <cell r="C639" t="str">
            <v/>
          </cell>
          <cell r="D639" t="str">
            <v>Balcão Gabinete de Pia Madesa Reims 2 Portas e 1 Gaveta Branco</v>
          </cell>
          <cell r="E639" t="str">
            <v>REIMS</v>
          </cell>
          <cell r="F639" t="str">
            <v>MODULAÇÃO</v>
          </cell>
          <cell r="G639" t="str">
            <v/>
          </cell>
          <cell r="H639">
            <v>1019.99</v>
          </cell>
          <cell r="I639">
            <v>439.92</v>
          </cell>
          <cell r="J639">
            <v>369.74979999999999</v>
          </cell>
          <cell r="K639">
            <v>0</v>
          </cell>
          <cell r="L639">
            <v>369.74979999999999</v>
          </cell>
          <cell r="M639">
            <v>0</v>
          </cell>
          <cell r="N639">
            <v>439.92</v>
          </cell>
          <cell r="O639" t="str">
            <v/>
          </cell>
          <cell r="P639">
            <v>0</v>
          </cell>
          <cell r="Q639">
            <v>0.18977751982556801</v>
          </cell>
          <cell r="R639">
            <v>0.18977751982556801</v>
          </cell>
          <cell r="S639" t="e">
            <v>#VALUE!</v>
          </cell>
          <cell r="T639" t="e">
            <v>#VALUE!</v>
          </cell>
        </row>
        <row r="640">
          <cell r="A640" t="str">
            <v>MDJA0400427GSIM</v>
          </cell>
          <cell r="B640" t="str">
            <v>MKP000631000820</v>
          </cell>
          <cell r="C640" t="str">
            <v/>
          </cell>
          <cell r="D640" t="str">
            <v>Conjunto Sala de Jantar Madesa Grazi Mesa Tampo de Vidro com 4 Cadeiras Rustic/Crema/Imperial</v>
          </cell>
          <cell r="E640" t="str">
            <v>GRAZI</v>
          </cell>
          <cell r="F640" t="str">
            <v>SALA DE JANTAR</v>
          </cell>
          <cell r="G640">
            <v>4254</v>
          </cell>
          <cell r="H640">
            <v>2589.9899999999998</v>
          </cell>
          <cell r="I640">
            <v>1539.99</v>
          </cell>
          <cell r="J640">
            <v>1207.2949000000001</v>
          </cell>
          <cell r="K640">
            <v>0</v>
          </cell>
          <cell r="L640">
            <v>1207.2949000000001</v>
          </cell>
          <cell r="M640">
            <v>0</v>
          </cell>
          <cell r="N640">
            <v>1539.99</v>
          </cell>
          <cell r="O640" t="str">
            <v>IMPÉRIO</v>
          </cell>
          <cell r="P640">
            <v>1659</v>
          </cell>
          <cell r="Q640">
            <v>0.27557069942066398</v>
          </cell>
          <cell r="R640">
            <v>0.27557069942066398</v>
          </cell>
          <cell r="S640" t="e">
            <v>#VALUE!</v>
          </cell>
          <cell r="T640" t="e">
            <v>#VALUE!</v>
          </cell>
        </row>
        <row r="641">
          <cell r="A641" t="str">
            <v>MDES0200148N77</v>
          </cell>
          <cell r="B641" t="str">
            <v>MKP000631001557</v>
          </cell>
          <cell r="C641" t="str">
            <v/>
          </cell>
          <cell r="D641" t="str">
            <v>Rack Madesa Dubai e Painel para TV até 65 Polegadas com Pés Preto/Branco 8N77</v>
          </cell>
          <cell r="E641" t="str">
            <v>DUBAI</v>
          </cell>
          <cell r="F641" t="str">
            <v>SALA DE ESTAR</v>
          </cell>
          <cell r="G641" t="str">
            <v/>
          </cell>
          <cell r="H641">
            <v>1149.99</v>
          </cell>
          <cell r="I641">
            <v>599.99</v>
          </cell>
          <cell r="J641">
            <v>442.649</v>
          </cell>
          <cell r="K641">
            <v>0</v>
          </cell>
          <cell r="L641">
            <v>442.649</v>
          </cell>
          <cell r="M641">
            <v>0</v>
          </cell>
          <cell r="N641">
            <v>599.99</v>
          </cell>
          <cell r="O641" t="str">
            <v/>
          </cell>
          <cell r="P641">
            <v>0</v>
          </cell>
          <cell r="Q641">
            <v>0.35545319203251302</v>
          </cell>
          <cell r="R641">
            <v>0.35545319203251302</v>
          </cell>
          <cell r="S641" t="e">
            <v>#VALUE!</v>
          </cell>
          <cell r="T641" t="e">
            <v>#VALUE!</v>
          </cell>
        </row>
        <row r="642">
          <cell r="A642" t="str">
            <v>1097092E</v>
          </cell>
          <cell r="B642" t="str">
            <v>MKP000631002364</v>
          </cell>
          <cell r="C642" t="str">
            <v/>
          </cell>
          <cell r="D642" t="str">
            <v>Guarda-Roupa Solteiro Madesa Tokio 2 Portas de Correr de Espelho 2 Gavetas Branco</v>
          </cell>
          <cell r="E642" t="str">
            <v>TOKIO</v>
          </cell>
          <cell r="F642" t="str">
            <v>QUARTO</v>
          </cell>
          <cell r="G642" t="str">
            <v/>
          </cell>
          <cell r="H642">
            <v>1749.99</v>
          </cell>
          <cell r="I642">
            <v>1119.99</v>
          </cell>
          <cell r="J642">
            <v>869.96169999999995</v>
          </cell>
          <cell r="K642">
            <v>0</v>
          </cell>
          <cell r="L642">
            <v>869.96169999999995</v>
          </cell>
          <cell r="M642">
            <v>0</v>
          </cell>
          <cell r="N642">
            <v>1119.99</v>
          </cell>
          <cell r="O642" t="str">
            <v>LOJA</v>
          </cell>
          <cell r="P642">
            <v>1049.99</v>
          </cell>
          <cell r="Q642">
            <v>0.287401502847769</v>
          </cell>
          <cell r="R642">
            <v>0.287401502847769</v>
          </cell>
          <cell r="S642" t="e">
            <v>#VALUE!</v>
          </cell>
          <cell r="T642" t="e">
            <v>#VALUE!</v>
          </cell>
        </row>
        <row r="643">
          <cell r="A643" t="str">
            <v>1093H91E</v>
          </cell>
          <cell r="B643" t="str">
            <v>MKP000631004577</v>
          </cell>
          <cell r="C643" t="str">
            <v/>
          </cell>
          <cell r="D643" t="str">
            <v>Guarda-Roupa Casal Madesa Mônaco 3 Portas de Correr com Espelho Preto/Cinza</v>
          </cell>
          <cell r="E643" t="str">
            <v>MÔNACO</v>
          </cell>
          <cell r="F643" t="str">
            <v>QUARTO</v>
          </cell>
          <cell r="G643" t="str">
            <v/>
          </cell>
          <cell r="H643">
            <v>959.99</v>
          </cell>
          <cell r="I643">
            <v>869.92</v>
          </cell>
          <cell r="J643">
            <v>750.78110000000004</v>
          </cell>
          <cell r="K643">
            <v>0</v>
          </cell>
          <cell r="L643">
            <v>750.78110000000004</v>
          </cell>
          <cell r="M643">
            <v>0</v>
          </cell>
          <cell r="N643">
            <v>869.92</v>
          </cell>
          <cell r="O643" t="str">
            <v/>
          </cell>
          <cell r="P643">
            <v>0</v>
          </cell>
          <cell r="Q643">
            <v>0.158686599862463</v>
          </cell>
          <cell r="R643">
            <v>0.158686599862463</v>
          </cell>
          <cell r="S643" t="e">
            <v>#VALUE!</v>
          </cell>
          <cell r="T643" t="e">
            <v>#VALUE!</v>
          </cell>
        </row>
        <row r="644">
          <cell r="A644" t="str">
            <v>10945Z2G</v>
          </cell>
          <cell r="B644" t="str">
            <v>MKP000631000787</v>
          </cell>
          <cell r="C644" t="str">
            <v/>
          </cell>
          <cell r="D644" t="str">
            <v>Guarda-Roupa Solteiro Madesa Dallas 2 Portas de Correr 2 Gavetas Rustic</v>
          </cell>
          <cell r="E644" t="str">
            <v>DALLAS</v>
          </cell>
          <cell r="F644" t="str">
            <v>QUARTO</v>
          </cell>
          <cell r="G644" t="str">
            <v/>
          </cell>
          <cell r="H644">
            <v>799.99</v>
          </cell>
          <cell r="I644">
            <v>699.99</v>
          </cell>
          <cell r="J644">
            <v>563.84609999999998</v>
          </cell>
          <cell r="K644">
            <v>0</v>
          </cell>
          <cell r="L644">
            <v>563.84609999999998</v>
          </cell>
          <cell r="M644">
            <v>0</v>
          </cell>
          <cell r="N644">
            <v>699.99</v>
          </cell>
          <cell r="O644" t="str">
            <v/>
          </cell>
          <cell r="P644">
            <v>0</v>
          </cell>
          <cell r="Q644">
            <v>0.24145578022087899</v>
          </cell>
          <cell r="R644">
            <v>0.24145578022087899</v>
          </cell>
          <cell r="S644" t="e">
            <v>#VALUE!</v>
          </cell>
          <cell r="T644" t="e">
            <v>#VALUE!</v>
          </cell>
        </row>
        <row r="645">
          <cell r="A645" t="str">
            <v>10945Z</v>
          </cell>
          <cell r="B645" t="str">
            <v>MKP000631000774</v>
          </cell>
          <cell r="C645" t="str">
            <v/>
          </cell>
          <cell r="D645" t="str">
            <v>Guarda-Roupa Solteiro Madesa Denver 2 Portas de Correr Rustic</v>
          </cell>
          <cell r="E645" t="str">
            <v>DENVER</v>
          </cell>
          <cell r="F645" t="str">
            <v>QUARTO</v>
          </cell>
          <cell r="G645" t="str">
            <v/>
          </cell>
          <cell r="H645">
            <v>949.99</v>
          </cell>
          <cell r="I645">
            <v>659.99</v>
          </cell>
          <cell r="J645">
            <v>475.10919999999999</v>
          </cell>
          <cell r="K645">
            <v>0</v>
          </cell>
          <cell r="L645">
            <v>475.10919999999999</v>
          </cell>
          <cell r="M645">
            <v>0</v>
          </cell>
          <cell r="N645">
            <v>659.99</v>
          </cell>
          <cell r="O645" t="str">
            <v>MAGALU</v>
          </cell>
          <cell r="P645">
            <v>610.52</v>
          </cell>
          <cell r="Q645">
            <v>0.38913327714975798</v>
          </cell>
          <cell r="R645">
            <v>0.38913327714975798</v>
          </cell>
          <cell r="S645" t="e">
            <v>#VALUE!</v>
          </cell>
          <cell r="T645" t="e">
            <v>#VALUE!</v>
          </cell>
        </row>
        <row r="646">
          <cell r="A646" t="str">
            <v>10938N2E</v>
          </cell>
          <cell r="B646" t="str">
            <v>MKP000631001940</v>
          </cell>
          <cell r="C646" t="str">
            <v/>
          </cell>
          <cell r="D646" t="str">
            <v>Guarda-Roupa Casal Madesa Mônaco 3 Portas de Correr com Espelhos Preto</v>
          </cell>
          <cell r="E646" t="str">
            <v>MÔNACO</v>
          </cell>
          <cell r="F646" t="str">
            <v>QUARTO</v>
          </cell>
          <cell r="G646" t="str">
            <v/>
          </cell>
          <cell r="H646">
            <v>1199.99</v>
          </cell>
          <cell r="I646">
            <v>1079.92</v>
          </cell>
          <cell r="J646">
            <v>880.70910000000003</v>
          </cell>
          <cell r="K646">
            <v>0</v>
          </cell>
          <cell r="L646">
            <v>880.70910000000003</v>
          </cell>
          <cell r="M646">
            <v>0</v>
          </cell>
          <cell r="N646">
            <v>1079.92</v>
          </cell>
          <cell r="O646" t="str">
            <v/>
          </cell>
          <cell r="P646">
            <v>0</v>
          </cell>
          <cell r="Q646">
            <v>0.22619375682617601</v>
          </cell>
          <cell r="R646">
            <v>0.22619375682617601</v>
          </cell>
          <cell r="S646" t="e">
            <v>#VALUE!</v>
          </cell>
          <cell r="T646" t="e">
            <v>#VALUE!</v>
          </cell>
        </row>
        <row r="647">
          <cell r="A647" t="str">
            <v>GRRM2600018N</v>
          </cell>
          <cell r="B647" t="str">
            <v>MKP000631002187</v>
          </cell>
          <cell r="C647" t="str">
            <v/>
          </cell>
          <cell r="D647" t="str">
            <v>Armário de Cozinha Completa 260cm Preto Reims Madesa 01</v>
          </cell>
          <cell r="E647" t="str">
            <v>REIMS</v>
          </cell>
          <cell r="F647" t="str">
            <v>COZINHA</v>
          </cell>
          <cell r="G647" t="str">
            <v/>
          </cell>
          <cell r="H647">
            <v>2419.9899999999998</v>
          </cell>
          <cell r="I647">
            <v>1299.99</v>
          </cell>
          <cell r="J647">
            <v>1068.8104000000001</v>
          </cell>
          <cell r="K647">
            <v>0</v>
          </cell>
          <cell r="L647">
            <v>1068.8104000000001</v>
          </cell>
          <cell r="M647">
            <v>0</v>
          </cell>
          <cell r="N647">
            <v>1299.99</v>
          </cell>
          <cell r="O647" t="str">
            <v>CARREFOUR</v>
          </cell>
          <cell r="P647">
            <v>1199.99</v>
          </cell>
          <cell r="Q647">
            <v>0.216296173764776</v>
          </cell>
          <cell r="R647">
            <v>0.216296173764776</v>
          </cell>
          <cell r="S647" t="e">
            <v>#VALUE!</v>
          </cell>
          <cell r="T647" t="e">
            <v>#VALUE!</v>
          </cell>
        </row>
        <row r="648">
          <cell r="A648" t="str">
            <v>GRNC3000023B</v>
          </cell>
          <cell r="B648" t="str">
            <v>MKP000631004792</v>
          </cell>
          <cell r="C648" t="str">
            <v/>
          </cell>
          <cell r="D648" t="str">
            <v>Armário de Cozinha Completa 300cm Cinza Nice Madesa 02</v>
          </cell>
          <cell r="E648" t="str">
            <v>NICE</v>
          </cell>
          <cell r="F648" t="str">
            <v>COZINHA</v>
          </cell>
          <cell r="G648" t="str">
            <v/>
          </cell>
          <cell r="H648">
            <v>2129.9899999999998</v>
          </cell>
          <cell r="I648">
            <v>2019.99</v>
          </cell>
          <cell r="J648">
            <v>1523.6892</v>
          </cell>
          <cell r="K648">
            <v>0</v>
          </cell>
          <cell r="L648">
            <v>1523.6892</v>
          </cell>
          <cell r="M648">
            <v>0</v>
          </cell>
          <cell r="N648">
            <v>2019.99</v>
          </cell>
          <cell r="O648" t="str">
            <v>MADEIRAMADEIRA</v>
          </cell>
          <cell r="P648">
            <v>1999.99</v>
          </cell>
          <cell r="Q648">
            <v>0.32572311991185599</v>
          </cell>
          <cell r="R648">
            <v>0.32572311991185599</v>
          </cell>
          <cell r="S648" t="e">
            <v>#VALUE!</v>
          </cell>
          <cell r="T648" t="e">
            <v>#VALUE!</v>
          </cell>
        </row>
        <row r="649">
          <cell r="A649" t="str">
            <v>G200806E09</v>
          </cell>
          <cell r="B649" t="str">
            <v>MKP000631000192</v>
          </cell>
          <cell r="C649" t="str">
            <v/>
          </cell>
          <cell r="D649" t="str">
            <v>Armário de Cozinha Compacta 180cm Branco Reims Madesa 80</v>
          </cell>
          <cell r="E649" t="str">
            <v>REIMS</v>
          </cell>
          <cell r="F649" t="str">
            <v>COZINHA</v>
          </cell>
          <cell r="G649" t="str">
            <v/>
          </cell>
          <cell r="H649">
            <v>2139.9899999999998</v>
          </cell>
          <cell r="I649">
            <v>1189.99</v>
          </cell>
          <cell r="J649">
            <v>942.93719999999996</v>
          </cell>
          <cell r="K649">
            <v>0</v>
          </cell>
          <cell r="L649">
            <v>942.93719999999996</v>
          </cell>
          <cell r="M649">
            <v>0</v>
          </cell>
          <cell r="N649">
            <v>1189.99</v>
          </cell>
          <cell r="O649" t="str">
            <v>LOJA</v>
          </cell>
          <cell r="P649">
            <v>1099.99</v>
          </cell>
          <cell r="Q649">
            <v>0.26200345049489998</v>
          </cell>
          <cell r="R649">
            <v>0.26200345049489998</v>
          </cell>
          <cell r="S649" t="e">
            <v>#VALUE!</v>
          </cell>
          <cell r="T649" t="e">
            <v>#VALUE!</v>
          </cell>
        </row>
        <row r="650">
          <cell r="A650" t="str">
            <v>G2512509PRRF</v>
          </cell>
          <cell r="B650" t="str">
            <v>MKP000631000481</v>
          </cell>
          <cell r="C650" t="str">
            <v/>
          </cell>
          <cell r="D650" t="str">
            <v>Armário Aéreo Madesa 2 Portas de Correr Vidro Reflex para Cozinhas Glamy, Lux, Agata e Reims Branco</v>
          </cell>
          <cell r="E650" t="str">
            <v>PR</v>
          </cell>
          <cell r="F650" t="str">
            <v>MODULAÇÃO</v>
          </cell>
          <cell r="G650" t="str">
            <v/>
          </cell>
          <cell r="H650">
            <v>749.99</v>
          </cell>
          <cell r="I650">
            <v>399.99</v>
          </cell>
          <cell r="J650">
            <v>262.13409999999999</v>
          </cell>
          <cell r="K650">
            <v>0</v>
          </cell>
          <cell r="L650">
            <v>262.13409999999999</v>
          </cell>
          <cell r="M650">
            <v>0</v>
          </cell>
          <cell r="N650">
            <v>399.99</v>
          </cell>
          <cell r="O650" t="str">
            <v/>
          </cell>
          <cell r="P650">
            <v>0</v>
          </cell>
          <cell r="Q650">
            <v>0.52589838559729496</v>
          </cell>
          <cell r="R650">
            <v>0.52589838559729496</v>
          </cell>
          <cell r="S650" t="e">
            <v>#VALUE!</v>
          </cell>
          <cell r="T650" t="e">
            <v>#VALUE!</v>
          </cell>
        </row>
        <row r="651">
          <cell r="A651" t="str">
            <v>1093092E</v>
          </cell>
          <cell r="B651" t="str">
            <v>MKP000631001857</v>
          </cell>
          <cell r="C651" t="str">
            <v/>
          </cell>
          <cell r="D651" t="str">
            <v>Guarda-Roupa Casal Madesa Mônaco 3 Portas de Correr com Espelhos Branco</v>
          </cell>
          <cell r="E651" t="str">
            <v>MÔNACO</v>
          </cell>
          <cell r="F651" t="str">
            <v>QUARTO</v>
          </cell>
          <cell r="G651" t="str">
            <v/>
          </cell>
          <cell r="H651">
            <v>1299.99</v>
          </cell>
          <cell r="I651">
            <v>1159.92</v>
          </cell>
          <cell r="J651">
            <v>880.70910000000003</v>
          </cell>
          <cell r="K651">
            <v>0</v>
          </cell>
          <cell r="L651">
            <v>880.70910000000003</v>
          </cell>
          <cell r="M651">
            <v>0</v>
          </cell>
          <cell r="N651">
            <v>1159.92</v>
          </cell>
          <cell r="O651" t="str">
            <v/>
          </cell>
          <cell r="P651">
            <v>0</v>
          </cell>
          <cell r="Q651">
            <v>0.31702965258335603</v>
          </cell>
          <cell r="R651">
            <v>0.31702965258335603</v>
          </cell>
          <cell r="S651" t="e">
            <v>#VALUE!</v>
          </cell>
          <cell r="T651" t="e">
            <v>#VALUE!</v>
          </cell>
        </row>
        <row r="652">
          <cell r="A652" t="str">
            <v>10946ECP</v>
          </cell>
          <cell r="B652" t="str">
            <v>MKP000631000974</v>
          </cell>
          <cell r="C652" t="str">
            <v/>
          </cell>
          <cell r="D652" t="str">
            <v>Guarda-Roupa Solteiro Madesa Denver 2 Portas de Correr com Pés Rustic/Branco</v>
          </cell>
          <cell r="E652" t="str">
            <v>DENVER</v>
          </cell>
          <cell r="F652" t="str">
            <v>QUARTO</v>
          </cell>
          <cell r="G652" t="str">
            <v/>
          </cell>
          <cell r="H652">
            <v>939.99</v>
          </cell>
          <cell r="I652">
            <v>639.91999999999996</v>
          </cell>
          <cell r="J652">
            <v>511.70049999999998</v>
          </cell>
          <cell r="K652">
            <v>0</v>
          </cell>
          <cell r="L652">
            <v>511.70049999999998</v>
          </cell>
          <cell r="M652">
            <v>0</v>
          </cell>
          <cell r="N652">
            <v>639.91999999999996</v>
          </cell>
          <cell r="O652" t="str">
            <v/>
          </cell>
          <cell r="P652">
            <v>0</v>
          </cell>
          <cell r="Q652">
            <v>0.25057528769270299</v>
          </cell>
          <cell r="R652">
            <v>0.25057528769270299</v>
          </cell>
          <cell r="S652" t="e">
            <v>#VALUE!</v>
          </cell>
          <cell r="T652" t="e">
            <v>#VALUE!</v>
          </cell>
        </row>
        <row r="653">
          <cell r="A653" t="str">
            <v>MDES0200026E</v>
          </cell>
          <cell r="B653" t="str">
            <v>MKP000631000160</v>
          </cell>
          <cell r="C653" t="str">
            <v/>
          </cell>
          <cell r="D653" t="str">
            <v>Rack Madesa Metz e Painel para TV até 55 Polegadas Rustic/Branco</v>
          </cell>
          <cell r="E653" t="str">
            <v>METZ</v>
          </cell>
          <cell r="F653" t="str">
            <v>SALA DE ESTAR</v>
          </cell>
          <cell r="G653" t="str">
            <v/>
          </cell>
          <cell r="H653">
            <v>1029.99</v>
          </cell>
          <cell r="I653">
            <v>499.99</v>
          </cell>
          <cell r="J653">
            <v>388.60680000000002</v>
          </cell>
          <cell r="K653">
            <v>0</v>
          </cell>
          <cell r="L653">
            <v>388.60680000000002</v>
          </cell>
          <cell r="M653">
            <v>0</v>
          </cell>
          <cell r="N653">
            <v>499.99</v>
          </cell>
          <cell r="O653" t="str">
            <v/>
          </cell>
          <cell r="P653">
            <v>0</v>
          </cell>
          <cell r="Q653">
            <v>0.28662185015805203</v>
          </cell>
          <cell r="R653">
            <v>0.28662185015805203</v>
          </cell>
          <cell r="S653" t="e">
            <v>#VALUE!</v>
          </cell>
          <cell r="T653" t="e">
            <v>#VALUE!</v>
          </cell>
        </row>
        <row r="654">
          <cell r="A654" t="str">
            <v>G200577K</v>
          </cell>
          <cell r="B654" t="str">
            <v>MKP000631000211</v>
          </cell>
          <cell r="C654" t="str">
            <v/>
          </cell>
          <cell r="D654" t="str">
            <v>Armário de Cozinha Completa 261cm Rustic/Preto Emilly Hit Madesa</v>
          </cell>
          <cell r="E654" t="str">
            <v>HIT/EMILLY</v>
          </cell>
          <cell r="F654" t="str">
            <v>COZINHA</v>
          </cell>
          <cell r="G654" t="str">
            <v/>
          </cell>
          <cell r="H654">
            <v>1199.99</v>
          </cell>
          <cell r="I654">
            <v>1059.92</v>
          </cell>
          <cell r="J654">
            <v>834.34050000000002</v>
          </cell>
          <cell r="K654">
            <v>0</v>
          </cell>
          <cell r="L654">
            <v>834.34050000000002</v>
          </cell>
          <cell r="M654">
            <v>0</v>
          </cell>
          <cell r="N654">
            <v>1059.92</v>
          </cell>
          <cell r="O654" t="str">
            <v/>
          </cell>
          <cell r="P654">
            <v>0</v>
          </cell>
          <cell r="Q654">
            <v>0.27036863247079601</v>
          </cell>
          <cell r="R654">
            <v>0.27036863247079601</v>
          </cell>
          <cell r="S654" t="e">
            <v>#VALUE!</v>
          </cell>
          <cell r="T654" t="e">
            <v>#VALUE!</v>
          </cell>
        </row>
        <row r="655">
          <cell r="A655" t="str">
            <v>XAGREM2290027K</v>
          </cell>
          <cell r="B655" t="str">
            <v>MKP000631003288</v>
          </cell>
          <cell r="C655" t="str">
            <v/>
          </cell>
          <cell r="D655" t="str">
            <v>Armário de Cozinha Compacta Madesa Emilly Pop com Balcão Rustic/Preto</v>
          </cell>
          <cell r="E655" t="str">
            <v>POP/EMILLY</v>
          </cell>
          <cell r="F655" t="str">
            <v>COZINHA</v>
          </cell>
          <cell r="G655" t="str">
            <v/>
          </cell>
          <cell r="H655">
            <v>1159.99</v>
          </cell>
          <cell r="I655">
            <v>759.99</v>
          </cell>
          <cell r="J655">
            <v>587.28110000000004</v>
          </cell>
          <cell r="K655">
            <v>0</v>
          </cell>
          <cell r="L655">
            <v>587.28110000000004</v>
          </cell>
          <cell r="M655">
            <v>0</v>
          </cell>
          <cell r="N655">
            <v>759.99</v>
          </cell>
          <cell r="O655" t="str">
            <v>MAGALU</v>
          </cell>
          <cell r="P655">
            <v>736.83</v>
          </cell>
          <cell r="Q655">
            <v>0.29408216950962701</v>
          </cell>
          <cell r="R655">
            <v>0.29408216950962701</v>
          </cell>
          <cell r="S655" t="e">
            <v>#VALUE!</v>
          </cell>
          <cell r="T655" t="e">
            <v>#VALUE!</v>
          </cell>
        </row>
        <row r="656">
          <cell r="A656" t="str">
            <v>10948N4G</v>
          </cell>
          <cell r="B656" t="str">
            <v>MKP000631001955</v>
          </cell>
          <cell r="C656" t="str">
            <v/>
          </cell>
          <cell r="D656" t="str">
            <v>Guarda-Roupa Solteiro Madesa Dallas Plus 2 Portas de Correr 4 Gavetas Preto</v>
          </cell>
          <cell r="E656" t="str">
            <v>DALLAS PLUS</v>
          </cell>
          <cell r="F656" t="str">
            <v>QUARTO</v>
          </cell>
          <cell r="G656" t="str">
            <v/>
          </cell>
          <cell r="H656">
            <v>1399.99</v>
          </cell>
          <cell r="I656">
            <v>819.92</v>
          </cell>
          <cell r="J656">
            <v>652.58299999999997</v>
          </cell>
          <cell r="K656">
            <v>0</v>
          </cell>
          <cell r="L656">
            <v>652.58299999999997</v>
          </cell>
          <cell r="M656">
            <v>0</v>
          </cell>
          <cell r="N656">
            <v>819.92</v>
          </cell>
          <cell r="O656" t="str">
            <v/>
          </cell>
          <cell r="P656">
            <v>0</v>
          </cell>
          <cell r="Q656">
            <v>0.25642255467886799</v>
          </cell>
          <cell r="R656">
            <v>0.25642255467886799</v>
          </cell>
          <cell r="S656" t="e">
            <v>#VALUE!</v>
          </cell>
          <cell r="T656" t="e">
            <v>#VALUE!</v>
          </cell>
        </row>
        <row r="657">
          <cell r="A657" t="str">
            <v>10948N2E</v>
          </cell>
          <cell r="B657" t="str">
            <v>MKP000631001957</v>
          </cell>
          <cell r="C657" t="str">
            <v/>
          </cell>
          <cell r="D657" t="str">
            <v>Guarda-Roupa Solteiro Madesa Denver 2 Portas de Correr de Espelho Preto</v>
          </cell>
          <cell r="E657" t="str">
            <v>DENVER</v>
          </cell>
          <cell r="F657" t="str">
            <v>QUARTO</v>
          </cell>
          <cell r="G657" t="str">
            <v/>
          </cell>
          <cell r="H657">
            <v>1019.99</v>
          </cell>
          <cell r="I657">
            <v>889.92</v>
          </cell>
          <cell r="J657">
            <v>734.96519999999998</v>
          </cell>
          <cell r="K657">
            <v>0</v>
          </cell>
          <cell r="L657">
            <v>734.96519999999998</v>
          </cell>
          <cell r="M657">
            <v>0</v>
          </cell>
          <cell r="N657">
            <v>889.92</v>
          </cell>
          <cell r="O657" t="str">
            <v/>
          </cell>
          <cell r="P657">
            <v>0</v>
          </cell>
          <cell r="Q657">
            <v>0.210832839432398</v>
          </cell>
          <cell r="R657">
            <v>0.210832839432398</v>
          </cell>
          <cell r="S657" t="e">
            <v>#VALUE!</v>
          </cell>
          <cell r="T657" t="e">
            <v>#VALUE!</v>
          </cell>
        </row>
        <row r="658">
          <cell r="A658" t="str">
            <v>GCEM2930017K</v>
          </cell>
          <cell r="B658" t="str">
            <v>MKP000631002196</v>
          </cell>
          <cell r="C658" t="str">
            <v/>
          </cell>
          <cell r="D658" t="str">
            <v>Armário de Cozinha Completa de Canto 293cm Rustic/Preto Emilly Open Madesa 01</v>
          </cell>
          <cell r="E658" t="str">
            <v>OPEN/EMILLY</v>
          </cell>
          <cell r="F658" t="str">
            <v>COZINHA</v>
          </cell>
          <cell r="G658" t="str">
            <v/>
          </cell>
          <cell r="H658">
            <v>1599.99</v>
          </cell>
          <cell r="I658">
            <v>999.99</v>
          </cell>
          <cell r="J658">
            <v>837.12</v>
          </cell>
          <cell r="K658">
            <v>0</v>
          </cell>
          <cell r="L658">
            <v>837.12</v>
          </cell>
          <cell r="M658">
            <v>0</v>
          </cell>
          <cell r="N658">
            <v>999.99</v>
          </cell>
          <cell r="O658" t="str">
            <v/>
          </cell>
          <cell r="P658">
            <v>0</v>
          </cell>
          <cell r="Q658">
            <v>0.19455991972477099</v>
          </cell>
          <cell r="R658">
            <v>0.19455991972477099</v>
          </cell>
          <cell r="S658" t="e">
            <v>#VALUE!</v>
          </cell>
          <cell r="T658" t="e">
            <v>#VALUE!</v>
          </cell>
        </row>
        <row r="659">
          <cell r="A659" t="str">
            <v>6990091</v>
          </cell>
          <cell r="B659" t="str">
            <v>MKP000631000899</v>
          </cell>
          <cell r="C659" t="str">
            <v/>
          </cell>
          <cell r="D659" t="str">
            <v>Estante Escada para Livros com 4 Prateleiras Madesa Branco</v>
          </cell>
          <cell r="E659" t="str">
            <v>ESTANTE ESCADA</v>
          </cell>
          <cell r="F659" t="str">
            <v>SALA DE ESTAR</v>
          </cell>
          <cell r="G659" t="str">
            <v/>
          </cell>
          <cell r="H659">
            <v>299.99</v>
          </cell>
          <cell r="I659">
            <v>199.99</v>
          </cell>
          <cell r="J659">
            <v>149.24279999999999</v>
          </cell>
          <cell r="K659">
            <v>0</v>
          </cell>
          <cell r="L659">
            <v>149.24279999999999</v>
          </cell>
          <cell r="M659">
            <v>0</v>
          </cell>
          <cell r="N659">
            <v>199.99</v>
          </cell>
          <cell r="O659" t="str">
            <v/>
          </cell>
          <cell r="P659">
            <v>0</v>
          </cell>
          <cell r="Q659">
            <v>0.34003114388097799</v>
          </cell>
          <cell r="R659">
            <v>0.34003114388097799</v>
          </cell>
          <cell r="S659" t="e">
            <v>#VALUE!</v>
          </cell>
          <cell r="T659" t="e">
            <v>#VALUE!</v>
          </cell>
        </row>
        <row r="660">
          <cell r="A660" t="str">
            <v>GCAG399002F9</v>
          </cell>
          <cell r="B660" t="str">
            <v>MKP000631004628</v>
          </cell>
          <cell r="C660" t="str">
            <v/>
          </cell>
          <cell r="D660" t="str">
            <v>Armário de Cozinha Completa de Canto 399cm Rustic Cinza Agata Madesa 02</v>
          </cell>
          <cell r="E660" t="str">
            <v>ÁGATA</v>
          </cell>
          <cell r="F660" t="str">
            <v>COZINHA</v>
          </cell>
          <cell r="G660" t="str">
            <v/>
          </cell>
          <cell r="H660">
            <v>2599.9899999999998</v>
          </cell>
          <cell r="I660">
            <v>2499.9899999999998</v>
          </cell>
          <cell r="J660">
            <v>2030.0596</v>
          </cell>
          <cell r="K660">
            <v>0</v>
          </cell>
          <cell r="L660">
            <v>2030.0596</v>
          </cell>
          <cell r="M660">
            <v>0</v>
          </cell>
          <cell r="N660">
            <v>2499.9899999999998</v>
          </cell>
          <cell r="O660" t="str">
            <v/>
          </cell>
          <cell r="P660">
            <v>0</v>
          </cell>
          <cell r="Q660">
            <v>0.23148601154369999</v>
          </cell>
          <cell r="R660">
            <v>0.23148601154369999</v>
          </cell>
          <cell r="S660" t="e">
            <v>#VALUE!</v>
          </cell>
          <cell r="T660" t="e">
            <v>#VALUE!</v>
          </cell>
        </row>
        <row r="661">
          <cell r="A661" t="str">
            <v>MDJA0401487KSM</v>
          </cell>
          <cell r="B661" t="str">
            <v>MKP000631005281</v>
          </cell>
          <cell r="C661" t="str">
            <v/>
          </cell>
          <cell r="D661" t="str">
            <v>Conjunto Sala de Jantar Mesa Tampo de Vidro 4 Cadeiras Rustic/Preto/Imperial Avril Madesa</v>
          </cell>
          <cell r="E661" t="str">
            <v>AVRIL</v>
          </cell>
          <cell r="F661" t="str">
            <v>SALA DE JANTAR</v>
          </cell>
          <cell r="G661">
            <v>4255</v>
          </cell>
          <cell r="H661">
            <v>1449.99</v>
          </cell>
          <cell r="I661">
            <v>1349.99</v>
          </cell>
          <cell r="J661">
            <v>1036.2411999999999</v>
          </cell>
          <cell r="K661">
            <v>0</v>
          </cell>
          <cell r="L661">
            <v>1036.2411999999999</v>
          </cell>
          <cell r="M661">
            <v>0</v>
          </cell>
          <cell r="N661">
            <v>1349.99</v>
          </cell>
          <cell r="O661" t="str">
            <v/>
          </cell>
          <cell r="P661">
            <v>0</v>
          </cell>
          <cell r="Q661">
            <v>0.30277584021943899</v>
          </cell>
          <cell r="R661">
            <v>0.30277584021943899</v>
          </cell>
          <cell r="S661" t="e">
            <v>#VALUE!</v>
          </cell>
          <cell r="T661" t="e">
            <v>#VALUE!</v>
          </cell>
        </row>
        <row r="662">
          <cell r="A662" t="str">
            <v>42805Z2XPT</v>
          </cell>
          <cell r="B662" t="str">
            <v>MKP000631001516</v>
          </cell>
          <cell r="C662" t="str">
            <v/>
          </cell>
          <cell r="D662" t="str">
            <v>Kit 2 Cadeiras 4280 Madesa Rustic/Preto</v>
          </cell>
          <cell r="E662">
            <v>4280</v>
          </cell>
          <cell r="F662" t="str">
            <v>SALA DE JANTAR</v>
          </cell>
          <cell r="G662" t="str">
            <v>4280X</v>
          </cell>
          <cell r="H662">
            <v>449.99</v>
          </cell>
          <cell r="I662">
            <v>289.92</v>
          </cell>
          <cell r="J662">
            <v>141.78720000000001</v>
          </cell>
          <cell r="K662">
            <v>0</v>
          </cell>
          <cell r="L662">
            <v>141.78720000000001</v>
          </cell>
          <cell r="M662">
            <v>0</v>
          </cell>
          <cell r="N662">
            <v>289.92</v>
          </cell>
          <cell r="O662" t="str">
            <v/>
          </cell>
          <cell r="P662">
            <v>0</v>
          </cell>
          <cell r="Q662">
            <v>1.04475439249805</v>
          </cell>
          <cell r="R662">
            <v>1.04475439249805</v>
          </cell>
          <cell r="S662" t="e">
            <v>#VALUE!</v>
          </cell>
          <cell r="T662" t="e">
            <v>#VALUE!</v>
          </cell>
        </row>
        <row r="663">
          <cell r="A663" t="str">
            <v>G2512509MB</v>
          </cell>
          <cell r="B663" t="str">
            <v>MKP000631000933</v>
          </cell>
          <cell r="C663" t="str">
            <v/>
          </cell>
          <cell r="D663" t="str">
            <v>Armário Aéreo Madesa Acordes 100% MDF 2 Portas de Correr de Vidro Branco</v>
          </cell>
          <cell r="E663" t="str">
            <v>ACORDES</v>
          </cell>
          <cell r="F663" t="str">
            <v>MODULAÇÃO</v>
          </cell>
          <cell r="G663" t="str">
            <v/>
          </cell>
          <cell r="H663">
            <v>759.99</v>
          </cell>
          <cell r="I663">
            <v>410.92</v>
          </cell>
          <cell r="J663">
            <v>275.62830000000002</v>
          </cell>
          <cell r="K663">
            <v>0</v>
          </cell>
          <cell r="L663">
            <v>275.62830000000002</v>
          </cell>
          <cell r="M663">
            <v>0</v>
          </cell>
          <cell r="N663">
            <v>410.92</v>
          </cell>
          <cell r="O663" t="str">
            <v/>
          </cell>
          <cell r="P663">
            <v>0</v>
          </cell>
          <cell r="Q663">
            <v>0.49084836353886702</v>
          </cell>
          <cell r="R663">
            <v>0.49084836353886702</v>
          </cell>
          <cell r="S663" t="e">
            <v>#VALUE!</v>
          </cell>
          <cell r="T663" t="e">
            <v>#VALUE!</v>
          </cell>
        </row>
        <row r="664">
          <cell r="A664" t="str">
            <v>MDJA040135F9SIL</v>
          </cell>
          <cell r="B664" t="str">
            <v>MKP000631004737</v>
          </cell>
          <cell r="C664" t="str">
            <v/>
          </cell>
          <cell r="D664" t="str">
            <v>Conjunto Sala de Jantar Mesa Tampo de Vidro 4 Cadeiras Rustic/Cinza/Silver Marilia Madesa</v>
          </cell>
          <cell r="E664" t="str">
            <v>MARILIA</v>
          </cell>
          <cell r="F664" t="str">
            <v>SALA DE JANTAR</v>
          </cell>
          <cell r="G664">
            <v>4256</v>
          </cell>
          <cell r="H664">
            <v>1549.99</v>
          </cell>
          <cell r="I664">
            <v>1439.99</v>
          </cell>
          <cell r="J664">
            <v>1112.5848000000001</v>
          </cell>
          <cell r="K664">
            <v>0</v>
          </cell>
          <cell r="L664">
            <v>1112.5848000000001</v>
          </cell>
          <cell r="M664">
            <v>0</v>
          </cell>
          <cell r="N664">
            <v>1439.99</v>
          </cell>
          <cell r="O664" t="str">
            <v>AMAZON</v>
          </cell>
          <cell r="P664">
            <v>1399.99</v>
          </cell>
          <cell r="Q664">
            <v>0.29427437800696199</v>
          </cell>
          <cell r="R664">
            <v>0.29427437800696199</v>
          </cell>
          <cell r="S664" t="e">
            <v>#VALUE!</v>
          </cell>
          <cell r="T664" t="e">
            <v>#VALUE!</v>
          </cell>
        </row>
        <row r="665">
          <cell r="A665" t="str">
            <v>GRAG28000273</v>
          </cell>
          <cell r="B665" t="str">
            <v>MKP000631003087</v>
          </cell>
          <cell r="C665" t="str">
            <v/>
          </cell>
          <cell r="D665" t="str">
            <v>Armário de Cozinha Compacta 280cm Branco/Preto Agata Madesa 02</v>
          </cell>
          <cell r="E665" t="str">
            <v>ÁGATA</v>
          </cell>
          <cell r="F665" t="str">
            <v>COZINHA</v>
          </cell>
          <cell r="G665" t="str">
            <v/>
          </cell>
          <cell r="H665">
            <v>1499.99</v>
          </cell>
          <cell r="I665">
            <v>1399.99</v>
          </cell>
          <cell r="J665">
            <v>1174.7692999999999</v>
          </cell>
          <cell r="K665">
            <v>0</v>
          </cell>
          <cell r="L665">
            <v>1174.7692999999999</v>
          </cell>
          <cell r="M665">
            <v>0</v>
          </cell>
          <cell r="N665">
            <v>1399.99</v>
          </cell>
          <cell r="O665" t="str">
            <v/>
          </cell>
          <cell r="P665">
            <v>0</v>
          </cell>
          <cell r="Q665">
            <v>0.19171483286122601</v>
          </cell>
          <cell r="R665">
            <v>0.19171483286122601</v>
          </cell>
          <cell r="S665" t="e">
            <v>#VALUE!</v>
          </cell>
          <cell r="T665" t="e">
            <v>#VALUE!</v>
          </cell>
        </row>
        <row r="666">
          <cell r="A666" t="str">
            <v>109409CP</v>
          </cell>
          <cell r="B666" t="str">
            <v>MKP000631000966</v>
          </cell>
          <cell r="C666" t="str">
            <v/>
          </cell>
          <cell r="D666" t="str">
            <v>Guarda-Roupa Solteiro Madesa Denver 2 Portas de Correr com Pés Branco</v>
          </cell>
          <cell r="E666" t="str">
            <v>DENVER</v>
          </cell>
          <cell r="F666" t="str">
            <v>QUARTO</v>
          </cell>
          <cell r="G666" t="str">
            <v/>
          </cell>
          <cell r="H666">
            <v>759.99</v>
          </cell>
          <cell r="I666">
            <v>639.91999999999996</v>
          </cell>
          <cell r="J666">
            <v>511.70049999999998</v>
          </cell>
          <cell r="K666">
            <v>0</v>
          </cell>
          <cell r="L666">
            <v>511.70049999999998</v>
          </cell>
          <cell r="M666">
            <v>0</v>
          </cell>
          <cell r="N666">
            <v>639.91999999999996</v>
          </cell>
          <cell r="O666" t="str">
            <v/>
          </cell>
          <cell r="P666">
            <v>0</v>
          </cell>
          <cell r="Q666">
            <v>0.25057528769270299</v>
          </cell>
          <cell r="R666">
            <v>0.25057528769270299</v>
          </cell>
          <cell r="S666" t="e">
            <v>#VALUE!</v>
          </cell>
          <cell r="T666" t="e">
            <v>#VALUE!</v>
          </cell>
        </row>
        <row r="667">
          <cell r="A667" t="str">
            <v>11048N</v>
          </cell>
          <cell r="B667" t="str">
            <v>MKP000631004568</v>
          </cell>
          <cell r="C667" t="str">
            <v/>
          </cell>
          <cell r="D667" t="str">
            <v>Sapateira Armário Multiuso Madesa Isis 1 Porta Preto</v>
          </cell>
          <cell r="E667" t="str">
            <v>ISIS</v>
          </cell>
          <cell r="F667" t="str">
            <v>QUARTO</v>
          </cell>
          <cell r="G667" t="str">
            <v/>
          </cell>
          <cell r="H667">
            <v>499.99</v>
          </cell>
          <cell r="I667">
            <v>469.92</v>
          </cell>
          <cell r="J667">
            <v>292.4579</v>
          </cell>
          <cell r="K667">
            <v>0</v>
          </cell>
          <cell r="L667">
            <v>292.4579</v>
          </cell>
          <cell r="M667">
            <v>0</v>
          </cell>
          <cell r="N667">
            <v>469.92</v>
          </cell>
          <cell r="O667" t="str">
            <v/>
          </cell>
          <cell r="P667">
            <v>0</v>
          </cell>
          <cell r="Q667">
            <v>0.60679537123120997</v>
          </cell>
          <cell r="R667">
            <v>0.60679537123120997</v>
          </cell>
          <cell r="S667" t="e">
            <v>#VALUE!</v>
          </cell>
          <cell r="T667" t="e">
            <v>#VALUE!</v>
          </cell>
        </row>
        <row r="668">
          <cell r="A668" t="str">
            <v>G200880909RF</v>
          </cell>
          <cell r="B668" t="str">
            <v>MKP000631001048</v>
          </cell>
          <cell r="C668" t="str">
            <v/>
          </cell>
          <cell r="D668" t="str">
            <v>Armário de Cozinha Completa 240cm Branco Diamante Madesa</v>
          </cell>
          <cell r="E668" t="str">
            <v>DIAMANTE</v>
          </cell>
          <cell r="F668" t="str">
            <v>COZINHA</v>
          </cell>
          <cell r="G668" t="str">
            <v/>
          </cell>
          <cell r="H668">
            <v>2059.9899999999998</v>
          </cell>
          <cell r="I668">
            <v>1369.99</v>
          </cell>
          <cell r="J668">
            <v>1065.8128999999999</v>
          </cell>
          <cell r="K668">
            <v>0</v>
          </cell>
          <cell r="L668">
            <v>1065.8128999999999</v>
          </cell>
          <cell r="M668">
            <v>0</v>
          </cell>
          <cell r="N668">
            <v>1369.99</v>
          </cell>
          <cell r="O668" t="str">
            <v>VIA</v>
          </cell>
          <cell r="P668">
            <v>1299.99</v>
          </cell>
          <cell r="Q668">
            <v>0.28539446276170999</v>
          </cell>
          <cell r="R668">
            <v>0.28539446276170999</v>
          </cell>
          <cell r="S668" t="e">
            <v>#VALUE!</v>
          </cell>
          <cell r="T668" t="e">
            <v>#VALUE!</v>
          </cell>
        </row>
        <row r="669">
          <cell r="A669" t="str">
            <v>GREM325001F9</v>
          </cell>
          <cell r="B669" t="str">
            <v>MKP000631005144</v>
          </cell>
          <cell r="C669" t="str">
            <v/>
          </cell>
          <cell r="D669" t="str">
            <v>Armário de Cozinha Completa 325cm Cinza/Rustic Emilly Joy Madesa 01</v>
          </cell>
          <cell r="E669" t="str">
            <v>JOY/EMILLY</v>
          </cell>
          <cell r="F669" t="str">
            <v>COZINHA</v>
          </cell>
          <cell r="G669" t="str">
            <v/>
          </cell>
          <cell r="H669">
            <v>1499.99</v>
          </cell>
          <cell r="I669">
            <v>1399.99</v>
          </cell>
          <cell r="J669">
            <v>1092.4088999999999</v>
          </cell>
          <cell r="K669">
            <v>0</v>
          </cell>
          <cell r="L669">
            <v>1092.4088999999999</v>
          </cell>
          <cell r="M669">
            <v>0</v>
          </cell>
          <cell r="N669">
            <v>1399.99</v>
          </cell>
          <cell r="O669" t="str">
            <v/>
          </cell>
          <cell r="P669">
            <v>0</v>
          </cell>
          <cell r="Q669">
            <v>0.28156224285613202</v>
          </cell>
          <cell r="R669">
            <v>0.28156224285613202</v>
          </cell>
          <cell r="S669" t="e">
            <v>#VALUE!</v>
          </cell>
          <cell r="T669" t="e">
            <v>#VALUE!</v>
          </cell>
        </row>
        <row r="670">
          <cell r="A670" t="str">
            <v>69078N1</v>
          </cell>
          <cell r="B670" t="str">
            <v>MKP000631003426</v>
          </cell>
          <cell r="C670" t="str">
            <v/>
          </cell>
          <cell r="D670" t="str">
            <v>Estante Livreiro Madesa 6907 com 3 Nichos Preto</v>
          </cell>
          <cell r="E670">
            <v>6907</v>
          </cell>
          <cell r="F670" t="str">
            <v>ESCRITÓRIO</v>
          </cell>
          <cell r="G670" t="str">
            <v/>
          </cell>
          <cell r="H670">
            <v>359.99</v>
          </cell>
          <cell r="I670">
            <v>249.92</v>
          </cell>
          <cell r="J670">
            <v>154.5402</v>
          </cell>
          <cell r="K670">
            <v>0</v>
          </cell>
          <cell r="L670">
            <v>154.5402</v>
          </cell>
          <cell r="M670">
            <v>0</v>
          </cell>
          <cell r="N670">
            <v>249.92</v>
          </cell>
          <cell r="O670" t="str">
            <v/>
          </cell>
          <cell r="P670">
            <v>0</v>
          </cell>
          <cell r="Q670">
            <v>0.61718439603417097</v>
          </cell>
          <cell r="R670">
            <v>0.61718439603417097</v>
          </cell>
          <cell r="S670" t="e">
            <v>#VALUE!</v>
          </cell>
          <cell r="T670" t="e">
            <v>#VALUE!</v>
          </cell>
        </row>
        <row r="671">
          <cell r="A671" t="str">
            <v>10947K2G</v>
          </cell>
          <cell r="B671" t="str">
            <v>MKP000631002017</v>
          </cell>
          <cell r="C671" t="str">
            <v/>
          </cell>
          <cell r="D671" t="str">
            <v>Guarda-Roupa Solteiro Madesa Dallas 2 Portas de Correr 2 Gavetas Rustic/Preto</v>
          </cell>
          <cell r="E671" t="str">
            <v>DALLAS</v>
          </cell>
          <cell r="F671" t="str">
            <v>QUARTO</v>
          </cell>
          <cell r="G671" t="str">
            <v/>
          </cell>
          <cell r="H671">
            <v>799.99</v>
          </cell>
          <cell r="I671">
            <v>699.99</v>
          </cell>
          <cell r="J671">
            <v>563.84609999999998</v>
          </cell>
          <cell r="K671">
            <v>0</v>
          </cell>
          <cell r="L671">
            <v>563.84609999999998</v>
          </cell>
          <cell r="M671">
            <v>0</v>
          </cell>
          <cell r="N671">
            <v>699.99</v>
          </cell>
          <cell r="O671" t="str">
            <v/>
          </cell>
          <cell r="P671">
            <v>0</v>
          </cell>
          <cell r="Q671">
            <v>0.24145578022087899</v>
          </cell>
          <cell r="R671">
            <v>0.24145578022087899</v>
          </cell>
          <cell r="S671" t="e">
            <v>#VALUE!</v>
          </cell>
          <cell r="T671" t="e">
            <v>#VALUE!</v>
          </cell>
        </row>
        <row r="672">
          <cell r="A672" t="str">
            <v>GRLX2700019R</v>
          </cell>
          <cell r="B672" t="str">
            <v>MKP000631004329</v>
          </cell>
          <cell r="C672" t="str">
            <v/>
          </cell>
          <cell r="D672" t="str">
            <v>Armário de Cozinha Completa 270cm Branco Cinza Lux Madesa 01</v>
          </cell>
          <cell r="E672" t="str">
            <v>LUX</v>
          </cell>
          <cell r="F672" t="str">
            <v>COZINHA</v>
          </cell>
          <cell r="G672" t="str">
            <v/>
          </cell>
          <cell r="H672">
            <v>3709.99</v>
          </cell>
          <cell r="I672">
            <v>3619.99</v>
          </cell>
          <cell r="J672">
            <v>2292.5425</v>
          </cell>
          <cell r="K672">
            <v>0</v>
          </cell>
          <cell r="L672">
            <v>2292.5425</v>
          </cell>
          <cell r="M672">
            <v>0</v>
          </cell>
          <cell r="N672">
            <v>3619.99</v>
          </cell>
          <cell r="O672" t="str">
            <v>LOJA</v>
          </cell>
          <cell r="P672">
            <v>3179.99</v>
          </cell>
          <cell r="Q672">
            <v>0.57902852400773397</v>
          </cell>
          <cell r="R672">
            <v>0.57902852400773397</v>
          </cell>
          <cell r="S672" t="e">
            <v>#VALUE!</v>
          </cell>
          <cell r="T672" t="e">
            <v>#VALUE!</v>
          </cell>
        </row>
        <row r="673">
          <cell r="A673" t="str">
            <v>10935Z3E2G</v>
          </cell>
          <cell r="B673" t="str">
            <v>MKP000631000471</v>
          </cell>
          <cell r="C673" t="str">
            <v/>
          </cell>
          <cell r="D673" t="str">
            <v>Guarda-Roupa Casal Madesa Lyon 3 Portas de Correr de Espelho 2 Gavetas Rustic</v>
          </cell>
          <cell r="E673" t="str">
            <v>LYON</v>
          </cell>
          <cell r="F673" t="str">
            <v>QUARTO</v>
          </cell>
          <cell r="G673" t="str">
            <v/>
          </cell>
          <cell r="H673">
            <v>1469.99</v>
          </cell>
          <cell r="I673">
            <v>1319.92</v>
          </cell>
          <cell r="J673">
            <v>1099.374</v>
          </cell>
          <cell r="K673">
            <v>0</v>
          </cell>
          <cell r="L673">
            <v>1099.374</v>
          </cell>
          <cell r="M673">
            <v>0</v>
          </cell>
          <cell r="N673">
            <v>1319.92</v>
          </cell>
          <cell r="O673" t="str">
            <v/>
          </cell>
          <cell r="P673">
            <v>0</v>
          </cell>
          <cell r="Q673">
            <v>0.200610529264836</v>
          </cell>
          <cell r="R673">
            <v>0.200610529264836</v>
          </cell>
          <cell r="S673" t="e">
            <v>#VALUE!</v>
          </cell>
          <cell r="T673" t="e">
            <v>#VALUE!</v>
          </cell>
        </row>
        <row r="674">
          <cell r="A674" t="str">
            <v>XAGCRM4520018N</v>
          </cell>
          <cell r="B674" t="str">
            <v>MKP000631003299</v>
          </cell>
          <cell r="C674" t="str">
            <v/>
          </cell>
          <cell r="D674" t="str">
            <v>Armário de Cozinha Completa de Canto 452cm Preto Reims Madesa XA01</v>
          </cell>
          <cell r="E674" t="str">
            <v>REIMS</v>
          </cell>
          <cell r="F674" t="str">
            <v>COZINHA</v>
          </cell>
          <cell r="G674" t="str">
            <v/>
          </cell>
          <cell r="H674">
            <v>3959.99</v>
          </cell>
          <cell r="I674">
            <v>2449.9899999999998</v>
          </cell>
          <cell r="J674">
            <v>1923.9590000000001</v>
          </cell>
          <cell r="K674">
            <v>0</v>
          </cell>
          <cell r="L674">
            <v>1923.9590000000001</v>
          </cell>
          <cell r="M674">
            <v>0</v>
          </cell>
          <cell r="N674">
            <v>2449.9899999999998</v>
          </cell>
          <cell r="O674" t="str">
            <v>MAGALU</v>
          </cell>
          <cell r="P674">
            <v>2399.9899999999998</v>
          </cell>
          <cell r="Q674">
            <v>0.27341071197463102</v>
          </cell>
          <cell r="R674">
            <v>0.27341071197463102</v>
          </cell>
          <cell r="S674" t="e">
            <v>#VALUE!</v>
          </cell>
          <cell r="T674" t="e">
            <v>#VALUE!</v>
          </cell>
        </row>
        <row r="675">
          <cell r="A675" t="str">
            <v>GRFL12000109</v>
          </cell>
          <cell r="B675" t="str">
            <v>MKP000631004886</v>
          </cell>
          <cell r="C675" t="str">
            <v/>
          </cell>
          <cell r="D675" t="str">
            <v>Armário Aéreo 120 cm 2 Portas 2 Nichos Branco para Cozinha Madesa</v>
          </cell>
          <cell r="E675" t="str">
            <v>PR</v>
          </cell>
          <cell r="F675" t="str">
            <v>MODULAÇÃO</v>
          </cell>
          <cell r="G675" t="str">
            <v/>
          </cell>
          <cell r="H675">
            <v>499.99</v>
          </cell>
          <cell r="I675">
            <v>259.92</v>
          </cell>
          <cell r="J675">
            <v>179.25049999999999</v>
          </cell>
          <cell r="K675">
            <v>0</v>
          </cell>
          <cell r="L675">
            <v>179.25049999999999</v>
          </cell>
          <cell r="M675">
            <v>0</v>
          </cell>
          <cell r="N675">
            <v>259.92</v>
          </cell>
          <cell r="O675" t="str">
            <v/>
          </cell>
          <cell r="P675">
            <v>0</v>
          </cell>
          <cell r="Q675">
            <v>0.450037796268351</v>
          </cell>
          <cell r="R675">
            <v>0.450037796268351</v>
          </cell>
          <cell r="S675" t="e">
            <v>#VALUE!</v>
          </cell>
          <cell r="T675" t="e">
            <v>#VALUE!</v>
          </cell>
        </row>
        <row r="676">
          <cell r="A676" t="str">
            <v>1028734E</v>
          </cell>
          <cell r="B676" t="str">
            <v>MKP000631003471</v>
          </cell>
          <cell r="C676" t="str">
            <v/>
          </cell>
          <cell r="D676" t="str">
            <v>Guarda-Roupa Casal Madesa Austin 4 Portas de Correr de Espelho 3 Gavetas Branco/Preto</v>
          </cell>
          <cell r="E676" t="str">
            <v>AUSTIN</v>
          </cell>
          <cell r="F676" t="str">
            <v>QUARTO</v>
          </cell>
          <cell r="G676" t="str">
            <v/>
          </cell>
          <cell r="H676">
            <v>2999.99</v>
          </cell>
          <cell r="I676">
            <v>2099.9899999999998</v>
          </cell>
          <cell r="J676">
            <v>1632.2095999999999</v>
          </cell>
          <cell r="K676">
            <v>0</v>
          </cell>
          <cell r="L676">
            <v>1632.2095999999999</v>
          </cell>
          <cell r="M676">
            <v>0</v>
          </cell>
          <cell r="N676">
            <v>2099.9899999999998</v>
          </cell>
          <cell r="O676" t="str">
            <v>CARREFOUR</v>
          </cell>
          <cell r="P676">
            <v>1879.99</v>
          </cell>
          <cell r="Q676">
            <v>0.28659333948287002</v>
          </cell>
          <cell r="R676">
            <v>0.28659333948287002</v>
          </cell>
          <cell r="S676" t="e">
            <v>#VALUE!</v>
          </cell>
          <cell r="T676" t="e">
            <v>#VALUE!</v>
          </cell>
        </row>
        <row r="677">
          <cell r="A677" t="str">
            <v>GCRM3320018N</v>
          </cell>
          <cell r="B677" t="str">
            <v>MKP000631002533</v>
          </cell>
          <cell r="C677" t="str">
            <v/>
          </cell>
          <cell r="D677" t="str">
            <v>Armário de Cozinha Completa de Canto 332cm Preto Reims Madesa 01</v>
          </cell>
          <cell r="E677" t="str">
            <v>REIMS</v>
          </cell>
          <cell r="F677" t="str">
            <v>COZINHA</v>
          </cell>
          <cell r="G677" t="str">
            <v/>
          </cell>
          <cell r="H677">
            <v>3379.99</v>
          </cell>
          <cell r="I677">
            <v>1639.92</v>
          </cell>
          <cell r="J677">
            <v>1419.2345</v>
          </cell>
          <cell r="K677">
            <v>0</v>
          </cell>
          <cell r="L677">
            <v>1419.2345</v>
          </cell>
          <cell r="M677">
            <v>0</v>
          </cell>
          <cell r="N677">
            <v>1639.92</v>
          </cell>
          <cell r="O677" t="str">
            <v/>
          </cell>
          <cell r="P677">
            <v>0</v>
          </cell>
          <cell r="Q677">
            <v>0.155496149508767</v>
          </cell>
          <cell r="R677">
            <v>0.155496149508767</v>
          </cell>
          <cell r="S677" t="e">
            <v>#VALUE!</v>
          </cell>
          <cell r="T677" t="e">
            <v>#VALUE!</v>
          </cell>
        </row>
        <row r="678">
          <cell r="A678" t="str">
            <v>GRRM26001209</v>
          </cell>
          <cell r="B678" t="str">
            <v>MKP000631004199</v>
          </cell>
          <cell r="C678" t="str">
            <v/>
          </cell>
          <cell r="D678" t="str">
            <v>Armário de Cozinha Completa 260cm Branco Reims Madesa 12</v>
          </cell>
          <cell r="E678" t="str">
            <v>REIMS</v>
          </cell>
          <cell r="F678" t="str">
            <v>COZINHA</v>
          </cell>
          <cell r="G678" t="str">
            <v/>
          </cell>
          <cell r="H678">
            <v>1549.99</v>
          </cell>
          <cell r="I678">
            <v>1199.99</v>
          </cell>
          <cell r="J678">
            <v>1043.0427999999999</v>
          </cell>
          <cell r="K678">
            <v>0</v>
          </cell>
          <cell r="L678">
            <v>1043.0427999999999</v>
          </cell>
          <cell r="M678">
            <v>0</v>
          </cell>
          <cell r="N678">
            <v>1199.99</v>
          </cell>
          <cell r="O678" t="str">
            <v>RIACHUELO</v>
          </cell>
          <cell r="P678">
            <v>1149.99</v>
          </cell>
          <cell r="Q678">
            <v>0.15047052719217299</v>
          </cell>
          <cell r="R678">
            <v>0.15047052719217299</v>
          </cell>
          <cell r="S678" t="e">
            <v>#VALUE!</v>
          </cell>
          <cell r="T678" t="e">
            <v>#VALUE!</v>
          </cell>
        </row>
        <row r="679">
          <cell r="A679" t="str">
            <v>10979B2E</v>
          </cell>
          <cell r="B679" t="str">
            <v>MKP000631002483</v>
          </cell>
          <cell r="C679" t="str">
            <v/>
          </cell>
          <cell r="D679" t="str">
            <v>Guarda-Roupa Solteiro Madesa Tokio 2 Portas de Correr de Espelho 2 Gavetas Branco/Rustic</v>
          </cell>
          <cell r="E679" t="str">
            <v>TOKIO</v>
          </cell>
          <cell r="F679" t="str">
            <v>QUARTO</v>
          </cell>
          <cell r="G679" t="str">
            <v/>
          </cell>
          <cell r="H679">
            <v>1189.99</v>
          </cell>
          <cell r="I679">
            <v>1049.92</v>
          </cell>
          <cell r="J679">
            <v>869.96169999999995</v>
          </cell>
          <cell r="K679">
            <v>0</v>
          </cell>
          <cell r="L679">
            <v>869.96169999999995</v>
          </cell>
          <cell r="M679">
            <v>0</v>
          </cell>
          <cell r="N679">
            <v>1049.92</v>
          </cell>
          <cell r="O679" t="str">
            <v/>
          </cell>
          <cell r="P679">
            <v>0</v>
          </cell>
          <cell r="Q679">
            <v>0.20685772718500101</v>
          </cell>
          <cell r="R679">
            <v>0.20685772718500101</v>
          </cell>
          <cell r="S679" t="e">
            <v>#VALUE!</v>
          </cell>
          <cell r="T679" t="e">
            <v>#VALUE!</v>
          </cell>
        </row>
        <row r="680">
          <cell r="A680" t="str">
            <v>70037K1CP</v>
          </cell>
          <cell r="B680" t="str">
            <v>MKP000631001182</v>
          </cell>
          <cell r="C680" t="str">
            <v/>
          </cell>
          <cell r="D680" t="str">
            <v>Rack com Painel para TV até 65 Polegadas Madesa Miami com Pés Preto/Rustic</v>
          </cell>
          <cell r="E680" t="str">
            <v>MIAMI</v>
          </cell>
          <cell r="F680" t="str">
            <v>SALA DE ESTAR</v>
          </cell>
          <cell r="G680" t="str">
            <v/>
          </cell>
          <cell r="H680">
            <v>1079.99</v>
          </cell>
          <cell r="I680">
            <v>519.91999999999996</v>
          </cell>
          <cell r="J680">
            <v>428.64249999999998</v>
          </cell>
          <cell r="K680">
            <v>0</v>
          </cell>
          <cell r="L680">
            <v>428.64249999999998</v>
          </cell>
          <cell r="M680">
            <v>0</v>
          </cell>
          <cell r="N680">
            <v>519.91999999999996</v>
          </cell>
          <cell r="O680" t="str">
            <v/>
          </cell>
          <cell r="P680">
            <v>0</v>
          </cell>
          <cell r="Q680">
            <v>0.21294551986795501</v>
          </cell>
          <cell r="R680">
            <v>0.21294551986795501</v>
          </cell>
          <cell r="S680" t="e">
            <v>#VALUE!</v>
          </cell>
          <cell r="T680" t="e">
            <v>#VALUE!</v>
          </cell>
        </row>
        <row r="681">
          <cell r="A681" t="str">
            <v>GRNC2800013B</v>
          </cell>
          <cell r="B681" t="str">
            <v>MKP000631004790</v>
          </cell>
          <cell r="C681" t="str">
            <v/>
          </cell>
          <cell r="D681" t="str">
            <v>Armário de Cozinha Completa 280cm Cinza Nice Madesa 01</v>
          </cell>
          <cell r="E681" t="str">
            <v>NICE</v>
          </cell>
          <cell r="F681" t="str">
            <v>COZINHA</v>
          </cell>
          <cell r="G681" t="str">
            <v/>
          </cell>
          <cell r="H681">
            <v>2299.9899999999998</v>
          </cell>
          <cell r="I681">
            <v>2199.9899999999998</v>
          </cell>
          <cell r="J681">
            <v>1696.6395</v>
          </cell>
          <cell r="K681">
            <v>0</v>
          </cell>
          <cell r="L681">
            <v>1696.6395</v>
          </cell>
          <cell r="M681">
            <v>0</v>
          </cell>
          <cell r="N681">
            <v>2199.9899999999998</v>
          </cell>
          <cell r="O681" t="str">
            <v/>
          </cell>
          <cell r="P681">
            <v>0</v>
          </cell>
          <cell r="Q681">
            <v>0.29667498605331299</v>
          </cell>
          <cell r="R681">
            <v>0.29667498605331299</v>
          </cell>
          <cell r="S681" t="e">
            <v>#VALUE!</v>
          </cell>
          <cell r="T681" t="e">
            <v>#VALUE!</v>
          </cell>
        </row>
        <row r="682">
          <cell r="A682" t="str">
            <v>10977K2E</v>
          </cell>
          <cell r="B682" t="str">
            <v>MKP000631002487</v>
          </cell>
          <cell r="C682" t="str">
            <v/>
          </cell>
          <cell r="D682" t="str">
            <v>Guarda-Roupa Solteiro Madesa Tokio 2 Portas de Correr de Espelho 2 Gavetas Rustic/Preto</v>
          </cell>
          <cell r="E682" t="str">
            <v>TOKIO</v>
          </cell>
          <cell r="F682" t="str">
            <v>QUARTO</v>
          </cell>
          <cell r="G682" t="str">
            <v/>
          </cell>
          <cell r="H682">
            <v>1369.99</v>
          </cell>
          <cell r="I682">
            <v>1049.92</v>
          </cell>
          <cell r="J682">
            <v>869.96169999999995</v>
          </cell>
          <cell r="K682">
            <v>0</v>
          </cell>
          <cell r="L682">
            <v>869.96169999999995</v>
          </cell>
          <cell r="M682">
            <v>0</v>
          </cell>
          <cell r="N682">
            <v>1049.92</v>
          </cell>
          <cell r="O682" t="str">
            <v/>
          </cell>
          <cell r="P682">
            <v>0</v>
          </cell>
          <cell r="Q682">
            <v>0.20685772718500101</v>
          </cell>
          <cell r="R682">
            <v>0.20685772718500101</v>
          </cell>
          <cell r="S682" t="e">
            <v>#VALUE!</v>
          </cell>
          <cell r="T682" t="e">
            <v>#VALUE!</v>
          </cell>
        </row>
        <row r="683">
          <cell r="A683" t="str">
            <v>MDJA0200255ZSIM</v>
          </cell>
          <cell r="B683" t="str">
            <v>MKP000631000900</v>
          </cell>
          <cell r="C683" t="str">
            <v/>
          </cell>
          <cell r="D683" t="str">
            <v>Conjunto Sala de Jantar Madesa Cassia Mesa Tampo de Vidro com 2 Cadeiras Rustic/Imperial</v>
          </cell>
          <cell r="E683" t="str">
            <v>CASSIA</v>
          </cell>
          <cell r="F683" t="str">
            <v>SALA DE JANTAR</v>
          </cell>
          <cell r="G683">
            <v>4254</v>
          </cell>
          <cell r="H683">
            <v>799.99</v>
          </cell>
          <cell r="I683">
            <v>699.99</v>
          </cell>
          <cell r="J683">
            <v>567.63930000000005</v>
          </cell>
          <cell r="K683">
            <v>0</v>
          </cell>
          <cell r="L683">
            <v>567.63930000000005</v>
          </cell>
          <cell r="M683">
            <v>0</v>
          </cell>
          <cell r="N683">
            <v>699.99</v>
          </cell>
          <cell r="O683" t="str">
            <v/>
          </cell>
          <cell r="P683">
            <v>0</v>
          </cell>
          <cell r="Q683">
            <v>0.233159860495917</v>
          </cell>
          <cell r="R683">
            <v>0.233159860495917</v>
          </cell>
          <cell r="S683" t="e">
            <v>#VALUE!</v>
          </cell>
          <cell r="T683" t="e">
            <v>#VALUE!</v>
          </cell>
        </row>
        <row r="684">
          <cell r="A684" t="str">
            <v>10187K</v>
          </cell>
          <cell r="B684" t="str">
            <v>MKP000631002372</v>
          </cell>
          <cell r="C684" t="str">
            <v/>
          </cell>
          <cell r="D684" t="str">
            <v>Guarda-Roupa Casal Madesa Kansas 3 Portas de Correr 3 Gavetas Rustic/Preto</v>
          </cell>
          <cell r="E684" t="str">
            <v>KANSAS</v>
          </cell>
          <cell r="F684" t="str">
            <v>QUARTO</v>
          </cell>
          <cell r="G684" t="str">
            <v/>
          </cell>
          <cell r="H684">
            <v>1499.99</v>
          </cell>
          <cell r="I684">
            <v>1399.99</v>
          </cell>
          <cell r="J684">
            <v>1164.6541</v>
          </cell>
          <cell r="K684">
            <v>0</v>
          </cell>
          <cell r="L684">
            <v>1164.6541</v>
          </cell>
          <cell r="M684">
            <v>0</v>
          </cell>
          <cell r="N684">
            <v>1399.99</v>
          </cell>
          <cell r="O684" t="str">
            <v/>
          </cell>
          <cell r="P684">
            <v>0</v>
          </cell>
          <cell r="Q684">
            <v>0.202065059488478</v>
          </cell>
          <cell r="R684">
            <v>0.202065059488478</v>
          </cell>
          <cell r="S684" t="e">
            <v>#VALUE!</v>
          </cell>
          <cell r="T684" t="e">
            <v>#VALUE!</v>
          </cell>
        </row>
        <row r="685">
          <cell r="A685" t="str">
            <v>10977K1E</v>
          </cell>
          <cell r="B685" t="str">
            <v>MKP000631002481</v>
          </cell>
          <cell r="C685" t="str">
            <v/>
          </cell>
          <cell r="D685" t="str">
            <v>Guarda-Roupa Solteiro Madesa Tokio 2 Portas de Correr com Espelho 2 Gavetas Rustic/Preto</v>
          </cell>
          <cell r="E685" t="str">
            <v>TOKIO</v>
          </cell>
          <cell r="F685" t="str">
            <v>QUARTO</v>
          </cell>
          <cell r="G685" t="str">
            <v/>
          </cell>
          <cell r="H685">
            <v>1089</v>
          </cell>
          <cell r="I685">
            <v>949.92</v>
          </cell>
          <cell r="J685">
            <v>750.39959999999996</v>
          </cell>
          <cell r="K685">
            <v>0</v>
          </cell>
          <cell r="L685">
            <v>750.39959999999996</v>
          </cell>
          <cell r="M685">
            <v>0</v>
          </cell>
          <cell r="N685">
            <v>949.92</v>
          </cell>
          <cell r="O685" t="str">
            <v/>
          </cell>
          <cell r="P685">
            <v>0</v>
          </cell>
          <cell r="Q685">
            <v>0.26588553618631999</v>
          </cell>
          <cell r="R685">
            <v>0.26588553618631999</v>
          </cell>
          <cell r="S685" t="e">
            <v>#VALUE!</v>
          </cell>
          <cell r="T685" t="e">
            <v>#VALUE!</v>
          </cell>
        </row>
        <row r="686">
          <cell r="A686" t="str">
            <v>G2580409</v>
          </cell>
          <cell r="B686" t="str">
            <v>MKP000631000908</v>
          </cell>
          <cell r="C686" t="str">
            <v/>
          </cell>
          <cell r="D686" t="str">
            <v>Armário Aéreo Madesa Acordes 100% MDF 80 cm 1 Porta Basculante Branco Brilho</v>
          </cell>
          <cell r="E686" t="str">
            <v>ACORDES</v>
          </cell>
          <cell r="F686" t="str">
            <v>MODULAÇÃO</v>
          </cell>
          <cell r="G686" t="str">
            <v/>
          </cell>
          <cell r="H686">
            <v>419.99</v>
          </cell>
          <cell r="I686">
            <v>299.99</v>
          </cell>
          <cell r="J686">
            <v>177.34299999999999</v>
          </cell>
          <cell r="K686">
            <v>0</v>
          </cell>
          <cell r="L686">
            <v>177.34299999999999</v>
          </cell>
          <cell r="M686">
            <v>0</v>
          </cell>
          <cell r="N686">
            <v>299.99</v>
          </cell>
          <cell r="O686" t="str">
            <v/>
          </cell>
          <cell r="P686">
            <v>0</v>
          </cell>
          <cell r="Q686">
            <v>0.69158072210349397</v>
          </cell>
          <cell r="R686">
            <v>0.69158072210349397</v>
          </cell>
          <cell r="S686" t="e">
            <v>#VALUE!</v>
          </cell>
          <cell r="T686" t="e">
            <v>#VALUE!</v>
          </cell>
        </row>
        <row r="687">
          <cell r="A687" t="str">
            <v>XAGREM2930017K</v>
          </cell>
          <cell r="B687" t="str">
            <v>MKP000631004142</v>
          </cell>
          <cell r="C687" t="str">
            <v/>
          </cell>
          <cell r="D687" t="str">
            <v>Armário de Cozinha Completa 293cm Rustic/Preto Emilly Madesa 01XA</v>
          </cell>
          <cell r="E687" t="str">
            <v>EMILLY</v>
          </cell>
          <cell r="F687" t="str">
            <v>COZINHA</v>
          </cell>
          <cell r="G687" t="str">
            <v/>
          </cell>
          <cell r="H687">
            <v>1399.99</v>
          </cell>
          <cell r="I687">
            <v>1259.99</v>
          </cell>
          <cell r="J687">
            <v>910.59690000000001</v>
          </cell>
          <cell r="K687">
            <v>0</v>
          </cell>
          <cell r="L687">
            <v>910.59690000000001</v>
          </cell>
          <cell r="M687">
            <v>0</v>
          </cell>
          <cell r="N687">
            <v>1259.99</v>
          </cell>
          <cell r="O687" t="str">
            <v>MAGALU</v>
          </cell>
          <cell r="P687">
            <v>1210.52</v>
          </cell>
          <cell r="Q687">
            <v>0.383696781748323</v>
          </cell>
          <cell r="R687">
            <v>0.383696781748323</v>
          </cell>
          <cell r="S687" t="e">
            <v>#VALUE!</v>
          </cell>
          <cell r="T687" t="e">
            <v>#VALUE!</v>
          </cell>
        </row>
        <row r="688">
          <cell r="A688" t="str">
            <v>GRGM16000109</v>
          </cell>
          <cell r="B688" t="str">
            <v>MKP000631000977</v>
          </cell>
          <cell r="C688" t="str">
            <v/>
          </cell>
          <cell r="D688" t="str">
            <v>Kit Área De Serviço Madesa Acordes 100% MDF com 2 Armários Aéreos Portas Branco Brilho</v>
          </cell>
          <cell r="E688" t="str">
            <v>ACORDES</v>
          </cell>
          <cell r="F688" t="str">
            <v>COZINHA</v>
          </cell>
          <cell r="G688" t="str">
            <v/>
          </cell>
          <cell r="H688">
            <v>959.99</v>
          </cell>
          <cell r="I688">
            <v>599.91999999999996</v>
          </cell>
          <cell r="J688">
            <v>406.73349999999999</v>
          </cell>
          <cell r="K688">
            <v>0</v>
          </cell>
          <cell r="L688">
            <v>406.73349999999999</v>
          </cell>
          <cell r="M688">
            <v>0</v>
          </cell>
          <cell r="N688">
            <v>599.91999999999996</v>
          </cell>
          <cell r="O688" t="str">
            <v/>
          </cell>
          <cell r="P688">
            <v>0</v>
          </cell>
          <cell r="Q688">
            <v>0.47497071178056399</v>
          </cell>
          <cell r="R688">
            <v>0.47497071178056399</v>
          </cell>
          <cell r="S688" t="e">
            <v>#VALUE!</v>
          </cell>
          <cell r="T688" t="e">
            <v>#VALUE!</v>
          </cell>
        </row>
        <row r="689">
          <cell r="A689" t="str">
            <v>XA1094091E</v>
          </cell>
          <cell r="B689" t="str">
            <v>MKP000631001596</v>
          </cell>
          <cell r="C689" t="str">
            <v/>
          </cell>
          <cell r="D689" t="str">
            <v>Guarda-Roupa Infantil Madesa Enzo 2 Portas de Correr com Espelho Branco</v>
          </cell>
          <cell r="E689" t="str">
            <v>ENZO</v>
          </cell>
          <cell r="F689" t="str">
            <v>QUARTO</v>
          </cell>
          <cell r="G689" t="str">
            <v/>
          </cell>
          <cell r="H689">
            <v>1069.99</v>
          </cell>
          <cell r="I689">
            <v>789.99</v>
          </cell>
          <cell r="J689">
            <v>605.03719999999998</v>
          </cell>
          <cell r="K689">
            <v>0</v>
          </cell>
          <cell r="L689">
            <v>605.03719999999998</v>
          </cell>
          <cell r="M689">
            <v>0</v>
          </cell>
          <cell r="N689">
            <v>789.99</v>
          </cell>
          <cell r="O689" t="str">
            <v>IMPÉRIO</v>
          </cell>
          <cell r="P689">
            <v>799</v>
          </cell>
          <cell r="Q689">
            <v>0.30568831139639002</v>
          </cell>
          <cell r="R689">
            <v>0.30568831139639002</v>
          </cell>
          <cell r="S689" t="e">
            <v>#VALUE!</v>
          </cell>
          <cell r="T689" t="e">
            <v>#VALUE!</v>
          </cell>
        </row>
        <row r="690">
          <cell r="A690" t="str">
            <v>G256023BNC</v>
          </cell>
          <cell r="B690" t="str">
            <v>MKP000631004813</v>
          </cell>
          <cell r="C690" t="str">
            <v/>
          </cell>
          <cell r="D690" t="str">
            <v>Armário Aéreo 60 cm 1 Porta Basculante Cinza Nice Madesa</v>
          </cell>
          <cell r="E690" t="str">
            <v>NICE</v>
          </cell>
          <cell r="F690" t="str">
            <v>MODULAÇÃO</v>
          </cell>
          <cell r="G690" t="str">
            <v/>
          </cell>
          <cell r="H690">
            <v>399.99</v>
          </cell>
          <cell r="I690">
            <v>219.92</v>
          </cell>
          <cell r="J690">
            <v>118.7882</v>
          </cell>
          <cell r="K690">
            <v>0</v>
          </cell>
          <cell r="L690">
            <v>118.7882</v>
          </cell>
          <cell r="M690">
            <v>0</v>
          </cell>
          <cell r="N690">
            <v>219.92</v>
          </cell>
          <cell r="O690" t="str">
            <v/>
          </cell>
          <cell r="P690">
            <v>0</v>
          </cell>
          <cell r="Q690">
            <v>0.85136234070387395</v>
          </cell>
          <cell r="R690">
            <v>0.85136234070387395</v>
          </cell>
          <cell r="S690" t="e">
            <v>#VALUE!</v>
          </cell>
          <cell r="T690" t="e">
            <v>#VALUE!</v>
          </cell>
        </row>
        <row r="691">
          <cell r="A691" t="str">
            <v>GRAG1500027K</v>
          </cell>
          <cell r="B691" t="str">
            <v>MKP000631004273</v>
          </cell>
          <cell r="C691" t="str">
            <v/>
          </cell>
          <cell r="D691" t="str">
            <v>Armário de Cozinha Compacta 150cm  Rustic/Preto Agata Madesa 02</v>
          </cell>
          <cell r="E691" t="str">
            <v>ÁGATA</v>
          </cell>
          <cell r="F691" t="str">
            <v>COZINHA</v>
          </cell>
          <cell r="G691" t="str">
            <v/>
          </cell>
          <cell r="H691">
            <v>1099.99</v>
          </cell>
          <cell r="I691">
            <v>959.92</v>
          </cell>
          <cell r="J691">
            <v>764.01369999999997</v>
          </cell>
          <cell r="K691">
            <v>0</v>
          </cell>
          <cell r="L691">
            <v>764.01369999999997</v>
          </cell>
          <cell r="M691">
            <v>0</v>
          </cell>
          <cell r="N691">
            <v>959.92</v>
          </cell>
          <cell r="O691" t="str">
            <v/>
          </cell>
          <cell r="P691">
            <v>0</v>
          </cell>
          <cell r="Q691">
            <v>0.25641726058053699</v>
          </cell>
          <cell r="R691">
            <v>0.25641726058053699</v>
          </cell>
          <cell r="S691" t="e">
            <v>#VALUE!</v>
          </cell>
          <cell r="T691" t="e">
            <v>#VALUE!</v>
          </cell>
        </row>
        <row r="692">
          <cell r="A692" t="str">
            <v>044765ZXTFBM</v>
          </cell>
          <cell r="B692" t="str">
            <v>MKP000631000800</v>
          </cell>
          <cell r="C692" t="str">
            <v/>
          </cell>
          <cell r="D692" t="str">
            <v>Conjunto Sala de Jantar Madesa Magda Mesa Tampo de Vidro com 4 Cadeiras Rustic/Bege Marrom</v>
          </cell>
          <cell r="E692" t="str">
            <v>MAGDA</v>
          </cell>
          <cell r="F692" t="str">
            <v>SALA DE JANTAR</v>
          </cell>
          <cell r="G692" t="str">
            <v>4290X</v>
          </cell>
          <cell r="H692">
            <v>699.99</v>
          </cell>
          <cell r="I692">
            <v>599.99</v>
          </cell>
          <cell r="J692">
            <v>493.51929999999999</v>
          </cell>
          <cell r="K692">
            <v>0</v>
          </cell>
          <cell r="L692">
            <v>493.51929999999999</v>
          </cell>
          <cell r="M692">
            <v>0</v>
          </cell>
          <cell r="N692">
            <v>599.99</v>
          </cell>
          <cell r="O692" t="str">
            <v/>
          </cell>
          <cell r="P692">
            <v>0</v>
          </cell>
          <cell r="Q692">
            <v>0.21573766213398299</v>
          </cell>
          <cell r="R692">
            <v>0.21573766213398299</v>
          </cell>
          <cell r="S692" t="e">
            <v>#VALUE!</v>
          </cell>
          <cell r="T692" t="e">
            <v>#VALUE!</v>
          </cell>
        </row>
        <row r="693">
          <cell r="A693" t="str">
            <v>045647GX4TFBM</v>
          </cell>
          <cell r="B693" t="str">
            <v>MKP000631000617</v>
          </cell>
          <cell r="C693" t="str">
            <v/>
          </cell>
          <cell r="D693" t="str">
            <v>Conjunto Sala de Jantar Madesa Bea Mesa Tampo de Madeira com 4 Cadeiras Rustic/Crema/Bege Marrom</v>
          </cell>
          <cell r="E693" t="str">
            <v>BEA</v>
          </cell>
          <cell r="F693" t="str">
            <v>SALA DE JANTAR</v>
          </cell>
          <cell r="G693" t="str">
            <v>4291X</v>
          </cell>
          <cell r="H693">
            <v>669.99</v>
          </cell>
          <cell r="I693">
            <v>569.99</v>
          </cell>
          <cell r="J693">
            <v>440.43630000000002</v>
          </cell>
          <cell r="K693">
            <v>0</v>
          </cell>
          <cell r="L693">
            <v>440.43630000000002</v>
          </cell>
          <cell r="M693">
            <v>0</v>
          </cell>
          <cell r="N693">
            <v>569.99</v>
          </cell>
          <cell r="O693" t="str">
            <v>B2W</v>
          </cell>
          <cell r="P693">
            <v>569.99</v>
          </cell>
          <cell r="Q693">
            <v>0.294148552242401</v>
          </cell>
          <cell r="R693">
            <v>0.294148552242401</v>
          </cell>
          <cell r="S693" t="e">
            <v>#VALUE!</v>
          </cell>
          <cell r="T693" t="e">
            <v>#VALUE!</v>
          </cell>
        </row>
        <row r="694">
          <cell r="A694" t="str">
            <v>GRGL2800016E</v>
          </cell>
          <cell r="B694" t="str">
            <v>MKP000631000187</v>
          </cell>
          <cell r="C694" t="str">
            <v/>
          </cell>
          <cell r="D694" t="str">
            <v>Armário de Cozinha Compacta 280cm Rustic/Branco Marina Madesa 01</v>
          </cell>
          <cell r="E694" t="str">
            <v>MARINA/GLAMY</v>
          </cell>
          <cell r="F694" t="str">
            <v>COZINHA</v>
          </cell>
          <cell r="G694" t="str">
            <v/>
          </cell>
          <cell r="H694">
            <v>1599.99</v>
          </cell>
          <cell r="I694">
            <v>1499.99</v>
          </cell>
          <cell r="J694">
            <v>1253.0640000000001</v>
          </cell>
          <cell r="K694">
            <v>0</v>
          </cell>
          <cell r="L694">
            <v>1253.0640000000001</v>
          </cell>
          <cell r="M694">
            <v>0</v>
          </cell>
          <cell r="N694">
            <v>1499.99</v>
          </cell>
          <cell r="O694" t="str">
            <v/>
          </cell>
          <cell r="P694">
            <v>0</v>
          </cell>
          <cell r="Q694">
            <v>0.1970577719893</v>
          </cell>
          <cell r="R694">
            <v>0.1970577719893</v>
          </cell>
          <cell r="S694" t="e">
            <v>#VALUE!</v>
          </cell>
          <cell r="T694" t="e">
            <v>#VALUE!</v>
          </cell>
        </row>
        <row r="695">
          <cell r="A695" t="str">
            <v>10959B2E</v>
          </cell>
          <cell r="B695" t="str">
            <v>MKP000631002081</v>
          </cell>
          <cell r="C695" t="str">
            <v/>
          </cell>
          <cell r="D695" t="str">
            <v>Guarda-Roupa Casal Madesa Reno 3 Portas de Correr com Espelhos Branco/Rustic</v>
          </cell>
          <cell r="E695" t="str">
            <v>RENO</v>
          </cell>
          <cell r="F695" t="str">
            <v>QUARTO</v>
          </cell>
          <cell r="G695" t="str">
            <v/>
          </cell>
          <cell r="H695">
            <v>2309.9899999999998</v>
          </cell>
          <cell r="I695">
            <v>1459.99</v>
          </cell>
          <cell r="J695">
            <v>1157.5255</v>
          </cell>
          <cell r="K695">
            <v>0</v>
          </cell>
          <cell r="L695">
            <v>1157.5255</v>
          </cell>
          <cell r="M695">
            <v>0</v>
          </cell>
          <cell r="N695">
            <v>1459.99</v>
          </cell>
          <cell r="O695" t="str">
            <v>LOJA</v>
          </cell>
          <cell r="P695">
            <v>1359.99</v>
          </cell>
          <cell r="Q695">
            <v>0.26130266676630398</v>
          </cell>
          <cell r="R695">
            <v>0.26130266676630398</v>
          </cell>
          <cell r="S695" t="e">
            <v>#VALUE!</v>
          </cell>
          <cell r="T695" t="e">
            <v>#VALUE!</v>
          </cell>
        </row>
        <row r="696">
          <cell r="A696" t="str">
            <v>GCGM4190019B</v>
          </cell>
          <cell r="B696" t="str">
            <v>MKP000631000207</v>
          </cell>
          <cell r="C696" t="str">
            <v/>
          </cell>
          <cell r="D696" t="str">
            <v>Armário de Cozinha Completa de Canto 100% MDF 419cm Rustic/Branco Acordes Madesa 01</v>
          </cell>
          <cell r="E696" t="str">
            <v>ACORDES</v>
          </cell>
          <cell r="F696" t="str">
            <v>COZINHA</v>
          </cell>
          <cell r="G696" t="str">
            <v/>
          </cell>
          <cell r="H696">
            <v>2649.99</v>
          </cell>
          <cell r="I696">
            <v>2469.92</v>
          </cell>
          <cell r="J696">
            <v>2108.4088000000002</v>
          </cell>
          <cell r="K696">
            <v>0</v>
          </cell>
          <cell r="L696">
            <v>2108.4088000000002</v>
          </cell>
          <cell r="M696">
            <v>0</v>
          </cell>
          <cell r="N696">
            <v>2469.92</v>
          </cell>
          <cell r="O696" t="str">
            <v/>
          </cell>
          <cell r="P696">
            <v>0</v>
          </cell>
          <cell r="Q696">
            <v>0.171461625468458</v>
          </cell>
          <cell r="R696">
            <v>0.171461625468458</v>
          </cell>
          <cell r="S696" t="e">
            <v>#VALUE!</v>
          </cell>
          <cell r="T696" t="e">
            <v>#VALUE!</v>
          </cell>
        </row>
        <row r="697">
          <cell r="A697" t="str">
            <v>XAG247008NRM</v>
          </cell>
          <cell r="B697" t="str">
            <v>MKP000631002491</v>
          </cell>
          <cell r="C697" t="str">
            <v/>
          </cell>
          <cell r="D697" t="str">
            <v>Balcão Cantinho do Café Madesa Reims 70 cm 2 Portas Preto</v>
          </cell>
          <cell r="E697" t="str">
            <v>REIMS</v>
          </cell>
          <cell r="F697" t="str">
            <v>MODULAÇÃO</v>
          </cell>
          <cell r="G697" t="str">
            <v/>
          </cell>
          <cell r="H697">
            <v>649.99</v>
          </cell>
          <cell r="I697">
            <v>389.92</v>
          </cell>
          <cell r="J697">
            <v>258.0575</v>
          </cell>
          <cell r="K697">
            <v>0</v>
          </cell>
          <cell r="L697">
            <v>258.0575</v>
          </cell>
          <cell r="M697">
            <v>0</v>
          </cell>
          <cell r="N697">
            <v>389.92</v>
          </cell>
          <cell r="O697" t="str">
            <v/>
          </cell>
          <cell r="P697">
            <v>0</v>
          </cell>
          <cell r="Q697">
            <v>0.51098107979810703</v>
          </cell>
          <cell r="R697">
            <v>0.51098107979810703</v>
          </cell>
          <cell r="S697" t="e">
            <v>#VALUE!</v>
          </cell>
          <cell r="T697" t="e">
            <v>#VALUE!</v>
          </cell>
        </row>
        <row r="698">
          <cell r="A698" t="str">
            <v>044795ZXTLIB</v>
          </cell>
          <cell r="B698" t="str">
            <v>MKP000631000691</v>
          </cell>
          <cell r="C698" t="str">
            <v/>
          </cell>
          <cell r="D698" t="str">
            <v>Conjunto Sala de Jantar Madesa Clarice Mesa Tampo de Madeira com 8 Cadeiras Rustic/Lírio Bege</v>
          </cell>
          <cell r="E698" t="str">
            <v>CLARICE</v>
          </cell>
          <cell r="F698" t="str">
            <v>SALA DE JANTAR</v>
          </cell>
          <cell r="G698" t="str">
            <v>4290X</v>
          </cell>
          <cell r="H698">
            <v>1199.99</v>
          </cell>
          <cell r="I698">
            <v>1099.99</v>
          </cell>
          <cell r="J698">
            <v>868.45749999999998</v>
          </cell>
          <cell r="K698">
            <v>0</v>
          </cell>
          <cell r="L698">
            <v>868.45749999999998</v>
          </cell>
          <cell r="M698">
            <v>0</v>
          </cell>
          <cell r="N698">
            <v>1099.99</v>
          </cell>
          <cell r="O698" t="str">
            <v/>
          </cell>
          <cell r="P698">
            <v>0</v>
          </cell>
          <cell r="Q698">
            <v>0.26660199261334</v>
          </cell>
          <cell r="R698">
            <v>0.26660199261334</v>
          </cell>
          <cell r="S698" t="e">
            <v>#VALUE!</v>
          </cell>
          <cell r="T698" t="e">
            <v>#VALUE!</v>
          </cell>
        </row>
        <row r="699">
          <cell r="A699" t="str">
            <v>G2412009RM</v>
          </cell>
          <cell r="B699" t="str">
            <v>MKP000631002303</v>
          </cell>
          <cell r="C699" t="str">
            <v/>
          </cell>
          <cell r="D699" t="str">
            <v>Balcão Gabinete de Pia Madesa Reims 2 Portas Branco</v>
          </cell>
          <cell r="E699" t="str">
            <v>REIMS</v>
          </cell>
          <cell r="F699" t="str">
            <v>MODULAÇÃO</v>
          </cell>
          <cell r="G699" t="str">
            <v/>
          </cell>
          <cell r="H699">
            <v>1069.99</v>
          </cell>
          <cell r="I699">
            <v>399.99</v>
          </cell>
          <cell r="J699">
            <v>333.65989999999999</v>
          </cell>
          <cell r="K699">
            <v>0</v>
          </cell>
          <cell r="L699">
            <v>333.65989999999999</v>
          </cell>
          <cell r="M699">
            <v>0</v>
          </cell>
          <cell r="N699">
            <v>399.99</v>
          </cell>
          <cell r="O699" t="str">
            <v/>
          </cell>
          <cell r="P699">
            <v>0</v>
          </cell>
          <cell r="Q699">
            <v>0.19879554000945299</v>
          </cell>
          <cell r="R699">
            <v>0.19879554000945299</v>
          </cell>
          <cell r="S699" t="e">
            <v>#VALUE!</v>
          </cell>
          <cell r="T699" t="e">
            <v>#VALUE!</v>
          </cell>
        </row>
        <row r="700">
          <cell r="A700" t="str">
            <v>GRAG150002F9</v>
          </cell>
          <cell r="B700" t="str">
            <v>MKP000631004663</v>
          </cell>
          <cell r="C700" t="str">
            <v/>
          </cell>
          <cell r="D700" t="str">
            <v>Armário de Cozinha Compacta 150cm Rustic/Cinza Agata Madesa 02</v>
          </cell>
          <cell r="E700" t="str">
            <v>ÁGATA</v>
          </cell>
          <cell r="F700" t="str">
            <v>COZINHA</v>
          </cell>
          <cell r="G700" t="str">
            <v/>
          </cell>
          <cell r="H700">
            <v>1199.99</v>
          </cell>
          <cell r="I700">
            <v>1059.92</v>
          </cell>
          <cell r="J700">
            <v>764.01369999999997</v>
          </cell>
          <cell r="K700">
            <v>0</v>
          </cell>
          <cell r="L700">
            <v>764.01369999999997</v>
          </cell>
          <cell r="M700">
            <v>0</v>
          </cell>
          <cell r="N700">
            <v>1059.92</v>
          </cell>
          <cell r="O700" t="str">
            <v/>
          </cell>
          <cell r="P700">
            <v>0</v>
          </cell>
          <cell r="Q700">
            <v>0.38730496586645002</v>
          </cell>
          <cell r="R700">
            <v>0.38730496586645002</v>
          </cell>
          <cell r="S700" t="e">
            <v>#VALUE!</v>
          </cell>
          <cell r="T700" t="e">
            <v>#VALUE!</v>
          </cell>
        </row>
        <row r="701">
          <cell r="A701" t="str">
            <v>1094F81E</v>
          </cell>
          <cell r="B701" t="str">
            <v>MKP000631004574</v>
          </cell>
          <cell r="C701" t="str">
            <v/>
          </cell>
          <cell r="D701" t="str">
            <v>Guarda-Roupa Solteiro Madesa Denver 2 Portas de Correr com Espelho Branco/Cinza</v>
          </cell>
          <cell r="E701" t="str">
            <v>DENVER</v>
          </cell>
          <cell r="F701" t="str">
            <v>QUARTO</v>
          </cell>
          <cell r="G701" t="str">
            <v/>
          </cell>
          <cell r="H701">
            <v>849.99</v>
          </cell>
          <cell r="I701">
            <v>789.99</v>
          </cell>
          <cell r="J701">
            <v>605.03719999999998</v>
          </cell>
          <cell r="K701">
            <v>0</v>
          </cell>
          <cell r="L701">
            <v>605.03719999999998</v>
          </cell>
          <cell r="M701">
            <v>0</v>
          </cell>
          <cell r="N701">
            <v>789.99</v>
          </cell>
          <cell r="O701" t="str">
            <v>CARREFOUR</v>
          </cell>
          <cell r="P701">
            <v>719.99</v>
          </cell>
          <cell r="Q701">
            <v>0.30568831139639002</v>
          </cell>
          <cell r="R701">
            <v>0.30568831139639002</v>
          </cell>
          <cell r="S701" t="e">
            <v>#VALUE!</v>
          </cell>
          <cell r="T701" t="e">
            <v>#VALUE!</v>
          </cell>
        </row>
        <row r="702">
          <cell r="A702" t="str">
            <v>GRNC2600123B</v>
          </cell>
          <cell r="B702" t="str">
            <v>MKP000631004994</v>
          </cell>
          <cell r="C702" t="str">
            <v/>
          </cell>
          <cell r="D702" t="str">
            <v>Armário de Cozinha Completa 260cm Cinza Nice Madesa 12</v>
          </cell>
          <cell r="E702" t="str">
            <v>NICE</v>
          </cell>
          <cell r="F702" t="str">
            <v>COZINHA</v>
          </cell>
          <cell r="G702" t="str">
            <v/>
          </cell>
          <cell r="H702">
            <v>1799.99</v>
          </cell>
          <cell r="I702">
            <v>1699.99</v>
          </cell>
          <cell r="J702">
            <v>1216.8869</v>
          </cell>
          <cell r="K702">
            <v>0</v>
          </cell>
          <cell r="L702">
            <v>1216.8869</v>
          </cell>
          <cell r="M702">
            <v>0</v>
          </cell>
          <cell r="N702">
            <v>1699.99</v>
          </cell>
          <cell r="O702" t="str">
            <v/>
          </cell>
          <cell r="P702">
            <v>0</v>
          </cell>
          <cell r="Q702">
            <v>0.39699917880618102</v>
          </cell>
          <cell r="R702">
            <v>0.39699917880618102</v>
          </cell>
          <cell r="S702" t="e">
            <v>#VALUE!</v>
          </cell>
          <cell r="T702" t="e">
            <v>#VALUE!</v>
          </cell>
        </row>
        <row r="703">
          <cell r="A703" t="str">
            <v>10956E</v>
          </cell>
          <cell r="B703" t="str">
            <v>MKP000631002072</v>
          </cell>
          <cell r="C703" t="str">
            <v/>
          </cell>
          <cell r="D703" t="str">
            <v>Guarda-Roupa Casal Madesa Reno 3 Portas de Correr Rustic/Branco</v>
          </cell>
          <cell r="E703" t="str">
            <v>RENO</v>
          </cell>
          <cell r="F703" t="str">
            <v>QUARTO</v>
          </cell>
          <cell r="G703" t="str">
            <v/>
          </cell>
          <cell r="H703">
            <v>1939.99</v>
          </cell>
          <cell r="I703">
            <v>1199.99</v>
          </cell>
          <cell r="J703">
            <v>918.40129999999999</v>
          </cell>
          <cell r="K703">
            <v>0</v>
          </cell>
          <cell r="L703">
            <v>918.40129999999999</v>
          </cell>
          <cell r="M703">
            <v>0</v>
          </cell>
          <cell r="N703">
            <v>1199.99</v>
          </cell>
          <cell r="O703" t="str">
            <v>RIACHUELO</v>
          </cell>
          <cell r="P703">
            <v>1079.99</v>
          </cell>
          <cell r="Q703">
            <v>0.30660747104778702</v>
          </cell>
          <cell r="R703">
            <v>0.30660747104778702</v>
          </cell>
          <cell r="S703" t="e">
            <v>#VALUE!</v>
          </cell>
          <cell r="T703" t="e">
            <v>#VALUE!</v>
          </cell>
        </row>
        <row r="704">
          <cell r="A704" t="str">
            <v>G251293BNC</v>
          </cell>
          <cell r="B704" t="str">
            <v>MKP000631004818</v>
          </cell>
          <cell r="C704" t="str">
            <v/>
          </cell>
          <cell r="D704" t="str">
            <v>Armário Aéreo 120 x 50 cm 2 Portas Cinza Nice Madesa</v>
          </cell>
          <cell r="E704" t="str">
            <v>NICE</v>
          </cell>
          <cell r="F704" t="str">
            <v>MODULAÇÃO</v>
          </cell>
          <cell r="G704" t="str">
            <v/>
          </cell>
          <cell r="H704">
            <v>579.99</v>
          </cell>
          <cell r="I704">
            <v>369.99</v>
          </cell>
          <cell r="J704">
            <v>212.43010000000001</v>
          </cell>
          <cell r="K704">
            <v>0</v>
          </cell>
          <cell r="L704">
            <v>212.43010000000001</v>
          </cell>
          <cell r="M704">
            <v>0</v>
          </cell>
          <cell r="N704">
            <v>369.99</v>
          </cell>
          <cell r="O704" t="str">
            <v/>
          </cell>
          <cell r="P704">
            <v>0</v>
          </cell>
          <cell r="Q704">
            <v>0.74170232937799296</v>
          </cell>
          <cell r="R704">
            <v>0.74170232937799296</v>
          </cell>
          <cell r="S704" t="e">
            <v>#VALUE!</v>
          </cell>
          <cell r="T704" t="e">
            <v>#VALUE!</v>
          </cell>
        </row>
        <row r="705">
          <cell r="A705" t="str">
            <v>10947K</v>
          </cell>
          <cell r="B705" t="str">
            <v>MKP000631002033</v>
          </cell>
          <cell r="C705" t="str">
            <v/>
          </cell>
          <cell r="D705" t="str">
            <v>Guarda-Roupa Solteiro Madesa Denver 2 Portas de Correr Rustic/Preto</v>
          </cell>
          <cell r="E705" t="str">
            <v>DENVER</v>
          </cell>
          <cell r="F705" t="str">
            <v>QUARTO</v>
          </cell>
          <cell r="G705" t="str">
            <v/>
          </cell>
          <cell r="H705">
            <v>949.99</v>
          </cell>
          <cell r="I705">
            <v>629.91999999999996</v>
          </cell>
          <cell r="J705">
            <v>475.10919999999999</v>
          </cell>
          <cell r="K705">
            <v>0</v>
          </cell>
          <cell r="L705">
            <v>475.10919999999999</v>
          </cell>
          <cell r="M705">
            <v>0</v>
          </cell>
          <cell r="N705">
            <v>629.91999999999996</v>
          </cell>
          <cell r="O705" t="str">
            <v/>
          </cell>
          <cell r="P705">
            <v>0</v>
          </cell>
          <cell r="Q705">
            <v>0.32584256419366298</v>
          </cell>
          <cell r="R705">
            <v>0.32584256419366298</v>
          </cell>
          <cell r="S705" t="e">
            <v>#VALUE!</v>
          </cell>
          <cell r="T705" t="e">
            <v>#VALUE!</v>
          </cell>
        </row>
        <row r="706">
          <cell r="A706" t="str">
            <v>GRGM33000673</v>
          </cell>
          <cell r="B706" t="str">
            <v>MKP000631004938</v>
          </cell>
          <cell r="C706" t="str">
            <v/>
          </cell>
          <cell r="D706" t="str">
            <v>Armário de Cozinha Completa 100% MDF 330cm Branco/Preto Acordes Madesa 06</v>
          </cell>
          <cell r="E706" t="str">
            <v>ACORDES</v>
          </cell>
          <cell r="F706" t="str">
            <v>COZINHA</v>
          </cell>
          <cell r="G706" t="str">
            <v/>
          </cell>
          <cell r="H706">
            <v>2399.9899999999998</v>
          </cell>
          <cell r="I706">
            <v>2299.9899999999998</v>
          </cell>
          <cell r="J706">
            <v>1928.4716000000001</v>
          </cell>
          <cell r="K706">
            <v>0</v>
          </cell>
          <cell r="L706">
            <v>1928.4716000000001</v>
          </cell>
          <cell r="M706">
            <v>0</v>
          </cell>
          <cell r="N706">
            <v>2299.9899999999998</v>
          </cell>
          <cell r="O706" t="str">
            <v/>
          </cell>
          <cell r="P706">
            <v>0</v>
          </cell>
          <cell r="Q706">
            <v>0.19264914246079601</v>
          </cell>
          <cell r="R706">
            <v>0.19264914246079601</v>
          </cell>
          <cell r="S706" t="e">
            <v>#VALUE!</v>
          </cell>
          <cell r="T706" t="e">
            <v>#VALUE!</v>
          </cell>
        </row>
        <row r="707">
          <cell r="A707" t="str">
            <v>G2480009K</v>
          </cell>
          <cell r="B707" t="str">
            <v>MKP000631000940</v>
          </cell>
          <cell r="C707" t="str">
            <v/>
          </cell>
          <cell r="D707" t="str">
            <v>Balcão Madesa Acordes 100% MDF 80 cm 2 Portas Branco Brilho</v>
          </cell>
          <cell r="E707" t="str">
            <v>ACORDES</v>
          </cell>
          <cell r="F707" t="str">
            <v>MODULAÇÃO</v>
          </cell>
          <cell r="G707" t="str">
            <v/>
          </cell>
          <cell r="H707">
            <v>899.99</v>
          </cell>
          <cell r="I707">
            <v>519.99</v>
          </cell>
          <cell r="J707">
            <v>339.69850000000002</v>
          </cell>
          <cell r="K707">
            <v>0</v>
          </cell>
          <cell r="L707">
            <v>339.69850000000002</v>
          </cell>
          <cell r="M707">
            <v>0</v>
          </cell>
          <cell r="N707">
            <v>519.99</v>
          </cell>
          <cell r="O707" t="str">
            <v/>
          </cell>
          <cell r="P707">
            <v>0</v>
          </cell>
          <cell r="Q707">
            <v>0.53073975893328895</v>
          </cell>
          <cell r="R707">
            <v>0.53073975893328895</v>
          </cell>
          <cell r="S707" t="e">
            <v>#VALUE!</v>
          </cell>
          <cell r="T707" t="e">
            <v>#VALUE!</v>
          </cell>
        </row>
        <row r="708">
          <cell r="A708" t="str">
            <v>10949B1E2GCP</v>
          </cell>
          <cell r="B708" t="str">
            <v>MKP000631001010</v>
          </cell>
          <cell r="C708" t="str">
            <v/>
          </cell>
          <cell r="D708" t="str">
            <v>Guarda-Roupa Solteiro Madesa Dallas 2 Portas de Correr com Espelho 2 Gavetas com Pés Branco/Rustic</v>
          </cell>
          <cell r="E708" t="str">
            <v>DALLAS</v>
          </cell>
          <cell r="F708" t="str">
            <v>QUARTO</v>
          </cell>
          <cell r="G708" t="str">
            <v/>
          </cell>
          <cell r="H708">
            <v>1209.99</v>
          </cell>
          <cell r="I708">
            <v>939.92</v>
          </cell>
          <cell r="J708">
            <v>730.36540000000002</v>
          </cell>
          <cell r="K708">
            <v>0</v>
          </cell>
          <cell r="L708">
            <v>730.36540000000002</v>
          </cell>
          <cell r="M708">
            <v>0</v>
          </cell>
          <cell r="N708">
            <v>939.92</v>
          </cell>
          <cell r="O708" t="str">
            <v/>
          </cell>
          <cell r="P708">
            <v>0</v>
          </cell>
          <cell r="Q708">
            <v>0.28691747993538602</v>
          </cell>
          <cell r="R708">
            <v>0.28691747993538602</v>
          </cell>
          <cell r="S708" t="e">
            <v>#VALUE!</v>
          </cell>
          <cell r="T708" t="e">
            <v>#VALUE!</v>
          </cell>
        </row>
        <row r="709">
          <cell r="A709" t="str">
            <v>10955Z</v>
          </cell>
          <cell r="B709" t="str">
            <v>MKP000631001945</v>
          </cell>
          <cell r="C709" t="str">
            <v/>
          </cell>
          <cell r="D709" t="str">
            <v>Guarda-Roupa Casal Madesa Reno 3 Portas de Correr Rustic</v>
          </cell>
          <cell r="E709" t="str">
            <v>RENO</v>
          </cell>
          <cell r="F709" t="str">
            <v>QUARTO</v>
          </cell>
          <cell r="G709" t="str">
            <v/>
          </cell>
          <cell r="H709">
            <v>1939.99</v>
          </cell>
          <cell r="I709">
            <v>1199.92</v>
          </cell>
          <cell r="J709">
            <v>918.40129999999999</v>
          </cell>
          <cell r="K709">
            <v>0</v>
          </cell>
          <cell r="L709">
            <v>918.40129999999999</v>
          </cell>
          <cell r="M709">
            <v>0</v>
          </cell>
          <cell r="N709">
            <v>1199.92</v>
          </cell>
          <cell r="O709" t="str">
            <v>LEROY</v>
          </cell>
          <cell r="P709">
            <v>0</v>
          </cell>
          <cell r="Q709">
            <v>0.306531251643481</v>
          </cell>
          <cell r="R709">
            <v>0.306531251643481</v>
          </cell>
          <cell r="S709" t="e">
            <v>#VALUE!</v>
          </cell>
          <cell r="T709" t="e">
            <v>#VALUE!</v>
          </cell>
        </row>
        <row r="710">
          <cell r="A710" t="str">
            <v>1093732G</v>
          </cell>
          <cell r="B710" t="str">
            <v>MKP000631002214</v>
          </cell>
          <cell r="C710" t="str">
            <v/>
          </cell>
          <cell r="D710" t="str">
            <v>Guarda-Roupa Casal Madesa Lyon 3 Portas de Correr 2 Gavetas Branco/Preto</v>
          </cell>
          <cell r="E710" t="str">
            <v>LYON</v>
          </cell>
          <cell r="F710" t="str">
            <v>QUARTO</v>
          </cell>
          <cell r="G710" t="str">
            <v/>
          </cell>
          <cell r="H710">
            <v>999.99</v>
          </cell>
          <cell r="I710">
            <v>869.92</v>
          </cell>
          <cell r="J710">
            <v>709.59</v>
          </cell>
          <cell r="K710">
            <v>0</v>
          </cell>
          <cell r="L710">
            <v>709.59</v>
          </cell>
          <cell r="M710">
            <v>0</v>
          </cell>
          <cell r="N710">
            <v>869.92</v>
          </cell>
          <cell r="O710" t="str">
            <v/>
          </cell>
          <cell r="P710">
            <v>0</v>
          </cell>
          <cell r="Q710">
            <v>0.22594737806338899</v>
          </cell>
          <cell r="R710">
            <v>0.22594737806338899</v>
          </cell>
          <cell r="S710" t="e">
            <v>#VALUE!</v>
          </cell>
          <cell r="T710" t="e">
            <v>#VALUE!</v>
          </cell>
        </row>
        <row r="711">
          <cell r="A711" t="str">
            <v>GREM1690045Z</v>
          </cell>
          <cell r="B711" t="str">
            <v>MKP000631001514</v>
          </cell>
          <cell r="C711" t="str">
            <v/>
          </cell>
          <cell r="D711" t="str">
            <v>Armário de Cozinha Completa 169cm Rustic Emilly Drive Madesa 04</v>
          </cell>
          <cell r="E711" t="str">
            <v>DRIVE/EMILLY</v>
          </cell>
          <cell r="F711" t="str">
            <v>COZINHA</v>
          </cell>
          <cell r="G711" t="str">
            <v/>
          </cell>
          <cell r="H711">
            <v>1059.99</v>
          </cell>
          <cell r="I711">
            <v>959.99</v>
          </cell>
          <cell r="J711">
            <v>751.46780000000001</v>
          </cell>
          <cell r="K711">
            <v>0</v>
          </cell>
          <cell r="L711">
            <v>751.46780000000001</v>
          </cell>
          <cell r="M711">
            <v>0</v>
          </cell>
          <cell r="N711">
            <v>959.99</v>
          </cell>
          <cell r="O711" t="str">
            <v/>
          </cell>
          <cell r="P711">
            <v>0</v>
          </cell>
          <cell r="Q711">
            <v>0.27748654034144898</v>
          </cell>
          <cell r="R711">
            <v>0.27748654034144898</v>
          </cell>
          <cell r="S711" t="e">
            <v>#VALUE!</v>
          </cell>
          <cell r="T711" t="e">
            <v>#VALUE!</v>
          </cell>
        </row>
        <row r="712">
          <cell r="A712" t="str">
            <v>1165092E</v>
          </cell>
          <cell r="B712" t="str">
            <v>MKP000631002355</v>
          </cell>
          <cell r="C712" t="str">
            <v/>
          </cell>
          <cell r="D712" t="str">
            <v>Guarda-Roupa Casal Madesa Alabama 4 Portas de Correr com Espelhos Branco</v>
          </cell>
          <cell r="E712" t="str">
            <v>ALABAMA</v>
          </cell>
          <cell r="F712" t="str">
            <v>QUARTO</v>
          </cell>
          <cell r="G712" t="str">
            <v/>
          </cell>
          <cell r="H712">
            <v>3669.99</v>
          </cell>
          <cell r="I712">
            <v>2399.9899999999998</v>
          </cell>
          <cell r="J712">
            <v>2003.7470000000001</v>
          </cell>
          <cell r="K712">
            <v>0</v>
          </cell>
          <cell r="L712">
            <v>2003.7470000000001</v>
          </cell>
          <cell r="M712">
            <v>0</v>
          </cell>
          <cell r="N712">
            <v>2399.9899999999998</v>
          </cell>
          <cell r="O712" t="str">
            <v>LOJA</v>
          </cell>
          <cell r="P712">
            <v>2399.9899999999998</v>
          </cell>
          <cell r="Q712">
            <v>0.19775101347625201</v>
          </cell>
          <cell r="R712">
            <v>0.19775101347625201</v>
          </cell>
          <cell r="S712" t="e">
            <v>#VALUE!</v>
          </cell>
          <cell r="T712" t="e">
            <v>#VALUE!</v>
          </cell>
        </row>
        <row r="713">
          <cell r="A713" t="str">
            <v>XAGCRM3320028N</v>
          </cell>
          <cell r="B713" t="str">
            <v>MKP000631003297</v>
          </cell>
          <cell r="C713" t="str">
            <v/>
          </cell>
          <cell r="D713" t="str">
            <v>Armário de Cozinha Completa 332cm Preto/Rustic Reims Madesa XA02</v>
          </cell>
          <cell r="E713" t="str">
            <v>REIMS</v>
          </cell>
          <cell r="F713" t="str">
            <v>COZINHA</v>
          </cell>
          <cell r="G713" t="str">
            <v/>
          </cell>
          <cell r="H713">
            <v>1859.99</v>
          </cell>
          <cell r="I713">
            <v>1759.99</v>
          </cell>
          <cell r="J713">
            <v>1371.22</v>
          </cell>
          <cell r="K713">
            <v>0</v>
          </cell>
          <cell r="L713">
            <v>1371.22</v>
          </cell>
          <cell r="M713">
            <v>0</v>
          </cell>
          <cell r="N713">
            <v>1759.99</v>
          </cell>
          <cell r="O713" t="str">
            <v>MADEIRAMADEIRA</v>
          </cell>
          <cell r="P713">
            <v>1659.99</v>
          </cell>
          <cell r="Q713">
            <v>0.28352124385583599</v>
          </cell>
          <cell r="R713">
            <v>0.28352124385583599</v>
          </cell>
          <cell r="S713" t="e">
            <v>#VALUE!</v>
          </cell>
          <cell r="T713" t="e">
            <v>#VALUE!</v>
          </cell>
        </row>
        <row r="714">
          <cell r="A714" t="str">
            <v>1018092E</v>
          </cell>
          <cell r="B714" t="str">
            <v>MKP000631002253</v>
          </cell>
          <cell r="C714" t="str">
            <v/>
          </cell>
          <cell r="D714" t="str">
            <v>Guarda-Roupa Casal Madesa Kansas 3 Portas de Correr com Espelhos 3 Gavetas Branco</v>
          </cell>
          <cell r="E714" t="str">
            <v>KANSAS</v>
          </cell>
          <cell r="F714" t="str">
            <v>QUARTO</v>
          </cell>
          <cell r="G714" t="str">
            <v/>
          </cell>
          <cell r="H714">
            <v>1799.99</v>
          </cell>
          <cell r="I714">
            <v>1679.92</v>
          </cell>
          <cell r="J714">
            <v>1403.7782999999999</v>
          </cell>
          <cell r="K714">
            <v>0</v>
          </cell>
          <cell r="L714">
            <v>1403.7782999999999</v>
          </cell>
          <cell r="M714">
            <v>0</v>
          </cell>
          <cell r="N714">
            <v>1679.92</v>
          </cell>
          <cell r="O714" t="str">
            <v/>
          </cell>
          <cell r="P714">
            <v>0</v>
          </cell>
          <cell r="Q714">
            <v>0.19671318469590299</v>
          </cell>
          <cell r="R714">
            <v>0.19671318469590299</v>
          </cell>
          <cell r="S714" t="e">
            <v>#VALUE!</v>
          </cell>
          <cell r="T714" t="e">
            <v>#VALUE!</v>
          </cell>
        </row>
        <row r="715">
          <cell r="A715" t="str">
            <v>16695Z2</v>
          </cell>
          <cell r="B715" t="str">
            <v>MKP000631000273</v>
          </cell>
          <cell r="C715" t="str">
            <v/>
          </cell>
          <cell r="D715" t="str">
            <v>Guarda-Roupa Casal Madesa Vip 6 Portas Batentes Rustic</v>
          </cell>
          <cell r="E715" t="str">
            <v>VIP</v>
          </cell>
          <cell r="F715" t="str">
            <v>QUARTO</v>
          </cell>
          <cell r="G715" t="str">
            <v/>
          </cell>
          <cell r="H715">
            <v>1479.99</v>
          </cell>
          <cell r="I715">
            <v>1089.99</v>
          </cell>
          <cell r="J715">
            <v>719.54169999999999</v>
          </cell>
          <cell r="K715">
            <v>0</v>
          </cell>
          <cell r="L715">
            <v>719.54169999999999</v>
          </cell>
          <cell r="M715">
            <v>0</v>
          </cell>
          <cell r="N715">
            <v>1089.99</v>
          </cell>
          <cell r="O715" t="str">
            <v>WEB (MELI)</v>
          </cell>
          <cell r="P715">
            <v>1089.99</v>
          </cell>
          <cell r="Q715">
            <v>0.51483923725337899</v>
          </cell>
          <cell r="R715">
            <v>0.51483923725337899</v>
          </cell>
          <cell r="S715" t="e">
            <v>#VALUE!</v>
          </cell>
          <cell r="T715" t="e">
            <v>#VALUE!</v>
          </cell>
        </row>
        <row r="716">
          <cell r="A716" t="str">
            <v>XA1094091E2G</v>
          </cell>
          <cell r="B716" t="str">
            <v>MKP000631001620</v>
          </cell>
          <cell r="C716" t="str">
            <v/>
          </cell>
          <cell r="D716" t="str">
            <v>Guarda-Roupa Infantil Madesa Bento 2 Portas de Correr com Espelho 2 Gavetas Branco</v>
          </cell>
          <cell r="E716" t="str">
            <v>BENTO</v>
          </cell>
          <cell r="F716" t="str">
            <v>QUARTO</v>
          </cell>
          <cell r="G716" t="str">
            <v/>
          </cell>
          <cell r="H716">
            <v>969.99</v>
          </cell>
          <cell r="I716">
            <v>839.92</v>
          </cell>
          <cell r="J716">
            <v>693.77409999999998</v>
          </cell>
          <cell r="K716">
            <v>0</v>
          </cell>
          <cell r="L716">
            <v>693.77409999999998</v>
          </cell>
          <cell r="M716">
            <v>0</v>
          </cell>
          <cell r="N716">
            <v>839.92</v>
          </cell>
          <cell r="O716" t="str">
            <v/>
          </cell>
          <cell r="P716">
            <v>0</v>
          </cell>
          <cell r="Q716">
            <v>0.21065343892197699</v>
          </cell>
          <cell r="R716">
            <v>0.21065343892197699</v>
          </cell>
          <cell r="S716" t="e">
            <v>#VALUE!</v>
          </cell>
          <cell r="T716" t="e">
            <v>#VALUE!</v>
          </cell>
        </row>
        <row r="717">
          <cell r="A717" t="str">
            <v>GRGL33000373</v>
          </cell>
          <cell r="B717" t="str">
            <v>MKP000631004602</v>
          </cell>
          <cell r="C717" t="str">
            <v/>
          </cell>
          <cell r="D717" t="str">
            <v>Armário de Cozinha Completa 330cm Branco/Preto Glamy Madesa 03</v>
          </cell>
          <cell r="E717" t="str">
            <v>GLAMY</v>
          </cell>
          <cell r="F717" t="str">
            <v>COZINHA</v>
          </cell>
          <cell r="G717" t="str">
            <v/>
          </cell>
          <cell r="H717">
            <v>2799.99</v>
          </cell>
          <cell r="I717">
            <v>2699.99</v>
          </cell>
          <cell r="J717">
            <v>2173.8415</v>
          </cell>
          <cell r="K717">
            <v>0</v>
          </cell>
          <cell r="L717">
            <v>2173.8415</v>
          </cell>
          <cell r="M717">
            <v>0</v>
          </cell>
          <cell r="N717">
            <v>2699.99</v>
          </cell>
          <cell r="O717" t="str">
            <v/>
          </cell>
          <cell r="P717">
            <v>0</v>
          </cell>
          <cell r="Q717">
            <v>0.242036275413824</v>
          </cell>
          <cell r="R717">
            <v>0.242036275413824</v>
          </cell>
          <cell r="S717" t="e">
            <v>#VALUE!</v>
          </cell>
          <cell r="T717" t="e">
            <v>#VALUE!</v>
          </cell>
        </row>
        <row r="718">
          <cell r="A718" t="str">
            <v>045677GX4TFBM</v>
          </cell>
          <cell r="B718" t="str">
            <v>MKP000631000756</v>
          </cell>
          <cell r="C718" t="str">
            <v/>
          </cell>
          <cell r="D718" t="str">
            <v>Conjunto Sala de Jantar Madesa Talita Mesa Tampo de Madeira com 4 Cadeiras Rustic/Crema/Bege Marrom</v>
          </cell>
          <cell r="E718" t="str">
            <v>TALITA</v>
          </cell>
          <cell r="F718" t="str">
            <v>SALA DE JANTAR</v>
          </cell>
          <cell r="G718" t="str">
            <v>4291X</v>
          </cell>
          <cell r="H718">
            <v>1159.99</v>
          </cell>
          <cell r="I718">
            <v>499.99</v>
          </cell>
          <cell r="J718">
            <v>396.72730000000001</v>
          </cell>
          <cell r="K718">
            <v>0</v>
          </cell>
          <cell r="L718">
            <v>396.72730000000001</v>
          </cell>
          <cell r="M718">
            <v>0</v>
          </cell>
          <cell r="N718">
            <v>499.99</v>
          </cell>
          <cell r="O718" t="str">
            <v>ZEMA</v>
          </cell>
          <cell r="P718">
            <v>539.99</v>
          </cell>
          <cell r="Q718">
            <v>0.26028634782632798</v>
          </cell>
          <cell r="R718">
            <v>0.26028634782632798</v>
          </cell>
          <cell r="S718" t="e">
            <v>#VALUE!</v>
          </cell>
          <cell r="T718" t="e">
            <v>#VALUE!</v>
          </cell>
        </row>
        <row r="719">
          <cell r="A719" t="str">
            <v>XAG200807K8N</v>
          </cell>
          <cell r="B719" t="str">
            <v>MKP000631003291</v>
          </cell>
          <cell r="C719" t="str">
            <v/>
          </cell>
          <cell r="D719" t="str">
            <v>Armário de Cozinha Compacta Madesa Reims com Balcão 5 Portas 3 Gavetas Preto</v>
          </cell>
          <cell r="E719" t="str">
            <v>REIMS</v>
          </cell>
          <cell r="F719" t="str">
            <v>COZINHA</v>
          </cell>
          <cell r="G719" t="str">
            <v/>
          </cell>
          <cell r="H719">
            <v>1299.99</v>
          </cell>
          <cell r="I719">
            <v>1159.92</v>
          </cell>
          <cell r="J719">
            <v>942.93719999999996</v>
          </cell>
          <cell r="K719">
            <v>0</v>
          </cell>
          <cell r="L719">
            <v>942.93719999999996</v>
          </cell>
          <cell r="M719">
            <v>0</v>
          </cell>
          <cell r="N719">
            <v>1159.92</v>
          </cell>
          <cell r="O719" t="str">
            <v/>
          </cell>
          <cell r="P719">
            <v>0</v>
          </cell>
          <cell r="Q719">
            <v>0.230113733979315</v>
          </cell>
          <cell r="R719">
            <v>0.230113733979315</v>
          </cell>
          <cell r="S719" t="e">
            <v>#VALUE!</v>
          </cell>
          <cell r="T719" t="e">
            <v>#VALUE!</v>
          </cell>
        </row>
        <row r="720">
          <cell r="A720" t="str">
            <v>GRRM35500109</v>
          </cell>
          <cell r="B720" t="str">
            <v>MKP000631004190</v>
          </cell>
          <cell r="C720" t="str">
            <v/>
          </cell>
          <cell r="D720" t="str">
            <v>Armário de Cozinha Completa 355cm Branco Reims da Sabrina Madesa</v>
          </cell>
          <cell r="E720" t="str">
            <v>REIMS</v>
          </cell>
          <cell r="F720" t="str">
            <v>COZINHA</v>
          </cell>
          <cell r="G720" t="str">
            <v/>
          </cell>
          <cell r="H720">
            <v>2599.9899999999998</v>
          </cell>
          <cell r="I720">
            <v>2499.9899999999998</v>
          </cell>
          <cell r="J720">
            <v>2078.1176999999998</v>
          </cell>
          <cell r="K720">
            <v>0</v>
          </cell>
          <cell r="L720">
            <v>2078.1176999999998</v>
          </cell>
          <cell r="M720">
            <v>0</v>
          </cell>
          <cell r="N720">
            <v>2499.9899999999998</v>
          </cell>
          <cell r="O720" t="str">
            <v/>
          </cell>
          <cell r="P720">
            <v>0</v>
          </cell>
          <cell r="Q720">
            <v>0.20300693266796199</v>
          </cell>
          <cell r="R720">
            <v>0.20300693266796199</v>
          </cell>
          <cell r="S720" t="e">
            <v>#VALUE!</v>
          </cell>
          <cell r="T720" t="e">
            <v>#VALUE!</v>
          </cell>
        </row>
        <row r="721">
          <cell r="A721" t="str">
            <v>GCGL3490025Z</v>
          </cell>
          <cell r="B721" t="str">
            <v>MKP000631004497</v>
          </cell>
          <cell r="C721" t="str">
            <v/>
          </cell>
          <cell r="D721" t="str">
            <v>Armário de Cozinha Completa de Canto 349cm Rustic Glamy Madesa 02</v>
          </cell>
          <cell r="E721" t="str">
            <v>GLAMY</v>
          </cell>
          <cell r="F721" t="str">
            <v>COZINHA</v>
          </cell>
          <cell r="G721" t="str">
            <v/>
          </cell>
          <cell r="H721">
            <v>2499.9899999999998</v>
          </cell>
          <cell r="I721">
            <v>2399.9899999999998</v>
          </cell>
          <cell r="J721">
            <v>2025.4161999999999</v>
          </cell>
          <cell r="K721">
            <v>0</v>
          </cell>
          <cell r="L721">
            <v>2025.4161999999999</v>
          </cell>
          <cell r="M721">
            <v>0</v>
          </cell>
          <cell r="N721">
            <v>2399.9899999999998</v>
          </cell>
          <cell r="O721" t="str">
            <v/>
          </cell>
          <cell r="P721">
            <v>0</v>
          </cell>
          <cell r="Q721">
            <v>0.18493670584840799</v>
          </cell>
          <cell r="R721">
            <v>0.18493670584840799</v>
          </cell>
          <cell r="S721" t="e">
            <v>#VALUE!</v>
          </cell>
          <cell r="T721" t="e">
            <v>#VALUE!</v>
          </cell>
        </row>
        <row r="722">
          <cell r="A722" t="str">
            <v>109309CP</v>
          </cell>
          <cell r="B722" t="str">
            <v>MKP000631001069</v>
          </cell>
          <cell r="C722" t="str">
            <v/>
          </cell>
          <cell r="D722" t="str">
            <v>Guarda-Roupa Casal Madesa Mônaco 3 Portas de Correr com Pés Branco</v>
          </cell>
          <cell r="E722" t="str">
            <v>MÔNACO</v>
          </cell>
          <cell r="F722" t="str">
            <v>QUARTO</v>
          </cell>
          <cell r="G722" t="str">
            <v/>
          </cell>
          <cell r="H722">
            <v>939.99</v>
          </cell>
          <cell r="I722">
            <v>819.92</v>
          </cell>
          <cell r="J722">
            <v>667.03639999999996</v>
          </cell>
          <cell r="K722">
            <v>0</v>
          </cell>
          <cell r="L722">
            <v>667.03639999999996</v>
          </cell>
          <cell r="M722">
            <v>0</v>
          </cell>
          <cell r="N722">
            <v>819.92</v>
          </cell>
          <cell r="O722" t="str">
            <v/>
          </cell>
          <cell r="P722">
            <v>0</v>
          </cell>
          <cell r="Q722">
            <v>0.229198286630235</v>
          </cell>
          <cell r="R722">
            <v>0.229198286630235</v>
          </cell>
          <cell r="S722" t="e">
            <v>#VALUE!</v>
          </cell>
          <cell r="T722" t="e">
            <v>#VALUE!</v>
          </cell>
        </row>
        <row r="723">
          <cell r="A723" t="str">
            <v>GRGM25000309</v>
          </cell>
          <cell r="B723" t="str">
            <v>MKP000631003516</v>
          </cell>
          <cell r="C723" t="str">
            <v/>
          </cell>
          <cell r="D723" t="str">
            <v>Armário de Cozinha Completa 100% MDF 250cm Frentes Branco Brilho Acordes Madesa 03</v>
          </cell>
          <cell r="E723" t="str">
            <v>ACORDES</v>
          </cell>
          <cell r="F723" t="str">
            <v>COZINHA</v>
          </cell>
          <cell r="G723" t="str">
            <v/>
          </cell>
          <cell r="H723">
            <v>2099.9899999999998</v>
          </cell>
          <cell r="I723">
            <v>1999.99</v>
          </cell>
          <cell r="J723">
            <v>1671.6458</v>
          </cell>
          <cell r="K723">
            <v>0</v>
          </cell>
          <cell r="L723">
            <v>1671.6458</v>
          </cell>
          <cell r="M723">
            <v>0</v>
          </cell>
          <cell r="N723">
            <v>1999.99</v>
          </cell>
          <cell r="O723" t="str">
            <v/>
          </cell>
          <cell r="P723">
            <v>0</v>
          </cell>
          <cell r="Q723">
            <v>0.19641972001485</v>
          </cell>
          <cell r="R723">
            <v>0.19641972001485</v>
          </cell>
          <cell r="S723" t="e">
            <v>#VALUE!</v>
          </cell>
          <cell r="T723" t="e">
            <v>#VALUE!</v>
          </cell>
        </row>
        <row r="724">
          <cell r="A724" t="str">
            <v>XA10945Z1E</v>
          </cell>
          <cell r="B724" t="str">
            <v>MKP000631001601</v>
          </cell>
          <cell r="C724" t="str">
            <v/>
          </cell>
          <cell r="D724" t="str">
            <v>Guarda-Roupa Infantil Madesa Enzo 2 Portas de Correr com Espelho Rustic</v>
          </cell>
          <cell r="E724" t="str">
            <v>ENZO</v>
          </cell>
          <cell r="F724" t="str">
            <v>QUARTO</v>
          </cell>
          <cell r="G724" t="str">
            <v/>
          </cell>
          <cell r="H724">
            <v>859.99</v>
          </cell>
          <cell r="I724">
            <v>729.92</v>
          </cell>
          <cell r="J724">
            <v>605.03719999999998</v>
          </cell>
          <cell r="K724">
            <v>0</v>
          </cell>
          <cell r="L724">
            <v>605.03719999999998</v>
          </cell>
          <cell r="M724">
            <v>0</v>
          </cell>
          <cell r="N724">
            <v>729.92</v>
          </cell>
          <cell r="O724" t="str">
            <v/>
          </cell>
          <cell r="P724">
            <v>0</v>
          </cell>
          <cell r="Q724">
            <v>0.20640515988107799</v>
          </cell>
          <cell r="R724">
            <v>0.20640515988107799</v>
          </cell>
          <cell r="S724" t="e">
            <v>#VALUE!</v>
          </cell>
          <cell r="T724" t="e">
            <v>#VALUE!</v>
          </cell>
        </row>
        <row r="725">
          <cell r="A725" t="str">
            <v>GRTP3000029B</v>
          </cell>
          <cell r="B725" t="str">
            <v>MKP000631004968</v>
          </cell>
          <cell r="C725" t="str">
            <v/>
          </cell>
          <cell r="D725" t="str">
            <v>Armário de Cozinha Completa 300cm Branco/Rustic Diamante Madesa 02</v>
          </cell>
          <cell r="E725" t="str">
            <v>DIAMANTE</v>
          </cell>
          <cell r="F725" t="str">
            <v>COZINHA</v>
          </cell>
          <cell r="G725" t="str">
            <v/>
          </cell>
          <cell r="H725">
            <v>1779.99</v>
          </cell>
          <cell r="I725">
            <v>1619.92</v>
          </cell>
          <cell r="J725">
            <v>1224.0155</v>
          </cell>
          <cell r="K725">
            <v>0</v>
          </cell>
          <cell r="L725">
            <v>1224.0155</v>
          </cell>
          <cell r="M725">
            <v>0</v>
          </cell>
          <cell r="N725">
            <v>1619.92</v>
          </cell>
          <cell r="O725" t="str">
            <v/>
          </cell>
          <cell r="P725">
            <v>0</v>
          </cell>
          <cell r="Q725">
            <v>0.32344729294686198</v>
          </cell>
          <cell r="R725">
            <v>0.32344729294686198</v>
          </cell>
          <cell r="S725" t="e">
            <v>#VALUE!</v>
          </cell>
          <cell r="T725" t="e">
            <v>#VALUE!</v>
          </cell>
        </row>
        <row r="726">
          <cell r="A726" t="str">
            <v>G252008NPR</v>
          </cell>
          <cell r="B726" t="str">
            <v>MKP000631002961</v>
          </cell>
          <cell r="C726" t="str">
            <v/>
          </cell>
          <cell r="D726" t="str">
            <v>Adega Madesa 20 cm para Cozinhas Reims, Glamy e Agata Preto</v>
          </cell>
          <cell r="E726" t="str">
            <v>PR</v>
          </cell>
          <cell r="F726" t="str">
            <v>MODULAÇÃO</v>
          </cell>
          <cell r="G726" t="str">
            <v/>
          </cell>
          <cell r="H726">
            <v>369.99</v>
          </cell>
          <cell r="I726">
            <v>179.99</v>
          </cell>
          <cell r="J726">
            <v>99.309899999999999</v>
          </cell>
          <cell r="K726">
            <v>0</v>
          </cell>
          <cell r="L726">
            <v>99.309899999999999</v>
          </cell>
          <cell r="M726">
            <v>0</v>
          </cell>
          <cell r="N726">
            <v>179.99</v>
          </cell>
          <cell r="O726" t="str">
            <v/>
          </cell>
          <cell r="P726">
            <v>0</v>
          </cell>
          <cell r="Q726">
            <v>0.81240742363047402</v>
          </cell>
          <cell r="R726">
            <v>0.81240742363047402</v>
          </cell>
          <cell r="S726" t="e">
            <v>#VALUE!</v>
          </cell>
          <cell r="T726" t="e">
            <v>#VALUE!</v>
          </cell>
        </row>
        <row r="727">
          <cell r="A727" t="str">
            <v>GCRM40200109</v>
          </cell>
          <cell r="B727" t="str">
            <v>MKP000631002496</v>
          </cell>
          <cell r="C727" t="str">
            <v/>
          </cell>
          <cell r="D727" t="str">
            <v>Armário de Cozinha Completa de Canto 402cm Branco Reims Madesa 01</v>
          </cell>
          <cell r="E727" t="str">
            <v>REIMS</v>
          </cell>
          <cell r="F727" t="str">
            <v>COZINHA</v>
          </cell>
          <cell r="G727" t="str">
            <v/>
          </cell>
          <cell r="H727">
            <v>4139.99</v>
          </cell>
          <cell r="I727">
            <v>2169.92</v>
          </cell>
          <cell r="J727">
            <v>1761.4073000000001</v>
          </cell>
          <cell r="K727">
            <v>0</v>
          </cell>
          <cell r="L727">
            <v>1761.4073000000001</v>
          </cell>
          <cell r="M727">
            <v>0</v>
          </cell>
          <cell r="N727">
            <v>2169.92</v>
          </cell>
          <cell r="O727" t="str">
            <v/>
          </cell>
          <cell r="P727">
            <v>0</v>
          </cell>
          <cell r="Q727">
            <v>0.23192404164556399</v>
          </cell>
          <cell r="R727">
            <v>0.23192404164556399</v>
          </cell>
          <cell r="S727" t="e">
            <v>#VALUE!</v>
          </cell>
          <cell r="T727" t="e">
            <v>#VALUE!</v>
          </cell>
        </row>
        <row r="728">
          <cell r="A728" t="str">
            <v>GRAG280002F9</v>
          </cell>
          <cell r="B728" t="str">
            <v>MKP000631002859</v>
          </cell>
          <cell r="C728" t="str">
            <v/>
          </cell>
          <cell r="D728" t="str">
            <v>Armário de Cozinha Compacta 280cm Rustic/Cinza Agata Madesa 02</v>
          </cell>
          <cell r="E728" t="str">
            <v>ÁGATA</v>
          </cell>
          <cell r="F728" t="str">
            <v>COZINHA</v>
          </cell>
          <cell r="G728" t="str">
            <v/>
          </cell>
          <cell r="H728">
            <v>1499.99</v>
          </cell>
          <cell r="I728">
            <v>1399.99</v>
          </cell>
          <cell r="J728">
            <v>1174.7692999999999</v>
          </cell>
          <cell r="K728">
            <v>0</v>
          </cell>
          <cell r="L728">
            <v>1174.7692999999999</v>
          </cell>
          <cell r="M728">
            <v>0</v>
          </cell>
          <cell r="N728">
            <v>1399.99</v>
          </cell>
          <cell r="O728" t="str">
            <v>LOJA</v>
          </cell>
          <cell r="P728">
            <v>1399.99</v>
          </cell>
          <cell r="Q728">
            <v>0.19171483286122601</v>
          </cell>
          <cell r="R728">
            <v>0.19171483286122601</v>
          </cell>
          <cell r="S728" t="e">
            <v>#VALUE!</v>
          </cell>
          <cell r="T728" t="e">
            <v>#VALUE!</v>
          </cell>
        </row>
        <row r="729">
          <cell r="A729" t="str">
            <v>MDJA0401357KSIL</v>
          </cell>
          <cell r="B729" t="str">
            <v>MKP000631004739</v>
          </cell>
          <cell r="C729" t="str">
            <v/>
          </cell>
          <cell r="D729" t="str">
            <v>Conjunto Sala de Jantar Mesa Tampo de Vidro 4 Cadeiras Rustic/Preto/Silver Marilia Madesa</v>
          </cell>
          <cell r="E729" t="str">
            <v>MARILIA</v>
          </cell>
          <cell r="F729" t="str">
            <v>SALA DE JANTAR</v>
          </cell>
          <cell r="G729">
            <v>4256</v>
          </cell>
          <cell r="H729">
            <v>1539.99</v>
          </cell>
          <cell r="I729">
            <v>1439.99</v>
          </cell>
          <cell r="J729">
            <v>1112.5848000000001</v>
          </cell>
          <cell r="K729">
            <v>0</v>
          </cell>
          <cell r="L729">
            <v>1112.5848000000001</v>
          </cell>
          <cell r="M729">
            <v>0</v>
          </cell>
          <cell r="N729">
            <v>1439.99</v>
          </cell>
          <cell r="O729" t="str">
            <v>MELI</v>
          </cell>
          <cell r="P729">
            <v>1544.44</v>
          </cell>
          <cell r="Q729">
            <v>0.29427437800696199</v>
          </cell>
          <cell r="R729">
            <v>0.29427437800696199</v>
          </cell>
          <cell r="S729" t="e">
            <v>#VALUE!</v>
          </cell>
          <cell r="T729" t="e">
            <v>#VALUE!</v>
          </cell>
        </row>
        <row r="730">
          <cell r="A730" t="str">
            <v>GCLX5460059R</v>
          </cell>
          <cell r="B730" t="str">
            <v>MKP000631004976</v>
          </cell>
          <cell r="C730" t="str">
            <v/>
          </cell>
          <cell r="D730" t="str">
            <v>Armário de Cozinha Completa de Canto 546cm Branco/Cinza Lux Madesa 05</v>
          </cell>
          <cell r="E730" t="str">
            <v>LUX</v>
          </cell>
          <cell r="F730" t="str">
            <v>COZINHA</v>
          </cell>
          <cell r="G730" t="str">
            <v/>
          </cell>
          <cell r="H730">
            <v>9419.99</v>
          </cell>
          <cell r="I730">
            <v>9319.99</v>
          </cell>
          <cell r="J730">
            <v>5719.7096000000001</v>
          </cell>
          <cell r="K730">
            <v>0</v>
          </cell>
          <cell r="L730">
            <v>5719.7096000000001</v>
          </cell>
          <cell r="M730">
            <v>0</v>
          </cell>
          <cell r="N730">
            <v>9319.99</v>
          </cell>
          <cell r="O730" t="str">
            <v>LOJA</v>
          </cell>
          <cell r="P730">
            <v>8189.99</v>
          </cell>
          <cell r="Q730">
            <v>0.62945160712354997</v>
          </cell>
          <cell r="R730">
            <v>0.62945160712354997</v>
          </cell>
          <cell r="S730" t="e">
            <v>#VALUE!</v>
          </cell>
          <cell r="T730" t="e">
            <v>#VALUE!</v>
          </cell>
        </row>
        <row r="731">
          <cell r="A731" t="str">
            <v>G26320F9EM</v>
          </cell>
          <cell r="B731" t="str">
            <v>MKP000631004787</v>
          </cell>
          <cell r="C731" t="str">
            <v/>
          </cell>
          <cell r="D731" t="str">
            <v>Paneleiro Madesa Emilly 2 Portas Rustic/Cinza</v>
          </cell>
          <cell r="E731" t="str">
            <v>EMILLY</v>
          </cell>
          <cell r="F731" t="str">
            <v>MODULAÇÃO</v>
          </cell>
          <cell r="G731" t="str">
            <v/>
          </cell>
          <cell r="H731">
            <v>339.99</v>
          </cell>
          <cell r="I731">
            <v>259.99</v>
          </cell>
          <cell r="J731">
            <v>181.81200000000001</v>
          </cell>
          <cell r="K731">
            <v>0</v>
          </cell>
          <cell r="L731">
            <v>181.81200000000001</v>
          </cell>
          <cell r="M731">
            <v>0</v>
          </cell>
          <cell r="N731">
            <v>259.99</v>
          </cell>
          <cell r="O731" t="str">
            <v/>
          </cell>
          <cell r="P731">
            <v>0</v>
          </cell>
          <cell r="Q731">
            <v>0.42999361978307299</v>
          </cell>
          <cell r="R731">
            <v>0.42999361978307299</v>
          </cell>
          <cell r="S731" t="e">
            <v>#VALUE!</v>
          </cell>
          <cell r="T731" t="e">
            <v>#VALUE!</v>
          </cell>
        </row>
        <row r="732">
          <cell r="A732" t="str">
            <v>XAGREM293001F9</v>
          </cell>
          <cell r="B732" t="str">
            <v>MKP000631004137</v>
          </cell>
          <cell r="C732" t="str">
            <v/>
          </cell>
          <cell r="D732" t="str">
            <v>Armário de Cozinha Completa 293cm Rustic/Cinza Emilly Madesa 01XA</v>
          </cell>
          <cell r="E732" t="str">
            <v>EMILLY</v>
          </cell>
          <cell r="F732" t="str">
            <v>COZINHA</v>
          </cell>
          <cell r="G732" t="str">
            <v/>
          </cell>
          <cell r="H732">
            <v>1249.99</v>
          </cell>
          <cell r="I732">
            <v>1149.99</v>
          </cell>
          <cell r="J732">
            <v>910.59690000000001</v>
          </cell>
          <cell r="K732">
            <v>0</v>
          </cell>
          <cell r="L732">
            <v>910.59690000000001</v>
          </cell>
          <cell r="M732">
            <v>0</v>
          </cell>
          <cell r="N732">
            <v>1149.99</v>
          </cell>
          <cell r="O732" t="str">
            <v/>
          </cell>
          <cell r="P732">
            <v>0</v>
          </cell>
          <cell r="Q732">
            <v>0.262896897628358</v>
          </cell>
          <cell r="R732">
            <v>0.262896897628358</v>
          </cell>
          <cell r="S732" t="e">
            <v>#VALUE!</v>
          </cell>
          <cell r="T732" t="e">
            <v>#VALUE!</v>
          </cell>
        </row>
        <row r="733">
          <cell r="A733" t="str">
            <v>G200860909</v>
          </cell>
          <cell r="B733" t="str">
            <v>MKP000631000401</v>
          </cell>
          <cell r="C733" t="str">
            <v/>
          </cell>
          <cell r="D733" t="str">
            <v>Armário de Cozinha Compacta 180cm Branco Topazio Madesa 86</v>
          </cell>
          <cell r="E733" t="str">
            <v>TOPÁZIO</v>
          </cell>
          <cell r="F733" t="str">
            <v>COZINHA</v>
          </cell>
          <cell r="G733" t="str">
            <v/>
          </cell>
          <cell r="H733">
            <v>1159.99</v>
          </cell>
          <cell r="I733">
            <v>1019.92</v>
          </cell>
          <cell r="J733">
            <v>820.06150000000002</v>
          </cell>
          <cell r="K733">
            <v>0</v>
          </cell>
          <cell r="L733">
            <v>820.06150000000002</v>
          </cell>
          <cell r="M733">
            <v>0</v>
          </cell>
          <cell r="N733">
            <v>1019.92</v>
          </cell>
          <cell r="O733" t="str">
            <v/>
          </cell>
          <cell r="P733">
            <v>0</v>
          </cell>
          <cell r="Q733">
            <v>0.24371159967880399</v>
          </cell>
          <cell r="R733">
            <v>0.24371159967880399</v>
          </cell>
          <cell r="S733" t="e">
            <v>#VALUE!</v>
          </cell>
          <cell r="T733" t="e">
            <v>#VALUE!</v>
          </cell>
        </row>
        <row r="734">
          <cell r="A734" t="str">
            <v>GCAG459001F8</v>
          </cell>
          <cell r="B734" t="str">
            <v>MKP000631004527</v>
          </cell>
          <cell r="C734" t="str">
            <v/>
          </cell>
          <cell r="D734" t="str">
            <v>Armário de Cozinha Completa de Canto 459cm Branco Cinza Agata Madesa 01</v>
          </cell>
          <cell r="E734" t="str">
            <v>ÁGATA</v>
          </cell>
          <cell r="F734" t="str">
            <v>COZINHA</v>
          </cell>
          <cell r="G734" t="str">
            <v/>
          </cell>
          <cell r="H734">
            <v>3449.99</v>
          </cell>
          <cell r="I734">
            <v>3349.99</v>
          </cell>
          <cell r="J734">
            <v>2732.2485000000001</v>
          </cell>
          <cell r="K734">
            <v>0</v>
          </cell>
          <cell r="L734">
            <v>2732.2485000000001</v>
          </cell>
          <cell r="M734">
            <v>0</v>
          </cell>
          <cell r="N734">
            <v>3349.99</v>
          </cell>
          <cell r="O734" t="str">
            <v/>
          </cell>
          <cell r="P734">
            <v>0</v>
          </cell>
          <cell r="Q734">
            <v>0.22609272180037801</v>
          </cell>
          <cell r="R734">
            <v>0.22609272180037801</v>
          </cell>
          <cell r="S734" t="e">
            <v>#VALUE!</v>
          </cell>
          <cell r="T734" t="e">
            <v>#VALUE!</v>
          </cell>
        </row>
        <row r="735">
          <cell r="A735" t="str">
            <v>045667GX4TFLH</v>
          </cell>
          <cell r="B735" t="str">
            <v>MKP000631000040</v>
          </cell>
          <cell r="C735" t="str">
            <v/>
          </cell>
          <cell r="D735" t="str">
            <v>Conjunto Sala de Jantar Madesa Cíntia Mesa Tampo de Madeira com 4 Cadeiras Rustic/Crema/Hibiscos</v>
          </cell>
          <cell r="E735" t="str">
            <v>CÍNTIA</v>
          </cell>
          <cell r="F735" t="str">
            <v>SALA DE JANTAR</v>
          </cell>
          <cell r="G735" t="str">
            <v>4291X</v>
          </cell>
          <cell r="H735">
            <v>669.99</v>
          </cell>
          <cell r="I735">
            <v>569.99</v>
          </cell>
          <cell r="J735">
            <v>428.30459999999999</v>
          </cell>
          <cell r="K735">
            <v>0</v>
          </cell>
          <cell r="L735">
            <v>428.30459999999999</v>
          </cell>
          <cell r="M735">
            <v>0</v>
          </cell>
          <cell r="N735">
            <v>569.99</v>
          </cell>
          <cell r="O735" t="str">
            <v>AMAZON</v>
          </cell>
          <cell r="P735">
            <v>569.99</v>
          </cell>
          <cell r="Q735">
            <v>0.33080522600037399</v>
          </cell>
          <cell r="R735">
            <v>0.33080522600037399</v>
          </cell>
          <cell r="S735" t="e">
            <v>#VALUE!</v>
          </cell>
          <cell r="T735" t="e">
            <v>#VALUE!</v>
          </cell>
        </row>
        <row r="736">
          <cell r="A736" t="str">
            <v>GRRM1800028N</v>
          </cell>
          <cell r="B736" t="str">
            <v>MKP000631003245</v>
          </cell>
          <cell r="C736" t="str">
            <v/>
          </cell>
          <cell r="D736" t="str">
            <v>Armário de Cozinha Compacta 180cm Preto Reims Madesa 01</v>
          </cell>
          <cell r="E736" t="str">
            <v>REIMS</v>
          </cell>
          <cell r="F736" t="str">
            <v>COZINHA</v>
          </cell>
          <cell r="G736" t="str">
            <v/>
          </cell>
          <cell r="H736">
            <v>2319.9899999999998</v>
          </cell>
          <cell r="I736">
            <v>1239.99</v>
          </cell>
          <cell r="J736">
            <v>1064.2869000000001</v>
          </cell>
          <cell r="K736">
            <v>0</v>
          </cell>
          <cell r="L736">
            <v>1064.2869000000001</v>
          </cell>
          <cell r="M736">
            <v>0</v>
          </cell>
          <cell r="N736">
            <v>1239.99</v>
          </cell>
          <cell r="O736" t="str">
            <v>CARREFOUR</v>
          </cell>
          <cell r="P736">
            <v>1219.99</v>
          </cell>
          <cell r="Q736">
            <v>0.16508997714807899</v>
          </cell>
          <cell r="R736">
            <v>0.16508997714807899</v>
          </cell>
          <cell r="S736" t="e">
            <v>#VALUE!</v>
          </cell>
          <cell r="T736" t="e">
            <v>#VALUE!</v>
          </cell>
        </row>
        <row r="737">
          <cell r="A737" t="str">
            <v>GCGM47900373</v>
          </cell>
          <cell r="B737" t="str">
            <v>MKP000631004935</v>
          </cell>
          <cell r="C737" t="str">
            <v/>
          </cell>
          <cell r="D737" t="str">
            <v>Armário de Cozinha Completa de Canto 100% MDF 479cm Branco/Preto Acordes Madesa 03</v>
          </cell>
          <cell r="E737" t="str">
            <v>ACORDES</v>
          </cell>
          <cell r="F737" t="str">
            <v>COZINHA</v>
          </cell>
          <cell r="G737" t="str">
            <v/>
          </cell>
          <cell r="H737">
            <v>3599.99</v>
          </cell>
          <cell r="I737">
            <v>3499.99</v>
          </cell>
          <cell r="J737">
            <v>2981.0518999999999</v>
          </cell>
          <cell r="K737">
            <v>0</v>
          </cell>
          <cell r="L737">
            <v>2981.0518999999999</v>
          </cell>
          <cell r="M737">
            <v>0</v>
          </cell>
          <cell r="N737">
            <v>3499.99</v>
          </cell>
          <cell r="O737" t="str">
            <v/>
          </cell>
          <cell r="P737">
            <v>0</v>
          </cell>
          <cell r="Q737">
            <v>0.17407885451440799</v>
          </cell>
          <cell r="R737">
            <v>0.17407885451440799</v>
          </cell>
          <cell r="S737" t="e">
            <v>#VALUE!</v>
          </cell>
          <cell r="T737" t="e">
            <v>#VALUE!</v>
          </cell>
        </row>
        <row r="738">
          <cell r="A738" t="str">
            <v>XC1063093E</v>
          </cell>
          <cell r="B738" t="str">
            <v>MKP000631001432</v>
          </cell>
          <cell r="C738" t="str">
            <v/>
          </cell>
          <cell r="D738" t="str">
            <v>Guarda-Roupa Casal 100% MDF Madesa Zurique 3 Portas de Correr de Espelho Branco</v>
          </cell>
          <cell r="E738" t="str">
            <v>ZURIQUE</v>
          </cell>
          <cell r="F738" t="str">
            <v>QUARTO</v>
          </cell>
          <cell r="G738" t="str">
            <v/>
          </cell>
          <cell r="H738">
            <v>4059.99</v>
          </cell>
          <cell r="I738">
            <v>2939.99</v>
          </cell>
          <cell r="J738">
            <v>2275.1352000000002</v>
          </cell>
          <cell r="K738">
            <v>0</v>
          </cell>
          <cell r="L738">
            <v>2275.1352000000002</v>
          </cell>
          <cell r="M738">
            <v>0</v>
          </cell>
          <cell r="N738">
            <v>2939.99</v>
          </cell>
          <cell r="O738" t="str">
            <v>MADEIRAMADEIRA</v>
          </cell>
          <cell r="P738">
            <v>2759.99</v>
          </cell>
          <cell r="Q738">
            <v>0.292226501528349</v>
          </cell>
          <cell r="R738">
            <v>0.292226501528349</v>
          </cell>
          <cell r="S738" t="e">
            <v>#VALUE!</v>
          </cell>
          <cell r="T738" t="e">
            <v>#VALUE!</v>
          </cell>
        </row>
        <row r="739">
          <cell r="A739" t="str">
            <v>MDJA0601185ZLIB</v>
          </cell>
          <cell r="B739" t="str">
            <v>MKP000631001561</v>
          </cell>
          <cell r="C739" t="str">
            <v/>
          </cell>
          <cell r="D739" t="str">
            <v>Conjunto Sala de Jantar Madesa Analu Mesa Tampo de Madeira com 6 Cadeiras Rustic/Lírio Bege</v>
          </cell>
          <cell r="E739" t="str">
            <v>ANALU</v>
          </cell>
          <cell r="F739" t="str">
            <v>SALA DE JANTAR</v>
          </cell>
          <cell r="G739" t="str">
            <v>4290X</v>
          </cell>
          <cell r="H739">
            <v>1629.99</v>
          </cell>
          <cell r="I739">
            <v>739.99</v>
          </cell>
          <cell r="J739">
            <v>562.97410000000002</v>
          </cell>
          <cell r="K739">
            <v>0</v>
          </cell>
          <cell r="L739">
            <v>562.97410000000002</v>
          </cell>
          <cell r="M739">
            <v>0</v>
          </cell>
          <cell r="N739">
            <v>739.99</v>
          </cell>
          <cell r="O739" t="str">
            <v>MAGALU</v>
          </cell>
          <cell r="P739">
            <v>736.83</v>
          </cell>
          <cell r="Q739">
            <v>0.31442991782392798</v>
          </cell>
          <cell r="R739">
            <v>0.31442991782392798</v>
          </cell>
          <cell r="S739" t="e">
            <v>#VALUE!</v>
          </cell>
          <cell r="T739" t="e">
            <v>#VALUE!</v>
          </cell>
        </row>
        <row r="740">
          <cell r="A740" t="str">
            <v>XAG2470009RM</v>
          </cell>
          <cell r="B740" t="str">
            <v>MKP000631002490</v>
          </cell>
          <cell r="C740" t="str">
            <v/>
          </cell>
          <cell r="D740" t="str">
            <v>Balcão Cantinho do Café Madesa Reims 70 cm 2 Portas Branco</v>
          </cell>
          <cell r="E740" t="str">
            <v>REIMS</v>
          </cell>
          <cell r="F740" t="str">
            <v>MODULAÇÃO</v>
          </cell>
          <cell r="G740" t="str">
            <v/>
          </cell>
          <cell r="H740">
            <v>829.99</v>
          </cell>
          <cell r="I740">
            <v>359.99</v>
          </cell>
          <cell r="J740">
            <v>258.0575</v>
          </cell>
          <cell r="K740">
            <v>0</v>
          </cell>
          <cell r="L740">
            <v>258.0575</v>
          </cell>
          <cell r="M740">
            <v>0</v>
          </cell>
          <cell r="N740">
            <v>359.99</v>
          </cell>
          <cell r="O740" t="str">
            <v/>
          </cell>
          <cell r="P740">
            <v>0</v>
          </cell>
          <cell r="Q740">
            <v>0.39499917654011202</v>
          </cell>
          <cell r="R740">
            <v>0.39499917654011202</v>
          </cell>
          <cell r="S740" t="e">
            <v>#VALUE!</v>
          </cell>
          <cell r="T740" t="e">
            <v>#VALUE!</v>
          </cell>
        </row>
        <row r="741">
          <cell r="A741" t="str">
            <v>G254003BNC</v>
          </cell>
          <cell r="B741" t="str">
            <v>MKP000631004815</v>
          </cell>
          <cell r="C741" t="str">
            <v/>
          </cell>
          <cell r="D741" t="str">
            <v>Armário Aéreo 40 cm 1 Porta Cinza Nice Madesa</v>
          </cell>
          <cell r="E741" t="str">
            <v>NICE</v>
          </cell>
          <cell r="F741" t="str">
            <v>MODULAÇÃO</v>
          </cell>
          <cell r="G741" t="str">
            <v/>
          </cell>
          <cell r="H741">
            <v>399.99</v>
          </cell>
          <cell r="I741">
            <v>239.99</v>
          </cell>
          <cell r="J741">
            <v>127.2902</v>
          </cell>
          <cell r="K741">
            <v>0</v>
          </cell>
          <cell r="L741">
            <v>127.2902</v>
          </cell>
          <cell r="M741">
            <v>0</v>
          </cell>
          <cell r="N741">
            <v>239.99</v>
          </cell>
          <cell r="O741" t="str">
            <v/>
          </cell>
          <cell r="P741">
            <v>0</v>
          </cell>
          <cell r="Q741">
            <v>0.88537687897418704</v>
          </cell>
          <cell r="R741">
            <v>0.88537687897418704</v>
          </cell>
          <cell r="S741" t="e">
            <v>#VALUE!</v>
          </cell>
          <cell r="T741" t="e">
            <v>#VALUE!</v>
          </cell>
        </row>
        <row r="742">
          <cell r="A742" t="str">
            <v>G2700554K</v>
          </cell>
          <cell r="B742" t="str">
            <v>MKP000631000417</v>
          </cell>
          <cell r="C742" t="str">
            <v/>
          </cell>
          <cell r="D742" t="str">
            <v>Tampo Madesa 100% MDF para Balcão de Pia 120 cm Nero Marquina</v>
          </cell>
          <cell r="E742" t="str">
            <v>ACORDES</v>
          </cell>
          <cell r="F742" t="str">
            <v>MODULAÇÃO</v>
          </cell>
          <cell r="G742" t="str">
            <v/>
          </cell>
          <cell r="H742">
            <v>369.99</v>
          </cell>
          <cell r="I742">
            <v>179.99</v>
          </cell>
          <cell r="J742">
            <v>112.5098</v>
          </cell>
          <cell r="K742">
            <v>0</v>
          </cell>
          <cell r="L742">
            <v>112.5098</v>
          </cell>
          <cell r="M742">
            <v>0</v>
          </cell>
          <cell r="N742">
            <v>179.99</v>
          </cell>
          <cell r="O742" t="str">
            <v/>
          </cell>
          <cell r="P742">
            <v>0</v>
          </cell>
          <cell r="Q742">
            <v>0.59977175321616405</v>
          </cell>
          <cell r="R742">
            <v>0.59977175321616405</v>
          </cell>
          <cell r="S742" t="e">
            <v>#VALUE!</v>
          </cell>
          <cell r="T742" t="e">
            <v>#VALUE!</v>
          </cell>
        </row>
        <row r="743">
          <cell r="A743" t="str">
            <v>GCGM41900309</v>
          </cell>
          <cell r="B743" t="str">
            <v>MKP000631003524</v>
          </cell>
          <cell r="C743" t="str">
            <v/>
          </cell>
          <cell r="D743" t="str">
            <v>Armário de Cozinha Completa de Canto 100% MDF 419cm Frentes Branco Brilho Acordes Madesa 03</v>
          </cell>
          <cell r="E743" t="str">
            <v>ACORDES</v>
          </cell>
          <cell r="F743" t="str">
            <v>COZINHA</v>
          </cell>
          <cell r="G743" t="str">
            <v/>
          </cell>
          <cell r="H743">
            <v>4419.99</v>
          </cell>
          <cell r="I743">
            <v>2999.99</v>
          </cell>
          <cell r="J743">
            <v>2547.9295000000002</v>
          </cell>
          <cell r="K743">
            <v>0</v>
          </cell>
          <cell r="L743">
            <v>2547.9295000000002</v>
          </cell>
          <cell r="M743">
            <v>0</v>
          </cell>
          <cell r="N743">
            <v>2999.99</v>
          </cell>
          <cell r="O743" t="str">
            <v/>
          </cell>
          <cell r="P743">
            <v>0</v>
          </cell>
          <cell r="Q743">
            <v>0.177422687715653</v>
          </cell>
          <cell r="R743">
            <v>0.177422687715653</v>
          </cell>
          <cell r="S743" t="e">
            <v>#VALUE!</v>
          </cell>
          <cell r="T743" t="e">
            <v>#VALUE!</v>
          </cell>
        </row>
        <row r="744">
          <cell r="A744" t="str">
            <v>MDJA0401475ZSIL</v>
          </cell>
          <cell r="B744" t="str">
            <v>MKP000631004924</v>
          </cell>
          <cell r="C744" t="str">
            <v/>
          </cell>
          <cell r="D744" t="str">
            <v>Conjunto Sala de Jantar Mesa Tampo de Vidro Redondo 4 Cadeiras Rustic/Silver Irene Madesa</v>
          </cell>
          <cell r="E744" t="str">
            <v>IRENE</v>
          </cell>
          <cell r="F744" t="str">
            <v>SALA DE JANTAR</v>
          </cell>
          <cell r="G744">
            <v>4256</v>
          </cell>
          <cell r="H744">
            <v>1569.99</v>
          </cell>
          <cell r="I744">
            <v>1199.99</v>
          </cell>
          <cell r="J744">
            <v>957.37969999999996</v>
          </cell>
          <cell r="K744">
            <v>0</v>
          </cell>
          <cell r="L744">
            <v>957.37969999999996</v>
          </cell>
          <cell r="M744">
            <v>0</v>
          </cell>
          <cell r="N744">
            <v>1199.99</v>
          </cell>
          <cell r="O744" t="str">
            <v>AMAZON</v>
          </cell>
          <cell r="P744">
            <v>1199.99</v>
          </cell>
          <cell r="Q744">
            <v>0.25341074184046303</v>
          </cell>
          <cell r="R744">
            <v>0.25341074184046303</v>
          </cell>
          <cell r="S744" t="e">
            <v>#VALUE!</v>
          </cell>
          <cell r="T744" t="e">
            <v>#VALUE!</v>
          </cell>
        </row>
        <row r="745">
          <cell r="A745" t="str">
            <v>MDJA0601366ESL</v>
          </cell>
          <cell r="B745" t="str">
            <v>MKP000631005294</v>
          </cell>
          <cell r="C745" t="str">
            <v/>
          </cell>
          <cell r="D745" t="str">
            <v>Conjunto Sala de Jantar Mesa Tampo de Vidro 6 Cadeiras Rustic/Branco/Silver Alexis Madesa</v>
          </cell>
          <cell r="E745" t="str">
            <v>ALEXIS</v>
          </cell>
          <cell r="F745" t="str">
            <v>SALA DE JANTAR</v>
          </cell>
          <cell r="G745">
            <v>4255</v>
          </cell>
          <cell r="H745">
            <v>1739.99</v>
          </cell>
          <cell r="I745">
            <v>1639.99</v>
          </cell>
          <cell r="J745">
            <v>1296.7293999999999</v>
          </cell>
          <cell r="K745">
            <v>0</v>
          </cell>
          <cell r="L745">
            <v>1296.7293999999999</v>
          </cell>
          <cell r="M745">
            <v>0</v>
          </cell>
          <cell r="N745">
            <v>1639.99</v>
          </cell>
          <cell r="O745" t="str">
            <v/>
          </cell>
          <cell r="P745">
            <v>0</v>
          </cell>
          <cell r="Q745">
            <v>0.264712591539916</v>
          </cell>
          <cell r="R745">
            <v>0.264712591539916</v>
          </cell>
          <cell r="S745" t="e">
            <v>#VALUE!</v>
          </cell>
          <cell r="T745" t="e">
            <v>#VALUE!</v>
          </cell>
        </row>
        <row r="746">
          <cell r="A746" t="str">
            <v>G271155ZPR</v>
          </cell>
          <cell r="B746" t="str">
            <v>MKP000631003185</v>
          </cell>
          <cell r="C746" t="str">
            <v/>
          </cell>
          <cell r="D746" t="str">
            <v>Bancada para Cozinha Madesa 115 cm Rustic</v>
          </cell>
          <cell r="E746" t="str">
            <v>PR</v>
          </cell>
          <cell r="F746" t="str">
            <v>MODULAÇÃO</v>
          </cell>
          <cell r="G746" t="str">
            <v/>
          </cell>
          <cell r="H746">
            <v>619.99</v>
          </cell>
          <cell r="I746">
            <v>289.99</v>
          </cell>
          <cell r="J746">
            <v>178.71639999999999</v>
          </cell>
          <cell r="K746">
            <v>0</v>
          </cell>
          <cell r="L746">
            <v>178.71639999999999</v>
          </cell>
          <cell r="M746">
            <v>0</v>
          </cell>
          <cell r="N746">
            <v>289.99</v>
          </cell>
          <cell r="O746" t="str">
            <v/>
          </cell>
          <cell r="P746">
            <v>0</v>
          </cell>
          <cell r="Q746">
            <v>0.62262668675062804</v>
          </cell>
          <cell r="R746">
            <v>0.62262668675062804</v>
          </cell>
          <cell r="S746" t="e">
            <v>#VALUE!</v>
          </cell>
          <cell r="T746" t="e">
            <v>#VALUE!</v>
          </cell>
        </row>
        <row r="747">
          <cell r="A747" t="str">
            <v>GRTP24000509</v>
          </cell>
          <cell r="B747" t="str">
            <v>MKP000631004965</v>
          </cell>
          <cell r="C747" t="str">
            <v/>
          </cell>
          <cell r="D747" t="str">
            <v>Armário de Cozinha Completa 240cm Branco Topazio Madesa 05</v>
          </cell>
          <cell r="E747" t="str">
            <v>TOPÁZIO</v>
          </cell>
          <cell r="F747" t="str">
            <v>COZINHA</v>
          </cell>
          <cell r="G747" t="str">
            <v/>
          </cell>
          <cell r="H747">
            <v>1399.99</v>
          </cell>
          <cell r="I747">
            <v>1299.99</v>
          </cell>
          <cell r="J747">
            <v>1072.4292</v>
          </cell>
          <cell r="K747">
            <v>0</v>
          </cell>
          <cell r="L747">
            <v>1072.4292</v>
          </cell>
          <cell r="M747">
            <v>0</v>
          </cell>
          <cell r="N747">
            <v>1299.99</v>
          </cell>
          <cell r="O747" t="str">
            <v/>
          </cell>
          <cell r="P747">
            <v>0</v>
          </cell>
          <cell r="Q747">
            <v>0.21219190973166299</v>
          </cell>
          <cell r="R747">
            <v>0.21219190973166299</v>
          </cell>
          <cell r="S747" t="e">
            <v>#VALUE!</v>
          </cell>
          <cell r="T747" t="e">
            <v>#VALUE!</v>
          </cell>
        </row>
        <row r="748">
          <cell r="A748" t="str">
            <v>1094092G</v>
          </cell>
          <cell r="B748" t="str">
            <v>MKP000631000788</v>
          </cell>
          <cell r="C748" t="str">
            <v/>
          </cell>
          <cell r="D748" t="str">
            <v>Guarda-Roupa Solteiro Madesa Dallas 2 Portas de Correr 2 Gavetas Branco</v>
          </cell>
          <cell r="E748" t="str">
            <v>DALLAS</v>
          </cell>
          <cell r="F748" t="str">
            <v>QUARTO</v>
          </cell>
          <cell r="G748" t="str">
            <v/>
          </cell>
          <cell r="H748">
            <v>799.99</v>
          </cell>
          <cell r="I748">
            <v>719.99</v>
          </cell>
          <cell r="J748">
            <v>563.84609999999998</v>
          </cell>
          <cell r="K748">
            <v>0</v>
          </cell>
          <cell r="L748">
            <v>563.84609999999998</v>
          </cell>
          <cell r="M748">
            <v>0</v>
          </cell>
          <cell r="N748">
            <v>719.99</v>
          </cell>
          <cell r="O748" t="str">
            <v>CARREFOUR</v>
          </cell>
          <cell r="P748">
            <v>699.99</v>
          </cell>
          <cell r="Q748">
            <v>0.27692645209393102</v>
          </cell>
          <cell r="R748">
            <v>0.27692645209393102</v>
          </cell>
          <cell r="S748" t="e">
            <v>#VALUE!</v>
          </cell>
          <cell r="T748" t="e">
            <v>#VALUE!</v>
          </cell>
        </row>
        <row r="749">
          <cell r="A749" t="str">
            <v>XC10638N</v>
          </cell>
          <cell r="B749" t="str">
            <v>MKP000631003099</v>
          </cell>
          <cell r="C749" t="str">
            <v/>
          </cell>
          <cell r="D749" t="str">
            <v>Guarda-Roupa Casal 100% MDF Madesa Zurique 3 Portas de Correr Preto</v>
          </cell>
          <cell r="E749" t="str">
            <v>ZURIQUE</v>
          </cell>
          <cell r="F749" t="str">
            <v>QUARTO</v>
          </cell>
          <cell r="G749" t="str">
            <v/>
          </cell>
          <cell r="H749">
            <v>1999.99</v>
          </cell>
          <cell r="I749">
            <v>1829.92</v>
          </cell>
          <cell r="J749">
            <v>1551.3534</v>
          </cell>
          <cell r="K749">
            <v>0</v>
          </cell>
          <cell r="L749">
            <v>1551.3534</v>
          </cell>
          <cell r="M749">
            <v>0</v>
          </cell>
          <cell r="N749">
            <v>1829.92</v>
          </cell>
          <cell r="O749" t="str">
            <v/>
          </cell>
          <cell r="P749">
            <v>0</v>
          </cell>
          <cell r="Q749">
            <v>0.179563599112878</v>
          </cell>
          <cell r="R749">
            <v>0.179563599112878</v>
          </cell>
          <cell r="S749" t="e">
            <v>#VALUE!</v>
          </cell>
          <cell r="T749" t="e">
            <v>#VALUE!</v>
          </cell>
        </row>
        <row r="750">
          <cell r="A750" t="str">
            <v>G2470009RM</v>
          </cell>
          <cell r="B750" t="str">
            <v>MKP000631002094</v>
          </cell>
          <cell r="C750" t="str">
            <v/>
          </cell>
          <cell r="D750" t="str">
            <v>Balcão Madesa Reims 70 cm 2 Portas - Branco</v>
          </cell>
          <cell r="E750" t="str">
            <v>REIMS</v>
          </cell>
          <cell r="F750" t="str">
            <v>MODULAÇÃO</v>
          </cell>
          <cell r="G750" t="str">
            <v/>
          </cell>
          <cell r="H750">
            <v>649.99</v>
          </cell>
          <cell r="I750">
            <v>339.99</v>
          </cell>
          <cell r="J750">
            <v>258.0575</v>
          </cell>
          <cell r="K750">
            <v>0</v>
          </cell>
          <cell r="L750">
            <v>258.0575</v>
          </cell>
          <cell r="M750">
            <v>0</v>
          </cell>
          <cell r="N750">
            <v>339.99</v>
          </cell>
          <cell r="O750" t="str">
            <v/>
          </cell>
          <cell r="P750">
            <v>0</v>
          </cell>
          <cell r="Q750">
            <v>0.31749706945157602</v>
          </cell>
          <cell r="R750">
            <v>0.31749706945157602</v>
          </cell>
          <cell r="S750" t="e">
            <v>#VALUE!</v>
          </cell>
          <cell r="T750" t="e">
            <v>#VALUE!</v>
          </cell>
        </row>
        <row r="751">
          <cell r="A751" t="str">
            <v>32275Z2E</v>
          </cell>
          <cell r="B751" t="str">
            <v>MKP000631000540</v>
          </cell>
          <cell r="C751" t="str">
            <v/>
          </cell>
          <cell r="D751" t="str">
            <v>Mesa de Cabeceira Madesa 3227 2 Gavetas com Espelho Rustic</v>
          </cell>
          <cell r="E751">
            <v>3227</v>
          </cell>
          <cell r="F751" t="str">
            <v>QUARTO</v>
          </cell>
          <cell r="G751" t="str">
            <v/>
          </cell>
          <cell r="H751">
            <v>469.99</v>
          </cell>
          <cell r="I751">
            <v>299.99</v>
          </cell>
          <cell r="J751">
            <v>222.12020000000001</v>
          </cell>
          <cell r="K751">
            <v>0</v>
          </cell>
          <cell r="L751">
            <v>222.12020000000001</v>
          </cell>
          <cell r="M751">
            <v>0</v>
          </cell>
          <cell r="N751">
            <v>299.99</v>
          </cell>
          <cell r="O751" t="str">
            <v/>
          </cell>
          <cell r="P751">
            <v>0</v>
          </cell>
          <cell r="Q751">
            <v>0.35057504900499797</v>
          </cell>
          <cell r="R751">
            <v>0.35057504900499797</v>
          </cell>
          <cell r="S751" t="e">
            <v>#VALUE!</v>
          </cell>
          <cell r="T751" t="e">
            <v>#VALUE!</v>
          </cell>
        </row>
        <row r="752">
          <cell r="A752" t="str">
            <v>MDDR0400017K</v>
          </cell>
          <cell r="B752" t="str">
            <v>MKP000631005969</v>
          </cell>
          <cell r="C752" t="str">
            <v/>
          </cell>
          <cell r="D752" t="str">
            <v>Guarda-Roupa Closet Modulado Valencia 4 Gavetas 258cm Rustic/Preto Madesa 01</v>
          </cell>
          <cell r="E752" t="str">
            <v>VALENCIA</v>
          </cell>
          <cell r="F752" t="str">
            <v>QUARTO</v>
          </cell>
          <cell r="G752" t="str">
            <v/>
          </cell>
          <cell r="H752">
            <v>1299.99</v>
          </cell>
          <cell r="I752">
            <v>1269.99</v>
          </cell>
          <cell r="J752">
            <v>1015.8582</v>
          </cell>
          <cell r="K752">
            <v>0</v>
          </cell>
          <cell r="L752">
            <v>1015.8582</v>
          </cell>
          <cell r="M752">
            <v>0</v>
          </cell>
          <cell r="N752">
            <v>1269.99</v>
          </cell>
          <cell r="O752" t="str">
            <v>MAGALU</v>
          </cell>
          <cell r="P752">
            <v>1263.1500000000001</v>
          </cell>
          <cell r="Q752">
            <v>0.25016463911990899</v>
          </cell>
          <cell r="R752">
            <v>0.25016463911990899</v>
          </cell>
          <cell r="S752" t="e">
            <v>#VALUE!</v>
          </cell>
          <cell r="T752" t="e">
            <v>#VALUE!</v>
          </cell>
        </row>
        <row r="753">
          <cell r="A753" t="str">
            <v>10285Z4E</v>
          </cell>
          <cell r="B753" t="str">
            <v>MKP000631002246</v>
          </cell>
          <cell r="C753" t="str">
            <v/>
          </cell>
          <cell r="D753" t="str">
            <v>Guarda-Roupa Casal Madesa Austin 4 Portas de Correr de Espelho 3 Gavetas Rustic</v>
          </cell>
          <cell r="E753" t="str">
            <v>AUSTIN</v>
          </cell>
          <cell r="F753" t="str">
            <v>QUARTO</v>
          </cell>
          <cell r="G753" t="str">
            <v/>
          </cell>
          <cell r="H753">
            <v>2369.9899999999998</v>
          </cell>
          <cell r="I753">
            <v>2049.92</v>
          </cell>
          <cell r="J753">
            <v>1632.2095999999999</v>
          </cell>
          <cell r="K753">
            <v>0</v>
          </cell>
          <cell r="L753">
            <v>1632.2095999999999</v>
          </cell>
          <cell r="M753">
            <v>0</v>
          </cell>
          <cell r="N753">
            <v>2049.92</v>
          </cell>
          <cell r="O753" t="str">
            <v/>
          </cell>
          <cell r="P753">
            <v>0</v>
          </cell>
          <cell r="Q753">
            <v>0.25591713221145101</v>
          </cell>
          <cell r="R753">
            <v>0.25591713221145101</v>
          </cell>
          <cell r="S753" t="e">
            <v>#VALUE!</v>
          </cell>
          <cell r="T753" t="e">
            <v>#VALUE!</v>
          </cell>
        </row>
        <row r="754">
          <cell r="A754" t="str">
            <v>10639B</v>
          </cell>
          <cell r="B754" t="str">
            <v>MKP000631000990</v>
          </cell>
          <cell r="C754" t="str">
            <v/>
          </cell>
          <cell r="D754" t="str">
            <v>Guarda-Roupa Casal 100% MDF Madesa Royale 3 Portas de Correr Branco/Rustic</v>
          </cell>
          <cell r="E754" t="str">
            <v>ROYALE</v>
          </cell>
          <cell r="F754" t="str">
            <v>QUARTO</v>
          </cell>
          <cell r="G754" t="str">
            <v/>
          </cell>
          <cell r="H754">
            <v>2269.9899999999998</v>
          </cell>
          <cell r="I754">
            <v>1959.92</v>
          </cell>
          <cell r="J754">
            <v>1551.3534</v>
          </cell>
          <cell r="K754">
            <v>0</v>
          </cell>
          <cell r="L754">
            <v>1551.3534</v>
          </cell>
          <cell r="M754">
            <v>0</v>
          </cell>
          <cell r="N754">
            <v>1959.92</v>
          </cell>
          <cell r="O754" t="str">
            <v/>
          </cell>
          <cell r="P754">
            <v>0</v>
          </cell>
          <cell r="Q754">
            <v>0.26336139786073198</v>
          </cell>
          <cell r="R754">
            <v>0.26336139786073198</v>
          </cell>
          <cell r="S754" t="e">
            <v>#VALUE!</v>
          </cell>
          <cell r="T754" t="e">
            <v>#VALUE!</v>
          </cell>
        </row>
        <row r="755">
          <cell r="A755" t="str">
            <v>GCRM5120018N</v>
          </cell>
          <cell r="B755" t="str">
            <v>MKP000631004292</v>
          </cell>
          <cell r="C755" t="str">
            <v/>
          </cell>
          <cell r="D755" t="str">
            <v>Armário de Cozinha Completa de Canto 512cm Preto Reims Madesa 01</v>
          </cell>
          <cell r="E755" t="str">
            <v>REIMS</v>
          </cell>
          <cell r="F755" t="str">
            <v>COZINHA</v>
          </cell>
          <cell r="G755" t="str">
            <v/>
          </cell>
          <cell r="H755">
            <v>2559.9899999999998</v>
          </cell>
          <cell r="I755">
            <v>2349.92</v>
          </cell>
          <cell r="J755">
            <v>2050.3989999999999</v>
          </cell>
          <cell r="K755">
            <v>0</v>
          </cell>
          <cell r="L755">
            <v>2050.3989999999999</v>
          </cell>
          <cell r="M755">
            <v>0</v>
          </cell>
          <cell r="N755">
            <v>2349.92</v>
          </cell>
          <cell r="O755" t="str">
            <v/>
          </cell>
          <cell r="P755">
            <v>0</v>
          </cell>
          <cell r="Q755">
            <v>0.14607937284401701</v>
          </cell>
          <cell r="R755">
            <v>0.14607937284401701</v>
          </cell>
          <cell r="S755" t="e">
            <v>#VALUE!</v>
          </cell>
          <cell r="T755" t="e">
            <v>#VALUE!</v>
          </cell>
        </row>
        <row r="756">
          <cell r="A756" t="str">
            <v>XAGCGM41900109</v>
          </cell>
          <cell r="B756" t="str">
            <v>MKP000631003737</v>
          </cell>
          <cell r="C756" t="str">
            <v/>
          </cell>
          <cell r="D756" t="str">
            <v>Armário de Cozinha Completa de Canto 100% MDF 419cm Frentes Branco Brilho Acordes Madesa XAXA01</v>
          </cell>
          <cell r="E756" t="str">
            <v>ACORDES</v>
          </cell>
          <cell r="F756" t="str">
            <v>COZINHA</v>
          </cell>
          <cell r="G756" t="str">
            <v/>
          </cell>
          <cell r="H756">
            <v>3679.99</v>
          </cell>
          <cell r="I756">
            <v>2579.9899999999998</v>
          </cell>
          <cell r="J756">
            <v>2108.4088000000002</v>
          </cell>
          <cell r="K756">
            <v>0</v>
          </cell>
          <cell r="L756">
            <v>2108.4088000000002</v>
          </cell>
          <cell r="M756">
            <v>0</v>
          </cell>
          <cell r="N756">
            <v>2579.9899999999998</v>
          </cell>
          <cell r="O756" t="str">
            <v>MADEIRAMADEIRA</v>
          </cell>
          <cell r="P756">
            <v>2569.9899999999998</v>
          </cell>
          <cell r="Q756">
            <v>0.22366687143403999</v>
          </cell>
          <cell r="R756">
            <v>0.22366687143403999</v>
          </cell>
          <cell r="S756" t="e">
            <v>#VALUE!</v>
          </cell>
          <cell r="T756" t="e">
            <v>#VALUE!</v>
          </cell>
        </row>
        <row r="757">
          <cell r="A757" t="str">
            <v>G258043BNC</v>
          </cell>
          <cell r="B757" t="str">
            <v>MKP000631004812</v>
          </cell>
          <cell r="C757" t="str">
            <v/>
          </cell>
          <cell r="D757" t="str">
            <v>Armário Aéreo 80 cm 1 Porta Basculante Cinza Nice Madesa</v>
          </cell>
          <cell r="E757" t="str">
            <v>NICE</v>
          </cell>
          <cell r="F757" t="str">
            <v>MODULAÇÃO</v>
          </cell>
          <cell r="G757" t="str">
            <v/>
          </cell>
          <cell r="H757">
            <v>349.99</v>
          </cell>
          <cell r="I757">
            <v>249.99</v>
          </cell>
          <cell r="J757">
            <v>133.17619999999999</v>
          </cell>
          <cell r="K757">
            <v>0</v>
          </cell>
          <cell r="L757">
            <v>133.17619999999999</v>
          </cell>
          <cell r="M757">
            <v>0</v>
          </cell>
          <cell r="N757">
            <v>249.99</v>
          </cell>
          <cell r="O757" t="str">
            <v/>
          </cell>
          <cell r="P757">
            <v>0</v>
          </cell>
          <cell r="Q757">
            <v>0.87713720619750402</v>
          </cell>
          <cell r="R757">
            <v>0.87713720619750402</v>
          </cell>
          <cell r="S757" t="e">
            <v>#VALUE!</v>
          </cell>
          <cell r="T757" t="e">
            <v>#VALUE!</v>
          </cell>
        </row>
        <row r="758">
          <cell r="A758" t="str">
            <v>10935Z1ECP</v>
          </cell>
          <cell r="B758" t="str">
            <v>MKP000631001066</v>
          </cell>
          <cell r="C758" t="str">
            <v/>
          </cell>
          <cell r="D758" t="str">
            <v>Guarda-Roupa Casal Madesa Mônaco 3 Portas de Correr com Espelho com Pés Rustic</v>
          </cell>
          <cell r="E758" t="str">
            <v>MÔNACO</v>
          </cell>
          <cell r="F758" t="str">
            <v>QUARTO</v>
          </cell>
          <cell r="G758" t="str">
            <v/>
          </cell>
          <cell r="H758">
            <v>1129.99</v>
          </cell>
          <cell r="I758">
            <v>989.92</v>
          </cell>
          <cell r="J758">
            <v>796.96439999999996</v>
          </cell>
          <cell r="K758">
            <v>0</v>
          </cell>
          <cell r="L758">
            <v>796.96439999999996</v>
          </cell>
          <cell r="M758">
            <v>0</v>
          </cell>
          <cell r="N758">
            <v>989.92</v>
          </cell>
          <cell r="O758" t="str">
            <v/>
          </cell>
          <cell r="P758">
            <v>0</v>
          </cell>
          <cell r="Q758">
            <v>0.242113198531829</v>
          </cell>
          <cell r="R758">
            <v>0.242113198531829</v>
          </cell>
          <cell r="S758" t="e">
            <v>#VALUE!</v>
          </cell>
          <cell r="T758" t="e">
            <v>#VALUE!</v>
          </cell>
        </row>
        <row r="759">
          <cell r="A759" t="str">
            <v>70086E</v>
          </cell>
          <cell r="B759" t="str">
            <v>MKP000631001635</v>
          </cell>
          <cell r="C759" t="str">
            <v/>
          </cell>
          <cell r="D759" t="str">
            <v>Rack para TV até 65 Polegadas Madesa Cancun Rustic/Branco</v>
          </cell>
          <cell r="E759" t="str">
            <v>CANCUN</v>
          </cell>
          <cell r="F759" t="str">
            <v>SALA DE ESTAR</v>
          </cell>
          <cell r="G759" t="str">
            <v/>
          </cell>
          <cell r="H759">
            <v>719.99</v>
          </cell>
          <cell r="I759">
            <v>299.99</v>
          </cell>
          <cell r="J759">
            <v>250.32939999999999</v>
          </cell>
          <cell r="K759">
            <v>0</v>
          </cell>
          <cell r="L759">
            <v>250.32939999999999</v>
          </cell>
          <cell r="M759">
            <v>0</v>
          </cell>
          <cell r="N759">
            <v>299.99</v>
          </cell>
          <cell r="O759" t="str">
            <v/>
          </cell>
          <cell r="P759">
            <v>0</v>
          </cell>
          <cell r="Q759">
            <v>0.19838101317703799</v>
          </cell>
          <cell r="R759">
            <v>0.19838101317703799</v>
          </cell>
          <cell r="S759" t="e">
            <v>#VALUE!</v>
          </cell>
          <cell r="T759" t="e">
            <v>#VALUE!</v>
          </cell>
        </row>
        <row r="760">
          <cell r="A760" t="str">
            <v>GREM2330025Z</v>
          </cell>
          <cell r="B760" t="str">
            <v>MKP000631001522</v>
          </cell>
          <cell r="C760" t="str">
            <v/>
          </cell>
          <cell r="D760" t="str">
            <v>Armário de Cozinha Completa 233cm Rustic Emilly Wind Madesa 02</v>
          </cell>
          <cell r="E760" t="str">
            <v>WIND/EMILLY</v>
          </cell>
          <cell r="F760" t="str">
            <v>COZINHA</v>
          </cell>
          <cell r="G760" t="str">
            <v/>
          </cell>
          <cell r="H760">
            <v>1399.99</v>
          </cell>
          <cell r="I760">
            <v>1299.99</v>
          </cell>
          <cell r="J760">
            <v>1016.1525</v>
          </cell>
          <cell r="K760">
            <v>0</v>
          </cell>
          <cell r="L760">
            <v>1016.1525</v>
          </cell>
          <cell r="M760">
            <v>0</v>
          </cell>
          <cell r="N760">
            <v>1299.99</v>
          </cell>
          <cell r="O760" t="str">
            <v/>
          </cell>
          <cell r="P760">
            <v>0</v>
          </cell>
          <cell r="Q760">
            <v>0.27932569176378502</v>
          </cell>
          <cell r="R760">
            <v>0.27932569176378502</v>
          </cell>
          <cell r="S760" t="e">
            <v>#VALUE!</v>
          </cell>
          <cell r="T760" t="e">
            <v>#VALUE!</v>
          </cell>
        </row>
        <row r="761">
          <cell r="A761" t="str">
            <v>GRSM190001A9</v>
          </cell>
          <cell r="B761" t="str">
            <v>MKP000631001288</v>
          </cell>
          <cell r="C761" t="str">
            <v/>
          </cell>
          <cell r="D761" t="str">
            <v>Armário de Cozinha Compacta 100% MDF 190 cm Branco/Rustic/Crema Smart Madesa 01</v>
          </cell>
          <cell r="E761" t="str">
            <v>SMART</v>
          </cell>
          <cell r="F761" t="str">
            <v>COZINHA</v>
          </cell>
          <cell r="G761" t="str">
            <v/>
          </cell>
          <cell r="H761">
            <v>2069.9899999999998</v>
          </cell>
          <cell r="I761">
            <v>1449.99</v>
          </cell>
          <cell r="J761">
            <v>1049.0814</v>
          </cell>
          <cell r="K761">
            <v>0</v>
          </cell>
          <cell r="L761">
            <v>1049.0814</v>
          </cell>
          <cell r="M761">
            <v>0</v>
          </cell>
          <cell r="N761">
            <v>1449.99</v>
          </cell>
          <cell r="O761" t="str">
            <v>AMAZON</v>
          </cell>
          <cell r="P761">
            <v>1299.99</v>
          </cell>
          <cell r="Q761">
            <v>0.38215204272995401</v>
          </cell>
          <cell r="R761">
            <v>0.38215204272995401</v>
          </cell>
          <cell r="S761" t="e">
            <v>#VALUE!</v>
          </cell>
          <cell r="T761" t="e">
            <v>#VALUE!</v>
          </cell>
        </row>
        <row r="762">
          <cell r="A762" t="str">
            <v>GRNC2600093B</v>
          </cell>
          <cell r="B762" t="str">
            <v>MKP000631004920</v>
          </cell>
          <cell r="C762" t="str">
            <v/>
          </cell>
          <cell r="D762" t="str">
            <v>Armário de Cozinha Completa 260cm Cinza Nice Madesa 09</v>
          </cell>
          <cell r="E762" t="str">
            <v>NICE</v>
          </cell>
          <cell r="F762" t="str">
            <v>COZINHA</v>
          </cell>
          <cell r="G762" t="str">
            <v/>
          </cell>
          <cell r="H762">
            <v>1699.99</v>
          </cell>
          <cell r="I762">
            <v>1599.99</v>
          </cell>
          <cell r="J762">
            <v>1129.3598999999999</v>
          </cell>
          <cell r="K762">
            <v>0</v>
          </cell>
          <cell r="L762">
            <v>1129.3598999999999</v>
          </cell>
          <cell r="M762">
            <v>0</v>
          </cell>
          <cell r="N762">
            <v>1599.99</v>
          </cell>
          <cell r="O762" t="str">
            <v>IMPÉRIO</v>
          </cell>
          <cell r="P762">
            <v>1599</v>
          </cell>
          <cell r="Q762">
            <v>0.41672287107059502</v>
          </cell>
          <cell r="R762">
            <v>0.41672287107059502</v>
          </cell>
          <cell r="S762" t="e">
            <v>#VALUE!</v>
          </cell>
          <cell r="T762" t="e">
            <v>#VALUE!</v>
          </cell>
        </row>
        <row r="763">
          <cell r="A763" t="str">
            <v>XA1063091E</v>
          </cell>
          <cell r="B763" t="str">
            <v>MKP000631001426</v>
          </cell>
          <cell r="C763" t="str">
            <v/>
          </cell>
          <cell r="D763" t="str">
            <v>Guarda-Roupa Infantil Madesa Logan 100% MDF 3 Portas de Correr com Espelho Branco</v>
          </cell>
          <cell r="E763" t="str">
            <v>LOGAN</v>
          </cell>
          <cell r="F763" t="str">
            <v>QUARTO</v>
          </cell>
          <cell r="G763" t="str">
            <v/>
          </cell>
          <cell r="H763">
            <v>3269.99</v>
          </cell>
          <cell r="I763">
            <v>2189.9899999999998</v>
          </cell>
          <cell r="J763">
            <v>1792.614</v>
          </cell>
          <cell r="K763">
            <v>0</v>
          </cell>
          <cell r="L763">
            <v>1792.614</v>
          </cell>
          <cell r="M763">
            <v>0</v>
          </cell>
          <cell r="N763">
            <v>2189.9899999999998</v>
          </cell>
          <cell r="O763" t="str">
            <v>MADEIRAMADEIRA</v>
          </cell>
          <cell r="P763">
            <v>2179.9899999999998</v>
          </cell>
          <cell r="Q763">
            <v>0.221674046950431</v>
          </cell>
          <cell r="R763">
            <v>0.221674046950431</v>
          </cell>
          <cell r="S763" t="e">
            <v>#VALUE!</v>
          </cell>
          <cell r="T763" t="e">
            <v>#VALUE!</v>
          </cell>
        </row>
        <row r="764">
          <cell r="A764" t="str">
            <v>G252003BPR</v>
          </cell>
          <cell r="B764" t="str">
            <v>MKP000631004820</v>
          </cell>
          <cell r="C764" t="str">
            <v/>
          </cell>
          <cell r="D764" t="str">
            <v>Adega 20 cm com 4 Nichos Cinza Nice Madesa</v>
          </cell>
          <cell r="E764" t="str">
            <v>NICE</v>
          </cell>
          <cell r="F764" t="str">
            <v>MODULAÇÃO</v>
          </cell>
          <cell r="G764" t="str">
            <v/>
          </cell>
          <cell r="H764">
            <v>379.99</v>
          </cell>
          <cell r="I764">
            <v>179.99</v>
          </cell>
          <cell r="J764">
            <v>99.309899999999999</v>
          </cell>
          <cell r="K764">
            <v>0</v>
          </cell>
          <cell r="L764">
            <v>99.309899999999999</v>
          </cell>
          <cell r="M764">
            <v>0</v>
          </cell>
          <cell r="N764">
            <v>179.99</v>
          </cell>
          <cell r="O764" t="str">
            <v/>
          </cell>
          <cell r="P764">
            <v>0</v>
          </cell>
          <cell r="Q764">
            <v>0.81240742363047402</v>
          </cell>
          <cell r="R764">
            <v>0.81240742363047402</v>
          </cell>
          <cell r="S764" t="e">
            <v>#VALUE!</v>
          </cell>
          <cell r="T764" t="e">
            <v>#VALUE!</v>
          </cell>
        </row>
        <row r="765">
          <cell r="A765" t="str">
            <v>GRGM18000109</v>
          </cell>
          <cell r="B765" t="str">
            <v>MKP000631000979</v>
          </cell>
          <cell r="C765" t="str">
            <v/>
          </cell>
          <cell r="D765" t="str">
            <v>Kit Área De Serviço Madesa Acordes 100% MDF com Armário e Balcão Portas Branco Brilho</v>
          </cell>
          <cell r="E765" t="str">
            <v>ACORDES</v>
          </cell>
          <cell r="F765" t="str">
            <v>COZINHA</v>
          </cell>
          <cell r="G765" t="str">
            <v/>
          </cell>
          <cell r="H765">
            <v>2189.9899999999998</v>
          </cell>
          <cell r="I765">
            <v>1419.92</v>
          </cell>
          <cell r="J765">
            <v>1195.1414</v>
          </cell>
          <cell r="K765">
            <v>0</v>
          </cell>
          <cell r="L765">
            <v>1195.1414</v>
          </cell>
          <cell r="M765">
            <v>0</v>
          </cell>
          <cell r="N765">
            <v>1419.92</v>
          </cell>
          <cell r="O765" t="str">
            <v/>
          </cell>
          <cell r="P765">
            <v>0</v>
          </cell>
          <cell r="Q765">
            <v>0.188076992396046</v>
          </cell>
          <cell r="R765">
            <v>0.188076992396046</v>
          </cell>
          <cell r="S765" t="e">
            <v>#VALUE!</v>
          </cell>
          <cell r="T765" t="e">
            <v>#VALUE!</v>
          </cell>
        </row>
        <row r="766">
          <cell r="A766" t="str">
            <v>G2665509GL</v>
          </cell>
          <cell r="B766" t="str">
            <v>MKP000631000128</v>
          </cell>
          <cell r="C766" t="str">
            <v/>
          </cell>
          <cell r="D766" t="str">
            <v>Torre Quente Madesa Glamy 60 cm 1 Porta 3 Gavetas Branco</v>
          </cell>
          <cell r="E766" t="str">
            <v>GLAMY</v>
          </cell>
          <cell r="F766" t="str">
            <v>MODULAÇÃO</v>
          </cell>
          <cell r="G766" t="str">
            <v/>
          </cell>
          <cell r="H766">
            <v>1419.99</v>
          </cell>
          <cell r="I766">
            <v>939.99</v>
          </cell>
          <cell r="J766">
            <v>578.65920000000006</v>
          </cell>
          <cell r="K766">
            <v>0</v>
          </cell>
          <cell r="L766">
            <v>578.65920000000006</v>
          </cell>
          <cell r="M766">
            <v>0</v>
          </cell>
          <cell r="N766">
            <v>939.99</v>
          </cell>
          <cell r="O766" t="str">
            <v/>
          </cell>
          <cell r="P766">
            <v>0</v>
          </cell>
          <cell r="Q766">
            <v>0.62442764238432602</v>
          </cell>
          <cell r="R766">
            <v>0.62442764238432602</v>
          </cell>
          <cell r="S766" t="e">
            <v>#VALUE!</v>
          </cell>
          <cell r="T766" t="e">
            <v>#VALUE!</v>
          </cell>
        </row>
        <row r="767">
          <cell r="A767" t="str">
            <v>10937K1E4G</v>
          </cell>
          <cell r="B767" t="str">
            <v>MKP000631002296</v>
          </cell>
          <cell r="C767" t="str">
            <v/>
          </cell>
          <cell r="D767" t="str">
            <v>Guarda-Roupa Casal Madesa Lyon Plus 3 Portas de Correr com Espelho 4 Gavetas Rustic/Preto</v>
          </cell>
          <cell r="E767" t="str">
            <v>LYON PLUS</v>
          </cell>
          <cell r="F767" t="str">
            <v>QUARTO</v>
          </cell>
          <cell r="G767" t="str">
            <v/>
          </cell>
          <cell r="H767">
            <v>1249.99</v>
          </cell>
          <cell r="I767">
            <v>1149.99</v>
          </cell>
          <cell r="J767">
            <v>928.25490000000002</v>
          </cell>
          <cell r="K767">
            <v>0</v>
          </cell>
          <cell r="L767">
            <v>928.25490000000002</v>
          </cell>
          <cell r="M767">
            <v>0</v>
          </cell>
          <cell r="N767">
            <v>1149.99</v>
          </cell>
          <cell r="O767" t="str">
            <v/>
          </cell>
          <cell r="P767">
            <v>0</v>
          </cell>
          <cell r="Q767">
            <v>0.23887307247179601</v>
          </cell>
          <cell r="R767">
            <v>0.23887307247179601</v>
          </cell>
          <cell r="S767" t="e">
            <v>#VALUE!</v>
          </cell>
          <cell r="T767" t="e">
            <v>#VALUE!</v>
          </cell>
        </row>
        <row r="768">
          <cell r="A768" t="str">
            <v>GRGL28000473</v>
          </cell>
          <cell r="B768" t="str">
            <v>MKP000631002844</v>
          </cell>
          <cell r="C768" t="str">
            <v/>
          </cell>
          <cell r="D768" t="str">
            <v>Armário de Cozinha Completa 280cm Branco/Preto Genova Madesa 04</v>
          </cell>
          <cell r="E768" t="str">
            <v>GENOVA/GLAMY</v>
          </cell>
          <cell r="F768" t="str">
            <v>COZINHA</v>
          </cell>
          <cell r="G768" t="str">
            <v/>
          </cell>
          <cell r="H768">
            <v>2599.9899999999998</v>
          </cell>
          <cell r="I768">
            <v>2499.9899999999998</v>
          </cell>
          <cell r="J768">
            <v>2050.3009000000002</v>
          </cell>
          <cell r="K768">
            <v>0</v>
          </cell>
          <cell r="L768">
            <v>2050.3009000000002</v>
          </cell>
          <cell r="M768">
            <v>0</v>
          </cell>
          <cell r="N768">
            <v>2499.9899999999998</v>
          </cell>
          <cell r="O768" t="str">
            <v/>
          </cell>
          <cell r="P768">
            <v>0</v>
          </cell>
          <cell r="Q768">
            <v>0.219328343464122</v>
          </cell>
          <cell r="R768">
            <v>0.219328343464122</v>
          </cell>
          <cell r="S768" t="e">
            <v>#VALUE!</v>
          </cell>
          <cell r="T768" t="e">
            <v>#VALUE!</v>
          </cell>
        </row>
        <row r="769">
          <cell r="A769" t="str">
            <v>G200860909RF</v>
          </cell>
          <cell r="B769" t="str">
            <v>MKP000631001044</v>
          </cell>
          <cell r="C769" t="str">
            <v/>
          </cell>
          <cell r="D769" t="str">
            <v>Armário de Cozinha Compacta 180cm Branco Diamante Madesa 86</v>
          </cell>
          <cell r="E769" t="str">
            <v>DIAMANTE</v>
          </cell>
          <cell r="F769" t="str">
            <v>COZINHA</v>
          </cell>
          <cell r="G769" t="str">
            <v/>
          </cell>
          <cell r="H769">
            <v>1099.99</v>
          </cell>
          <cell r="I769">
            <v>999.99</v>
          </cell>
          <cell r="J769">
            <v>813.4452</v>
          </cell>
          <cell r="K769">
            <v>0</v>
          </cell>
          <cell r="L769">
            <v>813.4452</v>
          </cell>
          <cell r="M769">
            <v>0</v>
          </cell>
          <cell r="N769">
            <v>999.99</v>
          </cell>
          <cell r="O769" t="str">
            <v>B2W</v>
          </cell>
          <cell r="P769">
            <v>999.99</v>
          </cell>
          <cell r="Q769">
            <v>0.22932681881951</v>
          </cell>
          <cell r="R769">
            <v>0.22932681881951</v>
          </cell>
          <cell r="S769" t="e">
            <v>#VALUE!</v>
          </cell>
          <cell r="T769" t="e">
            <v>#VALUE!</v>
          </cell>
        </row>
        <row r="770">
          <cell r="A770" t="str">
            <v>GRGM26000309</v>
          </cell>
          <cell r="B770" t="str">
            <v>MKP000631004347</v>
          </cell>
          <cell r="C770" t="str">
            <v/>
          </cell>
          <cell r="D770" t="str">
            <v>Armário de Cozinha Completa 100% MDF 260cm Frentes Branco Brilho Acordes Madesa 03</v>
          </cell>
          <cell r="E770" t="str">
            <v>ACORDES</v>
          </cell>
          <cell r="F770" t="str">
            <v>COZINHA</v>
          </cell>
          <cell r="G770" t="str">
            <v/>
          </cell>
          <cell r="H770">
            <v>2029.99</v>
          </cell>
          <cell r="I770">
            <v>1859.92</v>
          </cell>
          <cell r="J770">
            <v>1466.4205999999999</v>
          </cell>
          <cell r="K770">
            <v>0</v>
          </cell>
          <cell r="L770">
            <v>1466.4205999999999</v>
          </cell>
          <cell r="M770">
            <v>0</v>
          </cell>
          <cell r="N770">
            <v>1859.92</v>
          </cell>
          <cell r="O770" t="str">
            <v/>
          </cell>
          <cell r="P770">
            <v>0</v>
          </cell>
          <cell r="Q770">
            <v>0.26834006559918799</v>
          </cell>
          <cell r="R770">
            <v>0.26834006559918799</v>
          </cell>
          <cell r="S770" t="e">
            <v>#VALUE!</v>
          </cell>
          <cell r="T770" t="e">
            <v>#VALUE!</v>
          </cell>
        </row>
        <row r="771">
          <cell r="A771" t="str">
            <v>GRTP240001C7</v>
          </cell>
          <cell r="B771" t="str">
            <v>MKP000631001056</v>
          </cell>
          <cell r="C771" t="str">
            <v/>
          </cell>
          <cell r="D771" t="str">
            <v>Armário de Cozinha Completa 240cm Branco/Preto/Branco Topazio Madesa 01</v>
          </cell>
          <cell r="E771" t="str">
            <v>TOPÁZIO</v>
          </cell>
          <cell r="F771" t="str">
            <v>COZINHA</v>
          </cell>
          <cell r="G771" t="str">
            <v/>
          </cell>
          <cell r="H771">
            <v>1299.99</v>
          </cell>
          <cell r="I771">
            <v>1199.99</v>
          </cell>
          <cell r="J771">
            <v>978.26409999999998</v>
          </cell>
          <cell r="K771">
            <v>0</v>
          </cell>
          <cell r="L771">
            <v>978.26409999999998</v>
          </cell>
          <cell r="M771">
            <v>0</v>
          </cell>
          <cell r="N771">
            <v>1199.99</v>
          </cell>
          <cell r="O771" t="str">
            <v/>
          </cell>
          <cell r="P771">
            <v>0</v>
          </cell>
          <cell r="Q771">
            <v>0.22665239376565099</v>
          </cell>
          <cell r="R771">
            <v>0.22665239376565099</v>
          </cell>
          <cell r="S771" t="e">
            <v>#VALUE!</v>
          </cell>
          <cell r="T771" t="e">
            <v>#VALUE!</v>
          </cell>
        </row>
        <row r="772">
          <cell r="A772" t="str">
            <v>1095F81E</v>
          </cell>
          <cell r="B772" t="str">
            <v>MKP000631003532</v>
          </cell>
          <cell r="C772" t="str">
            <v/>
          </cell>
          <cell r="D772" t="str">
            <v>Guarda-Roupa Casal Madesa Reno 3 Portas de Correr com Espelho Branco/Cinza</v>
          </cell>
          <cell r="E772" t="str">
            <v>RENO</v>
          </cell>
          <cell r="F772" t="str">
            <v>QUARTO</v>
          </cell>
          <cell r="G772" t="str">
            <v/>
          </cell>
          <cell r="H772">
            <v>2059.9899999999998</v>
          </cell>
          <cell r="I772">
            <v>1359.99</v>
          </cell>
          <cell r="J772">
            <v>986.06849999999997</v>
          </cell>
          <cell r="K772">
            <v>0</v>
          </cell>
          <cell r="L772">
            <v>986.06849999999997</v>
          </cell>
          <cell r="M772">
            <v>0</v>
          </cell>
          <cell r="N772">
            <v>1359.99</v>
          </cell>
          <cell r="O772" t="str">
            <v>IMPÉRIO</v>
          </cell>
          <cell r="P772">
            <v>1299</v>
          </cell>
          <cell r="Q772">
            <v>0.37920438590219602</v>
          </cell>
          <cell r="R772">
            <v>0.37920438590219602</v>
          </cell>
          <cell r="S772" t="e">
            <v>#VALUE!</v>
          </cell>
          <cell r="T772" t="e">
            <v>#VALUE!</v>
          </cell>
        </row>
        <row r="773">
          <cell r="A773" t="str">
            <v>XA69178NACP</v>
          </cell>
          <cell r="B773" t="str">
            <v>MKP000631004145</v>
          </cell>
          <cell r="C773" t="str">
            <v/>
          </cell>
          <cell r="D773" t="str">
            <v>Rack Retrô Madesa Reims para TV até 75 Polegadas Pés de Madeira Preto</v>
          </cell>
          <cell r="E773" t="str">
            <v>REIMS</v>
          </cell>
          <cell r="F773" t="str">
            <v>SALA DE ESTAR</v>
          </cell>
          <cell r="G773" t="str">
            <v/>
          </cell>
          <cell r="H773">
            <v>879.99</v>
          </cell>
          <cell r="I773">
            <v>439.92</v>
          </cell>
          <cell r="J773">
            <v>342.93579999999997</v>
          </cell>
          <cell r="K773">
            <v>0</v>
          </cell>
          <cell r="L773">
            <v>342.93579999999997</v>
          </cell>
          <cell r="M773">
            <v>0</v>
          </cell>
          <cell r="N773">
            <v>439.92</v>
          </cell>
          <cell r="O773" t="str">
            <v>LEROY</v>
          </cell>
          <cell r="P773">
            <v>0</v>
          </cell>
          <cell r="Q773">
            <v>0.28280570299163899</v>
          </cell>
          <cell r="R773">
            <v>0.28280570299163899</v>
          </cell>
          <cell r="S773" t="e">
            <v>#VALUE!</v>
          </cell>
          <cell r="T773" t="e">
            <v>#VALUE!</v>
          </cell>
        </row>
        <row r="774">
          <cell r="A774" t="str">
            <v>G267557KAG</v>
          </cell>
          <cell r="B774" t="str">
            <v>MKP000631003084</v>
          </cell>
          <cell r="C774" t="str">
            <v/>
          </cell>
          <cell r="D774" t="str">
            <v>Torre Quente Madesa Agata 70 cm 3 Portas Rustic/Preto</v>
          </cell>
          <cell r="E774" t="str">
            <v>ÁGATA</v>
          </cell>
          <cell r="F774" t="str">
            <v>MODULAÇÃO</v>
          </cell>
          <cell r="G774" t="str">
            <v/>
          </cell>
          <cell r="H774">
            <v>1269.99</v>
          </cell>
          <cell r="I774">
            <v>889.99</v>
          </cell>
          <cell r="J774">
            <v>520.20249999999999</v>
          </cell>
          <cell r="K774">
            <v>0</v>
          </cell>
          <cell r="L774">
            <v>520.20249999999999</v>
          </cell>
          <cell r="M774">
            <v>0</v>
          </cell>
          <cell r="N774">
            <v>889.99</v>
          </cell>
          <cell r="O774" t="str">
            <v/>
          </cell>
          <cell r="P774">
            <v>0</v>
          </cell>
          <cell r="Q774">
            <v>0.71085298513559603</v>
          </cell>
          <cell r="R774">
            <v>0.71085298513559603</v>
          </cell>
          <cell r="S774" t="e">
            <v>#VALUE!</v>
          </cell>
          <cell r="T774" t="e">
            <v>#VALUE!</v>
          </cell>
        </row>
        <row r="775">
          <cell r="A775" t="str">
            <v>044795ZXTFBM</v>
          </cell>
          <cell r="B775" t="str">
            <v>MKP000631000690</v>
          </cell>
          <cell r="C775" t="str">
            <v/>
          </cell>
          <cell r="D775" t="str">
            <v>Conjunto Sala de Jantar Madesa Clarice Mesa Tampo de Madeira com 8 Cadeiras Rustic/Bege Marrom</v>
          </cell>
          <cell r="E775" t="str">
            <v>CLARICE</v>
          </cell>
          <cell r="F775" t="str">
            <v>SALA DE JANTAR</v>
          </cell>
          <cell r="G775" t="str">
            <v>4290X</v>
          </cell>
          <cell r="H775">
            <v>1199.99</v>
          </cell>
          <cell r="I775">
            <v>1099.99</v>
          </cell>
          <cell r="J775">
            <v>868.45749999999998</v>
          </cell>
          <cell r="K775">
            <v>0</v>
          </cell>
          <cell r="L775">
            <v>868.45749999999998</v>
          </cell>
          <cell r="M775">
            <v>0</v>
          </cell>
          <cell r="N775">
            <v>1099.99</v>
          </cell>
          <cell r="O775" t="str">
            <v/>
          </cell>
          <cell r="P775">
            <v>0</v>
          </cell>
          <cell r="Q775">
            <v>0.26660199261334</v>
          </cell>
          <cell r="R775">
            <v>0.26660199261334</v>
          </cell>
          <cell r="S775" t="e">
            <v>#VALUE!</v>
          </cell>
          <cell r="T775" t="e">
            <v>#VALUE!</v>
          </cell>
        </row>
        <row r="776">
          <cell r="A776" t="str">
            <v>045997G6XTPER</v>
          </cell>
          <cell r="B776" t="str">
            <v>MKP000631000733</v>
          </cell>
          <cell r="C776" t="str">
            <v/>
          </cell>
          <cell r="D776" t="str">
            <v>Conjunto Sala de Jantar Moscou Plus Madesa Mesa Tampo de Vidro com 6 Cadeiras Rustic/Crema/Sintético Bege</v>
          </cell>
          <cell r="E776" t="str">
            <v>MOSCOU</v>
          </cell>
          <cell r="F776" t="str">
            <v>SALA DE JANTAR</v>
          </cell>
          <cell r="G776" t="str">
            <v>4291X</v>
          </cell>
          <cell r="H776">
            <v>2349.9899999999998</v>
          </cell>
          <cell r="I776">
            <v>1159.99</v>
          </cell>
          <cell r="J776">
            <v>896.93920000000003</v>
          </cell>
          <cell r="K776">
            <v>0</v>
          </cell>
          <cell r="L776">
            <v>896.93920000000003</v>
          </cell>
          <cell r="M776">
            <v>0</v>
          </cell>
          <cell r="N776">
            <v>1159.99</v>
          </cell>
          <cell r="O776" t="str">
            <v>COLOMBO</v>
          </cell>
          <cell r="P776">
            <v>1149.99</v>
          </cell>
          <cell r="Q776">
            <v>0.293276065980838</v>
          </cell>
          <cell r="R776">
            <v>0.293276065980838</v>
          </cell>
          <cell r="S776" t="e">
            <v>#VALUE!</v>
          </cell>
          <cell r="T776" t="e">
            <v>#VALUE!</v>
          </cell>
        </row>
        <row r="777">
          <cell r="A777" t="str">
            <v>94148N</v>
          </cell>
          <cell r="B777" t="str">
            <v>MKP000631004789</v>
          </cell>
          <cell r="C777" t="str">
            <v/>
          </cell>
          <cell r="D777" t="str">
            <v>Mesa para Computador Gamer Preta 9414 Madesa</v>
          </cell>
          <cell r="E777" t="str">
            <v>GAMER</v>
          </cell>
          <cell r="F777" t="str">
            <v>ESCRITÓRIO</v>
          </cell>
          <cell r="G777" t="str">
            <v/>
          </cell>
          <cell r="H777">
            <v>349.99</v>
          </cell>
          <cell r="I777">
            <v>279.99</v>
          </cell>
          <cell r="J777">
            <v>154.14779999999999</v>
          </cell>
          <cell r="K777">
            <v>0</v>
          </cell>
          <cell r="L777">
            <v>154.14779999999999</v>
          </cell>
          <cell r="M777">
            <v>0</v>
          </cell>
          <cell r="N777">
            <v>279.99</v>
          </cell>
          <cell r="O777" t="str">
            <v>AMAZON</v>
          </cell>
          <cell r="P777">
            <v>199.99</v>
          </cell>
          <cell r="Q777">
            <v>0.81637363621147996</v>
          </cell>
          <cell r="R777">
            <v>0.81637363621147996</v>
          </cell>
          <cell r="S777" t="e">
            <v>#VALUE!</v>
          </cell>
          <cell r="T777" t="e">
            <v>#VALUE!</v>
          </cell>
        </row>
        <row r="778">
          <cell r="A778" t="str">
            <v>MDJA0401486ESL</v>
          </cell>
          <cell r="B778" t="str">
            <v>MKP000631005286</v>
          </cell>
          <cell r="C778" t="str">
            <v/>
          </cell>
          <cell r="D778" t="str">
            <v>Conjunto Sala de Jantar Mesa Tampo de Vidro 4 Cadeiras Rustic/Branco/Silver Avril Madesa</v>
          </cell>
          <cell r="E778" t="str">
            <v>AVRIL</v>
          </cell>
          <cell r="F778" t="str">
            <v>SALA DE JANTAR</v>
          </cell>
          <cell r="G778">
            <v>4255</v>
          </cell>
          <cell r="H778">
            <v>1459.99</v>
          </cell>
          <cell r="I778">
            <v>1359.99</v>
          </cell>
          <cell r="J778">
            <v>1036.2411999999999</v>
          </cell>
          <cell r="K778">
            <v>0</v>
          </cell>
          <cell r="L778">
            <v>1036.2411999999999</v>
          </cell>
          <cell r="M778">
            <v>0</v>
          </cell>
          <cell r="N778">
            <v>1359.99</v>
          </cell>
          <cell r="O778" t="str">
            <v>LOJA</v>
          </cell>
          <cell r="P778">
            <v>1399.99</v>
          </cell>
          <cell r="Q778">
            <v>0.312426103111901</v>
          </cell>
          <cell r="R778">
            <v>0.312426103111901</v>
          </cell>
          <cell r="S778" t="e">
            <v>#VALUE!</v>
          </cell>
          <cell r="T778" t="e">
            <v>#VALUE!</v>
          </cell>
        </row>
        <row r="779">
          <cell r="A779" t="str">
            <v>G2580409GL</v>
          </cell>
          <cell r="B779" t="str">
            <v>MKP000631000004</v>
          </cell>
          <cell r="C779" t="str">
            <v/>
          </cell>
          <cell r="D779" t="str">
            <v>Armário Aéreo Madesa Glamy 80 cm 1 Porta Basculante Branco</v>
          </cell>
          <cell r="E779" t="str">
            <v>GLAMY</v>
          </cell>
          <cell r="F779" t="str">
            <v>MODULAÇÃO</v>
          </cell>
          <cell r="G779" t="str">
            <v/>
          </cell>
          <cell r="H779">
            <v>419.99</v>
          </cell>
          <cell r="I779">
            <v>289.99</v>
          </cell>
          <cell r="J779">
            <v>174.38910000000001</v>
          </cell>
          <cell r="K779">
            <v>0</v>
          </cell>
          <cell r="L779">
            <v>174.38910000000001</v>
          </cell>
          <cell r="M779">
            <v>0</v>
          </cell>
          <cell r="N779">
            <v>289.99</v>
          </cell>
          <cell r="O779" t="str">
            <v/>
          </cell>
          <cell r="P779">
            <v>0</v>
          </cell>
          <cell r="Q779">
            <v>0.66289062791195097</v>
          </cell>
          <cell r="R779">
            <v>0.66289062791195097</v>
          </cell>
          <cell r="S779" t="e">
            <v>#VALUE!</v>
          </cell>
          <cell r="T779" t="e">
            <v>#VALUE!</v>
          </cell>
        </row>
        <row r="780">
          <cell r="A780" t="str">
            <v>GRGL33000209</v>
          </cell>
          <cell r="B780" t="str">
            <v>MKP000631000595</v>
          </cell>
          <cell r="C780" t="str">
            <v/>
          </cell>
          <cell r="D780" t="str">
            <v>Armário de Cozinha Completa 330cm Branco Olimpia Madesa 02</v>
          </cell>
          <cell r="E780" t="str">
            <v>OLIMPIA/GLAMY</v>
          </cell>
          <cell r="F780" t="str">
            <v>COZINHA</v>
          </cell>
          <cell r="G780" t="str">
            <v/>
          </cell>
          <cell r="H780">
            <v>3299.99</v>
          </cell>
          <cell r="I780">
            <v>3199.99</v>
          </cell>
          <cell r="J780">
            <v>2578.0025999999998</v>
          </cell>
          <cell r="K780">
            <v>0</v>
          </cell>
          <cell r="L780">
            <v>2578.0025999999998</v>
          </cell>
          <cell r="M780">
            <v>0</v>
          </cell>
          <cell r="N780">
            <v>3199.99</v>
          </cell>
          <cell r="O780" t="str">
            <v/>
          </cell>
          <cell r="P780">
            <v>0</v>
          </cell>
          <cell r="Q780">
            <v>0.241267173275931</v>
          </cell>
          <cell r="R780">
            <v>0.241267173275931</v>
          </cell>
          <cell r="S780" t="e">
            <v>#VALUE!</v>
          </cell>
          <cell r="T780" t="e">
            <v>#VALUE!</v>
          </cell>
        </row>
        <row r="781">
          <cell r="A781" t="str">
            <v>G241203BNCCT</v>
          </cell>
          <cell r="B781" t="str">
            <v>MKP000631004835</v>
          </cell>
          <cell r="C781" t="str">
            <v/>
          </cell>
          <cell r="D781" t="str">
            <v>Balcão de Pia 2 Portas Com Pés Cinza Nice Madesa</v>
          </cell>
          <cell r="E781" t="str">
            <v>NICE</v>
          </cell>
          <cell r="F781" t="str">
            <v>MODULAÇÃO</v>
          </cell>
          <cell r="G781" t="str">
            <v/>
          </cell>
          <cell r="H781">
            <v>1899.99</v>
          </cell>
          <cell r="I781">
            <v>459.99</v>
          </cell>
          <cell r="J781">
            <v>315.0754</v>
          </cell>
          <cell r="K781">
            <v>0</v>
          </cell>
          <cell r="L781">
            <v>315.0754</v>
          </cell>
          <cell r="M781">
            <v>0</v>
          </cell>
          <cell r="N781">
            <v>459.99</v>
          </cell>
          <cell r="O781" t="str">
            <v/>
          </cell>
          <cell r="P781">
            <v>0</v>
          </cell>
          <cell r="Q781">
            <v>0.45993625652780301</v>
          </cell>
          <cell r="R781">
            <v>0.45993625652780301</v>
          </cell>
          <cell r="S781" t="e">
            <v>#VALUE!</v>
          </cell>
          <cell r="T781" t="e">
            <v>#VALUE!</v>
          </cell>
        </row>
        <row r="782">
          <cell r="A782" t="str">
            <v>045677GX4TFLH</v>
          </cell>
          <cell r="B782" t="str">
            <v>MKP000631000755</v>
          </cell>
          <cell r="C782" t="str">
            <v/>
          </cell>
          <cell r="D782" t="str">
            <v>Conjunto Sala de Jantar Madesa Talita Mesa Tampo de Madeira com 4 Cadeiras Rustic/Crema/Floral Hibiscos</v>
          </cell>
          <cell r="E782" t="str">
            <v>TALITA</v>
          </cell>
          <cell r="F782" t="str">
            <v>SALA DE JANTAR</v>
          </cell>
          <cell r="G782" t="str">
            <v>4291X</v>
          </cell>
          <cell r="H782">
            <v>599.99</v>
          </cell>
          <cell r="I782">
            <v>499.99</v>
          </cell>
          <cell r="J782">
            <v>396.72730000000001</v>
          </cell>
          <cell r="K782">
            <v>0</v>
          </cell>
          <cell r="L782">
            <v>396.72730000000001</v>
          </cell>
          <cell r="M782">
            <v>0</v>
          </cell>
          <cell r="N782">
            <v>499.99</v>
          </cell>
          <cell r="O782" t="str">
            <v/>
          </cell>
          <cell r="P782">
            <v>0</v>
          </cell>
          <cell r="Q782">
            <v>0.26028634782632798</v>
          </cell>
          <cell r="R782">
            <v>0.26028634782632798</v>
          </cell>
          <cell r="S782" t="e">
            <v>#VALUE!</v>
          </cell>
          <cell r="T782" t="e">
            <v>#VALUE!</v>
          </cell>
        </row>
        <row r="783">
          <cell r="A783" t="str">
            <v>GCAG3990017K</v>
          </cell>
          <cell r="B783" t="str">
            <v>MKP000631004397</v>
          </cell>
          <cell r="C783" t="str">
            <v/>
          </cell>
          <cell r="D783" t="str">
            <v>Armário de Cozinha Completa de Canto 399cm Rustic Preto Agata Madesa 01</v>
          </cell>
          <cell r="E783" t="str">
            <v>ÁGATA</v>
          </cell>
          <cell r="F783" t="str">
            <v>COZINHA</v>
          </cell>
          <cell r="G783" t="str">
            <v/>
          </cell>
          <cell r="H783">
            <v>2959.99</v>
          </cell>
          <cell r="I783">
            <v>2839.92</v>
          </cell>
          <cell r="J783">
            <v>2348.3069</v>
          </cell>
          <cell r="K783">
            <v>0</v>
          </cell>
          <cell r="L783">
            <v>2348.3069</v>
          </cell>
          <cell r="M783">
            <v>0</v>
          </cell>
          <cell r="N783">
            <v>2839.92</v>
          </cell>
          <cell r="O783" t="str">
            <v/>
          </cell>
          <cell r="P783">
            <v>0</v>
          </cell>
          <cell r="Q783">
            <v>0.20934789230487699</v>
          </cell>
          <cell r="R783">
            <v>0.20934789230487699</v>
          </cell>
          <cell r="S783" t="e">
            <v>#VALUE!</v>
          </cell>
          <cell r="T783" t="e">
            <v>#VALUE!</v>
          </cell>
        </row>
        <row r="784">
          <cell r="A784" t="str">
            <v>MDJA0401165ZSIM</v>
          </cell>
          <cell r="B784" t="str">
            <v>MKP000631004157</v>
          </cell>
          <cell r="C784" t="str">
            <v/>
          </cell>
          <cell r="D784" t="str">
            <v>Conjunto Sala de Jantar Mesa Tampo de Vidro Redondo 4 Cadeiras Rustic/Imperial Mile Madesa</v>
          </cell>
          <cell r="E784" t="str">
            <v>MARIA</v>
          </cell>
          <cell r="F784" t="str">
            <v>SALA DE JANTAR</v>
          </cell>
          <cell r="G784">
            <v>4255</v>
          </cell>
          <cell r="H784">
            <v>1529.9</v>
          </cell>
          <cell r="I784">
            <v>1119.99</v>
          </cell>
          <cell r="J784">
            <v>908.46050000000002</v>
          </cell>
          <cell r="K784">
            <v>0</v>
          </cell>
          <cell r="L784">
            <v>908.46050000000002</v>
          </cell>
          <cell r="M784">
            <v>0</v>
          </cell>
          <cell r="N784">
            <v>1119.99</v>
          </cell>
          <cell r="O784" t="str">
            <v>MADEIRAMADEIRA</v>
          </cell>
          <cell r="P784">
            <v>1099.99</v>
          </cell>
          <cell r="Q784">
            <v>0.23284391561328199</v>
          </cell>
          <cell r="R784">
            <v>0.23284391561328199</v>
          </cell>
          <cell r="S784" t="e">
            <v>#VALUE!</v>
          </cell>
          <cell r="T784" t="e">
            <v>#VALUE!</v>
          </cell>
        </row>
        <row r="785">
          <cell r="A785" t="str">
            <v>1028094E</v>
          </cell>
          <cell r="B785" t="str">
            <v>MKP000631002244</v>
          </cell>
          <cell r="C785" t="str">
            <v/>
          </cell>
          <cell r="D785" t="str">
            <v>Guarda-Roupa Casal Madesa Austin 4 Portas de Correr de Espelho 3 Gavetas Branco</v>
          </cell>
          <cell r="E785" t="str">
            <v>AUSTIN</v>
          </cell>
          <cell r="F785" t="str">
            <v>QUARTO</v>
          </cell>
          <cell r="G785" t="str">
            <v/>
          </cell>
          <cell r="H785">
            <v>2989.99</v>
          </cell>
          <cell r="I785">
            <v>2129.9899999999998</v>
          </cell>
          <cell r="J785">
            <v>1632.2095999999999</v>
          </cell>
          <cell r="K785">
            <v>0</v>
          </cell>
          <cell r="L785">
            <v>1632.2095999999999</v>
          </cell>
          <cell r="M785">
            <v>0</v>
          </cell>
          <cell r="N785">
            <v>2129.9899999999998</v>
          </cell>
          <cell r="O785" t="str">
            <v>LOJA</v>
          </cell>
          <cell r="P785">
            <v>1899.99</v>
          </cell>
          <cell r="Q785">
            <v>0.30497333185639902</v>
          </cell>
          <cell r="R785">
            <v>0.30497333185639902</v>
          </cell>
          <cell r="S785" t="e">
            <v>#VALUE!</v>
          </cell>
          <cell r="T785" t="e">
            <v>#VALUE!</v>
          </cell>
        </row>
        <row r="786">
          <cell r="A786" t="str">
            <v>GRAG290001F9</v>
          </cell>
          <cell r="B786" t="str">
            <v>MKP000631002571</v>
          </cell>
          <cell r="C786" t="str">
            <v/>
          </cell>
          <cell r="D786" t="str">
            <v>Armário de Cozinha Completa 290cm Rustic/Cinza Agata Madesa 01</v>
          </cell>
          <cell r="E786" t="str">
            <v>ÁGATA</v>
          </cell>
          <cell r="F786" t="str">
            <v>COZINHA</v>
          </cell>
          <cell r="G786" t="str">
            <v/>
          </cell>
          <cell r="H786">
            <v>3519.99</v>
          </cell>
          <cell r="I786">
            <v>2799.99</v>
          </cell>
          <cell r="J786">
            <v>1998.4713999999999</v>
          </cell>
          <cell r="K786">
            <v>0</v>
          </cell>
          <cell r="L786">
            <v>1998.4713999999999</v>
          </cell>
          <cell r="M786">
            <v>0</v>
          </cell>
          <cell r="N786">
            <v>2799.99</v>
          </cell>
          <cell r="O786" t="str">
            <v>LOJA</v>
          </cell>
          <cell r="P786">
            <v>2599.9899999999998</v>
          </cell>
          <cell r="Q786">
            <v>0.40106583461739798</v>
          </cell>
          <cell r="R786">
            <v>0.40106583461739798</v>
          </cell>
          <cell r="S786" t="e">
            <v>#VALUE!</v>
          </cell>
          <cell r="T786" t="e">
            <v>#VALUE!</v>
          </cell>
        </row>
        <row r="787">
          <cell r="A787" t="str">
            <v>XA94008N1</v>
          </cell>
          <cell r="B787" t="str">
            <v>MKP000631003421</v>
          </cell>
          <cell r="C787" t="str">
            <v/>
          </cell>
          <cell r="D787" t="str">
            <v>Escrivaninha Mesa para Computador Madesa Alaska 3 Gavetas 1 Porta Preto</v>
          </cell>
          <cell r="E787" t="str">
            <v>ALASKA</v>
          </cell>
          <cell r="F787" t="str">
            <v>ESCRITÓRIO</v>
          </cell>
          <cell r="G787" t="str">
            <v/>
          </cell>
          <cell r="H787">
            <v>879.99</v>
          </cell>
          <cell r="I787">
            <v>459.99</v>
          </cell>
          <cell r="J787">
            <v>332.56990000000002</v>
          </cell>
          <cell r="K787">
            <v>0</v>
          </cell>
          <cell r="L787">
            <v>332.56990000000002</v>
          </cell>
          <cell r="M787">
            <v>0</v>
          </cell>
          <cell r="N787">
            <v>459.99</v>
          </cell>
          <cell r="O787" t="str">
            <v>MAGALU</v>
          </cell>
          <cell r="P787">
            <v>399.99</v>
          </cell>
          <cell r="Q787">
            <v>0.38313780050449497</v>
          </cell>
          <cell r="R787">
            <v>0.38313780050449497</v>
          </cell>
          <cell r="S787" t="e">
            <v>#VALUE!</v>
          </cell>
          <cell r="T787" t="e">
            <v>#VALUE!</v>
          </cell>
        </row>
        <row r="788">
          <cell r="A788" t="str">
            <v>XA10946E1E</v>
          </cell>
          <cell r="B788" t="str">
            <v>MKP000631001595</v>
          </cell>
          <cell r="C788" t="str">
            <v/>
          </cell>
          <cell r="D788" t="str">
            <v>Guarda-Roupa Infantil Madesa Enzo 2 Portas de Correr com Espelho Rustic/Branco</v>
          </cell>
          <cell r="E788" t="str">
            <v>ENZO</v>
          </cell>
          <cell r="F788" t="str">
            <v>QUARTO</v>
          </cell>
          <cell r="G788" t="str">
            <v/>
          </cell>
          <cell r="H788">
            <v>859.99</v>
          </cell>
          <cell r="I788">
            <v>729.92</v>
          </cell>
          <cell r="J788">
            <v>605.03719999999998</v>
          </cell>
          <cell r="K788">
            <v>0</v>
          </cell>
          <cell r="L788">
            <v>605.03719999999998</v>
          </cell>
          <cell r="M788">
            <v>0</v>
          </cell>
          <cell r="N788">
            <v>729.92</v>
          </cell>
          <cell r="O788" t="str">
            <v/>
          </cell>
          <cell r="P788">
            <v>0</v>
          </cell>
          <cell r="Q788">
            <v>0.20640515988107799</v>
          </cell>
          <cell r="R788">
            <v>0.20640515988107799</v>
          </cell>
          <cell r="S788" t="e">
            <v>#VALUE!</v>
          </cell>
          <cell r="T788" t="e">
            <v>#VALUE!</v>
          </cell>
        </row>
        <row r="789">
          <cell r="A789" t="str">
            <v>GRSM180001C9</v>
          </cell>
          <cell r="B789" t="str">
            <v>MKP000631003004</v>
          </cell>
          <cell r="C789" t="str">
            <v/>
          </cell>
          <cell r="D789" t="str">
            <v>Armário de Cozinha Compacta 100% MDF 180 cm Frentes Branco Brilho Smart Madesa 01</v>
          </cell>
          <cell r="E789" t="str">
            <v>SMART</v>
          </cell>
          <cell r="F789" t="str">
            <v>COZINHA</v>
          </cell>
          <cell r="G789" t="str">
            <v/>
          </cell>
          <cell r="H789">
            <v>1379.99</v>
          </cell>
          <cell r="I789">
            <v>1229.92</v>
          </cell>
          <cell r="J789">
            <v>930.16240000000005</v>
          </cell>
          <cell r="K789">
            <v>0</v>
          </cell>
          <cell r="L789">
            <v>930.16240000000005</v>
          </cell>
          <cell r="M789">
            <v>0</v>
          </cell>
          <cell r="N789">
            <v>1229.92</v>
          </cell>
          <cell r="O789" t="str">
            <v/>
          </cell>
          <cell r="P789">
            <v>0</v>
          </cell>
          <cell r="Q789">
            <v>0.322263725130149</v>
          </cell>
          <cell r="R789">
            <v>0.322263725130149</v>
          </cell>
          <cell r="S789" t="e">
            <v>#VALUE!</v>
          </cell>
          <cell r="T789" t="e">
            <v>#VALUE!</v>
          </cell>
        </row>
        <row r="790">
          <cell r="A790" t="str">
            <v>MDJA060134F9SIL</v>
          </cell>
          <cell r="B790" t="str">
            <v>MKP000631004934</v>
          </cell>
          <cell r="C790" t="str">
            <v/>
          </cell>
          <cell r="D790" t="str">
            <v>Conjunto Sala de Jantar Mesa Tampo de Vidro 6 Cadeiras Rustic/Cinza/Silver Geórgia Madesa</v>
          </cell>
          <cell r="E790" t="str">
            <v>GEÓRGIA</v>
          </cell>
          <cell r="F790" t="str">
            <v>SALA DE JANTAR</v>
          </cell>
          <cell r="G790">
            <v>4256</v>
          </cell>
          <cell r="H790">
            <v>1879.99</v>
          </cell>
          <cell r="I790">
            <v>1779.99</v>
          </cell>
          <cell r="J790">
            <v>1411.2447999999999</v>
          </cell>
          <cell r="K790">
            <v>0</v>
          </cell>
          <cell r="L790">
            <v>1411.2447999999999</v>
          </cell>
          <cell r="M790">
            <v>0</v>
          </cell>
          <cell r="N790">
            <v>1779.99</v>
          </cell>
          <cell r="O790" t="str">
            <v>LEROY</v>
          </cell>
          <cell r="P790">
            <v>0</v>
          </cell>
          <cell r="Q790">
            <v>0.26129074133701002</v>
          </cell>
          <cell r="R790">
            <v>0.26129074133701002</v>
          </cell>
          <cell r="S790" t="e">
            <v>#VALUE!</v>
          </cell>
          <cell r="T790" t="e">
            <v>#VALUE!</v>
          </cell>
        </row>
        <row r="791">
          <cell r="A791" t="str">
            <v>GRNC2600043B</v>
          </cell>
          <cell r="B791" t="str">
            <v>MKP000631004794</v>
          </cell>
          <cell r="C791" t="str">
            <v/>
          </cell>
          <cell r="D791" t="str">
            <v>Armário de Cozinha Completa 260cm Cinza Nice Madesa 04</v>
          </cell>
          <cell r="E791" t="str">
            <v>NICE</v>
          </cell>
          <cell r="F791" t="str">
            <v>COZINHA</v>
          </cell>
          <cell r="G791" t="str">
            <v/>
          </cell>
          <cell r="H791">
            <v>1969.99</v>
          </cell>
          <cell r="I791">
            <v>1669.99</v>
          </cell>
          <cell r="J791">
            <v>1129.3598999999999</v>
          </cell>
          <cell r="K791">
            <v>0</v>
          </cell>
          <cell r="L791">
            <v>1129.3598999999999</v>
          </cell>
          <cell r="M791">
            <v>0</v>
          </cell>
          <cell r="N791">
            <v>1669.99</v>
          </cell>
          <cell r="O791" t="str">
            <v/>
          </cell>
          <cell r="P791">
            <v>0</v>
          </cell>
          <cell r="Q791">
            <v>0.47870488406751499</v>
          </cell>
          <cell r="R791">
            <v>0.47870488406751499</v>
          </cell>
          <cell r="S791" t="e">
            <v>#VALUE!</v>
          </cell>
          <cell r="T791" t="e">
            <v>#VALUE!</v>
          </cell>
        </row>
        <row r="792">
          <cell r="A792" t="str">
            <v>G242013BNCPT</v>
          </cell>
          <cell r="B792" t="str">
            <v>MKP000631004823</v>
          </cell>
          <cell r="C792" t="str">
            <v/>
          </cell>
          <cell r="D792" t="str">
            <v>Balcão Porta-Temperos 20 cm Suspenso Cinza Nice Madesa</v>
          </cell>
          <cell r="E792" t="str">
            <v>NICE</v>
          </cell>
          <cell r="F792" t="str">
            <v>MODULAÇÃO</v>
          </cell>
          <cell r="G792" t="str">
            <v/>
          </cell>
          <cell r="H792">
            <v>529.99</v>
          </cell>
          <cell r="I792">
            <v>429.99</v>
          </cell>
          <cell r="J792">
            <v>246.2637</v>
          </cell>
          <cell r="K792">
            <v>0</v>
          </cell>
          <cell r="L792">
            <v>246.2637</v>
          </cell>
          <cell r="M792">
            <v>0</v>
          </cell>
          <cell r="N792">
            <v>429.99</v>
          </cell>
          <cell r="O792" t="str">
            <v/>
          </cell>
          <cell r="P792">
            <v>0</v>
          </cell>
          <cell r="Q792">
            <v>0.74605514332806599</v>
          </cell>
          <cell r="R792">
            <v>0.74605514332806599</v>
          </cell>
          <cell r="S792" t="e">
            <v>#VALUE!</v>
          </cell>
          <cell r="T792" t="e">
            <v>#VALUE!</v>
          </cell>
        </row>
        <row r="793">
          <cell r="A793" t="str">
            <v>10188N1E</v>
          </cell>
          <cell r="B793" t="str">
            <v>MKP000631002251</v>
          </cell>
          <cell r="C793" t="str">
            <v/>
          </cell>
          <cell r="D793" t="str">
            <v>Guarda-Roupa Casal Madesa Kansas 3 Portas de Correr com Espelho 3 Gavetas Preto</v>
          </cell>
          <cell r="E793" t="str">
            <v>KANSAS</v>
          </cell>
          <cell r="F793" t="str">
            <v>QUARTO</v>
          </cell>
          <cell r="G793" t="str">
            <v/>
          </cell>
          <cell r="H793">
            <v>1649.99</v>
          </cell>
          <cell r="I793">
            <v>1549.99</v>
          </cell>
          <cell r="J793">
            <v>1284.2162000000001</v>
          </cell>
          <cell r="K793">
            <v>0</v>
          </cell>
          <cell r="L793">
            <v>1284.2162000000001</v>
          </cell>
          <cell r="M793">
            <v>0</v>
          </cell>
          <cell r="N793">
            <v>1549.99</v>
          </cell>
          <cell r="O793" t="str">
            <v/>
          </cell>
          <cell r="P793">
            <v>0</v>
          </cell>
          <cell r="Q793">
            <v>0.20695409386674901</v>
          </cell>
          <cell r="R793">
            <v>0.20695409386674901</v>
          </cell>
          <cell r="S793" t="e">
            <v>#VALUE!</v>
          </cell>
          <cell r="T793" t="e">
            <v>#VALUE!</v>
          </cell>
        </row>
        <row r="794">
          <cell r="A794" t="str">
            <v>G22123F9AG</v>
          </cell>
          <cell r="B794" t="str">
            <v>MKP000631004866</v>
          </cell>
          <cell r="C794" t="str">
            <v/>
          </cell>
          <cell r="D794" t="str">
            <v>Balcão Gabinete de Pia 120 x 60 cm 1 Porta 2 Gavetas Rustic/Cinza (Sem Tampo) Agata Madesa</v>
          </cell>
          <cell r="E794" t="str">
            <v>ÁGATA</v>
          </cell>
          <cell r="F794" t="str">
            <v>MODULAÇÃO</v>
          </cell>
          <cell r="G794" t="str">
            <v/>
          </cell>
          <cell r="H794">
            <v>799.99</v>
          </cell>
          <cell r="I794">
            <v>699.99</v>
          </cell>
          <cell r="J794">
            <v>438.40890000000002</v>
          </cell>
          <cell r="K794">
            <v>0</v>
          </cell>
          <cell r="L794">
            <v>438.40890000000002</v>
          </cell>
          <cell r="M794">
            <v>0</v>
          </cell>
          <cell r="N794">
            <v>699.99</v>
          </cell>
          <cell r="O794" t="str">
            <v/>
          </cell>
          <cell r="P794">
            <v>0</v>
          </cell>
          <cell r="Q794">
            <v>0.59666010429989003</v>
          </cell>
          <cell r="R794">
            <v>0.59666010429989003</v>
          </cell>
          <cell r="S794" t="e">
            <v>#VALUE!</v>
          </cell>
          <cell r="T794" t="e">
            <v>#VALUE!</v>
          </cell>
        </row>
        <row r="795">
          <cell r="A795" t="str">
            <v>70087K</v>
          </cell>
          <cell r="B795" t="str">
            <v>MKP000631001643</v>
          </cell>
          <cell r="C795" t="str">
            <v/>
          </cell>
          <cell r="D795" t="str">
            <v>Rack para TV até 65 Polegadas Madesa Cancun Rustic/Preto</v>
          </cell>
          <cell r="E795" t="str">
            <v>CANCUN</v>
          </cell>
          <cell r="F795" t="str">
            <v>SALA DE ESTAR</v>
          </cell>
          <cell r="G795" t="str">
            <v/>
          </cell>
          <cell r="H795">
            <v>719.99</v>
          </cell>
          <cell r="I795">
            <v>299.99</v>
          </cell>
          <cell r="J795">
            <v>250.32939999999999</v>
          </cell>
          <cell r="K795">
            <v>0</v>
          </cell>
          <cell r="L795">
            <v>250.32939999999999</v>
          </cell>
          <cell r="M795">
            <v>0</v>
          </cell>
          <cell r="N795">
            <v>299.99</v>
          </cell>
          <cell r="O795" t="str">
            <v>WEB</v>
          </cell>
          <cell r="P795">
            <v>299.99</v>
          </cell>
          <cell r="Q795">
            <v>0.19838101317703799</v>
          </cell>
          <cell r="R795">
            <v>0.19838101317703799</v>
          </cell>
          <cell r="S795" t="e">
            <v>#VALUE!</v>
          </cell>
          <cell r="T795" t="e">
            <v>#VALUE!</v>
          </cell>
        </row>
        <row r="796">
          <cell r="A796" t="str">
            <v>MDES0200078N</v>
          </cell>
          <cell r="B796" t="str">
            <v>MKP000631001802</v>
          </cell>
          <cell r="C796" t="str">
            <v/>
          </cell>
          <cell r="D796" t="str">
            <v>Rack Madesa Le Mans e Painel para TV até 55 Polegadas 2 Portas Preto</v>
          </cell>
          <cell r="E796" t="str">
            <v>LE MANS</v>
          </cell>
          <cell r="F796" t="str">
            <v>SALA DE ESTAR</v>
          </cell>
          <cell r="G796" t="str">
            <v/>
          </cell>
          <cell r="H796">
            <v>559.99</v>
          </cell>
          <cell r="I796">
            <v>459.99</v>
          </cell>
          <cell r="J796">
            <v>351.69940000000003</v>
          </cell>
          <cell r="K796">
            <v>0</v>
          </cell>
          <cell r="L796">
            <v>351.69940000000003</v>
          </cell>
          <cell r="M796">
            <v>0</v>
          </cell>
          <cell r="N796">
            <v>459.99</v>
          </cell>
          <cell r="O796" t="str">
            <v/>
          </cell>
          <cell r="P796">
            <v>0</v>
          </cell>
          <cell r="Q796">
            <v>0.30790669531992398</v>
          </cell>
          <cell r="R796">
            <v>0.30790669531992398</v>
          </cell>
          <cell r="S796" t="e">
            <v>#VALUE!</v>
          </cell>
          <cell r="T796" t="e">
            <v>#VALUE!</v>
          </cell>
        </row>
        <row r="797">
          <cell r="A797" t="str">
            <v>60248N09PP</v>
          </cell>
          <cell r="B797" t="str">
            <v>MKP000631001566</v>
          </cell>
          <cell r="C797" t="str">
            <v/>
          </cell>
          <cell r="D797" t="str">
            <v>Rack Madesa Dubai para TV até 65 Polegadas com Pés Preto/Branco 8N09</v>
          </cell>
          <cell r="E797" t="str">
            <v>DUBAI</v>
          </cell>
          <cell r="F797" t="str">
            <v>SALA DE ESTAR</v>
          </cell>
          <cell r="G797" t="str">
            <v/>
          </cell>
          <cell r="H797">
            <v>569.99</v>
          </cell>
          <cell r="I797">
            <v>299.99</v>
          </cell>
          <cell r="J797">
            <v>243.82210000000001</v>
          </cell>
          <cell r="K797">
            <v>0</v>
          </cell>
          <cell r="L797">
            <v>243.82210000000001</v>
          </cell>
          <cell r="M797">
            <v>0</v>
          </cell>
          <cell r="N797">
            <v>299.99</v>
          </cell>
          <cell r="O797" t="str">
            <v/>
          </cell>
          <cell r="P797">
            <v>0</v>
          </cell>
          <cell r="Q797">
            <v>0.23036426968679199</v>
          </cell>
          <cell r="R797">
            <v>0.23036426968679199</v>
          </cell>
          <cell r="S797" t="e">
            <v>#VALUE!</v>
          </cell>
          <cell r="T797" t="e">
            <v>#VALUE!</v>
          </cell>
        </row>
        <row r="798">
          <cell r="A798" t="str">
            <v>1094F9</v>
          </cell>
          <cell r="B798" t="str">
            <v>MKP000631004572</v>
          </cell>
          <cell r="C798" t="str">
            <v/>
          </cell>
          <cell r="D798" t="str">
            <v>Guarda-Roupa Solteiro Madesa Denver 2 Portas de Correr Rustic/Cinza</v>
          </cell>
          <cell r="E798" t="str">
            <v>DENVER</v>
          </cell>
          <cell r="F798" t="str">
            <v>QUARTO</v>
          </cell>
          <cell r="G798" t="str">
            <v/>
          </cell>
          <cell r="H798">
            <v>739.99</v>
          </cell>
          <cell r="I798">
            <v>619.91999999999996</v>
          </cell>
          <cell r="J798">
            <v>475.10919999999999</v>
          </cell>
          <cell r="K798">
            <v>0</v>
          </cell>
          <cell r="L798">
            <v>475.10919999999999</v>
          </cell>
          <cell r="M798">
            <v>0</v>
          </cell>
          <cell r="N798">
            <v>619.91999999999996</v>
          </cell>
          <cell r="O798" t="str">
            <v/>
          </cell>
          <cell r="P798">
            <v>0</v>
          </cell>
          <cell r="Q798">
            <v>0.30479477139150302</v>
          </cell>
          <cell r="R798">
            <v>0.30479477139150302</v>
          </cell>
          <cell r="S798" t="e">
            <v>#VALUE!</v>
          </cell>
          <cell r="T798" t="e">
            <v>#VALUE!</v>
          </cell>
        </row>
        <row r="799">
          <cell r="A799" t="str">
            <v>G221237KAG</v>
          </cell>
          <cell r="B799" t="str">
            <v>MKP000631004872</v>
          </cell>
          <cell r="C799" t="str">
            <v/>
          </cell>
          <cell r="D799" t="str">
            <v>Balcão Gabinete de Pia 120 x 60 cm 1 Porta 2 Gavetas Rustic/Preto (Sem Tampo) Agata Madesa</v>
          </cell>
          <cell r="E799" t="str">
            <v>ÁGATA</v>
          </cell>
          <cell r="F799" t="str">
            <v>MODULAÇÃO</v>
          </cell>
          <cell r="G799" t="str">
            <v/>
          </cell>
          <cell r="H799">
            <v>799.99</v>
          </cell>
          <cell r="I799">
            <v>699.99</v>
          </cell>
          <cell r="J799">
            <v>438.40890000000002</v>
          </cell>
          <cell r="K799">
            <v>0</v>
          </cell>
          <cell r="L799">
            <v>438.40890000000002</v>
          </cell>
          <cell r="M799">
            <v>0</v>
          </cell>
          <cell r="N799">
            <v>699.99</v>
          </cell>
          <cell r="O799" t="str">
            <v/>
          </cell>
          <cell r="P799">
            <v>0</v>
          </cell>
          <cell r="Q799">
            <v>0.59666010429989003</v>
          </cell>
          <cell r="R799">
            <v>0.59666010429989003</v>
          </cell>
          <cell r="S799" t="e">
            <v>#VALUE!</v>
          </cell>
          <cell r="T799" t="e">
            <v>#VALUE!</v>
          </cell>
        </row>
        <row r="800">
          <cell r="A800" t="str">
            <v>XC106309CP</v>
          </cell>
          <cell r="B800" t="str">
            <v>MKP000631001475</v>
          </cell>
          <cell r="C800" t="str">
            <v/>
          </cell>
          <cell r="D800" t="str">
            <v>Guarda-Roupa Casal 100% MDF Madesa Zurique 3 Portas de Correr com Pés Branco</v>
          </cell>
          <cell r="E800" t="str">
            <v>ZURIQUE</v>
          </cell>
          <cell r="F800" t="str">
            <v>QUARTO</v>
          </cell>
          <cell r="G800" t="str">
            <v/>
          </cell>
          <cell r="H800">
            <v>2069.9899999999998</v>
          </cell>
          <cell r="I800">
            <v>1899.92</v>
          </cell>
          <cell r="J800">
            <v>1597.5367000000001</v>
          </cell>
          <cell r="K800">
            <v>0</v>
          </cell>
          <cell r="L800">
            <v>1597.5367000000001</v>
          </cell>
          <cell r="M800">
            <v>0</v>
          </cell>
          <cell r="N800">
            <v>1899.92</v>
          </cell>
          <cell r="O800" t="str">
            <v/>
          </cell>
          <cell r="P800">
            <v>0</v>
          </cell>
          <cell r="Q800">
            <v>0.18928097238704999</v>
          </cell>
          <cell r="R800">
            <v>0.18928097238704999</v>
          </cell>
          <cell r="S800" t="e">
            <v>#VALUE!</v>
          </cell>
          <cell r="T800" t="e">
            <v>#VALUE!</v>
          </cell>
        </row>
        <row r="801">
          <cell r="A801" t="str">
            <v>XBGRRM26000109</v>
          </cell>
          <cell r="B801" t="str">
            <v>MKP000631003309</v>
          </cell>
          <cell r="C801" t="str">
            <v/>
          </cell>
          <cell r="D801" t="str">
            <v>Armário de Cozinha Completa 260cm Branco Reims Madesa XB01</v>
          </cell>
          <cell r="E801" t="str">
            <v>REIMS</v>
          </cell>
          <cell r="F801" t="str">
            <v>COZINHA</v>
          </cell>
          <cell r="G801" t="str">
            <v/>
          </cell>
          <cell r="H801">
            <v>1989.99</v>
          </cell>
          <cell r="I801">
            <v>1339.99</v>
          </cell>
          <cell r="J801">
            <v>1068.8104000000001</v>
          </cell>
          <cell r="K801">
            <v>0</v>
          </cell>
          <cell r="L801">
            <v>1068.8104000000001</v>
          </cell>
          <cell r="M801">
            <v>0</v>
          </cell>
          <cell r="N801">
            <v>1339.99</v>
          </cell>
          <cell r="O801" t="str">
            <v>MAGALU</v>
          </cell>
          <cell r="P801">
            <v>1263.1500000000001</v>
          </cell>
          <cell r="Q801">
            <v>0.25372095930204303</v>
          </cell>
          <cell r="R801">
            <v>0.25372095930204303</v>
          </cell>
          <cell r="S801" t="e">
            <v>#VALUE!</v>
          </cell>
          <cell r="T801" t="e">
            <v>#VALUE!</v>
          </cell>
        </row>
        <row r="802">
          <cell r="A802" t="str">
            <v>10938N2E4G</v>
          </cell>
          <cell r="B802" t="str">
            <v>MKP000631001935</v>
          </cell>
          <cell r="C802" t="str">
            <v/>
          </cell>
          <cell r="D802" t="str">
            <v>Guarda-Roupa Casal Madesa Lyon Plus 3 Portas de Correr com Espelhos 4 Gavetas Preto</v>
          </cell>
          <cell r="E802" t="str">
            <v>LYON PLUS</v>
          </cell>
          <cell r="F802" t="str">
            <v>QUARTO</v>
          </cell>
          <cell r="G802" t="str">
            <v/>
          </cell>
          <cell r="H802">
            <v>1569.99</v>
          </cell>
          <cell r="I802">
            <v>1299.92</v>
          </cell>
          <cell r="J802">
            <v>1058.1829</v>
          </cell>
          <cell r="K802">
            <v>0</v>
          </cell>
          <cell r="L802">
            <v>1058.1829</v>
          </cell>
          <cell r="M802">
            <v>0</v>
          </cell>
          <cell r="N802">
            <v>1299.92</v>
          </cell>
          <cell r="O802" t="str">
            <v/>
          </cell>
          <cell r="P802">
            <v>0</v>
          </cell>
          <cell r="Q802">
            <v>0.228445479510206</v>
          </cell>
          <cell r="R802">
            <v>0.228445479510206</v>
          </cell>
          <cell r="S802" t="e">
            <v>#VALUE!</v>
          </cell>
          <cell r="T802" t="e">
            <v>#VALUE!</v>
          </cell>
        </row>
        <row r="803">
          <cell r="A803" t="str">
            <v>GRGL18000509</v>
          </cell>
          <cell r="B803" t="str">
            <v>MKP000631004243</v>
          </cell>
          <cell r="C803" t="str">
            <v/>
          </cell>
          <cell r="D803" t="str">
            <v>Armário de Cozinha Compacta 180cm Branco Glamy Madesa 05</v>
          </cell>
          <cell r="E803" t="str">
            <v>GLAMY</v>
          </cell>
          <cell r="F803" t="str">
            <v>COZINHA</v>
          </cell>
          <cell r="G803" t="str">
            <v/>
          </cell>
          <cell r="H803">
            <v>1699.99</v>
          </cell>
          <cell r="I803">
            <v>1599.99</v>
          </cell>
          <cell r="J803">
            <v>1343.5012999999999</v>
          </cell>
          <cell r="K803">
            <v>0</v>
          </cell>
          <cell r="L803">
            <v>1343.5012999999999</v>
          </cell>
          <cell r="M803">
            <v>0</v>
          </cell>
          <cell r="N803">
            <v>1599.99</v>
          </cell>
          <cell r="O803" t="str">
            <v/>
          </cell>
          <cell r="P803">
            <v>0</v>
          </cell>
          <cell r="Q803">
            <v>0.19091064519252801</v>
          </cell>
          <cell r="R803">
            <v>0.19091064519252801</v>
          </cell>
          <cell r="S803" t="e">
            <v>#VALUE!</v>
          </cell>
          <cell r="T803" t="e">
            <v>#VALUE!</v>
          </cell>
        </row>
        <row r="804">
          <cell r="A804" t="str">
            <v>70035Z1CP</v>
          </cell>
          <cell r="B804" t="str">
            <v>MKP000631001180</v>
          </cell>
          <cell r="C804" t="str">
            <v/>
          </cell>
          <cell r="D804" t="str">
            <v>Rack com Painel para TV até 65 Polegadas Madesa Miami com Pés Rustic</v>
          </cell>
          <cell r="E804" t="str">
            <v>MIAMI</v>
          </cell>
          <cell r="F804" t="str">
            <v>SALA DE ESTAR</v>
          </cell>
          <cell r="G804" t="str">
            <v/>
          </cell>
          <cell r="H804">
            <v>1009.99</v>
          </cell>
          <cell r="I804">
            <v>499.99</v>
          </cell>
          <cell r="J804">
            <v>428.64249999999998</v>
          </cell>
          <cell r="K804">
            <v>0</v>
          </cell>
          <cell r="L804">
            <v>428.64249999999998</v>
          </cell>
          <cell r="M804">
            <v>0</v>
          </cell>
          <cell r="N804">
            <v>499.99</v>
          </cell>
          <cell r="O804" t="str">
            <v/>
          </cell>
          <cell r="P804">
            <v>0</v>
          </cell>
          <cell r="Q804">
            <v>0.166449897058738</v>
          </cell>
          <cell r="R804">
            <v>0.166449897058738</v>
          </cell>
          <cell r="S804" t="e">
            <v>#VALUE!</v>
          </cell>
          <cell r="T804" t="e">
            <v>#VALUE!</v>
          </cell>
        </row>
        <row r="805">
          <cell r="A805" t="str">
            <v>G246013BNC</v>
          </cell>
          <cell r="B805" t="str">
            <v>MKP000631004836</v>
          </cell>
          <cell r="C805" t="str">
            <v/>
          </cell>
          <cell r="D805" t="str">
            <v>Balcão 60 cm 3 Gavetas Suspenso Cinza Nice Madesa</v>
          </cell>
          <cell r="E805" t="str">
            <v>NICE</v>
          </cell>
          <cell r="F805" t="str">
            <v>MODULAÇÃO</v>
          </cell>
          <cell r="G805" t="str">
            <v/>
          </cell>
          <cell r="H805">
            <v>559.99</v>
          </cell>
          <cell r="I805">
            <v>529.99</v>
          </cell>
          <cell r="J805">
            <v>312.52480000000003</v>
          </cell>
          <cell r="K805">
            <v>0</v>
          </cell>
          <cell r="L805">
            <v>312.52480000000003</v>
          </cell>
          <cell r="M805">
            <v>0</v>
          </cell>
          <cell r="N805">
            <v>529.99</v>
          </cell>
          <cell r="O805" t="str">
            <v/>
          </cell>
          <cell r="P805">
            <v>0</v>
          </cell>
          <cell r="Q805">
            <v>0.69583341865989501</v>
          </cell>
          <cell r="R805">
            <v>0.69583341865989501</v>
          </cell>
          <cell r="S805" t="e">
            <v>#VALUE!</v>
          </cell>
          <cell r="T805" t="e">
            <v>#VALUE!</v>
          </cell>
        </row>
        <row r="806">
          <cell r="A806" t="str">
            <v>GRAG2800017K</v>
          </cell>
          <cell r="B806" t="str">
            <v>MKP000631003086</v>
          </cell>
          <cell r="C806" t="str">
            <v/>
          </cell>
          <cell r="D806" t="str">
            <v>Armário de Cozinha Compacta 280cm Rustic/Preto Agata Madesa 01</v>
          </cell>
          <cell r="E806" t="str">
            <v>ÁGATA</v>
          </cell>
          <cell r="F806" t="str">
            <v>COZINHA</v>
          </cell>
          <cell r="G806" t="str">
            <v/>
          </cell>
          <cell r="H806">
            <v>1299.99</v>
          </cell>
          <cell r="I806">
            <v>1199.99</v>
          </cell>
          <cell r="J806">
            <v>1012.2067</v>
          </cell>
          <cell r="K806">
            <v>0</v>
          </cell>
          <cell r="L806">
            <v>1012.2067</v>
          </cell>
          <cell r="M806">
            <v>0</v>
          </cell>
          <cell r="N806">
            <v>1199.99</v>
          </cell>
          <cell r="O806" t="str">
            <v/>
          </cell>
          <cell r="P806">
            <v>0</v>
          </cell>
          <cell r="Q806">
            <v>0.18551872853637499</v>
          </cell>
          <cell r="R806">
            <v>0.18551872853637499</v>
          </cell>
          <cell r="S806" t="e">
            <v>#VALUE!</v>
          </cell>
          <cell r="T806" t="e">
            <v>#VALUE!</v>
          </cell>
        </row>
        <row r="807">
          <cell r="A807" t="str">
            <v>1095F83E</v>
          </cell>
          <cell r="B807" t="str">
            <v>MKP000631003538</v>
          </cell>
          <cell r="C807" t="str">
            <v/>
          </cell>
          <cell r="D807" t="str">
            <v>Guarda-Roupa Casal Madesa Reno 3 Portas de Correr de Espelho Branco/Cinza</v>
          </cell>
          <cell r="E807" t="str">
            <v>RENO</v>
          </cell>
          <cell r="F807" t="str">
            <v>QUARTO</v>
          </cell>
          <cell r="G807" t="str">
            <v/>
          </cell>
          <cell r="H807">
            <v>1869.99</v>
          </cell>
          <cell r="I807">
            <v>1679.92</v>
          </cell>
          <cell r="J807">
            <v>1277.0876000000001</v>
          </cell>
          <cell r="K807">
            <v>0</v>
          </cell>
          <cell r="L807">
            <v>1277.0876000000001</v>
          </cell>
          <cell r="M807">
            <v>0</v>
          </cell>
          <cell r="N807">
            <v>1679.92</v>
          </cell>
          <cell r="O807" t="str">
            <v/>
          </cell>
          <cell r="P807">
            <v>0</v>
          </cell>
          <cell r="Q807">
            <v>0.31543051549478701</v>
          </cell>
          <cell r="R807">
            <v>0.31543051549478701</v>
          </cell>
          <cell r="S807" t="e">
            <v>#VALUE!</v>
          </cell>
          <cell r="T807" t="e">
            <v>#VALUE!</v>
          </cell>
        </row>
        <row r="808">
          <cell r="A808" t="str">
            <v>G271505ZPR</v>
          </cell>
          <cell r="B808" t="str">
            <v>MKP000631004690</v>
          </cell>
          <cell r="C808" t="str">
            <v/>
          </cell>
          <cell r="D808" t="str">
            <v>Tampo para Balcão de Pia 150 cm Madesa Rustic</v>
          </cell>
          <cell r="E808" t="str">
            <v>PR</v>
          </cell>
          <cell r="F808" t="str">
            <v>MODULAÇÃO</v>
          </cell>
          <cell r="G808" t="str">
            <v/>
          </cell>
          <cell r="H808">
            <v>369.99</v>
          </cell>
          <cell r="I808">
            <v>169.99</v>
          </cell>
          <cell r="J808">
            <v>103.7026</v>
          </cell>
          <cell r="K808">
            <v>0</v>
          </cell>
          <cell r="L808">
            <v>103.7026</v>
          </cell>
          <cell r="M808">
            <v>0</v>
          </cell>
          <cell r="N808">
            <v>169.99</v>
          </cell>
          <cell r="O808" t="str">
            <v/>
          </cell>
          <cell r="P808">
            <v>0</v>
          </cell>
          <cell r="Q808">
            <v>0.63920673155735697</v>
          </cell>
          <cell r="R808">
            <v>0.63920673155735697</v>
          </cell>
          <cell r="S808" t="e">
            <v>#VALUE!</v>
          </cell>
          <cell r="T808" t="e">
            <v>#VALUE!</v>
          </cell>
        </row>
        <row r="809">
          <cell r="A809" t="str">
            <v>G2675009</v>
          </cell>
          <cell r="B809" t="str">
            <v>MKP000631000924</v>
          </cell>
          <cell r="C809" t="str">
            <v/>
          </cell>
          <cell r="D809" t="str">
            <v>Torre Quente Para 2 Fornos Madesa Acordes 100% MDF Branco Brilho</v>
          </cell>
          <cell r="E809" t="str">
            <v>ACORDES</v>
          </cell>
          <cell r="F809" t="str">
            <v>MODULAÇÃO</v>
          </cell>
          <cell r="G809" t="str">
            <v/>
          </cell>
          <cell r="H809">
            <v>1279.99</v>
          </cell>
          <cell r="I809">
            <v>749.99</v>
          </cell>
          <cell r="J809">
            <v>462.05099999999999</v>
          </cell>
          <cell r="K809">
            <v>0</v>
          </cell>
          <cell r="L809">
            <v>462.05099999999999</v>
          </cell>
          <cell r="M809">
            <v>0</v>
          </cell>
          <cell r="N809">
            <v>749.99</v>
          </cell>
          <cell r="O809" t="str">
            <v/>
          </cell>
          <cell r="P809">
            <v>0</v>
          </cell>
          <cell r="Q809">
            <v>0.62317579661119704</v>
          </cell>
          <cell r="R809">
            <v>0.62317579661119704</v>
          </cell>
          <cell r="S809" t="e">
            <v>#VALUE!</v>
          </cell>
          <cell r="T809" t="e">
            <v>#VALUE!</v>
          </cell>
        </row>
        <row r="810">
          <cell r="A810" t="str">
            <v>GREM3250047K</v>
          </cell>
          <cell r="B810" t="str">
            <v>MKP000631005138</v>
          </cell>
          <cell r="C810" t="str">
            <v/>
          </cell>
          <cell r="D810" t="str">
            <v>Armário de Cozinha Completa 325cm Rustic/Preto Emilly Madesa 04</v>
          </cell>
          <cell r="E810" t="str">
            <v>EMILLY</v>
          </cell>
          <cell r="F810" t="str">
            <v>COZINHA</v>
          </cell>
          <cell r="G810" t="str">
            <v/>
          </cell>
          <cell r="H810">
            <v>1799.99</v>
          </cell>
          <cell r="I810">
            <v>1699.99</v>
          </cell>
          <cell r="J810">
            <v>1370.6205</v>
          </cell>
          <cell r="K810">
            <v>0</v>
          </cell>
          <cell r="L810">
            <v>1370.6205</v>
          </cell>
          <cell r="M810">
            <v>0</v>
          </cell>
          <cell r="N810">
            <v>1699.99</v>
          </cell>
          <cell r="O810" t="str">
            <v/>
          </cell>
          <cell r="P810">
            <v>0</v>
          </cell>
          <cell r="Q810">
            <v>0.24030685372063201</v>
          </cell>
          <cell r="R810">
            <v>0.24030685372063201</v>
          </cell>
          <cell r="S810" t="e">
            <v>#VALUE!</v>
          </cell>
          <cell r="T810" t="e">
            <v>#VALUE!</v>
          </cell>
        </row>
        <row r="811">
          <cell r="A811" t="str">
            <v>XC1063D81E</v>
          </cell>
          <cell r="B811" t="str">
            <v>MKP000631003111</v>
          </cell>
          <cell r="C811" t="str">
            <v/>
          </cell>
          <cell r="D811" t="str">
            <v>Guarda-Roupa Casal 100% MDF Madesa Zurique 3 Portas de Correr com Espelho Preto/Rustic</v>
          </cell>
          <cell r="E811" t="str">
            <v>ZURIQUE</v>
          </cell>
          <cell r="F811" t="str">
            <v>QUARTO</v>
          </cell>
          <cell r="G811" t="str">
            <v/>
          </cell>
          <cell r="H811">
            <v>3269.99</v>
          </cell>
          <cell r="I811">
            <v>2049.92</v>
          </cell>
          <cell r="J811">
            <v>1792.614</v>
          </cell>
          <cell r="K811">
            <v>0</v>
          </cell>
          <cell r="L811">
            <v>1792.614</v>
          </cell>
          <cell r="M811">
            <v>0</v>
          </cell>
          <cell r="N811">
            <v>2049.92</v>
          </cell>
          <cell r="O811" t="str">
            <v/>
          </cell>
          <cell r="P811">
            <v>0</v>
          </cell>
          <cell r="Q811">
            <v>0.14353675693707599</v>
          </cell>
          <cell r="R811">
            <v>0.14353675693707599</v>
          </cell>
          <cell r="S811" t="e">
            <v>#VALUE!</v>
          </cell>
          <cell r="T811" t="e">
            <v>#VALUE!</v>
          </cell>
        </row>
        <row r="812">
          <cell r="A812" t="str">
            <v>GCAG3990027K</v>
          </cell>
          <cell r="B812" t="str">
            <v>MKP000631004532</v>
          </cell>
          <cell r="C812" t="str">
            <v/>
          </cell>
          <cell r="D812" t="str">
            <v>Armário de Cozinha Completa de Canto 399cm Rustic Preto Agata Madesa 02</v>
          </cell>
          <cell r="E812" t="str">
            <v>ÁGATA</v>
          </cell>
          <cell r="F812" t="str">
            <v>COZINHA</v>
          </cell>
          <cell r="G812" t="str">
            <v/>
          </cell>
          <cell r="H812">
            <v>2599.9899999999998</v>
          </cell>
          <cell r="I812">
            <v>2499.9899999999998</v>
          </cell>
          <cell r="J812">
            <v>2030.0596</v>
          </cell>
          <cell r="K812">
            <v>0</v>
          </cell>
          <cell r="L812">
            <v>2030.0596</v>
          </cell>
          <cell r="M812">
            <v>0</v>
          </cell>
          <cell r="N812">
            <v>2499.9899999999998</v>
          </cell>
          <cell r="O812" t="str">
            <v/>
          </cell>
          <cell r="P812">
            <v>0</v>
          </cell>
          <cell r="Q812">
            <v>0.23148601154369999</v>
          </cell>
          <cell r="R812">
            <v>0.23148601154369999</v>
          </cell>
          <cell r="S812" t="e">
            <v>#VALUE!</v>
          </cell>
          <cell r="T812" t="e">
            <v>#VALUE!</v>
          </cell>
        </row>
        <row r="813">
          <cell r="A813" t="str">
            <v>MDES0200235Z8N</v>
          </cell>
          <cell r="B813" t="str">
            <v>MKP000631001659</v>
          </cell>
          <cell r="C813" t="str">
            <v/>
          </cell>
          <cell r="D813" t="str">
            <v>Rack Madesa Cancun e Painel para TV até 65 Polegadas Rustic/Preto 5Z8N</v>
          </cell>
          <cell r="E813" t="str">
            <v>CANCUN</v>
          </cell>
          <cell r="F813" t="str">
            <v>SALA DE ESTAR</v>
          </cell>
          <cell r="G813" t="str">
            <v/>
          </cell>
          <cell r="H813">
            <v>669.99</v>
          </cell>
          <cell r="I813">
            <v>569.99</v>
          </cell>
          <cell r="J813">
            <v>449.15629999999999</v>
          </cell>
          <cell r="K813">
            <v>0</v>
          </cell>
          <cell r="L813">
            <v>449.15629999999999</v>
          </cell>
          <cell r="M813">
            <v>0</v>
          </cell>
          <cell r="N813">
            <v>569.99</v>
          </cell>
          <cell r="O813" t="str">
            <v/>
          </cell>
          <cell r="P813">
            <v>0</v>
          </cell>
          <cell r="Q813">
            <v>0.26902372292228799</v>
          </cell>
          <cell r="R813">
            <v>0.26902372292228799</v>
          </cell>
          <cell r="S813" t="e">
            <v>#VALUE!</v>
          </cell>
          <cell r="T813" t="e">
            <v>#VALUE!</v>
          </cell>
        </row>
        <row r="814">
          <cell r="A814" t="str">
            <v>GRRM12000109</v>
          </cell>
          <cell r="B814" t="str">
            <v>MKP000631002230</v>
          </cell>
          <cell r="C814" t="str">
            <v/>
          </cell>
          <cell r="D814" t="str">
            <v>Armário de Cozinha Compacta 120cm Branco Reims Madesa 01</v>
          </cell>
          <cell r="E814" t="str">
            <v>REIMS</v>
          </cell>
          <cell r="F814" t="str">
            <v>COZINHA</v>
          </cell>
          <cell r="G814" t="str">
            <v/>
          </cell>
          <cell r="H814">
            <v>1099.99</v>
          </cell>
          <cell r="I814">
            <v>699.99</v>
          </cell>
          <cell r="J814">
            <v>568.69659999999999</v>
          </cell>
          <cell r="K814">
            <v>0</v>
          </cell>
          <cell r="L814">
            <v>568.69659999999999</v>
          </cell>
          <cell r="M814">
            <v>0</v>
          </cell>
          <cell r="N814">
            <v>699.99</v>
          </cell>
          <cell r="O814" t="str">
            <v/>
          </cell>
          <cell r="P814">
            <v>0</v>
          </cell>
          <cell r="Q814">
            <v>0.23086721460968801</v>
          </cell>
          <cell r="R814">
            <v>0.23086721460968801</v>
          </cell>
          <cell r="S814" t="e">
            <v>#VALUE!</v>
          </cell>
          <cell r="T814" t="e">
            <v>#VALUE!</v>
          </cell>
        </row>
        <row r="815">
          <cell r="A815" t="str">
            <v>GCGM34800109</v>
          </cell>
          <cell r="B815" t="str">
            <v>MKP000631000982</v>
          </cell>
          <cell r="C815" t="str">
            <v/>
          </cell>
          <cell r="D815" t="str">
            <v>Kit Área De Serviço Madesa Acordes 100% MDF com Armário, Gaveteiro e Balcão de Canto Portas Branco Brilho</v>
          </cell>
          <cell r="E815" t="str">
            <v>ACORDES</v>
          </cell>
          <cell r="F815" t="str">
            <v>COZINHA</v>
          </cell>
          <cell r="G815" t="str">
            <v/>
          </cell>
          <cell r="H815">
            <v>2599.9899999999998</v>
          </cell>
          <cell r="I815">
            <v>2499.9899999999998</v>
          </cell>
          <cell r="J815">
            <v>1962.1416999999999</v>
          </cell>
          <cell r="K815">
            <v>0</v>
          </cell>
          <cell r="L815">
            <v>1962.1416999999999</v>
          </cell>
          <cell r="M815">
            <v>0</v>
          </cell>
          <cell r="N815">
            <v>2499.9899999999998</v>
          </cell>
          <cell r="O815" t="str">
            <v/>
          </cell>
          <cell r="P815">
            <v>0</v>
          </cell>
          <cell r="Q815">
            <v>0.27411287370325998</v>
          </cell>
          <cell r="R815">
            <v>0.27411287370325998</v>
          </cell>
          <cell r="S815" t="e">
            <v>#VALUE!</v>
          </cell>
          <cell r="T815" t="e">
            <v>#VALUE!</v>
          </cell>
        </row>
        <row r="816">
          <cell r="A816" t="str">
            <v>G200807K8N</v>
          </cell>
          <cell r="B816" t="str">
            <v>MKP000631000191</v>
          </cell>
          <cell r="C816" t="str">
            <v/>
          </cell>
          <cell r="D816" t="str">
            <v>Armário de Cozinha Compacta 180cm Preto Reims Madesa 80</v>
          </cell>
          <cell r="E816" t="str">
            <v>REIMS</v>
          </cell>
          <cell r="F816" t="str">
            <v>COZINHA</v>
          </cell>
          <cell r="G816" t="str">
            <v/>
          </cell>
          <cell r="H816">
            <v>1249.99</v>
          </cell>
          <cell r="I816">
            <v>1129.92</v>
          </cell>
          <cell r="J816">
            <v>942.93719999999996</v>
          </cell>
          <cell r="K816">
            <v>0</v>
          </cell>
          <cell r="L816">
            <v>942.93719999999996</v>
          </cell>
          <cell r="M816">
            <v>0</v>
          </cell>
          <cell r="N816">
            <v>1129.92</v>
          </cell>
          <cell r="O816" t="str">
            <v/>
          </cell>
          <cell r="P816">
            <v>0</v>
          </cell>
          <cell r="Q816">
            <v>0.19829825358465</v>
          </cell>
          <cell r="R816">
            <v>0.19829825358465</v>
          </cell>
          <cell r="S816" t="e">
            <v>#VALUE!</v>
          </cell>
          <cell r="T816" t="e">
            <v>#VALUE!</v>
          </cell>
        </row>
        <row r="817">
          <cell r="A817" t="str">
            <v>10955Z1E</v>
          </cell>
          <cell r="B817" t="str">
            <v>MKP000631001928</v>
          </cell>
          <cell r="C817" t="str">
            <v/>
          </cell>
          <cell r="D817" t="str">
            <v>Guarda-Roupa Casal Madesa Reno 3 Portas de Correr com Espelho Rustic</v>
          </cell>
          <cell r="E817" t="str">
            <v>RENO</v>
          </cell>
          <cell r="F817" t="str">
            <v>QUARTO</v>
          </cell>
          <cell r="G817" t="str">
            <v/>
          </cell>
          <cell r="H817">
            <v>2069.9899999999998</v>
          </cell>
          <cell r="I817">
            <v>1349.99</v>
          </cell>
          <cell r="J817">
            <v>986.06849999999997</v>
          </cell>
          <cell r="K817">
            <v>0</v>
          </cell>
          <cell r="L817">
            <v>986.06849999999997</v>
          </cell>
          <cell r="M817">
            <v>0</v>
          </cell>
          <cell r="N817">
            <v>1349.99</v>
          </cell>
          <cell r="O817" t="str">
            <v>CARREFOUR</v>
          </cell>
          <cell r="P817">
            <v>1199.99</v>
          </cell>
          <cell r="Q817">
            <v>0.36906310261406799</v>
          </cell>
          <cell r="R817">
            <v>0.36906310261406799</v>
          </cell>
          <cell r="S817" t="e">
            <v>#VALUE!</v>
          </cell>
          <cell r="T817" t="e">
            <v>#VALUE!</v>
          </cell>
        </row>
        <row r="818">
          <cell r="A818" t="str">
            <v>MDJA0401785ZBE</v>
          </cell>
          <cell r="B818" t="str">
            <v>MKP000631005889</v>
          </cell>
          <cell r="C818" t="str">
            <v/>
          </cell>
          <cell r="D818" t="str">
            <v>Conjunto Sala de Jantar Mesa Tampo de Madeira 4 Cadeiras Rustic/Bege Marilyn Madesa</v>
          </cell>
          <cell r="E818" t="str">
            <v>MARILYN</v>
          </cell>
          <cell r="F818" t="str">
            <v>SALA DE JANTAR</v>
          </cell>
          <cell r="G818" t="str">
            <v>4290X</v>
          </cell>
          <cell r="H818">
            <v>699.99</v>
          </cell>
          <cell r="I818">
            <v>599.99</v>
          </cell>
          <cell r="J818">
            <v>465.66980000000001</v>
          </cell>
          <cell r="K818">
            <v>0</v>
          </cell>
          <cell r="L818">
            <v>465.66980000000001</v>
          </cell>
          <cell r="M818">
            <v>0</v>
          </cell>
          <cell r="N818">
            <v>599.99</v>
          </cell>
          <cell r="O818" t="str">
            <v/>
          </cell>
          <cell r="P818">
            <v>0</v>
          </cell>
          <cell r="Q818">
            <v>0.28844516006835702</v>
          </cell>
          <cell r="R818">
            <v>0.28844516006835702</v>
          </cell>
          <cell r="S818" t="e">
            <v>#VALUE!</v>
          </cell>
          <cell r="T818" t="e">
            <v>#VALUE!</v>
          </cell>
        </row>
        <row r="819">
          <cell r="A819" t="str">
            <v>XAGCRM4620018N</v>
          </cell>
          <cell r="B819" t="str">
            <v>MKP000631003300</v>
          </cell>
          <cell r="C819" t="str">
            <v/>
          </cell>
          <cell r="D819" t="str">
            <v>Armário de Cozinha Completa de Canto 462cm Preto Reims Madesa XA01</v>
          </cell>
          <cell r="E819" t="str">
            <v>REIMS</v>
          </cell>
          <cell r="F819" t="str">
            <v>COZINHA</v>
          </cell>
          <cell r="G819" t="str">
            <v/>
          </cell>
          <cell r="H819">
            <v>4229.99</v>
          </cell>
          <cell r="I819">
            <v>2779.99</v>
          </cell>
          <cell r="J819">
            <v>2135.6370000000002</v>
          </cell>
          <cell r="K819">
            <v>0</v>
          </cell>
          <cell r="L819">
            <v>2135.6370000000002</v>
          </cell>
          <cell r="M819">
            <v>0</v>
          </cell>
          <cell r="N819">
            <v>2779.99</v>
          </cell>
          <cell r="O819" t="str">
            <v>MAGALU</v>
          </cell>
          <cell r="P819">
            <v>2631.57</v>
          </cell>
          <cell r="Q819">
            <v>0.30171466405573599</v>
          </cell>
          <cell r="R819">
            <v>0.30171466405573599</v>
          </cell>
          <cell r="S819" t="e">
            <v>#VALUE!</v>
          </cell>
          <cell r="T819" t="e">
            <v>#VALUE!</v>
          </cell>
        </row>
        <row r="820">
          <cell r="A820" t="str">
            <v>GCRM3320038N</v>
          </cell>
          <cell r="B820" t="str">
            <v>MKP000631004298</v>
          </cell>
          <cell r="C820" t="str">
            <v/>
          </cell>
          <cell r="D820" t="str">
            <v>Armário de Cozinha Completa de Canto 332cm Preto Reims Madesa 03</v>
          </cell>
          <cell r="E820" t="str">
            <v>REIMS</v>
          </cell>
          <cell r="F820" t="str">
            <v>COZINHA</v>
          </cell>
          <cell r="G820" t="str">
            <v/>
          </cell>
          <cell r="H820">
            <v>1449.99</v>
          </cell>
          <cell r="I820">
            <v>1349.99</v>
          </cell>
          <cell r="J820">
            <v>1138.9628</v>
          </cell>
          <cell r="K820">
            <v>0</v>
          </cell>
          <cell r="L820">
            <v>1138.9628</v>
          </cell>
          <cell r="M820">
            <v>0</v>
          </cell>
          <cell r="N820">
            <v>1349.99</v>
          </cell>
          <cell r="O820" t="str">
            <v>MADEIRAMADEIRA</v>
          </cell>
          <cell r="P820">
            <v>1329.99</v>
          </cell>
          <cell r="Q820">
            <v>0.185280151379834</v>
          </cell>
          <cell r="R820">
            <v>0.185280151379834</v>
          </cell>
          <cell r="S820" t="e">
            <v>#VALUE!</v>
          </cell>
          <cell r="T820" t="e">
            <v>#VALUE!</v>
          </cell>
        </row>
        <row r="821">
          <cell r="A821" t="str">
            <v>10946E1E</v>
          </cell>
          <cell r="B821" t="str">
            <v>MKP000631000764</v>
          </cell>
          <cell r="C821" t="str">
            <v/>
          </cell>
          <cell r="D821" t="str">
            <v>Guarda-Roupa Solteiro Madesa Denver 2 Portas de Correr com Espelho Rustic/Branco</v>
          </cell>
          <cell r="E821" t="str">
            <v>DENVER</v>
          </cell>
          <cell r="F821" t="str">
            <v>QUARTO</v>
          </cell>
          <cell r="G821" t="str">
            <v/>
          </cell>
          <cell r="H821">
            <v>1269.99</v>
          </cell>
          <cell r="I821">
            <v>779.99</v>
          </cell>
          <cell r="J821">
            <v>605.03719999999998</v>
          </cell>
          <cell r="K821">
            <v>0</v>
          </cell>
          <cell r="L821">
            <v>605.03719999999998</v>
          </cell>
          <cell r="M821">
            <v>0</v>
          </cell>
          <cell r="N821">
            <v>779.99</v>
          </cell>
          <cell r="O821" t="str">
            <v>B2W</v>
          </cell>
          <cell r="P821">
            <v>699.99</v>
          </cell>
          <cell r="Q821">
            <v>0.28916040203808901</v>
          </cell>
          <cell r="R821">
            <v>0.28916040203808901</v>
          </cell>
          <cell r="S821" t="e">
            <v>#VALUE!</v>
          </cell>
          <cell r="T821" t="e">
            <v>#VALUE!</v>
          </cell>
        </row>
        <row r="822">
          <cell r="A822" t="str">
            <v>XC1063091E</v>
          </cell>
          <cell r="B822" t="str">
            <v>MKP000631001448</v>
          </cell>
          <cell r="C822" t="str">
            <v/>
          </cell>
          <cell r="D822" t="str">
            <v>Guarda-Roupa Casal 100% MDF Madesa Zurique 3 Portas de Correr com Espelho Branco</v>
          </cell>
          <cell r="E822" t="str">
            <v>ZURIQUE</v>
          </cell>
          <cell r="F822" t="str">
            <v>QUARTO</v>
          </cell>
          <cell r="G822" t="str">
            <v/>
          </cell>
          <cell r="H822">
            <v>3259.99</v>
          </cell>
          <cell r="I822">
            <v>2329.9899999999998</v>
          </cell>
          <cell r="J822">
            <v>1792.614</v>
          </cell>
          <cell r="K822">
            <v>0</v>
          </cell>
          <cell r="L822">
            <v>1792.614</v>
          </cell>
          <cell r="M822">
            <v>0</v>
          </cell>
          <cell r="N822">
            <v>2329.9899999999998</v>
          </cell>
          <cell r="O822" t="str">
            <v>MAGALU</v>
          </cell>
          <cell r="P822">
            <v>2105.25</v>
          </cell>
          <cell r="Q822">
            <v>0.29977228784333898</v>
          </cell>
          <cell r="R822">
            <v>0.29977228784333898</v>
          </cell>
          <cell r="S822" t="e">
            <v>#VALUE!</v>
          </cell>
          <cell r="T822" t="e">
            <v>#VALUE!</v>
          </cell>
        </row>
        <row r="823">
          <cell r="A823" t="str">
            <v>10936ECP</v>
          </cell>
          <cell r="B823" t="str">
            <v>MKP000631001084</v>
          </cell>
          <cell r="C823" t="str">
            <v/>
          </cell>
          <cell r="D823" t="str">
            <v>Guarda-Roupa Casal Madesa Mônaco 3 Portas de Correr com Pés Rustic/Branco</v>
          </cell>
          <cell r="E823" t="str">
            <v>MÔNACO</v>
          </cell>
          <cell r="F823" t="str">
            <v>QUARTO</v>
          </cell>
          <cell r="G823" t="str">
            <v/>
          </cell>
          <cell r="H823">
            <v>939.99</v>
          </cell>
          <cell r="I823">
            <v>819.92</v>
          </cell>
          <cell r="J823">
            <v>667.03639999999996</v>
          </cell>
          <cell r="K823">
            <v>0</v>
          </cell>
          <cell r="L823">
            <v>667.03639999999996</v>
          </cell>
          <cell r="M823">
            <v>0</v>
          </cell>
          <cell r="N823">
            <v>819.92</v>
          </cell>
          <cell r="O823" t="str">
            <v/>
          </cell>
          <cell r="P823">
            <v>0</v>
          </cell>
          <cell r="Q823">
            <v>0.229198286630235</v>
          </cell>
          <cell r="R823">
            <v>0.229198286630235</v>
          </cell>
          <cell r="S823" t="e">
            <v>#VALUE!</v>
          </cell>
          <cell r="T823" t="e">
            <v>#VALUE!</v>
          </cell>
        </row>
        <row r="824">
          <cell r="A824" t="str">
            <v>1093091E2G</v>
          </cell>
          <cell r="B824" t="str">
            <v>MKP000631000473</v>
          </cell>
          <cell r="C824" t="str">
            <v/>
          </cell>
          <cell r="D824" t="str">
            <v>Guarda-Roupa Casal Madesa Lyon 3 Portas de Correr com Espelho 2 Gavetas Branco</v>
          </cell>
          <cell r="E824" t="str">
            <v>LYON</v>
          </cell>
          <cell r="F824" t="str">
            <v>QUARTO</v>
          </cell>
          <cell r="G824" t="str">
            <v/>
          </cell>
          <cell r="H824">
            <v>1799.99</v>
          </cell>
          <cell r="I824">
            <v>1069.99</v>
          </cell>
          <cell r="J824">
            <v>839.51800000000003</v>
          </cell>
          <cell r="K824">
            <v>0</v>
          </cell>
          <cell r="L824">
            <v>839.51800000000003</v>
          </cell>
          <cell r="M824">
            <v>0</v>
          </cell>
          <cell r="N824">
            <v>1069.99</v>
          </cell>
          <cell r="O824" t="str">
            <v>B2W</v>
          </cell>
          <cell r="P824">
            <v>1079.99</v>
          </cell>
          <cell r="Q824">
            <v>0.274528955900886</v>
          </cell>
          <cell r="R824">
            <v>0.274528955900886</v>
          </cell>
          <cell r="S824" t="e">
            <v>#VALUE!</v>
          </cell>
          <cell r="T824" t="e">
            <v>#VALUE!</v>
          </cell>
        </row>
        <row r="825">
          <cell r="A825" t="str">
            <v>MDMU01000209</v>
          </cell>
          <cell r="B825" t="str">
            <v>MKP000631005439</v>
          </cell>
          <cell r="C825" t="str">
            <v/>
          </cell>
          <cell r="D825" t="str">
            <v>Gaveteiro para Banheiro Branco com 3 Gavetas e Rodinhas Madesa</v>
          </cell>
          <cell r="E825">
            <v>3322</v>
          </cell>
          <cell r="F825" t="str">
            <v>COZINHA</v>
          </cell>
          <cell r="G825" t="str">
            <v/>
          </cell>
          <cell r="H825">
            <v>349.99</v>
          </cell>
          <cell r="I825">
            <v>349.99</v>
          </cell>
          <cell r="J825">
            <v>247.74610000000001</v>
          </cell>
          <cell r="K825">
            <v>0</v>
          </cell>
          <cell r="L825">
            <v>247.74610000000001</v>
          </cell>
          <cell r="M825">
            <v>0</v>
          </cell>
          <cell r="N825">
            <v>349.99</v>
          </cell>
          <cell r="O825" t="str">
            <v>LEROY</v>
          </cell>
          <cell r="P825">
            <v>0</v>
          </cell>
          <cell r="Q825">
            <v>0.41269630480560499</v>
          </cell>
          <cell r="R825">
            <v>0.41269630480560499</v>
          </cell>
          <cell r="S825" t="e">
            <v>#VALUE!</v>
          </cell>
          <cell r="T825" t="e">
            <v>#VALUE!</v>
          </cell>
        </row>
        <row r="826">
          <cell r="A826" t="str">
            <v>1093H92E</v>
          </cell>
          <cell r="B826" t="str">
            <v>MKP000631004578</v>
          </cell>
          <cell r="C826" t="str">
            <v/>
          </cell>
          <cell r="D826" t="str">
            <v>Guarda-Roupa Casal Madesa Mônaco 3 Portas de Correr com Espelhos Preto/Cinza</v>
          </cell>
          <cell r="E826" t="str">
            <v>MÔNACO</v>
          </cell>
          <cell r="F826" t="str">
            <v>QUARTO</v>
          </cell>
          <cell r="G826" t="str">
            <v/>
          </cell>
          <cell r="H826">
            <v>1299.99</v>
          </cell>
          <cell r="I826">
            <v>1159.92</v>
          </cell>
          <cell r="J826">
            <v>880.70910000000003</v>
          </cell>
          <cell r="K826">
            <v>0</v>
          </cell>
          <cell r="L826">
            <v>880.70910000000003</v>
          </cell>
          <cell r="M826">
            <v>0</v>
          </cell>
          <cell r="N826">
            <v>1159.92</v>
          </cell>
          <cell r="O826" t="str">
            <v/>
          </cell>
          <cell r="P826">
            <v>0</v>
          </cell>
          <cell r="Q826">
            <v>0.31702965258335603</v>
          </cell>
          <cell r="R826">
            <v>0.31702965258335603</v>
          </cell>
          <cell r="S826" t="e">
            <v>#VALUE!</v>
          </cell>
          <cell r="T826" t="e">
            <v>#VALUE!</v>
          </cell>
        </row>
        <row r="827">
          <cell r="A827" t="str">
            <v>G2512109RM</v>
          </cell>
          <cell r="B827" t="str">
            <v>MKP000631002301</v>
          </cell>
          <cell r="C827" t="str">
            <v/>
          </cell>
          <cell r="D827" t="str">
            <v>Armário Aéreo Madesa Reims 120 cm 2 Portas Branco</v>
          </cell>
          <cell r="E827" t="str">
            <v>REIMS</v>
          </cell>
          <cell r="F827" t="str">
            <v>MODULAÇÃO</v>
          </cell>
          <cell r="G827" t="str">
            <v/>
          </cell>
          <cell r="H827">
            <v>609.99</v>
          </cell>
          <cell r="I827">
            <v>319.99</v>
          </cell>
          <cell r="J827">
            <v>227.14510000000001</v>
          </cell>
          <cell r="K827">
            <v>0</v>
          </cell>
          <cell r="L827">
            <v>227.14510000000001</v>
          </cell>
          <cell r="M827">
            <v>0</v>
          </cell>
          <cell r="N827">
            <v>319.99</v>
          </cell>
          <cell r="O827" t="str">
            <v/>
          </cell>
          <cell r="P827">
            <v>0</v>
          </cell>
          <cell r="Q827">
            <v>0.40874709601924097</v>
          </cell>
          <cell r="R827">
            <v>0.40874709601924097</v>
          </cell>
          <cell r="S827" t="e">
            <v>#VALUE!</v>
          </cell>
          <cell r="T827" t="e">
            <v>#VALUE!</v>
          </cell>
        </row>
        <row r="828">
          <cell r="A828" t="str">
            <v>10445ZA1EML</v>
          </cell>
          <cell r="B828" t="str">
            <v>MKP000631000951</v>
          </cell>
          <cell r="C828" t="str">
            <v/>
          </cell>
          <cell r="D828" t="str">
            <v>Guarda-Roupa Infantil Madesa Nick 2 Portas de Correr com Espelho Rustic</v>
          </cell>
          <cell r="E828" t="str">
            <v>NICK</v>
          </cell>
          <cell r="F828" t="str">
            <v>QUARTO</v>
          </cell>
          <cell r="G828" t="str">
            <v/>
          </cell>
          <cell r="H828">
            <v>989.99</v>
          </cell>
          <cell r="I828">
            <v>859.92</v>
          </cell>
          <cell r="J828">
            <v>707.32280000000003</v>
          </cell>
          <cell r="K828">
            <v>0</v>
          </cell>
          <cell r="L828">
            <v>707.32280000000003</v>
          </cell>
          <cell r="M828">
            <v>0</v>
          </cell>
          <cell r="N828">
            <v>859.92</v>
          </cell>
          <cell r="O828" t="str">
            <v/>
          </cell>
          <cell r="P828">
            <v>0</v>
          </cell>
          <cell r="Q828">
            <v>0.21573912222255501</v>
          </cell>
          <cell r="R828">
            <v>0.21573912222255501</v>
          </cell>
          <cell r="S828" t="e">
            <v>#VALUE!</v>
          </cell>
          <cell r="T828" t="e">
            <v>#VALUE!</v>
          </cell>
        </row>
        <row r="829">
          <cell r="A829" t="str">
            <v>1093732E</v>
          </cell>
          <cell r="B829" t="str">
            <v>MKP000631002103</v>
          </cell>
          <cell r="C829" t="str">
            <v/>
          </cell>
          <cell r="D829" t="str">
            <v>Guarda-Roupa Casal Madesa Mônaco 3 Portas de Correr com Espelhos Branco/Preto</v>
          </cell>
          <cell r="E829" t="str">
            <v>MÔNACO</v>
          </cell>
          <cell r="F829" t="str">
            <v>QUARTO</v>
          </cell>
          <cell r="G829" t="str">
            <v/>
          </cell>
          <cell r="H829">
            <v>1369.99</v>
          </cell>
          <cell r="I829">
            <v>1079.92</v>
          </cell>
          <cell r="J829">
            <v>880.70910000000003</v>
          </cell>
          <cell r="K829">
            <v>0</v>
          </cell>
          <cell r="L829">
            <v>880.70910000000003</v>
          </cell>
          <cell r="M829">
            <v>0</v>
          </cell>
          <cell r="N829">
            <v>1079.92</v>
          </cell>
          <cell r="O829" t="str">
            <v/>
          </cell>
          <cell r="P829">
            <v>0</v>
          </cell>
          <cell r="Q829">
            <v>0.22619375682617601</v>
          </cell>
          <cell r="R829">
            <v>0.22619375682617601</v>
          </cell>
          <cell r="S829" t="e">
            <v>#VALUE!</v>
          </cell>
          <cell r="T829" t="e">
            <v>#VALUE!</v>
          </cell>
        </row>
        <row r="830">
          <cell r="A830" t="str">
            <v>104409AML</v>
          </cell>
          <cell r="B830" t="str">
            <v>MKP000631000949</v>
          </cell>
          <cell r="C830" t="str">
            <v/>
          </cell>
          <cell r="D830" t="str">
            <v>Guarda-Roupa Infantil Madesa Nick 2 Portas de Correr Branco</v>
          </cell>
          <cell r="E830" t="str">
            <v>NICK</v>
          </cell>
          <cell r="F830" t="str">
            <v>QUARTO</v>
          </cell>
          <cell r="G830" t="str">
            <v/>
          </cell>
          <cell r="H830">
            <v>1219.99</v>
          </cell>
          <cell r="I830">
            <v>789.99</v>
          </cell>
          <cell r="J830">
            <v>568.91459999999995</v>
          </cell>
          <cell r="K830">
            <v>0</v>
          </cell>
          <cell r="L830">
            <v>568.91459999999995</v>
          </cell>
          <cell r="M830">
            <v>0</v>
          </cell>
          <cell r="N830">
            <v>789.99</v>
          </cell>
          <cell r="O830" t="str">
            <v>IMPÉRIO</v>
          </cell>
          <cell r="P830">
            <v>799</v>
          </cell>
          <cell r="Q830">
            <v>0.38859153904645799</v>
          </cell>
          <cell r="R830">
            <v>0.38859153904645799</v>
          </cell>
          <cell r="S830" t="e">
            <v>#VALUE!</v>
          </cell>
          <cell r="T830" t="e">
            <v>#VALUE!</v>
          </cell>
        </row>
        <row r="831">
          <cell r="A831" t="str">
            <v>10949B1E2G</v>
          </cell>
          <cell r="B831" t="str">
            <v>MKP000631000770</v>
          </cell>
          <cell r="C831" t="str">
            <v/>
          </cell>
          <cell r="D831" t="str">
            <v>Guarda-Roupa Solteiro Madesa Dallas 2 Portas de Correr com Espelho 2 Gavetas Branco/Rustic</v>
          </cell>
          <cell r="E831" t="str">
            <v>DALLAS</v>
          </cell>
          <cell r="F831" t="str">
            <v>QUARTO</v>
          </cell>
          <cell r="G831" t="str">
            <v/>
          </cell>
          <cell r="H831">
            <v>1169.99</v>
          </cell>
          <cell r="I831">
            <v>839.92</v>
          </cell>
          <cell r="J831">
            <v>693.77409999999998</v>
          </cell>
          <cell r="K831">
            <v>0</v>
          </cell>
          <cell r="L831">
            <v>693.77409999999998</v>
          </cell>
          <cell r="M831">
            <v>0</v>
          </cell>
          <cell r="N831">
            <v>839.92</v>
          </cell>
          <cell r="O831" t="str">
            <v/>
          </cell>
          <cell r="P831">
            <v>0</v>
          </cell>
          <cell r="Q831">
            <v>0.21065343892197699</v>
          </cell>
          <cell r="R831">
            <v>0.21065343892197699</v>
          </cell>
          <cell r="S831" t="e">
            <v>#VALUE!</v>
          </cell>
          <cell r="T831" t="e">
            <v>#VALUE!</v>
          </cell>
        </row>
        <row r="832">
          <cell r="A832" t="str">
            <v>10948N2E2G</v>
          </cell>
          <cell r="B832" t="str">
            <v>MKP000631001961</v>
          </cell>
          <cell r="C832" t="str">
            <v/>
          </cell>
          <cell r="D832" t="str">
            <v>Guarda-Roupa Solteiro Madesa Dallas 2 Portas de Correr de Espelho 2 Gavetas Preto</v>
          </cell>
          <cell r="E832" t="str">
            <v>DALLAS</v>
          </cell>
          <cell r="F832" t="str">
            <v>QUARTO</v>
          </cell>
          <cell r="G832" t="str">
            <v/>
          </cell>
          <cell r="H832">
            <v>1589.99</v>
          </cell>
          <cell r="I832">
            <v>1049.99</v>
          </cell>
          <cell r="J832">
            <v>823.70209999999997</v>
          </cell>
          <cell r="K832">
            <v>0</v>
          </cell>
          <cell r="L832">
            <v>823.70209999999997</v>
          </cell>
          <cell r="M832">
            <v>0</v>
          </cell>
          <cell r="N832">
            <v>1049.99</v>
          </cell>
          <cell r="O832" t="str">
            <v>CARREFOUR</v>
          </cell>
          <cell r="P832">
            <v>979.99</v>
          </cell>
          <cell r="Q832">
            <v>0.27472055734712802</v>
          </cell>
          <cell r="R832">
            <v>0.27472055734712802</v>
          </cell>
          <cell r="S832" t="e">
            <v>#VALUE!</v>
          </cell>
          <cell r="T832" t="e">
            <v>#VALUE!</v>
          </cell>
        </row>
        <row r="833">
          <cell r="A833" t="str">
            <v>GRNC2600083B</v>
          </cell>
          <cell r="B833" t="str">
            <v>MKP000631004921</v>
          </cell>
          <cell r="C833" t="str">
            <v/>
          </cell>
          <cell r="D833" t="str">
            <v>Armário de Cozinha Completa 260cm Cinza Nice Madesa 08</v>
          </cell>
          <cell r="E833" t="str">
            <v>NICE</v>
          </cell>
          <cell r="F833" t="str">
            <v>COZINHA</v>
          </cell>
          <cell r="G833" t="str">
            <v/>
          </cell>
          <cell r="H833">
            <v>1599.99</v>
          </cell>
          <cell r="I833">
            <v>1499.99</v>
          </cell>
          <cell r="J833">
            <v>1135.2568000000001</v>
          </cell>
          <cell r="K833">
            <v>0</v>
          </cell>
          <cell r="L833">
            <v>1135.2568000000001</v>
          </cell>
          <cell r="M833">
            <v>0</v>
          </cell>
          <cell r="N833">
            <v>1499.99</v>
          </cell>
          <cell r="O833" t="str">
            <v/>
          </cell>
          <cell r="P833">
            <v>0</v>
          </cell>
          <cell r="Q833">
            <v>0.321278146054707</v>
          </cell>
          <cell r="R833">
            <v>0.321278146054707</v>
          </cell>
          <cell r="S833" t="e">
            <v>#VALUE!</v>
          </cell>
          <cell r="T833" t="e">
            <v>#VALUE!</v>
          </cell>
        </row>
        <row r="834">
          <cell r="A834" t="str">
            <v>GCRM46200209</v>
          </cell>
          <cell r="B834" t="str">
            <v>MKP000631002598</v>
          </cell>
          <cell r="C834" t="str">
            <v/>
          </cell>
          <cell r="D834" t="str">
            <v>Armário de Cozinha Completa de Canto 462cm Branco Reims Madesa 02</v>
          </cell>
          <cell r="E834" t="str">
            <v>REIMS</v>
          </cell>
          <cell r="F834" t="str">
            <v>COZINHA</v>
          </cell>
          <cell r="G834" t="str">
            <v/>
          </cell>
          <cell r="H834">
            <v>3719.99</v>
          </cell>
          <cell r="I834">
            <v>2339.9899999999998</v>
          </cell>
          <cell r="J834">
            <v>1903.3906999999999</v>
          </cell>
          <cell r="K834">
            <v>0</v>
          </cell>
          <cell r="L834">
            <v>1903.3906999999999</v>
          </cell>
          <cell r="M834">
            <v>0</v>
          </cell>
          <cell r="N834">
            <v>2339.9899999999998</v>
          </cell>
          <cell r="O834" t="str">
            <v>MADEIRAMADEIRA</v>
          </cell>
          <cell r="P834">
            <v>2329.9899999999998</v>
          </cell>
          <cell r="Q834">
            <v>0.22937975897433999</v>
          </cell>
          <cell r="R834">
            <v>0.22937975897433999</v>
          </cell>
          <cell r="S834" t="e">
            <v>#VALUE!</v>
          </cell>
          <cell r="T834" t="e">
            <v>#VALUE!</v>
          </cell>
        </row>
        <row r="835">
          <cell r="A835" t="str">
            <v>1095H93E</v>
          </cell>
          <cell r="B835" t="str">
            <v>MKP000631003539</v>
          </cell>
          <cell r="C835" t="str">
            <v/>
          </cell>
          <cell r="D835" t="str">
            <v>Guarda-Roupa Casal Madesa Reno 3 Portas de Correr de Espelho Preto/Cinza</v>
          </cell>
          <cell r="E835" t="str">
            <v>RENO</v>
          </cell>
          <cell r="F835" t="str">
            <v>QUARTO</v>
          </cell>
          <cell r="G835" t="str">
            <v/>
          </cell>
          <cell r="H835">
            <v>1869.99</v>
          </cell>
          <cell r="I835">
            <v>1569.99</v>
          </cell>
          <cell r="J835">
            <v>1277.0876000000001</v>
          </cell>
          <cell r="K835">
            <v>0</v>
          </cell>
          <cell r="L835">
            <v>1277.0876000000001</v>
          </cell>
          <cell r="M835">
            <v>0</v>
          </cell>
          <cell r="N835">
            <v>1569.99</v>
          </cell>
          <cell r="O835" t="str">
            <v>ZEMA</v>
          </cell>
          <cell r="P835">
            <v>1489.99</v>
          </cell>
          <cell r="Q835">
            <v>0.229351847124661</v>
          </cell>
          <cell r="R835">
            <v>0.229351847124661</v>
          </cell>
          <cell r="S835" t="e">
            <v>#VALUE!</v>
          </cell>
          <cell r="T835" t="e">
            <v>#VALUE!</v>
          </cell>
        </row>
        <row r="836">
          <cell r="A836" t="str">
            <v>MDJA0200035ZPER</v>
          </cell>
          <cell r="B836" t="str">
            <v>MKP000631000737</v>
          </cell>
          <cell r="C836" t="str">
            <v/>
          </cell>
          <cell r="D836" t="str">
            <v>Conjunto Sala de Jantar Madesa Moni Mesa Tampo de Vidro com 2 Cadeiras Rustic/Crema/Sintético Bege</v>
          </cell>
          <cell r="E836" t="str">
            <v>MONI</v>
          </cell>
          <cell r="F836" t="str">
            <v>SALA DE JANTAR</v>
          </cell>
          <cell r="G836" t="str">
            <v>4280X</v>
          </cell>
          <cell r="H836">
            <v>1149.99</v>
          </cell>
          <cell r="I836">
            <v>519.91999999999996</v>
          </cell>
          <cell r="J836">
            <v>378.45890000000003</v>
          </cell>
          <cell r="K836">
            <v>0</v>
          </cell>
          <cell r="L836">
            <v>378.45890000000003</v>
          </cell>
          <cell r="M836">
            <v>0</v>
          </cell>
          <cell r="N836">
            <v>519.91999999999996</v>
          </cell>
          <cell r="O836" t="str">
            <v/>
          </cell>
          <cell r="P836">
            <v>0</v>
          </cell>
          <cell r="Q836">
            <v>0.37378193510576702</v>
          </cell>
          <cell r="R836">
            <v>0.37378193510576702</v>
          </cell>
          <cell r="S836" t="e">
            <v>#VALUE!</v>
          </cell>
          <cell r="T836" t="e">
            <v>#VALUE!</v>
          </cell>
        </row>
        <row r="837">
          <cell r="A837" t="str">
            <v>MDJA0200535ZSIM</v>
          </cell>
          <cell r="B837" t="str">
            <v>MKP000631004895</v>
          </cell>
          <cell r="C837" t="str">
            <v/>
          </cell>
          <cell r="D837" t="str">
            <v>Conjunto Sala de Jantar Mesa Tampo de Madeira 2 Cadeiras Rustic/Imperial Lídia Madesa</v>
          </cell>
          <cell r="E837" t="str">
            <v>LÍDIA</v>
          </cell>
          <cell r="F837" t="str">
            <v>SALA DE JANTAR</v>
          </cell>
          <cell r="G837">
            <v>4256</v>
          </cell>
          <cell r="H837">
            <v>699.99</v>
          </cell>
          <cell r="I837">
            <v>599.99</v>
          </cell>
          <cell r="J837">
            <v>469.59379999999999</v>
          </cell>
          <cell r="K837">
            <v>0</v>
          </cell>
          <cell r="L837">
            <v>469.59379999999999</v>
          </cell>
          <cell r="M837">
            <v>0</v>
          </cell>
          <cell r="N837">
            <v>599.99</v>
          </cell>
          <cell r="O837" t="str">
            <v/>
          </cell>
          <cell r="P837">
            <v>0</v>
          </cell>
          <cell r="Q837">
            <v>0.27767870870526801</v>
          </cell>
          <cell r="R837">
            <v>0.27767870870526801</v>
          </cell>
          <cell r="S837" t="e">
            <v>#VALUE!</v>
          </cell>
          <cell r="T837" t="e">
            <v>#VALUE!</v>
          </cell>
        </row>
        <row r="838">
          <cell r="A838" t="str">
            <v>11639B3ECP</v>
          </cell>
          <cell r="B838" t="str">
            <v>MKP000631001119</v>
          </cell>
          <cell r="C838" t="str">
            <v/>
          </cell>
          <cell r="D838" t="str">
            <v>Guarda-Roupa Casal 100% MDF Madesa Eros 3 Portas de Correr de Espelho com Pés Branco/Rustic</v>
          </cell>
          <cell r="E838" t="str">
            <v>EROS</v>
          </cell>
          <cell r="F838" t="str">
            <v>QUARTO</v>
          </cell>
          <cell r="G838" t="str">
            <v/>
          </cell>
          <cell r="H838">
            <v>3189.99</v>
          </cell>
          <cell r="I838">
            <v>2359.92</v>
          </cell>
          <cell r="J838">
            <v>1987.3207</v>
          </cell>
          <cell r="K838">
            <v>0</v>
          </cell>
          <cell r="L838">
            <v>1987.3207</v>
          </cell>
          <cell r="M838">
            <v>0</v>
          </cell>
          <cell r="N838">
            <v>2359.92</v>
          </cell>
          <cell r="O838" t="str">
            <v/>
          </cell>
          <cell r="P838">
            <v>0</v>
          </cell>
          <cell r="Q838">
            <v>0.187488259947174</v>
          </cell>
          <cell r="R838">
            <v>0.187488259947174</v>
          </cell>
          <cell r="S838" t="e">
            <v>#VALUE!</v>
          </cell>
          <cell r="T838" t="e">
            <v>#VALUE!</v>
          </cell>
        </row>
        <row r="839">
          <cell r="A839" t="str">
            <v>G2535009RM</v>
          </cell>
          <cell r="B839" t="str">
            <v>MKP000631003039</v>
          </cell>
          <cell r="C839" t="str">
            <v/>
          </cell>
          <cell r="D839" t="str">
            <v>Armário Aéreo Madesa Reims 35 cm 1 Porta Branco</v>
          </cell>
          <cell r="E839" t="str">
            <v>REIMS</v>
          </cell>
          <cell r="F839" t="str">
            <v>MODULAÇÃO</v>
          </cell>
          <cell r="G839" t="str">
            <v/>
          </cell>
          <cell r="H839">
            <v>379.99</v>
          </cell>
          <cell r="I839">
            <v>179.99</v>
          </cell>
          <cell r="J839">
            <v>119.2242</v>
          </cell>
          <cell r="K839">
            <v>0</v>
          </cell>
          <cell r="L839">
            <v>119.2242</v>
          </cell>
          <cell r="M839">
            <v>0</v>
          </cell>
          <cell r="N839">
            <v>179.99</v>
          </cell>
          <cell r="O839" t="str">
            <v/>
          </cell>
          <cell r="P839">
            <v>0</v>
          </cell>
          <cell r="Q839">
            <v>0.50967672670481301</v>
          </cell>
          <cell r="R839">
            <v>0.50967672670481301</v>
          </cell>
          <cell r="S839" t="e">
            <v>#VALUE!</v>
          </cell>
          <cell r="T839" t="e">
            <v>#VALUE!</v>
          </cell>
        </row>
        <row r="840">
          <cell r="A840" t="str">
            <v>10945Z1E</v>
          </cell>
          <cell r="B840" t="str">
            <v>MKP000631000762</v>
          </cell>
          <cell r="C840" t="str">
            <v/>
          </cell>
          <cell r="D840" t="str">
            <v>Guarda-Roupa Solteiro Madesa Denver 2 Portas de Correr com Espelho Rustic</v>
          </cell>
          <cell r="E840" t="str">
            <v>DENVER</v>
          </cell>
          <cell r="F840" t="str">
            <v>QUARTO</v>
          </cell>
          <cell r="G840" t="str">
            <v/>
          </cell>
          <cell r="H840">
            <v>1399.99</v>
          </cell>
          <cell r="I840">
            <v>839.92</v>
          </cell>
          <cell r="J840">
            <v>605.03719999999998</v>
          </cell>
          <cell r="K840">
            <v>0</v>
          </cell>
          <cell r="L840">
            <v>605.03719999999998</v>
          </cell>
          <cell r="M840">
            <v>0</v>
          </cell>
          <cell r="N840">
            <v>839.92</v>
          </cell>
          <cell r="O840" t="str">
            <v/>
          </cell>
          <cell r="P840">
            <v>0</v>
          </cell>
          <cell r="Q840">
            <v>0.38821216282238502</v>
          </cell>
          <cell r="R840">
            <v>0.38821216282238502</v>
          </cell>
          <cell r="S840" t="e">
            <v>#VALUE!</v>
          </cell>
          <cell r="T840" t="e">
            <v>#VALUE!</v>
          </cell>
        </row>
        <row r="841">
          <cell r="A841" t="str">
            <v>1095F92E</v>
          </cell>
          <cell r="B841" t="str">
            <v>MKP000631003537</v>
          </cell>
          <cell r="C841" t="str">
            <v/>
          </cell>
          <cell r="D841" t="str">
            <v>Guarda-Roupa Casal Madesa Reno 3 Portas de Correr com Espelhos Rustic/Cinza</v>
          </cell>
          <cell r="E841" t="str">
            <v>RENO</v>
          </cell>
          <cell r="F841" t="str">
            <v>QUARTO</v>
          </cell>
          <cell r="G841" t="str">
            <v/>
          </cell>
          <cell r="H841">
            <v>1769.99</v>
          </cell>
          <cell r="I841">
            <v>1359.92</v>
          </cell>
          <cell r="J841">
            <v>1157.5255</v>
          </cell>
          <cell r="K841">
            <v>0</v>
          </cell>
          <cell r="L841">
            <v>1157.5255</v>
          </cell>
          <cell r="M841">
            <v>0</v>
          </cell>
          <cell r="N841">
            <v>1359.92</v>
          </cell>
          <cell r="O841" t="str">
            <v/>
          </cell>
          <cell r="P841">
            <v>0</v>
          </cell>
          <cell r="Q841">
            <v>0.17485100760199199</v>
          </cell>
          <cell r="R841">
            <v>0.17485100760199199</v>
          </cell>
          <cell r="S841" t="e">
            <v>#VALUE!</v>
          </cell>
          <cell r="T841" t="e">
            <v>#VALUE!</v>
          </cell>
        </row>
        <row r="842">
          <cell r="A842" t="str">
            <v>GRAG1200027K</v>
          </cell>
          <cell r="B842" t="str">
            <v>MKP000631004672</v>
          </cell>
          <cell r="C842" t="str">
            <v/>
          </cell>
          <cell r="D842" t="str">
            <v>Armário de Cozinha Compacta 120cm Rustic/Preto Agata Madesa 02</v>
          </cell>
          <cell r="E842" t="str">
            <v>ÁGATA</v>
          </cell>
          <cell r="F842" t="str">
            <v>COZINHA</v>
          </cell>
          <cell r="G842" t="str">
            <v/>
          </cell>
          <cell r="H842">
            <v>1159.99</v>
          </cell>
          <cell r="I842">
            <v>1019.92</v>
          </cell>
          <cell r="J842">
            <v>834.55849999999998</v>
          </cell>
          <cell r="K842">
            <v>0</v>
          </cell>
          <cell r="L842">
            <v>834.55849999999998</v>
          </cell>
          <cell r="M842">
            <v>0</v>
          </cell>
          <cell r="N842">
            <v>1019.92</v>
          </cell>
          <cell r="O842" t="str">
            <v/>
          </cell>
          <cell r="P842">
            <v>0</v>
          </cell>
          <cell r="Q842">
            <v>0.22210725790942201</v>
          </cell>
          <cell r="R842">
            <v>0.22210725790942201</v>
          </cell>
          <cell r="S842" t="e">
            <v>#VALUE!</v>
          </cell>
          <cell r="T842" t="e">
            <v>#VALUE!</v>
          </cell>
        </row>
        <row r="843">
          <cell r="A843" t="str">
            <v>GREM2010047K</v>
          </cell>
          <cell r="B843" t="str">
            <v>MKP000631001813</v>
          </cell>
          <cell r="C843" t="str">
            <v/>
          </cell>
          <cell r="D843" t="str">
            <v>Armário de Cozinha Completa 201cm Rustic/Preto Emilly Sky Madesa 04</v>
          </cell>
          <cell r="E843" t="str">
            <v>SKY/EMILLY</v>
          </cell>
          <cell r="F843" t="str">
            <v>COZINHA</v>
          </cell>
          <cell r="G843" t="str">
            <v/>
          </cell>
          <cell r="H843">
            <v>1329.99</v>
          </cell>
          <cell r="I843">
            <v>1189.92</v>
          </cell>
          <cell r="J843">
            <v>916.78809999999999</v>
          </cell>
          <cell r="K843">
            <v>0</v>
          </cell>
          <cell r="L843">
            <v>916.78809999999999</v>
          </cell>
          <cell r="M843">
            <v>0</v>
          </cell>
          <cell r="N843">
            <v>1189.92</v>
          </cell>
          <cell r="O843" t="str">
            <v/>
          </cell>
          <cell r="P843">
            <v>0</v>
          </cell>
          <cell r="Q843">
            <v>0.29792260610712501</v>
          </cell>
          <cell r="R843">
            <v>0.29792260610712501</v>
          </cell>
          <cell r="S843" t="e">
            <v>#VALUE!</v>
          </cell>
          <cell r="T843" t="e">
            <v>#VALUE!</v>
          </cell>
        </row>
        <row r="844">
          <cell r="A844" t="str">
            <v>G246003BNC</v>
          </cell>
          <cell r="B844" t="str">
            <v>MKP000631004832</v>
          </cell>
          <cell r="C844" t="str">
            <v/>
          </cell>
          <cell r="D844" t="str">
            <v>Balcão 60 cm 1 Porta Suspenso Cinza Nice Madesa</v>
          </cell>
          <cell r="E844" t="str">
            <v>NICE</v>
          </cell>
          <cell r="F844" t="str">
            <v>MODULAÇÃO</v>
          </cell>
          <cell r="G844" t="str">
            <v/>
          </cell>
          <cell r="H844">
            <v>569.99</v>
          </cell>
          <cell r="I844">
            <v>329.99</v>
          </cell>
          <cell r="J844">
            <v>185.8886</v>
          </cell>
          <cell r="K844">
            <v>0</v>
          </cell>
          <cell r="L844">
            <v>185.8886</v>
          </cell>
          <cell r="M844">
            <v>0</v>
          </cell>
          <cell r="N844">
            <v>329.99</v>
          </cell>
          <cell r="O844" t="str">
            <v/>
          </cell>
          <cell r="P844">
            <v>0</v>
          </cell>
          <cell r="Q844">
            <v>0.77520299792456404</v>
          </cell>
          <cell r="R844">
            <v>0.77520299792456404</v>
          </cell>
          <cell r="S844" t="e">
            <v>#VALUE!</v>
          </cell>
          <cell r="T844" t="e">
            <v>#VALUE!</v>
          </cell>
        </row>
        <row r="845">
          <cell r="A845" t="str">
            <v>1094091E4G</v>
          </cell>
          <cell r="B845" t="str">
            <v>MKP000631000778</v>
          </cell>
          <cell r="C845" t="str">
            <v/>
          </cell>
          <cell r="D845" t="str">
            <v>Guarda-Roupa Solteiro Madesa Dallas Plus 2 Portas de Correr com Espelho 4 Gavetas Branco</v>
          </cell>
          <cell r="E845" t="str">
            <v>DALLAS PLUS</v>
          </cell>
          <cell r="F845" t="str">
            <v>QUARTO</v>
          </cell>
          <cell r="G845" t="str">
            <v/>
          </cell>
          <cell r="H845">
            <v>1049.99</v>
          </cell>
          <cell r="I845">
            <v>949.99</v>
          </cell>
          <cell r="J845">
            <v>782.51099999999997</v>
          </cell>
          <cell r="K845">
            <v>0</v>
          </cell>
          <cell r="L845">
            <v>782.51099999999997</v>
          </cell>
          <cell r="M845">
            <v>0</v>
          </cell>
          <cell r="N845">
            <v>949.99</v>
          </cell>
          <cell r="O845" t="str">
            <v/>
          </cell>
          <cell r="P845">
            <v>0</v>
          </cell>
          <cell r="Q845">
            <v>0.21402766223094599</v>
          </cell>
          <cell r="R845">
            <v>0.21402766223094599</v>
          </cell>
          <cell r="S845" t="e">
            <v>#VALUE!</v>
          </cell>
          <cell r="T845" t="e">
            <v>#VALUE!</v>
          </cell>
        </row>
        <row r="846">
          <cell r="A846" t="str">
            <v>106509</v>
          </cell>
          <cell r="B846" t="str">
            <v>MKP000631000247</v>
          </cell>
          <cell r="C846" t="str">
            <v/>
          </cell>
          <cell r="D846" t="str">
            <v>Guarda-Roupa Casal Madesa Montana 4 Portas de Correr Branco</v>
          </cell>
          <cell r="E846" t="str">
            <v>MONTANA</v>
          </cell>
          <cell r="F846" t="str">
            <v>QUARTO</v>
          </cell>
          <cell r="G846" t="str">
            <v/>
          </cell>
          <cell r="H846">
            <v>3129.99</v>
          </cell>
          <cell r="I846">
            <v>2099.9899999999998</v>
          </cell>
          <cell r="J846">
            <v>1743.8910000000001</v>
          </cell>
          <cell r="K846">
            <v>0</v>
          </cell>
          <cell r="L846">
            <v>1743.8910000000001</v>
          </cell>
          <cell r="M846">
            <v>0</v>
          </cell>
          <cell r="N846">
            <v>2099.9899999999998</v>
          </cell>
          <cell r="O846" t="str">
            <v>LOJA</v>
          </cell>
          <cell r="P846">
            <v>1999.99</v>
          </cell>
          <cell r="Q846">
            <v>0.20419796879506799</v>
          </cell>
          <cell r="R846">
            <v>0.20419796879506799</v>
          </cell>
          <cell r="S846" t="e">
            <v>#VALUE!</v>
          </cell>
          <cell r="T846" t="e">
            <v>#VALUE!</v>
          </cell>
        </row>
        <row r="847">
          <cell r="A847" t="str">
            <v>G267500911</v>
          </cell>
          <cell r="B847" t="str">
            <v>MKP000631002995</v>
          </cell>
          <cell r="C847" t="str">
            <v/>
          </cell>
          <cell r="D847" t="str">
            <v>Torre Quente Para 2 Fornos Madesa Smart 100% MDF Portas Branco Brilho</v>
          </cell>
          <cell r="E847" t="str">
            <v>SMART</v>
          </cell>
          <cell r="F847" t="str">
            <v>MODULAÇÃO</v>
          </cell>
          <cell r="G847" t="str">
            <v/>
          </cell>
          <cell r="H847">
            <v>1069.99</v>
          </cell>
          <cell r="I847">
            <v>569.99</v>
          </cell>
          <cell r="J847">
            <v>418.233</v>
          </cell>
          <cell r="K847">
            <v>0</v>
          </cell>
          <cell r="L847">
            <v>418.233</v>
          </cell>
          <cell r="M847">
            <v>0</v>
          </cell>
          <cell r="N847">
            <v>569.99</v>
          </cell>
          <cell r="O847" t="str">
            <v/>
          </cell>
          <cell r="P847">
            <v>0</v>
          </cell>
          <cell r="Q847">
            <v>0.362852763889985</v>
          </cell>
          <cell r="R847">
            <v>0.362852763889985</v>
          </cell>
          <cell r="S847" t="e">
            <v>#VALUE!</v>
          </cell>
          <cell r="T847" t="e">
            <v>#VALUE!</v>
          </cell>
        </row>
        <row r="848">
          <cell r="A848" t="str">
            <v>GREM2610017K</v>
          </cell>
          <cell r="B848" t="str">
            <v>MKP000631001692</v>
          </cell>
          <cell r="C848" t="str">
            <v/>
          </cell>
          <cell r="D848" t="str">
            <v>Armário de Cozinha Completa 261cm Rustic/Preto/Preto Emilly Hit Madesa 01</v>
          </cell>
          <cell r="E848" t="str">
            <v>HIT/EMILLY</v>
          </cell>
          <cell r="F848" t="str">
            <v>COZINHA</v>
          </cell>
          <cell r="G848" t="str">
            <v/>
          </cell>
          <cell r="H848">
            <v>1819.99</v>
          </cell>
          <cell r="I848">
            <v>1129.99</v>
          </cell>
          <cell r="J848">
            <v>834.34050000000002</v>
          </cell>
          <cell r="K848">
            <v>0</v>
          </cell>
          <cell r="L848">
            <v>834.34050000000002</v>
          </cell>
          <cell r="M848">
            <v>0</v>
          </cell>
          <cell r="N848">
            <v>1129.99</v>
          </cell>
          <cell r="O848" t="str">
            <v>CARREFOUR</v>
          </cell>
          <cell r="P848">
            <v>999.99</v>
          </cell>
          <cell r="Q848">
            <v>0.35435113122280398</v>
          </cell>
          <cell r="R848">
            <v>0.35435113122280398</v>
          </cell>
          <cell r="S848" t="e">
            <v>#VALUE!</v>
          </cell>
          <cell r="T848" t="e">
            <v>#VALUE!</v>
          </cell>
        </row>
        <row r="849">
          <cell r="A849" t="str">
            <v>3434091</v>
          </cell>
          <cell r="B849" t="str">
            <v>MKP000631003455</v>
          </cell>
          <cell r="C849" t="str">
            <v/>
          </cell>
          <cell r="D849" t="str">
            <v>Comoda Madesa 4 Gavetas Branco</v>
          </cell>
          <cell r="E849">
            <v>3434</v>
          </cell>
          <cell r="F849" t="str">
            <v>QUARTO</v>
          </cell>
          <cell r="G849" t="str">
            <v/>
          </cell>
          <cell r="H849">
            <v>599.99</v>
          </cell>
          <cell r="I849">
            <v>499.99</v>
          </cell>
          <cell r="J849">
            <v>394.18759999999997</v>
          </cell>
          <cell r="K849">
            <v>0</v>
          </cell>
          <cell r="L849">
            <v>394.18759999999997</v>
          </cell>
          <cell r="M849">
            <v>0</v>
          </cell>
          <cell r="N849">
            <v>499.99</v>
          </cell>
          <cell r="O849" t="str">
            <v/>
          </cell>
          <cell r="P849">
            <v>0</v>
          </cell>
          <cell r="Q849">
            <v>0.26840621064691</v>
          </cell>
          <cell r="R849">
            <v>0.26840621064691</v>
          </cell>
          <cell r="S849" t="e">
            <v>#VALUE!</v>
          </cell>
          <cell r="T849" t="e">
            <v>#VALUE!</v>
          </cell>
        </row>
        <row r="850">
          <cell r="A850" t="str">
            <v>10977K</v>
          </cell>
          <cell r="B850" t="str">
            <v>MKP000631002475</v>
          </cell>
          <cell r="C850" t="str">
            <v/>
          </cell>
          <cell r="D850" t="str">
            <v>Guarda-Roupa Solteiro Madesa Tokio 2 Portas de Correr 2 Gavetas Rustic/Preto</v>
          </cell>
          <cell r="E850" t="str">
            <v>TOKIO</v>
          </cell>
          <cell r="F850" t="str">
            <v>QUARTO</v>
          </cell>
          <cell r="G850" t="str">
            <v/>
          </cell>
          <cell r="H850">
            <v>1329.99</v>
          </cell>
          <cell r="I850">
            <v>839.92</v>
          </cell>
          <cell r="J850">
            <v>630.83749999999998</v>
          </cell>
          <cell r="K850">
            <v>0</v>
          </cell>
          <cell r="L850">
            <v>630.83749999999998</v>
          </cell>
          <cell r="M850">
            <v>0</v>
          </cell>
          <cell r="N850">
            <v>839.92</v>
          </cell>
          <cell r="O850" t="str">
            <v/>
          </cell>
          <cell r="P850">
            <v>0</v>
          </cell>
          <cell r="Q850">
            <v>0.33143638417183502</v>
          </cell>
          <cell r="R850">
            <v>0.33143638417183502</v>
          </cell>
          <cell r="S850" t="e">
            <v>#VALUE!</v>
          </cell>
          <cell r="T850" t="e">
            <v>#VALUE!</v>
          </cell>
        </row>
        <row r="851">
          <cell r="A851" t="str">
            <v>GRLX2000017K</v>
          </cell>
          <cell r="B851" t="str">
            <v>MKP000631002725</v>
          </cell>
          <cell r="C851" t="str">
            <v/>
          </cell>
          <cell r="D851" t="str">
            <v>Armário de Cozinha Compacta 200cm Rustic/Preto Lux Madesa 01</v>
          </cell>
          <cell r="E851" t="str">
            <v>LUX</v>
          </cell>
          <cell r="F851" t="str">
            <v>COZINHA</v>
          </cell>
          <cell r="G851" t="str">
            <v/>
          </cell>
          <cell r="H851">
            <v>3229.99</v>
          </cell>
          <cell r="I851">
            <v>3129.99</v>
          </cell>
          <cell r="J851">
            <v>1757.2653</v>
          </cell>
          <cell r="K851">
            <v>0</v>
          </cell>
          <cell r="L851">
            <v>1757.2653</v>
          </cell>
          <cell r="M851">
            <v>0</v>
          </cell>
          <cell r="N851">
            <v>3129.99</v>
          </cell>
          <cell r="O851" t="str">
            <v>LOJA</v>
          </cell>
          <cell r="P851">
            <v>2749.99</v>
          </cell>
          <cell r="Q851">
            <v>0.78117100474242496</v>
          </cell>
          <cell r="R851">
            <v>0.78117100474242496</v>
          </cell>
          <cell r="S851" t="e">
            <v>#VALUE!</v>
          </cell>
          <cell r="T851" t="e">
            <v>#VALUE!</v>
          </cell>
        </row>
        <row r="852">
          <cell r="A852" t="str">
            <v>10979B</v>
          </cell>
          <cell r="B852" t="str">
            <v>MKP000631002471</v>
          </cell>
          <cell r="C852" t="str">
            <v/>
          </cell>
          <cell r="D852" t="str">
            <v>Guarda-Roupa Solteiro Madesa Tokio 2 Portas de Correr 2 Gavetas Branco/Rustic</v>
          </cell>
          <cell r="E852" t="str">
            <v>TOKIO</v>
          </cell>
          <cell r="F852" t="str">
            <v>QUARTO</v>
          </cell>
          <cell r="G852" t="str">
            <v/>
          </cell>
          <cell r="H852">
            <v>1049.99</v>
          </cell>
          <cell r="I852">
            <v>769.92</v>
          </cell>
          <cell r="J852">
            <v>630.83749999999998</v>
          </cell>
          <cell r="K852">
            <v>0</v>
          </cell>
          <cell r="L852">
            <v>630.83749999999998</v>
          </cell>
          <cell r="M852">
            <v>0</v>
          </cell>
          <cell r="N852">
            <v>769.92</v>
          </cell>
          <cell r="O852" t="str">
            <v/>
          </cell>
          <cell r="P852">
            <v>0</v>
          </cell>
          <cell r="Q852">
            <v>0.220472784195613</v>
          </cell>
          <cell r="R852">
            <v>0.220472784195613</v>
          </cell>
          <cell r="S852" t="e">
            <v>#VALUE!</v>
          </cell>
          <cell r="T852" t="e">
            <v>#VALUE!</v>
          </cell>
        </row>
        <row r="853">
          <cell r="A853" t="str">
            <v>G2540009</v>
          </cell>
          <cell r="B853" t="str">
            <v>MKP000631000917</v>
          </cell>
          <cell r="C853" t="str">
            <v/>
          </cell>
          <cell r="D853" t="str">
            <v>Armário Aéreo Madesa Acordes 100% MDF 40 cm 1 Porta Branco Brilho</v>
          </cell>
          <cell r="E853" t="str">
            <v>ACORDES</v>
          </cell>
          <cell r="F853" t="str">
            <v>MODULAÇÃO</v>
          </cell>
          <cell r="G853" t="str">
            <v/>
          </cell>
          <cell r="H853">
            <v>589.99</v>
          </cell>
          <cell r="I853">
            <v>289.99</v>
          </cell>
          <cell r="J853">
            <v>168.98269999999999</v>
          </cell>
          <cell r="K853">
            <v>0</v>
          </cell>
          <cell r="L853">
            <v>168.98269999999999</v>
          </cell>
          <cell r="M853">
            <v>0</v>
          </cell>
          <cell r="N853">
            <v>289.99</v>
          </cell>
          <cell r="O853" t="str">
            <v/>
          </cell>
          <cell r="P853">
            <v>0</v>
          </cell>
          <cell r="Q853">
            <v>0.71609283080457298</v>
          </cell>
          <cell r="R853">
            <v>0.71609283080457298</v>
          </cell>
          <cell r="S853" t="e">
            <v>#VALUE!</v>
          </cell>
          <cell r="T853" t="e">
            <v>#VALUE!</v>
          </cell>
        </row>
        <row r="854">
          <cell r="A854" t="str">
            <v>XC940909</v>
          </cell>
          <cell r="B854" t="str">
            <v>MKP000631004136</v>
          </cell>
          <cell r="C854" t="str">
            <v/>
          </cell>
          <cell r="D854" t="str">
            <v>Mesa para Computador Gamer Escrivaninha 9409 Madesa Branco</v>
          </cell>
          <cell r="E854" t="str">
            <v>GAMER</v>
          </cell>
          <cell r="F854" t="str">
            <v>ESCRITÓRIO</v>
          </cell>
          <cell r="G854" t="str">
            <v/>
          </cell>
          <cell r="H854">
            <v>469.99</v>
          </cell>
          <cell r="I854">
            <v>339.99</v>
          </cell>
          <cell r="J854">
            <v>224.06039999999999</v>
          </cell>
          <cell r="K854">
            <v>0</v>
          </cell>
          <cell r="L854">
            <v>224.06039999999999</v>
          </cell>
          <cell r="M854">
            <v>0</v>
          </cell>
          <cell r="N854">
            <v>339.99</v>
          </cell>
          <cell r="O854" t="str">
            <v>CARREFOUR</v>
          </cell>
          <cell r="P854">
            <v>299.99</v>
          </cell>
          <cell r="Q854">
            <v>0.51740334302714797</v>
          </cell>
          <cell r="R854">
            <v>0.51740334302714797</v>
          </cell>
          <cell r="S854" t="e">
            <v>#VALUE!</v>
          </cell>
          <cell r="T854" t="e">
            <v>#VALUE!</v>
          </cell>
        </row>
        <row r="855">
          <cell r="A855" t="str">
            <v>GRGL3500015Z</v>
          </cell>
          <cell r="B855" t="str">
            <v>MKP000631004336</v>
          </cell>
          <cell r="C855" t="str">
            <v/>
          </cell>
          <cell r="D855" t="str">
            <v>Armário de Cozinha Completa 350cm Rustic Glamy Madesa 01</v>
          </cell>
          <cell r="E855" t="str">
            <v>GLAMY</v>
          </cell>
          <cell r="F855" t="str">
            <v>COZINHA</v>
          </cell>
          <cell r="G855" t="str">
            <v/>
          </cell>
          <cell r="H855">
            <v>2099.9899999999998</v>
          </cell>
          <cell r="I855">
            <v>1999.99</v>
          </cell>
          <cell r="J855">
            <v>1660.6477</v>
          </cell>
          <cell r="K855">
            <v>0</v>
          </cell>
          <cell r="L855">
            <v>1660.6477</v>
          </cell>
          <cell r="M855">
            <v>0</v>
          </cell>
          <cell r="N855">
            <v>1999.99</v>
          </cell>
          <cell r="O855" t="str">
            <v/>
          </cell>
          <cell r="P855">
            <v>0</v>
          </cell>
          <cell r="Q855">
            <v>0.20434334145646901</v>
          </cell>
          <cell r="R855">
            <v>0.20434334145646901</v>
          </cell>
          <cell r="S855" t="e">
            <v>#VALUE!</v>
          </cell>
          <cell r="T855" t="e">
            <v>#VALUE!</v>
          </cell>
        </row>
        <row r="856">
          <cell r="A856" t="str">
            <v>GCAG399001F9</v>
          </cell>
          <cell r="B856" t="str">
            <v>MKP000631004688</v>
          </cell>
          <cell r="C856" t="str">
            <v/>
          </cell>
          <cell r="D856" t="str">
            <v>Armário de Cozinha Completa de Canto 399cm Rustic Cinza Agata Madesa 01</v>
          </cell>
          <cell r="E856" t="str">
            <v>ÁGATA</v>
          </cell>
          <cell r="F856" t="str">
            <v>COZINHA</v>
          </cell>
          <cell r="G856" t="str">
            <v/>
          </cell>
          <cell r="H856">
            <v>3239.99</v>
          </cell>
          <cell r="I856">
            <v>2859.99</v>
          </cell>
          <cell r="J856">
            <v>2348.3069</v>
          </cell>
          <cell r="K856">
            <v>0</v>
          </cell>
          <cell r="L856">
            <v>2348.3069</v>
          </cell>
          <cell r="M856">
            <v>0</v>
          </cell>
          <cell r="N856">
            <v>2859.99</v>
          </cell>
          <cell r="O856" t="str">
            <v>LOJA</v>
          </cell>
          <cell r="P856">
            <v>2999.99</v>
          </cell>
          <cell r="Q856">
            <v>0.217894475377132</v>
          </cell>
          <cell r="R856">
            <v>0.217894475377132</v>
          </cell>
          <cell r="S856" t="e">
            <v>#VALUE!</v>
          </cell>
          <cell r="T856" t="e">
            <v>#VALUE!</v>
          </cell>
        </row>
        <row r="857">
          <cell r="A857" t="str">
            <v>MDJA0200515ZSIM</v>
          </cell>
          <cell r="B857" t="str">
            <v>MKP000631004898</v>
          </cell>
          <cell r="C857" t="str">
            <v/>
          </cell>
          <cell r="D857" t="str">
            <v>Conjunto Sala de Jantar Mesa Tampo de Vidro 2 Cadeiras Rustic/Imperial Ciça Madesa</v>
          </cell>
          <cell r="E857" t="str">
            <v>CIÇA</v>
          </cell>
          <cell r="F857" t="str">
            <v>SALA DE JANTAR</v>
          </cell>
          <cell r="G857">
            <v>4256</v>
          </cell>
          <cell r="H857">
            <v>779.99</v>
          </cell>
          <cell r="I857">
            <v>679.99</v>
          </cell>
          <cell r="J857">
            <v>535.33169999999996</v>
          </cell>
          <cell r="K857">
            <v>0</v>
          </cell>
          <cell r="L857">
            <v>535.33169999999996</v>
          </cell>
          <cell r="M857">
            <v>0</v>
          </cell>
          <cell r="N857">
            <v>679.99</v>
          </cell>
          <cell r="O857" t="str">
            <v/>
          </cell>
          <cell r="P857">
            <v>0</v>
          </cell>
          <cell r="Q857">
            <v>0.27022180827326298</v>
          </cell>
          <cell r="R857">
            <v>0.27022180827326298</v>
          </cell>
          <cell r="S857" t="e">
            <v>#VALUE!</v>
          </cell>
          <cell r="T857" t="e">
            <v>#VALUE!</v>
          </cell>
        </row>
        <row r="858">
          <cell r="A858" t="str">
            <v>1093091ECP</v>
          </cell>
          <cell r="B858" t="str">
            <v>MKP000631001067</v>
          </cell>
          <cell r="C858" t="str">
            <v/>
          </cell>
          <cell r="D858" t="str">
            <v>Guarda-Roupa Casal Madesa Mônaco 3 Portas de Correr com Espelho com Pés Branco</v>
          </cell>
          <cell r="E858" t="str">
            <v>MÔNACO</v>
          </cell>
          <cell r="F858" t="str">
            <v>QUARTO</v>
          </cell>
          <cell r="G858" t="str">
            <v/>
          </cell>
          <cell r="H858">
            <v>1129.99</v>
          </cell>
          <cell r="I858">
            <v>989.92</v>
          </cell>
          <cell r="J858">
            <v>796.96439999999996</v>
          </cell>
          <cell r="K858">
            <v>0</v>
          </cell>
          <cell r="L858">
            <v>796.96439999999996</v>
          </cell>
          <cell r="M858">
            <v>0</v>
          </cell>
          <cell r="N858">
            <v>989.92</v>
          </cell>
          <cell r="O858" t="str">
            <v/>
          </cell>
          <cell r="P858">
            <v>0</v>
          </cell>
          <cell r="Q858">
            <v>0.242113198531829</v>
          </cell>
          <cell r="R858">
            <v>0.242113198531829</v>
          </cell>
          <cell r="S858" t="e">
            <v>#VALUE!</v>
          </cell>
          <cell r="T858" t="e">
            <v>#VALUE!</v>
          </cell>
        </row>
        <row r="859">
          <cell r="A859" t="str">
            <v>MDJA0601336ESIM</v>
          </cell>
          <cell r="B859" t="str">
            <v>MKP000631004888</v>
          </cell>
          <cell r="C859" t="str">
            <v/>
          </cell>
          <cell r="D859" t="str">
            <v>Conjunto Sala de Jantar Mesa Tampo de Vidro 6 Cadeiras Rustic/Branco/Imperial Stéfani Madesa</v>
          </cell>
          <cell r="E859" t="str">
            <v>STÉFANI</v>
          </cell>
          <cell r="F859" t="str">
            <v>SALA DE JANTAR</v>
          </cell>
          <cell r="G859">
            <v>4256</v>
          </cell>
          <cell r="H859">
            <v>1899.99</v>
          </cell>
          <cell r="I859">
            <v>1799.99</v>
          </cell>
          <cell r="J859">
            <v>1441.3397</v>
          </cell>
          <cell r="K859">
            <v>0</v>
          </cell>
          <cell r="L859">
            <v>1441.3397</v>
          </cell>
          <cell r="M859">
            <v>0</v>
          </cell>
          <cell r="N859">
            <v>1799.99</v>
          </cell>
          <cell r="O859" t="str">
            <v>IMPÉRIO</v>
          </cell>
          <cell r="P859">
            <v>1999</v>
          </cell>
          <cell r="Q859">
            <v>0.248831208909322</v>
          </cell>
          <cell r="R859">
            <v>0.248831208909322</v>
          </cell>
          <cell r="S859" t="e">
            <v>#VALUE!</v>
          </cell>
          <cell r="T859" t="e">
            <v>#VALUE!</v>
          </cell>
        </row>
        <row r="860">
          <cell r="A860" t="str">
            <v>GCGM41900109</v>
          </cell>
          <cell r="B860" t="str">
            <v>MKP000631000208</v>
          </cell>
          <cell r="C860" t="str">
            <v/>
          </cell>
          <cell r="D860" t="str">
            <v>Armário de Cozinha Completa de Canto 100% MDF 419cm Frentes Branco Brilho Acordes Madesa 01</v>
          </cell>
          <cell r="E860" t="str">
            <v>ACORDES</v>
          </cell>
          <cell r="F860" t="str">
            <v>COZINHA</v>
          </cell>
          <cell r="G860" t="str">
            <v/>
          </cell>
          <cell r="H860">
            <v>4079.99</v>
          </cell>
          <cell r="I860">
            <v>2729.92</v>
          </cell>
          <cell r="J860">
            <v>2108.4088000000002</v>
          </cell>
          <cell r="K860">
            <v>0</v>
          </cell>
          <cell r="L860">
            <v>2108.4088000000002</v>
          </cell>
          <cell r="M860">
            <v>0</v>
          </cell>
          <cell r="N860">
            <v>2729.92</v>
          </cell>
          <cell r="O860" t="str">
            <v/>
          </cell>
          <cell r="P860">
            <v>0</v>
          </cell>
          <cell r="Q860">
            <v>0.29477736954996597</v>
          </cell>
          <cell r="R860">
            <v>0.29477736954996597</v>
          </cell>
          <cell r="S860" t="e">
            <v>#VALUE!</v>
          </cell>
          <cell r="T860" t="e">
            <v>#VALUE!</v>
          </cell>
        </row>
        <row r="861">
          <cell r="A861" t="str">
            <v>104500C</v>
          </cell>
          <cell r="B861" t="str">
            <v>MKP000631002831</v>
          </cell>
          <cell r="C861" t="str">
            <v/>
          </cell>
          <cell r="D861" t="str">
            <v>Kit Madesa com 3 Espelhos de 60 x 49,5 cm para Guarda-Roupa</v>
          </cell>
          <cell r="E861" t="str">
            <v>KIT ESPELHO</v>
          </cell>
          <cell r="F861" t="str">
            <v>QUARTO</v>
          </cell>
          <cell r="G861" t="str">
            <v/>
          </cell>
          <cell r="H861">
            <v>369.99</v>
          </cell>
          <cell r="I861">
            <v>199.92</v>
          </cell>
          <cell r="J861">
            <v>129.928</v>
          </cell>
          <cell r="K861">
            <v>0</v>
          </cell>
          <cell r="L861">
            <v>129.928</v>
          </cell>
          <cell r="M861">
            <v>0</v>
          </cell>
          <cell r="N861">
            <v>199.92</v>
          </cell>
          <cell r="O861" t="str">
            <v/>
          </cell>
          <cell r="P861">
            <v>0</v>
          </cell>
          <cell r="Q861">
            <v>0.53869835601256</v>
          </cell>
          <cell r="R861">
            <v>0.53869835601256</v>
          </cell>
          <cell r="S861" t="e">
            <v>#VALUE!</v>
          </cell>
          <cell r="T861" t="e">
            <v>#VALUE!</v>
          </cell>
        </row>
        <row r="862">
          <cell r="A862" t="str">
            <v>GRGM33000509</v>
          </cell>
          <cell r="B862" t="str">
            <v>MKP000631003522</v>
          </cell>
          <cell r="C862" t="str">
            <v/>
          </cell>
          <cell r="D862" t="str">
            <v>Armário de Cozinha Completa 100% MDF 330cm Frentes Branco Brilho Acordes Madesa 05</v>
          </cell>
          <cell r="E862" t="str">
            <v>ACORDES</v>
          </cell>
          <cell r="F862" t="str">
            <v>COZINHA</v>
          </cell>
          <cell r="G862" t="str">
            <v/>
          </cell>
          <cell r="H862">
            <v>3279.99</v>
          </cell>
          <cell r="I862">
            <v>3059.92</v>
          </cell>
          <cell r="J862">
            <v>2342.9659000000001</v>
          </cell>
          <cell r="K862">
            <v>0</v>
          </cell>
          <cell r="L862">
            <v>2342.9659000000001</v>
          </cell>
          <cell r="M862">
            <v>0</v>
          </cell>
          <cell r="N862">
            <v>3059.92</v>
          </cell>
          <cell r="O862" t="str">
            <v/>
          </cell>
          <cell r="P862">
            <v>0</v>
          </cell>
          <cell r="Q862">
            <v>0.30600278902906802</v>
          </cell>
          <cell r="R862">
            <v>0.30600278902906802</v>
          </cell>
          <cell r="S862" t="e">
            <v>#VALUE!</v>
          </cell>
          <cell r="T862" t="e">
            <v>#VALUE!</v>
          </cell>
        </row>
        <row r="863">
          <cell r="A863" t="str">
            <v>XAG271155ZPR</v>
          </cell>
          <cell r="B863" t="str">
            <v>MKP000631003198</v>
          </cell>
          <cell r="C863" t="str">
            <v/>
          </cell>
          <cell r="D863" t="str">
            <v>Bancada para Cozinha Lux Madesa 115 cm Rustic</v>
          </cell>
          <cell r="E863" t="str">
            <v>LUX</v>
          </cell>
          <cell r="F863" t="str">
            <v>MODULAÇÃO</v>
          </cell>
          <cell r="G863" t="str">
            <v/>
          </cell>
          <cell r="H863">
            <v>619.99</v>
          </cell>
          <cell r="I863">
            <v>289.99</v>
          </cell>
          <cell r="J863">
            <v>178.71639999999999</v>
          </cell>
          <cell r="K863">
            <v>0</v>
          </cell>
          <cell r="L863">
            <v>178.71639999999999</v>
          </cell>
          <cell r="M863">
            <v>0</v>
          </cell>
          <cell r="N863">
            <v>289.99</v>
          </cell>
          <cell r="O863" t="str">
            <v/>
          </cell>
          <cell r="P863">
            <v>0</v>
          </cell>
          <cell r="Q863">
            <v>0.62262668675062804</v>
          </cell>
          <cell r="R863">
            <v>0.62262668675062804</v>
          </cell>
          <cell r="S863" t="e">
            <v>#VALUE!</v>
          </cell>
          <cell r="T863" t="e">
            <v>#VALUE!</v>
          </cell>
        </row>
        <row r="864">
          <cell r="A864" t="str">
            <v>GRAG310001F9</v>
          </cell>
          <cell r="B864" t="str">
            <v>MKP000631002605</v>
          </cell>
          <cell r="C864" t="str">
            <v/>
          </cell>
          <cell r="D864" t="str">
            <v>Armário de Cozinha Completa 310cm Rustic/Cinza Agata Madesa 01</v>
          </cell>
          <cell r="E864" t="str">
            <v>ÁGATA</v>
          </cell>
          <cell r="F864" t="str">
            <v>COZINHA</v>
          </cell>
          <cell r="G864" t="str">
            <v/>
          </cell>
          <cell r="H864">
            <v>2499.9899999999998</v>
          </cell>
          <cell r="I864">
            <v>2399.9899999999998</v>
          </cell>
          <cell r="J864">
            <v>1961.4876999999999</v>
          </cell>
          <cell r="K864">
            <v>0</v>
          </cell>
          <cell r="L864">
            <v>1961.4876999999999</v>
          </cell>
          <cell r="M864">
            <v>0</v>
          </cell>
          <cell r="N864">
            <v>2399.9899999999998</v>
          </cell>
          <cell r="O864" t="str">
            <v/>
          </cell>
          <cell r="P864">
            <v>0</v>
          </cell>
          <cell r="Q864">
            <v>0.22355597743488301</v>
          </cell>
          <cell r="R864">
            <v>0.22355597743488301</v>
          </cell>
          <cell r="S864" t="e">
            <v>#VALUE!</v>
          </cell>
          <cell r="T864" t="e">
            <v>#VALUE!</v>
          </cell>
        </row>
        <row r="865">
          <cell r="A865" t="str">
            <v>10639B1B</v>
          </cell>
          <cell r="B865" t="str">
            <v>MKP000631000995</v>
          </cell>
          <cell r="C865" t="str">
            <v/>
          </cell>
          <cell r="D865" t="str">
            <v>Guarda-Roupa Casal 100% MDF Madesa Royale 3 Portas de Correr Branco/Rustic/Branco</v>
          </cell>
          <cell r="E865" t="str">
            <v>ROYALE</v>
          </cell>
          <cell r="F865" t="str">
            <v>QUARTO</v>
          </cell>
          <cell r="G865" t="str">
            <v/>
          </cell>
          <cell r="H865">
            <v>1999.99</v>
          </cell>
          <cell r="I865">
            <v>1829.92</v>
          </cell>
          <cell r="J865">
            <v>1551.3534</v>
          </cell>
          <cell r="K865">
            <v>0</v>
          </cell>
          <cell r="L865">
            <v>1551.3534</v>
          </cell>
          <cell r="M865">
            <v>0</v>
          </cell>
          <cell r="N865">
            <v>1829.92</v>
          </cell>
          <cell r="O865" t="str">
            <v/>
          </cell>
          <cell r="P865">
            <v>0</v>
          </cell>
          <cell r="Q865">
            <v>0.179563599112878</v>
          </cell>
          <cell r="R865">
            <v>0.179563599112878</v>
          </cell>
          <cell r="S865" t="e">
            <v>#VALUE!</v>
          </cell>
          <cell r="T865" t="e">
            <v>#VALUE!</v>
          </cell>
        </row>
        <row r="866">
          <cell r="A866" t="str">
            <v>42905Z4XTFBM</v>
          </cell>
          <cell r="B866" t="str">
            <v>MKP000631000085</v>
          </cell>
          <cell r="C866" t="str">
            <v/>
          </cell>
          <cell r="D866" t="str">
            <v>Kit 4 Cadeiras 4290 Madesa Rustic/Bege Marrom</v>
          </cell>
          <cell r="E866">
            <v>4290</v>
          </cell>
          <cell r="F866" t="str">
            <v>SALA DE JANTAR</v>
          </cell>
          <cell r="G866" t="str">
            <v>4290X</v>
          </cell>
          <cell r="H866">
            <v>669.99</v>
          </cell>
          <cell r="I866">
            <v>379.99</v>
          </cell>
          <cell r="J866">
            <v>256.8476</v>
          </cell>
          <cell r="K866">
            <v>0</v>
          </cell>
          <cell r="L866">
            <v>256.8476</v>
          </cell>
          <cell r="M866">
            <v>0</v>
          </cell>
          <cell r="N866">
            <v>379.99</v>
          </cell>
          <cell r="O866" t="str">
            <v>WEB (MELI)</v>
          </cell>
          <cell r="P866">
            <v>379.99</v>
          </cell>
          <cell r="Q866">
            <v>0.47943761203141499</v>
          </cell>
          <cell r="R866">
            <v>0.47943761203141499</v>
          </cell>
          <cell r="S866" t="e">
            <v>#VALUE!</v>
          </cell>
          <cell r="T866" t="e">
            <v>#VALUE!</v>
          </cell>
        </row>
        <row r="867">
          <cell r="A867" t="str">
            <v>69486E1</v>
          </cell>
          <cell r="B867" t="str">
            <v>MKP000631001773</v>
          </cell>
          <cell r="C867" t="str">
            <v/>
          </cell>
          <cell r="D867" t="str">
            <v>Rack para TV até 55 Polegadas Madesa Le Mans com 2 Portas Rustic/Branco</v>
          </cell>
          <cell r="E867" t="str">
            <v>LE MANS</v>
          </cell>
          <cell r="F867" t="str">
            <v>SALA DE ESTAR</v>
          </cell>
          <cell r="G867" t="str">
            <v/>
          </cell>
          <cell r="H867">
            <v>549.99</v>
          </cell>
          <cell r="I867">
            <v>359.92</v>
          </cell>
          <cell r="J867">
            <v>246.9177</v>
          </cell>
          <cell r="K867">
            <v>0</v>
          </cell>
          <cell r="L867">
            <v>246.9177</v>
          </cell>
          <cell r="M867">
            <v>0</v>
          </cell>
          <cell r="N867">
            <v>359.92</v>
          </cell>
          <cell r="O867" t="str">
            <v>LEROY</v>
          </cell>
          <cell r="P867">
            <v>0</v>
          </cell>
          <cell r="Q867">
            <v>0.45765167908173399</v>
          </cell>
          <cell r="R867">
            <v>0.45765167908173399</v>
          </cell>
          <cell r="S867" t="e">
            <v>#VALUE!</v>
          </cell>
          <cell r="T867" t="e">
            <v>#VALUE!</v>
          </cell>
        </row>
        <row r="868">
          <cell r="A868" t="str">
            <v>GREM1370047K</v>
          </cell>
          <cell r="B868" t="str">
            <v>MKP000631001820</v>
          </cell>
          <cell r="C868" t="str">
            <v/>
          </cell>
          <cell r="D868" t="str">
            <v>Armário de Cozinha Compacta 137cm Rustic/Preto Emilly Art Madesa 04</v>
          </cell>
          <cell r="E868" t="str">
            <v>ART/EMILLY</v>
          </cell>
          <cell r="F868" t="str">
            <v>COZINHA</v>
          </cell>
          <cell r="G868" t="str">
            <v/>
          </cell>
          <cell r="H868">
            <v>1399.99</v>
          </cell>
          <cell r="I868">
            <v>799.99</v>
          </cell>
          <cell r="J868">
            <v>658.71969999999999</v>
          </cell>
          <cell r="K868">
            <v>0</v>
          </cell>
          <cell r="L868">
            <v>658.71969999999999</v>
          </cell>
          <cell r="M868">
            <v>0</v>
          </cell>
          <cell r="N868">
            <v>799.99</v>
          </cell>
          <cell r="O868" t="str">
            <v/>
          </cell>
          <cell r="P868">
            <v>0</v>
          </cell>
          <cell r="Q868">
            <v>0.21446193274620401</v>
          </cell>
          <cell r="R868">
            <v>0.21446193274620401</v>
          </cell>
          <cell r="S868" t="e">
            <v>#VALUE!</v>
          </cell>
          <cell r="T868" t="e">
            <v>#VALUE!</v>
          </cell>
        </row>
        <row r="869">
          <cell r="A869" t="str">
            <v>1095F82E</v>
          </cell>
          <cell r="B869" t="str">
            <v>MKP000631003535</v>
          </cell>
          <cell r="C869" t="str">
            <v/>
          </cell>
          <cell r="D869" t="str">
            <v>Guarda-Roupa Casal Madesa Reno 3 Portas de Correr com Espelhos Branco/Cinza</v>
          </cell>
          <cell r="E869" t="str">
            <v>RENO</v>
          </cell>
          <cell r="F869" t="str">
            <v>QUARTO</v>
          </cell>
          <cell r="G869" t="str">
            <v/>
          </cell>
          <cell r="H869">
            <v>2319.9899999999998</v>
          </cell>
          <cell r="I869">
            <v>1459.99</v>
          </cell>
          <cell r="J869">
            <v>1157.5255</v>
          </cell>
          <cell r="K869">
            <v>0</v>
          </cell>
          <cell r="L869">
            <v>1157.5255</v>
          </cell>
          <cell r="M869">
            <v>0</v>
          </cell>
          <cell r="N869">
            <v>1459.99</v>
          </cell>
          <cell r="O869" t="str">
            <v>LOJA</v>
          </cell>
          <cell r="P869">
            <v>1359.99</v>
          </cell>
          <cell r="Q869">
            <v>0.26130266676630398</v>
          </cell>
          <cell r="R869">
            <v>0.26130266676630398</v>
          </cell>
          <cell r="S869" t="e">
            <v>#VALUE!</v>
          </cell>
          <cell r="T869" t="e">
            <v>#VALUE!</v>
          </cell>
        </row>
        <row r="870">
          <cell r="A870" t="str">
            <v>10935Z3E4GCP</v>
          </cell>
          <cell r="B870" t="str">
            <v>MKP000631001064</v>
          </cell>
          <cell r="C870" t="str">
            <v/>
          </cell>
          <cell r="D870" t="str">
            <v>Guarda-Roupa Casal Madesa Lyon Plus 3 Portas de Correr de Espelho 4 Gavetas com Pés Rustic</v>
          </cell>
          <cell r="E870" t="str">
            <v>LYON PLUS</v>
          </cell>
          <cell r="F870" t="str">
            <v>QUARTO</v>
          </cell>
          <cell r="G870" t="str">
            <v/>
          </cell>
          <cell r="H870">
            <v>2069.9899999999998</v>
          </cell>
          <cell r="I870">
            <v>1539.92</v>
          </cell>
          <cell r="J870">
            <v>1234.2942</v>
          </cell>
          <cell r="K870">
            <v>0</v>
          </cell>
          <cell r="L870">
            <v>1234.2942</v>
          </cell>
          <cell r="M870">
            <v>0</v>
          </cell>
          <cell r="N870">
            <v>1539.92</v>
          </cell>
          <cell r="O870" t="str">
            <v/>
          </cell>
          <cell r="P870">
            <v>0</v>
          </cell>
          <cell r="Q870">
            <v>0.24761179303929301</v>
          </cell>
          <cell r="R870">
            <v>0.24761179303929301</v>
          </cell>
          <cell r="S870" t="e">
            <v>#VALUE!</v>
          </cell>
          <cell r="T870" t="e">
            <v>#VALUE!</v>
          </cell>
        </row>
        <row r="871">
          <cell r="A871" t="str">
            <v>G20088095ZRF</v>
          </cell>
          <cell r="B871" t="str">
            <v>MKP000631001050</v>
          </cell>
          <cell r="C871" t="str">
            <v/>
          </cell>
          <cell r="D871" t="str">
            <v>Armário de Cozinha Completa 240cm Branco/Rustic Diamante Madesa</v>
          </cell>
          <cell r="E871" t="str">
            <v>DIAMANTE</v>
          </cell>
          <cell r="F871" t="str">
            <v>COZINHA</v>
          </cell>
          <cell r="G871" t="str">
            <v/>
          </cell>
          <cell r="H871">
            <v>2069.9899999999998</v>
          </cell>
          <cell r="I871">
            <v>1399.99</v>
          </cell>
          <cell r="J871">
            <v>1065.8128999999999</v>
          </cell>
          <cell r="K871">
            <v>0</v>
          </cell>
          <cell r="L871">
            <v>1065.8128999999999</v>
          </cell>
          <cell r="M871">
            <v>0</v>
          </cell>
          <cell r="N871">
            <v>1399.99</v>
          </cell>
          <cell r="O871" t="str">
            <v>VIA</v>
          </cell>
          <cell r="P871">
            <v>1299.99</v>
          </cell>
          <cell r="Q871">
            <v>0.31354199222021001</v>
          </cell>
          <cell r="R871">
            <v>0.31354199222021001</v>
          </cell>
          <cell r="S871" t="e">
            <v>#VALUE!</v>
          </cell>
          <cell r="T871" t="e">
            <v>#VALUE!</v>
          </cell>
        </row>
        <row r="872">
          <cell r="A872" t="str">
            <v>GCRM33200109</v>
          </cell>
          <cell r="B872" t="str">
            <v>MKP000631002532</v>
          </cell>
          <cell r="C872" t="str">
            <v/>
          </cell>
          <cell r="D872" t="str">
            <v>Armário de Cozinha Completa de Canto 332cm Branco Reims Madesa 01</v>
          </cell>
          <cell r="E872" t="str">
            <v>REIMS</v>
          </cell>
          <cell r="F872" t="str">
            <v>COZINHA</v>
          </cell>
          <cell r="G872" t="str">
            <v/>
          </cell>
          <cell r="H872">
            <v>2789.99</v>
          </cell>
          <cell r="I872">
            <v>1639.92</v>
          </cell>
          <cell r="J872">
            <v>1419.2345</v>
          </cell>
          <cell r="K872">
            <v>0</v>
          </cell>
          <cell r="L872">
            <v>1419.2345</v>
          </cell>
          <cell r="M872">
            <v>0</v>
          </cell>
          <cell r="N872">
            <v>1639.92</v>
          </cell>
          <cell r="O872" t="str">
            <v/>
          </cell>
          <cell r="P872">
            <v>0</v>
          </cell>
          <cell r="Q872">
            <v>0.155496149508767</v>
          </cell>
          <cell r="R872">
            <v>0.155496149508767</v>
          </cell>
          <cell r="S872" t="e">
            <v>#VALUE!</v>
          </cell>
          <cell r="T872" t="e">
            <v>#VALUE!</v>
          </cell>
        </row>
        <row r="873">
          <cell r="A873" t="str">
            <v>GREM2330015Z</v>
          </cell>
          <cell r="B873" t="str">
            <v>MKP000631001534</v>
          </cell>
          <cell r="C873" t="str">
            <v/>
          </cell>
          <cell r="D873" t="str">
            <v>Armário de Cozinha Completa 233cm Rustic Emilly King Madesa 01</v>
          </cell>
          <cell r="E873" t="str">
            <v>KING/EMILLY</v>
          </cell>
          <cell r="F873" t="str">
            <v>COZINHA</v>
          </cell>
          <cell r="G873" t="str">
            <v/>
          </cell>
          <cell r="H873">
            <v>1069.99</v>
          </cell>
          <cell r="I873">
            <v>969.99</v>
          </cell>
          <cell r="J873">
            <v>788.05909999999994</v>
          </cell>
          <cell r="K873">
            <v>0</v>
          </cell>
          <cell r="L873">
            <v>788.05909999999994</v>
          </cell>
          <cell r="M873">
            <v>0</v>
          </cell>
          <cell r="N873">
            <v>969.99</v>
          </cell>
          <cell r="O873" t="str">
            <v/>
          </cell>
          <cell r="P873">
            <v>0</v>
          </cell>
          <cell r="Q873">
            <v>0.23085946219008199</v>
          </cell>
          <cell r="R873">
            <v>0.23085946219008199</v>
          </cell>
          <cell r="S873" t="e">
            <v>#VALUE!</v>
          </cell>
          <cell r="T873" t="e">
            <v>#VALUE!</v>
          </cell>
        </row>
        <row r="874">
          <cell r="A874" t="str">
            <v>G2420009RM</v>
          </cell>
          <cell r="B874" t="str">
            <v>MKP000631003097</v>
          </cell>
          <cell r="C874" t="str">
            <v/>
          </cell>
          <cell r="D874" t="str">
            <v>Balcão Porta-Pano Madesa Reims 20 cm Branco</v>
          </cell>
          <cell r="E874" t="str">
            <v>REIMS</v>
          </cell>
          <cell r="F874" t="str">
            <v>MODULAÇÃO</v>
          </cell>
          <cell r="G874" t="str">
            <v/>
          </cell>
          <cell r="H874">
            <v>399.99</v>
          </cell>
          <cell r="I874">
            <v>219.99</v>
          </cell>
          <cell r="J874">
            <v>154.07149999999999</v>
          </cell>
          <cell r="K874">
            <v>0</v>
          </cell>
          <cell r="L874">
            <v>154.07149999999999</v>
          </cell>
          <cell r="M874">
            <v>0</v>
          </cell>
          <cell r="N874">
            <v>219.99</v>
          </cell>
          <cell r="O874" t="str">
            <v/>
          </cell>
          <cell r="P874">
            <v>0</v>
          </cell>
          <cell r="Q874">
            <v>0.42784356613650099</v>
          </cell>
          <cell r="R874">
            <v>0.42784356613650099</v>
          </cell>
          <cell r="S874" t="e">
            <v>#VALUE!</v>
          </cell>
          <cell r="T874" t="e">
            <v>#VALUE!</v>
          </cell>
        </row>
        <row r="875">
          <cell r="A875" t="str">
            <v>G257578NRM</v>
          </cell>
          <cell r="B875" t="str">
            <v>MKP000631002348</v>
          </cell>
          <cell r="C875" t="str">
            <v/>
          </cell>
          <cell r="D875" t="str">
            <v>Armário Aéreo de Canto Madesa Reims 1 Porta e Adega Preto</v>
          </cell>
          <cell r="E875" t="str">
            <v>REIMS</v>
          </cell>
          <cell r="F875" t="str">
            <v>MODULAÇÃO</v>
          </cell>
          <cell r="G875" t="str">
            <v/>
          </cell>
          <cell r="H875">
            <v>779.99</v>
          </cell>
          <cell r="I875">
            <v>369.99</v>
          </cell>
          <cell r="J875">
            <v>232.7586</v>
          </cell>
          <cell r="K875">
            <v>0</v>
          </cell>
          <cell r="L875">
            <v>232.7586</v>
          </cell>
          <cell r="M875">
            <v>0</v>
          </cell>
          <cell r="N875">
            <v>369.99</v>
          </cell>
          <cell r="O875" t="str">
            <v/>
          </cell>
          <cell r="P875">
            <v>0</v>
          </cell>
          <cell r="Q875">
            <v>0.58958680796327201</v>
          </cell>
          <cell r="R875">
            <v>0.58958680796327201</v>
          </cell>
          <cell r="S875" t="e">
            <v>#VALUE!</v>
          </cell>
          <cell r="T875" t="e">
            <v>#VALUE!</v>
          </cell>
        </row>
        <row r="876">
          <cell r="A876" t="str">
            <v>10288N</v>
          </cell>
          <cell r="B876" t="str">
            <v>MKP000631002239</v>
          </cell>
          <cell r="C876" t="str">
            <v/>
          </cell>
          <cell r="D876" t="str">
            <v>Guarda-Roupa Casal Madesa Austin 4 Portas de Correr 3 Gavetas Preto</v>
          </cell>
          <cell r="E876" t="str">
            <v>AUSTIN</v>
          </cell>
          <cell r="F876" t="str">
            <v>QUARTO</v>
          </cell>
          <cell r="G876" t="str">
            <v/>
          </cell>
          <cell r="H876">
            <v>2419.9899999999998</v>
          </cell>
          <cell r="I876">
            <v>1539.92</v>
          </cell>
          <cell r="J876">
            <v>1153.9612</v>
          </cell>
          <cell r="K876">
            <v>0</v>
          </cell>
          <cell r="L876">
            <v>1153.9612</v>
          </cell>
          <cell r="M876">
            <v>0</v>
          </cell>
          <cell r="N876">
            <v>1539.92</v>
          </cell>
          <cell r="O876" t="str">
            <v/>
          </cell>
          <cell r="P876">
            <v>0</v>
          </cell>
          <cell r="Q876">
            <v>0.33446427834835302</v>
          </cell>
          <cell r="R876">
            <v>0.33446427834835302</v>
          </cell>
          <cell r="S876" t="e">
            <v>#VALUE!</v>
          </cell>
          <cell r="T876" t="e">
            <v>#VALUE!</v>
          </cell>
        </row>
        <row r="877">
          <cell r="A877" t="str">
            <v>GRTP30000109</v>
          </cell>
          <cell r="B877" t="str">
            <v>MKP000631003020</v>
          </cell>
          <cell r="C877" t="str">
            <v/>
          </cell>
          <cell r="D877" t="str">
            <v>Armário de Cozinha Completa 300cm Branco Topazio Madesa 01</v>
          </cell>
          <cell r="E877" t="str">
            <v>TOPÁZIO</v>
          </cell>
          <cell r="F877" t="str">
            <v>COZINHA</v>
          </cell>
          <cell r="G877" t="str">
            <v/>
          </cell>
          <cell r="H877">
            <v>1599.99</v>
          </cell>
          <cell r="I877">
            <v>1499.99</v>
          </cell>
          <cell r="J877">
            <v>1230.6318000000001</v>
          </cell>
          <cell r="K877">
            <v>0</v>
          </cell>
          <cell r="L877">
            <v>1230.6318000000001</v>
          </cell>
          <cell r="M877">
            <v>0</v>
          </cell>
          <cell r="N877">
            <v>1499.99</v>
          </cell>
          <cell r="O877" t="str">
            <v/>
          </cell>
          <cell r="P877">
            <v>0</v>
          </cell>
          <cell r="Q877">
            <v>0.218877977962214</v>
          </cell>
          <cell r="R877">
            <v>0.218877977962214</v>
          </cell>
          <cell r="S877" t="e">
            <v>#VALUE!</v>
          </cell>
          <cell r="T877" t="e">
            <v>#VALUE!</v>
          </cell>
        </row>
        <row r="878">
          <cell r="A878" t="str">
            <v>G200567K</v>
          </cell>
          <cell r="B878" t="str">
            <v>MKP000631001833</v>
          </cell>
          <cell r="C878" t="str">
            <v/>
          </cell>
          <cell r="D878" t="str">
            <v>Kit de Canto Reto Madesa Emilly 2 Portas com Armário Aéreo, Adega e Balcão Rustic/Preto</v>
          </cell>
          <cell r="E878" t="str">
            <v>EMILLY</v>
          </cell>
          <cell r="F878" t="str">
            <v>MODULAÇÃO</v>
          </cell>
          <cell r="G878" t="str">
            <v/>
          </cell>
          <cell r="H878">
            <v>879.99</v>
          </cell>
          <cell r="I878">
            <v>439.99</v>
          </cell>
          <cell r="J878">
            <v>307.1293</v>
          </cell>
          <cell r="K878">
            <v>0</v>
          </cell>
          <cell r="L878">
            <v>307.1293</v>
          </cell>
          <cell r="M878">
            <v>0</v>
          </cell>
          <cell r="N878">
            <v>439.99</v>
          </cell>
          <cell r="O878" t="str">
            <v/>
          </cell>
          <cell r="P878">
            <v>0</v>
          </cell>
          <cell r="Q878">
            <v>0.43258881519933101</v>
          </cell>
          <cell r="R878">
            <v>0.43258881519933101</v>
          </cell>
          <cell r="S878" t="e">
            <v>#VALUE!</v>
          </cell>
          <cell r="T878" t="e">
            <v>#VALUE!</v>
          </cell>
        </row>
        <row r="879">
          <cell r="A879" t="str">
            <v>109377</v>
          </cell>
          <cell r="B879" t="str">
            <v>MKP000631002096</v>
          </cell>
          <cell r="C879" t="str">
            <v/>
          </cell>
          <cell r="D879" t="str">
            <v>Guarda-Roupa Casal Madesa Mônaco 3 Portas de Correr Preto/Branco</v>
          </cell>
          <cell r="E879" t="str">
            <v>MÔNACO</v>
          </cell>
          <cell r="F879" t="str">
            <v>QUARTO</v>
          </cell>
          <cell r="G879" t="str">
            <v/>
          </cell>
          <cell r="H879">
            <v>869.99</v>
          </cell>
          <cell r="I879">
            <v>739.92</v>
          </cell>
          <cell r="J879">
            <v>620.85310000000004</v>
          </cell>
          <cell r="K879">
            <v>0</v>
          </cell>
          <cell r="L879">
            <v>620.85310000000004</v>
          </cell>
          <cell r="M879">
            <v>0</v>
          </cell>
          <cell r="N879">
            <v>739.92</v>
          </cell>
          <cell r="O879" t="str">
            <v/>
          </cell>
          <cell r="P879">
            <v>0</v>
          </cell>
          <cell r="Q879">
            <v>0.19177950468476301</v>
          </cell>
          <cell r="R879">
            <v>0.19177950468476301</v>
          </cell>
          <cell r="S879" t="e">
            <v>#VALUE!</v>
          </cell>
          <cell r="T879" t="e">
            <v>#VALUE!</v>
          </cell>
        </row>
        <row r="880">
          <cell r="A880" t="str">
            <v>10935Z1E2G</v>
          </cell>
          <cell r="B880" t="str">
            <v>MKP000631000474</v>
          </cell>
          <cell r="C880" t="str">
            <v/>
          </cell>
          <cell r="D880" t="str">
            <v>Guarda-Roupa Casal Madesa Lyon 3 Portas de Correr com Espelho 2 Gavetas Rustic</v>
          </cell>
          <cell r="E880" t="str">
            <v>LYON</v>
          </cell>
          <cell r="F880" t="str">
            <v>QUARTO</v>
          </cell>
          <cell r="G880" t="str">
            <v/>
          </cell>
          <cell r="H880">
            <v>1319.99</v>
          </cell>
          <cell r="I880">
            <v>1129.99</v>
          </cell>
          <cell r="J880">
            <v>839.51800000000003</v>
          </cell>
          <cell r="K880">
            <v>0</v>
          </cell>
          <cell r="L880">
            <v>839.51800000000003</v>
          </cell>
          <cell r="M880">
            <v>0</v>
          </cell>
          <cell r="N880">
            <v>1129.99</v>
          </cell>
          <cell r="O880" t="str">
            <v>IMPÉRIO</v>
          </cell>
          <cell r="P880">
            <v>1099</v>
          </cell>
          <cell r="Q880">
            <v>0.34599853725590102</v>
          </cell>
          <cell r="R880">
            <v>0.34599853725590102</v>
          </cell>
          <cell r="S880" t="e">
            <v>#VALUE!</v>
          </cell>
          <cell r="T880" t="e">
            <v>#VALUE!</v>
          </cell>
        </row>
        <row r="881">
          <cell r="A881" t="str">
            <v>G2560209TE</v>
          </cell>
          <cell r="B881" t="str">
            <v>MKP000631001906</v>
          </cell>
          <cell r="C881" t="str">
            <v/>
          </cell>
          <cell r="D881" t="str">
            <v>Armário Aéreo Madesa Stella 60 cm 1 Porta Basculante Branco</v>
          </cell>
          <cell r="E881" t="str">
            <v>STELLA</v>
          </cell>
          <cell r="F881" t="str">
            <v>MODULAÇÃO</v>
          </cell>
          <cell r="G881" t="str">
            <v/>
          </cell>
          <cell r="H881">
            <v>389.99</v>
          </cell>
          <cell r="I881">
            <v>239.99</v>
          </cell>
          <cell r="J881">
            <v>153.41749999999999</v>
          </cell>
          <cell r="K881">
            <v>0</v>
          </cell>
          <cell r="L881">
            <v>153.41749999999999</v>
          </cell>
          <cell r="M881">
            <v>0</v>
          </cell>
          <cell r="N881">
            <v>239.99</v>
          </cell>
          <cell r="O881" t="str">
            <v/>
          </cell>
          <cell r="P881">
            <v>0</v>
          </cell>
          <cell r="Q881">
            <v>0.56429351280003903</v>
          </cell>
          <cell r="R881">
            <v>0.56429351280003903</v>
          </cell>
          <cell r="S881" t="e">
            <v>#VALUE!</v>
          </cell>
          <cell r="T881" t="e">
            <v>#VALUE!</v>
          </cell>
        </row>
        <row r="882">
          <cell r="A882" t="str">
            <v>MDJA0200215ZSIM</v>
          </cell>
          <cell r="B882" t="str">
            <v>MKP000631000904</v>
          </cell>
          <cell r="C882" t="str">
            <v/>
          </cell>
          <cell r="D882" t="str">
            <v>Conjunto Sala de Jantar Madesa Vivi Mesa Tampo de Madeira com 2 Cadeiras Rustic/Imperial</v>
          </cell>
          <cell r="E882" t="str">
            <v>VIVI</v>
          </cell>
          <cell r="F882" t="str">
            <v>SALA DE JANTAR</v>
          </cell>
          <cell r="G882">
            <v>4254</v>
          </cell>
          <cell r="H882">
            <v>729.99</v>
          </cell>
          <cell r="I882">
            <v>629.99</v>
          </cell>
          <cell r="J882">
            <v>501.90140000000002</v>
          </cell>
          <cell r="K882">
            <v>0</v>
          </cell>
          <cell r="L882">
            <v>501.90140000000002</v>
          </cell>
          <cell r="M882">
            <v>0</v>
          </cell>
          <cell r="N882">
            <v>629.99</v>
          </cell>
          <cell r="O882" t="str">
            <v/>
          </cell>
          <cell r="P882">
            <v>0</v>
          </cell>
          <cell r="Q882">
            <v>0.25520669996138701</v>
          </cell>
          <cell r="R882">
            <v>0.25520669996138701</v>
          </cell>
          <cell r="S882" t="e">
            <v>#VALUE!</v>
          </cell>
          <cell r="T882" t="e">
            <v>#VALUE!</v>
          </cell>
        </row>
        <row r="883">
          <cell r="A883" t="str">
            <v>GRGL1500025Z</v>
          </cell>
          <cell r="B883" t="str">
            <v>MKP000631004226</v>
          </cell>
          <cell r="C883" t="str">
            <v/>
          </cell>
          <cell r="D883" t="str">
            <v>Armário de Cozinha Compacta 150cm Rustic Glamy Madesa 02</v>
          </cell>
          <cell r="E883" t="str">
            <v>GLAMY</v>
          </cell>
          <cell r="F883" t="str">
            <v>COZINHA</v>
          </cell>
          <cell r="G883" t="str">
            <v/>
          </cell>
          <cell r="H883">
            <v>1069.99</v>
          </cell>
          <cell r="I883">
            <v>969.99</v>
          </cell>
          <cell r="J883">
            <v>797.41129999999998</v>
          </cell>
          <cell r="K883">
            <v>0</v>
          </cell>
          <cell r="L883">
            <v>797.41129999999998</v>
          </cell>
          <cell r="M883">
            <v>0</v>
          </cell>
          <cell r="N883">
            <v>969.99</v>
          </cell>
          <cell r="O883" t="str">
            <v/>
          </cell>
          <cell r="P883">
            <v>0</v>
          </cell>
          <cell r="Q883">
            <v>0.216423695024136</v>
          </cell>
          <cell r="R883">
            <v>0.216423695024136</v>
          </cell>
          <cell r="S883" t="e">
            <v>#VALUE!</v>
          </cell>
          <cell r="T883" t="e">
            <v>#VALUE!</v>
          </cell>
        </row>
        <row r="884">
          <cell r="A884" t="str">
            <v>XAGRRM31000109</v>
          </cell>
          <cell r="B884" t="str">
            <v>MKP000631003312</v>
          </cell>
          <cell r="C884" t="str">
            <v/>
          </cell>
          <cell r="D884" t="str">
            <v>Armário de Cozinha Completa 310cm Branco Reims Madesa XA01</v>
          </cell>
          <cell r="E884" t="str">
            <v>REIMS</v>
          </cell>
          <cell r="F884" t="str">
            <v>COZINHA</v>
          </cell>
          <cell r="G884" t="str">
            <v/>
          </cell>
          <cell r="H884">
            <v>2549.9899999999998</v>
          </cell>
          <cell r="I884">
            <v>1769.99</v>
          </cell>
          <cell r="J884">
            <v>1463.6193000000001</v>
          </cell>
          <cell r="K884">
            <v>0</v>
          </cell>
          <cell r="L884">
            <v>1463.6193000000001</v>
          </cell>
          <cell r="M884">
            <v>0</v>
          </cell>
          <cell r="N884">
            <v>1769.99</v>
          </cell>
          <cell r="O884" t="str">
            <v>MAGALU</v>
          </cell>
          <cell r="P884">
            <v>1684.2</v>
          </cell>
          <cell r="Q884">
            <v>0.20932403665352101</v>
          </cell>
          <cell r="R884">
            <v>0.20932403665352101</v>
          </cell>
          <cell r="S884" t="e">
            <v>#VALUE!</v>
          </cell>
          <cell r="T884" t="e">
            <v>#VALUE!</v>
          </cell>
        </row>
        <row r="885">
          <cell r="A885" t="str">
            <v>GRNC1800013B</v>
          </cell>
          <cell r="B885" t="str">
            <v>MKP000631004808</v>
          </cell>
          <cell r="C885" t="str">
            <v/>
          </cell>
          <cell r="D885" t="str">
            <v>Armário de Cozinha Completa 180cm Cinza Nice Madesa 01</v>
          </cell>
          <cell r="E885" t="str">
            <v>NICE</v>
          </cell>
          <cell r="F885" t="str">
            <v>COZINHA</v>
          </cell>
          <cell r="G885" t="str">
            <v/>
          </cell>
          <cell r="H885">
            <v>1699.99</v>
          </cell>
          <cell r="I885">
            <v>1599.99</v>
          </cell>
          <cell r="J885">
            <v>1217.6826000000001</v>
          </cell>
          <cell r="K885">
            <v>0</v>
          </cell>
          <cell r="L885">
            <v>1217.6826000000001</v>
          </cell>
          <cell r="M885">
            <v>0</v>
          </cell>
          <cell r="N885">
            <v>1599.99</v>
          </cell>
          <cell r="O885" t="str">
            <v/>
          </cell>
          <cell r="P885">
            <v>0</v>
          </cell>
          <cell r="Q885">
            <v>0.31396309678729101</v>
          </cell>
          <cell r="R885">
            <v>0.31396309678729101</v>
          </cell>
          <cell r="S885" t="e">
            <v>#VALUE!</v>
          </cell>
          <cell r="T885" t="e">
            <v>#VALUE!</v>
          </cell>
        </row>
        <row r="886">
          <cell r="A886" t="str">
            <v>GRRM32000209</v>
          </cell>
          <cell r="B886" t="str">
            <v>MKP000631002235</v>
          </cell>
          <cell r="C886" t="str">
            <v/>
          </cell>
          <cell r="D886" t="str">
            <v>Armário de Cozinha Completa 320cm Branco Reims Madesa 02</v>
          </cell>
          <cell r="E886" t="str">
            <v>REIMS</v>
          </cell>
          <cell r="F886" t="str">
            <v>COZINHA</v>
          </cell>
          <cell r="G886" t="str">
            <v/>
          </cell>
          <cell r="H886">
            <v>3139.99</v>
          </cell>
          <cell r="I886">
            <v>2019.99</v>
          </cell>
          <cell r="J886">
            <v>1675.2973</v>
          </cell>
          <cell r="K886">
            <v>0</v>
          </cell>
          <cell r="L886">
            <v>1675.2973</v>
          </cell>
          <cell r="M886">
            <v>0</v>
          </cell>
          <cell r="N886">
            <v>2019.99</v>
          </cell>
          <cell r="O886" t="str">
            <v>MAGALU</v>
          </cell>
          <cell r="P886">
            <v>1999.99</v>
          </cell>
          <cell r="Q886">
            <v>0.20575016744789101</v>
          </cell>
          <cell r="R886">
            <v>0.20575016744789101</v>
          </cell>
          <cell r="S886" t="e">
            <v>#VALUE!</v>
          </cell>
          <cell r="T886" t="e">
            <v>#VALUE!</v>
          </cell>
        </row>
        <row r="887">
          <cell r="A887" t="str">
            <v>42555Z2TSIMK</v>
          </cell>
          <cell r="B887" t="str">
            <v>MKP000631003174</v>
          </cell>
          <cell r="C887" t="str">
            <v/>
          </cell>
          <cell r="D887" t="str">
            <v>Kit 2 Cadeiras de Jantar 4255 Madesa Rustic/Imperial</v>
          </cell>
          <cell r="E887">
            <v>4255</v>
          </cell>
          <cell r="F887" t="str">
            <v>SALA DE JANTAR</v>
          </cell>
          <cell r="G887">
            <v>4255</v>
          </cell>
          <cell r="H887">
            <v>769.99</v>
          </cell>
          <cell r="I887">
            <v>419.99</v>
          </cell>
          <cell r="J887">
            <v>260.48820000000001</v>
          </cell>
          <cell r="K887">
            <v>0</v>
          </cell>
          <cell r="L887">
            <v>260.48820000000001</v>
          </cell>
          <cell r="M887">
            <v>0</v>
          </cell>
          <cell r="N887">
            <v>419.99</v>
          </cell>
          <cell r="O887" t="str">
            <v>WEB (MELI)</v>
          </cell>
          <cell r="P887">
            <v>419.99</v>
          </cell>
          <cell r="Q887">
            <v>0.61231871539670502</v>
          </cell>
          <cell r="R887">
            <v>0.61231871539670502</v>
          </cell>
          <cell r="S887" t="e">
            <v>#VALUE!</v>
          </cell>
          <cell r="T887" t="e">
            <v>#VALUE!</v>
          </cell>
        </row>
        <row r="888">
          <cell r="A888" t="str">
            <v>GRLX40000173</v>
          </cell>
          <cell r="B888" t="str">
            <v>MKP000631005010</v>
          </cell>
          <cell r="C888" t="str">
            <v/>
          </cell>
          <cell r="D888" t="str">
            <v>Armário de Cozinha Completa 400cm Branco/Preto Lux da Thauane Madesa</v>
          </cell>
          <cell r="E888" t="str">
            <v>LUX</v>
          </cell>
          <cell r="F888" t="str">
            <v>COZINHA</v>
          </cell>
          <cell r="G888" t="str">
            <v/>
          </cell>
          <cell r="H888">
            <v>7179.99</v>
          </cell>
          <cell r="I888">
            <v>7149.99</v>
          </cell>
          <cell r="J888">
            <v>4166.0236000000004</v>
          </cell>
          <cell r="K888">
            <v>0</v>
          </cell>
          <cell r="L888">
            <v>4166.0236000000004</v>
          </cell>
          <cell r="M888">
            <v>0</v>
          </cell>
          <cell r="N888">
            <v>7149.99</v>
          </cell>
          <cell r="O888" t="str">
            <v>LOJA</v>
          </cell>
          <cell r="P888">
            <v>6289.99</v>
          </cell>
          <cell r="Q888">
            <v>0.71626248108628099</v>
          </cell>
          <cell r="R888">
            <v>0.71626248108628099</v>
          </cell>
          <cell r="S888" t="e">
            <v>#VALUE!</v>
          </cell>
          <cell r="T888" t="e">
            <v>#VALUE!</v>
          </cell>
        </row>
        <row r="889">
          <cell r="A889" t="str">
            <v>XAG200577K</v>
          </cell>
          <cell r="B889" t="str">
            <v>MKP000631003308</v>
          </cell>
          <cell r="C889" t="str">
            <v/>
          </cell>
          <cell r="D889" t="str">
            <v>Armário de Cozinha Completa 261cm Rustic/Preto Emilly Hit Madesa XA</v>
          </cell>
          <cell r="E889" t="str">
            <v>HIT/EMILLY</v>
          </cell>
          <cell r="F889" t="str">
            <v>COZINHA</v>
          </cell>
          <cell r="G889" t="str">
            <v/>
          </cell>
          <cell r="H889">
            <v>1669.99</v>
          </cell>
          <cell r="I889">
            <v>999.99</v>
          </cell>
          <cell r="J889">
            <v>834.34050000000002</v>
          </cell>
          <cell r="K889">
            <v>0</v>
          </cell>
          <cell r="L889">
            <v>834.34050000000002</v>
          </cell>
          <cell r="M889">
            <v>0</v>
          </cell>
          <cell r="N889">
            <v>999.99</v>
          </cell>
          <cell r="O889" t="str">
            <v/>
          </cell>
          <cell r="P889">
            <v>0</v>
          </cell>
          <cell r="Q889">
            <v>0.198539445226499</v>
          </cell>
          <cell r="R889">
            <v>0.198539445226499</v>
          </cell>
          <cell r="S889" t="e">
            <v>#VALUE!</v>
          </cell>
          <cell r="T889" t="e">
            <v>#VALUE!</v>
          </cell>
        </row>
        <row r="890">
          <cell r="A890" t="str">
            <v>MDDR0400027K</v>
          </cell>
          <cell r="B890" t="str">
            <v>MKP000631005968</v>
          </cell>
          <cell r="C890" t="str">
            <v/>
          </cell>
          <cell r="D890" t="str">
            <v>Guarda-Roupa Closet Modulado Valencia 4 Gavetas 258cm Rustic/Preto Madesa 02</v>
          </cell>
          <cell r="E890" t="str">
            <v>VALENCIA</v>
          </cell>
          <cell r="F890" t="str">
            <v>QUARTO</v>
          </cell>
          <cell r="G890" t="str">
            <v/>
          </cell>
          <cell r="H890">
            <v>1299.99</v>
          </cell>
          <cell r="I890">
            <v>1269.99</v>
          </cell>
          <cell r="J890">
            <v>1015.8582</v>
          </cell>
          <cell r="K890">
            <v>0</v>
          </cell>
          <cell r="L890">
            <v>1015.8582</v>
          </cell>
          <cell r="M890">
            <v>0</v>
          </cell>
          <cell r="N890">
            <v>1269.99</v>
          </cell>
          <cell r="O890" t="str">
            <v>MELI</v>
          </cell>
          <cell r="P890">
            <v>1322.22</v>
          </cell>
          <cell r="Q890">
            <v>0.25016463911990899</v>
          </cell>
          <cell r="R890">
            <v>0.25016463911990899</v>
          </cell>
          <cell r="S890" t="e">
            <v>#VALUE!</v>
          </cell>
          <cell r="T890" t="e">
            <v>#VALUE!</v>
          </cell>
        </row>
        <row r="891">
          <cell r="A891" t="str">
            <v>10935Z3E4G</v>
          </cell>
          <cell r="B891" t="str">
            <v>MKP000631000461</v>
          </cell>
          <cell r="C891" t="str">
            <v/>
          </cell>
          <cell r="D891" t="str">
            <v>Guarda-Roupa Casal Madesa Lyon Plus 3 Portas de Correr de Espelho 4 Gavetas Rustic</v>
          </cell>
          <cell r="E891" t="str">
            <v>LYON PLUS</v>
          </cell>
          <cell r="F891" t="str">
            <v>QUARTO</v>
          </cell>
          <cell r="G891" t="str">
            <v/>
          </cell>
          <cell r="H891">
            <v>1599.99</v>
          </cell>
          <cell r="I891">
            <v>1439.92</v>
          </cell>
          <cell r="J891">
            <v>1188.1108999999999</v>
          </cell>
          <cell r="K891">
            <v>0</v>
          </cell>
          <cell r="L891">
            <v>1188.1108999999999</v>
          </cell>
          <cell r="M891">
            <v>0</v>
          </cell>
          <cell r="N891">
            <v>1439.92</v>
          </cell>
          <cell r="O891" t="str">
            <v/>
          </cell>
          <cell r="P891">
            <v>0</v>
          </cell>
          <cell r="Q891">
            <v>0.211940737182026</v>
          </cell>
          <cell r="R891">
            <v>0.211940737182026</v>
          </cell>
          <cell r="S891" t="e">
            <v>#VALUE!</v>
          </cell>
          <cell r="T891" t="e">
            <v>#VALUE!</v>
          </cell>
        </row>
        <row r="892">
          <cell r="A892" t="str">
            <v>GCGL4790015Z</v>
          </cell>
          <cell r="B892" t="str">
            <v>MKP000631004316</v>
          </cell>
          <cell r="C892" t="str">
            <v/>
          </cell>
          <cell r="D892" t="str">
            <v>Armário de Cozinha Completa de Canto 479cm Rustic Glamy Madesa 01</v>
          </cell>
          <cell r="E892" t="str">
            <v>GLAMY</v>
          </cell>
          <cell r="F892" t="str">
            <v>COZINHA</v>
          </cell>
          <cell r="G892" t="str">
            <v/>
          </cell>
          <cell r="H892">
            <v>3799.99</v>
          </cell>
          <cell r="I892">
            <v>3699.99</v>
          </cell>
          <cell r="J892">
            <v>3004.9774000000002</v>
          </cell>
          <cell r="K892">
            <v>0</v>
          </cell>
          <cell r="L892">
            <v>3004.9774000000002</v>
          </cell>
          <cell r="M892">
            <v>0</v>
          </cell>
          <cell r="N892">
            <v>3699.99</v>
          </cell>
          <cell r="O892" t="str">
            <v/>
          </cell>
          <cell r="P892">
            <v>0</v>
          </cell>
          <cell r="Q892">
            <v>0.231287130478918</v>
          </cell>
          <cell r="R892">
            <v>0.231287130478918</v>
          </cell>
          <cell r="S892" t="e">
            <v>#VALUE!</v>
          </cell>
          <cell r="T892" t="e">
            <v>#VALUE!</v>
          </cell>
        </row>
        <row r="893">
          <cell r="A893" t="str">
            <v>69088N1</v>
          </cell>
          <cell r="B893" t="str">
            <v>MKP000631003427</v>
          </cell>
          <cell r="C893" t="str">
            <v/>
          </cell>
          <cell r="D893" t="str">
            <v>Estante Livreiro Madesa 6908 com 6 Nichos Preto</v>
          </cell>
          <cell r="E893">
            <v>6908</v>
          </cell>
          <cell r="F893" t="str">
            <v>ESCRITÓRIO</v>
          </cell>
          <cell r="G893" t="str">
            <v/>
          </cell>
          <cell r="H893">
            <v>819.99</v>
          </cell>
          <cell r="I893">
            <v>339.99</v>
          </cell>
          <cell r="J893">
            <v>230.99279999999999</v>
          </cell>
          <cell r="K893">
            <v>0</v>
          </cell>
          <cell r="L893">
            <v>230.99279999999999</v>
          </cell>
          <cell r="M893">
            <v>0</v>
          </cell>
          <cell r="N893">
            <v>339.99</v>
          </cell>
          <cell r="O893" t="str">
            <v>LEROY</v>
          </cell>
          <cell r="P893">
            <v>299.99</v>
          </cell>
          <cell r="Q893">
            <v>0.47186405810051202</v>
          </cell>
          <cell r="R893">
            <v>0.47186405810051202</v>
          </cell>
          <cell r="S893" t="e">
            <v>#VALUE!</v>
          </cell>
          <cell r="T893" t="e">
            <v>#VALUE!</v>
          </cell>
        </row>
        <row r="894">
          <cell r="A894" t="str">
            <v>MDJA0200035ZPT</v>
          </cell>
          <cell r="B894" t="str">
            <v>MKP000631000736</v>
          </cell>
          <cell r="C894" t="str">
            <v/>
          </cell>
          <cell r="D894" t="str">
            <v>Conjunto Sala de Jantar Madesa Moni Mesa Tampo de Vidro com 2 Cadeiras Rustic/Preto/Sintético Preto</v>
          </cell>
          <cell r="E894" t="str">
            <v>MONI</v>
          </cell>
          <cell r="F894" t="str">
            <v>SALA DE JANTAR</v>
          </cell>
          <cell r="G894" t="str">
            <v>4280X</v>
          </cell>
          <cell r="H894">
            <v>1149.99</v>
          </cell>
          <cell r="I894">
            <v>519.91999999999996</v>
          </cell>
          <cell r="J894">
            <v>378.45890000000003</v>
          </cell>
          <cell r="K894">
            <v>0</v>
          </cell>
          <cell r="L894">
            <v>378.45890000000003</v>
          </cell>
          <cell r="M894">
            <v>0</v>
          </cell>
          <cell r="N894">
            <v>519.91999999999996</v>
          </cell>
          <cell r="O894" t="str">
            <v/>
          </cell>
          <cell r="P894">
            <v>0</v>
          </cell>
          <cell r="Q894">
            <v>0.37378193510576702</v>
          </cell>
          <cell r="R894">
            <v>0.37378193510576702</v>
          </cell>
          <cell r="S894" t="e">
            <v>#VALUE!</v>
          </cell>
          <cell r="T894" t="e">
            <v>#VALUE!</v>
          </cell>
        </row>
        <row r="895">
          <cell r="A895" t="str">
            <v>GRGL3500017K</v>
          </cell>
          <cell r="B895" t="str">
            <v>MKP000631004349</v>
          </cell>
          <cell r="C895" t="str">
            <v/>
          </cell>
          <cell r="D895" t="str">
            <v>Armário de Cozinha Completa 350cm Rustic/Preto Glamy Madesa 01</v>
          </cell>
          <cell r="E895" t="str">
            <v>GLAMY</v>
          </cell>
          <cell r="F895" t="str">
            <v>COZINHA</v>
          </cell>
          <cell r="G895" t="str">
            <v/>
          </cell>
          <cell r="H895">
            <v>2099.9899999999998</v>
          </cell>
          <cell r="I895">
            <v>1999.99</v>
          </cell>
          <cell r="J895">
            <v>1660.6477</v>
          </cell>
          <cell r="K895">
            <v>0</v>
          </cell>
          <cell r="L895">
            <v>1660.6477</v>
          </cell>
          <cell r="M895">
            <v>0</v>
          </cell>
          <cell r="N895">
            <v>1999.99</v>
          </cell>
          <cell r="O895" t="str">
            <v/>
          </cell>
          <cell r="P895">
            <v>0</v>
          </cell>
          <cell r="Q895">
            <v>0.20434334145646901</v>
          </cell>
          <cell r="R895">
            <v>0.20434334145646901</v>
          </cell>
          <cell r="S895" t="e">
            <v>#VALUE!</v>
          </cell>
          <cell r="T895" t="e">
            <v>#VALUE!</v>
          </cell>
        </row>
        <row r="896">
          <cell r="A896" t="str">
            <v>XAGRTP0600019B</v>
          </cell>
          <cell r="B896" t="str">
            <v>MKP000631001758</v>
          </cell>
          <cell r="C896" t="str">
            <v/>
          </cell>
          <cell r="D896" t="str">
            <v>Kit Área de Serviço Madesa Topazio 60 cm com Armário e Balcão Branco/Rustic</v>
          </cell>
          <cell r="E896" t="str">
            <v>TOPÁZIO</v>
          </cell>
          <cell r="F896" t="str">
            <v>COZINHA</v>
          </cell>
          <cell r="G896" t="str">
            <v/>
          </cell>
          <cell r="H896">
            <v>499.99</v>
          </cell>
          <cell r="I896">
            <v>399.99</v>
          </cell>
          <cell r="J896">
            <v>252.36770000000001</v>
          </cell>
          <cell r="K896">
            <v>0</v>
          </cell>
          <cell r="L896">
            <v>252.36770000000001</v>
          </cell>
          <cell r="M896">
            <v>0</v>
          </cell>
          <cell r="N896">
            <v>399.99</v>
          </cell>
          <cell r="O896" t="str">
            <v/>
          </cell>
          <cell r="P896">
            <v>0</v>
          </cell>
          <cell r="Q896">
            <v>0.58494926252448298</v>
          </cell>
          <cell r="R896">
            <v>0.58494926252448298</v>
          </cell>
          <cell r="S896" t="e">
            <v>#VALUE!</v>
          </cell>
          <cell r="T896" t="e">
            <v>#VALUE!</v>
          </cell>
        </row>
        <row r="897">
          <cell r="A897" t="str">
            <v>GREM2930047K</v>
          </cell>
          <cell r="B897" t="str">
            <v>MKP000631005145</v>
          </cell>
          <cell r="C897" t="str">
            <v/>
          </cell>
          <cell r="D897" t="str">
            <v>Armário de Cozinha Completa 293cm Rustic/Preto Emilly Madesa 04</v>
          </cell>
          <cell r="E897" t="str">
            <v>EMILLY</v>
          </cell>
          <cell r="F897" t="str">
            <v>COZINHA</v>
          </cell>
          <cell r="G897" t="str">
            <v/>
          </cell>
          <cell r="H897">
            <v>1569.99</v>
          </cell>
          <cell r="I897">
            <v>1469.99</v>
          </cell>
          <cell r="J897">
            <v>1195.4248</v>
          </cell>
          <cell r="K897">
            <v>0</v>
          </cell>
          <cell r="L897">
            <v>1195.4248</v>
          </cell>
          <cell r="M897">
            <v>0</v>
          </cell>
          <cell r="N897">
            <v>1469.99</v>
          </cell>
          <cell r="O897" t="str">
            <v/>
          </cell>
          <cell r="P897">
            <v>0</v>
          </cell>
          <cell r="Q897">
            <v>0.22968002671519</v>
          </cell>
          <cell r="R897">
            <v>0.22968002671519</v>
          </cell>
          <cell r="S897" t="e">
            <v>#VALUE!</v>
          </cell>
          <cell r="T897" t="e">
            <v>#VALUE!</v>
          </cell>
        </row>
        <row r="898">
          <cell r="A898" t="str">
            <v>GCAG4590017K</v>
          </cell>
          <cell r="B898" t="str">
            <v>MKP000631004528</v>
          </cell>
          <cell r="C898" t="str">
            <v/>
          </cell>
          <cell r="D898" t="str">
            <v>Armário de Cozinha Completa de Canto 459cm Rustic Preto Agata Madesa 01</v>
          </cell>
          <cell r="E898" t="str">
            <v>ÁGATA</v>
          </cell>
          <cell r="F898" t="str">
            <v>COZINHA</v>
          </cell>
          <cell r="G898" t="str">
            <v/>
          </cell>
          <cell r="H898">
            <v>3449.99</v>
          </cell>
          <cell r="I898">
            <v>3349.99</v>
          </cell>
          <cell r="J898">
            <v>2732.2485000000001</v>
          </cell>
          <cell r="K898">
            <v>0</v>
          </cell>
          <cell r="L898">
            <v>2732.2485000000001</v>
          </cell>
          <cell r="M898">
            <v>0</v>
          </cell>
          <cell r="N898">
            <v>3349.99</v>
          </cell>
          <cell r="O898" t="str">
            <v/>
          </cell>
          <cell r="P898">
            <v>0</v>
          </cell>
          <cell r="Q898">
            <v>0.22609272180037801</v>
          </cell>
          <cell r="R898">
            <v>0.22609272180037801</v>
          </cell>
          <cell r="S898" t="e">
            <v>#VALUE!</v>
          </cell>
          <cell r="T898" t="e">
            <v>#VALUE!</v>
          </cell>
        </row>
        <row r="899">
          <cell r="A899" t="str">
            <v>GREM1370045Z</v>
          </cell>
          <cell r="B899" t="str">
            <v>MKP000631001710</v>
          </cell>
          <cell r="C899" t="str">
            <v/>
          </cell>
          <cell r="D899" t="str">
            <v>Armário de Cozinha Compacta 137cm Rustic Emilly Art Madesa 04</v>
          </cell>
          <cell r="E899" t="str">
            <v>ART/EMILLY</v>
          </cell>
          <cell r="F899" t="str">
            <v>COZINHA</v>
          </cell>
          <cell r="G899" t="str">
            <v/>
          </cell>
          <cell r="H899">
            <v>1399.99</v>
          </cell>
          <cell r="I899">
            <v>799.99</v>
          </cell>
          <cell r="J899">
            <v>658.71969999999999</v>
          </cell>
          <cell r="K899">
            <v>0</v>
          </cell>
          <cell r="L899">
            <v>658.71969999999999</v>
          </cell>
          <cell r="M899">
            <v>0</v>
          </cell>
          <cell r="N899">
            <v>799.99</v>
          </cell>
          <cell r="O899" t="str">
            <v/>
          </cell>
          <cell r="P899">
            <v>0</v>
          </cell>
          <cell r="Q899">
            <v>0.21446193274620401</v>
          </cell>
          <cell r="R899">
            <v>0.21446193274620401</v>
          </cell>
          <cell r="S899" t="e">
            <v>#VALUE!</v>
          </cell>
          <cell r="T899" t="e">
            <v>#VALUE!</v>
          </cell>
        </row>
        <row r="900">
          <cell r="A900" t="str">
            <v>60249B09PP</v>
          </cell>
          <cell r="B900" t="str">
            <v>MKP000631001625</v>
          </cell>
          <cell r="C900" t="str">
            <v/>
          </cell>
          <cell r="D900" t="str">
            <v>Rack Madesa Dubai para TV até 65 Polegadas com Pés Branco/Rustic 9B09</v>
          </cell>
          <cell r="E900" t="str">
            <v>DUBAI</v>
          </cell>
          <cell r="F900" t="str">
            <v>SALA DE ESTAR</v>
          </cell>
          <cell r="G900" t="str">
            <v/>
          </cell>
          <cell r="H900">
            <v>539.99</v>
          </cell>
          <cell r="I900">
            <v>319.92</v>
          </cell>
          <cell r="J900">
            <v>243.82210000000001</v>
          </cell>
          <cell r="K900">
            <v>0</v>
          </cell>
          <cell r="L900">
            <v>243.82210000000001</v>
          </cell>
          <cell r="M900">
            <v>0</v>
          </cell>
          <cell r="N900">
            <v>319.92</v>
          </cell>
          <cell r="O900" t="str">
            <v/>
          </cell>
          <cell r="P900">
            <v>0</v>
          </cell>
          <cell r="Q900">
            <v>0.31210419400046202</v>
          </cell>
          <cell r="R900">
            <v>0.31210419400046202</v>
          </cell>
          <cell r="S900" t="e">
            <v>#VALUE!</v>
          </cell>
          <cell r="T900" t="e">
            <v>#VALUE!</v>
          </cell>
        </row>
        <row r="901">
          <cell r="A901" t="str">
            <v>GRTP06000109</v>
          </cell>
          <cell r="B901" t="str">
            <v>MKP000631000423</v>
          </cell>
          <cell r="C901" t="str">
            <v/>
          </cell>
          <cell r="D901" t="str">
            <v>Kit Madesa Topazio 60 cm com Armário e Balcão Branco</v>
          </cell>
          <cell r="E901" t="str">
            <v>TOPÁZIO</v>
          </cell>
          <cell r="F901" t="str">
            <v>MODULAÇÃO</v>
          </cell>
          <cell r="G901" t="str">
            <v/>
          </cell>
          <cell r="H901">
            <v>569.99</v>
          </cell>
          <cell r="I901">
            <v>389.99</v>
          </cell>
          <cell r="J901">
            <v>252.36770000000001</v>
          </cell>
          <cell r="K901">
            <v>0</v>
          </cell>
          <cell r="L901">
            <v>252.36770000000001</v>
          </cell>
          <cell r="M901">
            <v>0</v>
          </cell>
          <cell r="N901">
            <v>389.99</v>
          </cell>
          <cell r="O901" t="str">
            <v/>
          </cell>
          <cell r="P901">
            <v>0</v>
          </cell>
          <cell r="Q901">
            <v>0.54532454034331701</v>
          </cell>
          <cell r="R901">
            <v>0.54532454034331701</v>
          </cell>
          <cell r="S901" t="e">
            <v>#VALUE!</v>
          </cell>
          <cell r="T901" t="e">
            <v>#VALUE!</v>
          </cell>
        </row>
        <row r="902">
          <cell r="A902" t="str">
            <v>1093771E</v>
          </cell>
          <cell r="B902" t="str">
            <v>MKP000631002100</v>
          </cell>
          <cell r="C902" t="str">
            <v/>
          </cell>
          <cell r="D902" t="str">
            <v>Guarda-Roupa Casal Madesa Mônaco 3 Portas de Correr com Espelho Preto/Branco</v>
          </cell>
          <cell r="E902" t="str">
            <v>MÔNACO</v>
          </cell>
          <cell r="F902" t="str">
            <v>QUARTO</v>
          </cell>
          <cell r="G902" t="str">
            <v/>
          </cell>
          <cell r="H902">
            <v>1539.99</v>
          </cell>
          <cell r="I902">
            <v>929.92</v>
          </cell>
          <cell r="J902">
            <v>750.78110000000004</v>
          </cell>
          <cell r="K902">
            <v>0</v>
          </cell>
          <cell r="L902">
            <v>750.78110000000004</v>
          </cell>
          <cell r="M902">
            <v>0</v>
          </cell>
          <cell r="N902">
            <v>929.92</v>
          </cell>
          <cell r="O902" t="str">
            <v/>
          </cell>
          <cell r="P902">
            <v>0</v>
          </cell>
          <cell r="Q902">
            <v>0.238603369211079</v>
          </cell>
          <cell r="R902">
            <v>0.238603369211079</v>
          </cell>
          <cell r="S902" t="e">
            <v>#VALUE!</v>
          </cell>
          <cell r="T902" t="e">
            <v>#VALUE!</v>
          </cell>
        </row>
        <row r="903">
          <cell r="A903" t="str">
            <v>94008N1</v>
          </cell>
          <cell r="B903" t="str">
            <v>MKP000631001971</v>
          </cell>
          <cell r="C903" t="str">
            <v/>
          </cell>
          <cell r="D903" t="str">
            <v>Escrivaninha Madesa Alaska 3 Gavetas 1 Porta Preto</v>
          </cell>
          <cell r="E903" t="str">
            <v>ALASKA</v>
          </cell>
          <cell r="F903" t="str">
            <v>ESCRITÓRIO</v>
          </cell>
          <cell r="G903" t="str">
            <v/>
          </cell>
          <cell r="H903">
            <v>879.99</v>
          </cell>
          <cell r="I903">
            <v>459.99</v>
          </cell>
          <cell r="J903">
            <v>332.56990000000002</v>
          </cell>
          <cell r="K903">
            <v>0</v>
          </cell>
          <cell r="L903">
            <v>332.56990000000002</v>
          </cell>
          <cell r="M903">
            <v>0</v>
          </cell>
          <cell r="N903">
            <v>459.99</v>
          </cell>
          <cell r="O903" t="str">
            <v>LOJA</v>
          </cell>
          <cell r="P903">
            <v>399.99</v>
          </cell>
          <cell r="Q903">
            <v>0.38313780050449497</v>
          </cell>
          <cell r="R903">
            <v>0.38313780050449497</v>
          </cell>
          <cell r="S903" t="e">
            <v>#VALUE!</v>
          </cell>
          <cell r="T903" t="e">
            <v>#VALUE!</v>
          </cell>
        </row>
        <row r="904">
          <cell r="A904" t="str">
            <v>044705ZXTLIB</v>
          </cell>
          <cell r="B904" t="str">
            <v>MKP000631000291</v>
          </cell>
          <cell r="C904" t="str">
            <v/>
          </cell>
          <cell r="D904" t="str">
            <v>Conjunto Sala de Jantar Rosie Madesa Mesa Tampo de Madeira com 4 Cadeiras Rustic/Floral Lírio Bege</v>
          </cell>
          <cell r="E904" t="str">
            <v>ROSIE</v>
          </cell>
          <cell r="F904" t="str">
            <v>SALA DE JANTAR</v>
          </cell>
          <cell r="G904" t="str">
            <v>4290X</v>
          </cell>
          <cell r="H904">
            <v>1349.99</v>
          </cell>
          <cell r="I904">
            <v>549.99</v>
          </cell>
          <cell r="J904">
            <v>439.91309999999999</v>
          </cell>
          <cell r="K904">
            <v>0</v>
          </cell>
          <cell r="L904">
            <v>439.91309999999999</v>
          </cell>
          <cell r="M904">
            <v>0</v>
          </cell>
          <cell r="N904">
            <v>549.99</v>
          </cell>
          <cell r="O904" t="str">
            <v/>
          </cell>
          <cell r="P904">
            <v>0</v>
          </cell>
          <cell r="Q904">
            <v>0.25022419200519402</v>
          </cell>
          <cell r="R904">
            <v>0.25022419200519402</v>
          </cell>
          <cell r="S904" t="e">
            <v>#VALUE!</v>
          </cell>
          <cell r="T904" t="e">
            <v>#VALUE!</v>
          </cell>
        </row>
        <row r="905">
          <cell r="A905" t="str">
            <v>1093093E2G</v>
          </cell>
          <cell r="B905" t="str">
            <v>MKP000631000472</v>
          </cell>
          <cell r="C905" t="str">
            <v/>
          </cell>
          <cell r="D905" t="str">
            <v>Guarda-Roupa Casal Madesa Lyon 3 Portas de Correr de Espelho 2 Gavetas Branco</v>
          </cell>
          <cell r="E905" t="str">
            <v>LYON</v>
          </cell>
          <cell r="F905" t="str">
            <v>QUARTO</v>
          </cell>
          <cell r="G905" t="str">
            <v/>
          </cell>
          <cell r="H905">
            <v>2199.9899999999998</v>
          </cell>
          <cell r="I905">
            <v>1319.92</v>
          </cell>
          <cell r="J905">
            <v>1099.374</v>
          </cell>
          <cell r="K905">
            <v>0</v>
          </cell>
          <cell r="L905">
            <v>1099.374</v>
          </cell>
          <cell r="M905">
            <v>0</v>
          </cell>
          <cell r="N905">
            <v>1319.92</v>
          </cell>
          <cell r="O905" t="str">
            <v/>
          </cell>
          <cell r="P905">
            <v>0</v>
          </cell>
          <cell r="Q905">
            <v>0.200610529264836</v>
          </cell>
          <cell r="R905">
            <v>0.200610529264836</v>
          </cell>
          <cell r="S905" t="e">
            <v>#VALUE!</v>
          </cell>
          <cell r="T905" t="e">
            <v>#VALUE!</v>
          </cell>
        </row>
        <row r="906">
          <cell r="A906" t="str">
            <v>GRAG3100017G</v>
          </cell>
          <cell r="B906" t="str">
            <v>MKP000631005436</v>
          </cell>
          <cell r="C906" t="str">
            <v/>
          </cell>
          <cell r="D906" t="str">
            <v>Armário de Cozinha Completa 310 cm Rustic/Crema Agata Madesa 01</v>
          </cell>
          <cell r="E906" t="str">
            <v>ÁGATA</v>
          </cell>
          <cell r="F906" t="str">
            <v>COZINHA</v>
          </cell>
          <cell r="G906" t="str">
            <v/>
          </cell>
          <cell r="H906">
            <v>2429.9899999999998</v>
          </cell>
          <cell r="I906">
            <v>2429.9899999999998</v>
          </cell>
          <cell r="J906">
            <v>1961.4876999999999</v>
          </cell>
          <cell r="K906">
            <v>0</v>
          </cell>
          <cell r="L906">
            <v>1961.4876999999999</v>
          </cell>
          <cell r="M906">
            <v>0</v>
          </cell>
          <cell r="N906">
            <v>2429.9899999999998</v>
          </cell>
          <cell r="O906" t="str">
            <v>LOJA</v>
          </cell>
          <cell r="P906">
            <v>2539.9899999999998</v>
          </cell>
          <cell r="Q906">
            <v>0.23885049087995799</v>
          </cell>
          <cell r="R906">
            <v>0.23885049087995799</v>
          </cell>
          <cell r="S906" t="e">
            <v>#VALUE!</v>
          </cell>
          <cell r="T906" t="e">
            <v>#VALUE!</v>
          </cell>
        </row>
        <row r="907">
          <cell r="A907" t="str">
            <v>GREM1690037K</v>
          </cell>
          <cell r="B907" t="str">
            <v>MKP000631001821</v>
          </cell>
          <cell r="C907" t="str">
            <v/>
          </cell>
          <cell r="D907" t="str">
            <v>Armário de Cozinha Completa 169cm Rustic/Preto Emilly Box Madesa 03</v>
          </cell>
          <cell r="E907" t="str">
            <v>BOX/EMILLY</v>
          </cell>
          <cell r="F907" t="str">
            <v>COZINHA</v>
          </cell>
          <cell r="G907" t="str">
            <v/>
          </cell>
          <cell r="H907">
            <v>1679.99</v>
          </cell>
          <cell r="I907">
            <v>1059.99</v>
          </cell>
          <cell r="J907">
            <v>758.08410000000003</v>
          </cell>
          <cell r="K907">
            <v>0</v>
          </cell>
          <cell r="L907">
            <v>758.08410000000003</v>
          </cell>
          <cell r="M907">
            <v>0</v>
          </cell>
          <cell r="N907">
            <v>1059.99</v>
          </cell>
          <cell r="O907" t="str">
            <v>MELI</v>
          </cell>
          <cell r="P907">
            <v>889.99</v>
          </cell>
          <cell r="Q907">
            <v>0.39824855843830498</v>
          </cell>
          <cell r="R907">
            <v>0.39824855843830498</v>
          </cell>
          <cell r="S907" t="e">
            <v>#VALUE!</v>
          </cell>
          <cell r="T907" t="e">
            <v>#VALUE!</v>
          </cell>
        </row>
        <row r="908">
          <cell r="A908" t="str">
            <v>9409501</v>
          </cell>
          <cell r="B908" t="str">
            <v>MKP000631004753</v>
          </cell>
          <cell r="C908" t="str">
            <v/>
          </cell>
          <cell r="D908" t="str">
            <v>Mesa para Computador Gamer Madesa 9409 Preto/Vermelho</v>
          </cell>
          <cell r="E908" t="str">
            <v>GAMER</v>
          </cell>
          <cell r="F908" t="str">
            <v>ESCRITÓRIO</v>
          </cell>
          <cell r="G908" t="str">
            <v/>
          </cell>
          <cell r="H908">
            <v>549.99</v>
          </cell>
          <cell r="I908">
            <v>359.99</v>
          </cell>
          <cell r="J908">
            <v>224.04949999999999</v>
          </cell>
          <cell r="K908">
            <v>0</v>
          </cell>
          <cell r="L908">
            <v>224.04949999999999</v>
          </cell>
          <cell r="M908">
            <v>0</v>
          </cell>
          <cell r="N908">
            <v>359.99</v>
          </cell>
          <cell r="O908" t="str">
            <v>KABUM</v>
          </cell>
          <cell r="P908">
            <v>343.15</v>
          </cell>
          <cell r="Q908">
            <v>0.60674315274080104</v>
          </cell>
          <cell r="R908">
            <v>0.60674315274080104</v>
          </cell>
          <cell r="S908" t="e">
            <v>#VALUE!</v>
          </cell>
          <cell r="T908" t="e">
            <v>#VALUE!</v>
          </cell>
        </row>
        <row r="909">
          <cell r="A909" t="str">
            <v>G2711509PR</v>
          </cell>
          <cell r="B909" t="str">
            <v>MKP000631003183</v>
          </cell>
          <cell r="C909" t="str">
            <v/>
          </cell>
          <cell r="D909" t="str">
            <v>Bancada para Cozinha Madesa 115 cm Branco</v>
          </cell>
          <cell r="E909" t="str">
            <v>PR</v>
          </cell>
          <cell r="F909" t="str">
            <v>MODULAÇÃO</v>
          </cell>
          <cell r="G909" t="str">
            <v/>
          </cell>
          <cell r="H909">
            <v>619.99</v>
          </cell>
          <cell r="I909">
            <v>289.99</v>
          </cell>
          <cell r="J909">
            <v>178.71639999999999</v>
          </cell>
          <cell r="K909">
            <v>0</v>
          </cell>
          <cell r="L909">
            <v>178.71639999999999</v>
          </cell>
          <cell r="M909">
            <v>0</v>
          </cell>
          <cell r="N909">
            <v>289.99</v>
          </cell>
          <cell r="O909" t="str">
            <v/>
          </cell>
          <cell r="P909">
            <v>0</v>
          </cell>
          <cell r="Q909">
            <v>0.62262668675062804</v>
          </cell>
          <cell r="R909">
            <v>0.62262668675062804</v>
          </cell>
          <cell r="S909" t="e">
            <v>#VALUE!</v>
          </cell>
          <cell r="T909" t="e">
            <v>#VALUE!</v>
          </cell>
        </row>
        <row r="910">
          <cell r="A910" t="str">
            <v>MDJA0601317KSIM</v>
          </cell>
          <cell r="B910" t="str">
            <v>MKP000631003208</v>
          </cell>
          <cell r="C910" t="str">
            <v/>
          </cell>
          <cell r="D910" t="str">
            <v>Conjunto Sala de Jantar Madesa Patricia Mesa Tampo de Vidro com 6 Cadeiras Rustic/Preto/Imperial</v>
          </cell>
          <cell r="E910" t="str">
            <v>PATRICIA</v>
          </cell>
          <cell r="F910" t="str">
            <v>SALA DE JANTAR</v>
          </cell>
          <cell r="G910">
            <v>4255</v>
          </cell>
          <cell r="H910">
            <v>3309.99</v>
          </cell>
          <cell r="I910">
            <v>1699.99</v>
          </cell>
          <cell r="J910">
            <v>1326.8243</v>
          </cell>
          <cell r="K910">
            <v>0</v>
          </cell>
          <cell r="L910">
            <v>1326.8243</v>
          </cell>
          <cell r="M910">
            <v>0</v>
          </cell>
          <cell r="N910">
            <v>1699.99</v>
          </cell>
          <cell r="O910" t="str">
            <v>IMPÉRIO</v>
          </cell>
          <cell r="P910">
            <v>1859</v>
          </cell>
          <cell r="Q910">
            <v>0.28124726084682</v>
          </cell>
          <cell r="R910">
            <v>0.28124726084682</v>
          </cell>
          <cell r="S910" t="e">
            <v>#VALUE!</v>
          </cell>
          <cell r="T910" t="e">
            <v>#VALUE!</v>
          </cell>
        </row>
        <row r="911">
          <cell r="A911" t="str">
            <v>GRNC3000013B</v>
          </cell>
          <cell r="B911" t="str">
            <v>MKP000631004843</v>
          </cell>
          <cell r="C911" t="str">
            <v/>
          </cell>
          <cell r="D911" t="str">
            <v>Armário de Cozinha Completa 300cm Cinza Nice Madesa 01</v>
          </cell>
          <cell r="E911" t="str">
            <v>NICE</v>
          </cell>
          <cell r="F911" t="str">
            <v>COZINHA</v>
          </cell>
          <cell r="G911" t="str">
            <v/>
          </cell>
          <cell r="H911">
            <v>2499.9899999999998</v>
          </cell>
          <cell r="I911">
            <v>2229.9899999999998</v>
          </cell>
          <cell r="J911">
            <v>1529.5861</v>
          </cell>
          <cell r="K911">
            <v>0</v>
          </cell>
          <cell r="L911">
            <v>1529.5861</v>
          </cell>
          <cell r="M911">
            <v>0</v>
          </cell>
          <cell r="N911">
            <v>2229.9899999999998</v>
          </cell>
          <cell r="O911" t="str">
            <v>MAGALU</v>
          </cell>
          <cell r="P911">
            <v>2105.25</v>
          </cell>
          <cell r="Q911">
            <v>0.45790420035851498</v>
          </cell>
          <cell r="R911">
            <v>0.45790420035851498</v>
          </cell>
          <cell r="S911" t="e">
            <v>#VALUE!</v>
          </cell>
          <cell r="T911" t="e">
            <v>#VALUE!</v>
          </cell>
        </row>
        <row r="912">
          <cell r="A912" t="str">
            <v>GRGL290003A7</v>
          </cell>
          <cell r="B912" t="str">
            <v>MKP000631000217</v>
          </cell>
          <cell r="C912" t="str">
            <v/>
          </cell>
          <cell r="D912" t="str">
            <v>Armário de Cozinha Completa 290cm Branco/Crema Safira Madesa 03</v>
          </cell>
          <cell r="E912" t="str">
            <v>SAFIRA/GLAMY</v>
          </cell>
          <cell r="F912" t="str">
            <v>COZINHA</v>
          </cell>
          <cell r="G912" t="str">
            <v/>
          </cell>
          <cell r="H912">
            <v>2989.99</v>
          </cell>
          <cell r="I912">
            <v>2099.9899999999998</v>
          </cell>
          <cell r="J912">
            <v>1760.9930999999999</v>
          </cell>
          <cell r="K912">
            <v>0</v>
          </cell>
          <cell r="L912">
            <v>1760.9930999999999</v>
          </cell>
          <cell r="M912">
            <v>0</v>
          </cell>
          <cell r="N912">
            <v>2099.9899999999998</v>
          </cell>
          <cell r="O912" t="str">
            <v/>
          </cell>
          <cell r="P912">
            <v>0</v>
          </cell>
          <cell r="Q912">
            <v>0.19250325285204101</v>
          </cell>
          <cell r="R912">
            <v>0.19250325285204101</v>
          </cell>
          <cell r="S912" t="e">
            <v>#VALUE!</v>
          </cell>
          <cell r="T912" t="e">
            <v>#VALUE!</v>
          </cell>
        </row>
        <row r="913">
          <cell r="A913" t="str">
            <v>10949B</v>
          </cell>
          <cell r="B913" t="str">
            <v>MKP000631000773</v>
          </cell>
          <cell r="C913" t="str">
            <v/>
          </cell>
          <cell r="D913" t="str">
            <v>Guarda-Roupa Solteiro Madesa Denver 2 Portas de Correr Branco/Rustic</v>
          </cell>
          <cell r="E913" t="str">
            <v>DENVER</v>
          </cell>
          <cell r="F913" t="str">
            <v>QUARTO</v>
          </cell>
          <cell r="G913" t="str">
            <v/>
          </cell>
          <cell r="H913">
            <v>869.99</v>
          </cell>
          <cell r="I913">
            <v>629.99</v>
          </cell>
          <cell r="J913">
            <v>475.10919999999999</v>
          </cell>
          <cell r="K913">
            <v>0</v>
          </cell>
          <cell r="L913">
            <v>475.10919999999999</v>
          </cell>
          <cell r="M913">
            <v>0</v>
          </cell>
          <cell r="N913">
            <v>629.99</v>
          </cell>
          <cell r="O913" t="str">
            <v>CARREFOUR</v>
          </cell>
          <cell r="P913">
            <v>589.99</v>
          </cell>
          <cell r="Q913">
            <v>0.32598989874327799</v>
          </cell>
          <cell r="R913">
            <v>0.32598989874327799</v>
          </cell>
          <cell r="S913" t="e">
            <v>#VALUE!</v>
          </cell>
          <cell r="T913" t="e">
            <v>#VALUE!</v>
          </cell>
        </row>
        <row r="914">
          <cell r="A914" t="str">
            <v>GREM3250037K</v>
          </cell>
          <cell r="B914" t="str">
            <v>MKP000631005139</v>
          </cell>
          <cell r="C914" t="str">
            <v/>
          </cell>
          <cell r="D914" t="str">
            <v>Armário de Cozinha Completa 325cm Rustic/Preto Emilly Madesa 03</v>
          </cell>
          <cell r="E914" t="str">
            <v>EMILLY</v>
          </cell>
          <cell r="F914" t="str">
            <v>COZINHA</v>
          </cell>
          <cell r="G914" t="str">
            <v/>
          </cell>
          <cell r="H914">
            <v>1799.99</v>
          </cell>
          <cell r="I914">
            <v>1699.99</v>
          </cell>
          <cell r="J914">
            <v>1377.2367999999999</v>
          </cell>
          <cell r="K914">
            <v>0</v>
          </cell>
          <cell r="L914">
            <v>1377.2367999999999</v>
          </cell>
          <cell r="M914">
            <v>0</v>
          </cell>
          <cell r="N914">
            <v>1699.99</v>
          </cell>
          <cell r="O914" t="str">
            <v/>
          </cell>
          <cell r="P914">
            <v>0</v>
          </cell>
          <cell r="Q914">
            <v>0.23434837059247901</v>
          </cell>
          <cell r="R914">
            <v>0.23434837059247901</v>
          </cell>
          <cell r="S914" t="e">
            <v>#VALUE!</v>
          </cell>
          <cell r="T914" t="e">
            <v>#VALUE!</v>
          </cell>
        </row>
        <row r="915">
          <cell r="A915" t="str">
            <v>GRAG200001F9</v>
          </cell>
          <cell r="B915" t="str">
            <v>MKP000631004925</v>
          </cell>
          <cell r="C915" t="str">
            <v/>
          </cell>
          <cell r="D915" t="str">
            <v>Kit com 2 Balcões de Cozinha Madesa Agata 3 Gavetas 4 Portas (Sem Tampo e Pia) Rustic/Cinza</v>
          </cell>
          <cell r="E915" t="str">
            <v>ÁGATA</v>
          </cell>
          <cell r="F915" t="str">
            <v>COZINHA</v>
          </cell>
          <cell r="G915" t="str">
            <v/>
          </cell>
          <cell r="H915">
            <v>1169.99</v>
          </cell>
          <cell r="I915">
            <v>1069.99</v>
          </cell>
          <cell r="J915">
            <v>868.41390000000001</v>
          </cell>
          <cell r="K915">
            <v>0</v>
          </cell>
          <cell r="L915">
            <v>868.41390000000001</v>
          </cell>
          <cell r="M915">
            <v>0</v>
          </cell>
          <cell r="N915">
            <v>1069.99</v>
          </cell>
          <cell r="O915" t="str">
            <v>LOJA</v>
          </cell>
          <cell r="P915">
            <v>1149.99</v>
          </cell>
          <cell r="Q915">
            <v>0.23211984515678499</v>
          </cell>
          <cell r="R915">
            <v>0.23211984515678499</v>
          </cell>
          <cell r="S915" t="e">
            <v>#VALUE!</v>
          </cell>
          <cell r="T915" t="e">
            <v>#VALUE!</v>
          </cell>
        </row>
        <row r="916">
          <cell r="A916" t="str">
            <v>1165092ECP</v>
          </cell>
          <cell r="B916" t="str">
            <v>MKP000631002356</v>
          </cell>
          <cell r="C916" t="str">
            <v/>
          </cell>
          <cell r="D916" t="str">
            <v>Guarda-Roupa Casal Madesa Alabama 4 Portas de Correr com Espelhos com Pés Branco</v>
          </cell>
          <cell r="E916" t="str">
            <v>ALABAMA</v>
          </cell>
          <cell r="F916" t="str">
            <v>QUARTO</v>
          </cell>
          <cell r="G916" t="str">
            <v/>
          </cell>
          <cell r="H916">
            <v>2999.99</v>
          </cell>
          <cell r="I916">
            <v>2709.99</v>
          </cell>
          <cell r="J916">
            <v>2041.0141000000001</v>
          </cell>
          <cell r="K916">
            <v>0</v>
          </cell>
          <cell r="L916">
            <v>2041.0141000000001</v>
          </cell>
          <cell r="M916">
            <v>0</v>
          </cell>
          <cell r="N916">
            <v>2709.99</v>
          </cell>
          <cell r="O916" t="str">
            <v>MADEIRAMADEIRA</v>
          </cell>
          <cell r="P916">
            <v>2469.9899999999998</v>
          </cell>
          <cell r="Q916">
            <v>0.327766427483279</v>
          </cell>
          <cell r="R916">
            <v>0.327766427483279</v>
          </cell>
          <cell r="S916" t="e">
            <v>#VALUE!</v>
          </cell>
          <cell r="T916" t="e">
            <v>#VALUE!</v>
          </cell>
        </row>
        <row r="917">
          <cell r="A917" t="str">
            <v>XA1063093E</v>
          </cell>
          <cell r="B917" t="str">
            <v>MKP000631001446</v>
          </cell>
          <cell r="C917" t="str">
            <v/>
          </cell>
          <cell r="D917" t="str">
            <v>Guarda-Roupa Infantil Madesa Logan 100% MDF 3 Portas de Correr de Espelho Branco</v>
          </cell>
          <cell r="E917" t="str">
            <v>LOGAN</v>
          </cell>
          <cell r="F917" t="str">
            <v>QUARTO</v>
          </cell>
          <cell r="G917" t="str">
            <v/>
          </cell>
          <cell r="H917">
            <v>4069.99</v>
          </cell>
          <cell r="I917">
            <v>2659.92</v>
          </cell>
          <cell r="J917">
            <v>2275.1352000000002</v>
          </cell>
          <cell r="K917">
            <v>0</v>
          </cell>
          <cell r="L917">
            <v>2275.1352000000002</v>
          </cell>
          <cell r="M917">
            <v>0</v>
          </cell>
          <cell r="N917">
            <v>2659.92</v>
          </cell>
          <cell r="O917" t="str">
            <v/>
          </cell>
          <cell r="P917">
            <v>0</v>
          </cell>
          <cell r="Q917">
            <v>0.169126124900182</v>
          </cell>
          <cell r="R917">
            <v>0.169126124900182</v>
          </cell>
          <cell r="S917" t="e">
            <v>#VALUE!</v>
          </cell>
          <cell r="T917" t="e">
            <v>#VALUE!</v>
          </cell>
        </row>
        <row r="918">
          <cell r="A918" t="str">
            <v>G266523BNCCT</v>
          </cell>
          <cell r="B918" t="str">
            <v>MKP000631004817</v>
          </cell>
          <cell r="C918" t="str">
            <v/>
          </cell>
          <cell r="D918" t="str">
            <v>Torre Quente 60 cm 2 Portas 2 Nichos Cinza Nice Madesa</v>
          </cell>
          <cell r="E918" t="str">
            <v>NICE</v>
          </cell>
          <cell r="F918" t="str">
            <v>MODULAÇÃO</v>
          </cell>
          <cell r="G918" t="str">
            <v/>
          </cell>
          <cell r="H918">
            <v>749.99</v>
          </cell>
          <cell r="I918">
            <v>699.99</v>
          </cell>
          <cell r="J918">
            <v>383.82170000000002</v>
          </cell>
          <cell r="K918">
            <v>0</v>
          </cell>
          <cell r="L918">
            <v>383.82170000000002</v>
          </cell>
          <cell r="M918">
            <v>0</v>
          </cell>
          <cell r="N918">
            <v>699.99</v>
          </cell>
          <cell r="O918" t="str">
            <v/>
          </cell>
          <cell r="P918">
            <v>0</v>
          </cell>
          <cell r="Q918">
            <v>0.82373742808184103</v>
          </cell>
          <cell r="R918">
            <v>0.82373742808184103</v>
          </cell>
          <cell r="S918" t="e">
            <v>#VALUE!</v>
          </cell>
          <cell r="T918" t="e">
            <v>#VALUE!</v>
          </cell>
        </row>
        <row r="919">
          <cell r="A919" t="str">
            <v>GRNC2400013B</v>
          </cell>
          <cell r="B919" t="str">
            <v>MKP000631004806</v>
          </cell>
          <cell r="C919" t="str">
            <v/>
          </cell>
          <cell r="D919" t="str">
            <v>Armário de Cozinha Compacta 240cm Cinza Nice Madesa 01</v>
          </cell>
          <cell r="E919" t="str">
            <v>NICE</v>
          </cell>
          <cell r="F919" t="str">
            <v>COZINHA</v>
          </cell>
          <cell r="G919" t="str">
            <v/>
          </cell>
          <cell r="H919">
            <v>1459.99</v>
          </cell>
          <cell r="I919">
            <v>1359.99</v>
          </cell>
          <cell r="J919">
            <v>1092.4197999999999</v>
          </cell>
          <cell r="K919">
            <v>0</v>
          </cell>
          <cell r="L919">
            <v>1092.4197999999999</v>
          </cell>
          <cell r="M919">
            <v>0</v>
          </cell>
          <cell r="N919">
            <v>1359.99</v>
          </cell>
          <cell r="O919" t="str">
            <v/>
          </cell>
          <cell r="P919">
            <v>0</v>
          </cell>
          <cell r="Q919">
            <v>0.24493349534675199</v>
          </cell>
          <cell r="R919">
            <v>0.24493349534675199</v>
          </cell>
          <cell r="S919" t="e">
            <v>#VALUE!</v>
          </cell>
          <cell r="T919" t="e">
            <v>#VALUE!</v>
          </cell>
        </row>
        <row r="920">
          <cell r="A920" t="str">
            <v>XC106309</v>
          </cell>
          <cell r="B920" t="str">
            <v>MKP000631001440</v>
          </cell>
          <cell r="C920" t="str">
            <v/>
          </cell>
          <cell r="D920" t="str">
            <v>Guarda-Roupa Casal 100% MDF Madesa Zurique 3 Portas de Correr Branco</v>
          </cell>
          <cell r="E920" t="str">
            <v>ZURIQUE</v>
          </cell>
          <cell r="F920" t="str">
            <v>QUARTO</v>
          </cell>
          <cell r="G920" t="str">
            <v/>
          </cell>
          <cell r="H920">
            <v>2999.99</v>
          </cell>
          <cell r="I920">
            <v>1959.99</v>
          </cell>
          <cell r="J920">
            <v>1551.3534</v>
          </cell>
          <cell r="K920">
            <v>0</v>
          </cell>
          <cell r="L920">
            <v>1551.3534</v>
          </cell>
          <cell r="M920">
            <v>0</v>
          </cell>
          <cell r="N920">
            <v>1959.99</v>
          </cell>
          <cell r="O920" t="str">
            <v/>
          </cell>
          <cell r="P920">
            <v>0</v>
          </cell>
          <cell r="Q920">
            <v>0.26340651975236601</v>
          </cell>
          <cell r="R920">
            <v>0.26340651975236601</v>
          </cell>
          <cell r="S920" t="e">
            <v>#VALUE!</v>
          </cell>
          <cell r="T920" t="e">
            <v>#VALUE!</v>
          </cell>
        </row>
        <row r="921">
          <cell r="A921" t="str">
            <v>1094D8</v>
          </cell>
          <cell r="B921" t="str">
            <v>MKP000631002032</v>
          </cell>
          <cell r="C921" t="str">
            <v/>
          </cell>
          <cell r="D921" t="str">
            <v>Guarda-Roupa Solteiro Madesa Denver 2 Portas de Correr Preto/Rustic</v>
          </cell>
          <cell r="E921" t="str">
            <v>DENVER</v>
          </cell>
          <cell r="F921" t="str">
            <v>QUARTO</v>
          </cell>
          <cell r="G921" t="str">
            <v/>
          </cell>
          <cell r="H921">
            <v>869.99</v>
          </cell>
          <cell r="I921">
            <v>619.91999999999996</v>
          </cell>
          <cell r="J921">
            <v>475.10919999999999</v>
          </cell>
          <cell r="K921">
            <v>0</v>
          </cell>
          <cell r="L921">
            <v>475.10919999999999</v>
          </cell>
          <cell r="M921">
            <v>0</v>
          </cell>
          <cell r="N921">
            <v>619.91999999999996</v>
          </cell>
          <cell r="O921" t="str">
            <v/>
          </cell>
          <cell r="P921">
            <v>0</v>
          </cell>
          <cell r="Q921">
            <v>0.30479477139150302</v>
          </cell>
          <cell r="R921">
            <v>0.30479477139150302</v>
          </cell>
          <cell r="S921" t="e">
            <v>#VALUE!</v>
          </cell>
          <cell r="T921" t="e">
            <v>#VALUE!</v>
          </cell>
        </row>
        <row r="922">
          <cell r="A922" t="str">
            <v>GRTP30000273</v>
          </cell>
          <cell r="B922" t="str">
            <v>MKP000631004967</v>
          </cell>
          <cell r="C922" t="str">
            <v/>
          </cell>
          <cell r="D922" t="str">
            <v>Armário de Cozinha Completa 300cm Branco/Preto Diamante Madesa 02</v>
          </cell>
          <cell r="E922" t="str">
            <v>DIAMANTE</v>
          </cell>
          <cell r="F922" t="str">
            <v>COZINHA</v>
          </cell>
          <cell r="G922" t="str">
            <v/>
          </cell>
          <cell r="H922">
            <v>1599.99</v>
          </cell>
          <cell r="I922">
            <v>1499.99</v>
          </cell>
          <cell r="J922">
            <v>1224.0155</v>
          </cell>
          <cell r="K922">
            <v>0</v>
          </cell>
          <cell r="L922">
            <v>1224.0155</v>
          </cell>
          <cell r="M922">
            <v>0</v>
          </cell>
          <cell r="N922">
            <v>1499.99</v>
          </cell>
          <cell r="O922" t="str">
            <v/>
          </cell>
          <cell r="P922">
            <v>0</v>
          </cell>
          <cell r="Q922">
            <v>0.225466507572821</v>
          </cell>
          <cell r="R922">
            <v>0.225466507572821</v>
          </cell>
          <cell r="S922" t="e">
            <v>#VALUE!</v>
          </cell>
          <cell r="T922" t="e">
            <v>#VALUE!</v>
          </cell>
        </row>
        <row r="923">
          <cell r="A923" t="str">
            <v>045997K6XTPT</v>
          </cell>
          <cell r="B923" t="str">
            <v>MKP000631000726</v>
          </cell>
          <cell r="C923" t="str">
            <v/>
          </cell>
          <cell r="D923" t="str">
            <v>Conjunto Sala de Jantar Moscou Plus Madesa Mesa Tampo de Vidro com 6 Cadeiras Rustic/Preto</v>
          </cell>
          <cell r="E923" t="str">
            <v>MOSCOU</v>
          </cell>
          <cell r="F923" t="str">
            <v>SALA DE JANTAR</v>
          </cell>
          <cell r="G923" t="str">
            <v>4291X</v>
          </cell>
          <cell r="H923">
            <v>1329.99</v>
          </cell>
          <cell r="I923">
            <v>1189.92</v>
          </cell>
          <cell r="J923">
            <v>896.93920000000003</v>
          </cell>
          <cell r="K923">
            <v>0</v>
          </cell>
          <cell r="L923">
            <v>896.93920000000003</v>
          </cell>
          <cell r="M923">
            <v>0</v>
          </cell>
          <cell r="N923">
            <v>1189.92</v>
          </cell>
          <cell r="O923" t="str">
            <v>LEROY</v>
          </cell>
          <cell r="P923">
            <v>0</v>
          </cell>
          <cell r="Q923">
            <v>0.32664510593360202</v>
          </cell>
          <cell r="R923">
            <v>0.32664510593360202</v>
          </cell>
          <cell r="S923" t="e">
            <v>#VALUE!</v>
          </cell>
          <cell r="T923" t="e">
            <v>#VALUE!</v>
          </cell>
        </row>
        <row r="924">
          <cell r="A924" t="str">
            <v>XAGRGM25000109</v>
          </cell>
          <cell r="B924" t="str">
            <v>MKP000631003739</v>
          </cell>
          <cell r="C924" t="str">
            <v/>
          </cell>
          <cell r="D924" t="str">
            <v>Armário de Cozinha Completa 100% MDF 250cm Frentes Branco Brilho Acordes Madesa XA01</v>
          </cell>
          <cell r="E924" t="str">
            <v>ACORDES</v>
          </cell>
          <cell r="F924" t="str">
            <v>COZINHA</v>
          </cell>
          <cell r="G924" t="str">
            <v/>
          </cell>
          <cell r="H924">
            <v>2199.9899999999998</v>
          </cell>
          <cell r="I924">
            <v>2099.9899999999998</v>
          </cell>
          <cell r="J924">
            <v>1729.7537</v>
          </cell>
          <cell r="K924">
            <v>0</v>
          </cell>
          <cell r="L924">
            <v>1729.7537</v>
          </cell>
          <cell r="M924">
            <v>0</v>
          </cell>
          <cell r="N924">
            <v>2099.9899999999998</v>
          </cell>
          <cell r="O924" t="str">
            <v/>
          </cell>
          <cell r="P924">
            <v>0</v>
          </cell>
          <cell r="Q924">
            <v>0.21403989481277</v>
          </cell>
          <cell r="R924">
            <v>0.21403989481277</v>
          </cell>
          <cell r="S924" t="e">
            <v>#VALUE!</v>
          </cell>
          <cell r="T924" t="e">
            <v>#VALUE!</v>
          </cell>
        </row>
        <row r="925">
          <cell r="A925" t="str">
            <v>G2005709</v>
          </cell>
          <cell r="B925" t="str">
            <v>MKP000631002494</v>
          </cell>
          <cell r="C925" t="str">
            <v/>
          </cell>
          <cell r="D925" t="str">
            <v>Armário de Cozinha Completa 261cm Branco Emilly Hit Madesa</v>
          </cell>
          <cell r="E925" t="str">
            <v>HIT/EMILLY</v>
          </cell>
          <cell r="F925" t="str">
            <v>COZINHA</v>
          </cell>
          <cell r="G925" t="str">
            <v/>
          </cell>
          <cell r="H925">
            <v>1199.99</v>
          </cell>
          <cell r="I925">
            <v>1059.92</v>
          </cell>
          <cell r="J925">
            <v>834.34050000000002</v>
          </cell>
          <cell r="K925">
            <v>0</v>
          </cell>
          <cell r="L925">
            <v>834.34050000000002</v>
          </cell>
          <cell r="M925">
            <v>0</v>
          </cell>
          <cell r="N925">
            <v>1059.92</v>
          </cell>
          <cell r="O925" t="str">
            <v/>
          </cell>
          <cell r="P925">
            <v>0</v>
          </cell>
          <cell r="Q925">
            <v>0.27036863247079601</v>
          </cell>
          <cell r="R925">
            <v>0.27036863247079601</v>
          </cell>
          <cell r="S925" t="e">
            <v>#VALUE!</v>
          </cell>
          <cell r="T925" t="e">
            <v>#VALUE!</v>
          </cell>
        </row>
        <row r="926">
          <cell r="A926" t="str">
            <v>1094731E</v>
          </cell>
          <cell r="B926" t="str">
            <v>MKP000631002034</v>
          </cell>
          <cell r="C926" t="str">
            <v/>
          </cell>
          <cell r="D926" t="str">
            <v>Guarda-Roupa Solteiro Madesa Denver 2 Portas de Correr com Espelho Branco/Preto</v>
          </cell>
          <cell r="E926" t="str">
            <v>DENVER</v>
          </cell>
          <cell r="F926" t="str">
            <v>QUARTO</v>
          </cell>
          <cell r="G926" t="str">
            <v/>
          </cell>
          <cell r="H926">
            <v>1069.99</v>
          </cell>
          <cell r="I926">
            <v>819.99</v>
          </cell>
          <cell r="J926">
            <v>605.03719999999998</v>
          </cell>
          <cell r="K926">
            <v>0</v>
          </cell>
          <cell r="L926">
            <v>605.03719999999998</v>
          </cell>
          <cell r="M926">
            <v>0</v>
          </cell>
          <cell r="N926">
            <v>819.99</v>
          </cell>
          <cell r="O926" t="str">
            <v>IMPÉRIO</v>
          </cell>
          <cell r="P926">
            <v>799</v>
          </cell>
          <cell r="Q926">
            <v>0.35527203947129199</v>
          </cell>
          <cell r="R926">
            <v>0.35527203947129199</v>
          </cell>
          <cell r="S926" t="e">
            <v>#VALUE!</v>
          </cell>
          <cell r="T926" t="e">
            <v>#VALUE!</v>
          </cell>
        </row>
        <row r="927">
          <cell r="A927" t="str">
            <v>G271205ZPR</v>
          </cell>
          <cell r="B927" t="str">
            <v>MKP000631002740</v>
          </cell>
          <cell r="C927" t="str">
            <v/>
          </cell>
          <cell r="D927" t="str">
            <v>Tampo para Balcão de Pia de 120 x 60 cm para Cozinhas Madesa Glamy, Lux e Stella Rustic</v>
          </cell>
          <cell r="E927" t="str">
            <v>PR</v>
          </cell>
          <cell r="F927" t="str">
            <v>MODULAÇÃO</v>
          </cell>
          <cell r="G927" t="str">
            <v/>
          </cell>
          <cell r="H927">
            <v>379.99</v>
          </cell>
          <cell r="I927">
            <v>169.99</v>
          </cell>
          <cell r="J927">
            <v>98.710400000000007</v>
          </cell>
          <cell r="K927">
            <v>0</v>
          </cell>
          <cell r="L927">
            <v>98.710400000000007</v>
          </cell>
          <cell r="M927">
            <v>0</v>
          </cell>
          <cell r="N927">
            <v>169.99</v>
          </cell>
          <cell r="O927" t="str">
            <v>LOJA</v>
          </cell>
          <cell r="P927">
            <v>159.99</v>
          </cell>
          <cell r="Q927">
            <v>0.72210830874963505</v>
          </cell>
          <cell r="R927">
            <v>0.72210830874963505</v>
          </cell>
          <cell r="S927" t="e">
            <v>#VALUE!</v>
          </cell>
          <cell r="T927" t="e">
            <v>#VALUE!</v>
          </cell>
        </row>
        <row r="928">
          <cell r="A928" t="str">
            <v>10935ZCP</v>
          </cell>
          <cell r="B928" t="str">
            <v>MKP000631001074</v>
          </cell>
          <cell r="C928" t="str">
            <v/>
          </cell>
          <cell r="D928" t="str">
            <v>Guarda-Roupa Casal Madesa Mônaco 3 Portas de Correr com Pés Rustic</v>
          </cell>
          <cell r="E928" t="str">
            <v>MÔNACO</v>
          </cell>
          <cell r="F928" t="str">
            <v>QUARTO</v>
          </cell>
          <cell r="G928" t="str">
            <v/>
          </cell>
          <cell r="H928">
            <v>939.99</v>
          </cell>
          <cell r="I928">
            <v>819.92</v>
          </cell>
          <cell r="J928">
            <v>667.03639999999996</v>
          </cell>
          <cell r="K928">
            <v>0</v>
          </cell>
          <cell r="L928">
            <v>667.03639999999996</v>
          </cell>
          <cell r="M928">
            <v>0</v>
          </cell>
          <cell r="N928">
            <v>819.92</v>
          </cell>
          <cell r="O928" t="str">
            <v/>
          </cell>
          <cell r="P928">
            <v>0</v>
          </cell>
          <cell r="Q928">
            <v>0.229198286630235</v>
          </cell>
          <cell r="R928">
            <v>0.229198286630235</v>
          </cell>
          <cell r="S928" t="e">
            <v>#VALUE!</v>
          </cell>
          <cell r="T928" t="e">
            <v>#VALUE!</v>
          </cell>
        </row>
        <row r="929">
          <cell r="A929" t="str">
            <v>10979B1E</v>
          </cell>
          <cell r="B929" t="str">
            <v>MKP000631002477</v>
          </cell>
          <cell r="C929" t="str">
            <v/>
          </cell>
          <cell r="D929" t="str">
            <v>Guarda-Roupa Solteiro Madesa Tokio 2 Portas de Correr com Espelho 2 Gavetas Branco/Rustic</v>
          </cell>
          <cell r="E929" t="str">
            <v>TOKIO</v>
          </cell>
          <cell r="F929" t="str">
            <v>QUARTO</v>
          </cell>
          <cell r="G929" t="str">
            <v/>
          </cell>
          <cell r="H929">
            <v>1059.99</v>
          </cell>
          <cell r="I929">
            <v>929.92</v>
          </cell>
          <cell r="J929">
            <v>750.39959999999996</v>
          </cell>
          <cell r="K929">
            <v>0</v>
          </cell>
          <cell r="L929">
            <v>750.39959999999996</v>
          </cell>
          <cell r="M929">
            <v>0</v>
          </cell>
          <cell r="N929">
            <v>929.92</v>
          </cell>
          <cell r="O929" t="str">
            <v/>
          </cell>
          <cell r="P929">
            <v>0</v>
          </cell>
          <cell r="Q929">
            <v>0.239233069953662</v>
          </cell>
          <cell r="R929">
            <v>0.239233069953662</v>
          </cell>
          <cell r="S929" t="e">
            <v>#VALUE!</v>
          </cell>
          <cell r="T929" t="e">
            <v>#VALUE!</v>
          </cell>
        </row>
        <row r="930">
          <cell r="A930" t="str">
            <v>G20088098N</v>
          </cell>
          <cell r="B930" t="str">
            <v>MKP000631001054</v>
          </cell>
          <cell r="C930" t="str">
            <v/>
          </cell>
          <cell r="D930" t="str">
            <v>Armário de Cozinha Completa 240cm Branco/Preto Topazio Madesa</v>
          </cell>
          <cell r="E930" t="str">
            <v>TOPÁZIO</v>
          </cell>
          <cell r="F930" t="str">
            <v>COZINHA</v>
          </cell>
          <cell r="G930" t="str">
            <v/>
          </cell>
          <cell r="H930">
            <v>1399.99</v>
          </cell>
          <cell r="I930">
            <v>1299.99</v>
          </cell>
          <cell r="J930">
            <v>1072.4292</v>
          </cell>
          <cell r="K930">
            <v>0</v>
          </cell>
          <cell r="L930">
            <v>1072.4292</v>
          </cell>
          <cell r="M930">
            <v>0</v>
          </cell>
          <cell r="N930">
            <v>1299.99</v>
          </cell>
          <cell r="O930" t="str">
            <v/>
          </cell>
          <cell r="P930">
            <v>0</v>
          </cell>
          <cell r="Q930">
            <v>0.21219190973166299</v>
          </cell>
          <cell r="R930">
            <v>0.21219190973166299</v>
          </cell>
          <cell r="S930" t="e">
            <v>#VALUE!</v>
          </cell>
          <cell r="T930" t="e">
            <v>#VALUE!</v>
          </cell>
        </row>
        <row r="931">
          <cell r="A931" t="str">
            <v>MDJA040154F9SIL</v>
          </cell>
          <cell r="B931" t="str">
            <v>MKP000631005365</v>
          </cell>
          <cell r="C931" t="str">
            <v/>
          </cell>
          <cell r="D931" t="str">
            <v>Conjunto Sala de Jantar Mesa Tampo de Madeira 4 Cadeiras Rustic/Cinza/Silver Keila Madesa</v>
          </cell>
          <cell r="E931" t="str">
            <v>KEILA</v>
          </cell>
          <cell r="F931" t="str">
            <v>SALA DE JANTAR</v>
          </cell>
          <cell r="G931">
            <v>4255</v>
          </cell>
          <cell r="H931">
            <v>1149.99</v>
          </cell>
          <cell r="I931">
            <v>1049.99</v>
          </cell>
          <cell r="J931">
            <v>803.80960000000005</v>
          </cell>
          <cell r="K931">
            <v>0</v>
          </cell>
          <cell r="L931">
            <v>803.80960000000005</v>
          </cell>
          <cell r="M931">
            <v>0</v>
          </cell>
          <cell r="N931">
            <v>1049.99</v>
          </cell>
          <cell r="O931" t="str">
            <v/>
          </cell>
          <cell r="P931">
            <v>0</v>
          </cell>
          <cell r="Q931">
            <v>0.30626705627800399</v>
          </cell>
          <cell r="R931">
            <v>0.30626705627800399</v>
          </cell>
          <cell r="S931" t="e">
            <v>#VALUE!</v>
          </cell>
          <cell r="T931" t="e">
            <v>#VALUE!</v>
          </cell>
        </row>
        <row r="932">
          <cell r="A932" t="str">
            <v>XA699009</v>
          </cell>
          <cell r="B932" t="str">
            <v>MKP000631003172</v>
          </cell>
          <cell r="C932" t="str">
            <v/>
          </cell>
          <cell r="D932" t="str">
            <v>Estante Organizadora Multiuso para Banheiro com 4 Prateleiras Madesa Branco</v>
          </cell>
          <cell r="E932">
            <v>6990</v>
          </cell>
          <cell r="F932" t="str">
            <v>COZINHA</v>
          </cell>
          <cell r="G932" t="str">
            <v/>
          </cell>
          <cell r="H932">
            <v>639.99</v>
          </cell>
          <cell r="I932">
            <v>229.99</v>
          </cell>
          <cell r="J932">
            <v>149.24279999999999</v>
          </cell>
          <cell r="K932">
            <v>0</v>
          </cell>
          <cell r="L932">
            <v>149.24279999999999</v>
          </cell>
          <cell r="M932">
            <v>0</v>
          </cell>
          <cell r="N932">
            <v>229.99</v>
          </cell>
          <cell r="O932" t="str">
            <v>RIACHUELO</v>
          </cell>
          <cell r="P932">
            <v>198.99</v>
          </cell>
          <cell r="Q932">
            <v>0.541045866199241</v>
          </cell>
          <cell r="R932">
            <v>0.541045866199241</v>
          </cell>
          <cell r="S932" t="e">
            <v>#VALUE!</v>
          </cell>
          <cell r="T932" t="e">
            <v>#VALUE!</v>
          </cell>
        </row>
        <row r="933">
          <cell r="A933" t="str">
            <v>MDES02001173</v>
          </cell>
          <cell r="B933" t="str">
            <v>MKP000631001148</v>
          </cell>
          <cell r="C933" t="str">
            <v/>
          </cell>
          <cell r="D933" t="str">
            <v>Rack Madesa Reims e Painel para TV até 55 Polegadas 2 Portas e 1 Gaveta Branco/Preto</v>
          </cell>
          <cell r="E933" t="str">
            <v>REIMS</v>
          </cell>
          <cell r="F933" t="str">
            <v>SALA DE ESTAR</v>
          </cell>
          <cell r="G933" t="str">
            <v/>
          </cell>
          <cell r="H933">
            <v>699.99</v>
          </cell>
          <cell r="I933">
            <v>599.99</v>
          </cell>
          <cell r="J933">
            <v>447.71749999999997</v>
          </cell>
          <cell r="K933">
            <v>0</v>
          </cell>
          <cell r="L933">
            <v>447.71749999999997</v>
          </cell>
          <cell r="M933">
            <v>0</v>
          </cell>
          <cell r="N933">
            <v>599.99</v>
          </cell>
          <cell r="O933" t="str">
            <v/>
          </cell>
          <cell r="P933">
            <v>0</v>
          </cell>
          <cell r="Q933">
            <v>0.34010843891516401</v>
          </cell>
          <cell r="R933">
            <v>0.34010843891516401</v>
          </cell>
          <cell r="S933" t="e">
            <v>#VALUE!</v>
          </cell>
          <cell r="T933" t="e">
            <v>#VALUE!</v>
          </cell>
        </row>
        <row r="934">
          <cell r="A934" t="str">
            <v>XBG2711509PR</v>
          </cell>
          <cell r="B934" t="str">
            <v>MKP000631003200</v>
          </cell>
          <cell r="C934" t="str">
            <v/>
          </cell>
          <cell r="D934" t="str">
            <v>Bancada para Cozinha Reims Madesa 115 cm Branco</v>
          </cell>
          <cell r="E934" t="str">
            <v>REIMS</v>
          </cell>
          <cell r="F934" t="str">
            <v>MODULAÇÃO</v>
          </cell>
          <cell r="G934" t="str">
            <v/>
          </cell>
          <cell r="H934">
            <v>619.99</v>
          </cell>
          <cell r="I934">
            <v>289.99</v>
          </cell>
          <cell r="J934">
            <v>178.71639999999999</v>
          </cell>
          <cell r="K934">
            <v>0</v>
          </cell>
          <cell r="L934">
            <v>178.71639999999999</v>
          </cell>
          <cell r="M934">
            <v>0</v>
          </cell>
          <cell r="N934">
            <v>289.99</v>
          </cell>
          <cell r="O934" t="str">
            <v/>
          </cell>
          <cell r="P934">
            <v>0</v>
          </cell>
          <cell r="Q934">
            <v>0.62262668675062804</v>
          </cell>
          <cell r="R934">
            <v>0.62262668675062804</v>
          </cell>
          <cell r="S934" t="e">
            <v>#VALUE!</v>
          </cell>
          <cell r="T934" t="e">
            <v>#VALUE!</v>
          </cell>
        </row>
        <row r="935">
          <cell r="A935" t="str">
            <v>G2435009RM</v>
          </cell>
          <cell r="B935" t="str">
            <v>MKP000631003041</v>
          </cell>
          <cell r="C935" t="str">
            <v/>
          </cell>
          <cell r="D935" t="str">
            <v>Balcão Madesa Reims 35 cm 1 Porta Branco</v>
          </cell>
          <cell r="E935" t="str">
            <v>REIMS</v>
          </cell>
          <cell r="F935" t="str">
            <v>MODULAÇÃO</v>
          </cell>
          <cell r="G935" t="str">
            <v/>
          </cell>
          <cell r="H935">
            <v>439.99</v>
          </cell>
          <cell r="I935">
            <v>269.99</v>
          </cell>
          <cell r="J935">
            <v>206.21709999999999</v>
          </cell>
          <cell r="K935">
            <v>0</v>
          </cell>
          <cell r="L935">
            <v>206.21709999999999</v>
          </cell>
          <cell r="M935">
            <v>0</v>
          </cell>
          <cell r="N935">
            <v>269.99</v>
          </cell>
          <cell r="O935" t="str">
            <v/>
          </cell>
          <cell r="P935">
            <v>0</v>
          </cell>
          <cell r="Q935">
            <v>0.309251269657075</v>
          </cell>
          <cell r="R935">
            <v>0.309251269657075</v>
          </cell>
          <cell r="S935" t="e">
            <v>#VALUE!</v>
          </cell>
          <cell r="T935" t="e">
            <v>#VALUE!</v>
          </cell>
        </row>
        <row r="936">
          <cell r="A936" t="str">
            <v>XAGRRM2600098N</v>
          </cell>
          <cell r="B936" t="str">
            <v>MKP000631004138</v>
          </cell>
          <cell r="C936" t="str">
            <v/>
          </cell>
          <cell r="D936" t="str">
            <v>Armário de Cozinha Completa 260cm Preto Reims Madesa 09</v>
          </cell>
          <cell r="E936" t="str">
            <v>REIMS</v>
          </cell>
          <cell r="F936" t="str">
            <v>COZINHA</v>
          </cell>
          <cell r="G936" t="str">
            <v/>
          </cell>
          <cell r="H936">
            <v>1369.99</v>
          </cell>
          <cell r="I936">
            <v>1229.99</v>
          </cell>
          <cell r="J936">
            <v>1022.5944</v>
          </cell>
          <cell r="K936">
            <v>0</v>
          </cell>
          <cell r="L936">
            <v>1022.5944</v>
          </cell>
          <cell r="M936">
            <v>0</v>
          </cell>
          <cell r="N936">
            <v>1229.99</v>
          </cell>
          <cell r="O936" t="str">
            <v>MAGALU</v>
          </cell>
          <cell r="P936">
            <v>1210.52</v>
          </cell>
          <cell r="Q936">
            <v>0.20281315837442501</v>
          </cell>
          <cell r="R936">
            <v>0.20281315837442501</v>
          </cell>
          <cell r="S936" t="e">
            <v>#VALUE!</v>
          </cell>
          <cell r="T936" t="e">
            <v>#VALUE!</v>
          </cell>
        </row>
        <row r="937">
          <cell r="A937" t="str">
            <v>MDJA0601487GBE</v>
          </cell>
          <cell r="B937" t="str">
            <v>MKP000631005712</v>
          </cell>
          <cell r="C937" t="str">
            <v/>
          </cell>
          <cell r="D937" t="str">
            <v>Conjunto Sala de Jantar Mesa Tampo de Madeira 6 Cadeiras Rustic/Crema/Bege Beverly Madesa</v>
          </cell>
          <cell r="E937" t="str">
            <v>BEVERLY</v>
          </cell>
          <cell r="F937" t="str">
            <v>SALA DE JANTAR</v>
          </cell>
          <cell r="G937" t="str">
            <v>4284X</v>
          </cell>
          <cell r="H937">
            <v>899.99</v>
          </cell>
          <cell r="I937">
            <v>799.99</v>
          </cell>
          <cell r="J937">
            <v>608.61239999999998</v>
          </cell>
          <cell r="K937">
            <v>0</v>
          </cell>
          <cell r="L937">
            <v>608.61239999999998</v>
          </cell>
          <cell r="M937">
            <v>0</v>
          </cell>
          <cell r="N937">
            <v>799.99</v>
          </cell>
          <cell r="O937" t="str">
            <v/>
          </cell>
          <cell r="P937">
            <v>0</v>
          </cell>
          <cell r="Q937">
            <v>0.31444906479066098</v>
          </cell>
          <cell r="R937">
            <v>0.31444906479066098</v>
          </cell>
          <cell r="S937" t="e">
            <v>#VALUE!</v>
          </cell>
          <cell r="T937" t="e">
            <v>#VALUE!</v>
          </cell>
        </row>
        <row r="938">
          <cell r="A938" t="str">
            <v>1097771E</v>
          </cell>
          <cell r="B938" t="str">
            <v>MKP000631002478</v>
          </cell>
          <cell r="C938" t="str">
            <v/>
          </cell>
          <cell r="D938" t="str">
            <v>Guarda-Roupa Solteiro Madesa Tokio 2 Portas de Correr com Espelho 2 Gavetas Preto/Branco</v>
          </cell>
          <cell r="E938" t="str">
            <v>TOKIO</v>
          </cell>
          <cell r="F938" t="str">
            <v>QUARTO</v>
          </cell>
          <cell r="G938" t="str">
            <v/>
          </cell>
          <cell r="H938">
            <v>1169.99</v>
          </cell>
          <cell r="I938">
            <v>899.99</v>
          </cell>
          <cell r="J938">
            <v>750.39959999999996</v>
          </cell>
          <cell r="K938">
            <v>0</v>
          </cell>
          <cell r="L938">
            <v>750.39959999999996</v>
          </cell>
          <cell r="M938">
            <v>0</v>
          </cell>
          <cell r="N938">
            <v>899.99</v>
          </cell>
          <cell r="O938" t="str">
            <v>WEB</v>
          </cell>
          <cell r="P938">
            <v>899.99</v>
          </cell>
          <cell r="Q938">
            <v>0.19934765423648901</v>
          </cell>
          <cell r="R938">
            <v>0.19934765423648901</v>
          </cell>
          <cell r="S938" t="e">
            <v>#VALUE!</v>
          </cell>
          <cell r="T938" t="e">
            <v>#VALUE!</v>
          </cell>
        </row>
        <row r="939">
          <cell r="A939" t="str">
            <v>G2560109PR</v>
          </cell>
          <cell r="B939" t="str">
            <v>MKP000631004419</v>
          </cell>
          <cell r="C939" t="str">
            <v/>
          </cell>
          <cell r="D939" t="str">
            <v>Armário Aéreo 60 cm com 2 Nichos Abertos para Cozinha Madesa Lux, Glamy, Agata, Stella Branco</v>
          </cell>
          <cell r="E939" t="str">
            <v>PR</v>
          </cell>
          <cell r="F939" t="str">
            <v>MODULAÇÃO</v>
          </cell>
          <cell r="G939" t="str">
            <v/>
          </cell>
          <cell r="H939">
            <v>319.89999999999998</v>
          </cell>
          <cell r="I939">
            <v>199.99</v>
          </cell>
          <cell r="J939">
            <v>117.70910000000001</v>
          </cell>
          <cell r="K939">
            <v>0</v>
          </cell>
          <cell r="L939">
            <v>117.70910000000001</v>
          </cell>
          <cell r="M939">
            <v>0</v>
          </cell>
          <cell r="N939">
            <v>199.99</v>
          </cell>
          <cell r="O939" t="str">
            <v/>
          </cell>
          <cell r="P939">
            <v>0</v>
          </cell>
          <cell r="Q939">
            <v>0.69901902231858004</v>
          </cell>
          <cell r="R939">
            <v>0.69901902231858004</v>
          </cell>
          <cell r="S939" t="e">
            <v>#VALUE!</v>
          </cell>
          <cell r="T939" t="e">
            <v>#VALUE!</v>
          </cell>
        </row>
        <row r="940">
          <cell r="A940" t="str">
            <v>10935Z2G</v>
          </cell>
          <cell r="B940" t="str">
            <v>MKP000631000475</v>
          </cell>
          <cell r="C940" t="str">
            <v/>
          </cell>
          <cell r="D940" t="str">
            <v>Guarda-Roupa Casal Madesa Lyon 3 Portas de Correr 2 Gavetas Rustic</v>
          </cell>
          <cell r="E940" t="str">
            <v>LYON</v>
          </cell>
          <cell r="F940" t="str">
            <v>QUARTO</v>
          </cell>
          <cell r="G940" t="str">
            <v/>
          </cell>
          <cell r="H940">
            <v>999.99</v>
          </cell>
          <cell r="I940">
            <v>869.92</v>
          </cell>
          <cell r="J940">
            <v>709.59</v>
          </cell>
          <cell r="K940">
            <v>0</v>
          </cell>
          <cell r="L940">
            <v>709.59</v>
          </cell>
          <cell r="M940">
            <v>0</v>
          </cell>
          <cell r="N940">
            <v>869.92</v>
          </cell>
          <cell r="O940" t="str">
            <v/>
          </cell>
          <cell r="P940">
            <v>0</v>
          </cell>
          <cell r="Q940">
            <v>0.22594737806338899</v>
          </cell>
          <cell r="R940">
            <v>0.22594737806338899</v>
          </cell>
          <cell r="S940" t="e">
            <v>#VALUE!</v>
          </cell>
          <cell r="T940" t="e">
            <v>#VALUE!</v>
          </cell>
        </row>
        <row r="941">
          <cell r="A941" t="str">
            <v>MDJA0601337GSIM</v>
          </cell>
          <cell r="B941" t="str">
            <v>MKP000631004889</v>
          </cell>
          <cell r="C941" t="str">
            <v/>
          </cell>
          <cell r="D941" t="str">
            <v>Conjunto Sala de Jantar Mesa Tampo de Vidro 6 Cadeiras Rustic/Crema/Imperial Stéfani Madesa</v>
          </cell>
          <cell r="E941" t="str">
            <v>STÉFANI</v>
          </cell>
          <cell r="F941" t="str">
            <v>SALA DE JANTAR</v>
          </cell>
          <cell r="G941">
            <v>4256</v>
          </cell>
          <cell r="H941">
            <v>1899.99</v>
          </cell>
          <cell r="I941">
            <v>1799.99</v>
          </cell>
          <cell r="J941">
            <v>1441.3397</v>
          </cell>
          <cell r="K941">
            <v>0</v>
          </cell>
          <cell r="L941">
            <v>1441.3397</v>
          </cell>
          <cell r="M941">
            <v>0</v>
          </cell>
          <cell r="N941">
            <v>1799.99</v>
          </cell>
          <cell r="O941" t="str">
            <v>MELI</v>
          </cell>
          <cell r="P941">
            <v>1966.66</v>
          </cell>
          <cell r="Q941">
            <v>0.248831208909322</v>
          </cell>
          <cell r="R941">
            <v>0.248831208909322</v>
          </cell>
          <cell r="S941" t="e">
            <v>#VALUE!</v>
          </cell>
          <cell r="T941" t="e">
            <v>#VALUE!</v>
          </cell>
        </row>
        <row r="942">
          <cell r="A942" t="str">
            <v>MDJA0401546ESIL</v>
          </cell>
          <cell r="B942" t="str">
            <v>MKP000631005368</v>
          </cell>
          <cell r="C942" t="str">
            <v/>
          </cell>
          <cell r="D942" t="str">
            <v>Conjunto Sala de Jantar Mesa Tampo de Madeira 4 Cadeiras Rustic/Branco/Silver Keila Madesa</v>
          </cell>
          <cell r="E942" t="str">
            <v>KEILA</v>
          </cell>
          <cell r="F942" t="str">
            <v>SALA DE JANTAR</v>
          </cell>
          <cell r="G942">
            <v>4255</v>
          </cell>
          <cell r="H942">
            <v>1149.99</v>
          </cell>
          <cell r="I942">
            <v>1049.99</v>
          </cell>
          <cell r="J942">
            <v>803.80960000000005</v>
          </cell>
          <cell r="K942">
            <v>0</v>
          </cell>
          <cell r="L942">
            <v>803.80960000000005</v>
          </cell>
          <cell r="M942">
            <v>0</v>
          </cell>
          <cell r="N942">
            <v>1049.99</v>
          </cell>
          <cell r="O942" t="str">
            <v/>
          </cell>
          <cell r="P942">
            <v>0</v>
          </cell>
          <cell r="Q942">
            <v>0.30626705627800399</v>
          </cell>
          <cell r="R942">
            <v>0.30626705627800399</v>
          </cell>
          <cell r="S942" t="e">
            <v>#VALUE!</v>
          </cell>
          <cell r="T942" t="e">
            <v>#VALUE!</v>
          </cell>
        </row>
        <row r="943">
          <cell r="A943" t="str">
            <v>MDJA0401085ZFLH</v>
          </cell>
          <cell r="B943" t="str">
            <v>MKP000631004173</v>
          </cell>
          <cell r="C943" t="str">
            <v/>
          </cell>
          <cell r="D943" t="str">
            <v>Conjunto Sala de Jantar Madesa Débora Mesa Tampo de Vidro Redondo 4 Cadeiras Rustic/Hibiscos</v>
          </cell>
          <cell r="E943" t="str">
            <v>DÉBORA</v>
          </cell>
          <cell r="F943" t="str">
            <v>SALA DE JANTAR</v>
          </cell>
          <cell r="G943" t="str">
            <v>4290X</v>
          </cell>
          <cell r="H943">
            <v>779.99</v>
          </cell>
          <cell r="I943">
            <v>679.99</v>
          </cell>
          <cell r="J943">
            <v>531.88729999999998</v>
          </cell>
          <cell r="K943">
            <v>0</v>
          </cell>
          <cell r="L943">
            <v>531.88729999999998</v>
          </cell>
          <cell r="M943">
            <v>0</v>
          </cell>
          <cell r="N943">
            <v>679.99</v>
          </cell>
          <cell r="O943" t="str">
            <v/>
          </cell>
          <cell r="P943">
            <v>0</v>
          </cell>
          <cell r="Q943">
            <v>0.27844752074358597</v>
          </cell>
          <cell r="R943">
            <v>0.27844752074358597</v>
          </cell>
          <cell r="S943" t="e">
            <v>#VALUE!</v>
          </cell>
          <cell r="T943" t="e">
            <v>#VALUE!</v>
          </cell>
        </row>
        <row r="944">
          <cell r="A944" t="str">
            <v>G25602C9FT</v>
          </cell>
          <cell r="B944" t="str">
            <v>MKP000631004970</v>
          </cell>
          <cell r="C944" t="str">
            <v/>
          </cell>
          <cell r="D944" t="str">
            <v>Armário Aéreo 100% MDF 60 cm 1 Porta Basculante Branco Brilho Smart Madesa</v>
          </cell>
          <cell r="E944" t="str">
            <v>SMART</v>
          </cell>
          <cell r="F944" t="str">
            <v>MODULAÇÃO</v>
          </cell>
          <cell r="G944" t="str">
            <v/>
          </cell>
          <cell r="H944">
            <v>199.99</v>
          </cell>
          <cell r="I944">
            <v>169.99</v>
          </cell>
          <cell r="J944">
            <v>117.6546</v>
          </cell>
          <cell r="K944">
            <v>0</v>
          </cell>
          <cell r="L944">
            <v>117.6546</v>
          </cell>
          <cell r="M944">
            <v>0</v>
          </cell>
          <cell r="N944">
            <v>169.99</v>
          </cell>
          <cell r="O944" t="str">
            <v/>
          </cell>
          <cell r="P944">
            <v>0</v>
          </cell>
          <cell r="Q944">
            <v>0.44482238688500098</v>
          </cell>
          <cell r="R944">
            <v>0.44482238688500098</v>
          </cell>
          <cell r="S944" t="e">
            <v>#VALUE!</v>
          </cell>
          <cell r="T944" t="e">
            <v>#VALUE!</v>
          </cell>
        </row>
        <row r="945">
          <cell r="A945" t="str">
            <v>GCEM3570017K</v>
          </cell>
          <cell r="B945" t="str">
            <v>MKP000631002200</v>
          </cell>
          <cell r="C945" t="str">
            <v/>
          </cell>
          <cell r="D945" t="str">
            <v>Armário de Cozinha Completa de Canto 357cm Rustic/Preto Emilly Rock Madesa 01</v>
          </cell>
          <cell r="E945" t="str">
            <v>ROCK/EMILLY</v>
          </cell>
          <cell r="F945" t="str">
            <v>COZINHA</v>
          </cell>
          <cell r="G945" t="str">
            <v/>
          </cell>
          <cell r="H945">
            <v>1999.99</v>
          </cell>
          <cell r="I945">
            <v>1389.92</v>
          </cell>
          <cell r="J945">
            <v>1095.1884</v>
          </cell>
          <cell r="K945">
            <v>0</v>
          </cell>
          <cell r="L945">
            <v>1095.1884</v>
          </cell>
          <cell r="M945">
            <v>0</v>
          </cell>
          <cell r="N945">
            <v>1389.92</v>
          </cell>
          <cell r="O945" t="str">
            <v/>
          </cell>
          <cell r="P945">
            <v>0</v>
          </cell>
          <cell r="Q945">
            <v>0.26911497601691198</v>
          </cell>
          <cell r="R945">
            <v>0.26911497601691198</v>
          </cell>
          <cell r="S945" t="e">
            <v>#VALUE!</v>
          </cell>
          <cell r="T945" t="e">
            <v>#VALUE!</v>
          </cell>
        </row>
        <row r="946">
          <cell r="A946" t="str">
            <v>69068N1</v>
          </cell>
          <cell r="B946" t="str">
            <v>MKP000631003425</v>
          </cell>
          <cell r="C946" t="str">
            <v/>
          </cell>
          <cell r="D946" t="str">
            <v>Estante Livreiro Madesa 6906 com 6 Nichos Preto</v>
          </cell>
          <cell r="E946">
            <v>6906</v>
          </cell>
          <cell r="F946" t="str">
            <v>ESCRITÓRIO</v>
          </cell>
          <cell r="G946" t="str">
            <v/>
          </cell>
          <cell r="H946">
            <v>469.99</v>
          </cell>
          <cell r="I946">
            <v>289.92</v>
          </cell>
          <cell r="J946">
            <v>182.8039</v>
          </cell>
          <cell r="K946">
            <v>0</v>
          </cell>
          <cell r="L946">
            <v>182.8039</v>
          </cell>
          <cell r="M946">
            <v>0</v>
          </cell>
          <cell r="N946">
            <v>289.92</v>
          </cell>
          <cell r="O946" t="str">
            <v/>
          </cell>
          <cell r="P946">
            <v>0</v>
          </cell>
          <cell r="Q946">
            <v>0.58596178746733496</v>
          </cell>
          <cell r="R946">
            <v>0.58596178746733496</v>
          </cell>
          <cell r="S946" t="e">
            <v>#VALUE!</v>
          </cell>
          <cell r="T946" t="e">
            <v>#VALUE!</v>
          </cell>
        </row>
        <row r="947">
          <cell r="A947" t="str">
            <v>MDJA0601307KSIM</v>
          </cell>
          <cell r="B947" t="str">
            <v>MKP000631003219</v>
          </cell>
          <cell r="C947" t="str">
            <v/>
          </cell>
          <cell r="D947" t="str">
            <v>Conjunto Sala de Jantar Madesa Luciana Mesa Tampo de Madeira com 6 Cadeiras Rustic/Preto/Imperial</v>
          </cell>
          <cell r="E947" t="str">
            <v>LUCIANA</v>
          </cell>
          <cell r="F947" t="str">
            <v>SALA DE JANTAR</v>
          </cell>
          <cell r="G947">
            <v>4255</v>
          </cell>
          <cell r="H947">
            <v>1499.99</v>
          </cell>
          <cell r="I947">
            <v>1399.99</v>
          </cell>
          <cell r="J947">
            <v>1094.3927000000001</v>
          </cell>
          <cell r="K947">
            <v>0</v>
          </cell>
          <cell r="L947">
            <v>1094.3927000000001</v>
          </cell>
          <cell r="M947">
            <v>0</v>
          </cell>
          <cell r="N947">
            <v>1399.99</v>
          </cell>
          <cell r="O947" t="str">
            <v/>
          </cell>
          <cell r="P947">
            <v>0</v>
          </cell>
          <cell r="Q947">
            <v>0.27923916159162998</v>
          </cell>
          <cell r="R947">
            <v>0.27923916159162998</v>
          </cell>
          <cell r="S947" t="e">
            <v>#VALUE!</v>
          </cell>
          <cell r="T947" t="e">
            <v>#VALUE!</v>
          </cell>
        </row>
        <row r="948">
          <cell r="A948" t="str">
            <v>1093D82G</v>
          </cell>
          <cell r="B948" t="str">
            <v>MKP000631002216</v>
          </cell>
          <cell r="C948" t="str">
            <v/>
          </cell>
          <cell r="D948" t="str">
            <v>Guarda-Roupa Casal Madesa Lyon 3 Portas de Correr 2 Gavetas Preto/Rustic</v>
          </cell>
          <cell r="E948" t="str">
            <v>LYON</v>
          </cell>
          <cell r="F948" t="str">
            <v>QUARTO</v>
          </cell>
          <cell r="G948" t="str">
            <v/>
          </cell>
          <cell r="H948">
            <v>1139.99</v>
          </cell>
          <cell r="I948">
            <v>869.92</v>
          </cell>
          <cell r="J948">
            <v>709.59</v>
          </cell>
          <cell r="K948">
            <v>0</v>
          </cell>
          <cell r="L948">
            <v>709.59</v>
          </cell>
          <cell r="M948">
            <v>0</v>
          </cell>
          <cell r="N948">
            <v>869.92</v>
          </cell>
          <cell r="O948" t="str">
            <v/>
          </cell>
          <cell r="P948">
            <v>0</v>
          </cell>
          <cell r="Q948">
            <v>0.22594737806338899</v>
          </cell>
          <cell r="R948">
            <v>0.22594737806338899</v>
          </cell>
          <cell r="S948" t="e">
            <v>#VALUE!</v>
          </cell>
          <cell r="T948" t="e">
            <v>#VALUE!</v>
          </cell>
        </row>
        <row r="949">
          <cell r="A949" t="str">
            <v>10639B1ECP</v>
          </cell>
          <cell r="B949" t="str">
            <v>MKP000631000998</v>
          </cell>
          <cell r="C949" t="str">
            <v/>
          </cell>
          <cell r="D949" t="str">
            <v>Guarda-Roupa Casal 100% MDF Madesa Royale 3 Portas de Correr com Espelho com Pés Branco/Rustic</v>
          </cell>
          <cell r="E949" t="str">
            <v>ROYALE</v>
          </cell>
          <cell r="F949" t="str">
            <v>QUARTO</v>
          </cell>
          <cell r="G949" t="str">
            <v/>
          </cell>
          <cell r="H949">
            <v>2789.99</v>
          </cell>
          <cell r="I949">
            <v>2419.9899999999998</v>
          </cell>
          <cell r="J949">
            <v>1838.7973</v>
          </cell>
          <cell r="K949">
            <v>0</v>
          </cell>
          <cell r="L949">
            <v>1838.7973</v>
          </cell>
          <cell r="M949">
            <v>0</v>
          </cell>
          <cell r="N949">
            <v>2419.9899999999998</v>
          </cell>
          <cell r="O949" t="str">
            <v>IMPÉRIO</v>
          </cell>
          <cell r="P949">
            <v>2259</v>
          </cell>
          <cell r="Q949">
            <v>0.316072195668331</v>
          </cell>
          <cell r="R949">
            <v>0.316072195668331</v>
          </cell>
          <cell r="S949" t="e">
            <v>#VALUE!</v>
          </cell>
          <cell r="T949" t="e">
            <v>#VALUE!</v>
          </cell>
        </row>
        <row r="950">
          <cell r="A950" t="str">
            <v>10975Z</v>
          </cell>
          <cell r="B950" t="str">
            <v>MKP000631002360</v>
          </cell>
          <cell r="C950" t="str">
            <v/>
          </cell>
          <cell r="D950" t="str">
            <v>Guarda-Roupa Solteiro Madesa Tokio 2 Portas de Correr 2 Gavetas Rustic</v>
          </cell>
          <cell r="E950" t="str">
            <v>TOKIO</v>
          </cell>
          <cell r="F950" t="str">
            <v>QUARTO</v>
          </cell>
          <cell r="G950" t="str">
            <v/>
          </cell>
          <cell r="H950">
            <v>1389.99</v>
          </cell>
          <cell r="I950">
            <v>799.99</v>
          </cell>
          <cell r="J950">
            <v>630.83749999999998</v>
          </cell>
          <cell r="K950">
            <v>0</v>
          </cell>
          <cell r="L950">
            <v>630.83749999999998</v>
          </cell>
          <cell r="M950">
            <v>0</v>
          </cell>
          <cell r="N950">
            <v>799.99</v>
          </cell>
          <cell r="O950" t="str">
            <v>LEROY</v>
          </cell>
          <cell r="P950">
            <v>776.99</v>
          </cell>
          <cell r="Q950">
            <v>0.268139576356827</v>
          </cell>
          <cell r="R950">
            <v>0.268139576356827</v>
          </cell>
          <cell r="S950" t="e">
            <v>#VALUE!</v>
          </cell>
          <cell r="T950" t="e">
            <v>#VALUE!</v>
          </cell>
        </row>
        <row r="951">
          <cell r="A951" t="str">
            <v>10936E2G</v>
          </cell>
          <cell r="B951" t="str">
            <v>MKP000631000815</v>
          </cell>
          <cell r="C951" t="str">
            <v/>
          </cell>
          <cell r="D951" t="str">
            <v>Guarda-Roupa Casal Madesa Lyon 3 Portas de Correr 2 Gavetas Rustic/Branco</v>
          </cell>
          <cell r="E951" t="str">
            <v>LYON</v>
          </cell>
          <cell r="F951" t="str">
            <v>QUARTO</v>
          </cell>
          <cell r="G951" t="str">
            <v/>
          </cell>
          <cell r="H951">
            <v>1429.99</v>
          </cell>
          <cell r="I951">
            <v>869.92</v>
          </cell>
          <cell r="J951">
            <v>709.59</v>
          </cell>
          <cell r="K951">
            <v>0</v>
          </cell>
          <cell r="L951">
            <v>709.59</v>
          </cell>
          <cell r="M951">
            <v>0</v>
          </cell>
          <cell r="N951">
            <v>869.92</v>
          </cell>
          <cell r="O951" t="str">
            <v/>
          </cell>
          <cell r="P951">
            <v>0</v>
          </cell>
          <cell r="Q951">
            <v>0.22594737806338899</v>
          </cell>
          <cell r="R951">
            <v>0.22594737806338899</v>
          </cell>
          <cell r="S951" t="e">
            <v>#VALUE!</v>
          </cell>
          <cell r="T951" t="e">
            <v>#VALUE!</v>
          </cell>
        </row>
        <row r="952">
          <cell r="A952" t="str">
            <v>GRTP2400019B</v>
          </cell>
          <cell r="B952" t="str">
            <v>MKP000631001055</v>
          </cell>
          <cell r="C952" t="str">
            <v/>
          </cell>
          <cell r="D952" t="str">
            <v>Armário de Cozinha Completa 240cm Branco/Rustic Topazio Madesa 01</v>
          </cell>
          <cell r="E952" t="str">
            <v>TOPÁZIO</v>
          </cell>
          <cell r="F952" t="str">
            <v>COZINHA</v>
          </cell>
          <cell r="G952" t="str">
            <v/>
          </cell>
          <cell r="H952">
            <v>1299.99</v>
          </cell>
          <cell r="I952">
            <v>1199.99</v>
          </cell>
          <cell r="J952">
            <v>978.26409999999998</v>
          </cell>
          <cell r="K952">
            <v>0</v>
          </cell>
          <cell r="L952">
            <v>978.26409999999998</v>
          </cell>
          <cell r="M952">
            <v>0</v>
          </cell>
          <cell r="N952">
            <v>1199.99</v>
          </cell>
          <cell r="O952" t="str">
            <v/>
          </cell>
          <cell r="P952">
            <v>0</v>
          </cell>
          <cell r="Q952">
            <v>0.22665239376565099</v>
          </cell>
          <cell r="R952">
            <v>0.22665239376565099</v>
          </cell>
          <cell r="S952" t="e">
            <v>#VALUE!</v>
          </cell>
          <cell r="T952" t="e">
            <v>#VALUE!</v>
          </cell>
        </row>
        <row r="953">
          <cell r="A953" t="str">
            <v>GRAG2700037G</v>
          </cell>
          <cell r="B953" t="str">
            <v>MKP000631005428</v>
          </cell>
          <cell r="C953" t="str">
            <v/>
          </cell>
          <cell r="D953" t="str">
            <v>Armário de Cozinha Completa 270cm Rustic/Crema Agata Madesa 03</v>
          </cell>
          <cell r="E953" t="str">
            <v>ÁGATA</v>
          </cell>
          <cell r="F953" t="str">
            <v>COZINHA</v>
          </cell>
          <cell r="G953" t="str">
            <v/>
          </cell>
          <cell r="H953">
            <v>2339.9899999999998</v>
          </cell>
          <cell r="I953">
            <v>2119.92</v>
          </cell>
          <cell r="J953">
            <v>1695.8765000000001</v>
          </cell>
          <cell r="K953">
            <v>0</v>
          </cell>
          <cell r="L953">
            <v>1695.8765000000001</v>
          </cell>
          <cell r="M953">
            <v>0</v>
          </cell>
          <cell r="N953">
            <v>2119.92</v>
          </cell>
          <cell r="O953" t="str">
            <v/>
          </cell>
          <cell r="P953">
            <v>0</v>
          </cell>
          <cell r="Q953">
            <v>0.25004385637751297</v>
          </cell>
          <cell r="R953">
            <v>0.25004385637751297</v>
          </cell>
          <cell r="S953" t="e">
            <v>#VALUE!</v>
          </cell>
          <cell r="T953" t="e">
            <v>#VALUE!</v>
          </cell>
        </row>
        <row r="954">
          <cell r="A954" t="str">
            <v>109477</v>
          </cell>
          <cell r="B954" t="str">
            <v>MKP000631002031</v>
          </cell>
          <cell r="C954" t="str">
            <v/>
          </cell>
          <cell r="D954" t="str">
            <v>Guarda-Roupa Solteiro Madesa Denver 2 Portas de Correr Preto/Branco</v>
          </cell>
          <cell r="E954" t="str">
            <v>DENVER</v>
          </cell>
          <cell r="F954" t="str">
            <v>QUARTO</v>
          </cell>
          <cell r="G954" t="str">
            <v/>
          </cell>
          <cell r="H954">
            <v>699.99</v>
          </cell>
          <cell r="I954">
            <v>589.91999999999996</v>
          </cell>
          <cell r="J954">
            <v>475.10919999999999</v>
          </cell>
          <cell r="K954">
            <v>0</v>
          </cell>
          <cell r="L954">
            <v>475.10919999999999</v>
          </cell>
          <cell r="M954">
            <v>0</v>
          </cell>
          <cell r="N954">
            <v>589.91999999999996</v>
          </cell>
          <cell r="O954" t="str">
            <v/>
          </cell>
          <cell r="P954">
            <v>0</v>
          </cell>
          <cell r="Q954">
            <v>0.241651392985023</v>
          </cell>
          <cell r="R954">
            <v>0.241651392985023</v>
          </cell>
          <cell r="S954" t="e">
            <v>#VALUE!</v>
          </cell>
          <cell r="T954" t="e">
            <v>#VALUE!</v>
          </cell>
        </row>
        <row r="955">
          <cell r="A955" t="str">
            <v>GRGL24000709</v>
          </cell>
          <cell r="B955" t="str">
            <v>MKP000631005045</v>
          </cell>
          <cell r="C955" t="str">
            <v/>
          </cell>
          <cell r="D955" t="str">
            <v>Armário de Cozinha Completa 240cm Branco Glamy Madesa 07</v>
          </cell>
          <cell r="E955" t="str">
            <v>GLAMY</v>
          </cell>
          <cell r="F955" t="str">
            <v>COZINHA</v>
          </cell>
          <cell r="G955" t="str">
            <v/>
          </cell>
          <cell r="H955">
            <v>1879.99</v>
          </cell>
          <cell r="I955">
            <v>1749.92</v>
          </cell>
          <cell r="J955">
            <v>1345.278</v>
          </cell>
          <cell r="K955">
            <v>0</v>
          </cell>
          <cell r="L955">
            <v>1345.278</v>
          </cell>
          <cell r="M955">
            <v>0</v>
          </cell>
          <cell r="N955">
            <v>1749.92</v>
          </cell>
          <cell r="O955" t="str">
            <v/>
          </cell>
          <cell r="P955">
            <v>0</v>
          </cell>
          <cell r="Q955">
            <v>0.30078690055141</v>
          </cell>
          <cell r="R955">
            <v>0.30078690055141</v>
          </cell>
          <cell r="S955" t="e">
            <v>#VALUE!</v>
          </cell>
          <cell r="T955" t="e">
            <v>#VALUE!</v>
          </cell>
        </row>
        <row r="956">
          <cell r="A956" t="str">
            <v>G2007809RM</v>
          </cell>
          <cell r="B956" t="str">
            <v>MKP000631001684</v>
          </cell>
          <cell r="C956" t="str">
            <v/>
          </cell>
          <cell r="D956" t="str">
            <v>Kit Madesa Reims 60 cm com Armário Aéreo e Balcão com 3 Gavetas Branco</v>
          </cell>
          <cell r="E956" t="str">
            <v>REIMS</v>
          </cell>
          <cell r="F956" t="str">
            <v>MODULAÇÃO</v>
          </cell>
          <cell r="G956" t="str">
            <v/>
          </cell>
          <cell r="H956">
            <v>1099.99</v>
          </cell>
          <cell r="I956">
            <v>599.99</v>
          </cell>
          <cell r="J956">
            <v>486.89210000000003</v>
          </cell>
          <cell r="K956">
            <v>0</v>
          </cell>
          <cell r="L956">
            <v>486.89210000000003</v>
          </cell>
          <cell r="M956">
            <v>0</v>
          </cell>
          <cell r="N956">
            <v>599.99</v>
          </cell>
          <cell r="O956" t="str">
            <v/>
          </cell>
          <cell r="P956">
            <v>0</v>
          </cell>
          <cell r="Q956">
            <v>0.23228534617834201</v>
          </cell>
          <cell r="R956">
            <v>0.23228534617834201</v>
          </cell>
          <cell r="S956" t="e">
            <v>#VALUE!</v>
          </cell>
          <cell r="T956" t="e">
            <v>#VALUE!</v>
          </cell>
        </row>
        <row r="957">
          <cell r="A957" t="str">
            <v>GRGM27000773</v>
          </cell>
          <cell r="B957" t="str">
            <v>MKP000631004941</v>
          </cell>
          <cell r="C957" t="str">
            <v/>
          </cell>
          <cell r="D957" t="str">
            <v>Armário de Cozinha Completa 100% MDF 270cm Branco/Preto Acordes Madesa 07</v>
          </cell>
          <cell r="E957" t="str">
            <v>ACORDES</v>
          </cell>
          <cell r="F957" t="str">
            <v>COZINHA</v>
          </cell>
          <cell r="G957" t="str">
            <v/>
          </cell>
          <cell r="H957">
            <v>2149.9899999999998</v>
          </cell>
          <cell r="I957">
            <v>2049.9899999999998</v>
          </cell>
          <cell r="J957">
            <v>1713.8506</v>
          </cell>
          <cell r="K957">
            <v>0</v>
          </cell>
          <cell r="L957">
            <v>1713.8506</v>
          </cell>
          <cell r="M957">
            <v>0</v>
          </cell>
          <cell r="N957">
            <v>2049.9899999999998</v>
          </cell>
          <cell r="O957" t="str">
            <v/>
          </cell>
          <cell r="P957">
            <v>0</v>
          </cell>
          <cell r="Q957">
            <v>0.19613109800819301</v>
          </cell>
          <cell r="R957">
            <v>0.19613109800819301</v>
          </cell>
          <cell r="S957" t="e">
            <v>#VALUE!</v>
          </cell>
          <cell r="T957" t="e">
            <v>#VALUE!</v>
          </cell>
        </row>
        <row r="958">
          <cell r="A958" t="str">
            <v>MDJA0601407GSIM</v>
          </cell>
          <cell r="B958" t="str">
            <v>MKP000631005356</v>
          </cell>
          <cell r="C958" t="str">
            <v/>
          </cell>
          <cell r="D958" t="str">
            <v>Conjunto Sala de Jantar Mesa Tampo de Madeira 6 Cadeiras Rustic/Crema/Imperial Renata Madesa</v>
          </cell>
          <cell r="E958" t="str">
            <v>RENATA</v>
          </cell>
          <cell r="F958" t="str">
            <v>SALA DE JANTAR</v>
          </cell>
          <cell r="G958">
            <v>4255</v>
          </cell>
          <cell r="H958">
            <v>1469.99</v>
          </cell>
          <cell r="I958">
            <v>1369.99</v>
          </cell>
          <cell r="J958">
            <v>1064.2978000000001</v>
          </cell>
          <cell r="K958">
            <v>0</v>
          </cell>
          <cell r="L958">
            <v>1064.2978000000001</v>
          </cell>
          <cell r="M958">
            <v>0</v>
          </cell>
          <cell r="N958">
            <v>1369.99</v>
          </cell>
          <cell r="O958" t="str">
            <v/>
          </cell>
          <cell r="P958">
            <v>0</v>
          </cell>
          <cell r="Q958">
            <v>0.28722430883536498</v>
          </cell>
          <cell r="R958">
            <v>0.28722430883536498</v>
          </cell>
          <cell r="S958" t="e">
            <v>#VALUE!</v>
          </cell>
          <cell r="T958" t="e">
            <v>#VALUE!</v>
          </cell>
        </row>
        <row r="959">
          <cell r="A959" t="str">
            <v>GCLX5260019N</v>
          </cell>
          <cell r="B959" t="str">
            <v>MKP000631002713</v>
          </cell>
          <cell r="C959" t="str">
            <v/>
          </cell>
          <cell r="D959" t="str">
            <v>Armário de Cozinha Completa de Canto 526cm Rustic/Cinza Lux Madesa 01</v>
          </cell>
          <cell r="E959" t="str">
            <v>LUX</v>
          </cell>
          <cell r="F959" t="str">
            <v>COZINHA</v>
          </cell>
          <cell r="G959" t="str">
            <v/>
          </cell>
          <cell r="H959">
            <v>8319.99</v>
          </cell>
          <cell r="I959">
            <v>8219.99</v>
          </cell>
          <cell r="J959">
            <v>5048.3023000000003</v>
          </cell>
          <cell r="K959">
            <v>0</v>
          </cell>
          <cell r="L959">
            <v>5048.3023000000003</v>
          </cell>
          <cell r="M959">
            <v>0</v>
          </cell>
          <cell r="N959">
            <v>8219.99</v>
          </cell>
          <cell r="O959" t="str">
            <v>LOJA</v>
          </cell>
          <cell r="P959">
            <v>7229.99</v>
          </cell>
          <cell r="Q959">
            <v>0.62826818037422205</v>
          </cell>
          <cell r="R959">
            <v>0.62826818037422205</v>
          </cell>
          <cell r="S959" t="e">
            <v>#VALUE!</v>
          </cell>
          <cell r="T959" t="e">
            <v>#VALUE!</v>
          </cell>
        </row>
        <row r="960">
          <cell r="A960" t="str">
            <v>GRNC2600073B</v>
          </cell>
          <cell r="B960" t="str">
            <v>MKP000631004793</v>
          </cell>
          <cell r="C960" t="str">
            <v/>
          </cell>
          <cell r="D960" t="str">
            <v>Armário de Cozinha Completa 260cm Cinza Nice Madesa 07</v>
          </cell>
          <cell r="E960" t="str">
            <v>NICE</v>
          </cell>
          <cell r="F960" t="str">
            <v>COZINHA</v>
          </cell>
          <cell r="G960" t="str">
            <v/>
          </cell>
          <cell r="H960">
            <v>1899.99</v>
          </cell>
          <cell r="I960">
            <v>1799.99</v>
          </cell>
          <cell r="J960">
            <v>1376.4193</v>
          </cell>
          <cell r="K960">
            <v>0</v>
          </cell>
          <cell r="L960">
            <v>1376.4193</v>
          </cell>
          <cell r="M960">
            <v>0</v>
          </cell>
          <cell r="N960">
            <v>1799.99</v>
          </cell>
          <cell r="O960" t="str">
            <v/>
          </cell>
          <cell r="P960">
            <v>0</v>
          </cell>
          <cell r="Q960">
            <v>0.30773376978948203</v>
          </cell>
          <cell r="R960">
            <v>0.30773376978948203</v>
          </cell>
          <cell r="S960" t="e">
            <v>#VALUE!</v>
          </cell>
          <cell r="T960" t="e">
            <v>#VALUE!</v>
          </cell>
        </row>
        <row r="961">
          <cell r="A961" t="str">
            <v>G247508NRM</v>
          </cell>
          <cell r="B961" t="str">
            <v>MKP000631002350</v>
          </cell>
          <cell r="C961" t="str">
            <v/>
          </cell>
          <cell r="D961" t="str">
            <v>Balcão de Canto Madesa Reims 1 Porta Preto</v>
          </cell>
          <cell r="E961" t="str">
            <v>REIMS</v>
          </cell>
          <cell r="F961" t="str">
            <v>MODULAÇÃO</v>
          </cell>
          <cell r="G961" t="str">
            <v/>
          </cell>
          <cell r="H961">
            <v>959.99</v>
          </cell>
          <cell r="I961">
            <v>389.99</v>
          </cell>
          <cell r="J961">
            <v>278.73480000000001</v>
          </cell>
          <cell r="K961">
            <v>0</v>
          </cell>
          <cell r="L961">
            <v>278.73480000000001</v>
          </cell>
          <cell r="M961">
            <v>0</v>
          </cell>
          <cell r="N961">
            <v>389.99</v>
          </cell>
          <cell r="O961" t="str">
            <v/>
          </cell>
          <cell r="P961">
            <v>0</v>
          </cell>
          <cell r="Q961">
            <v>0.39914355868015</v>
          </cell>
          <cell r="R961">
            <v>0.39914355868015</v>
          </cell>
          <cell r="S961" t="e">
            <v>#VALUE!</v>
          </cell>
          <cell r="T961" t="e">
            <v>#VALUE!</v>
          </cell>
        </row>
        <row r="962">
          <cell r="A962" t="str">
            <v>GCEM4170019B</v>
          </cell>
          <cell r="B962" t="str">
            <v>MKP000631000454</v>
          </cell>
          <cell r="C962" t="str">
            <v/>
          </cell>
          <cell r="D962" t="str">
            <v>Armário de Cozinha Completa de Canto 417cm Rustic/Branco Emilly Ice Madesa 01</v>
          </cell>
          <cell r="E962" t="str">
            <v>ICE/EMILLY</v>
          </cell>
          <cell r="F962" t="str">
            <v>COZINHA</v>
          </cell>
          <cell r="G962" t="str">
            <v/>
          </cell>
          <cell r="H962">
            <v>2879.99</v>
          </cell>
          <cell r="I962">
            <v>1499.99</v>
          </cell>
          <cell r="J962">
            <v>1217.7262000000001</v>
          </cell>
          <cell r="K962">
            <v>0</v>
          </cell>
          <cell r="L962">
            <v>1217.7262000000001</v>
          </cell>
          <cell r="M962">
            <v>0</v>
          </cell>
          <cell r="N962">
            <v>1499.99</v>
          </cell>
          <cell r="O962" t="str">
            <v/>
          </cell>
          <cell r="P962">
            <v>0</v>
          </cell>
          <cell r="Q962">
            <v>0.23179578463533099</v>
          </cell>
          <cell r="R962">
            <v>0.23179578463533099</v>
          </cell>
          <cell r="S962" t="e">
            <v>#VALUE!</v>
          </cell>
          <cell r="T962" t="e">
            <v>#VALUE!</v>
          </cell>
        </row>
        <row r="963">
          <cell r="A963" t="str">
            <v>1095H91E</v>
          </cell>
          <cell r="B963" t="str">
            <v>MKP000631003533</v>
          </cell>
          <cell r="C963" t="str">
            <v/>
          </cell>
          <cell r="D963" t="str">
            <v>Guarda-Roupa Casal Madesa Reno 3 Portas de Correr com Espelho Preto/Cinza</v>
          </cell>
          <cell r="E963" t="str">
            <v>RENO</v>
          </cell>
          <cell r="F963" t="str">
            <v>QUARTO</v>
          </cell>
          <cell r="G963" t="str">
            <v/>
          </cell>
          <cell r="H963">
            <v>2059.9899999999998</v>
          </cell>
          <cell r="I963">
            <v>1289.99</v>
          </cell>
          <cell r="J963">
            <v>986.06849999999997</v>
          </cell>
          <cell r="K963">
            <v>0</v>
          </cell>
          <cell r="L963">
            <v>986.06849999999997</v>
          </cell>
          <cell r="M963">
            <v>0</v>
          </cell>
          <cell r="N963">
            <v>1289.99</v>
          </cell>
          <cell r="O963" t="str">
            <v>ZEMA</v>
          </cell>
          <cell r="P963">
            <v>1289.99</v>
          </cell>
          <cell r="Q963">
            <v>0.30821540288529597</v>
          </cell>
          <cell r="R963">
            <v>0.30821540288529597</v>
          </cell>
          <cell r="S963" t="e">
            <v>#VALUE!</v>
          </cell>
          <cell r="T963" t="e">
            <v>#VALUE!</v>
          </cell>
        </row>
        <row r="964">
          <cell r="A964" t="str">
            <v>10948N1E2G</v>
          </cell>
          <cell r="B964" t="str">
            <v>MKP000631001962</v>
          </cell>
          <cell r="C964" t="str">
            <v/>
          </cell>
          <cell r="D964" t="str">
            <v>Guarda-Roupa Solteiro Madesa Dallas 2 Portas de Correr com Espelho 2 Gavetas Preto</v>
          </cell>
          <cell r="E964" t="str">
            <v>DALLAS</v>
          </cell>
          <cell r="F964" t="str">
            <v>QUARTO</v>
          </cell>
          <cell r="G964" t="str">
            <v/>
          </cell>
          <cell r="H964">
            <v>1079.99</v>
          </cell>
          <cell r="I964">
            <v>949.92</v>
          </cell>
          <cell r="J964">
            <v>693.77409999999998</v>
          </cell>
          <cell r="K964">
            <v>0</v>
          </cell>
          <cell r="L964">
            <v>693.77409999999998</v>
          </cell>
          <cell r="M964">
            <v>0</v>
          </cell>
          <cell r="N964">
            <v>949.92</v>
          </cell>
          <cell r="O964" t="str">
            <v/>
          </cell>
          <cell r="P964">
            <v>0</v>
          </cell>
          <cell r="Q964">
            <v>0.36920648954753399</v>
          </cell>
          <cell r="R964">
            <v>0.36920648954753399</v>
          </cell>
          <cell r="S964" t="e">
            <v>#VALUE!</v>
          </cell>
          <cell r="T964" t="e">
            <v>#VALUE!</v>
          </cell>
        </row>
        <row r="965">
          <cell r="A965" t="str">
            <v>G200788NRM</v>
          </cell>
          <cell r="B965" t="str">
            <v>MKP000631001685</v>
          </cell>
          <cell r="C965" t="str">
            <v/>
          </cell>
          <cell r="D965" t="str">
            <v>Kit Madesa Reims 60 cm com Armário Aéreo e Balcão com 3 Gavetas Preto</v>
          </cell>
          <cell r="E965" t="str">
            <v>REIMS</v>
          </cell>
          <cell r="F965" t="str">
            <v>MODULAÇÃO</v>
          </cell>
          <cell r="G965" t="str">
            <v/>
          </cell>
          <cell r="H965">
            <v>1099.99</v>
          </cell>
          <cell r="I965">
            <v>599.99</v>
          </cell>
          <cell r="J965">
            <v>486.89210000000003</v>
          </cell>
          <cell r="K965">
            <v>0</v>
          </cell>
          <cell r="L965">
            <v>486.89210000000003</v>
          </cell>
          <cell r="M965">
            <v>0</v>
          </cell>
          <cell r="N965">
            <v>599.99</v>
          </cell>
          <cell r="O965" t="str">
            <v/>
          </cell>
          <cell r="P965">
            <v>0</v>
          </cell>
          <cell r="Q965">
            <v>0.23228534617834201</v>
          </cell>
          <cell r="R965">
            <v>0.23228534617834201</v>
          </cell>
          <cell r="S965" t="e">
            <v>#VALUE!</v>
          </cell>
          <cell r="T965" t="e">
            <v>#VALUE!</v>
          </cell>
        </row>
        <row r="966">
          <cell r="A966" t="str">
            <v>1095F9</v>
          </cell>
          <cell r="B966" t="str">
            <v>MKP000631003531</v>
          </cell>
          <cell r="C966" t="str">
            <v/>
          </cell>
          <cell r="D966" t="str">
            <v>Guarda-Roupa Casal Madesa Reno 3 Portas de Correr Rustic/Cinza</v>
          </cell>
          <cell r="E966" t="str">
            <v>RENO</v>
          </cell>
          <cell r="F966" t="str">
            <v>QUARTO</v>
          </cell>
          <cell r="G966" t="str">
            <v/>
          </cell>
          <cell r="H966">
            <v>1469.99</v>
          </cell>
          <cell r="I966">
            <v>1089.92</v>
          </cell>
          <cell r="J966">
            <v>918.40129999999999</v>
          </cell>
          <cell r="K966">
            <v>0</v>
          </cell>
          <cell r="L966">
            <v>918.40129999999999</v>
          </cell>
          <cell r="M966">
            <v>0</v>
          </cell>
          <cell r="N966">
            <v>1089.92</v>
          </cell>
          <cell r="O966" t="str">
            <v/>
          </cell>
          <cell r="P966">
            <v>0</v>
          </cell>
          <cell r="Q966">
            <v>0.18675790201952</v>
          </cell>
          <cell r="R966">
            <v>0.18675790201952</v>
          </cell>
          <cell r="S966" t="e">
            <v>#VALUE!</v>
          </cell>
          <cell r="T966" t="e">
            <v>#VALUE!</v>
          </cell>
        </row>
        <row r="967">
          <cell r="A967" t="str">
            <v>XA106309</v>
          </cell>
          <cell r="B967" t="str">
            <v>MKP000631001434</v>
          </cell>
          <cell r="C967" t="str">
            <v/>
          </cell>
          <cell r="D967" t="str">
            <v>Guarda-Roupa Infantil Madesa Logan 100% MDF 3 Portas de Correr Branco</v>
          </cell>
          <cell r="E967" t="str">
            <v>LOGAN</v>
          </cell>
          <cell r="F967" t="str">
            <v>QUARTO</v>
          </cell>
          <cell r="G967" t="str">
            <v/>
          </cell>
          <cell r="H967">
            <v>2999.99</v>
          </cell>
          <cell r="I967">
            <v>2039.99</v>
          </cell>
          <cell r="J967">
            <v>1551.3534</v>
          </cell>
          <cell r="K967">
            <v>0</v>
          </cell>
          <cell r="L967">
            <v>1551.3534</v>
          </cell>
          <cell r="M967">
            <v>0</v>
          </cell>
          <cell r="N967">
            <v>2039.99</v>
          </cell>
          <cell r="O967" t="str">
            <v>MADEIRAMADEIRA</v>
          </cell>
          <cell r="P967">
            <v>1879.99</v>
          </cell>
          <cell r="Q967">
            <v>0.31497439590489201</v>
          </cell>
          <cell r="R967">
            <v>0.31497439590489201</v>
          </cell>
          <cell r="S967" t="e">
            <v>#VALUE!</v>
          </cell>
          <cell r="T967" t="e">
            <v>#VALUE!</v>
          </cell>
        </row>
        <row r="968">
          <cell r="A968" t="str">
            <v>10638N</v>
          </cell>
          <cell r="B968" t="str">
            <v>MKP000631003026</v>
          </cell>
          <cell r="C968" t="str">
            <v/>
          </cell>
          <cell r="D968" t="str">
            <v>Guarda-Roupa Casal 100% MDF Madesa Royale 3 Portas de Correr Preto</v>
          </cell>
          <cell r="E968" t="str">
            <v>ROYALE</v>
          </cell>
          <cell r="F968" t="str">
            <v>QUARTO</v>
          </cell>
          <cell r="G968" t="str">
            <v/>
          </cell>
          <cell r="H968">
            <v>2999.99</v>
          </cell>
          <cell r="I968">
            <v>2099.9899999999998</v>
          </cell>
          <cell r="J968">
            <v>1551.3534</v>
          </cell>
          <cell r="K968">
            <v>0</v>
          </cell>
          <cell r="L968">
            <v>1551.3534</v>
          </cell>
          <cell r="M968">
            <v>0</v>
          </cell>
          <cell r="N968">
            <v>2099.9899999999998</v>
          </cell>
          <cell r="O968" t="str">
            <v>MADEIRAMADEIRA</v>
          </cell>
          <cell r="P968">
            <v>1879.99</v>
          </cell>
          <cell r="Q968">
            <v>0.35365030301928602</v>
          </cell>
          <cell r="R968">
            <v>0.35365030301928602</v>
          </cell>
          <cell r="S968" t="e">
            <v>#VALUE!</v>
          </cell>
          <cell r="T968" t="e">
            <v>#VALUE!</v>
          </cell>
        </row>
        <row r="969">
          <cell r="A969" t="str">
            <v>MDJA0401356ESIL</v>
          </cell>
          <cell r="B969" t="str">
            <v>MKP000631004736</v>
          </cell>
          <cell r="C969" t="str">
            <v/>
          </cell>
          <cell r="D969" t="str">
            <v>Conjunto Sala de Jantar Mesa Tampo de Vidro 4 Cadeiras Rustic/Branco/Silver Marilia Madesa</v>
          </cell>
          <cell r="E969" t="str">
            <v>MARILIA</v>
          </cell>
          <cell r="F969" t="str">
            <v>SALA DE JANTAR</v>
          </cell>
          <cell r="G969">
            <v>4256</v>
          </cell>
          <cell r="H969">
            <v>1699.99</v>
          </cell>
          <cell r="I969">
            <v>1439.99</v>
          </cell>
          <cell r="J969">
            <v>1112.5848000000001</v>
          </cell>
          <cell r="K969">
            <v>0</v>
          </cell>
          <cell r="L969">
            <v>1112.5848000000001</v>
          </cell>
          <cell r="M969">
            <v>0</v>
          </cell>
          <cell r="N969">
            <v>1439.99</v>
          </cell>
          <cell r="O969" t="str">
            <v>AMAZON</v>
          </cell>
          <cell r="P969">
            <v>1399.99</v>
          </cell>
          <cell r="Q969">
            <v>0.29427437800696199</v>
          </cell>
          <cell r="R969">
            <v>0.29427437800696199</v>
          </cell>
          <cell r="S969" t="e">
            <v>#VALUE!</v>
          </cell>
          <cell r="T969" t="e">
            <v>#VALUE!</v>
          </cell>
        </row>
        <row r="970">
          <cell r="A970" t="str">
            <v>GRSM300002A9</v>
          </cell>
          <cell r="B970" t="str">
            <v>MKP000631004185</v>
          </cell>
          <cell r="C970" t="str">
            <v/>
          </cell>
          <cell r="D970" t="str">
            <v>Armário de Cozinha Completa 100% MDF 300cm Branco/Rustic/Crema Smart Madesa 02</v>
          </cell>
          <cell r="E970" t="str">
            <v>SMART</v>
          </cell>
          <cell r="F970" t="str">
            <v>COZINHA</v>
          </cell>
          <cell r="G970" t="str">
            <v/>
          </cell>
          <cell r="H970">
            <v>2169.9899999999998</v>
          </cell>
          <cell r="I970">
            <v>2099.9899999999998</v>
          </cell>
          <cell r="J970">
            <v>1648.9738</v>
          </cell>
          <cell r="K970">
            <v>0</v>
          </cell>
          <cell r="L970">
            <v>1648.9738</v>
          </cell>
          <cell r="M970">
            <v>0</v>
          </cell>
          <cell r="N970">
            <v>2099.9899999999998</v>
          </cell>
          <cell r="O970" t="str">
            <v>MELI</v>
          </cell>
          <cell r="P970">
            <v>2198.9899999999998</v>
          </cell>
          <cell r="Q970">
            <v>0.27351326018642602</v>
          </cell>
          <cell r="R970">
            <v>0.27351326018642602</v>
          </cell>
          <cell r="S970" t="e">
            <v>#VALUE!</v>
          </cell>
          <cell r="T970" t="e">
            <v>#VALUE!</v>
          </cell>
        </row>
        <row r="971">
          <cell r="A971" t="str">
            <v>GCRM4620038N</v>
          </cell>
          <cell r="B971" t="str">
            <v>MKP000631004284</v>
          </cell>
          <cell r="C971" t="str">
            <v/>
          </cell>
          <cell r="D971" t="str">
            <v>Armário de Cozinha Completa de Canto 462cm Preto Reims Madesa 03</v>
          </cell>
          <cell r="E971" t="str">
            <v>REIMS</v>
          </cell>
          <cell r="F971" t="str">
            <v>COZINHA</v>
          </cell>
          <cell r="G971" t="str">
            <v/>
          </cell>
          <cell r="H971">
            <v>2199.9899999999998</v>
          </cell>
          <cell r="I971">
            <v>1999.99</v>
          </cell>
          <cell r="J971">
            <v>1655.6010000000001</v>
          </cell>
          <cell r="K971">
            <v>0</v>
          </cell>
          <cell r="L971">
            <v>1655.6010000000001</v>
          </cell>
          <cell r="M971">
            <v>0</v>
          </cell>
          <cell r="N971">
            <v>1999.99</v>
          </cell>
          <cell r="O971" t="str">
            <v>MADEIRAMADEIRA</v>
          </cell>
          <cell r="P971">
            <v>1989.99</v>
          </cell>
          <cell r="Q971">
            <v>0.20801449141429601</v>
          </cell>
          <cell r="R971">
            <v>0.20801449141429601</v>
          </cell>
          <cell r="S971" t="e">
            <v>#VALUE!</v>
          </cell>
          <cell r="T971" t="e">
            <v>#VALUE!</v>
          </cell>
        </row>
        <row r="972">
          <cell r="A972" t="str">
            <v>044765ZXTLIB</v>
          </cell>
          <cell r="B972" t="str">
            <v>MKP000631000798</v>
          </cell>
          <cell r="C972" t="str">
            <v/>
          </cell>
          <cell r="D972" t="str">
            <v>Conjunto Sala de Jantar Madesa Magda Mesa Tampo de Vidro com 4 Cadeiras Rustic/Lírio Bege</v>
          </cell>
          <cell r="E972" t="str">
            <v>MAGDA</v>
          </cell>
          <cell r="F972" t="str">
            <v>SALA DE JANTAR</v>
          </cell>
          <cell r="G972" t="str">
            <v>4290X</v>
          </cell>
          <cell r="H972">
            <v>699.99</v>
          </cell>
          <cell r="I972">
            <v>599.99</v>
          </cell>
          <cell r="J972">
            <v>493.51929999999999</v>
          </cell>
          <cell r="K972">
            <v>0</v>
          </cell>
          <cell r="L972">
            <v>493.51929999999999</v>
          </cell>
          <cell r="M972">
            <v>0</v>
          </cell>
          <cell r="N972">
            <v>599.99</v>
          </cell>
          <cell r="O972" t="str">
            <v/>
          </cell>
          <cell r="P972">
            <v>0</v>
          </cell>
          <cell r="Q972">
            <v>0.21573766213398299</v>
          </cell>
          <cell r="R972">
            <v>0.21573766213398299</v>
          </cell>
          <cell r="S972" t="e">
            <v>#VALUE!</v>
          </cell>
          <cell r="T972" t="e">
            <v>#VALUE!</v>
          </cell>
        </row>
        <row r="973">
          <cell r="A973" t="str">
            <v>GRGL12001009</v>
          </cell>
          <cell r="B973" t="str">
            <v>MKP000631004884</v>
          </cell>
          <cell r="C973" t="str">
            <v/>
          </cell>
          <cell r="D973" t="str">
            <v>Kit Área De Serviço 120cm com Armário e Balcão Branco Madesa 01</v>
          </cell>
          <cell r="E973" t="str">
            <v>GLAMY</v>
          </cell>
          <cell r="F973" t="str">
            <v>COZINHA</v>
          </cell>
          <cell r="G973" t="str">
            <v/>
          </cell>
          <cell r="H973">
            <v>899.99</v>
          </cell>
          <cell r="I973">
            <v>799.99</v>
          </cell>
          <cell r="J973">
            <v>626.84810000000004</v>
          </cell>
          <cell r="K973">
            <v>0</v>
          </cell>
          <cell r="L973">
            <v>626.84810000000004</v>
          </cell>
          <cell r="M973">
            <v>0</v>
          </cell>
          <cell r="N973">
            <v>799.99</v>
          </cell>
          <cell r="O973" t="str">
            <v/>
          </cell>
          <cell r="P973">
            <v>0</v>
          </cell>
          <cell r="Q973">
            <v>0.276210297199593</v>
          </cell>
          <cell r="R973">
            <v>0.276210297199593</v>
          </cell>
          <cell r="S973" t="e">
            <v>#VALUE!</v>
          </cell>
          <cell r="T973" t="e">
            <v>#VALUE!</v>
          </cell>
        </row>
        <row r="974">
          <cell r="A974" t="str">
            <v>GCRM4520018N</v>
          </cell>
          <cell r="B974" t="str">
            <v>MKP000631002597</v>
          </cell>
          <cell r="C974" t="str">
            <v/>
          </cell>
          <cell r="D974" t="str">
            <v>Armário de Cozinha Completa de Canto 452cm Preto Reims Madesa 01</v>
          </cell>
          <cell r="E974" t="str">
            <v>REIMS</v>
          </cell>
          <cell r="F974" t="str">
            <v>COZINHA</v>
          </cell>
          <cell r="G974" t="str">
            <v/>
          </cell>
          <cell r="H974">
            <v>3939.99</v>
          </cell>
          <cell r="I974">
            <v>2469.92</v>
          </cell>
          <cell r="J974">
            <v>1923.9590000000001</v>
          </cell>
          <cell r="K974">
            <v>0</v>
          </cell>
          <cell r="L974">
            <v>1923.9590000000001</v>
          </cell>
          <cell r="M974">
            <v>0</v>
          </cell>
          <cell r="N974">
            <v>2469.92</v>
          </cell>
          <cell r="O974" t="str">
            <v/>
          </cell>
          <cell r="P974">
            <v>0</v>
          </cell>
          <cell r="Q974">
            <v>0.28376956057795399</v>
          </cell>
          <cell r="R974">
            <v>0.28376956057795399</v>
          </cell>
          <cell r="S974" t="e">
            <v>#VALUE!</v>
          </cell>
          <cell r="T974" t="e">
            <v>#VALUE!</v>
          </cell>
        </row>
        <row r="975">
          <cell r="A975" t="str">
            <v>GCEM3570037K</v>
          </cell>
          <cell r="B975" t="str">
            <v>MKP000631002194</v>
          </cell>
          <cell r="C975" t="str">
            <v/>
          </cell>
          <cell r="D975" t="str">
            <v>Armário de Cozinha Completa de Canto 357cm Rustic/Preto Emilly Mega Madesa 03</v>
          </cell>
          <cell r="E975" t="str">
            <v>MEGA/EMILLY</v>
          </cell>
          <cell r="F975" t="str">
            <v>COZINHA</v>
          </cell>
          <cell r="G975" t="str">
            <v/>
          </cell>
          <cell r="H975">
            <v>1699.99</v>
          </cell>
          <cell r="I975">
            <v>1599.99</v>
          </cell>
          <cell r="J975">
            <v>1316.6655000000001</v>
          </cell>
          <cell r="K975">
            <v>0</v>
          </cell>
          <cell r="L975">
            <v>1316.6655000000001</v>
          </cell>
          <cell r="M975">
            <v>0</v>
          </cell>
          <cell r="N975">
            <v>1599.99</v>
          </cell>
          <cell r="O975" t="str">
            <v/>
          </cell>
          <cell r="P975">
            <v>0</v>
          </cell>
          <cell r="Q975">
            <v>0.21518335522575799</v>
          </cell>
          <cell r="R975">
            <v>0.21518335522575799</v>
          </cell>
          <cell r="S975" t="e">
            <v>#VALUE!</v>
          </cell>
          <cell r="T975" t="e">
            <v>#VALUE!</v>
          </cell>
        </row>
        <row r="976">
          <cell r="A976" t="str">
            <v>10957K</v>
          </cell>
          <cell r="B976" t="str">
            <v>MKP000631002073</v>
          </cell>
          <cell r="C976" t="str">
            <v/>
          </cell>
          <cell r="D976" t="str">
            <v>Guarda-Roupa Casal Madesa Reno 3 Portas de Correr Rustic/Preto</v>
          </cell>
          <cell r="E976" t="str">
            <v>RENO</v>
          </cell>
          <cell r="F976" t="str">
            <v>QUARTO</v>
          </cell>
          <cell r="G976" t="str">
            <v/>
          </cell>
          <cell r="H976">
            <v>1939.99</v>
          </cell>
          <cell r="I976">
            <v>1089.92</v>
          </cell>
          <cell r="J976">
            <v>918.40129999999999</v>
          </cell>
          <cell r="K976">
            <v>0</v>
          </cell>
          <cell r="L976">
            <v>918.40129999999999</v>
          </cell>
          <cell r="M976">
            <v>0</v>
          </cell>
          <cell r="N976">
            <v>1089.92</v>
          </cell>
          <cell r="O976" t="str">
            <v/>
          </cell>
          <cell r="P976">
            <v>0</v>
          </cell>
          <cell r="Q976">
            <v>0.18675790201952</v>
          </cell>
          <cell r="R976">
            <v>0.18675790201952</v>
          </cell>
          <cell r="S976" t="e">
            <v>#VALUE!</v>
          </cell>
          <cell r="T976" t="e">
            <v>#VALUE!</v>
          </cell>
        </row>
        <row r="977">
          <cell r="A977" t="str">
            <v>GRAG2700045L</v>
          </cell>
          <cell r="B977" t="str">
            <v>MKP000631005429</v>
          </cell>
          <cell r="C977" t="str">
            <v/>
          </cell>
          <cell r="D977" t="str">
            <v>Armário de Cozinha Completa 270cm Branco/Crema Agata Madesa 04</v>
          </cell>
          <cell r="E977" t="str">
            <v>ÁGATA</v>
          </cell>
          <cell r="F977" t="str">
            <v>COZINHA</v>
          </cell>
          <cell r="G977" t="str">
            <v/>
          </cell>
          <cell r="H977">
            <v>1829.99</v>
          </cell>
          <cell r="I977">
            <v>1729.99</v>
          </cell>
          <cell r="J977">
            <v>1370.0536999999999</v>
          </cell>
          <cell r="K977">
            <v>0</v>
          </cell>
          <cell r="L977">
            <v>1370.0536999999999</v>
          </cell>
          <cell r="M977">
            <v>0</v>
          </cell>
          <cell r="N977">
            <v>1729.99</v>
          </cell>
          <cell r="O977" t="str">
            <v/>
          </cell>
          <cell r="P977">
            <v>0</v>
          </cell>
          <cell r="Q977">
            <v>0.26271692854083001</v>
          </cell>
          <cell r="R977">
            <v>0.26271692854083001</v>
          </cell>
          <cell r="S977" t="e">
            <v>#VALUE!</v>
          </cell>
          <cell r="T977" t="e">
            <v>#VALUE!</v>
          </cell>
        </row>
        <row r="978">
          <cell r="A978" t="str">
            <v>7008D8</v>
          </cell>
          <cell r="B978" t="str">
            <v>MKP000631001644</v>
          </cell>
          <cell r="C978" t="str">
            <v/>
          </cell>
          <cell r="D978" t="str">
            <v>Rack para TV até 65 Polegadas Madesa Cancun Preto/Rustic</v>
          </cell>
          <cell r="E978" t="str">
            <v>CANCUN</v>
          </cell>
          <cell r="F978" t="str">
            <v>SALA DE ESTAR</v>
          </cell>
          <cell r="G978" t="str">
            <v/>
          </cell>
          <cell r="H978">
            <v>719.99</v>
          </cell>
          <cell r="I978">
            <v>299.99</v>
          </cell>
          <cell r="J978">
            <v>250.32939999999999</v>
          </cell>
          <cell r="K978">
            <v>0</v>
          </cell>
          <cell r="L978">
            <v>250.32939999999999</v>
          </cell>
          <cell r="M978">
            <v>0</v>
          </cell>
          <cell r="N978">
            <v>299.99</v>
          </cell>
          <cell r="O978" t="str">
            <v/>
          </cell>
          <cell r="P978">
            <v>0</v>
          </cell>
          <cell r="Q978">
            <v>0.19838101317703799</v>
          </cell>
          <cell r="R978">
            <v>0.19838101317703799</v>
          </cell>
          <cell r="S978" t="e">
            <v>#VALUE!</v>
          </cell>
          <cell r="T978" t="e">
            <v>#VALUE!</v>
          </cell>
        </row>
        <row r="979">
          <cell r="A979" t="str">
            <v>GRNC1600023B</v>
          </cell>
          <cell r="B979" t="str">
            <v>MKP000631005921</v>
          </cell>
          <cell r="C979" t="str">
            <v/>
          </cell>
          <cell r="D979" t="str">
            <v>Armário de Cozinha Completa Suspenso 160cm Cinza Nice Madesa 02</v>
          </cell>
          <cell r="E979" t="str">
            <v>NICE</v>
          </cell>
          <cell r="F979" t="str">
            <v>COZINHA</v>
          </cell>
          <cell r="G979" t="str">
            <v/>
          </cell>
          <cell r="H979">
            <v>1149.99</v>
          </cell>
          <cell r="I979">
            <v>1059.99</v>
          </cell>
          <cell r="J979">
            <v>853.54629999999997</v>
          </cell>
          <cell r="K979">
            <v>0</v>
          </cell>
          <cell r="L979">
            <v>853.54629999999997</v>
          </cell>
          <cell r="M979">
            <v>0</v>
          </cell>
          <cell r="N979">
            <v>1059.99</v>
          </cell>
          <cell r="O979" t="str">
            <v>CARREFOUR</v>
          </cell>
          <cell r="P979">
            <v>1049.99</v>
          </cell>
          <cell r="Q979">
            <v>0.24186584840213099</v>
          </cell>
          <cell r="R979">
            <v>0.24186584840213099</v>
          </cell>
          <cell r="S979" t="e">
            <v>#VALUE!</v>
          </cell>
          <cell r="T979" t="e">
            <v>#VALUE!</v>
          </cell>
        </row>
        <row r="980">
          <cell r="A980" t="str">
            <v>G241243BNCCT</v>
          </cell>
          <cell r="B980" t="str">
            <v>MKP000631004827</v>
          </cell>
          <cell r="C980" t="str">
            <v/>
          </cell>
          <cell r="D980" t="str">
            <v>Balcão de Pia 3 Portas 1 Gaveta Com Pés Cinza Nice Madesa</v>
          </cell>
          <cell r="E980" t="str">
            <v>NICE</v>
          </cell>
          <cell r="F980" t="str">
            <v>MODULAÇÃO</v>
          </cell>
          <cell r="G980" t="str">
            <v/>
          </cell>
          <cell r="H980">
            <v>769.99</v>
          </cell>
          <cell r="I980">
            <v>549.99</v>
          </cell>
          <cell r="J980">
            <v>377.8485</v>
          </cell>
          <cell r="K980">
            <v>0</v>
          </cell>
          <cell r="L980">
            <v>377.8485</v>
          </cell>
          <cell r="M980">
            <v>0</v>
          </cell>
          <cell r="N980">
            <v>549.99</v>
          </cell>
          <cell r="O980" t="str">
            <v/>
          </cell>
          <cell r="P980">
            <v>0</v>
          </cell>
          <cell r="Q980">
            <v>0.45558338858034397</v>
          </cell>
          <cell r="R980">
            <v>0.45558338858034397</v>
          </cell>
          <cell r="S980" t="e">
            <v>#VALUE!</v>
          </cell>
          <cell r="T980" t="e">
            <v>#VALUE!</v>
          </cell>
        </row>
        <row r="981">
          <cell r="A981" t="str">
            <v>332209</v>
          </cell>
          <cell r="B981" t="str">
            <v>MKP000631004754</v>
          </cell>
          <cell r="C981" t="str">
            <v/>
          </cell>
          <cell r="D981" t="str">
            <v>Gaveteiro Organizador para Escritório 3322 Madesa 3 Gavetas com Rodinhas Branco</v>
          </cell>
          <cell r="E981">
            <v>3322</v>
          </cell>
          <cell r="F981" t="str">
            <v>ESCRITÓRIO</v>
          </cell>
          <cell r="G981" t="str">
            <v/>
          </cell>
          <cell r="H981">
            <v>439.99</v>
          </cell>
          <cell r="I981">
            <v>329.92</v>
          </cell>
          <cell r="J981">
            <v>247.74610000000001</v>
          </cell>
          <cell r="K981">
            <v>0</v>
          </cell>
          <cell r="L981">
            <v>247.74610000000001</v>
          </cell>
          <cell r="M981">
            <v>0</v>
          </cell>
          <cell r="N981">
            <v>329.92</v>
          </cell>
          <cell r="O981" t="str">
            <v/>
          </cell>
          <cell r="P981">
            <v>0</v>
          </cell>
          <cell r="Q981">
            <v>0.33168594783126798</v>
          </cell>
          <cell r="R981">
            <v>0.33168594783126798</v>
          </cell>
          <cell r="S981" t="e">
            <v>#VALUE!</v>
          </cell>
          <cell r="T981" t="e">
            <v>#VALUE!</v>
          </cell>
        </row>
        <row r="982">
          <cell r="A982" t="str">
            <v>GRAG200001F8</v>
          </cell>
          <cell r="B982" t="str">
            <v>MKP000631004966</v>
          </cell>
          <cell r="C982" t="str">
            <v/>
          </cell>
          <cell r="D982" t="str">
            <v>Kit com 2 Balcões de Cozinha Madesa Agata 3 Gavetas 4 Portas (Sem Tampo e Pia) Branco/Cinza</v>
          </cell>
          <cell r="E982" t="str">
            <v>ÁGATA</v>
          </cell>
          <cell r="F982" t="str">
            <v>COZINHA</v>
          </cell>
          <cell r="G982" t="str">
            <v/>
          </cell>
          <cell r="H982">
            <v>1169.99</v>
          </cell>
          <cell r="I982">
            <v>1069.99</v>
          </cell>
          <cell r="J982">
            <v>868.41390000000001</v>
          </cell>
          <cell r="K982">
            <v>0</v>
          </cell>
          <cell r="L982">
            <v>868.41390000000001</v>
          </cell>
          <cell r="M982">
            <v>0</v>
          </cell>
          <cell r="N982">
            <v>1069.99</v>
          </cell>
          <cell r="O982" t="str">
            <v/>
          </cell>
          <cell r="P982">
            <v>0</v>
          </cell>
          <cell r="Q982">
            <v>0.23211984515678499</v>
          </cell>
          <cell r="R982">
            <v>0.23211984515678499</v>
          </cell>
          <cell r="S982" t="e">
            <v>#VALUE!</v>
          </cell>
          <cell r="T982" t="e">
            <v>#VALUE!</v>
          </cell>
        </row>
        <row r="983">
          <cell r="A983" t="str">
            <v>1095731E</v>
          </cell>
          <cell r="B983" t="str">
            <v>MKP000631002074</v>
          </cell>
          <cell r="C983" t="str">
            <v/>
          </cell>
          <cell r="D983" t="str">
            <v>Guarda-Roupa Casal Madesa Reno 3 Portas de Correr com Espelho Branco/Preto</v>
          </cell>
          <cell r="E983" t="str">
            <v>RENO</v>
          </cell>
          <cell r="F983" t="str">
            <v>QUARTO</v>
          </cell>
          <cell r="G983" t="str">
            <v/>
          </cell>
          <cell r="H983">
            <v>1299.99</v>
          </cell>
          <cell r="I983">
            <v>1199.99</v>
          </cell>
          <cell r="J983">
            <v>986.06849999999997</v>
          </cell>
          <cell r="K983">
            <v>0</v>
          </cell>
          <cell r="L983">
            <v>986.06849999999997</v>
          </cell>
          <cell r="M983">
            <v>0</v>
          </cell>
          <cell r="N983">
            <v>1199.99</v>
          </cell>
          <cell r="O983" t="str">
            <v/>
          </cell>
          <cell r="P983">
            <v>0</v>
          </cell>
          <cell r="Q983">
            <v>0.216943853292139</v>
          </cell>
          <cell r="R983">
            <v>0.216943853292139</v>
          </cell>
          <cell r="S983" t="e">
            <v>#VALUE!</v>
          </cell>
          <cell r="T983" t="e">
            <v>#VALUE!</v>
          </cell>
        </row>
        <row r="984">
          <cell r="A984" t="str">
            <v>MDJA0600786ESIM</v>
          </cell>
          <cell r="B984" t="str">
            <v>MKP000631000822</v>
          </cell>
          <cell r="C984" t="str">
            <v/>
          </cell>
          <cell r="D984" t="str">
            <v>Conjunto Sala de Jantar Madesa Rafaela Mesa Tampo de Vidro com 6 Cadeiras Rustic/Branco/Imperial</v>
          </cell>
          <cell r="E984" t="str">
            <v>RAFAELA</v>
          </cell>
          <cell r="F984" t="str">
            <v>SALA DE JANTAR</v>
          </cell>
          <cell r="G984">
            <v>4254</v>
          </cell>
          <cell r="H984">
            <v>3339.99</v>
          </cell>
          <cell r="I984">
            <v>1959.99</v>
          </cell>
          <cell r="J984">
            <v>1538.2625</v>
          </cell>
          <cell r="K984">
            <v>0</v>
          </cell>
          <cell r="L984">
            <v>1538.2625</v>
          </cell>
          <cell r="M984">
            <v>0</v>
          </cell>
          <cell r="N984">
            <v>1959.99</v>
          </cell>
          <cell r="O984" t="str">
            <v>AMAZON</v>
          </cell>
          <cell r="P984">
            <v>1929.99</v>
          </cell>
          <cell r="Q984">
            <v>0.274158344235786</v>
          </cell>
          <cell r="R984">
            <v>0.274158344235786</v>
          </cell>
          <cell r="S984" t="e">
            <v>#VALUE!</v>
          </cell>
          <cell r="T984" t="e">
            <v>#VALUE!</v>
          </cell>
        </row>
        <row r="985">
          <cell r="A985" t="str">
            <v>G266523BNC</v>
          </cell>
          <cell r="B985" t="str">
            <v>MKP000631004816</v>
          </cell>
          <cell r="C985" t="str">
            <v/>
          </cell>
          <cell r="D985" t="str">
            <v>Torre Quente 60 cm 2 Portas 2 Nichos Suspensa Cinza Nice Madesa</v>
          </cell>
          <cell r="E985" t="str">
            <v>NICE</v>
          </cell>
          <cell r="F985" t="str">
            <v>MODULAÇÃO</v>
          </cell>
          <cell r="G985" t="str">
            <v/>
          </cell>
          <cell r="H985">
            <v>729.99</v>
          </cell>
          <cell r="I985">
            <v>639.99</v>
          </cell>
          <cell r="J985">
            <v>362.98090000000002</v>
          </cell>
          <cell r="K985">
            <v>0</v>
          </cell>
          <cell r="L985">
            <v>362.98090000000002</v>
          </cell>
          <cell r="M985">
            <v>0</v>
          </cell>
          <cell r="N985">
            <v>639.99</v>
          </cell>
          <cell r="O985" t="str">
            <v/>
          </cell>
          <cell r="P985">
            <v>0</v>
          </cell>
          <cell r="Q985">
            <v>0.76315062307686199</v>
          </cell>
          <cell r="R985">
            <v>0.76315062307686199</v>
          </cell>
          <cell r="S985" t="e">
            <v>#VALUE!</v>
          </cell>
          <cell r="T985" t="e">
            <v>#VALUE!</v>
          </cell>
        </row>
        <row r="986">
          <cell r="A986" t="str">
            <v>G246013BNCCT</v>
          </cell>
          <cell r="B986" t="str">
            <v>MKP000631004828</v>
          </cell>
          <cell r="C986" t="str">
            <v/>
          </cell>
          <cell r="D986" t="str">
            <v>Balcão 60 cm 3 Gavetas Com Pés Cinza Nice Madesa</v>
          </cell>
          <cell r="E986" t="str">
            <v>NICE</v>
          </cell>
          <cell r="F986" t="str">
            <v>MODULAÇÃO</v>
          </cell>
          <cell r="G986" t="str">
            <v/>
          </cell>
          <cell r="H986">
            <v>799.99</v>
          </cell>
          <cell r="I986">
            <v>559.99</v>
          </cell>
          <cell r="J986">
            <v>333.36559999999997</v>
          </cell>
          <cell r="K986">
            <v>0</v>
          </cell>
          <cell r="L986">
            <v>333.36559999999997</v>
          </cell>
          <cell r="M986">
            <v>0</v>
          </cell>
          <cell r="N986">
            <v>559.99</v>
          </cell>
          <cell r="O986" t="str">
            <v/>
          </cell>
          <cell r="P986">
            <v>0</v>
          </cell>
          <cell r="Q986">
            <v>0.67980739464419904</v>
          </cell>
          <cell r="R986">
            <v>0.67980739464419904</v>
          </cell>
          <cell r="S986" t="e">
            <v>#VALUE!</v>
          </cell>
          <cell r="T986" t="e">
            <v>#VALUE!</v>
          </cell>
        </row>
        <row r="987">
          <cell r="A987" t="str">
            <v>1094092E4G</v>
          </cell>
          <cell r="B987" t="str">
            <v>MKP000631000767</v>
          </cell>
          <cell r="C987" t="str">
            <v/>
          </cell>
          <cell r="D987" t="str">
            <v>Guarda-Roupa Solteiro Madesa Dallas Plus 2 Portas de Correr de Espelho 4 Gavetas Branco</v>
          </cell>
          <cell r="E987" t="str">
            <v>DALLAS PLUS</v>
          </cell>
          <cell r="F987" t="str">
            <v>QUARTO</v>
          </cell>
          <cell r="G987" t="str">
            <v/>
          </cell>
          <cell r="H987">
            <v>1459.99</v>
          </cell>
          <cell r="I987">
            <v>1119.92</v>
          </cell>
          <cell r="J987">
            <v>912.43899999999996</v>
          </cell>
          <cell r="K987">
            <v>0</v>
          </cell>
          <cell r="L987">
            <v>912.43899999999996</v>
          </cell>
          <cell r="M987">
            <v>0</v>
          </cell>
          <cell r="N987">
            <v>1119.92</v>
          </cell>
          <cell r="O987" t="str">
            <v/>
          </cell>
          <cell r="P987">
            <v>0</v>
          </cell>
          <cell r="Q987">
            <v>0.227391639331506</v>
          </cell>
          <cell r="R987">
            <v>0.227391639331506</v>
          </cell>
          <cell r="S987" t="e">
            <v>#VALUE!</v>
          </cell>
          <cell r="T987" t="e">
            <v>#VALUE!</v>
          </cell>
        </row>
        <row r="988">
          <cell r="A988" t="str">
            <v>XBGRRM260001D8</v>
          </cell>
          <cell r="B988" t="str">
            <v>MKP000631003310</v>
          </cell>
          <cell r="C988" t="str">
            <v/>
          </cell>
          <cell r="D988" t="str">
            <v>Armário de Cozinha Completa 260cm Preto/Rustic Reims Madesa XB01</v>
          </cell>
          <cell r="E988" t="str">
            <v>REIMS</v>
          </cell>
          <cell r="F988" t="str">
            <v>COZINHA</v>
          </cell>
          <cell r="G988" t="str">
            <v/>
          </cell>
          <cell r="H988">
            <v>1889.99</v>
          </cell>
          <cell r="I988">
            <v>1339.99</v>
          </cell>
          <cell r="J988">
            <v>1068.8104000000001</v>
          </cell>
          <cell r="K988">
            <v>0</v>
          </cell>
          <cell r="L988">
            <v>1068.8104000000001</v>
          </cell>
          <cell r="M988">
            <v>0</v>
          </cell>
          <cell r="N988">
            <v>1339.99</v>
          </cell>
          <cell r="O988" t="str">
            <v>MAGALU</v>
          </cell>
          <cell r="P988">
            <v>1263.1500000000001</v>
          </cell>
          <cell r="Q988">
            <v>0.25372095930204303</v>
          </cell>
          <cell r="R988">
            <v>0.25372095930204303</v>
          </cell>
          <cell r="S988" t="e">
            <v>#VALUE!</v>
          </cell>
          <cell r="T988" t="e">
            <v>#VALUE!</v>
          </cell>
        </row>
        <row r="989">
          <cell r="A989" t="str">
            <v>G256105ZEM</v>
          </cell>
          <cell r="B989" t="str">
            <v>MKP000631005121</v>
          </cell>
          <cell r="C989" t="str">
            <v/>
          </cell>
          <cell r="D989" t="str">
            <v>Armário Aéreo com Nicho Aberto 60cm Rustic Emilly Madesa</v>
          </cell>
          <cell r="E989" t="str">
            <v>EMILLY</v>
          </cell>
          <cell r="F989" t="str">
            <v>MODULAÇÃO</v>
          </cell>
          <cell r="G989" t="str">
            <v/>
          </cell>
          <cell r="H989">
            <v>219.99</v>
          </cell>
          <cell r="I989">
            <v>119.99</v>
          </cell>
          <cell r="J989">
            <v>73.716700000000003</v>
          </cell>
          <cell r="K989">
            <v>0</v>
          </cell>
          <cell r="L989">
            <v>73.716700000000003</v>
          </cell>
          <cell r="M989">
            <v>0</v>
          </cell>
          <cell r="N989">
            <v>119.99</v>
          </cell>
          <cell r="O989" t="str">
            <v/>
          </cell>
          <cell r="P989">
            <v>0</v>
          </cell>
          <cell r="Q989">
            <v>0.62771800691023905</v>
          </cell>
          <cell r="R989">
            <v>0.62771800691023905</v>
          </cell>
          <cell r="S989" t="e">
            <v>#VALUE!</v>
          </cell>
          <cell r="T989" t="e">
            <v>#VALUE!</v>
          </cell>
        </row>
        <row r="990">
          <cell r="A990" t="str">
            <v>GRFL12000209</v>
          </cell>
          <cell r="B990" t="str">
            <v>MKP000631004885</v>
          </cell>
          <cell r="C990" t="str">
            <v/>
          </cell>
          <cell r="D990" t="str">
            <v>Armário Aéreo 120 cm 2 Portas 2 Nichos Branco para Área de Serviço Madesa</v>
          </cell>
          <cell r="E990" t="str">
            <v>PR</v>
          </cell>
          <cell r="F990" t="str">
            <v>MODULAÇÃO</v>
          </cell>
          <cell r="G990" t="str">
            <v/>
          </cell>
          <cell r="H990">
            <v>499.99</v>
          </cell>
          <cell r="I990">
            <v>269.99</v>
          </cell>
          <cell r="J990">
            <v>179.25049999999999</v>
          </cell>
          <cell r="K990">
            <v>0</v>
          </cell>
          <cell r="L990">
            <v>179.25049999999999</v>
          </cell>
          <cell r="M990">
            <v>0</v>
          </cell>
          <cell r="N990">
            <v>269.99</v>
          </cell>
          <cell r="O990" t="str">
            <v/>
          </cell>
          <cell r="P990">
            <v>0</v>
          </cell>
          <cell r="Q990">
            <v>0.50621616118225599</v>
          </cell>
          <cell r="R990">
            <v>0.50621616118225599</v>
          </cell>
          <cell r="S990" t="e">
            <v>#VALUE!</v>
          </cell>
          <cell r="T990" t="e">
            <v>#VALUE!</v>
          </cell>
        </row>
        <row r="991">
          <cell r="A991" t="str">
            <v>1085091ECP</v>
          </cell>
          <cell r="B991" t="str">
            <v>MKP000631000270</v>
          </cell>
          <cell r="C991" t="str">
            <v/>
          </cell>
          <cell r="D991" t="str">
            <v>Guarda-Roupa Casal Madesa Veneza 3 Portas de Correr Central com Espelho com Pés Branco</v>
          </cell>
          <cell r="E991" t="str">
            <v>VENEZA</v>
          </cell>
          <cell r="F991" t="str">
            <v>QUARTO</v>
          </cell>
          <cell r="G991" t="str">
            <v/>
          </cell>
          <cell r="H991">
            <v>2089.9899999999998</v>
          </cell>
          <cell r="I991">
            <v>1449.92</v>
          </cell>
          <cell r="J991">
            <v>1197.4086</v>
          </cell>
          <cell r="K991">
            <v>0</v>
          </cell>
          <cell r="L991">
            <v>1197.4086</v>
          </cell>
          <cell r="M991">
            <v>0</v>
          </cell>
          <cell r="N991">
            <v>1449.92</v>
          </cell>
          <cell r="O991" t="str">
            <v/>
          </cell>
          <cell r="P991">
            <v>0</v>
          </cell>
          <cell r="Q991">
            <v>0.21088156540716399</v>
          </cell>
          <cell r="R991">
            <v>0.21088156540716399</v>
          </cell>
          <cell r="S991" t="e">
            <v>#VALUE!</v>
          </cell>
          <cell r="T991" t="e">
            <v>#VALUE!</v>
          </cell>
        </row>
        <row r="992">
          <cell r="A992" t="str">
            <v>MDJA0401547KSIL</v>
          </cell>
          <cell r="B992" t="str">
            <v>MKP000631005361</v>
          </cell>
          <cell r="C992" t="str">
            <v/>
          </cell>
          <cell r="D992" t="str">
            <v>Conjunto Sala de Jantar Mesa Tampo de Madeira 4 Cadeiras Rustic/Preto/Silver Keila Madesa</v>
          </cell>
          <cell r="E992" t="str">
            <v>KEILA</v>
          </cell>
          <cell r="F992" t="str">
            <v>SALA DE JANTAR</v>
          </cell>
          <cell r="G992">
            <v>4255</v>
          </cell>
          <cell r="H992">
            <v>1149.99</v>
          </cell>
          <cell r="I992">
            <v>1049.99</v>
          </cell>
          <cell r="J992">
            <v>803.80960000000005</v>
          </cell>
          <cell r="K992">
            <v>0</v>
          </cell>
          <cell r="L992">
            <v>803.80960000000005</v>
          </cell>
          <cell r="M992">
            <v>0</v>
          </cell>
          <cell r="N992">
            <v>1049.99</v>
          </cell>
          <cell r="O992" t="str">
            <v/>
          </cell>
          <cell r="P992">
            <v>0</v>
          </cell>
          <cell r="Q992">
            <v>0.30626705627800399</v>
          </cell>
          <cell r="R992">
            <v>0.30626705627800399</v>
          </cell>
          <cell r="S992" t="e">
            <v>#VALUE!</v>
          </cell>
          <cell r="T992" t="e">
            <v>#VALUE!</v>
          </cell>
        </row>
        <row r="993">
          <cell r="A993" t="str">
            <v>XAG271158NPR</v>
          </cell>
          <cell r="B993" t="str">
            <v>MKP000631003201</v>
          </cell>
          <cell r="C993" t="str">
            <v/>
          </cell>
          <cell r="D993" t="str">
            <v>Bancada para Cozinha Reims Madesa 115 cm Preto</v>
          </cell>
          <cell r="E993" t="str">
            <v>PR</v>
          </cell>
          <cell r="F993" t="str">
            <v>MODULAÇÃO</v>
          </cell>
          <cell r="G993" t="str">
            <v/>
          </cell>
          <cell r="H993">
            <v>659.99</v>
          </cell>
          <cell r="I993">
            <v>289.99</v>
          </cell>
          <cell r="J993">
            <v>178.71639999999999</v>
          </cell>
          <cell r="K993">
            <v>0</v>
          </cell>
          <cell r="L993">
            <v>178.71639999999999</v>
          </cell>
          <cell r="M993">
            <v>0</v>
          </cell>
          <cell r="N993">
            <v>289.99</v>
          </cell>
          <cell r="O993" t="str">
            <v/>
          </cell>
          <cell r="P993">
            <v>0</v>
          </cell>
          <cell r="Q993">
            <v>0.62262668675062804</v>
          </cell>
          <cell r="R993">
            <v>0.62262668675062804</v>
          </cell>
          <cell r="S993" t="e">
            <v>#VALUE!</v>
          </cell>
          <cell r="T993" t="e">
            <v>#VALUE!</v>
          </cell>
        </row>
        <row r="994">
          <cell r="A994" t="str">
            <v>GRAG290002F9</v>
          </cell>
          <cell r="B994" t="str">
            <v>MKP000631002575</v>
          </cell>
          <cell r="C994" t="str">
            <v/>
          </cell>
          <cell r="D994" t="str">
            <v>Armário de Cozinha Completa 290cm Rustic/Cinza Agata Madesa 02</v>
          </cell>
          <cell r="E994" t="str">
            <v>ÁGATA</v>
          </cell>
          <cell r="F994" t="str">
            <v>COZINHA</v>
          </cell>
          <cell r="G994" t="str">
            <v/>
          </cell>
          <cell r="H994">
            <v>2999.99</v>
          </cell>
          <cell r="I994">
            <v>2019.92</v>
          </cell>
          <cell r="J994">
            <v>1672.6486</v>
          </cell>
          <cell r="K994">
            <v>0</v>
          </cell>
          <cell r="L994">
            <v>1672.6486</v>
          </cell>
          <cell r="M994">
            <v>0</v>
          </cell>
          <cell r="N994">
            <v>2019.92</v>
          </cell>
          <cell r="O994" t="str">
            <v/>
          </cell>
          <cell r="P994">
            <v>0</v>
          </cell>
          <cell r="Q994">
            <v>0.20761766697440201</v>
          </cell>
          <cell r="R994">
            <v>0.20761766697440201</v>
          </cell>
          <cell r="S994" t="e">
            <v>#VALUE!</v>
          </cell>
          <cell r="T994" t="e">
            <v>#VALUE!</v>
          </cell>
        </row>
        <row r="995">
          <cell r="A995" t="str">
            <v>G264003BNCCT</v>
          </cell>
          <cell r="B995" t="str">
            <v>MKP000631004821</v>
          </cell>
          <cell r="C995" t="str">
            <v/>
          </cell>
          <cell r="D995" t="str">
            <v>Paneleiro 40 cm 2 Portas Cinza Nice Madesa</v>
          </cell>
          <cell r="E995" t="str">
            <v>NICE</v>
          </cell>
          <cell r="F995" t="str">
            <v>MODULAÇÃO</v>
          </cell>
          <cell r="G995" t="str">
            <v/>
          </cell>
          <cell r="H995">
            <v>799.99</v>
          </cell>
          <cell r="I995">
            <v>539.99</v>
          </cell>
          <cell r="J995">
            <v>308.01220000000001</v>
          </cell>
          <cell r="K995">
            <v>0</v>
          </cell>
          <cell r="L995">
            <v>308.01220000000001</v>
          </cell>
          <cell r="M995">
            <v>0</v>
          </cell>
          <cell r="N995">
            <v>539.99</v>
          </cell>
          <cell r="O995" t="str">
            <v/>
          </cell>
          <cell r="P995">
            <v>0</v>
          </cell>
          <cell r="Q995">
            <v>0.75314484296401196</v>
          </cell>
          <cell r="R995">
            <v>0.75314484296401196</v>
          </cell>
          <cell r="S995" t="e">
            <v>#VALUE!</v>
          </cell>
          <cell r="T995" t="e">
            <v>#VALUE!</v>
          </cell>
        </row>
        <row r="996">
          <cell r="A996" t="str">
            <v>32275Z1</v>
          </cell>
          <cell r="B996" t="str">
            <v>MKP000631000531</v>
          </cell>
          <cell r="C996" t="str">
            <v/>
          </cell>
          <cell r="D996" t="str">
            <v>Mesa de Cabeceira Madesa 3227 com 2 Gavetas Rustic</v>
          </cell>
          <cell r="E996">
            <v>3227</v>
          </cell>
          <cell r="F996" t="str">
            <v>QUARTO</v>
          </cell>
          <cell r="G996" t="str">
            <v/>
          </cell>
          <cell r="H996">
            <v>589.99</v>
          </cell>
          <cell r="I996">
            <v>259.99</v>
          </cell>
          <cell r="J996">
            <v>190.8263</v>
          </cell>
          <cell r="K996">
            <v>0</v>
          </cell>
          <cell r="L996">
            <v>190.8263</v>
          </cell>
          <cell r="M996">
            <v>0</v>
          </cell>
          <cell r="N996">
            <v>259.99</v>
          </cell>
          <cell r="O996" t="str">
            <v/>
          </cell>
          <cell r="P996">
            <v>0</v>
          </cell>
          <cell r="Q996">
            <v>0.36244322716522798</v>
          </cell>
          <cell r="R996">
            <v>0.36244322716522798</v>
          </cell>
          <cell r="S996" t="e">
            <v>#VALUE!</v>
          </cell>
          <cell r="T996" t="e">
            <v>#VALUE!</v>
          </cell>
        </row>
        <row r="997">
          <cell r="A997" t="str">
            <v>32278N2E</v>
          </cell>
          <cell r="B997" t="str">
            <v>MKP000631003130</v>
          </cell>
          <cell r="C997" t="str">
            <v/>
          </cell>
          <cell r="D997" t="str">
            <v>Mesa de Cabeceira Madesa 3227 2 Gavetas com Espelho Preto</v>
          </cell>
          <cell r="E997">
            <v>3227</v>
          </cell>
          <cell r="F997" t="str">
            <v>QUARTO</v>
          </cell>
          <cell r="G997" t="str">
            <v/>
          </cell>
          <cell r="H997">
            <v>509.99</v>
          </cell>
          <cell r="I997">
            <v>299.99</v>
          </cell>
          <cell r="J997">
            <v>222.12020000000001</v>
          </cell>
          <cell r="K997">
            <v>0</v>
          </cell>
          <cell r="L997">
            <v>222.12020000000001</v>
          </cell>
          <cell r="M997">
            <v>0</v>
          </cell>
          <cell r="N997">
            <v>299.99</v>
          </cell>
          <cell r="O997" t="str">
            <v/>
          </cell>
          <cell r="P997">
            <v>0</v>
          </cell>
          <cell r="Q997">
            <v>0.35057504900499797</v>
          </cell>
          <cell r="R997">
            <v>0.35057504900499797</v>
          </cell>
          <cell r="S997" t="e">
            <v>#VALUE!</v>
          </cell>
          <cell r="T997" t="e">
            <v>#VALUE!</v>
          </cell>
        </row>
        <row r="998">
          <cell r="A998" t="str">
            <v>GRTP30000173</v>
          </cell>
          <cell r="B998" t="str">
            <v>MKP000631003021</v>
          </cell>
          <cell r="C998" t="str">
            <v/>
          </cell>
          <cell r="D998" t="str">
            <v>Armário de Cozinha Completa 300cm Branco/Preto Topazio Madesa 01</v>
          </cell>
          <cell r="E998" t="str">
            <v>TOPÁZIO</v>
          </cell>
          <cell r="F998" t="str">
            <v>COZINHA</v>
          </cell>
          <cell r="G998" t="str">
            <v/>
          </cell>
          <cell r="H998">
            <v>1599.99</v>
          </cell>
          <cell r="I998">
            <v>1499.99</v>
          </cell>
          <cell r="J998">
            <v>1230.6318000000001</v>
          </cell>
          <cell r="K998">
            <v>0</v>
          </cell>
          <cell r="L998">
            <v>1230.6318000000001</v>
          </cell>
          <cell r="M998">
            <v>0</v>
          </cell>
          <cell r="N998">
            <v>1499.99</v>
          </cell>
          <cell r="O998" t="str">
            <v/>
          </cell>
          <cell r="P998">
            <v>0</v>
          </cell>
          <cell r="Q998">
            <v>0.218877977962214</v>
          </cell>
          <cell r="R998">
            <v>0.218877977962214</v>
          </cell>
          <cell r="S998" t="e">
            <v>#VALUE!</v>
          </cell>
          <cell r="T998" t="e">
            <v>#VALUE!</v>
          </cell>
        </row>
        <row r="999">
          <cell r="A999" t="str">
            <v>1093093E4G</v>
          </cell>
          <cell r="B999" t="str">
            <v>MKP000631000462</v>
          </cell>
          <cell r="C999" t="str">
            <v/>
          </cell>
          <cell r="D999" t="str">
            <v>Guarda-Roupa Casal Madesa Lyon Plus 3 Portas de Correr de Espelho Branco</v>
          </cell>
          <cell r="E999" t="str">
            <v>LYON PLUS</v>
          </cell>
          <cell r="F999" t="str">
            <v>QUARTO</v>
          </cell>
          <cell r="G999" t="str">
            <v/>
          </cell>
          <cell r="H999">
            <v>1599.99</v>
          </cell>
          <cell r="I999">
            <v>1439.92</v>
          </cell>
          <cell r="J999">
            <v>1188.1108999999999</v>
          </cell>
          <cell r="K999">
            <v>0</v>
          </cell>
          <cell r="L999">
            <v>1188.1108999999999</v>
          </cell>
          <cell r="M999">
            <v>0</v>
          </cell>
          <cell r="N999">
            <v>1439.92</v>
          </cell>
          <cell r="O999" t="str">
            <v/>
          </cell>
          <cell r="P999">
            <v>0</v>
          </cell>
          <cell r="Q999">
            <v>0.211940737182026</v>
          </cell>
          <cell r="R999">
            <v>0.211940737182026</v>
          </cell>
          <cell r="S999" t="e">
            <v>#VALUE!</v>
          </cell>
          <cell r="T999" t="e">
            <v>#VALUE!</v>
          </cell>
        </row>
        <row r="1000">
          <cell r="A1000" t="str">
            <v>GCRM38200209</v>
          </cell>
          <cell r="B1000" t="str">
            <v>MKP000631002536</v>
          </cell>
          <cell r="C1000" t="str">
            <v/>
          </cell>
          <cell r="D1000" t="str">
            <v>Armário de Cozinha Completa de Canto 382cm Branco Reims Madesa 02</v>
          </cell>
          <cell r="E1000" t="str">
            <v>REIMS</v>
          </cell>
          <cell r="F1000" t="str">
            <v>COZINHA</v>
          </cell>
          <cell r="G1000" t="str">
            <v/>
          </cell>
          <cell r="H1000">
            <v>3519.99</v>
          </cell>
          <cell r="I1000">
            <v>2139.92</v>
          </cell>
          <cell r="J1000">
            <v>1841.4786999999999</v>
          </cell>
          <cell r="K1000">
            <v>0</v>
          </cell>
          <cell r="L1000">
            <v>1841.4786999999999</v>
          </cell>
          <cell r="M1000">
            <v>0</v>
          </cell>
          <cell r="N1000">
            <v>2139.92</v>
          </cell>
          <cell r="O1000" t="str">
            <v/>
          </cell>
          <cell r="P1000">
            <v>0</v>
          </cell>
          <cell r="Q1000">
            <v>0.16206611567106399</v>
          </cell>
          <cell r="R1000">
            <v>0.16206611567106399</v>
          </cell>
          <cell r="S1000" t="e">
            <v>#VALUE!</v>
          </cell>
          <cell r="T1000" t="e">
            <v>#VALUE!</v>
          </cell>
        </row>
        <row r="1001">
          <cell r="A1001" t="str">
            <v>10937K1E2G</v>
          </cell>
          <cell r="B1001" t="str">
            <v>MKP000631002221</v>
          </cell>
          <cell r="C1001" t="str">
            <v/>
          </cell>
          <cell r="D1001" t="str">
            <v>Guarda-Roupa Casal Madesa Lyon 3 Portas de Correr com Espelho 2 Gavetas Rustic/Preto</v>
          </cell>
          <cell r="E1001" t="str">
            <v>LYON</v>
          </cell>
          <cell r="F1001" t="str">
            <v>QUARTO</v>
          </cell>
          <cell r="G1001" t="str">
            <v/>
          </cell>
          <cell r="H1001">
            <v>1799.99</v>
          </cell>
          <cell r="I1001">
            <v>1059.92</v>
          </cell>
          <cell r="J1001">
            <v>839.51800000000003</v>
          </cell>
          <cell r="K1001">
            <v>0</v>
          </cell>
          <cell r="L1001">
            <v>839.51800000000003</v>
          </cell>
          <cell r="M1001">
            <v>0</v>
          </cell>
          <cell r="N1001">
            <v>1059.92</v>
          </cell>
          <cell r="O1001" t="str">
            <v/>
          </cell>
          <cell r="P1001">
            <v>0</v>
          </cell>
          <cell r="Q1001">
            <v>0.26253397783013599</v>
          </cell>
          <cell r="R1001">
            <v>0.26253397783013599</v>
          </cell>
          <cell r="S1001" t="e">
            <v>#VALUE!</v>
          </cell>
          <cell r="T1001" t="e">
            <v>#VALUE!</v>
          </cell>
        </row>
        <row r="1002">
          <cell r="A1002" t="str">
            <v>GCEM5130029B</v>
          </cell>
          <cell r="B1002" t="str">
            <v>MKP000631000441</v>
          </cell>
          <cell r="C1002" t="str">
            <v/>
          </cell>
          <cell r="D1002" t="str">
            <v>Armário de Cozinha Completa de Canto 513cm Rustic/Branco Emilly Big Madesa 02</v>
          </cell>
          <cell r="E1002" t="str">
            <v>BIG/EMILLY</v>
          </cell>
          <cell r="F1002" t="str">
            <v>COZINHA</v>
          </cell>
          <cell r="G1002" t="str">
            <v/>
          </cell>
          <cell r="H1002">
            <v>2099.9899999999998</v>
          </cell>
          <cell r="I1002">
            <v>1999.99</v>
          </cell>
          <cell r="J1002">
            <v>1657.6066000000001</v>
          </cell>
          <cell r="K1002">
            <v>0</v>
          </cell>
          <cell r="L1002">
            <v>1657.6066000000001</v>
          </cell>
          <cell r="M1002">
            <v>0</v>
          </cell>
          <cell r="N1002">
            <v>1999.99</v>
          </cell>
          <cell r="O1002" t="str">
            <v/>
          </cell>
          <cell r="P1002">
            <v>0</v>
          </cell>
          <cell r="Q1002">
            <v>0.206552869661595</v>
          </cell>
          <cell r="R1002">
            <v>0.206552869661595</v>
          </cell>
          <cell r="S1002" t="e">
            <v>#VALUE!</v>
          </cell>
          <cell r="T1002" t="e">
            <v>#VALUE!</v>
          </cell>
        </row>
        <row r="1003">
          <cell r="A1003" t="str">
            <v>GRGL2900105Z</v>
          </cell>
          <cell r="B1003" t="str">
            <v>MKP000631001203</v>
          </cell>
          <cell r="C1003" t="str">
            <v/>
          </cell>
          <cell r="D1003" t="str">
            <v>Armário de Cozinha Completa 290cm Rustic Cristal Madesa 09</v>
          </cell>
          <cell r="E1003" t="str">
            <v>CRISTAL/GLAMY</v>
          </cell>
          <cell r="F1003" t="str">
            <v>COZINHA</v>
          </cell>
          <cell r="G1003" t="str">
            <v/>
          </cell>
          <cell r="H1003">
            <v>2199.9899999999998</v>
          </cell>
          <cell r="I1003">
            <v>2099.9899999999998</v>
          </cell>
          <cell r="J1003">
            <v>1743.5204000000001</v>
          </cell>
          <cell r="K1003">
            <v>0</v>
          </cell>
          <cell r="L1003">
            <v>1743.5204000000001</v>
          </cell>
          <cell r="M1003">
            <v>0</v>
          </cell>
          <cell r="N1003">
            <v>2099.9899999999998</v>
          </cell>
          <cell r="O1003" t="str">
            <v/>
          </cell>
          <cell r="P1003">
            <v>0</v>
          </cell>
          <cell r="Q1003">
            <v>0.20445393125311301</v>
          </cell>
          <cell r="R1003">
            <v>0.20445393125311301</v>
          </cell>
          <cell r="S1003" t="e">
            <v>#VALUE!</v>
          </cell>
          <cell r="T1003" t="e">
            <v>#VALUE!</v>
          </cell>
        </row>
        <row r="1004">
          <cell r="A1004" t="str">
            <v>GCEM2930045Z</v>
          </cell>
          <cell r="B1004" t="str">
            <v>MKP000631001952</v>
          </cell>
          <cell r="C1004" t="str">
            <v/>
          </cell>
          <cell r="D1004" t="str">
            <v>Armário de Cozinha Completa de Canto 293cm Rustic Emilly Play Madesa 04</v>
          </cell>
          <cell r="E1004" t="str">
            <v>PLAY/EMILLY</v>
          </cell>
          <cell r="F1004" t="str">
            <v>COZINHA</v>
          </cell>
          <cell r="G1004" t="str">
            <v/>
          </cell>
          <cell r="H1004">
            <v>1369.99</v>
          </cell>
          <cell r="I1004">
            <v>1269.99</v>
          </cell>
          <cell r="J1004">
            <v>1058.5971</v>
          </cell>
          <cell r="K1004">
            <v>0</v>
          </cell>
          <cell r="L1004">
            <v>1058.5971</v>
          </cell>
          <cell r="M1004">
            <v>0</v>
          </cell>
          <cell r="N1004">
            <v>1269.99</v>
          </cell>
          <cell r="O1004" t="str">
            <v/>
          </cell>
          <cell r="P1004">
            <v>0</v>
          </cell>
          <cell r="Q1004">
            <v>0.19969155403883099</v>
          </cell>
          <cell r="R1004">
            <v>0.19969155403883099</v>
          </cell>
          <cell r="S1004" t="e">
            <v>#VALUE!</v>
          </cell>
          <cell r="T1004" t="e">
            <v>#VALUE!</v>
          </cell>
        </row>
        <row r="1005">
          <cell r="A1005" t="str">
            <v>044915ZXTLIB</v>
          </cell>
          <cell r="B1005" t="str">
            <v>MKP000631000577</v>
          </cell>
          <cell r="C1005" t="str">
            <v/>
          </cell>
          <cell r="D1005" t="str">
            <v>Conjunto Sala de Jantar Madesa Rute Mesa Tampo de Madeira com 4 Cadeiras Rustic/Lírio Bege</v>
          </cell>
          <cell r="E1005" t="str">
            <v>RUTE</v>
          </cell>
          <cell r="F1005" t="str">
            <v>SALA DE JANTAR</v>
          </cell>
          <cell r="G1005" t="str">
            <v>4290X</v>
          </cell>
          <cell r="H1005">
            <v>869.99</v>
          </cell>
          <cell r="I1005">
            <v>549.99</v>
          </cell>
          <cell r="J1005">
            <v>427.78140000000002</v>
          </cell>
          <cell r="K1005">
            <v>0</v>
          </cell>
          <cell r="L1005">
            <v>427.78140000000002</v>
          </cell>
          <cell r="M1005">
            <v>0</v>
          </cell>
          <cell r="N1005">
            <v>549.99</v>
          </cell>
          <cell r="O1005" t="str">
            <v/>
          </cell>
          <cell r="P1005">
            <v>0</v>
          </cell>
          <cell r="Q1005">
            <v>0.285680022553575</v>
          </cell>
          <cell r="R1005">
            <v>0.285680022553575</v>
          </cell>
          <cell r="S1005" t="e">
            <v>#VALUE!</v>
          </cell>
          <cell r="T1005" t="e">
            <v>#VALUE!</v>
          </cell>
        </row>
        <row r="1006">
          <cell r="A1006" t="str">
            <v>MDJA0601366ESM</v>
          </cell>
          <cell r="B1006" t="str">
            <v>MKP000631005295</v>
          </cell>
          <cell r="C1006" t="str">
            <v/>
          </cell>
          <cell r="D1006" t="str">
            <v>Conjunto Sala de Jantar Mesa Tampo de Vidro 6 Cadeiras Rustic/Branco/Imperial Alexis Madesa</v>
          </cell>
          <cell r="E1006" t="str">
            <v>ALEXIS</v>
          </cell>
          <cell r="F1006" t="str">
            <v>SALA DE JANTAR</v>
          </cell>
          <cell r="G1006">
            <v>4255</v>
          </cell>
          <cell r="H1006">
            <v>1739.99</v>
          </cell>
          <cell r="I1006">
            <v>1639.99</v>
          </cell>
          <cell r="J1006">
            <v>1296.7293999999999</v>
          </cell>
          <cell r="K1006">
            <v>0</v>
          </cell>
          <cell r="L1006">
            <v>1296.7293999999999</v>
          </cell>
          <cell r="M1006">
            <v>0</v>
          </cell>
          <cell r="N1006">
            <v>1639.99</v>
          </cell>
          <cell r="O1006" t="str">
            <v/>
          </cell>
          <cell r="P1006">
            <v>0</v>
          </cell>
          <cell r="Q1006">
            <v>0.264712591539916</v>
          </cell>
          <cell r="R1006">
            <v>0.264712591539916</v>
          </cell>
          <cell r="S1006" t="e">
            <v>#VALUE!</v>
          </cell>
          <cell r="T1006" t="e">
            <v>#VALUE!</v>
          </cell>
        </row>
        <row r="1007">
          <cell r="A1007" t="str">
            <v>10938N1E4G</v>
          </cell>
          <cell r="B1007" t="str">
            <v>MKP000631001937</v>
          </cell>
          <cell r="C1007" t="str">
            <v/>
          </cell>
          <cell r="D1007" t="str">
            <v>Guarda-Roupa Casal Madesa Lyon Plus 3 Portas de Correr com Espelho 4 Gavetas Preto</v>
          </cell>
          <cell r="E1007" t="str">
            <v>LYON PLUS</v>
          </cell>
          <cell r="F1007" t="str">
            <v>QUARTO</v>
          </cell>
          <cell r="G1007" t="str">
            <v/>
          </cell>
          <cell r="H1007">
            <v>2069.9899999999998</v>
          </cell>
          <cell r="I1007">
            <v>1159.92</v>
          </cell>
          <cell r="J1007">
            <v>928.25490000000002</v>
          </cell>
          <cell r="K1007">
            <v>0</v>
          </cell>
          <cell r="L1007">
            <v>928.25490000000002</v>
          </cell>
          <cell r="M1007">
            <v>0</v>
          </cell>
          <cell r="N1007">
            <v>1159.92</v>
          </cell>
          <cell r="O1007" t="str">
            <v/>
          </cell>
          <cell r="P1007">
            <v>0</v>
          </cell>
          <cell r="Q1007">
            <v>0.249570565154033</v>
          </cell>
          <cell r="R1007">
            <v>0.249570565154033</v>
          </cell>
          <cell r="S1007" t="e">
            <v>#VALUE!</v>
          </cell>
          <cell r="T1007" t="e">
            <v>#VALUE!</v>
          </cell>
        </row>
        <row r="1008">
          <cell r="A1008" t="str">
            <v>60248N5ZPP</v>
          </cell>
          <cell r="B1008" t="str">
            <v>MKP000631001568</v>
          </cell>
          <cell r="C1008" t="str">
            <v/>
          </cell>
          <cell r="D1008" t="str">
            <v>Rack Madesa Dubai para TV até 65 Polegadas com Pés Preto/Rustic 8N5Z</v>
          </cell>
          <cell r="E1008" t="str">
            <v>DUBAI</v>
          </cell>
          <cell r="F1008" t="str">
            <v>SALA DE ESTAR</v>
          </cell>
          <cell r="G1008" t="str">
            <v/>
          </cell>
          <cell r="H1008">
            <v>639.99</v>
          </cell>
          <cell r="I1008">
            <v>329.92</v>
          </cell>
          <cell r="J1008">
            <v>243.82210000000001</v>
          </cell>
          <cell r="K1008">
            <v>0</v>
          </cell>
          <cell r="L1008">
            <v>243.82210000000001</v>
          </cell>
          <cell r="M1008">
            <v>0</v>
          </cell>
          <cell r="N1008">
            <v>329.92</v>
          </cell>
          <cell r="O1008" t="str">
            <v/>
          </cell>
          <cell r="P1008">
            <v>0</v>
          </cell>
          <cell r="Q1008">
            <v>0.35311770344033599</v>
          </cell>
          <cell r="R1008">
            <v>0.35311770344033599</v>
          </cell>
          <cell r="S1008" t="e">
            <v>#VALUE!</v>
          </cell>
          <cell r="T1008" t="e">
            <v>#VALUE!</v>
          </cell>
        </row>
        <row r="1009">
          <cell r="A1009" t="str">
            <v>G2520009PR</v>
          </cell>
          <cell r="B1009" t="str">
            <v>MKP000631000360</v>
          </cell>
          <cell r="C1009" t="str">
            <v/>
          </cell>
          <cell r="D1009" t="str">
            <v>Adega Madesa 20 cm para Cozinhas Glamy, Reims e Agata Branco</v>
          </cell>
          <cell r="E1009" t="str">
            <v>PR</v>
          </cell>
          <cell r="F1009" t="str">
            <v>MODULAÇÃO</v>
          </cell>
          <cell r="G1009" t="str">
            <v/>
          </cell>
          <cell r="H1009">
            <v>339.99</v>
          </cell>
          <cell r="I1009">
            <v>179.99</v>
          </cell>
          <cell r="J1009">
            <v>99.309899999999999</v>
          </cell>
          <cell r="K1009">
            <v>0</v>
          </cell>
          <cell r="L1009">
            <v>99.309899999999999</v>
          </cell>
          <cell r="M1009">
            <v>0</v>
          </cell>
          <cell r="N1009">
            <v>179.99</v>
          </cell>
          <cell r="O1009" t="str">
            <v/>
          </cell>
          <cell r="P1009">
            <v>0</v>
          </cell>
          <cell r="Q1009">
            <v>0.81240742363047402</v>
          </cell>
          <cell r="R1009">
            <v>0.81240742363047402</v>
          </cell>
          <cell r="S1009" t="e">
            <v>#VALUE!</v>
          </cell>
          <cell r="T1009" t="e">
            <v>#VALUE!</v>
          </cell>
        </row>
        <row r="1010">
          <cell r="A1010" t="str">
            <v>GCRM33200209</v>
          </cell>
          <cell r="B1010" t="str">
            <v>MKP000631002642</v>
          </cell>
          <cell r="C1010" t="str">
            <v/>
          </cell>
          <cell r="D1010" t="str">
            <v>Armário de Cozinha Completa de Canto 332cm Branco Reims Madesa 02</v>
          </cell>
          <cell r="E1010" t="str">
            <v>REIMS</v>
          </cell>
          <cell r="F1010" t="str">
            <v>COZINHA</v>
          </cell>
          <cell r="G1010" t="str">
            <v/>
          </cell>
          <cell r="H1010">
            <v>1769.99</v>
          </cell>
          <cell r="I1010">
            <v>1639.92</v>
          </cell>
          <cell r="J1010">
            <v>1371.22</v>
          </cell>
          <cell r="K1010">
            <v>0</v>
          </cell>
          <cell r="L1010">
            <v>1371.22</v>
          </cell>
          <cell r="M1010">
            <v>0</v>
          </cell>
          <cell r="N1010">
            <v>1639.92</v>
          </cell>
          <cell r="O1010" t="str">
            <v/>
          </cell>
          <cell r="P1010">
            <v>0</v>
          </cell>
          <cell r="Q1010">
            <v>0.19595688510961101</v>
          </cell>
          <cell r="R1010">
            <v>0.19595688510961101</v>
          </cell>
          <cell r="S1010" t="e">
            <v>#VALUE!</v>
          </cell>
          <cell r="T1010" t="e">
            <v>#VALUE!</v>
          </cell>
        </row>
        <row r="1011">
          <cell r="A1011" t="str">
            <v>GRSM250001C9</v>
          </cell>
          <cell r="B1011" t="str">
            <v>MKP000631003006</v>
          </cell>
          <cell r="C1011" t="str">
            <v/>
          </cell>
          <cell r="D1011" t="str">
            <v>Armário de Cozinha Completa 100% MDF 250 cm Frentes Branco Brilho Smart Madesa 01</v>
          </cell>
          <cell r="E1011" t="str">
            <v>SMART</v>
          </cell>
          <cell r="F1011" t="str">
            <v>COZINHA</v>
          </cell>
          <cell r="G1011" t="str">
            <v/>
          </cell>
          <cell r="H1011">
            <v>2539.9899999999998</v>
          </cell>
          <cell r="I1011">
            <v>1779.99</v>
          </cell>
          <cell r="J1011">
            <v>1329.146</v>
          </cell>
          <cell r="K1011">
            <v>0</v>
          </cell>
          <cell r="L1011">
            <v>1329.146</v>
          </cell>
          <cell r="M1011">
            <v>0</v>
          </cell>
          <cell r="N1011">
            <v>1779.99</v>
          </cell>
          <cell r="O1011" t="str">
            <v>MAGALU</v>
          </cell>
          <cell r="P1011">
            <v>1684.2</v>
          </cell>
          <cell r="Q1011">
            <v>0.33919825211075399</v>
          </cell>
          <cell r="R1011">
            <v>0.33919825211075399</v>
          </cell>
          <cell r="S1011" t="e">
            <v>#VALUE!</v>
          </cell>
          <cell r="T1011" t="e">
            <v>#VALUE!</v>
          </cell>
        </row>
        <row r="1012">
          <cell r="A1012" t="str">
            <v>G2660909RM</v>
          </cell>
          <cell r="B1012" t="str">
            <v>MKP000631003141</v>
          </cell>
          <cell r="C1012" t="str">
            <v/>
          </cell>
          <cell r="D1012" t="str">
            <v>Torre Quente Madesa Reims 60 cm 2 Portas Branco</v>
          </cell>
          <cell r="E1012" t="str">
            <v>REIMS</v>
          </cell>
          <cell r="F1012" t="str">
            <v>MODULAÇÃO</v>
          </cell>
          <cell r="G1012" t="str">
            <v/>
          </cell>
          <cell r="H1012">
            <v>1149.99</v>
          </cell>
          <cell r="I1012">
            <v>549.99</v>
          </cell>
          <cell r="J1012">
            <v>409.25139999999999</v>
          </cell>
          <cell r="K1012">
            <v>0</v>
          </cell>
          <cell r="L1012">
            <v>409.25139999999999</v>
          </cell>
          <cell r="M1012">
            <v>0</v>
          </cell>
          <cell r="N1012">
            <v>549.99</v>
          </cell>
          <cell r="O1012" t="str">
            <v/>
          </cell>
          <cell r="P1012">
            <v>0</v>
          </cell>
          <cell r="Q1012">
            <v>0.34389277593186002</v>
          </cell>
          <cell r="R1012">
            <v>0.34389277593186002</v>
          </cell>
          <cell r="S1012" t="e">
            <v>#VALUE!</v>
          </cell>
          <cell r="T1012" t="e">
            <v>#VALUE!</v>
          </cell>
        </row>
        <row r="1013">
          <cell r="A1013" t="str">
            <v>MDFC0200130909</v>
          </cell>
          <cell r="B1013" t="str">
            <v>MKP000631002772</v>
          </cell>
          <cell r="C1013" t="str">
            <v/>
          </cell>
          <cell r="D1013" t="str">
            <v>Kit Madesa Estante Livreiro 6908 + Estante Livreiro 6906 Branco</v>
          </cell>
          <cell r="E1013" t="str">
            <v>6908 + 6906</v>
          </cell>
          <cell r="F1013" t="str">
            <v>ESCRITÓRIO</v>
          </cell>
          <cell r="G1013" t="str">
            <v/>
          </cell>
          <cell r="H1013">
            <v>809.99</v>
          </cell>
          <cell r="I1013">
            <v>659.99</v>
          </cell>
          <cell r="J1013">
            <v>413.79669999999999</v>
          </cell>
          <cell r="K1013">
            <v>0</v>
          </cell>
          <cell r="L1013">
            <v>413.79669999999999</v>
          </cell>
          <cell r="M1013">
            <v>0</v>
          </cell>
          <cell r="N1013">
            <v>659.99</v>
          </cell>
          <cell r="O1013" t="str">
            <v>AMAZON</v>
          </cell>
          <cell r="P1013">
            <v>589.99</v>
          </cell>
          <cell r="Q1013">
            <v>0.59496197045554</v>
          </cell>
          <cell r="R1013">
            <v>0.59496197045554</v>
          </cell>
          <cell r="S1013" t="e">
            <v>#VALUE!</v>
          </cell>
          <cell r="T1013" t="e">
            <v>#VALUE!</v>
          </cell>
        </row>
        <row r="1014">
          <cell r="A1014" t="str">
            <v>GRLX2600089N</v>
          </cell>
          <cell r="B1014" t="str">
            <v>MKP000631004854</v>
          </cell>
          <cell r="C1014" t="str">
            <v/>
          </cell>
          <cell r="D1014" t="str">
            <v>Armário de Cozinha Completa 260cm Rustic/Cinza Lux Madesa 08</v>
          </cell>
          <cell r="E1014" t="str">
            <v>LUX</v>
          </cell>
          <cell r="F1014" t="str">
            <v>COZINHA</v>
          </cell>
          <cell r="G1014" t="str">
            <v/>
          </cell>
          <cell r="H1014">
            <v>4729.99</v>
          </cell>
          <cell r="I1014">
            <v>4649.99</v>
          </cell>
          <cell r="J1014">
            <v>3061.5374999999999</v>
          </cell>
          <cell r="K1014">
            <v>0</v>
          </cell>
          <cell r="L1014">
            <v>3061.5374999999999</v>
          </cell>
          <cell r="M1014">
            <v>0</v>
          </cell>
          <cell r="N1014">
            <v>4649.99</v>
          </cell>
          <cell r="O1014" t="str">
            <v>LOJA</v>
          </cell>
          <cell r="P1014">
            <v>4089.99</v>
          </cell>
          <cell r="Q1014">
            <v>0.51884143179693198</v>
          </cell>
          <cell r="R1014">
            <v>0.51884143179693198</v>
          </cell>
          <cell r="S1014" t="e">
            <v>#VALUE!</v>
          </cell>
          <cell r="T1014" t="e">
            <v>#VALUE!</v>
          </cell>
        </row>
        <row r="1015">
          <cell r="A1015" t="str">
            <v>G252005ZPR</v>
          </cell>
          <cell r="B1015" t="str">
            <v>MKP000631000361</v>
          </cell>
          <cell r="C1015" t="str">
            <v/>
          </cell>
          <cell r="D1015" t="str">
            <v>Adega Madesa 20 cm para Cozinhas Glamy, Reims e Agata Rustic</v>
          </cell>
          <cell r="E1015" t="str">
            <v>PR</v>
          </cell>
          <cell r="F1015" t="str">
            <v>MODULAÇÃO</v>
          </cell>
          <cell r="G1015" t="str">
            <v/>
          </cell>
          <cell r="H1015">
            <v>359.99</v>
          </cell>
          <cell r="I1015">
            <v>179.99</v>
          </cell>
          <cell r="J1015">
            <v>99.309899999999999</v>
          </cell>
          <cell r="K1015">
            <v>0</v>
          </cell>
          <cell r="L1015">
            <v>99.309899999999999</v>
          </cell>
          <cell r="M1015">
            <v>0</v>
          </cell>
          <cell r="N1015">
            <v>179.99</v>
          </cell>
          <cell r="O1015" t="str">
            <v/>
          </cell>
          <cell r="P1015">
            <v>0</v>
          </cell>
          <cell r="Q1015">
            <v>0.81240742363047402</v>
          </cell>
          <cell r="R1015">
            <v>0.81240742363047402</v>
          </cell>
          <cell r="S1015" t="e">
            <v>#VALUE!</v>
          </cell>
          <cell r="T1015" t="e">
            <v>#VALUE!</v>
          </cell>
        </row>
        <row r="1016">
          <cell r="A1016" t="str">
            <v>MDJA0401097GBE</v>
          </cell>
          <cell r="B1016" t="str">
            <v>MKP000631004183</v>
          </cell>
          <cell r="C1016" t="str">
            <v/>
          </cell>
          <cell r="D1016" t="str">
            <v>Conjunto Sala de Jantar Madesa Nanda Mesa Tampo de Vidro Redondo 4 Cadeiras Rustic/Crema/Bege</v>
          </cell>
          <cell r="E1016" t="str">
            <v>NANDA</v>
          </cell>
          <cell r="F1016" t="str">
            <v>SALA DE JANTAR</v>
          </cell>
          <cell r="G1016" t="str">
            <v>4291X</v>
          </cell>
          <cell r="H1016">
            <v>1039.99</v>
          </cell>
          <cell r="I1016">
            <v>689.92</v>
          </cell>
          <cell r="J1016">
            <v>532.41049999999996</v>
          </cell>
          <cell r="K1016">
            <v>0</v>
          </cell>
          <cell r="L1016">
            <v>532.41049999999996</v>
          </cell>
          <cell r="M1016">
            <v>0</v>
          </cell>
          <cell r="N1016">
            <v>689.92</v>
          </cell>
          <cell r="O1016" t="str">
            <v/>
          </cell>
          <cell r="P1016">
            <v>0</v>
          </cell>
          <cell r="Q1016">
            <v>0.29584221197741201</v>
          </cell>
          <cell r="R1016">
            <v>0.29584221197741201</v>
          </cell>
          <cell r="S1016" t="e">
            <v>#VALUE!</v>
          </cell>
          <cell r="T1016" t="e">
            <v>#VALUE!</v>
          </cell>
        </row>
        <row r="1017">
          <cell r="A1017" t="str">
            <v>10948N1E4G</v>
          </cell>
          <cell r="B1017" t="str">
            <v>MKP000631001954</v>
          </cell>
          <cell r="C1017" t="str">
            <v/>
          </cell>
          <cell r="D1017" t="str">
            <v>Guarda-Roupa Solteiro Madesa Dallas Plus 2 Portas de Correr com Espelho 4 Gavetas Preto</v>
          </cell>
          <cell r="E1017" t="str">
            <v>DALLAS PLUS</v>
          </cell>
          <cell r="F1017" t="str">
            <v>QUARTO</v>
          </cell>
          <cell r="G1017" t="str">
            <v/>
          </cell>
          <cell r="H1017">
            <v>1049.99</v>
          </cell>
          <cell r="I1017">
            <v>949.99</v>
          </cell>
          <cell r="J1017">
            <v>782.51099999999997</v>
          </cell>
          <cell r="K1017">
            <v>0</v>
          </cell>
          <cell r="L1017">
            <v>782.51099999999997</v>
          </cell>
          <cell r="M1017">
            <v>0</v>
          </cell>
          <cell r="N1017">
            <v>949.99</v>
          </cell>
          <cell r="O1017" t="str">
            <v/>
          </cell>
          <cell r="P1017">
            <v>0</v>
          </cell>
          <cell r="Q1017">
            <v>0.21402766223094599</v>
          </cell>
          <cell r="R1017">
            <v>0.21402766223094599</v>
          </cell>
          <cell r="S1017" t="e">
            <v>#VALUE!</v>
          </cell>
          <cell r="T1017" t="e">
            <v>#VALUE!</v>
          </cell>
        </row>
        <row r="1018">
          <cell r="A1018" t="str">
            <v>10955Z2E</v>
          </cell>
          <cell r="B1018" t="str">
            <v>MKP000631001948</v>
          </cell>
          <cell r="C1018" t="str">
            <v/>
          </cell>
          <cell r="D1018" t="str">
            <v>Guarda-Roupa Casal Madesa Reno 3 Portas de Correr com Espelhos Rustic</v>
          </cell>
          <cell r="E1018" t="str">
            <v>RENO</v>
          </cell>
          <cell r="F1018" t="str">
            <v>QUARTO</v>
          </cell>
          <cell r="G1018" t="str">
            <v/>
          </cell>
          <cell r="H1018">
            <v>1769.99</v>
          </cell>
          <cell r="I1018">
            <v>1359.92</v>
          </cell>
          <cell r="J1018">
            <v>1157.5255</v>
          </cell>
          <cell r="K1018">
            <v>0</v>
          </cell>
          <cell r="L1018">
            <v>1157.5255</v>
          </cell>
          <cell r="M1018">
            <v>0</v>
          </cell>
          <cell r="N1018">
            <v>1359.92</v>
          </cell>
          <cell r="O1018" t="str">
            <v/>
          </cell>
          <cell r="P1018">
            <v>0</v>
          </cell>
          <cell r="Q1018">
            <v>0.17485100760199199</v>
          </cell>
          <cell r="R1018">
            <v>0.17485100760199199</v>
          </cell>
          <cell r="S1018" t="e">
            <v>#VALUE!</v>
          </cell>
          <cell r="T1018" t="e">
            <v>#VALUE!</v>
          </cell>
        </row>
        <row r="1019">
          <cell r="A1019" t="str">
            <v>GRGM25000109</v>
          </cell>
          <cell r="B1019" t="str">
            <v>MKP000631000341</v>
          </cell>
          <cell r="C1019" t="str">
            <v/>
          </cell>
          <cell r="D1019" t="str">
            <v>Armário de Cozinha Completa 100% MDF 250cm Frentes Branco Brilho Acordes Madesa 01</v>
          </cell>
          <cell r="E1019" t="str">
            <v>ACORDES</v>
          </cell>
          <cell r="F1019" t="str">
            <v>COZINHA</v>
          </cell>
          <cell r="G1019" t="str">
            <v/>
          </cell>
          <cell r="H1019">
            <v>2199.9899999999998</v>
          </cell>
          <cell r="I1019">
            <v>2099.9899999999998</v>
          </cell>
          <cell r="J1019">
            <v>1729.7537</v>
          </cell>
          <cell r="K1019">
            <v>0</v>
          </cell>
          <cell r="L1019">
            <v>1729.7537</v>
          </cell>
          <cell r="M1019">
            <v>0</v>
          </cell>
          <cell r="N1019">
            <v>2099.9899999999998</v>
          </cell>
          <cell r="O1019" t="str">
            <v/>
          </cell>
          <cell r="P1019">
            <v>0</v>
          </cell>
          <cell r="Q1019">
            <v>0.21403989481277</v>
          </cell>
          <cell r="R1019">
            <v>0.21403989481277</v>
          </cell>
          <cell r="S1019" t="e">
            <v>#VALUE!</v>
          </cell>
          <cell r="T1019" t="e">
            <v>#VALUE!</v>
          </cell>
        </row>
        <row r="1020">
          <cell r="A1020" t="str">
            <v>G2412473</v>
          </cell>
          <cell r="B1020" t="str">
            <v>MKP000631004946</v>
          </cell>
          <cell r="C1020" t="str">
            <v/>
          </cell>
          <cell r="D1020" t="str">
            <v>Balcão Gabinete de Pia 100% MDF 120 cm 3 Portas 2 Gavetas Branco/Preto Acordes Madesa</v>
          </cell>
          <cell r="E1020" t="str">
            <v>ACORDES</v>
          </cell>
          <cell r="F1020" t="str">
            <v>MODULAÇÃO</v>
          </cell>
          <cell r="G1020" t="str">
            <v/>
          </cell>
          <cell r="H1020">
            <v>739.99</v>
          </cell>
          <cell r="I1020">
            <v>599.99</v>
          </cell>
          <cell r="J1020">
            <v>465.74610000000001</v>
          </cell>
          <cell r="K1020">
            <v>0</v>
          </cell>
          <cell r="L1020">
            <v>465.74610000000001</v>
          </cell>
          <cell r="M1020">
            <v>0</v>
          </cell>
          <cell r="N1020">
            <v>599.99</v>
          </cell>
          <cell r="O1020" t="str">
            <v/>
          </cell>
          <cell r="P1020">
            <v>0</v>
          </cell>
          <cell r="Q1020">
            <v>0.28823408290482699</v>
          </cell>
          <cell r="R1020">
            <v>0.28823408290482699</v>
          </cell>
          <cell r="S1020" t="e">
            <v>#VALUE!</v>
          </cell>
          <cell r="T1020" t="e">
            <v>#VALUE!</v>
          </cell>
        </row>
        <row r="1021">
          <cell r="A1021" t="str">
            <v>GCRM38200109</v>
          </cell>
          <cell r="B1021" t="str">
            <v>MKP000631002534</v>
          </cell>
          <cell r="C1021" t="str">
            <v/>
          </cell>
          <cell r="D1021" t="str">
            <v>Armário de Cozinha Completa de Canto 382cm Branco Reims Madesa 01</v>
          </cell>
          <cell r="E1021" t="str">
            <v>REIMS</v>
          </cell>
          <cell r="F1021" t="str">
            <v>COZINHA</v>
          </cell>
          <cell r="G1021" t="str">
            <v/>
          </cell>
          <cell r="H1021">
            <v>3139.99</v>
          </cell>
          <cell r="I1021">
            <v>1759.92</v>
          </cell>
          <cell r="J1021">
            <v>1533.7717</v>
          </cell>
          <cell r="K1021">
            <v>0</v>
          </cell>
          <cell r="L1021">
            <v>1533.7717</v>
          </cell>
          <cell r="M1021">
            <v>0</v>
          </cell>
          <cell r="N1021">
            <v>1759.92</v>
          </cell>
          <cell r="O1021" t="str">
            <v/>
          </cell>
          <cell r="P1021">
            <v>0</v>
          </cell>
          <cell r="Q1021">
            <v>0.147445868247536</v>
          </cell>
          <cell r="R1021">
            <v>0.147445868247536</v>
          </cell>
          <cell r="S1021" t="e">
            <v>#VALUE!</v>
          </cell>
          <cell r="T1021" t="e">
            <v>#VALUE!</v>
          </cell>
        </row>
        <row r="1022">
          <cell r="A1022" t="str">
            <v>G25800F9AG</v>
          </cell>
          <cell r="B1022" t="str">
            <v>MKP000631002635</v>
          </cell>
          <cell r="C1022" t="str">
            <v/>
          </cell>
          <cell r="D1022" t="str">
            <v>Armário Aéreo Madesa Agata 80 cm 2 Portas Rustic/Cinza</v>
          </cell>
          <cell r="E1022" t="str">
            <v>ÁGATA</v>
          </cell>
          <cell r="F1022" t="str">
            <v>MODULAÇÃO</v>
          </cell>
          <cell r="G1022" t="str">
            <v/>
          </cell>
          <cell r="H1022">
            <v>699.99</v>
          </cell>
          <cell r="I1022">
            <v>439.99</v>
          </cell>
          <cell r="J1022">
            <v>252.3895</v>
          </cell>
          <cell r="K1022">
            <v>0</v>
          </cell>
          <cell r="L1022">
            <v>252.3895</v>
          </cell>
          <cell r="M1022">
            <v>0</v>
          </cell>
          <cell r="N1022">
            <v>439.99</v>
          </cell>
          <cell r="O1022" t="str">
            <v/>
          </cell>
          <cell r="P1022">
            <v>0</v>
          </cell>
          <cell r="Q1022">
            <v>0.74329756190332796</v>
          </cell>
          <cell r="R1022">
            <v>0.74329756190332796</v>
          </cell>
          <cell r="S1022" t="e">
            <v>#VALUE!</v>
          </cell>
          <cell r="T1022" t="e">
            <v>#VALUE!</v>
          </cell>
        </row>
        <row r="1023">
          <cell r="A1023" t="str">
            <v>GCNC4650013B</v>
          </cell>
          <cell r="B1023" t="str">
            <v>MKP000631004834</v>
          </cell>
          <cell r="C1023" t="str">
            <v/>
          </cell>
          <cell r="D1023" t="str">
            <v>Armário de Cozinha Completa de Canto 465cm Cinza Nice Madesa 01</v>
          </cell>
          <cell r="E1023" t="str">
            <v>NICE</v>
          </cell>
          <cell r="F1023" t="str">
            <v>COZINHA</v>
          </cell>
          <cell r="G1023" t="str">
            <v/>
          </cell>
          <cell r="H1023">
            <v>4159.99</v>
          </cell>
          <cell r="I1023">
            <v>3619.99</v>
          </cell>
          <cell r="J1023">
            <v>2366.9132</v>
          </cell>
          <cell r="K1023">
            <v>0</v>
          </cell>
          <cell r="L1023">
            <v>2366.9132</v>
          </cell>
          <cell r="M1023">
            <v>0</v>
          </cell>
          <cell r="N1023">
            <v>3619.99</v>
          </cell>
          <cell r="O1023" t="str">
            <v>MADEIRAMADEIRA</v>
          </cell>
          <cell r="P1023">
            <v>2999.99</v>
          </cell>
          <cell r="Q1023">
            <v>0.52941392189624803</v>
          </cell>
          <cell r="R1023">
            <v>0.52941392189624803</v>
          </cell>
          <cell r="S1023" t="e">
            <v>#VALUE!</v>
          </cell>
          <cell r="T1023" t="e">
            <v>#VALUE!</v>
          </cell>
        </row>
        <row r="1024">
          <cell r="A1024" t="str">
            <v>GRRM2400029B</v>
          </cell>
          <cell r="B1024" t="str">
            <v>MKP000631001786</v>
          </cell>
          <cell r="C1024" t="str">
            <v/>
          </cell>
          <cell r="D1024" t="str">
            <v>Armário de Cozinha Completa 240cm Branco Reims Madesa 02</v>
          </cell>
          <cell r="E1024" t="str">
            <v>REIMS</v>
          </cell>
          <cell r="F1024" t="str">
            <v>COZINHA</v>
          </cell>
          <cell r="G1024" t="str">
            <v/>
          </cell>
          <cell r="H1024">
            <v>2819.99</v>
          </cell>
          <cell r="I1024">
            <v>1639.92</v>
          </cell>
          <cell r="J1024">
            <v>1381.1389999999999</v>
          </cell>
          <cell r="K1024">
            <v>0</v>
          </cell>
          <cell r="L1024">
            <v>1381.1389999999999</v>
          </cell>
          <cell r="M1024">
            <v>0</v>
          </cell>
          <cell r="N1024">
            <v>1639.92</v>
          </cell>
          <cell r="O1024" t="str">
            <v/>
          </cell>
          <cell r="P1024">
            <v>0</v>
          </cell>
          <cell r="Q1024">
            <v>0.187367817431845</v>
          </cell>
          <cell r="R1024">
            <v>0.187367817431845</v>
          </cell>
          <cell r="S1024" t="e">
            <v>#VALUE!</v>
          </cell>
          <cell r="T1024" t="e">
            <v>#VALUE!</v>
          </cell>
        </row>
        <row r="1025">
          <cell r="A1025" t="str">
            <v>10949B1ECP</v>
          </cell>
          <cell r="B1025" t="str">
            <v>MKP000631000972</v>
          </cell>
          <cell r="C1025" t="str">
            <v/>
          </cell>
          <cell r="D1025" t="str">
            <v>Guarda-Roupa Solteiro Madesa Denver 2 Portas de Correr com Espelho com Pés Branco/Rustic</v>
          </cell>
          <cell r="E1025" t="str">
            <v>DENVER</v>
          </cell>
          <cell r="F1025" t="str">
            <v>QUARTO</v>
          </cell>
          <cell r="G1025" t="str">
            <v/>
          </cell>
          <cell r="H1025">
            <v>949.99</v>
          </cell>
          <cell r="I1025">
            <v>819.92</v>
          </cell>
          <cell r="J1025">
            <v>641.62850000000003</v>
          </cell>
          <cell r="K1025">
            <v>0</v>
          </cell>
          <cell r="L1025">
            <v>641.62850000000003</v>
          </cell>
          <cell r="M1025">
            <v>0</v>
          </cell>
          <cell r="N1025">
            <v>819.92</v>
          </cell>
          <cell r="O1025" t="str">
            <v/>
          </cell>
          <cell r="P1025">
            <v>0</v>
          </cell>
          <cell r="Q1025">
            <v>0.27787341117172898</v>
          </cell>
          <cell r="R1025">
            <v>0.27787341117172898</v>
          </cell>
          <cell r="S1025" t="e">
            <v>#VALUE!</v>
          </cell>
          <cell r="T1025" t="e">
            <v>#VALUE!</v>
          </cell>
        </row>
        <row r="1026">
          <cell r="A1026" t="str">
            <v>GRRM260002D8</v>
          </cell>
          <cell r="B1026" t="str">
            <v>MKP000631001760</v>
          </cell>
          <cell r="C1026" t="str">
            <v/>
          </cell>
          <cell r="D1026" t="str">
            <v>Armário de Cozinha Completa 260cm Preto/Rustic Reims Madesa 02</v>
          </cell>
          <cell r="E1026" t="str">
            <v>REIMS</v>
          </cell>
          <cell r="F1026" t="str">
            <v>COZINHA</v>
          </cell>
          <cell r="G1026" t="str">
            <v/>
          </cell>
          <cell r="H1026">
            <v>2339.9899999999998</v>
          </cell>
          <cell r="I1026">
            <v>1669.99</v>
          </cell>
          <cell r="J1026">
            <v>1301.0676000000001</v>
          </cell>
          <cell r="K1026">
            <v>0</v>
          </cell>
          <cell r="L1026">
            <v>1301.0676000000001</v>
          </cell>
          <cell r="M1026">
            <v>0</v>
          </cell>
          <cell r="N1026">
            <v>1669.99</v>
          </cell>
          <cell r="O1026" t="str">
            <v>MAGALU</v>
          </cell>
          <cell r="P1026">
            <v>1557.88</v>
          </cell>
          <cell r="Q1026">
            <v>0.28355359859856599</v>
          </cell>
          <cell r="R1026">
            <v>0.28355359859856599</v>
          </cell>
          <cell r="S1026" t="e">
            <v>#VALUE!</v>
          </cell>
          <cell r="T1026" t="e">
            <v>#VALUE!</v>
          </cell>
        </row>
        <row r="1027">
          <cell r="A1027" t="str">
            <v>G2512509PRMB</v>
          </cell>
          <cell r="B1027" t="str">
            <v>MKP000631000930</v>
          </cell>
          <cell r="C1027" t="str">
            <v/>
          </cell>
          <cell r="D1027" t="str">
            <v>Armário Aéreo Madesa 2 Portas de Correr de Vidro para Cozinhas Glamy, Lux e Reims Branco</v>
          </cell>
          <cell r="E1027" t="str">
            <v>PR</v>
          </cell>
          <cell r="F1027" t="str">
            <v>MODULAÇÃO</v>
          </cell>
          <cell r="G1027" t="str">
            <v/>
          </cell>
          <cell r="H1027">
            <v>779.99</v>
          </cell>
          <cell r="I1027">
            <v>419.99</v>
          </cell>
          <cell r="J1027">
            <v>268.75040000000001</v>
          </cell>
          <cell r="K1027">
            <v>0</v>
          </cell>
          <cell r="L1027">
            <v>268.75040000000001</v>
          </cell>
          <cell r="M1027">
            <v>0</v>
          </cell>
          <cell r="N1027">
            <v>419.99</v>
          </cell>
          <cell r="O1027" t="str">
            <v/>
          </cell>
          <cell r="P1027">
            <v>0</v>
          </cell>
          <cell r="Q1027">
            <v>0.56275116241687395</v>
          </cell>
          <cell r="R1027">
            <v>0.56275116241687395</v>
          </cell>
          <cell r="S1027" t="e">
            <v>#VALUE!</v>
          </cell>
          <cell r="T1027" t="e">
            <v>#VALUE!</v>
          </cell>
        </row>
        <row r="1028">
          <cell r="A1028" t="str">
            <v>G266098NRM</v>
          </cell>
          <cell r="B1028" t="str">
            <v>MKP000631003142</v>
          </cell>
          <cell r="C1028" t="str">
            <v/>
          </cell>
          <cell r="D1028" t="str">
            <v>Torre Quente Madesa Reims 60 cm 2 Portas Preto</v>
          </cell>
          <cell r="E1028" t="str">
            <v>REIMS</v>
          </cell>
          <cell r="F1028" t="str">
            <v>MODULAÇÃO</v>
          </cell>
          <cell r="G1028" t="str">
            <v/>
          </cell>
          <cell r="H1028">
            <v>1079.99</v>
          </cell>
          <cell r="I1028">
            <v>549.99</v>
          </cell>
          <cell r="J1028">
            <v>409.25139999999999</v>
          </cell>
          <cell r="K1028">
            <v>0</v>
          </cell>
          <cell r="L1028">
            <v>409.25139999999999</v>
          </cell>
          <cell r="M1028">
            <v>0</v>
          </cell>
          <cell r="N1028">
            <v>549.99</v>
          </cell>
          <cell r="O1028" t="str">
            <v/>
          </cell>
          <cell r="P1028">
            <v>0</v>
          </cell>
          <cell r="Q1028">
            <v>0.34389277593186002</v>
          </cell>
          <cell r="R1028">
            <v>0.34389277593186002</v>
          </cell>
          <cell r="S1028" t="e">
            <v>#VALUE!</v>
          </cell>
          <cell r="T1028" t="e">
            <v>#VALUE!</v>
          </cell>
        </row>
        <row r="1029">
          <cell r="A1029" t="str">
            <v>G267555ZTE</v>
          </cell>
          <cell r="B1029" t="str">
            <v>MKP000631002177</v>
          </cell>
          <cell r="C1029" t="str">
            <v/>
          </cell>
          <cell r="D1029" t="str">
            <v>Torre Quente Madesa Stella 70 cm 3 Portas Rustic</v>
          </cell>
          <cell r="E1029" t="str">
            <v>STELLA</v>
          </cell>
          <cell r="F1029" t="str">
            <v>MODULAÇÃO</v>
          </cell>
          <cell r="G1029" t="str">
            <v/>
          </cell>
          <cell r="H1029">
            <v>1259.99</v>
          </cell>
          <cell r="I1029">
            <v>869.99</v>
          </cell>
          <cell r="J1029">
            <v>529.32579999999996</v>
          </cell>
          <cell r="K1029">
            <v>0</v>
          </cell>
          <cell r="L1029">
            <v>529.32579999999996</v>
          </cell>
          <cell r="M1029">
            <v>0</v>
          </cell>
          <cell r="N1029">
            <v>869.99</v>
          </cell>
          <cell r="O1029" t="str">
            <v/>
          </cell>
          <cell r="P1029">
            <v>0</v>
          </cell>
          <cell r="Q1029">
            <v>0.64358132552768099</v>
          </cell>
          <cell r="R1029">
            <v>0.64358132552768099</v>
          </cell>
          <cell r="S1029" t="e">
            <v>#VALUE!</v>
          </cell>
          <cell r="T1029" t="e">
            <v>#VALUE!</v>
          </cell>
        </row>
        <row r="1030">
          <cell r="A1030" t="str">
            <v>GCEM3570035Z</v>
          </cell>
          <cell r="B1030" t="str">
            <v>MKP000631002040</v>
          </cell>
          <cell r="C1030" t="str">
            <v/>
          </cell>
          <cell r="D1030" t="str">
            <v>Armário de Cozinha Completa de Canto 357cm Rustic Emilly Mega Madesa 03</v>
          </cell>
          <cell r="E1030" t="str">
            <v>MEGA/EMILLY</v>
          </cell>
          <cell r="F1030" t="str">
            <v>COZINHA</v>
          </cell>
          <cell r="G1030" t="str">
            <v/>
          </cell>
          <cell r="H1030">
            <v>1699.99</v>
          </cell>
          <cell r="I1030">
            <v>1599.99</v>
          </cell>
          <cell r="J1030">
            <v>1316.6655000000001</v>
          </cell>
          <cell r="K1030">
            <v>0</v>
          </cell>
          <cell r="L1030">
            <v>1316.6655000000001</v>
          </cell>
          <cell r="M1030">
            <v>0</v>
          </cell>
          <cell r="N1030">
            <v>1599.99</v>
          </cell>
          <cell r="O1030" t="str">
            <v/>
          </cell>
          <cell r="P1030">
            <v>0</v>
          </cell>
          <cell r="Q1030">
            <v>0.21518335522575799</v>
          </cell>
          <cell r="R1030">
            <v>0.21518335522575799</v>
          </cell>
          <cell r="S1030" t="e">
            <v>#VALUE!</v>
          </cell>
          <cell r="T1030" t="e">
            <v>#VALUE!</v>
          </cell>
        </row>
        <row r="1031">
          <cell r="A1031" t="str">
            <v>044825ZXTLIB</v>
          </cell>
          <cell r="B1031" t="str">
            <v>MKP000631000579</v>
          </cell>
          <cell r="C1031" t="str">
            <v/>
          </cell>
          <cell r="D1031" t="str">
            <v>Conjunto Sala de Jantar Madesa Maris Mesa Tampo de Madeira com 6 Cadeiras Rustic/Lírio Bege</v>
          </cell>
          <cell r="E1031" t="str">
            <v>MARIS</v>
          </cell>
          <cell r="F1031" t="str">
            <v>SALA DE JANTAR</v>
          </cell>
          <cell r="G1031" t="str">
            <v>4290X</v>
          </cell>
          <cell r="H1031">
            <v>1389.99</v>
          </cell>
          <cell r="I1031">
            <v>719.99</v>
          </cell>
          <cell r="J1031">
            <v>562.97410000000002</v>
          </cell>
          <cell r="K1031">
            <v>0</v>
          </cell>
          <cell r="L1031">
            <v>562.97410000000002</v>
          </cell>
          <cell r="M1031">
            <v>0</v>
          </cell>
          <cell r="N1031">
            <v>719.99</v>
          </cell>
          <cell r="O1031" t="str">
            <v>COLOMBO</v>
          </cell>
          <cell r="P1031">
            <v>739.99</v>
          </cell>
          <cell r="Q1031">
            <v>0.27890430483391698</v>
          </cell>
          <cell r="R1031">
            <v>0.27890430483391698</v>
          </cell>
          <cell r="S1031" t="e">
            <v>#VALUE!</v>
          </cell>
          <cell r="T1031" t="e">
            <v>#VALUE!</v>
          </cell>
        </row>
        <row r="1032">
          <cell r="A1032" t="str">
            <v>1028092E</v>
          </cell>
          <cell r="B1032" t="str">
            <v>MKP000631002241</v>
          </cell>
          <cell r="C1032" t="str">
            <v/>
          </cell>
          <cell r="D1032" t="str">
            <v>Guarda-Roupa Casal Madesa Austin 4 Portas de Correr com Espelhos 3 Gavetas Branco</v>
          </cell>
          <cell r="E1032" t="str">
            <v>AUSTIN</v>
          </cell>
          <cell r="F1032" t="str">
            <v>QUARTO</v>
          </cell>
          <cell r="G1032" t="str">
            <v/>
          </cell>
          <cell r="H1032">
            <v>2839.99</v>
          </cell>
          <cell r="I1032">
            <v>1819.99</v>
          </cell>
          <cell r="J1032">
            <v>1393.0853999999999</v>
          </cell>
          <cell r="K1032">
            <v>0</v>
          </cell>
          <cell r="L1032">
            <v>1393.0853999999999</v>
          </cell>
          <cell r="M1032">
            <v>0</v>
          </cell>
          <cell r="N1032">
            <v>1819.99</v>
          </cell>
          <cell r="O1032" t="str">
            <v>LOJA</v>
          </cell>
          <cell r="P1032">
            <v>1699.99</v>
          </cell>
          <cell r="Q1032">
            <v>0.30644539092865403</v>
          </cell>
          <cell r="R1032">
            <v>0.30644539092865403</v>
          </cell>
          <cell r="S1032" t="e">
            <v>#VALUE!</v>
          </cell>
          <cell r="T1032" t="e">
            <v>#VALUE!</v>
          </cell>
        </row>
        <row r="1033">
          <cell r="A1033" t="str">
            <v>69063Z1</v>
          </cell>
          <cell r="B1033" t="str">
            <v>MKP000631002608</v>
          </cell>
          <cell r="C1033" t="str">
            <v/>
          </cell>
          <cell r="D1033" t="str">
            <v>Estante Livreiro Madesa 6906 com 6 Nichos Cinza</v>
          </cell>
          <cell r="E1033">
            <v>6906</v>
          </cell>
          <cell r="F1033" t="str">
            <v>ESCRITÓRIO</v>
          </cell>
          <cell r="G1033" t="str">
            <v/>
          </cell>
          <cell r="H1033">
            <v>399.99</v>
          </cell>
          <cell r="I1033">
            <v>289.92</v>
          </cell>
          <cell r="J1033">
            <v>182.8039</v>
          </cell>
          <cell r="K1033">
            <v>0</v>
          </cell>
          <cell r="L1033">
            <v>182.8039</v>
          </cell>
          <cell r="M1033">
            <v>0</v>
          </cell>
          <cell r="N1033">
            <v>289.92</v>
          </cell>
          <cell r="O1033" t="str">
            <v/>
          </cell>
          <cell r="P1033">
            <v>0</v>
          </cell>
          <cell r="Q1033">
            <v>0.58596178746733496</v>
          </cell>
          <cell r="R1033">
            <v>0.58596178746733496</v>
          </cell>
          <cell r="S1033" t="e">
            <v>#VALUE!</v>
          </cell>
          <cell r="T1033" t="e">
            <v>#VALUE!</v>
          </cell>
        </row>
        <row r="1034">
          <cell r="A1034" t="str">
            <v>G200915Z</v>
          </cell>
          <cell r="B1034" t="str">
            <v>MKP000631000384</v>
          </cell>
          <cell r="C1034" t="str">
            <v/>
          </cell>
          <cell r="D1034" t="str">
            <v>Kit com Armário Aéreo e Balcão 64cm Rustic Emilly Madesa</v>
          </cell>
          <cell r="E1034" t="str">
            <v>EMILLY</v>
          </cell>
          <cell r="F1034" t="str">
            <v>MODULAÇÃO</v>
          </cell>
          <cell r="G1034" t="str">
            <v/>
          </cell>
          <cell r="H1034">
            <v>609.99</v>
          </cell>
          <cell r="I1034">
            <v>389.99</v>
          </cell>
          <cell r="J1034">
            <v>258.0684</v>
          </cell>
          <cell r="K1034">
            <v>0</v>
          </cell>
          <cell r="L1034">
            <v>258.0684</v>
          </cell>
          <cell r="M1034">
            <v>0</v>
          </cell>
          <cell r="N1034">
            <v>389.99</v>
          </cell>
          <cell r="O1034" t="str">
            <v/>
          </cell>
          <cell r="P1034">
            <v>0</v>
          </cell>
          <cell r="Q1034">
            <v>0.51118850661297599</v>
          </cell>
          <cell r="R1034">
            <v>0.51118850661297599</v>
          </cell>
          <cell r="S1034" t="e">
            <v>#VALUE!</v>
          </cell>
          <cell r="T1034" t="e">
            <v>#VALUE!</v>
          </cell>
        </row>
        <row r="1035">
          <cell r="A1035" t="str">
            <v>GCRM39200209</v>
          </cell>
          <cell r="B1035" t="str">
            <v>MKP000631002594</v>
          </cell>
          <cell r="C1035" t="str">
            <v/>
          </cell>
          <cell r="D1035" t="str">
            <v>Armário de Cozinha Completa de Canto 392cm Branco Reims Madesa 02</v>
          </cell>
          <cell r="E1035" t="str">
            <v>REIMS</v>
          </cell>
          <cell r="F1035" t="str">
            <v>COZINHA</v>
          </cell>
          <cell r="G1035" t="str">
            <v/>
          </cell>
          <cell r="H1035">
            <v>3389.99</v>
          </cell>
          <cell r="I1035">
            <v>1999.99</v>
          </cell>
          <cell r="J1035">
            <v>1745.4496999999999</v>
          </cell>
          <cell r="K1035">
            <v>0</v>
          </cell>
          <cell r="L1035">
            <v>1745.4496999999999</v>
          </cell>
          <cell r="M1035">
            <v>0</v>
          </cell>
          <cell r="N1035">
            <v>1999.99</v>
          </cell>
          <cell r="O1035" t="str">
            <v/>
          </cell>
          <cell r="P1035">
            <v>0</v>
          </cell>
          <cell r="Q1035">
            <v>0.14583078504066899</v>
          </cell>
          <cell r="R1035">
            <v>0.14583078504066899</v>
          </cell>
          <cell r="S1035" t="e">
            <v>#VALUE!</v>
          </cell>
          <cell r="T1035" t="e">
            <v>#VALUE!</v>
          </cell>
        </row>
        <row r="1036">
          <cell r="A1036" t="str">
            <v>10958N3E</v>
          </cell>
          <cell r="B1036" t="str">
            <v>MKP000631001950</v>
          </cell>
          <cell r="C1036" t="str">
            <v/>
          </cell>
          <cell r="D1036" t="str">
            <v>Guarda-Roupa Casal Madesa Reno 3 Portas de Correr de Espelho Preto</v>
          </cell>
          <cell r="E1036" t="str">
            <v>RENO</v>
          </cell>
          <cell r="F1036" t="str">
            <v>QUARTO</v>
          </cell>
          <cell r="G1036" t="str">
            <v/>
          </cell>
          <cell r="H1036">
            <v>2249.9899999999998</v>
          </cell>
          <cell r="I1036">
            <v>1589.99</v>
          </cell>
          <cell r="J1036">
            <v>1277.0876000000001</v>
          </cell>
          <cell r="K1036">
            <v>0</v>
          </cell>
          <cell r="L1036">
            <v>1277.0876000000001</v>
          </cell>
          <cell r="M1036">
            <v>0</v>
          </cell>
          <cell r="N1036">
            <v>1589.99</v>
          </cell>
          <cell r="O1036" t="str">
            <v>LOJA</v>
          </cell>
          <cell r="P1036">
            <v>1499.99</v>
          </cell>
          <cell r="Q1036">
            <v>0.245012479958305</v>
          </cell>
          <cell r="R1036">
            <v>0.245012479958305</v>
          </cell>
          <cell r="S1036" t="e">
            <v>#VALUE!</v>
          </cell>
          <cell r="T1036" t="e">
            <v>#VALUE!</v>
          </cell>
        </row>
        <row r="1037">
          <cell r="A1037" t="str">
            <v>G2708009GL</v>
          </cell>
          <cell r="B1037" t="str">
            <v>MKP000631003347</v>
          </cell>
          <cell r="C1037" t="str">
            <v/>
          </cell>
          <cell r="D1037" t="str">
            <v>Porta-Geladeira Madesa Glamy 1 Porta Basculante Branco</v>
          </cell>
          <cell r="E1037" t="str">
            <v>GLAMY</v>
          </cell>
          <cell r="F1037" t="str">
            <v>MODULAÇÃO</v>
          </cell>
          <cell r="G1037" t="str">
            <v/>
          </cell>
          <cell r="H1037">
            <v>979.99</v>
          </cell>
          <cell r="I1037">
            <v>629.99</v>
          </cell>
          <cell r="J1037">
            <v>365.48790000000002</v>
          </cell>
          <cell r="K1037">
            <v>0</v>
          </cell>
          <cell r="L1037">
            <v>365.48790000000002</v>
          </cell>
          <cell r="M1037">
            <v>0</v>
          </cell>
          <cell r="N1037">
            <v>629.99</v>
          </cell>
          <cell r="O1037" t="str">
            <v/>
          </cell>
          <cell r="P1037">
            <v>0</v>
          </cell>
          <cell r="Q1037">
            <v>0.72369591442014902</v>
          </cell>
          <cell r="R1037">
            <v>0.72369591442014902</v>
          </cell>
          <cell r="S1037" t="e">
            <v>#VALUE!</v>
          </cell>
          <cell r="T1037" t="e">
            <v>#VALUE!</v>
          </cell>
        </row>
        <row r="1038">
          <cell r="A1038" t="str">
            <v>1093H9</v>
          </cell>
          <cell r="B1038" t="str">
            <v>MKP000631004579</v>
          </cell>
          <cell r="C1038" t="str">
            <v/>
          </cell>
          <cell r="D1038" t="str">
            <v>Guarda-Roupa Casal Madesa Mônaco 3 Portas de Correr Preto/Cinza</v>
          </cell>
          <cell r="E1038" t="str">
            <v>MÔNACO</v>
          </cell>
          <cell r="F1038" t="str">
            <v>QUARTO</v>
          </cell>
          <cell r="G1038" t="str">
            <v/>
          </cell>
          <cell r="H1038">
            <v>949.99</v>
          </cell>
          <cell r="I1038">
            <v>819.92</v>
          </cell>
          <cell r="J1038">
            <v>620.85310000000004</v>
          </cell>
          <cell r="K1038">
            <v>0</v>
          </cell>
          <cell r="L1038">
            <v>620.85310000000004</v>
          </cell>
          <cell r="M1038">
            <v>0</v>
          </cell>
          <cell r="N1038">
            <v>819.92</v>
          </cell>
          <cell r="O1038" t="str">
            <v/>
          </cell>
          <cell r="P1038">
            <v>0</v>
          </cell>
          <cell r="Q1038">
            <v>0.32063446248395899</v>
          </cell>
          <cell r="R1038">
            <v>0.32063446248395899</v>
          </cell>
          <cell r="S1038" t="e">
            <v>#VALUE!</v>
          </cell>
          <cell r="T1038" t="e">
            <v>#VALUE!</v>
          </cell>
        </row>
        <row r="1039">
          <cell r="A1039" t="str">
            <v>XAGRRM260001D8</v>
          </cell>
          <cell r="B1039" t="str">
            <v>MKP000631001755</v>
          </cell>
          <cell r="C1039" t="str">
            <v/>
          </cell>
          <cell r="D1039" t="str">
            <v>Armário de Cozinha Completa 260cm Preto/Rustic Reims Madesa XA01</v>
          </cell>
          <cell r="E1039" t="str">
            <v>REIMS</v>
          </cell>
          <cell r="F1039" t="str">
            <v>COZINHA</v>
          </cell>
          <cell r="G1039" t="str">
            <v/>
          </cell>
          <cell r="H1039">
            <v>1999.99</v>
          </cell>
          <cell r="I1039">
            <v>1299.99</v>
          </cell>
          <cell r="J1039">
            <v>1068.8104000000001</v>
          </cell>
          <cell r="K1039">
            <v>0</v>
          </cell>
          <cell r="L1039">
            <v>1068.8104000000001</v>
          </cell>
          <cell r="M1039">
            <v>0</v>
          </cell>
          <cell r="N1039">
            <v>1299.99</v>
          </cell>
          <cell r="O1039" t="str">
            <v>VIA</v>
          </cell>
          <cell r="P1039">
            <v>1199.99</v>
          </cell>
          <cell r="Q1039">
            <v>0.216296173764776</v>
          </cell>
          <cell r="R1039">
            <v>0.216296173764776</v>
          </cell>
          <cell r="S1039" t="e">
            <v>#VALUE!</v>
          </cell>
          <cell r="T1039" t="e">
            <v>#VALUE!</v>
          </cell>
        </row>
        <row r="1040">
          <cell r="A1040" t="str">
            <v>1028D8</v>
          </cell>
          <cell r="B1040" t="str">
            <v>MKP000631003462</v>
          </cell>
          <cell r="C1040" t="str">
            <v/>
          </cell>
          <cell r="D1040" t="str">
            <v>Guarda-Roupa Casal Madesa Austin 4 Portas de Correr 3 Gavetas Preto/Rustic</v>
          </cell>
          <cell r="E1040" t="str">
            <v>AUSTIN</v>
          </cell>
          <cell r="F1040" t="str">
            <v>QUARTO</v>
          </cell>
          <cell r="G1040" t="str">
            <v/>
          </cell>
          <cell r="H1040">
            <v>1769.99</v>
          </cell>
          <cell r="I1040">
            <v>1459.92</v>
          </cell>
          <cell r="J1040">
            <v>1153.9612</v>
          </cell>
          <cell r="K1040">
            <v>0</v>
          </cell>
          <cell r="L1040">
            <v>1153.9612</v>
          </cell>
          <cell r="M1040">
            <v>0</v>
          </cell>
          <cell r="N1040">
            <v>1459.92</v>
          </cell>
          <cell r="O1040" t="str">
            <v/>
          </cell>
          <cell r="P1040">
            <v>0</v>
          </cell>
          <cell r="Q1040">
            <v>0.26513785732137302</v>
          </cell>
          <cell r="R1040">
            <v>0.26513785732137302</v>
          </cell>
          <cell r="S1040" t="e">
            <v>#VALUE!</v>
          </cell>
          <cell r="T1040" t="e">
            <v>#VALUE!</v>
          </cell>
        </row>
        <row r="1041">
          <cell r="A1041" t="str">
            <v>42917G6XTFBM</v>
          </cell>
          <cell r="B1041" t="str">
            <v>MKP000631003155</v>
          </cell>
          <cell r="C1041" t="str">
            <v/>
          </cell>
          <cell r="D1041" t="str">
            <v>Kit 6 Cadeiras 4291 Madesa Rustic/Crema/Bege Marrom</v>
          </cell>
          <cell r="E1041">
            <v>4291</v>
          </cell>
          <cell r="F1041" t="str">
            <v>SALA DE JANTAR</v>
          </cell>
          <cell r="G1041" t="str">
            <v>4291X</v>
          </cell>
          <cell r="H1041">
            <v>599.99</v>
          </cell>
          <cell r="I1041">
            <v>499.99</v>
          </cell>
          <cell r="J1041">
            <v>381.67439999999999</v>
          </cell>
          <cell r="K1041">
            <v>0</v>
          </cell>
          <cell r="L1041">
            <v>381.67439999999999</v>
          </cell>
          <cell r="M1041">
            <v>0</v>
          </cell>
          <cell r="N1041">
            <v>499.99</v>
          </cell>
          <cell r="O1041" t="str">
            <v/>
          </cell>
          <cell r="P1041">
            <v>0</v>
          </cell>
          <cell r="Q1041">
            <v>0.30999092420136098</v>
          </cell>
          <cell r="R1041">
            <v>0.30999092420136098</v>
          </cell>
          <cell r="S1041" t="e">
            <v>#VALUE!</v>
          </cell>
          <cell r="T1041" t="e">
            <v>#VALUE!</v>
          </cell>
        </row>
        <row r="1042">
          <cell r="A1042" t="str">
            <v>MDJA0401247GSIM</v>
          </cell>
          <cell r="B1042" t="str">
            <v>MKP000631004150</v>
          </cell>
          <cell r="C1042" t="str">
            <v/>
          </cell>
          <cell r="D1042" t="str">
            <v>Conjunto Sala de Jantar Madesa Rejane Mesa Tampo de Madeira 4 Cadeiras Rustic/Crema/Imperial</v>
          </cell>
          <cell r="E1042" t="str">
            <v>REJANE</v>
          </cell>
          <cell r="F1042" t="str">
            <v>SALA DE JANTAR</v>
          </cell>
          <cell r="G1042">
            <v>4254</v>
          </cell>
          <cell r="H1042">
            <v>1099.99</v>
          </cell>
          <cell r="I1042">
            <v>999.99</v>
          </cell>
          <cell r="J1042">
            <v>805.22659999999996</v>
          </cell>
          <cell r="K1042">
            <v>0</v>
          </cell>
          <cell r="L1042">
            <v>805.22659999999996</v>
          </cell>
          <cell r="M1042">
            <v>0</v>
          </cell>
          <cell r="N1042">
            <v>999.99</v>
          </cell>
          <cell r="O1042" t="str">
            <v/>
          </cell>
          <cell r="P1042">
            <v>0</v>
          </cell>
          <cell r="Q1042">
            <v>0.241874026516262</v>
          </cell>
          <cell r="R1042">
            <v>0.241874026516262</v>
          </cell>
          <cell r="S1042" t="e">
            <v>#VALUE!</v>
          </cell>
          <cell r="T1042" t="e">
            <v>#VALUE!</v>
          </cell>
        </row>
        <row r="1043">
          <cell r="A1043" t="str">
            <v>MDES02000773</v>
          </cell>
          <cell r="B1043" t="str">
            <v>MKP000631001800</v>
          </cell>
          <cell r="C1043" t="str">
            <v/>
          </cell>
          <cell r="D1043" t="str">
            <v>Rack Madesa Le Mans e Painel para TV até 55 Polegadas 2 Portas Branco/Preto</v>
          </cell>
          <cell r="E1043" t="str">
            <v>LE MANS</v>
          </cell>
          <cell r="F1043" t="str">
            <v>SALA DE ESTAR</v>
          </cell>
          <cell r="G1043" t="str">
            <v/>
          </cell>
          <cell r="H1043">
            <v>559.99</v>
          </cell>
          <cell r="I1043">
            <v>459.99</v>
          </cell>
          <cell r="J1043">
            <v>351.69940000000003</v>
          </cell>
          <cell r="K1043">
            <v>0</v>
          </cell>
          <cell r="L1043">
            <v>351.69940000000003</v>
          </cell>
          <cell r="M1043">
            <v>0</v>
          </cell>
          <cell r="N1043">
            <v>459.99</v>
          </cell>
          <cell r="O1043" t="str">
            <v/>
          </cell>
          <cell r="P1043">
            <v>0</v>
          </cell>
          <cell r="Q1043">
            <v>0.30790669531992398</v>
          </cell>
          <cell r="R1043">
            <v>0.30790669531992398</v>
          </cell>
          <cell r="S1043" t="e">
            <v>#VALUE!</v>
          </cell>
          <cell r="T1043" t="e">
            <v>#VALUE!</v>
          </cell>
        </row>
        <row r="1044">
          <cell r="A1044" t="str">
            <v>1060001</v>
          </cell>
          <cell r="B1044" t="str">
            <v>MKP000631002837</v>
          </cell>
          <cell r="C1044" t="str">
            <v/>
          </cell>
          <cell r="D1044" t="str">
            <v>Vidro Reflex de 194,1 x 63 cm para Guarda-Roupa Madesa</v>
          </cell>
          <cell r="E1044" t="str">
            <v>KIT VIDRO REFLEX</v>
          </cell>
          <cell r="F1044" t="str">
            <v>QUARTO</v>
          </cell>
          <cell r="G1044" t="str">
            <v/>
          </cell>
          <cell r="H1044">
            <v>859.99</v>
          </cell>
          <cell r="I1044">
            <v>759.99</v>
          </cell>
          <cell r="J1044">
            <v>625.56190000000004</v>
          </cell>
          <cell r="K1044">
            <v>0</v>
          </cell>
          <cell r="L1044">
            <v>625.56190000000004</v>
          </cell>
          <cell r="M1044">
            <v>0</v>
          </cell>
          <cell r="N1044">
            <v>759.99</v>
          </cell>
          <cell r="O1044" t="str">
            <v/>
          </cell>
          <cell r="P1044">
            <v>0</v>
          </cell>
          <cell r="Q1044">
            <v>0.21489176370875501</v>
          </cell>
          <cell r="R1044">
            <v>0.21489176370875501</v>
          </cell>
          <cell r="S1044" t="e">
            <v>#VALUE!</v>
          </cell>
          <cell r="T1044" t="e">
            <v>#VALUE!</v>
          </cell>
        </row>
        <row r="1045">
          <cell r="A1045" t="str">
            <v>XA10949B4G</v>
          </cell>
          <cell r="B1045" t="str">
            <v>MKP000631001619</v>
          </cell>
          <cell r="C1045" t="str">
            <v/>
          </cell>
          <cell r="D1045" t="str">
            <v>Guarda-Roupa Infantil Madesa Theo 2 Portas de Correr 4 Gavetas Branco/Rustic</v>
          </cell>
          <cell r="E1045" t="str">
            <v>THEO</v>
          </cell>
          <cell r="F1045" t="str">
            <v>QUARTO</v>
          </cell>
          <cell r="G1045" t="str">
            <v/>
          </cell>
          <cell r="H1045">
            <v>1119.99</v>
          </cell>
          <cell r="I1045">
            <v>819.92</v>
          </cell>
          <cell r="J1045">
            <v>652.58299999999997</v>
          </cell>
          <cell r="K1045">
            <v>0</v>
          </cell>
          <cell r="L1045">
            <v>652.58299999999997</v>
          </cell>
          <cell r="M1045">
            <v>0</v>
          </cell>
          <cell r="N1045">
            <v>819.92</v>
          </cell>
          <cell r="O1045" t="str">
            <v/>
          </cell>
          <cell r="P1045">
            <v>0</v>
          </cell>
          <cell r="Q1045">
            <v>0.25642255467886799</v>
          </cell>
          <cell r="R1045">
            <v>0.25642255467886799</v>
          </cell>
          <cell r="S1045" t="e">
            <v>#VALUE!</v>
          </cell>
          <cell r="T1045" t="e">
            <v>#VALUE!</v>
          </cell>
        </row>
        <row r="1046">
          <cell r="A1046" t="str">
            <v>1093092ECP</v>
          </cell>
          <cell r="B1046" t="str">
            <v>MKP000631001859</v>
          </cell>
          <cell r="C1046" t="str">
            <v/>
          </cell>
          <cell r="D1046" t="str">
            <v>Guarda-Roupa Casal Madesa Mônaco 3 Portas de Correr com Espelhos com Pés Branco</v>
          </cell>
          <cell r="E1046" t="str">
            <v>MÔNACO</v>
          </cell>
          <cell r="F1046" t="str">
            <v>QUARTO</v>
          </cell>
          <cell r="G1046" t="str">
            <v/>
          </cell>
          <cell r="H1046">
            <v>2019.99</v>
          </cell>
          <cell r="I1046">
            <v>1149.92</v>
          </cell>
          <cell r="J1046">
            <v>926.89239999999995</v>
          </cell>
          <cell r="K1046">
            <v>0</v>
          </cell>
          <cell r="L1046">
            <v>926.89239999999995</v>
          </cell>
          <cell r="M1046">
            <v>0</v>
          </cell>
          <cell r="N1046">
            <v>1149.92</v>
          </cell>
          <cell r="O1046" t="str">
            <v/>
          </cell>
          <cell r="P1046">
            <v>0</v>
          </cell>
          <cell r="Q1046">
            <v>0.240618652175808</v>
          </cell>
          <cell r="R1046">
            <v>0.240618652175808</v>
          </cell>
          <cell r="S1046" t="e">
            <v>#VALUE!</v>
          </cell>
          <cell r="T1046" t="e">
            <v>#VALUE!</v>
          </cell>
        </row>
        <row r="1047">
          <cell r="A1047" t="str">
            <v>GRRM19000209</v>
          </cell>
          <cell r="B1047" t="str">
            <v>MKP000631002231</v>
          </cell>
          <cell r="C1047" t="str">
            <v/>
          </cell>
          <cell r="D1047" t="str">
            <v>Armário de Cozinha Compacta 190cm Branco Reims Madesa 02</v>
          </cell>
          <cell r="E1047" t="str">
            <v>REIMS</v>
          </cell>
          <cell r="F1047" t="str">
            <v>COZINHA</v>
          </cell>
          <cell r="G1047" t="str">
            <v/>
          </cell>
          <cell r="H1047">
            <v>1299.99</v>
          </cell>
          <cell r="I1047">
            <v>1159.92</v>
          </cell>
          <cell r="J1047">
            <v>958.89480000000003</v>
          </cell>
          <cell r="K1047">
            <v>0</v>
          </cell>
          <cell r="L1047">
            <v>958.89480000000003</v>
          </cell>
          <cell r="M1047">
            <v>0</v>
          </cell>
          <cell r="N1047">
            <v>1159.92</v>
          </cell>
          <cell r="O1047" t="str">
            <v/>
          </cell>
          <cell r="P1047">
            <v>0</v>
          </cell>
          <cell r="Q1047">
            <v>0.20964260104445201</v>
          </cell>
          <cell r="R1047">
            <v>0.20964260104445201</v>
          </cell>
          <cell r="S1047" t="e">
            <v>#VALUE!</v>
          </cell>
          <cell r="T1047" t="e">
            <v>#VALUE!</v>
          </cell>
        </row>
        <row r="1048">
          <cell r="A1048" t="str">
            <v>GCRM40200309</v>
          </cell>
          <cell r="B1048" t="str">
            <v>MKP000631004296</v>
          </cell>
          <cell r="C1048" t="str">
            <v/>
          </cell>
          <cell r="D1048" t="str">
            <v>Armário de Cozinha Completa de Canto 402cm Branco Reims Madesa 03</v>
          </cell>
          <cell r="E1048" t="str">
            <v>REIMS</v>
          </cell>
          <cell r="F1048" t="str">
            <v>COZINHA</v>
          </cell>
          <cell r="G1048" t="str">
            <v/>
          </cell>
          <cell r="H1048">
            <v>1889.99</v>
          </cell>
          <cell r="I1048">
            <v>1629.92</v>
          </cell>
          <cell r="J1048">
            <v>1449.6455000000001</v>
          </cell>
          <cell r="K1048">
            <v>0</v>
          </cell>
          <cell r="L1048">
            <v>1449.6455000000001</v>
          </cell>
          <cell r="M1048">
            <v>0</v>
          </cell>
          <cell r="N1048">
            <v>1629.92</v>
          </cell>
          <cell r="O1048" t="str">
            <v/>
          </cell>
          <cell r="P1048">
            <v>0</v>
          </cell>
          <cell r="Q1048">
            <v>0.12435764467933701</v>
          </cell>
          <cell r="R1048">
            <v>0.12435764467933701</v>
          </cell>
          <cell r="S1048" t="e">
            <v>#VALUE!</v>
          </cell>
          <cell r="T1048" t="e">
            <v>#VALUE!</v>
          </cell>
        </row>
        <row r="1049">
          <cell r="A1049" t="str">
            <v>GRNC3000083B</v>
          </cell>
          <cell r="B1049" t="str">
            <v>MKP000631004915</v>
          </cell>
          <cell r="C1049" t="str">
            <v/>
          </cell>
          <cell r="D1049" t="str">
            <v>Armário de Cozinha Completa 300cm Cinza Nice Madesa 08</v>
          </cell>
          <cell r="E1049" t="str">
            <v>NICE</v>
          </cell>
          <cell r="F1049" t="str">
            <v>COZINHA</v>
          </cell>
          <cell r="G1049" t="str">
            <v/>
          </cell>
          <cell r="H1049">
            <v>2099.9899999999998</v>
          </cell>
          <cell r="I1049">
            <v>1999.99</v>
          </cell>
          <cell r="J1049">
            <v>1437.3721</v>
          </cell>
          <cell r="K1049">
            <v>0</v>
          </cell>
          <cell r="L1049">
            <v>1437.3721</v>
          </cell>
          <cell r="M1049">
            <v>0</v>
          </cell>
          <cell r="N1049">
            <v>1999.99</v>
          </cell>
          <cell r="O1049" t="str">
            <v/>
          </cell>
          <cell r="P1049">
            <v>0</v>
          </cell>
          <cell r="Q1049">
            <v>0.39142119149244597</v>
          </cell>
          <cell r="R1049">
            <v>0.39142119149244597</v>
          </cell>
          <cell r="S1049" t="e">
            <v>#VALUE!</v>
          </cell>
          <cell r="T1049" t="e">
            <v>#VALUE!</v>
          </cell>
        </row>
        <row r="1050">
          <cell r="A1050" t="str">
            <v>MDDR02000409</v>
          </cell>
          <cell r="B1050" t="str">
            <v>MKP000631000843</v>
          </cell>
          <cell r="C1050" t="str">
            <v/>
          </cell>
          <cell r="D1050" t="str">
            <v>Quarto Completo com Guarda-Roupa Luke 2 Portas de Espelho e Cabeceira com 2 Mesas de Cabeceira Madesa Branco</v>
          </cell>
          <cell r="E1050" t="str">
            <v>LUKE</v>
          </cell>
          <cell r="F1050" t="str">
            <v>QUARTO</v>
          </cell>
          <cell r="G1050" t="str">
            <v/>
          </cell>
          <cell r="H1050">
            <v>1699.99</v>
          </cell>
          <cell r="I1050">
            <v>1599.99</v>
          </cell>
          <cell r="J1050">
            <v>1321.7994000000001</v>
          </cell>
          <cell r="K1050">
            <v>0</v>
          </cell>
          <cell r="L1050">
            <v>1321.7994000000001</v>
          </cell>
          <cell r="M1050">
            <v>0</v>
          </cell>
          <cell r="N1050">
            <v>1599.99</v>
          </cell>
          <cell r="O1050" t="str">
            <v/>
          </cell>
          <cell r="P1050">
            <v>0</v>
          </cell>
          <cell r="Q1050">
            <v>0.210463554454632</v>
          </cell>
          <cell r="R1050">
            <v>0.210463554454632</v>
          </cell>
          <cell r="S1050" t="e">
            <v>#VALUE!</v>
          </cell>
          <cell r="T1050" t="e">
            <v>#VALUE!</v>
          </cell>
        </row>
        <row r="1051">
          <cell r="A1051" t="str">
            <v>XBGRGM19000109</v>
          </cell>
          <cell r="B1051" t="str">
            <v>MKP000631003736</v>
          </cell>
          <cell r="C1051" t="str">
            <v/>
          </cell>
          <cell r="D1051" t="str">
            <v>Armário de Cozinha Compacta 100% MDF Madesa Acordes XB190001 com Balcão e Torre Portas Branco Brilho</v>
          </cell>
          <cell r="E1051" t="str">
            <v>ACORDES</v>
          </cell>
          <cell r="F1051" t="str">
            <v>COZINHA</v>
          </cell>
          <cell r="G1051" t="str">
            <v/>
          </cell>
          <cell r="H1051">
            <v>1599.99</v>
          </cell>
          <cell r="I1051">
            <v>1499.99</v>
          </cell>
          <cell r="J1051">
            <v>1218.184</v>
          </cell>
          <cell r="K1051">
            <v>0</v>
          </cell>
          <cell r="L1051">
            <v>1218.184</v>
          </cell>
          <cell r="M1051">
            <v>0</v>
          </cell>
          <cell r="N1051">
            <v>1499.99</v>
          </cell>
          <cell r="O1051" t="str">
            <v/>
          </cell>
          <cell r="P1051">
            <v>0</v>
          </cell>
          <cell r="Q1051">
            <v>0.23133286925456301</v>
          </cell>
          <cell r="R1051">
            <v>0.23133286925456301</v>
          </cell>
          <cell r="S1051" t="e">
            <v>#VALUE!</v>
          </cell>
          <cell r="T1051" t="e">
            <v>#VALUE!</v>
          </cell>
        </row>
        <row r="1052">
          <cell r="A1052" t="str">
            <v>XA6907091</v>
          </cell>
          <cell r="B1052" t="str">
            <v>MKP000631003505</v>
          </cell>
          <cell r="C1052" t="str">
            <v/>
          </cell>
          <cell r="D1052" t="str">
            <v>Estante para Livros Home Sala Madesa 6907 com 3 Nichos Branco</v>
          </cell>
          <cell r="E1052">
            <v>6907</v>
          </cell>
          <cell r="F1052" t="str">
            <v>ESCRITÓRIO</v>
          </cell>
          <cell r="G1052" t="str">
            <v/>
          </cell>
          <cell r="H1052">
            <v>359.99</v>
          </cell>
          <cell r="I1052">
            <v>249.92</v>
          </cell>
          <cell r="J1052">
            <v>154.5402</v>
          </cell>
          <cell r="K1052">
            <v>0</v>
          </cell>
          <cell r="L1052">
            <v>154.5402</v>
          </cell>
          <cell r="M1052">
            <v>0</v>
          </cell>
          <cell r="N1052">
            <v>249.92</v>
          </cell>
          <cell r="O1052" t="str">
            <v/>
          </cell>
          <cell r="P1052">
            <v>0</v>
          </cell>
          <cell r="Q1052">
            <v>0.61718439603417097</v>
          </cell>
          <cell r="R1052">
            <v>0.61718439603417097</v>
          </cell>
          <cell r="S1052" t="e">
            <v>#VALUE!</v>
          </cell>
          <cell r="T1052" t="e">
            <v>#VALUE!</v>
          </cell>
        </row>
        <row r="1053">
          <cell r="A1053" t="str">
            <v>GRRM2600038N</v>
          </cell>
          <cell r="B1053" t="str">
            <v>MKP000631002545</v>
          </cell>
          <cell r="C1053" t="str">
            <v/>
          </cell>
          <cell r="D1053" t="str">
            <v>Armário de Cozinha Compacta Reims 260cm Preto Reims Madesa 03</v>
          </cell>
          <cell r="E1053" t="str">
            <v>REIMS</v>
          </cell>
          <cell r="F1053" t="str">
            <v>COZINHA</v>
          </cell>
          <cell r="G1053" t="str">
            <v/>
          </cell>
          <cell r="H1053">
            <v>1819.99</v>
          </cell>
          <cell r="I1053">
            <v>929.92</v>
          </cell>
          <cell r="J1053">
            <v>788.53869999999995</v>
          </cell>
          <cell r="K1053">
            <v>0</v>
          </cell>
          <cell r="L1053">
            <v>788.53869999999995</v>
          </cell>
          <cell r="M1053">
            <v>0</v>
          </cell>
          <cell r="N1053">
            <v>929.92</v>
          </cell>
          <cell r="O1053" t="str">
            <v/>
          </cell>
          <cell r="P1053">
            <v>0</v>
          </cell>
          <cell r="Q1053">
            <v>0.17929532184026001</v>
          </cell>
          <cell r="R1053">
            <v>0.17929532184026001</v>
          </cell>
          <cell r="S1053" t="e">
            <v>#VALUE!</v>
          </cell>
          <cell r="T1053" t="e">
            <v>#VALUE!</v>
          </cell>
        </row>
        <row r="1054">
          <cell r="A1054" t="str">
            <v>11639B1E1R</v>
          </cell>
          <cell r="B1054" t="str">
            <v>MKP000631000989</v>
          </cell>
          <cell r="C1054" t="str">
            <v/>
          </cell>
          <cell r="D1054" t="str">
            <v>Guarda-Roupa Casal 100% MDF Madesa Eros 3 Portas de Correr com Espelho Branco/Branco/Rustic</v>
          </cell>
          <cell r="E1054" t="str">
            <v>EROS</v>
          </cell>
          <cell r="F1054" t="str">
            <v>QUARTO</v>
          </cell>
          <cell r="G1054" t="str">
            <v/>
          </cell>
          <cell r="H1054">
            <v>2689.99</v>
          </cell>
          <cell r="I1054">
            <v>2049.92</v>
          </cell>
          <cell r="J1054">
            <v>1681.2814000000001</v>
          </cell>
          <cell r="K1054">
            <v>0</v>
          </cell>
          <cell r="L1054">
            <v>1681.2814000000001</v>
          </cell>
          <cell r="M1054">
            <v>0</v>
          </cell>
          <cell r="N1054">
            <v>2049.92</v>
          </cell>
          <cell r="O1054" t="str">
            <v/>
          </cell>
          <cell r="P1054">
            <v>0</v>
          </cell>
          <cell r="Q1054">
            <v>0.21926049975929099</v>
          </cell>
          <cell r="R1054">
            <v>0.21926049975929099</v>
          </cell>
          <cell r="S1054" t="e">
            <v>#VALUE!</v>
          </cell>
          <cell r="T1054" t="e">
            <v>#VALUE!</v>
          </cell>
        </row>
        <row r="1055">
          <cell r="A1055" t="str">
            <v>XA60028N1CPC</v>
          </cell>
          <cell r="B1055" t="str">
            <v>MKP000631001628</v>
          </cell>
          <cell r="C1055" t="str">
            <v/>
          </cell>
          <cell r="D1055" t="str">
            <v>Rack para TV até 65 Polegadas Madesa Madri com Pés de Madeira Preto</v>
          </cell>
          <cell r="E1055" t="str">
            <v>MADRI</v>
          </cell>
          <cell r="F1055" t="str">
            <v>SALA DE ESTAR</v>
          </cell>
          <cell r="G1055" t="str">
            <v/>
          </cell>
          <cell r="H1055">
            <v>499.99</v>
          </cell>
          <cell r="I1055">
            <v>399.99</v>
          </cell>
          <cell r="J1055">
            <v>320.73250000000002</v>
          </cell>
          <cell r="K1055">
            <v>0</v>
          </cell>
          <cell r="L1055">
            <v>320.73250000000002</v>
          </cell>
          <cell r="M1055">
            <v>0</v>
          </cell>
          <cell r="N1055">
            <v>399.99</v>
          </cell>
          <cell r="O1055" t="str">
            <v/>
          </cell>
          <cell r="P1055">
            <v>0</v>
          </cell>
          <cell r="Q1055">
            <v>0.24711402804517801</v>
          </cell>
          <cell r="R1055">
            <v>0.24711402804517801</v>
          </cell>
          <cell r="S1055" t="e">
            <v>#VALUE!</v>
          </cell>
          <cell r="T1055" t="e">
            <v>#VALUE!</v>
          </cell>
        </row>
        <row r="1056">
          <cell r="A1056" t="str">
            <v>GREM1690075Z</v>
          </cell>
          <cell r="B1056" t="str">
            <v>MKP000631001691</v>
          </cell>
          <cell r="C1056" t="str">
            <v/>
          </cell>
          <cell r="D1056" t="str">
            <v>Armário de Cozinha Completa 169cm Rustic Emilly Dance Madesa 07</v>
          </cell>
          <cell r="E1056" t="str">
            <v>DANCE/EMILLY</v>
          </cell>
          <cell r="F1056" t="str">
            <v>COZINHA</v>
          </cell>
          <cell r="G1056" t="str">
            <v/>
          </cell>
          <cell r="H1056">
            <v>1779.99</v>
          </cell>
          <cell r="I1056">
            <v>899.99</v>
          </cell>
          <cell r="J1056">
            <v>734.97609999999997</v>
          </cell>
          <cell r="K1056">
            <v>0</v>
          </cell>
          <cell r="L1056">
            <v>734.97609999999997</v>
          </cell>
          <cell r="M1056">
            <v>0</v>
          </cell>
          <cell r="N1056">
            <v>899.99</v>
          </cell>
          <cell r="O1056" t="str">
            <v/>
          </cell>
          <cell r="P1056">
            <v>0</v>
          </cell>
          <cell r="Q1056">
            <v>0.224516008071555</v>
          </cell>
          <cell r="R1056">
            <v>0.224516008071555</v>
          </cell>
          <cell r="S1056" t="e">
            <v>#VALUE!</v>
          </cell>
          <cell r="T1056" t="e">
            <v>#VALUE!</v>
          </cell>
        </row>
        <row r="1057">
          <cell r="A1057" t="str">
            <v>MDJA0401097GFLH</v>
          </cell>
          <cell r="B1057" t="str">
            <v>MKP000631004172</v>
          </cell>
          <cell r="C1057" t="str">
            <v/>
          </cell>
          <cell r="D1057" t="str">
            <v>Conjunto Sala de Jantar Madesa Nanda Mesa Tampo Vidro Redondo 4 Cadeiras Rustic/Crema/Hibiscos</v>
          </cell>
          <cell r="E1057" t="str">
            <v>NANDA</v>
          </cell>
          <cell r="F1057" t="str">
            <v>SALA DE JANTAR</v>
          </cell>
          <cell r="G1057" t="str">
            <v>4291X</v>
          </cell>
          <cell r="H1057">
            <v>819.99</v>
          </cell>
          <cell r="I1057">
            <v>699.92</v>
          </cell>
          <cell r="J1057">
            <v>532.41049999999996</v>
          </cell>
          <cell r="K1057">
            <v>0</v>
          </cell>
          <cell r="L1057">
            <v>532.41049999999996</v>
          </cell>
          <cell r="M1057">
            <v>0</v>
          </cell>
          <cell r="N1057">
            <v>699.92</v>
          </cell>
          <cell r="O1057" t="str">
            <v/>
          </cell>
          <cell r="P1057">
            <v>0</v>
          </cell>
          <cell r="Q1057">
            <v>0.31462471157124</v>
          </cell>
          <cell r="R1057">
            <v>0.31462471157124</v>
          </cell>
          <cell r="S1057" t="e">
            <v>#VALUE!</v>
          </cell>
          <cell r="T1057" t="e">
            <v>#VALUE!</v>
          </cell>
        </row>
        <row r="1058">
          <cell r="A1058" t="str">
            <v>10639B2E</v>
          </cell>
          <cell r="B1058" t="str">
            <v>MKP000631001192</v>
          </cell>
          <cell r="C1058" t="str">
            <v/>
          </cell>
          <cell r="D1058" t="str">
            <v>Guarda-Roupa Casal 100% MDF Madesa Royale 3 Portas de Correr com Espelhos Branco/Rustic</v>
          </cell>
          <cell r="E1058" t="str">
            <v>ROYALE</v>
          </cell>
          <cell r="F1058" t="str">
            <v>QUARTO</v>
          </cell>
          <cell r="G1058" t="str">
            <v/>
          </cell>
          <cell r="H1058">
            <v>3189.99</v>
          </cell>
          <cell r="I1058">
            <v>2359.92</v>
          </cell>
          <cell r="J1058">
            <v>2033.8746000000001</v>
          </cell>
          <cell r="K1058">
            <v>0</v>
          </cell>
          <cell r="L1058">
            <v>2033.8746000000001</v>
          </cell>
          <cell r="M1058">
            <v>0</v>
          </cell>
          <cell r="N1058">
            <v>2359.92</v>
          </cell>
          <cell r="O1058" t="str">
            <v/>
          </cell>
          <cell r="P1058">
            <v>0</v>
          </cell>
          <cell r="Q1058">
            <v>0.160307523384185</v>
          </cell>
          <cell r="R1058">
            <v>0.160307523384185</v>
          </cell>
          <cell r="S1058" t="e">
            <v>#VALUE!</v>
          </cell>
          <cell r="T1058" t="e">
            <v>#VALUE!</v>
          </cell>
        </row>
        <row r="1059">
          <cell r="A1059" t="str">
            <v>GRTP24000609</v>
          </cell>
          <cell r="B1059" t="str">
            <v>MKP000631004963</v>
          </cell>
          <cell r="C1059" t="str">
            <v/>
          </cell>
          <cell r="D1059" t="str">
            <v>Armário de Cozinha Completa 240cm Branco Diamante Madesa 06</v>
          </cell>
          <cell r="E1059" t="str">
            <v>DIAMANTE</v>
          </cell>
          <cell r="F1059" t="str">
            <v>COZINHA</v>
          </cell>
          <cell r="G1059" t="str">
            <v/>
          </cell>
          <cell r="H1059">
            <v>1599.99</v>
          </cell>
          <cell r="I1059">
            <v>1489.92</v>
          </cell>
          <cell r="J1059">
            <v>1065.8128999999999</v>
          </cell>
          <cell r="K1059">
            <v>0</v>
          </cell>
          <cell r="L1059">
            <v>1065.8128999999999</v>
          </cell>
          <cell r="M1059">
            <v>0</v>
          </cell>
          <cell r="N1059">
            <v>1489.92</v>
          </cell>
          <cell r="O1059" t="str">
            <v/>
          </cell>
          <cell r="P1059">
            <v>0</v>
          </cell>
          <cell r="Q1059">
            <v>0.39791890302697602</v>
          </cell>
          <cell r="R1059">
            <v>0.39791890302697602</v>
          </cell>
          <cell r="S1059" t="e">
            <v>#VALUE!</v>
          </cell>
          <cell r="T1059" t="e">
            <v>#VALUE!</v>
          </cell>
        </row>
        <row r="1060">
          <cell r="A1060" t="str">
            <v>10945Z2ECP</v>
          </cell>
          <cell r="B1060" t="str">
            <v>MKP000631000976</v>
          </cell>
          <cell r="C1060" t="str">
            <v/>
          </cell>
          <cell r="D1060" t="str">
            <v>Guarda-Roupa Solteiro Madesa Denver 2 Portas de Correr de Espelho com Pés Rustic</v>
          </cell>
          <cell r="E1060" t="str">
            <v>DENVER</v>
          </cell>
          <cell r="F1060" t="str">
            <v>QUARTO</v>
          </cell>
          <cell r="G1060" t="str">
            <v/>
          </cell>
          <cell r="H1060">
            <v>1259.99</v>
          </cell>
          <cell r="I1060">
            <v>959.92</v>
          </cell>
          <cell r="J1060">
            <v>771.55650000000003</v>
          </cell>
          <cell r="K1060">
            <v>0</v>
          </cell>
          <cell r="L1060">
            <v>771.55650000000003</v>
          </cell>
          <cell r="M1060">
            <v>0</v>
          </cell>
          <cell r="N1060">
            <v>959.92</v>
          </cell>
          <cell r="O1060" t="str">
            <v/>
          </cell>
          <cell r="P1060">
            <v>0</v>
          </cell>
          <cell r="Q1060">
            <v>0.244134421782462</v>
          </cell>
          <cell r="R1060">
            <v>0.244134421782462</v>
          </cell>
          <cell r="S1060" t="e">
            <v>#VALUE!</v>
          </cell>
          <cell r="T1060" t="e">
            <v>#VALUE!</v>
          </cell>
        </row>
        <row r="1061">
          <cell r="A1061" t="str">
            <v>GRRM18000209</v>
          </cell>
          <cell r="B1061" t="str">
            <v>MKP000631003244</v>
          </cell>
          <cell r="C1061" t="str">
            <v/>
          </cell>
          <cell r="D1061" t="str">
            <v>Armário de Cozinha Compacta 180cm Branco Reims Madesa 02</v>
          </cell>
          <cell r="E1061" t="str">
            <v>REIMS</v>
          </cell>
          <cell r="F1061" t="str">
            <v>COZINHA</v>
          </cell>
          <cell r="G1061" t="str">
            <v/>
          </cell>
          <cell r="H1061">
            <v>2059.9899999999998</v>
          </cell>
          <cell r="I1061">
            <v>1349.99</v>
          </cell>
          <cell r="J1061">
            <v>1064.2869000000001</v>
          </cell>
          <cell r="K1061">
            <v>0</v>
          </cell>
          <cell r="L1061">
            <v>1064.2869000000001</v>
          </cell>
          <cell r="M1061">
            <v>0</v>
          </cell>
          <cell r="N1061">
            <v>1349.99</v>
          </cell>
          <cell r="O1061" t="str">
            <v>LOJA</v>
          </cell>
          <cell r="P1061">
            <v>1199.99</v>
          </cell>
          <cell r="Q1061">
            <v>0.268445566698228</v>
          </cell>
          <cell r="R1061">
            <v>0.268445566698228</v>
          </cell>
          <cell r="S1061" t="e">
            <v>#VALUE!</v>
          </cell>
          <cell r="T1061" t="e">
            <v>#VALUE!</v>
          </cell>
        </row>
        <row r="1062">
          <cell r="A1062" t="str">
            <v>6910731</v>
          </cell>
          <cell r="B1062" t="str">
            <v>MKP000631000505</v>
          </cell>
          <cell r="C1062" t="str">
            <v/>
          </cell>
          <cell r="D1062" t="str">
            <v>Escrivaninha Madesa Rubi com Tampo de Madeira e 1 Nicho Branco/Preto</v>
          </cell>
          <cell r="E1062" t="str">
            <v>RUBI</v>
          </cell>
          <cell r="F1062" t="str">
            <v>ESCRITÓRIO</v>
          </cell>
          <cell r="G1062" t="str">
            <v/>
          </cell>
          <cell r="H1062">
            <v>269.99</v>
          </cell>
          <cell r="I1062">
            <v>169.99</v>
          </cell>
          <cell r="J1062">
            <v>129.30670000000001</v>
          </cell>
          <cell r="K1062">
            <v>0</v>
          </cell>
          <cell r="L1062">
            <v>129.30670000000001</v>
          </cell>
          <cell r="M1062">
            <v>0</v>
          </cell>
          <cell r="N1062">
            <v>169.99</v>
          </cell>
          <cell r="O1062" t="str">
            <v/>
          </cell>
          <cell r="P1062">
            <v>0</v>
          </cell>
          <cell r="Q1062">
            <v>0.31462638826913097</v>
          </cell>
          <cell r="R1062">
            <v>0.31462638826913097</v>
          </cell>
          <cell r="S1062" t="e">
            <v>#VALUE!</v>
          </cell>
          <cell r="T1062" t="e">
            <v>#VALUE!</v>
          </cell>
        </row>
        <row r="1063">
          <cell r="A1063" t="str">
            <v>1063D81E</v>
          </cell>
          <cell r="B1063" t="str">
            <v>MKP000631003034</v>
          </cell>
          <cell r="C1063" t="str">
            <v/>
          </cell>
          <cell r="D1063" t="str">
            <v>Guarda-Roupa Casal 100% MDF Madesa Royale 3 Portas de Correr com Espelho Preto/Rustic</v>
          </cell>
          <cell r="E1063" t="str">
            <v>ROYALE</v>
          </cell>
          <cell r="F1063" t="str">
            <v>QUARTO</v>
          </cell>
          <cell r="G1063" t="str">
            <v/>
          </cell>
          <cell r="H1063">
            <v>3259.99</v>
          </cell>
          <cell r="I1063">
            <v>2259.9899999999998</v>
          </cell>
          <cell r="J1063">
            <v>1792.614</v>
          </cell>
          <cell r="K1063">
            <v>0</v>
          </cell>
          <cell r="L1063">
            <v>1792.614</v>
          </cell>
          <cell r="M1063">
            <v>0</v>
          </cell>
          <cell r="N1063">
            <v>2259.9899999999998</v>
          </cell>
          <cell r="O1063" t="str">
            <v>LOJA</v>
          </cell>
          <cell r="P1063">
            <v>1999.99</v>
          </cell>
          <cell r="Q1063">
            <v>0.260723167396885</v>
          </cell>
          <cell r="R1063">
            <v>0.260723167396885</v>
          </cell>
          <cell r="S1063" t="e">
            <v>#VALUE!</v>
          </cell>
          <cell r="T1063" t="e">
            <v>#VALUE!</v>
          </cell>
        </row>
        <row r="1064">
          <cell r="A1064" t="str">
            <v>GRTP24000673</v>
          </cell>
          <cell r="B1064" t="str">
            <v>MKP000631004960</v>
          </cell>
          <cell r="C1064" t="str">
            <v/>
          </cell>
          <cell r="D1064" t="str">
            <v>Armário de Cozinha Completa 240cm Branco/Preto Diamante Madesa 06</v>
          </cell>
          <cell r="E1064" t="str">
            <v>DIAMANTE</v>
          </cell>
          <cell r="F1064" t="str">
            <v>COZINHA</v>
          </cell>
          <cell r="G1064" t="str">
            <v/>
          </cell>
          <cell r="H1064">
            <v>1399.99</v>
          </cell>
          <cell r="I1064">
            <v>1299.99</v>
          </cell>
          <cell r="J1064">
            <v>1065.8128999999999</v>
          </cell>
          <cell r="K1064">
            <v>0</v>
          </cell>
          <cell r="L1064">
            <v>1065.8128999999999</v>
          </cell>
          <cell r="M1064">
            <v>0</v>
          </cell>
          <cell r="N1064">
            <v>1299.99</v>
          </cell>
          <cell r="O1064" t="str">
            <v/>
          </cell>
          <cell r="P1064">
            <v>0</v>
          </cell>
          <cell r="Q1064">
            <v>0.219716894025208</v>
          </cell>
          <cell r="R1064">
            <v>0.219716894025208</v>
          </cell>
          <cell r="S1064" t="e">
            <v>#VALUE!</v>
          </cell>
          <cell r="T1064" t="e">
            <v>#VALUE!</v>
          </cell>
        </row>
        <row r="1065">
          <cell r="A1065" t="str">
            <v>10187K1E</v>
          </cell>
          <cell r="B1065" t="str">
            <v>MKP000631002378</v>
          </cell>
          <cell r="C1065" t="str">
            <v/>
          </cell>
          <cell r="D1065" t="str">
            <v>Guarda-Roupa Casal Madesa Kansas 3 Portas de Correr com Espelho 3 Gavetas Rustic/Preto</v>
          </cell>
          <cell r="E1065" t="str">
            <v>KANSAS</v>
          </cell>
          <cell r="F1065" t="str">
            <v>QUARTO</v>
          </cell>
          <cell r="G1065" t="str">
            <v/>
          </cell>
          <cell r="H1065">
            <v>2559.9899999999998</v>
          </cell>
          <cell r="I1065">
            <v>1559.99</v>
          </cell>
          <cell r="J1065">
            <v>1284.2162000000001</v>
          </cell>
          <cell r="K1065">
            <v>0</v>
          </cell>
          <cell r="L1065">
            <v>1284.2162000000001</v>
          </cell>
          <cell r="M1065">
            <v>0</v>
          </cell>
          <cell r="N1065">
            <v>1559.99</v>
          </cell>
          <cell r="O1065" t="str">
            <v/>
          </cell>
          <cell r="P1065">
            <v>0</v>
          </cell>
          <cell r="Q1065">
            <v>0.214740944710089</v>
          </cell>
          <cell r="R1065">
            <v>0.214740944710089</v>
          </cell>
          <cell r="S1065" t="e">
            <v>#VALUE!</v>
          </cell>
          <cell r="T1065" t="e">
            <v>#VALUE!</v>
          </cell>
        </row>
        <row r="1066">
          <cell r="A1066" t="str">
            <v>10638N2E</v>
          </cell>
          <cell r="B1066" t="str">
            <v>MKP000631003035</v>
          </cell>
          <cell r="C1066" t="str">
            <v/>
          </cell>
          <cell r="D1066" t="str">
            <v>Guarda-Roupa Casal 100% MDF Madesa Royale 3 Portas de Correr com Espelhos Preto</v>
          </cell>
          <cell r="E1066" t="str">
            <v>ROYALE</v>
          </cell>
          <cell r="F1066" t="str">
            <v>QUARTO</v>
          </cell>
          <cell r="G1066" t="str">
            <v/>
          </cell>
          <cell r="H1066">
            <v>3189.99</v>
          </cell>
          <cell r="I1066">
            <v>2479.9899999999998</v>
          </cell>
          <cell r="J1066">
            <v>2033.8746000000001</v>
          </cell>
          <cell r="K1066">
            <v>0</v>
          </cell>
          <cell r="L1066">
            <v>2033.8746000000001</v>
          </cell>
          <cell r="M1066">
            <v>0</v>
          </cell>
          <cell r="N1066">
            <v>2479.9899999999998</v>
          </cell>
          <cell r="O1066" t="str">
            <v>MADEIRAMADEIRA</v>
          </cell>
          <cell r="P1066">
            <v>2469.9899999999998</v>
          </cell>
          <cell r="Q1066">
            <v>0.219342628104997</v>
          </cell>
          <cell r="R1066">
            <v>0.219342628104997</v>
          </cell>
          <cell r="S1066" t="e">
            <v>#VALUE!</v>
          </cell>
          <cell r="T1066" t="e">
            <v>#VALUE!</v>
          </cell>
        </row>
        <row r="1067">
          <cell r="A1067" t="str">
            <v>G241535ZGL</v>
          </cell>
          <cell r="B1067" t="str">
            <v>MKP000631002393</v>
          </cell>
          <cell r="C1067" t="str">
            <v/>
          </cell>
          <cell r="D1067" t="str">
            <v>Balcão de Pia Madesa Glamy 150 cm 2 Portas e 2 Gavetas (Sem Tampo e Pia) Rustic</v>
          </cell>
          <cell r="E1067" t="str">
            <v>GLAMY</v>
          </cell>
          <cell r="F1067" t="str">
            <v>MODULAÇÃO</v>
          </cell>
          <cell r="G1067" t="str">
            <v/>
          </cell>
          <cell r="H1067">
            <v>1119.99</v>
          </cell>
          <cell r="I1067">
            <v>559.99</v>
          </cell>
          <cell r="J1067">
            <v>436.25069999999999</v>
          </cell>
          <cell r="K1067">
            <v>0</v>
          </cell>
          <cell r="L1067">
            <v>436.25069999999999</v>
          </cell>
          <cell r="M1067">
            <v>0</v>
          </cell>
          <cell r="N1067">
            <v>559.99</v>
          </cell>
          <cell r="O1067" t="str">
            <v/>
          </cell>
          <cell r="P1067">
            <v>0</v>
          </cell>
          <cell r="Q1067">
            <v>0.28364263942728302</v>
          </cell>
          <cell r="R1067">
            <v>0.28364263942728302</v>
          </cell>
          <cell r="S1067" t="e">
            <v>#VALUE!</v>
          </cell>
          <cell r="T1067" t="e">
            <v>#VALUE!</v>
          </cell>
        </row>
        <row r="1068">
          <cell r="A1068" t="str">
            <v>MDJA0601427KPT</v>
          </cell>
          <cell r="B1068" t="str">
            <v>MKP000631005339</v>
          </cell>
          <cell r="C1068" t="str">
            <v/>
          </cell>
          <cell r="D1068" t="str">
            <v>Conjunto Sala de Jantar Mesa Tampo de Vidro 6 Cadeiras Preto/Rustic Francine Madesa</v>
          </cell>
          <cell r="E1068" t="str">
            <v>FRANCINE</v>
          </cell>
          <cell r="F1068" t="str">
            <v>SALA DE JANTAR</v>
          </cell>
          <cell r="G1068">
            <v>4280</v>
          </cell>
          <cell r="H1068">
            <v>1249.99</v>
          </cell>
          <cell r="I1068">
            <v>1149.99</v>
          </cell>
          <cell r="J1068">
            <v>915.05499999999995</v>
          </cell>
          <cell r="K1068">
            <v>0</v>
          </cell>
          <cell r="L1068">
            <v>915.05499999999995</v>
          </cell>
          <cell r="M1068">
            <v>0</v>
          </cell>
          <cell r="N1068">
            <v>1149.99</v>
          </cell>
          <cell r="O1068" t="str">
            <v/>
          </cell>
          <cell r="P1068">
            <v>0</v>
          </cell>
          <cell r="Q1068">
            <v>0.25674413013425401</v>
          </cell>
          <cell r="R1068">
            <v>0.25674413013425401</v>
          </cell>
          <cell r="S1068" t="e">
            <v>#VALUE!</v>
          </cell>
          <cell r="T1068" t="e">
            <v>#VALUE!</v>
          </cell>
        </row>
        <row r="1069">
          <cell r="A1069" t="str">
            <v>G26607F9AG</v>
          </cell>
          <cell r="B1069" t="str">
            <v>MKP000631002616</v>
          </cell>
          <cell r="C1069" t="str">
            <v/>
          </cell>
          <cell r="D1069" t="str">
            <v>Paneleiro Madesa Agata 60 cm 3 Portas Rustic/Cinza</v>
          </cell>
          <cell r="E1069" t="str">
            <v>ÁGATA</v>
          </cell>
          <cell r="F1069" t="str">
            <v>MODULAÇÃO</v>
          </cell>
          <cell r="G1069" t="str">
            <v/>
          </cell>
          <cell r="H1069">
            <v>1229.99</v>
          </cell>
          <cell r="I1069">
            <v>829.99</v>
          </cell>
          <cell r="J1069">
            <v>513.92409999999995</v>
          </cell>
          <cell r="K1069">
            <v>0</v>
          </cell>
          <cell r="L1069">
            <v>513.92409999999995</v>
          </cell>
          <cell r="M1069">
            <v>0</v>
          </cell>
          <cell r="N1069">
            <v>829.99</v>
          </cell>
          <cell r="O1069" t="str">
            <v/>
          </cell>
          <cell r="P1069">
            <v>0</v>
          </cell>
          <cell r="Q1069">
            <v>0.61500501727784296</v>
          </cell>
          <cell r="R1069">
            <v>0.61500501727784296</v>
          </cell>
          <cell r="S1069" t="e">
            <v>#VALUE!</v>
          </cell>
          <cell r="T1069" t="e">
            <v>#VALUE!</v>
          </cell>
        </row>
        <row r="1070">
          <cell r="A1070" t="str">
            <v>GCRM4620028N</v>
          </cell>
          <cell r="B1070" t="str">
            <v>MKP000631002599</v>
          </cell>
          <cell r="C1070" t="str">
            <v/>
          </cell>
          <cell r="D1070" t="str">
            <v>Armário de Cozinha Completa de Canto 462cm Preto Reims Madesa 02</v>
          </cell>
          <cell r="E1070" t="str">
            <v>REIMS</v>
          </cell>
          <cell r="F1070" t="str">
            <v>COZINHA</v>
          </cell>
          <cell r="G1070" t="str">
            <v/>
          </cell>
          <cell r="H1070">
            <v>4089.99</v>
          </cell>
          <cell r="I1070">
            <v>2369.9899999999998</v>
          </cell>
          <cell r="J1070">
            <v>1903.3906999999999</v>
          </cell>
          <cell r="K1070">
            <v>0</v>
          </cell>
          <cell r="L1070">
            <v>1903.3906999999999</v>
          </cell>
          <cell r="M1070">
            <v>0</v>
          </cell>
          <cell r="N1070">
            <v>2369.9899999999998</v>
          </cell>
          <cell r="O1070" t="str">
            <v>MADEIRAMADEIRA</v>
          </cell>
          <cell r="P1070">
            <v>2329.9899999999998</v>
          </cell>
          <cell r="Q1070">
            <v>0.24514110529173</v>
          </cell>
          <cell r="R1070">
            <v>0.24514110529173</v>
          </cell>
          <cell r="S1070" t="e">
            <v>#VALUE!</v>
          </cell>
          <cell r="T1070" t="e">
            <v>#VALUE!</v>
          </cell>
        </row>
        <row r="1071">
          <cell r="A1071" t="str">
            <v>XC1063093ECP</v>
          </cell>
          <cell r="B1071" t="str">
            <v>MKP000631001486</v>
          </cell>
          <cell r="C1071" t="str">
            <v/>
          </cell>
          <cell r="D1071" t="str">
            <v>Guarda-Roupa Casal 100% MDF Madesa Zurique 3 Portas de Correr de Espelho com Pés Branco</v>
          </cell>
          <cell r="E1071" t="str">
            <v>ZURIQUE</v>
          </cell>
          <cell r="F1071" t="str">
            <v>QUARTO</v>
          </cell>
          <cell r="G1071" t="str">
            <v/>
          </cell>
          <cell r="H1071">
            <v>4199.99</v>
          </cell>
          <cell r="I1071">
            <v>2659.92</v>
          </cell>
          <cell r="J1071">
            <v>2321.3184999999999</v>
          </cell>
          <cell r="K1071">
            <v>0</v>
          </cell>
          <cell r="L1071">
            <v>2321.3184999999999</v>
          </cell>
          <cell r="M1071">
            <v>0</v>
          </cell>
          <cell r="N1071">
            <v>2659.92</v>
          </cell>
          <cell r="O1071" t="str">
            <v/>
          </cell>
          <cell r="P1071">
            <v>0</v>
          </cell>
          <cell r="Q1071">
            <v>0.14586602398593701</v>
          </cell>
          <cell r="R1071">
            <v>0.14586602398593701</v>
          </cell>
          <cell r="S1071" t="e">
            <v>#VALUE!</v>
          </cell>
          <cell r="T1071" t="e">
            <v>#VALUE!</v>
          </cell>
        </row>
        <row r="1072">
          <cell r="A1072" t="str">
            <v>10935Z3ECP</v>
          </cell>
          <cell r="B1072" t="str">
            <v>MKP000631001085</v>
          </cell>
          <cell r="C1072" t="str">
            <v/>
          </cell>
          <cell r="D1072" t="str">
            <v>Guarda-Roupa Casal Madesa Mônaco 3 Portas de Correr de Espelho com Pés Rustic</v>
          </cell>
          <cell r="E1072" t="str">
            <v>MÔNACO</v>
          </cell>
          <cell r="F1072" t="str">
            <v>QUARTO</v>
          </cell>
          <cell r="G1072" t="str">
            <v/>
          </cell>
          <cell r="H1072">
            <v>1849.99</v>
          </cell>
          <cell r="I1072">
            <v>1329.92</v>
          </cell>
          <cell r="J1072">
            <v>1056.8204000000001</v>
          </cell>
          <cell r="K1072">
            <v>0</v>
          </cell>
          <cell r="L1072">
            <v>1056.8204000000001</v>
          </cell>
          <cell r="M1072">
            <v>0</v>
          </cell>
          <cell r="N1072">
            <v>1329.92</v>
          </cell>
          <cell r="O1072" t="str">
            <v/>
          </cell>
          <cell r="P1072">
            <v>0</v>
          </cell>
          <cell r="Q1072">
            <v>0.25841628341012302</v>
          </cell>
          <cell r="R1072">
            <v>0.25841628341012302</v>
          </cell>
          <cell r="S1072" t="e">
            <v>#VALUE!</v>
          </cell>
          <cell r="T1072" t="e">
            <v>#VALUE!</v>
          </cell>
        </row>
        <row r="1073">
          <cell r="A1073" t="str">
            <v>10947K1E</v>
          </cell>
          <cell r="B1073" t="str">
            <v>MKP000631002037</v>
          </cell>
          <cell r="C1073" t="str">
            <v/>
          </cell>
          <cell r="D1073" t="str">
            <v>Guarda-Roupa Solteiro Madesa Denver 2 Portas de Correr com Espelho Rustic/Preto</v>
          </cell>
          <cell r="E1073" t="str">
            <v>DENVER</v>
          </cell>
          <cell r="F1073" t="str">
            <v>QUARTO</v>
          </cell>
          <cell r="G1073" t="str">
            <v/>
          </cell>
          <cell r="H1073">
            <v>1399.99</v>
          </cell>
          <cell r="I1073">
            <v>789.99</v>
          </cell>
          <cell r="J1073">
            <v>605.03719999999998</v>
          </cell>
          <cell r="K1073">
            <v>0</v>
          </cell>
          <cell r="L1073">
            <v>605.03719999999998</v>
          </cell>
          <cell r="M1073">
            <v>0</v>
          </cell>
          <cell r="N1073">
            <v>789.99</v>
          </cell>
          <cell r="O1073" t="str">
            <v>CARREFOUR</v>
          </cell>
          <cell r="P1073">
            <v>719.99</v>
          </cell>
          <cell r="Q1073">
            <v>0.30568831139639002</v>
          </cell>
          <cell r="R1073">
            <v>0.30568831139639002</v>
          </cell>
          <cell r="S1073" t="e">
            <v>#VALUE!</v>
          </cell>
          <cell r="T1073" t="e">
            <v>#VALUE!</v>
          </cell>
        </row>
        <row r="1074">
          <cell r="A1074" t="str">
            <v>G2580009TE</v>
          </cell>
          <cell r="B1074" t="str">
            <v>MKP000631001908</v>
          </cell>
          <cell r="C1074" t="str">
            <v/>
          </cell>
          <cell r="D1074" t="str">
            <v>Armário Aéreo Madesa Stella 80 cm 2 Portas Branco</v>
          </cell>
          <cell r="E1074" t="str">
            <v>STELLA</v>
          </cell>
          <cell r="F1074" t="str">
            <v>MODULAÇÃO</v>
          </cell>
          <cell r="G1074" t="str">
            <v/>
          </cell>
          <cell r="H1074">
            <v>489.99</v>
          </cell>
          <cell r="I1074">
            <v>429.99</v>
          </cell>
          <cell r="J1074">
            <v>258.66789999999997</v>
          </cell>
          <cell r="K1074">
            <v>0</v>
          </cell>
          <cell r="L1074">
            <v>258.66789999999997</v>
          </cell>
          <cell r="M1074">
            <v>0</v>
          </cell>
          <cell r="N1074">
            <v>429.99</v>
          </cell>
          <cell r="O1074" t="str">
            <v/>
          </cell>
          <cell r="P1074">
            <v>0</v>
          </cell>
          <cell r="Q1074">
            <v>0.66232454819480902</v>
          </cell>
          <cell r="R1074">
            <v>0.66232454819480902</v>
          </cell>
          <cell r="S1074" t="e">
            <v>#VALUE!</v>
          </cell>
          <cell r="T1074" t="e">
            <v>#VALUE!</v>
          </cell>
        </row>
        <row r="1075">
          <cell r="A1075" t="str">
            <v>GCRM4020038N</v>
          </cell>
          <cell r="B1075" t="str">
            <v>MKP000631004294</v>
          </cell>
          <cell r="C1075" t="str">
            <v/>
          </cell>
          <cell r="D1075" t="str">
            <v>Armário de Cozinha Completa de Canto 402cm Preto Reims Madesa 03</v>
          </cell>
          <cell r="E1075" t="str">
            <v>REIMS</v>
          </cell>
          <cell r="F1075" t="str">
            <v>COZINHA</v>
          </cell>
          <cell r="G1075" t="str">
            <v/>
          </cell>
          <cell r="H1075">
            <v>1889.99</v>
          </cell>
          <cell r="I1075">
            <v>1629.92</v>
          </cell>
          <cell r="J1075">
            <v>1449.6455000000001</v>
          </cell>
          <cell r="K1075">
            <v>0</v>
          </cell>
          <cell r="L1075">
            <v>1449.6455000000001</v>
          </cell>
          <cell r="M1075">
            <v>0</v>
          </cell>
          <cell r="N1075">
            <v>1629.92</v>
          </cell>
          <cell r="O1075" t="str">
            <v/>
          </cell>
          <cell r="P1075">
            <v>0</v>
          </cell>
          <cell r="Q1075">
            <v>0.12435764467933701</v>
          </cell>
          <cell r="R1075">
            <v>0.12435764467933701</v>
          </cell>
          <cell r="S1075" t="e">
            <v>#VALUE!</v>
          </cell>
          <cell r="T1075" t="e">
            <v>#VALUE!</v>
          </cell>
        </row>
        <row r="1076">
          <cell r="A1076" t="str">
            <v>MDJA0401097GFBM</v>
          </cell>
          <cell r="B1076" t="str">
            <v>MKP000631004179</v>
          </cell>
          <cell r="C1076" t="str">
            <v/>
          </cell>
          <cell r="D1076" t="str">
            <v>Conjunto Sala de Jantar Madesa Nanda Mesa Tampo Vidro Redondo 4 Cadeiras Rustic/Crema/Bege Marrom</v>
          </cell>
          <cell r="E1076" t="str">
            <v>NANDA</v>
          </cell>
          <cell r="F1076" t="str">
            <v>SALA DE JANTAR</v>
          </cell>
          <cell r="G1076" t="str">
            <v>4291X</v>
          </cell>
          <cell r="H1076">
            <v>819.99</v>
          </cell>
          <cell r="I1076">
            <v>699.92</v>
          </cell>
          <cell r="J1076">
            <v>532.41049999999996</v>
          </cell>
          <cell r="K1076">
            <v>0</v>
          </cell>
          <cell r="L1076">
            <v>532.41049999999996</v>
          </cell>
          <cell r="M1076">
            <v>0</v>
          </cell>
          <cell r="N1076">
            <v>699.92</v>
          </cell>
          <cell r="O1076" t="str">
            <v/>
          </cell>
          <cell r="P1076">
            <v>0</v>
          </cell>
          <cell r="Q1076">
            <v>0.31462471157124</v>
          </cell>
          <cell r="R1076">
            <v>0.31462471157124</v>
          </cell>
          <cell r="S1076" t="e">
            <v>#VALUE!</v>
          </cell>
          <cell r="T1076" t="e">
            <v>#VALUE!</v>
          </cell>
        </row>
        <row r="1077">
          <cell r="A1077" t="str">
            <v>GREM2610025Z</v>
          </cell>
          <cell r="B1077" t="str">
            <v>MKP000631004979</v>
          </cell>
          <cell r="C1077" t="str">
            <v/>
          </cell>
          <cell r="D1077" t="str">
            <v>Armário de Cozinha Completa 261cm Rustic Emilly Madesa 02</v>
          </cell>
          <cell r="E1077" t="str">
            <v>EMILLY</v>
          </cell>
          <cell r="F1077" t="str">
            <v>COZINHA</v>
          </cell>
          <cell r="G1077" t="str">
            <v/>
          </cell>
          <cell r="H1077">
            <v>1149.99</v>
          </cell>
          <cell r="I1077">
            <v>1049.99</v>
          </cell>
          <cell r="J1077">
            <v>834.34050000000002</v>
          </cell>
          <cell r="K1077">
            <v>0</v>
          </cell>
          <cell r="L1077">
            <v>834.34050000000002</v>
          </cell>
          <cell r="M1077">
            <v>0</v>
          </cell>
          <cell r="N1077">
            <v>1049.99</v>
          </cell>
          <cell r="O1077" t="str">
            <v/>
          </cell>
          <cell r="P1077">
            <v>0</v>
          </cell>
          <cell r="Q1077">
            <v>0.258467016763539</v>
          </cell>
          <cell r="R1077">
            <v>0.258467016763539</v>
          </cell>
          <cell r="S1077" t="e">
            <v>#VALUE!</v>
          </cell>
          <cell r="T1077" t="e">
            <v>#VALUE!</v>
          </cell>
        </row>
        <row r="1078">
          <cell r="A1078" t="str">
            <v>GRAG290002F8</v>
          </cell>
          <cell r="B1078" t="str">
            <v>MKP000631002573</v>
          </cell>
          <cell r="C1078" t="str">
            <v/>
          </cell>
          <cell r="D1078" t="str">
            <v>Armário de Cozinha Completa 290cm Branco/Cinza Agata Madesa 02</v>
          </cell>
          <cell r="E1078" t="str">
            <v>ÁGATA</v>
          </cell>
          <cell r="F1078" t="str">
            <v>COZINHA</v>
          </cell>
          <cell r="G1078" t="str">
            <v/>
          </cell>
          <cell r="H1078">
            <v>2199.9899999999998</v>
          </cell>
          <cell r="I1078">
            <v>2019.92</v>
          </cell>
          <cell r="J1078">
            <v>1672.6486</v>
          </cell>
          <cell r="K1078">
            <v>0</v>
          </cell>
          <cell r="L1078">
            <v>1672.6486</v>
          </cell>
          <cell r="M1078">
            <v>0</v>
          </cell>
          <cell r="N1078">
            <v>2019.92</v>
          </cell>
          <cell r="O1078" t="str">
            <v/>
          </cell>
          <cell r="P1078">
            <v>0</v>
          </cell>
          <cell r="Q1078">
            <v>0.20761766697440201</v>
          </cell>
          <cell r="R1078">
            <v>0.20761766697440201</v>
          </cell>
          <cell r="S1078" t="e">
            <v>#VALUE!</v>
          </cell>
          <cell r="T1078" t="e">
            <v>#VALUE!</v>
          </cell>
        </row>
        <row r="1079">
          <cell r="A1079" t="str">
            <v>GCRM40200409</v>
          </cell>
          <cell r="B1079" t="str">
            <v>MKP000631004295</v>
          </cell>
          <cell r="C1079" t="str">
            <v/>
          </cell>
          <cell r="D1079" t="str">
            <v>Armário de Cozinha Completa de Canto 402cm Branco Reims Madesa 04</v>
          </cell>
          <cell r="E1079" t="str">
            <v>REIMS</v>
          </cell>
          <cell r="F1079" t="str">
            <v>COZINHA</v>
          </cell>
          <cell r="G1079" t="str">
            <v/>
          </cell>
          <cell r="H1079">
            <v>1589.99</v>
          </cell>
          <cell r="I1079">
            <v>1419.92</v>
          </cell>
          <cell r="J1079">
            <v>1248.8893</v>
          </cell>
          <cell r="K1079">
            <v>0</v>
          </cell>
          <cell r="L1079">
            <v>1248.8893</v>
          </cell>
          <cell r="M1079">
            <v>0</v>
          </cell>
          <cell r="N1079">
            <v>1419.92</v>
          </cell>
          <cell r="O1079" t="str">
            <v/>
          </cell>
          <cell r="P1079">
            <v>0</v>
          </cell>
          <cell r="Q1079">
            <v>0.13694624495541799</v>
          </cell>
          <cell r="R1079">
            <v>0.13694624495541799</v>
          </cell>
          <cell r="S1079" t="e">
            <v>#VALUE!</v>
          </cell>
          <cell r="T1079" t="e">
            <v>#VALUE!</v>
          </cell>
        </row>
        <row r="1080">
          <cell r="A1080" t="str">
            <v>G2475009RM</v>
          </cell>
          <cell r="B1080" t="str">
            <v>MKP000631002349</v>
          </cell>
          <cell r="C1080" t="str">
            <v/>
          </cell>
          <cell r="D1080" t="str">
            <v>Balcão de Canto Madesa Reims 1 Porta Branco</v>
          </cell>
          <cell r="E1080" t="str">
            <v>REIMS</v>
          </cell>
          <cell r="F1080" t="str">
            <v>MODULAÇÃO</v>
          </cell>
          <cell r="G1080" t="str">
            <v/>
          </cell>
          <cell r="H1080">
            <v>959.99</v>
          </cell>
          <cell r="I1080">
            <v>389.99</v>
          </cell>
          <cell r="J1080">
            <v>278.73480000000001</v>
          </cell>
          <cell r="K1080">
            <v>0</v>
          </cell>
          <cell r="L1080">
            <v>278.73480000000001</v>
          </cell>
          <cell r="M1080">
            <v>0</v>
          </cell>
          <cell r="N1080">
            <v>389.99</v>
          </cell>
          <cell r="O1080" t="str">
            <v/>
          </cell>
          <cell r="P1080">
            <v>0</v>
          </cell>
          <cell r="Q1080">
            <v>0.39914355868015</v>
          </cell>
          <cell r="R1080">
            <v>0.39914355868015</v>
          </cell>
          <cell r="S1080" t="e">
            <v>#VALUE!</v>
          </cell>
          <cell r="T1080" t="e">
            <v>#VALUE!</v>
          </cell>
        </row>
        <row r="1081">
          <cell r="A1081" t="str">
            <v>GRNC3200013B</v>
          </cell>
          <cell r="B1081" t="str">
            <v>MKP000631004913</v>
          </cell>
          <cell r="C1081" t="str">
            <v/>
          </cell>
          <cell r="D1081" t="str">
            <v>Armário de Cozinha Completa 320cm Cinza Nice Madesa 01</v>
          </cell>
          <cell r="E1081" t="str">
            <v>NICE</v>
          </cell>
          <cell r="F1081" t="str">
            <v>COZINHA</v>
          </cell>
          <cell r="G1081" t="str">
            <v/>
          </cell>
          <cell r="H1081">
            <v>2219.9899999999998</v>
          </cell>
          <cell r="I1081">
            <v>2039.92</v>
          </cell>
          <cell r="J1081">
            <v>1459.0958000000001</v>
          </cell>
          <cell r="K1081">
            <v>0</v>
          </cell>
          <cell r="L1081">
            <v>1459.0958000000001</v>
          </cell>
          <cell r="M1081">
            <v>0</v>
          </cell>
          <cell r="N1081">
            <v>2039.92</v>
          </cell>
          <cell r="O1081" t="str">
            <v/>
          </cell>
          <cell r="P1081">
            <v>0</v>
          </cell>
          <cell r="Q1081">
            <v>0.39807132609113099</v>
          </cell>
          <cell r="R1081">
            <v>0.39807132609113099</v>
          </cell>
          <cell r="S1081" t="e">
            <v>#VALUE!</v>
          </cell>
          <cell r="T1081" t="e">
            <v>#VALUE!</v>
          </cell>
        </row>
        <row r="1082">
          <cell r="A1082" t="str">
            <v>GCGM38900273</v>
          </cell>
          <cell r="B1082" t="str">
            <v>MKP000631004937</v>
          </cell>
          <cell r="C1082" t="str">
            <v/>
          </cell>
          <cell r="D1082" t="str">
            <v>Armário de Cozinha Completa de Canto 100% MDF 389cm Branco/Preto Acordes Madesa 02</v>
          </cell>
          <cell r="E1082" t="str">
            <v>ACORDES</v>
          </cell>
          <cell r="F1082" t="str">
            <v>COZINHA</v>
          </cell>
          <cell r="G1082" t="str">
            <v/>
          </cell>
          <cell r="H1082">
            <v>2899.99</v>
          </cell>
          <cell r="I1082">
            <v>2619.92</v>
          </cell>
          <cell r="J1082">
            <v>2247.3728999999998</v>
          </cell>
          <cell r="K1082">
            <v>0</v>
          </cell>
          <cell r="L1082">
            <v>2247.3728999999998</v>
          </cell>
          <cell r="M1082">
            <v>0</v>
          </cell>
          <cell r="N1082">
            <v>2619.92</v>
          </cell>
          <cell r="O1082" t="str">
            <v/>
          </cell>
          <cell r="P1082">
            <v>0</v>
          </cell>
          <cell r="Q1082">
            <v>0.16577004198991599</v>
          </cell>
          <cell r="R1082">
            <v>0.16577004198991599</v>
          </cell>
          <cell r="S1082" t="e">
            <v>#VALUE!</v>
          </cell>
          <cell r="T1082" t="e">
            <v>#VALUE!</v>
          </cell>
        </row>
        <row r="1083">
          <cell r="A1083" t="str">
            <v>MDJA0401567KPT</v>
          </cell>
          <cell r="B1083" t="str">
            <v>MKP000631005341</v>
          </cell>
          <cell r="C1083" t="str">
            <v/>
          </cell>
          <cell r="D1083" t="str">
            <v>Conjunto Sala de Jantar Mesa Tampo de Vidro 4 Cadeiras Preto/Rustic Greta Madesa</v>
          </cell>
          <cell r="E1083" t="str">
            <v>GRETA</v>
          </cell>
          <cell r="F1083" t="str">
            <v>SALA DE JANTAR</v>
          </cell>
          <cell r="G1083">
            <v>4280</v>
          </cell>
          <cell r="H1083">
            <v>1099.99</v>
          </cell>
          <cell r="I1083">
            <v>1049.99</v>
          </cell>
          <cell r="J1083">
            <v>798.01080000000002</v>
          </cell>
          <cell r="K1083">
            <v>0</v>
          </cell>
          <cell r="L1083">
            <v>798.01080000000002</v>
          </cell>
          <cell r="M1083">
            <v>0</v>
          </cell>
          <cell r="N1083">
            <v>1049.99</v>
          </cell>
          <cell r="O1083" t="str">
            <v>CARREFOUR</v>
          </cell>
          <cell r="P1083">
            <v>999.99</v>
          </cell>
          <cell r="Q1083">
            <v>0.31575913508940001</v>
          </cell>
          <cell r="R1083">
            <v>0.31575913508940001</v>
          </cell>
          <cell r="S1083" t="e">
            <v>#VALUE!</v>
          </cell>
          <cell r="T1083" t="e">
            <v>#VALUE!</v>
          </cell>
        </row>
        <row r="1084">
          <cell r="A1084" t="str">
            <v>GREM2610045Z</v>
          </cell>
          <cell r="B1084" t="str">
            <v>MKP000631005164</v>
          </cell>
          <cell r="C1084" t="str">
            <v/>
          </cell>
          <cell r="D1084" t="str">
            <v>Armário de Cozinha Completa 261cm Rustic Emilly Madesa 04</v>
          </cell>
          <cell r="E1084" t="str">
            <v>EMILLY</v>
          </cell>
          <cell r="F1084" t="str">
            <v>COZINHA</v>
          </cell>
          <cell r="G1084" t="str">
            <v/>
          </cell>
          <cell r="H1084">
            <v>1469.99</v>
          </cell>
          <cell r="I1084">
            <v>1369.99</v>
          </cell>
          <cell r="J1084">
            <v>1096.0604000000001</v>
          </cell>
          <cell r="K1084">
            <v>0</v>
          </cell>
          <cell r="L1084">
            <v>1096.0604000000001</v>
          </cell>
          <cell r="M1084">
            <v>0</v>
          </cell>
          <cell r="N1084">
            <v>1369.99</v>
          </cell>
          <cell r="O1084" t="str">
            <v/>
          </cell>
          <cell r="P1084">
            <v>0</v>
          </cell>
          <cell r="Q1084">
            <v>0.24992199335000101</v>
          </cell>
          <cell r="R1084">
            <v>0.24992199335000101</v>
          </cell>
          <cell r="S1084" t="e">
            <v>#VALUE!</v>
          </cell>
          <cell r="T1084" t="e">
            <v>#VALUE!</v>
          </cell>
        </row>
        <row r="1085">
          <cell r="A1085" t="str">
            <v>GREM229002F9</v>
          </cell>
          <cell r="B1085" t="str">
            <v>MKP000631005596</v>
          </cell>
          <cell r="C1085" t="str">
            <v/>
          </cell>
          <cell r="D1085" t="str">
            <v>Armário de Cozinha Completa 229cm Rustic/Cinza Emilly Pop Madesa</v>
          </cell>
          <cell r="E1085" t="str">
            <v>POP/EMILLY</v>
          </cell>
          <cell r="F1085" t="str">
            <v>COZINHA</v>
          </cell>
          <cell r="G1085" t="str">
            <v/>
          </cell>
          <cell r="H1085">
            <v>1039.99</v>
          </cell>
          <cell r="I1085">
            <v>749.99</v>
          </cell>
          <cell r="J1085">
            <v>587.28110000000004</v>
          </cell>
          <cell r="K1085">
            <v>0</v>
          </cell>
          <cell r="L1085">
            <v>587.28110000000004</v>
          </cell>
          <cell r="M1085">
            <v>0</v>
          </cell>
          <cell r="N1085">
            <v>749.99</v>
          </cell>
          <cell r="O1085" t="str">
            <v>MELI</v>
          </cell>
          <cell r="P1085">
            <v>823</v>
          </cell>
          <cell r="Q1085">
            <v>0.27705454849474997</v>
          </cell>
          <cell r="R1085">
            <v>0.27705454849474997</v>
          </cell>
          <cell r="S1085" t="e">
            <v>#VALUE!</v>
          </cell>
          <cell r="T1085" t="e">
            <v>#VALUE!</v>
          </cell>
        </row>
        <row r="1086">
          <cell r="A1086" t="str">
            <v>6024D85ZPP</v>
          </cell>
          <cell r="B1086" t="str">
            <v>MKP000631001598</v>
          </cell>
          <cell r="C1086" t="str">
            <v/>
          </cell>
          <cell r="D1086" t="str">
            <v>Rack Madesa Dubai para TV até 65 Polegadas com Pés Preto/Rustic D85Z</v>
          </cell>
          <cell r="E1086" t="str">
            <v>DUBAI</v>
          </cell>
          <cell r="F1086" t="str">
            <v>SALA DE ESTAR</v>
          </cell>
          <cell r="G1086" t="str">
            <v/>
          </cell>
          <cell r="H1086">
            <v>569.99</v>
          </cell>
          <cell r="I1086">
            <v>329.92</v>
          </cell>
          <cell r="J1086">
            <v>243.82210000000001</v>
          </cell>
          <cell r="K1086">
            <v>0</v>
          </cell>
          <cell r="L1086">
            <v>243.82210000000001</v>
          </cell>
          <cell r="M1086">
            <v>0</v>
          </cell>
          <cell r="N1086">
            <v>329.92</v>
          </cell>
          <cell r="O1086" t="str">
            <v/>
          </cell>
          <cell r="P1086">
            <v>0</v>
          </cell>
          <cell r="Q1086">
            <v>0.35311770344033599</v>
          </cell>
          <cell r="R1086">
            <v>0.35311770344033599</v>
          </cell>
          <cell r="S1086" t="e">
            <v>#VALUE!</v>
          </cell>
          <cell r="T1086" t="e">
            <v>#VALUE!</v>
          </cell>
        </row>
        <row r="1087">
          <cell r="A1087" t="str">
            <v>1095H9</v>
          </cell>
          <cell r="B1087" t="str">
            <v>MKP000631003530</v>
          </cell>
          <cell r="C1087" t="str">
            <v/>
          </cell>
          <cell r="D1087" t="str">
            <v>Guarda-Roupa Casal Madesa Reno 3 Portas de Correr Preto/Cinza</v>
          </cell>
          <cell r="E1087" t="str">
            <v>RENO</v>
          </cell>
          <cell r="F1087" t="str">
            <v>QUARTO</v>
          </cell>
          <cell r="G1087" t="str">
            <v/>
          </cell>
          <cell r="H1087">
            <v>1469.99</v>
          </cell>
          <cell r="I1087">
            <v>1089.92</v>
          </cell>
          <cell r="J1087">
            <v>918.40129999999999</v>
          </cell>
          <cell r="K1087">
            <v>0</v>
          </cell>
          <cell r="L1087">
            <v>918.40129999999999</v>
          </cell>
          <cell r="M1087">
            <v>0</v>
          </cell>
          <cell r="N1087">
            <v>1089.92</v>
          </cell>
          <cell r="O1087" t="str">
            <v/>
          </cell>
          <cell r="P1087">
            <v>0</v>
          </cell>
          <cell r="Q1087">
            <v>0.18675790201952</v>
          </cell>
          <cell r="R1087">
            <v>0.18675790201952</v>
          </cell>
          <cell r="S1087" t="e">
            <v>#VALUE!</v>
          </cell>
          <cell r="T1087" t="e">
            <v>#VALUE!</v>
          </cell>
        </row>
        <row r="1088">
          <cell r="A1088" t="str">
            <v>1163093E</v>
          </cell>
          <cell r="B1088" t="str">
            <v>MKP000631001117</v>
          </cell>
          <cell r="C1088" t="str">
            <v/>
          </cell>
          <cell r="D1088" t="str">
            <v>Guarda-Roupa Casal 100% MDF Madesa Eros 3 Portas de Correr de Espelho Branco</v>
          </cell>
          <cell r="E1088" t="str">
            <v>EROS</v>
          </cell>
          <cell r="F1088" t="str">
            <v>QUARTO</v>
          </cell>
          <cell r="G1088" t="str">
            <v/>
          </cell>
          <cell r="H1088">
            <v>3349.99</v>
          </cell>
          <cell r="I1088">
            <v>2389.9899999999998</v>
          </cell>
          <cell r="J1088">
            <v>1941.1374000000001</v>
          </cell>
          <cell r="K1088">
            <v>0</v>
          </cell>
          <cell r="L1088">
            <v>1941.1374000000001</v>
          </cell>
          <cell r="M1088">
            <v>0</v>
          </cell>
          <cell r="N1088">
            <v>2389.9899999999998</v>
          </cell>
          <cell r="O1088" t="str">
            <v>MADEIRAMADEIRA</v>
          </cell>
          <cell r="P1088">
            <v>2349.9899999999998</v>
          </cell>
          <cell r="Q1088">
            <v>0.23123175103421301</v>
          </cell>
          <cell r="R1088">
            <v>0.23123175103421301</v>
          </cell>
          <cell r="S1088" t="e">
            <v>#VALUE!</v>
          </cell>
          <cell r="T1088" t="e">
            <v>#VALUE!</v>
          </cell>
        </row>
        <row r="1089">
          <cell r="A1089" t="str">
            <v>XA1094092G</v>
          </cell>
          <cell r="B1089" t="str">
            <v>MKP000631001592</v>
          </cell>
          <cell r="C1089" t="str">
            <v/>
          </cell>
          <cell r="D1089" t="str">
            <v>Guarda-Roupa Infantil Madesa Bento 2 Portas de Correr 2 Gavetas Branco</v>
          </cell>
          <cell r="E1089" t="str">
            <v>BENTO</v>
          </cell>
          <cell r="F1089" t="str">
            <v>QUARTO</v>
          </cell>
          <cell r="G1089" t="str">
            <v/>
          </cell>
          <cell r="H1089">
            <v>1169.99</v>
          </cell>
          <cell r="I1089">
            <v>719.92</v>
          </cell>
          <cell r="J1089">
            <v>563.84609999999998</v>
          </cell>
          <cell r="K1089">
            <v>0</v>
          </cell>
          <cell r="L1089">
            <v>563.84609999999998</v>
          </cell>
          <cell r="M1089">
            <v>0</v>
          </cell>
          <cell r="N1089">
            <v>719.92</v>
          </cell>
          <cell r="O1089" t="str">
            <v/>
          </cell>
          <cell r="P1089">
            <v>0</v>
          </cell>
          <cell r="Q1089">
            <v>0.27680230474237599</v>
          </cell>
          <cell r="R1089">
            <v>0.27680230474237599</v>
          </cell>
          <cell r="S1089" t="e">
            <v>#VALUE!</v>
          </cell>
          <cell r="T1089" t="e">
            <v>#VALUE!</v>
          </cell>
        </row>
        <row r="1090">
          <cell r="A1090" t="str">
            <v>GRRM24000109</v>
          </cell>
          <cell r="B1090" t="str">
            <v>MKP000631002179</v>
          </cell>
          <cell r="C1090" t="str">
            <v/>
          </cell>
          <cell r="D1090" t="str">
            <v>Armário de Cozinha Completa 240cm Branco Reims Madesa 01</v>
          </cell>
          <cell r="E1090" t="str">
            <v>REIMS</v>
          </cell>
          <cell r="F1090" t="str">
            <v>COZINHA</v>
          </cell>
          <cell r="G1090" t="str">
            <v/>
          </cell>
          <cell r="H1090">
            <v>2139.9899999999998</v>
          </cell>
          <cell r="I1090">
            <v>1349.99</v>
          </cell>
          <cell r="J1090">
            <v>1073.4211</v>
          </cell>
          <cell r="K1090">
            <v>0</v>
          </cell>
          <cell r="L1090">
            <v>1073.4211</v>
          </cell>
          <cell r="M1090">
            <v>0</v>
          </cell>
          <cell r="N1090">
            <v>1349.99</v>
          </cell>
          <cell r="O1090" t="str">
            <v>MADEIRAMADEIRA</v>
          </cell>
          <cell r="P1090">
            <v>1289.99</v>
          </cell>
          <cell r="Q1090">
            <v>0.25765181996143</v>
          </cell>
          <cell r="R1090">
            <v>0.25765181996143</v>
          </cell>
          <cell r="S1090" t="e">
            <v>#VALUE!</v>
          </cell>
          <cell r="T1090" t="e">
            <v>#VALUE!</v>
          </cell>
        </row>
        <row r="1091">
          <cell r="A1091" t="str">
            <v>044775ZXTLIB</v>
          </cell>
          <cell r="B1091" t="str">
            <v>MKP000631000620</v>
          </cell>
          <cell r="C1091" t="str">
            <v/>
          </cell>
          <cell r="D1091" t="str">
            <v>Conjunto Sala de Jantar Madesa Gales Mesa Tampo de Vidro com 6 Cadeiras Rustic/Lírio Bege</v>
          </cell>
          <cell r="E1091" t="str">
            <v>GALES</v>
          </cell>
          <cell r="F1091" t="str">
            <v>SALA DE JANTAR</v>
          </cell>
          <cell r="G1091" t="str">
            <v>4290X</v>
          </cell>
          <cell r="H1091">
            <v>1259.99</v>
          </cell>
          <cell r="I1091">
            <v>1159.99</v>
          </cell>
          <cell r="J1091">
            <v>933.90110000000004</v>
          </cell>
          <cell r="K1091">
            <v>0</v>
          </cell>
          <cell r="L1091">
            <v>933.90110000000004</v>
          </cell>
          <cell r="M1091">
            <v>0</v>
          </cell>
          <cell r="N1091">
            <v>1159.99</v>
          </cell>
          <cell r="O1091" t="str">
            <v/>
          </cell>
          <cell r="P1091">
            <v>0</v>
          </cell>
          <cell r="Q1091">
            <v>0.242090838098381</v>
          </cell>
          <cell r="R1091">
            <v>0.242090838098381</v>
          </cell>
          <cell r="S1091" t="e">
            <v>#VALUE!</v>
          </cell>
          <cell r="T1091" t="e">
            <v>#VALUE!</v>
          </cell>
        </row>
        <row r="1092">
          <cell r="A1092" t="str">
            <v>044805ZXTFBM</v>
          </cell>
          <cell r="B1092" t="str">
            <v>MKP000631000633</v>
          </cell>
          <cell r="C1092" t="str">
            <v/>
          </cell>
          <cell r="D1092" t="str">
            <v>Conjunto Sala de Jantar Madesa Megan Mesa Tampo de Madeira com 6 Cadeiras Rustic/Bege Marrom</v>
          </cell>
          <cell r="E1092" t="str">
            <v>MEGAN</v>
          </cell>
          <cell r="F1092" t="str">
            <v>SALA DE JANTAR</v>
          </cell>
          <cell r="G1092" t="str">
            <v>4290X</v>
          </cell>
          <cell r="H1092">
            <v>939.99</v>
          </cell>
          <cell r="I1092">
            <v>839.99</v>
          </cell>
          <cell r="J1092">
            <v>662.74180000000001</v>
          </cell>
          <cell r="K1092">
            <v>0</v>
          </cell>
          <cell r="L1092">
            <v>662.74180000000001</v>
          </cell>
          <cell r="M1092">
            <v>0</v>
          </cell>
          <cell r="N1092">
            <v>839.99</v>
          </cell>
          <cell r="O1092" t="str">
            <v/>
          </cell>
          <cell r="P1092">
            <v>0</v>
          </cell>
          <cell r="Q1092">
            <v>0.26744683977983602</v>
          </cell>
          <cell r="R1092">
            <v>0.26744683977983602</v>
          </cell>
          <cell r="S1092" t="e">
            <v>#VALUE!</v>
          </cell>
          <cell r="T1092" t="e">
            <v>#VALUE!</v>
          </cell>
        </row>
        <row r="1093">
          <cell r="A1093" t="str">
            <v>21858N1</v>
          </cell>
          <cell r="B1093" t="str">
            <v>MKP000631001688</v>
          </cell>
          <cell r="C1093" t="str">
            <v/>
          </cell>
          <cell r="D1093" t="str">
            <v>Painel para TV até 58 Polegadas Madesa Preto</v>
          </cell>
          <cell r="E1093">
            <v>2185</v>
          </cell>
          <cell r="F1093" t="str">
            <v>SALA DE ESTAR</v>
          </cell>
          <cell r="G1093" t="str">
            <v/>
          </cell>
          <cell r="H1093">
            <v>249.99</v>
          </cell>
          <cell r="I1093">
            <v>149.99</v>
          </cell>
          <cell r="J1093">
            <v>111.27809999999999</v>
          </cell>
          <cell r="K1093">
            <v>0</v>
          </cell>
          <cell r="L1093">
            <v>111.27809999999999</v>
          </cell>
          <cell r="M1093">
            <v>0</v>
          </cell>
          <cell r="N1093">
            <v>149.99</v>
          </cell>
          <cell r="O1093" t="str">
            <v/>
          </cell>
          <cell r="P1093">
            <v>0</v>
          </cell>
          <cell r="Q1093">
            <v>0.34788426473852502</v>
          </cell>
          <cell r="R1093">
            <v>0.34788426473852502</v>
          </cell>
          <cell r="S1093" t="e">
            <v>#VALUE!</v>
          </cell>
          <cell r="T1093" t="e">
            <v>#VALUE!</v>
          </cell>
        </row>
        <row r="1094">
          <cell r="A1094" t="str">
            <v>GRGM3300059B</v>
          </cell>
          <cell r="B1094" t="str">
            <v>MKP000631003521</v>
          </cell>
          <cell r="C1094" t="str">
            <v/>
          </cell>
          <cell r="D1094" t="str">
            <v>Armário de Cozinha Completa 100% MDF 330cm Branco/Rustic Acordes Madesa 05</v>
          </cell>
          <cell r="E1094" t="str">
            <v>ACORDES</v>
          </cell>
          <cell r="F1094" t="str">
            <v>COZINHA</v>
          </cell>
          <cell r="G1094" t="str">
            <v/>
          </cell>
          <cell r="H1094">
            <v>4829.99</v>
          </cell>
          <cell r="I1094">
            <v>2979.92</v>
          </cell>
          <cell r="J1094">
            <v>2342.9659000000001</v>
          </cell>
          <cell r="K1094">
            <v>0</v>
          </cell>
          <cell r="L1094">
            <v>2342.9659000000001</v>
          </cell>
          <cell r="M1094">
            <v>0</v>
          </cell>
          <cell r="N1094">
            <v>2979.92</v>
          </cell>
          <cell r="O1094" t="str">
            <v/>
          </cell>
          <cell r="P1094">
            <v>0</v>
          </cell>
          <cell r="Q1094">
            <v>0.271858032590231</v>
          </cell>
          <cell r="R1094">
            <v>0.271858032590231</v>
          </cell>
          <cell r="S1094" t="e">
            <v>#VALUE!</v>
          </cell>
          <cell r="T1094" t="e">
            <v>#VALUE!</v>
          </cell>
        </row>
        <row r="1095">
          <cell r="A1095" t="str">
            <v>GRGL1200025Z</v>
          </cell>
          <cell r="B1095" t="str">
            <v>MKP000631004544</v>
          </cell>
          <cell r="C1095" t="str">
            <v/>
          </cell>
          <cell r="D1095" t="str">
            <v>Armário de Cozinha Compacta 120cm Rustic Glamy Madesa 02</v>
          </cell>
          <cell r="E1095" t="str">
            <v>GLAMY</v>
          </cell>
          <cell r="F1095" t="str">
            <v>COZINHA</v>
          </cell>
          <cell r="G1095" t="str">
            <v/>
          </cell>
          <cell r="H1095">
            <v>1099.99</v>
          </cell>
          <cell r="I1095">
            <v>999.99</v>
          </cell>
          <cell r="J1095">
            <v>849.92750000000001</v>
          </cell>
          <cell r="K1095">
            <v>0</v>
          </cell>
          <cell r="L1095">
            <v>849.92750000000001</v>
          </cell>
          <cell r="M1095">
            <v>0</v>
          </cell>
          <cell r="N1095">
            <v>999.99</v>
          </cell>
          <cell r="O1095" t="str">
            <v/>
          </cell>
          <cell r="P1095">
            <v>0</v>
          </cell>
          <cell r="Q1095">
            <v>0.17655917710628299</v>
          </cell>
          <cell r="R1095">
            <v>0.17655917710628299</v>
          </cell>
          <cell r="S1095" t="e">
            <v>#VALUE!</v>
          </cell>
          <cell r="T1095" t="e">
            <v>#VALUE!</v>
          </cell>
        </row>
        <row r="1096">
          <cell r="A1096" t="str">
            <v>G200917K</v>
          </cell>
          <cell r="B1096" t="str">
            <v>MKP000631001834</v>
          </cell>
          <cell r="C1096" t="str">
            <v/>
          </cell>
          <cell r="D1096" t="str">
            <v>Kit com Armário Aéreo e Balcão 64cm Rustic/Preto Emilly Madesa</v>
          </cell>
          <cell r="E1096" t="str">
            <v>EMILLY</v>
          </cell>
          <cell r="F1096" t="str">
            <v>MODULAÇÃO</v>
          </cell>
          <cell r="G1096" t="str">
            <v/>
          </cell>
          <cell r="H1096">
            <v>569.99</v>
          </cell>
          <cell r="I1096">
            <v>439.99</v>
          </cell>
          <cell r="J1096">
            <v>258.0684</v>
          </cell>
          <cell r="K1096">
            <v>0</v>
          </cell>
          <cell r="L1096">
            <v>258.0684</v>
          </cell>
          <cell r="M1096">
            <v>0</v>
          </cell>
          <cell r="N1096">
            <v>439.99</v>
          </cell>
          <cell r="O1096" t="str">
            <v/>
          </cell>
          <cell r="P1096">
            <v>0</v>
          </cell>
          <cell r="Q1096">
            <v>0.70493559071935996</v>
          </cell>
          <cell r="R1096">
            <v>0.70493559071935996</v>
          </cell>
          <cell r="S1096" t="e">
            <v>#VALUE!</v>
          </cell>
          <cell r="T1096" t="e">
            <v>#VALUE!</v>
          </cell>
        </row>
        <row r="1097">
          <cell r="A1097" t="str">
            <v>GRTP18000209</v>
          </cell>
          <cell r="B1097" t="str">
            <v>MKP000631003567</v>
          </cell>
          <cell r="C1097" t="str">
            <v/>
          </cell>
          <cell r="D1097" t="str">
            <v>Cozinha Compacta Madesa Diamante Pop com Armário, Balcão e Tampo Branco</v>
          </cell>
          <cell r="E1097" t="str">
            <v>DIAMANTE</v>
          </cell>
          <cell r="F1097" t="str">
            <v>COZINHA</v>
          </cell>
          <cell r="G1097" t="str">
            <v/>
          </cell>
          <cell r="H1097">
            <v>1099.99</v>
          </cell>
          <cell r="I1097">
            <v>999.99</v>
          </cell>
          <cell r="J1097">
            <v>813.4452</v>
          </cell>
          <cell r="K1097">
            <v>0</v>
          </cell>
          <cell r="L1097">
            <v>813.4452</v>
          </cell>
          <cell r="M1097">
            <v>0</v>
          </cell>
          <cell r="N1097">
            <v>999.99</v>
          </cell>
          <cell r="O1097" t="str">
            <v/>
          </cell>
          <cell r="P1097">
            <v>0</v>
          </cell>
          <cell r="Q1097">
            <v>0.22932681881951</v>
          </cell>
          <cell r="R1097">
            <v>0.22932681881951</v>
          </cell>
          <cell r="S1097" t="e">
            <v>#VALUE!</v>
          </cell>
          <cell r="T1097" t="e">
            <v>#VALUE!</v>
          </cell>
        </row>
        <row r="1098">
          <cell r="A1098" t="str">
            <v>G242015ZPRPT</v>
          </cell>
          <cell r="B1098" t="str">
            <v>MKP000631003564</v>
          </cell>
          <cell r="C1098" t="str">
            <v/>
          </cell>
          <cell r="D1098" t="str">
            <v>Balcão Porta-Temperos Madesa para Cozinha Glamy, Agata e Stella 20 cm (Com Tampo) Rustic</v>
          </cell>
          <cell r="E1098" t="str">
            <v>PR</v>
          </cell>
          <cell r="F1098" t="str">
            <v>MODULAÇÃO</v>
          </cell>
          <cell r="G1098" t="str">
            <v/>
          </cell>
          <cell r="H1098">
            <v>569.99</v>
          </cell>
          <cell r="I1098">
            <v>419.99</v>
          </cell>
          <cell r="J1098">
            <v>268.90300000000002</v>
          </cell>
          <cell r="K1098">
            <v>0</v>
          </cell>
          <cell r="L1098">
            <v>268.90300000000002</v>
          </cell>
          <cell r="M1098">
            <v>0</v>
          </cell>
          <cell r="N1098">
            <v>419.99</v>
          </cell>
          <cell r="O1098" t="str">
            <v/>
          </cell>
          <cell r="P1098">
            <v>0</v>
          </cell>
          <cell r="Q1098">
            <v>0.56186431538510195</v>
          </cell>
          <cell r="R1098">
            <v>0.56186431538510195</v>
          </cell>
          <cell r="S1098" t="e">
            <v>#VALUE!</v>
          </cell>
          <cell r="T1098" t="e">
            <v>#VALUE!</v>
          </cell>
        </row>
        <row r="1099">
          <cell r="A1099" t="str">
            <v>MDJA0401497KSL</v>
          </cell>
          <cell r="B1099" t="str">
            <v>MKP000631005300</v>
          </cell>
          <cell r="C1099" t="str">
            <v/>
          </cell>
          <cell r="D1099" t="str">
            <v>Conjunto Sala de Jantar Mesa Tampo de Madeira 4 Cadeiras Rustic/Preto/Silver Ashley Madesa</v>
          </cell>
          <cell r="E1099" t="str">
            <v>ASHLEY</v>
          </cell>
          <cell r="F1099" t="str">
            <v>SALA DE JANTAR</v>
          </cell>
          <cell r="G1099">
            <v>4256</v>
          </cell>
          <cell r="H1099">
            <v>1259.99</v>
          </cell>
          <cell r="I1099">
            <v>1159.99</v>
          </cell>
          <cell r="J1099">
            <v>910.24810000000002</v>
          </cell>
          <cell r="K1099">
            <v>0</v>
          </cell>
          <cell r="L1099">
            <v>910.24810000000002</v>
          </cell>
          <cell r="M1099">
            <v>0</v>
          </cell>
          <cell r="N1099">
            <v>1159.99</v>
          </cell>
          <cell r="O1099" t="str">
            <v/>
          </cell>
          <cell r="P1099">
            <v>0</v>
          </cell>
          <cell r="Q1099">
            <v>0.274366845698442</v>
          </cell>
          <cell r="R1099">
            <v>0.274366845698442</v>
          </cell>
          <cell r="S1099" t="e">
            <v>#VALUE!</v>
          </cell>
          <cell r="T1099" t="e">
            <v>#VALUE!</v>
          </cell>
        </row>
        <row r="1100">
          <cell r="A1100" t="str">
            <v>044765ZXTFLH</v>
          </cell>
          <cell r="B1100" t="str">
            <v>MKP000631000799</v>
          </cell>
          <cell r="C1100" t="str">
            <v/>
          </cell>
          <cell r="D1100" t="str">
            <v>Conjunto Sala de Jantar Madesa Magda Mesa Tampo de Vidro com 4 Cadeiras Rustic/Floral Hibiscos</v>
          </cell>
          <cell r="E1100" t="str">
            <v>MAGDA</v>
          </cell>
          <cell r="F1100" t="str">
            <v>SALA DE JANTAR</v>
          </cell>
          <cell r="G1100" t="str">
            <v>4290X</v>
          </cell>
          <cell r="H1100">
            <v>699.99</v>
          </cell>
          <cell r="I1100">
            <v>599.99</v>
          </cell>
          <cell r="J1100">
            <v>493.51929999999999</v>
          </cell>
          <cell r="K1100">
            <v>0</v>
          </cell>
          <cell r="L1100">
            <v>493.51929999999999</v>
          </cell>
          <cell r="M1100">
            <v>0</v>
          </cell>
          <cell r="N1100">
            <v>599.99</v>
          </cell>
          <cell r="O1100" t="str">
            <v/>
          </cell>
          <cell r="P1100">
            <v>0</v>
          </cell>
          <cell r="Q1100">
            <v>0.21573766213398299</v>
          </cell>
          <cell r="R1100">
            <v>0.21573766213398299</v>
          </cell>
          <cell r="S1100" t="e">
            <v>#VALUE!</v>
          </cell>
          <cell r="T1100" t="e">
            <v>#VALUE!</v>
          </cell>
        </row>
        <row r="1101">
          <cell r="A1101" t="str">
            <v>GRLX2700019N</v>
          </cell>
          <cell r="B1101" t="str">
            <v>MKP000631002718</v>
          </cell>
          <cell r="C1101" t="str">
            <v/>
          </cell>
          <cell r="D1101" t="str">
            <v>Armário de Cozinha Completa 270cm Rustic/Cinza Lux Madesa 01</v>
          </cell>
          <cell r="E1101" t="str">
            <v>LUX</v>
          </cell>
          <cell r="F1101" t="str">
            <v>COZINHA</v>
          </cell>
          <cell r="G1101" t="str">
            <v/>
          </cell>
          <cell r="H1101">
            <v>3709.99</v>
          </cell>
          <cell r="I1101">
            <v>3619.99</v>
          </cell>
          <cell r="J1101">
            <v>2292.5425</v>
          </cell>
          <cell r="K1101">
            <v>0</v>
          </cell>
          <cell r="L1101">
            <v>2292.5425</v>
          </cell>
          <cell r="M1101">
            <v>0</v>
          </cell>
          <cell r="N1101">
            <v>3619.99</v>
          </cell>
          <cell r="O1101" t="str">
            <v>LOJA</v>
          </cell>
          <cell r="P1101">
            <v>3179.99</v>
          </cell>
          <cell r="Q1101">
            <v>0.57902852400773397</v>
          </cell>
          <cell r="R1101">
            <v>0.57902852400773397</v>
          </cell>
          <cell r="S1101" t="e">
            <v>#VALUE!</v>
          </cell>
          <cell r="T1101" t="e">
            <v>#VALUE!</v>
          </cell>
        </row>
        <row r="1102">
          <cell r="A1102" t="str">
            <v>G25702F9AG</v>
          </cell>
          <cell r="B1102" t="str">
            <v>MKP000631003438</v>
          </cell>
          <cell r="C1102" t="str">
            <v/>
          </cell>
          <cell r="D1102" t="str">
            <v>Armário Aéreo de Cozinha Madesa Agata 70 cm 1 Porta Basculante Rustic/Cinza</v>
          </cell>
          <cell r="E1102" t="str">
            <v>ÁGATA</v>
          </cell>
          <cell r="F1102" t="str">
            <v>MODULAÇÃO</v>
          </cell>
          <cell r="G1102" t="str">
            <v/>
          </cell>
          <cell r="H1102">
            <v>549.99</v>
          </cell>
          <cell r="I1102">
            <v>259.99</v>
          </cell>
          <cell r="J1102">
            <v>156.62209999999999</v>
          </cell>
          <cell r="K1102">
            <v>0</v>
          </cell>
          <cell r="L1102">
            <v>156.62209999999999</v>
          </cell>
          <cell r="M1102">
            <v>0</v>
          </cell>
          <cell r="N1102">
            <v>259.99</v>
          </cell>
          <cell r="O1102" t="str">
            <v/>
          </cell>
          <cell r="P1102">
            <v>0</v>
          </cell>
          <cell r="Q1102">
            <v>0.65998285044064597</v>
          </cell>
          <cell r="R1102">
            <v>0.65998285044064597</v>
          </cell>
          <cell r="S1102" t="e">
            <v>#VALUE!</v>
          </cell>
          <cell r="T1102" t="e">
            <v>#VALUE!</v>
          </cell>
        </row>
        <row r="1103">
          <cell r="A1103" t="str">
            <v>GRGM26000209</v>
          </cell>
          <cell r="B1103" t="str">
            <v>MKP000631000180</v>
          </cell>
          <cell r="C1103" t="str">
            <v/>
          </cell>
          <cell r="D1103" t="str">
            <v>Armário de Cozinha Compacta 100% MDF 260cm Portas Branco Brilho Acordes Madesa 02</v>
          </cell>
          <cell r="E1103" t="str">
            <v>ACORDES</v>
          </cell>
          <cell r="F1103" t="str">
            <v>COZINHA</v>
          </cell>
          <cell r="G1103" t="str">
            <v/>
          </cell>
          <cell r="H1103">
            <v>2719.99</v>
          </cell>
          <cell r="I1103">
            <v>1929.99</v>
          </cell>
          <cell r="J1103">
            <v>1441.3942</v>
          </cell>
          <cell r="K1103">
            <v>0</v>
          </cell>
          <cell r="L1103">
            <v>1441.3942</v>
          </cell>
          <cell r="M1103">
            <v>0</v>
          </cell>
          <cell r="N1103">
            <v>1929.99</v>
          </cell>
          <cell r="O1103" t="str">
            <v>LOJA</v>
          </cell>
          <cell r="P1103">
            <v>1749.99</v>
          </cell>
          <cell r="Q1103">
            <v>0.33897444571374002</v>
          </cell>
          <cell r="R1103">
            <v>0.33897444571374002</v>
          </cell>
          <cell r="S1103" t="e">
            <v>#VALUE!</v>
          </cell>
          <cell r="T1103" t="e">
            <v>#VALUE!</v>
          </cell>
        </row>
        <row r="1104">
          <cell r="A1104" t="str">
            <v>32278N</v>
          </cell>
          <cell r="B1104" t="str">
            <v>MKP000631003131</v>
          </cell>
          <cell r="C1104" t="str">
            <v/>
          </cell>
          <cell r="D1104" t="str">
            <v>Mesa de Cabeceira Madesa 3227 com 2 Gavetas Preto</v>
          </cell>
          <cell r="E1104">
            <v>3227</v>
          </cell>
          <cell r="F1104" t="str">
            <v>QUARTO</v>
          </cell>
          <cell r="G1104" t="str">
            <v/>
          </cell>
          <cell r="H1104">
            <v>469.99</v>
          </cell>
          <cell r="I1104">
            <v>259.99</v>
          </cell>
          <cell r="J1104">
            <v>190.8263</v>
          </cell>
          <cell r="K1104">
            <v>0</v>
          </cell>
          <cell r="L1104">
            <v>190.8263</v>
          </cell>
          <cell r="M1104">
            <v>0</v>
          </cell>
          <cell r="N1104">
            <v>259.99</v>
          </cell>
          <cell r="O1104" t="str">
            <v/>
          </cell>
          <cell r="P1104">
            <v>0</v>
          </cell>
          <cell r="Q1104">
            <v>0.36244322716522798</v>
          </cell>
          <cell r="R1104">
            <v>0.36244322716522798</v>
          </cell>
          <cell r="S1104" t="e">
            <v>#VALUE!</v>
          </cell>
          <cell r="T1104" t="e">
            <v>#VALUE!</v>
          </cell>
        </row>
        <row r="1105">
          <cell r="A1105" t="str">
            <v>GRLX3200049R</v>
          </cell>
          <cell r="B1105" t="str">
            <v>MKP000631003359</v>
          </cell>
          <cell r="C1105" t="str">
            <v/>
          </cell>
          <cell r="D1105" t="str">
            <v>Armário de Cozinha Planejada 320cm Branco/Cinza Lux Madesa 04</v>
          </cell>
          <cell r="E1105" t="str">
            <v>LUX</v>
          </cell>
          <cell r="F1105" t="str">
            <v>COZINHA</v>
          </cell>
          <cell r="G1105" t="str">
            <v/>
          </cell>
          <cell r="H1105">
            <v>5779.99</v>
          </cell>
          <cell r="I1105">
            <v>5729.99</v>
          </cell>
          <cell r="J1105">
            <v>3663.0430999999999</v>
          </cell>
          <cell r="K1105">
            <v>0</v>
          </cell>
          <cell r="L1105">
            <v>3663.0430999999999</v>
          </cell>
          <cell r="M1105">
            <v>0</v>
          </cell>
          <cell r="N1105">
            <v>5729.99</v>
          </cell>
          <cell r="O1105" t="str">
            <v>LOJA</v>
          </cell>
          <cell r="P1105">
            <v>5039.99</v>
          </cell>
          <cell r="Q1105">
            <v>0.56427042859528398</v>
          </cell>
          <cell r="R1105">
            <v>0.56427042859528398</v>
          </cell>
          <cell r="S1105" t="e">
            <v>#VALUE!</v>
          </cell>
          <cell r="T1105" t="e">
            <v>#VALUE!</v>
          </cell>
        </row>
        <row r="1106">
          <cell r="A1106" t="str">
            <v>G221209NLX</v>
          </cell>
          <cell r="B1106" t="str">
            <v>MKP000631002703</v>
          </cell>
          <cell r="C1106" t="str">
            <v/>
          </cell>
          <cell r="D1106" t="str">
            <v>Balcão Gabinete de Pia Madesa Lux 120 cm 2 Portas (Sem Tampo) Rustic/Cinza</v>
          </cell>
          <cell r="E1106" t="str">
            <v>LUX</v>
          </cell>
          <cell r="F1106" t="str">
            <v>MODULAÇÃO</v>
          </cell>
          <cell r="G1106" t="str">
            <v/>
          </cell>
          <cell r="H1106">
            <v>1379.99</v>
          </cell>
          <cell r="I1106">
            <v>1019.99</v>
          </cell>
          <cell r="J1106">
            <v>627.7201</v>
          </cell>
          <cell r="K1106">
            <v>0</v>
          </cell>
          <cell r="L1106">
            <v>627.7201</v>
          </cell>
          <cell r="M1106">
            <v>0</v>
          </cell>
          <cell r="N1106">
            <v>1019.99</v>
          </cell>
          <cell r="O1106" t="str">
            <v>LOJA</v>
          </cell>
          <cell r="P1106">
            <v>999.99</v>
          </cell>
          <cell r="Q1106">
            <v>0.62491212245712702</v>
          </cell>
          <cell r="R1106">
            <v>0.62491212245712702</v>
          </cell>
          <cell r="S1106" t="e">
            <v>#VALUE!</v>
          </cell>
          <cell r="T1106" t="e">
            <v>#VALUE!</v>
          </cell>
        </row>
        <row r="1107">
          <cell r="A1107" t="str">
            <v>MDJA0401197GBE</v>
          </cell>
          <cell r="B1107" t="str">
            <v>MKP000631004170</v>
          </cell>
          <cell r="C1107" t="str">
            <v/>
          </cell>
          <cell r="D1107" t="str">
            <v>Conjunto Sala de Jantar Madesa Ana Mesa Tampo de Vidro Redondo 4 Cadeiras Rustic/Crema/Bege</v>
          </cell>
          <cell r="E1107" t="str">
            <v>ANA</v>
          </cell>
          <cell r="F1107" t="str">
            <v>SALA DE JANTAR</v>
          </cell>
          <cell r="G1107" t="str">
            <v>4280X</v>
          </cell>
          <cell r="H1107">
            <v>969.99</v>
          </cell>
          <cell r="I1107">
            <v>839.92</v>
          </cell>
          <cell r="J1107">
            <v>642.8057</v>
          </cell>
          <cell r="K1107">
            <v>0</v>
          </cell>
          <cell r="L1107">
            <v>642.8057</v>
          </cell>
          <cell r="M1107">
            <v>0</v>
          </cell>
          <cell r="N1107">
            <v>839.92</v>
          </cell>
          <cell r="O1107" t="str">
            <v/>
          </cell>
          <cell r="P1107">
            <v>0</v>
          </cell>
          <cell r="Q1107">
            <v>0.30664678300145698</v>
          </cell>
          <cell r="R1107">
            <v>0.30664678300145698</v>
          </cell>
          <cell r="S1107" t="e">
            <v>#VALUE!</v>
          </cell>
          <cell r="T1107" t="e">
            <v>#VALUE!</v>
          </cell>
        </row>
        <row r="1108">
          <cell r="A1108" t="str">
            <v>GRAG290001F8</v>
          </cell>
          <cell r="B1108" t="str">
            <v>MKP000631002569</v>
          </cell>
          <cell r="C1108" t="str">
            <v/>
          </cell>
          <cell r="D1108" t="str">
            <v>Armário de Cozinha Completa 290cm Branco/Cinza Agata Madesa 02</v>
          </cell>
          <cell r="E1108" t="str">
            <v>ÁGATA</v>
          </cell>
          <cell r="F1108" t="str">
            <v>COZINHA</v>
          </cell>
          <cell r="G1108" t="str">
            <v/>
          </cell>
          <cell r="H1108">
            <v>2599.9899999999998</v>
          </cell>
          <cell r="I1108">
            <v>2499.9899999999998</v>
          </cell>
          <cell r="J1108">
            <v>1998.4713999999999</v>
          </cell>
          <cell r="K1108">
            <v>0</v>
          </cell>
          <cell r="L1108">
            <v>1998.4713999999999</v>
          </cell>
          <cell r="M1108">
            <v>0</v>
          </cell>
          <cell r="N1108">
            <v>2499.9899999999998</v>
          </cell>
          <cell r="O1108" t="str">
            <v/>
          </cell>
          <cell r="P1108">
            <v>0</v>
          </cell>
          <cell r="Q1108">
            <v>0.25095110192720299</v>
          </cell>
          <cell r="R1108">
            <v>0.25095110192720299</v>
          </cell>
          <cell r="S1108" t="e">
            <v>#VALUE!</v>
          </cell>
          <cell r="T1108" t="e">
            <v>#VALUE!</v>
          </cell>
        </row>
        <row r="1109">
          <cell r="A1109" t="str">
            <v>G2675509GL</v>
          </cell>
          <cell r="B1109" t="str">
            <v>MKP000631000127</v>
          </cell>
          <cell r="C1109" t="str">
            <v/>
          </cell>
          <cell r="D1109" t="str">
            <v>Torre Quente Madesa Glamy 70 cm 3 Portas Branco</v>
          </cell>
          <cell r="E1109" t="str">
            <v>GLAMY</v>
          </cell>
          <cell r="F1109" t="str">
            <v>MODULAÇÃO</v>
          </cell>
          <cell r="G1109" t="str">
            <v/>
          </cell>
          <cell r="H1109">
            <v>1159.99</v>
          </cell>
          <cell r="I1109">
            <v>869.99</v>
          </cell>
          <cell r="J1109">
            <v>535.41890000000001</v>
          </cell>
          <cell r="K1109">
            <v>0</v>
          </cell>
          <cell r="L1109">
            <v>535.41890000000001</v>
          </cell>
          <cell r="M1109">
            <v>0</v>
          </cell>
          <cell r="N1109">
            <v>869.99</v>
          </cell>
          <cell r="O1109" t="str">
            <v/>
          </cell>
          <cell r="P1109">
            <v>0</v>
          </cell>
          <cell r="Q1109">
            <v>0.62487726899442697</v>
          </cell>
          <cell r="R1109">
            <v>0.62487726899442697</v>
          </cell>
          <cell r="S1109" t="e">
            <v>#VALUE!</v>
          </cell>
          <cell r="T1109" t="e">
            <v>#VALUE!</v>
          </cell>
        </row>
        <row r="1110">
          <cell r="A1110" t="str">
            <v>G2512109GL</v>
          </cell>
          <cell r="B1110" t="str">
            <v>MKP000631000008</v>
          </cell>
          <cell r="C1110" t="str">
            <v/>
          </cell>
          <cell r="D1110" t="str">
            <v>Armário Aéreo Madesa Glamy 120 cm 2 Portas Branco</v>
          </cell>
          <cell r="E1110" t="str">
            <v>GLAMY</v>
          </cell>
          <cell r="F1110" t="str">
            <v>MODULAÇÃO</v>
          </cell>
          <cell r="G1110" t="str">
            <v/>
          </cell>
          <cell r="H1110">
            <v>919.99</v>
          </cell>
          <cell r="I1110">
            <v>519.99</v>
          </cell>
          <cell r="J1110">
            <v>328.85300000000001</v>
          </cell>
          <cell r="K1110">
            <v>0</v>
          </cell>
          <cell r="L1110">
            <v>328.85300000000001</v>
          </cell>
          <cell r="M1110">
            <v>0</v>
          </cell>
          <cell r="N1110">
            <v>519.99</v>
          </cell>
          <cell r="O1110" t="str">
            <v/>
          </cell>
          <cell r="P1110">
            <v>0</v>
          </cell>
          <cell r="Q1110">
            <v>0.58122322131773196</v>
          </cell>
          <cell r="R1110">
            <v>0.58122322131773196</v>
          </cell>
          <cell r="S1110" t="e">
            <v>#VALUE!</v>
          </cell>
          <cell r="T1110" t="e">
            <v>#VALUE!</v>
          </cell>
        </row>
        <row r="1111">
          <cell r="A1111" t="str">
            <v>10975Z2E</v>
          </cell>
          <cell r="B1111" t="str">
            <v>MKP000631002366</v>
          </cell>
          <cell r="C1111" t="str">
            <v/>
          </cell>
          <cell r="D1111" t="str">
            <v>Guarda-Roupa Solteiro Madesa Tokio 2 Portas de Correr de Espelho 2 Gavetas Rustic</v>
          </cell>
          <cell r="E1111" t="str">
            <v>TOKIO</v>
          </cell>
          <cell r="F1111" t="str">
            <v>QUARTO</v>
          </cell>
          <cell r="G1111" t="str">
            <v/>
          </cell>
          <cell r="H1111">
            <v>1189.99</v>
          </cell>
          <cell r="I1111">
            <v>1049.92</v>
          </cell>
          <cell r="J1111">
            <v>869.96169999999995</v>
          </cell>
          <cell r="K1111">
            <v>0</v>
          </cell>
          <cell r="L1111">
            <v>869.96169999999995</v>
          </cell>
          <cell r="M1111">
            <v>0</v>
          </cell>
          <cell r="N1111">
            <v>1049.92</v>
          </cell>
          <cell r="O1111" t="str">
            <v/>
          </cell>
          <cell r="P1111">
            <v>0</v>
          </cell>
          <cell r="Q1111">
            <v>0.20685772718500101</v>
          </cell>
          <cell r="R1111">
            <v>0.20685772718500101</v>
          </cell>
          <cell r="S1111" t="e">
            <v>#VALUE!</v>
          </cell>
          <cell r="T1111" t="e">
            <v>#VALUE!</v>
          </cell>
        </row>
        <row r="1112">
          <cell r="A1112" t="str">
            <v>GRRM2600128N</v>
          </cell>
          <cell r="B1112" t="str">
            <v>MKP000631004198</v>
          </cell>
          <cell r="C1112" t="str">
            <v/>
          </cell>
          <cell r="D1112" t="str">
            <v>Armário de Cozinha Completa 260cm Preto Reims Madesa 12</v>
          </cell>
          <cell r="E1112" t="str">
            <v>REIMS</v>
          </cell>
          <cell r="F1112" t="str">
            <v>COZINHA</v>
          </cell>
          <cell r="G1112" t="str">
            <v/>
          </cell>
          <cell r="H1112">
            <v>1349.99</v>
          </cell>
          <cell r="I1112">
            <v>1229.99</v>
          </cell>
          <cell r="J1112">
            <v>1043.0427999999999</v>
          </cell>
          <cell r="K1112">
            <v>0</v>
          </cell>
          <cell r="L1112">
            <v>1043.0427999999999</v>
          </cell>
          <cell r="M1112">
            <v>0</v>
          </cell>
          <cell r="N1112">
            <v>1229.99</v>
          </cell>
          <cell r="O1112" t="str">
            <v>MAGALU</v>
          </cell>
          <cell r="P1112">
            <v>1210.52</v>
          </cell>
          <cell r="Q1112">
            <v>0.17923253005533399</v>
          </cell>
          <cell r="R1112">
            <v>0.17923253005533399</v>
          </cell>
          <cell r="S1112" t="e">
            <v>#VALUE!</v>
          </cell>
          <cell r="T1112" t="e">
            <v>#VALUE!</v>
          </cell>
        </row>
        <row r="1113">
          <cell r="A1113" t="str">
            <v>GREM2290029B</v>
          </cell>
          <cell r="B1113" t="str">
            <v>MKP000631000325</v>
          </cell>
          <cell r="C1113" t="str">
            <v/>
          </cell>
          <cell r="D1113" t="str">
            <v>Armário de Cozinha Compacta 229cm Branco/Rustic Emilly Pop Madesa 02</v>
          </cell>
          <cell r="E1113" t="str">
            <v>POP/EMILLY</v>
          </cell>
          <cell r="F1113" t="str">
            <v>COZINHA</v>
          </cell>
          <cell r="G1113" t="str">
            <v/>
          </cell>
          <cell r="H1113">
            <v>1159.99</v>
          </cell>
          <cell r="I1113">
            <v>749.99</v>
          </cell>
          <cell r="J1113">
            <v>587.28110000000004</v>
          </cell>
          <cell r="K1113">
            <v>0</v>
          </cell>
          <cell r="L1113">
            <v>587.28110000000004</v>
          </cell>
          <cell r="M1113">
            <v>0</v>
          </cell>
          <cell r="N1113">
            <v>749.99</v>
          </cell>
          <cell r="O1113" t="str">
            <v>MELI</v>
          </cell>
          <cell r="P1113">
            <v>823</v>
          </cell>
          <cell r="Q1113">
            <v>0.27705454849474997</v>
          </cell>
          <cell r="R1113">
            <v>0.27705454849474997</v>
          </cell>
          <cell r="S1113" t="e">
            <v>#VALUE!</v>
          </cell>
          <cell r="T1113" t="e">
            <v>#VALUE!</v>
          </cell>
        </row>
        <row r="1114">
          <cell r="A1114" t="str">
            <v>1093091E4G</v>
          </cell>
          <cell r="B1114" t="str">
            <v>MKP000631000464</v>
          </cell>
          <cell r="C1114" t="str">
            <v/>
          </cell>
          <cell r="D1114" t="str">
            <v>Guarda-Roupa Casal Madesa Lyon Plus 3 Portas de Correr com Espelho 4 Gavetas Branco</v>
          </cell>
          <cell r="E1114" t="str">
            <v>LYON PLUS</v>
          </cell>
          <cell r="F1114" t="str">
            <v>QUARTO</v>
          </cell>
          <cell r="G1114" t="str">
            <v/>
          </cell>
          <cell r="H1114">
            <v>2069.9899999999998</v>
          </cell>
          <cell r="I1114">
            <v>1159.92</v>
          </cell>
          <cell r="J1114">
            <v>928.25490000000002</v>
          </cell>
          <cell r="K1114">
            <v>0</v>
          </cell>
          <cell r="L1114">
            <v>928.25490000000002</v>
          </cell>
          <cell r="M1114">
            <v>0</v>
          </cell>
          <cell r="N1114">
            <v>1159.92</v>
          </cell>
          <cell r="O1114" t="str">
            <v/>
          </cell>
          <cell r="P1114">
            <v>0</v>
          </cell>
          <cell r="Q1114">
            <v>0.249570565154033</v>
          </cell>
          <cell r="R1114">
            <v>0.249570565154033</v>
          </cell>
          <cell r="S1114" t="e">
            <v>#VALUE!</v>
          </cell>
          <cell r="T1114" t="e">
            <v>#VALUE!</v>
          </cell>
        </row>
        <row r="1115">
          <cell r="A1115" t="str">
            <v>MDDR02000309</v>
          </cell>
          <cell r="B1115" t="str">
            <v>MKP000631000842</v>
          </cell>
          <cell r="C1115" t="str">
            <v/>
          </cell>
          <cell r="D1115" t="str">
            <v>Quarto Completo com Guarda-Roupa Luke 2 Portas com Espelho e Cabeceira com 2 Mesas de Cabeceira Madesa Branco</v>
          </cell>
          <cell r="E1115" t="str">
            <v>LUKE</v>
          </cell>
          <cell r="F1115" t="str">
            <v>QUARTO</v>
          </cell>
          <cell r="G1115" t="str">
            <v/>
          </cell>
          <cell r="H1115">
            <v>1869.99</v>
          </cell>
          <cell r="I1115">
            <v>1399.99</v>
          </cell>
          <cell r="J1115">
            <v>1183.3912</v>
          </cell>
          <cell r="K1115">
            <v>0</v>
          </cell>
          <cell r="L1115">
            <v>1183.3912</v>
          </cell>
          <cell r="M1115">
            <v>0</v>
          </cell>
          <cell r="N1115">
            <v>1399.99</v>
          </cell>
          <cell r="O1115" t="str">
            <v/>
          </cell>
          <cell r="P1115">
            <v>0</v>
          </cell>
          <cell r="Q1115">
            <v>0.1830322888999</v>
          </cell>
          <cell r="R1115">
            <v>0.1830322888999</v>
          </cell>
          <cell r="S1115" t="e">
            <v>#VALUE!</v>
          </cell>
          <cell r="T1115" t="e">
            <v>#VALUE!</v>
          </cell>
        </row>
        <row r="1116">
          <cell r="A1116" t="str">
            <v>1093F8</v>
          </cell>
          <cell r="B1116" t="str">
            <v>MKP000631004583</v>
          </cell>
          <cell r="C1116" t="str">
            <v/>
          </cell>
          <cell r="D1116" t="str">
            <v>Guarda-Roupa Casal Madesa Mônaco 3 Portas de Correr Branco/Cinza</v>
          </cell>
          <cell r="E1116" t="str">
            <v>MÔNACO</v>
          </cell>
          <cell r="F1116" t="str">
            <v>QUARTO</v>
          </cell>
          <cell r="G1116" t="str">
            <v/>
          </cell>
          <cell r="H1116">
            <v>779.99</v>
          </cell>
          <cell r="I1116">
            <v>739.92</v>
          </cell>
          <cell r="J1116">
            <v>620.85310000000004</v>
          </cell>
          <cell r="K1116">
            <v>0</v>
          </cell>
          <cell r="L1116">
            <v>620.85310000000004</v>
          </cell>
          <cell r="M1116">
            <v>0</v>
          </cell>
          <cell r="N1116">
            <v>739.92</v>
          </cell>
          <cell r="O1116" t="str">
            <v/>
          </cell>
          <cell r="P1116">
            <v>0</v>
          </cell>
          <cell r="Q1116">
            <v>0.19177950468476301</v>
          </cell>
          <cell r="R1116">
            <v>0.19177950468476301</v>
          </cell>
          <cell r="S1116" t="e">
            <v>#VALUE!</v>
          </cell>
          <cell r="T1116" t="e">
            <v>#VALUE!</v>
          </cell>
        </row>
        <row r="1117">
          <cell r="A1117" t="str">
            <v>GRNC1200023B</v>
          </cell>
          <cell r="B1117" t="str">
            <v>MKP000631004796</v>
          </cell>
          <cell r="C1117" t="str">
            <v/>
          </cell>
          <cell r="D1117" t="str">
            <v>Armário de Cozinha Compacta 120cm Cinza Nice Madesa 02</v>
          </cell>
          <cell r="E1117" t="str">
            <v>NICE</v>
          </cell>
          <cell r="F1117" t="str">
            <v>COZINHA</v>
          </cell>
          <cell r="G1117" t="str">
            <v/>
          </cell>
          <cell r="H1117">
            <v>889.99</v>
          </cell>
          <cell r="I1117">
            <v>839.99</v>
          </cell>
          <cell r="J1117">
            <v>612.36199999999997</v>
          </cell>
          <cell r="K1117">
            <v>0</v>
          </cell>
          <cell r="L1117">
            <v>612.36199999999997</v>
          </cell>
          <cell r="M1117">
            <v>0</v>
          </cell>
          <cell r="N1117">
            <v>839.99</v>
          </cell>
          <cell r="O1117" t="str">
            <v>VIA</v>
          </cell>
          <cell r="P1117">
            <v>799.99</v>
          </cell>
          <cell r="Q1117">
            <v>0.37172130210561699</v>
          </cell>
          <cell r="R1117">
            <v>0.37172130210561699</v>
          </cell>
          <cell r="S1117" t="e">
            <v>#VALUE!</v>
          </cell>
          <cell r="T1117" t="e">
            <v>#VALUE!</v>
          </cell>
        </row>
        <row r="1118">
          <cell r="A1118" t="str">
            <v>XA21055Z1</v>
          </cell>
          <cell r="B1118" t="str">
            <v>MKP000631005828</v>
          </cell>
          <cell r="C1118" t="str">
            <v/>
          </cell>
          <cell r="D1118" t="str">
            <v>Painel para TV com Prateleira até 60 Polegadas Madesa Alfa Rustic</v>
          </cell>
          <cell r="E1118" t="str">
            <v>ALFA</v>
          </cell>
          <cell r="F1118" t="str">
            <v>SALA DE ESTAR</v>
          </cell>
          <cell r="G1118" t="str">
            <v/>
          </cell>
          <cell r="H1118">
            <v>899.99</v>
          </cell>
          <cell r="I1118">
            <v>399.99</v>
          </cell>
          <cell r="J1118">
            <v>309.11309999999997</v>
          </cell>
          <cell r="K1118">
            <v>0</v>
          </cell>
          <cell r="L1118">
            <v>309.11309999999997</v>
          </cell>
          <cell r="M1118">
            <v>0</v>
          </cell>
          <cell r="N1118">
            <v>399.99</v>
          </cell>
          <cell r="O1118" t="str">
            <v/>
          </cell>
          <cell r="P1118">
            <v>0</v>
          </cell>
          <cell r="Q1118">
            <v>0.29399239307554398</v>
          </cell>
          <cell r="R1118">
            <v>0.29399239307554398</v>
          </cell>
          <cell r="S1118" t="e">
            <v>#VALUE!</v>
          </cell>
          <cell r="T1118" t="e">
            <v>#VALUE!</v>
          </cell>
        </row>
        <row r="1119">
          <cell r="A1119" t="str">
            <v>10445ZA2EML</v>
          </cell>
          <cell r="B1119" t="str">
            <v>MKP000631000953</v>
          </cell>
          <cell r="C1119" t="str">
            <v/>
          </cell>
          <cell r="D1119" t="str">
            <v>Guarda-Roupa Infantil Madesa Nick 2 Portas de Correr de Espelho Rustic</v>
          </cell>
          <cell r="E1119" t="str">
            <v>NICK</v>
          </cell>
          <cell r="F1119" t="str">
            <v>QUARTO</v>
          </cell>
          <cell r="G1119" t="str">
            <v/>
          </cell>
          <cell r="H1119">
            <v>1169.99</v>
          </cell>
          <cell r="I1119">
            <v>1029.92</v>
          </cell>
          <cell r="J1119">
            <v>845.73099999999999</v>
          </cell>
          <cell r="K1119">
            <v>0</v>
          </cell>
          <cell r="L1119">
            <v>845.73099999999999</v>
          </cell>
          <cell r="M1119">
            <v>0</v>
          </cell>
          <cell r="N1119">
            <v>1029.92</v>
          </cell>
          <cell r="O1119" t="str">
            <v/>
          </cell>
          <cell r="P1119">
            <v>0</v>
          </cell>
          <cell r="Q1119">
            <v>0.217786743066058</v>
          </cell>
          <cell r="R1119">
            <v>0.217786743066058</v>
          </cell>
          <cell r="S1119" t="e">
            <v>#VALUE!</v>
          </cell>
          <cell r="T1119" t="e">
            <v>#VALUE!</v>
          </cell>
        </row>
        <row r="1120">
          <cell r="A1120" t="str">
            <v>GRNC3200063B</v>
          </cell>
          <cell r="B1120" t="str">
            <v>MKP000631004997</v>
          </cell>
          <cell r="C1120" t="str">
            <v/>
          </cell>
          <cell r="D1120" t="str">
            <v>Armário de Cozinha Completa 320cm Cinza Nice Madesa 06</v>
          </cell>
          <cell r="E1120" t="str">
            <v>NICE</v>
          </cell>
          <cell r="F1120" t="str">
            <v>COZINHA</v>
          </cell>
          <cell r="G1120" t="str">
            <v/>
          </cell>
          <cell r="H1120">
            <v>2699.99</v>
          </cell>
          <cell r="I1120">
            <v>2499.92</v>
          </cell>
          <cell r="J1120">
            <v>1847.768</v>
          </cell>
          <cell r="K1120">
            <v>0</v>
          </cell>
          <cell r="L1120">
            <v>1847.768</v>
          </cell>
          <cell r="M1120">
            <v>0</v>
          </cell>
          <cell r="N1120">
            <v>2499.92</v>
          </cell>
          <cell r="O1120" t="str">
            <v/>
          </cell>
          <cell r="P1120">
            <v>0</v>
          </cell>
          <cell r="Q1120">
            <v>0.35294041243273</v>
          </cell>
          <cell r="R1120">
            <v>0.35294041243273</v>
          </cell>
          <cell r="S1120" t="e">
            <v>#VALUE!</v>
          </cell>
          <cell r="T1120" t="e">
            <v>#VALUE!</v>
          </cell>
        </row>
        <row r="1121">
          <cell r="A1121" t="str">
            <v>GRGL220002099B</v>
          </cell>
          <cell r="B1121" t="str">
            <v>MKP000631001389</v>
          </cell>
          <cell r="C1121" t="str">
            <v/>
          </cell>
          <cell r="D1121" t="str">
            <v>Armário de Cozinha Completa 220cm Branco/Branco/Rustic Parma Madesa 02</v>
          </cell>
          <cell r="E1121" t="str">
            <v>PARMA/GLAMY</v>
          </cell>
          <cell r="F1121" t="str">
            <v>COZINHA</v>
          </cell>
          <cell r="G1121" t="str">
            <v/>
          </cell>
          <cell r="H1121">
            <v>1969.99</v>
          </cell>
          <cell r="I1121">
            <v>1869.99</v>
          </cell>
          <cell r="J1121">
            <v>1558.7654</v>
          </cell>
          <cell r="K1121">
            <v>0</v>
          </cell>
          <cell r="L1121">
            <v>1558.7654</v>
          </cell>
          <cell r="M1121">
            <v>0</v>
          </cell>
          <cell r="N1121">
            <v>1869.99</v>
          </cell>
          <cell r="O1121" t="str">
            <v/>
          </cell>
          <cell r="P1121">
            <v>0</v>
          </cell>
          <cell r="Q1121">
            <v>0.199660962451438</v>
          </cell>
          <cell r="R1121">
            <v>0.199660962451438</v>
          </cell>
          <cell r="S1121" t="e">
            <v>#VALUE!</v>
          </cell>
          <cell r="T1121" t="e">
            <v>#VALUE!</v>
          </cell>
        </row>
        <row r="1122">
          <cell r="A1122" t="str">
            <v>GCNC4450023B</v>
          </cell>
          <cell r="B1122" t="str">
            <v>MKP000631004797</v>
          </cell>
          <cell r="C1122" t="str">
            <v/>
          </cell>
          <cell r="D1122" t="str">
            <v>Armário de Cozinha Completa de Canto 445cm Cinza Nice Madesa 02</v>
          </cell>
          <cell r="E1122" t="str">
            <v>NICE</v>
          </cell>
          <cell r="F1122" t="str">
            <v>COZINHA</v>
          </cell>
          <cell r="G1122" t="str">
            <v/>
          </cell>
          <cell r="H1122">
            <v>3059.99</v>
          </cell>
          <cell r="I1122">
            <v>2859.99</v>
          </cell>
          <cell r="J1122">
            <v>1987.4078999999999</v>
          </cell>
          <cell r="K1122">
            <v>0</v>
          </cell>
          <cell r="L1122">
            <v>1987.4078999999999</v>
          </cell>
          <cell r="M1122">
            <v>0</v>
          </cell>
          <cell r="N1122">
            <v>2859.99</v>
          </cell>
          <cell r="O1122" t="str">
            <v>MAGALU</v>
          </cell>
          <cell r="P1122">
            <v>2699.99</v>
          </cell>
          <cell r="Q1122">
            <v>0.439055364527835</v>
          </cell>
          <cell r="R1122">
            <v>0.439055364527835</v>
          </cell>
          <cell r="S1122" t="e">
            <v>#VALUE!</v>
          </cell>
          <cell r="T1122" t="e">
            <v>#VALUE!</v>
          </cell>
        </row>
        <row r="1123">
          <cell r="A1123" t="str">
            <v>10936E1ECP</v>
          </cell>
          <cell r="B1123" t="str">
            <v>MKP000631001065</v>
          </cell>
          <cell r="C1123" t="str">
            <v/>
          </cell>
          <cell r="D1123" t="str">
            <v>Guarda-Roupa Casal Madesa Mônaco 3 Portas de Correr com Espelho com Pés Rustic/Branco</v>
          </cell>
          <cell r="E1123" t="str">
            <v>MÔNACO</v>
          </cell>
          <cell r="F1123" t="str">
            <v>QUARTO</v>
          </cell>
          <cell r="G1123" t="str">
            <v/>
          </cell>
          <cell r="H1123">
            <v>1569.99</v>
          </cell>
          <cell r="I1123">
            <v>1029.99</v>
          </cell>
          <cell r="J1123">
            <v>796.96439999999996</v>
          </cell>
          <cell r="K1123">
            <v>0</v>
          </cell>
          <cell r="L1123">
            <v>796.96439999999996</v>
          </cell>
          <cell r="M1123">
            <v>0</v>
          </cell>
          <cell r="N1123">
            <v>1029.99</v>
          </cell>
          <cell r="O1123" t="str">
            <v>ZEMA</v>
          </cell>
          <cell r="P1123">
            <v>959.99</v>
          </cell>
          <cell r="Q1123">
            <v>0.29239147946884497</v>
          </cell>
          <cell r="R1123">
            <v>0.29239147946884497</v>
          </cell>
          <cell r="S1123" t="e">
            <v>#VALUE!</v>
          </cell>
          <cell r="T1123" t="e">
            <v>#VALUE!</v>
          </cell>
        </row>
        <row r="1124">
          <cell r="A1124" t="str">
            <v>GRGL33000309</v>
          </cell>
          <cell r="B1124" t="str">
            <v>MKP000631004353</v>
          </cell>
          <cell r="C1124" t="str">
            <v/>
          </cell>
          <cell r="D1124" t="str">
            <v>Armário de Cozinha Completa 330cm Branco Glamy Madesa 03</v>
          </cell>
          <cell r="E1124" t="str">
            <v>GLAMY</v>
          </cell>
          <cell r="F1124" t="str">
            <v>COZINHA</v>
          </cell>
          <cell r="G1124" t="str">
            <v/>
          </cell>
          <cell r="H1124">
            <v>2799.99</v>
          </cell>
          <cell r="I1124">
            <v>2699.99</v>
          </cell>
          <cell r="J1124">
            <v>2173.8415</v>
          </cell>
          <cell r="K1124">
            <v>0</v>
          </cell>
          <cell r="L1124">
            <v>2173.8415</v>
          </cell>
          <cell r="M1124">
            <v>0</v>
          </cell>
          <cell r="N1124">
            <v>2699.99</v>
          </cell>
          <cell r="O1124" t="str">
            <v/>
          </cell>
          <cell r="P1124">
            <v>0</v>
          </cell>
          <cell r="Q1124">
            <v>0.242036275413824</v>
          </cell>
          <cell r="R1124">
            <v>0.242036275413824</v>
          </cell>
          <cell r="S1124" t="e">
            <v>#VALUE!</v>
          </cell>
          <cell r="T1124" t="e">
            <v>#VALUE!</v>
          </cell>
        </row>
        <row r="1125">
          <cell r="A1125" t="str">
            <v>1095F91E</v>
          </cell>
          <cell r="B1125" t="str">
            <v>MKP000631003534</v>
          </cell>
          <cell r="C1125" t="str">
            <v/>
          </cell>
          <cell r="D1125" t="str">
            <v>Guarda-Roupa Casal Madesa Reno 3 Portas de Correr com Espelho Rustic/Cinza</v>
          </cell>
          <cell r="E1125" t="str">
            <v>RENO</v>
          </cell>
          <cell r="F1125" t="str">
            <v>QUARTO</v>
          </cell>
          <cell r="G1125" t="str">
            <v/>
          </cell>
          <cell r="H1125">
            <v>1869.99</v>
          </cell>
          <cell r="I1125">
            <v>1289.99</v>
          </cell>
          <cell r="J1125">
            <v>986.06849999999997</v>
          </cell>
          <cell r="K1125">
            <v>0</v>
          </cell>
          <cell r="L1125">
            <v>986.06849999999997</v>
          </cell>
          <cell r="M1125">
            <v>0</v>
          </cell>
          <cell r="N1125">
            <v>1289.99</v>
          </cell>
          <cell r="O1125" t="str">
            <v>MAGALU</v>
          </cell>
          <cell r="P1125">
            <v>1263.1500000000001</v>
          </cell>
          <cell r="Q1125">
            <v>0.30821540288529597</v>
          </cell>
          <cell r="R1125">
            <v>0.30821540288529597</v>
          </cell>
          <cell r="S1125" t="e">
            <v>#VALUE!</v>
          </cell>
          <cell r="T1125" t="e">
            <v>#VALUE!</v>
          </cell>
        </row>
        <row r="1126">
          <cell r="A1126" t="str">
            <v>G2520009</v>
          </cell>
          <cell r="B1126" t="str">
            <v>MKP000631000907</v>
          </cell>
          <cell r="C1126" t="str">
            <v/>
          </cell>
          <cell r="D1126" t="str">
            <v>Adega Madesa Acordes 100% MDF 20 cm Branco</v>
          </cell>
          <cell r="E1126" t="str">
            <v>ACORDES</v>
          </cell>
          <cell r="F1126" t="str">
            <v>MODULAÇÃO</v>
          </cell>
          <cell r="G1126" t="str">
            <v/>
          </cell>
          <cell r="H1126">
            <v>369.99</v>
          </cell>
          <cell r="I1126">
            <v>179.99</v>
          </cell>
          <cell r="J1126">
            <v>103.7898</v>
          </cell>
          <cell r="K1126">
            <v>0</v>
          </cell>
          <cell r="L1126">
            <v>103.7898</v>
          </cell>
          <cell r="M1126">
            <v>0</v>
          </cell>
          <cell r="N1126">
            <v>179.99</v>
          </cell>
          <cell r="O1126" t="str">
            <v/>
          </cell>
          <cell r="P1126">
            <v>0</v>
          </cell>
          <cell r="Q1126">
            <v>0.73417811769557295</v>
          </cell>
          <cell r="R1126">
            <v>0.73417811769557295</v>
          </cell>
          <cell r="S1126" t="e">
            <v>#VALUE!</v>
          </cell>
          <cell r="T1126" t="e">
            <v>#VALUE!</v>
          </cell>
        </row>
        <row r="1127">
          <cell r="A1127" t="str">
            <v>GRGL16000109</v>
          </cell>
          <cell r="B1127" t="str">
            <v>MKP000631003782</v>
          </cell>
          <cell r="C1127" t="str">
            <v/>
          </cell>
          <cell r="D1127" t="str">
            <v>Armário de Cozinha Compacta 160cm Branco Glamy Madesa 01</v>
          </cell>
          <cell r="E1127" t="str">
            <v>GLAMY</v>
          </cell>
          <cell r="F1127" t="str">
            <v>COZINHA</v>
          </cell>
          <cell r="G1127" t="str">
            <v/>
          </cell>
          <cell r="H1127">
            <v>1669.99</v>
          </cell>
          <cell r="I1127">
            <v>1569.99</v>
          </cell>
          <cell r="J1127">
            <v>1301.3182999999999</v>
          </cell>
          <cell r="K1127">
            <v>0</v>
          </cell>
          <cell r="L1127">
            <v>1301.3182999999999</v>
          </cell>
          <cell r="M1127">
            <v>0</v>
          </cell>
          <cell r="N1127">
            <v>1569.99</v>
          </cell>
          <cell r="O1127" t="str">
            <v/>
          </cell>
          <cell r="P1127">
            <v>0</v>
          </cell>
          <cell r="Q1127">
            <v>0.206461170952564</v>
          </cell>
          <cell r="R1127">
            <v>0.206461170952564</v>
          </cell>
          <cell r="S1127" t="e">
            <v>#VALUE!</v>
          </cell>
          <cell r="T1127" t="e">
            <v>#VALUE!</v>
          </cell>
        </row>
        <row r="1128">
          <cell r="A1128" t="str">
            <v>10946E1ECP</v>
          </cell>
          <cell r="B1128" t="str">
            <v>MKP000631000971</v>
          </cell>
          <cell r="C1128" t="str">
            <v/>
          </cell>
          <cell r="D1128" t="str">
            <v>Guarda-Roupa Solteiro Madesa Denver 2 Portas de Correr com Espelho com Pés Rustic/Branco</v>
          </cell>
          <cell r="E1128" t="str">
            <v>DENVER</v>
          </cell>
          <cell r="F1128" t="str">
            <v>QUARTO</v>
          </cell>
          <cell r="G1128" t="str">
            <v/>
          </cell>
          <cell r="H1128">
            <v>1069.99</v>
          </cell>
          <cell r="I1128">
            <v>819.92</v>
          </cell>
          <cell r="J1128">
            <v>641.62850000000003</v>
          </cell>
          <cell r="K1128">
            <v>0</v>
          </cell>
          <cell r="L1128">
            <v>641.62850000000003</v>
          </cell>
          <cell r="M1128">
            <v>0</v>
          </cell>
          <cell r="N1128">
            <v>819.92</v>
          </cell>
          <cell r="O1128" t="str">
            <v/>
          </cell>
          <cell r="P1128">
            <v>0</v>
          </cell>
          <cell r="Q1128">
            <v>0.27787341117172898</v>
          </cell>
          <cell r="R1128">
            <v>0.27787341117172898</v>
          </cell>
          <cell r="S1128" t="e">
            <v>#VALUE!</v>
          </cell>
          <cell r="T1128" t="e">
            <v>#VALUE!</v>
          </cell>
        </row>
        <row r="1129">
          <cell r="A1129" t="str">
            <v>GCRM3320028N</v>
          </cell>
          <cell r="B1129" t="str">
            <v>MKP000631002643</v>
          </cell>
          <cell r="C1129" t="str">
            <v/>
          </cell>
          <cell r="D1129" t="str">
            <v>Armário de Cozinha Completa de Canto 332cm Preto Reims Madesa 02</v>
          </cell>
          <cell r="E1129" t="str">
            <v>REIMS</v>
          </cell>
          <cell r="F1129" t="str">
            <v>COZINHA</v>
          </cell>
          <cell r="G1129" t="str">
            <v/>
          </cell>
          <cell r="H1129">
            <v>1789.99</v>
          </cell>
          <cell r="I1129">
            <v>1629.92</v>
          </cell>
          <cell r="J1129">
            <v>1371.22</v>
          </cell>
          <cell r="K1129">
            <v>0</v>
          </cell>
          <cell r="L1129">
            <v>1371.22</v>
          </cell>
          <cell r="M1129">
            <v>0</v>
          </cell>
          <cell r="N1129">
            <v>1629.92</v>
          </cell>
          <cell r="O1129" t="str">
            <v/>
          </cell>
          <cell r="P1129">
            <v>0</v>
          </cell>
          <cell r="Q1129">
            <v>0.188664109333294</v>
          </cell>
          <cell r="R1129">
            <v>0.188664109333294</v>
          </cell>
          <cell r="S1129" t="e">
            <v>#VALUE!</v>
          </cell>
          <cell r="T1129" t="e">
            <v>#VALUE!</v>
          </cell>
        </row>
        <row r="1130">
          <cell r="A1130" t="str">
            <v>10958N2E</v>
          </cell>
          <cell r="B1130" t="str">
            <v>MKP000631001947</v>
          </cell>
          <cell r="C1130" t="str">
            <v/>
          </cell>
          <cell r="D1130" t="str">
            <v>Guarda-Roupa Casal Madesa Reno 3 Portas de Correr com Espelhos Preto</v>
          </cell>
          <cell r="E1130" t="str">
            <v>RENO</v>
          </cell>
          <cell r="F1130" t="str">
            <v>QUARTO</v>
          </cell>
          <cell r="G1130" t="str">
            <v/>
          </cell>
          <cell r="H1130">
            <v>1559.99</v>
          </cell>
          <cell r="I1130">
            <v>1429.92</v>
          </cell>
          <cell r="J1130">
            <v>1157.5255</v>
          </cell>
          <cell r="K1130">
            <v>0</v>
          </cell>
          <cell r="L1130">
            <v>1157.5255</v>
          </cell>
          <cell r="M1130">
            <v>0</v>
          </cell>
          <cell r="N1130">
            <v>1429.92</v>
          </cell>
          <cell r="O1130" t="str">
            <v/>
          </cell>
          <cell r="P1130">
            <v>0</v>
          </cell>
          <cell r="Q1130">
            <v>0.235324837336197</v>
          </cell>
          <cell r="R1130">
            <v>0.235324837336197</v>
          </cell>
          <cell r="S1130" t="e">
            <v>#VALUE!</v>
          </cell>
          <cell r="T1130" t="e">
            <v>#VALUE!</v>
          </cell>
        </row>
        <row r="1131">
          <cell r="A1131" t="str">
            <v>1093D82E4G</v>
          </cell>
          <cell r="B1131" t="str">
            <v>MKP000631002299</v>
          </cell>
          <cell r="C1131" t="str">
            <v/>
          </cell>
          <cell r="D1131" t="str">
            <v>Guarda-Roupa Casal Madesa Lyon Plus 3 Portas de Correr com Espelhos 4 Gavetas Preto/Rustic</v>
          </cell>
          <cell r="E1131" t="str">
            <v>LYON PLUS</v>
          </cell>
          <cell r="F1131" t="str">
            <v>QUARTO</v>
          </cell>
          <cell r="G1131" t="str">
            <v/>
          </cell>
          <cell r="H1131">
            <v>1569.99</v>
          </cell>
          <cell r="I1131">
            <v>1299.92</v>
          </cell>
          <cell r="J1131">
            <v>1058.1829</v>
          </cell>
          <cell r="K1131">
            <v>0</v>
          </cell>
          <cell r="L1131">
            <v>1058.1829</v>
          </cell>
          <cell r="M1131">
            <v>0</v>
          </cell>
          <cell r="N1131">
            <v>1299.92</v>
          </cell>
          <cell r="O1131" t="str">
            <v/>
          </cell>
          <cell r="P1131">
            <v>0</v>
          </cell>
          <cell r="Q1131">
            <v>0.228445479510206</v>
          </cell>
          <cell r="R1131">
            <v>0.228445479510206</v>
          </cell>
          <cell r="S1131" t="e">
            <v>#VALUE!</v>
          </cell>
          <cell r="T1131" t="e">
            <v>#VALUE!</v>
          </cell>
        </row>
        <row r="1132">
          <cell r="A1132" t="str">
            <v>10285Z</v>
          </cell>
          <cell r="B1132" t="str">
            <v>MKP000631002240</v>
          </cell>
          <cell r="C1132" t="str">
            <v/>
          </cell>
          <cell r="D1132" t="str">
            <v>Guarda-Roupa Casal Madesa Austin 4 Portas de Correr 3 Gavetas Rustic</v>
          </cell>
          <cell r="E1132" t="str">
            <v>AUSTIN</v>
          </cell>
          <cell r="F1132" t="str">
            <v>QUARTO</v>
          </cell>
          <cell r="G1132" t="str">
            <v/>
          </cell>
          <cell r="H1132">
            <v>2429.9899999999998</v>
          </cell>
          <cell r="I1132">
            <v>1399.99</v>
          </cell>
          <cell r="J1132">
            <v>1153.9612</v>
          </cell>
          <cell r="K1132">
            <v>0</v>
          </cell>
          <cell r="L1132">
            <v>1153.9612</v>
          </cell>
          <cell r="M1132">
            <v>0</v>
          </cell>
          <cell r="N1132">
            <v>1399.99</v>
          </cell>
          <cell r="O1132" t="str">
            <v/>
          </cell>
          <cell r="P1132">
            <v>0</v>
          </cell>
          <cell r="Q1132">
            <v>0.21320370216953499</v>
          </cell>
          <cell r="R1132">
            <v>0.21320370216953499</v>
          </cell>
          <cell r="S1132" t="e">
            <v>#VALUE!</v>
          </cell>
          <cell r="T1132" t="e">
            <v>#VALUE!</v>
          </cell>
        </row>
        <row r="1133">
          <cell r="A1133" t="str">
            <v>1094H9</v>
          </cell>
          <cell r="B1133" t="str">
            <v>MKP000631004571</v>
          </cell>
          <cell r="C1133" t="str">
            <v/>
          </cell>
          <cell r="D1133" t="str">
            <v>Guarda-Roupa Solteiro Madesa Denver 2 Portas de Correr Preto/Cinza</v>
          </cell>
          <cell r="E1133" t="str">
            <v>DENVER</v>
          </cell>
          <cell r="F1133" t="str">
            <v>QUARTO</v>
          </cell>
          <cell r="G1133" t="str">
            <v/>
          </cell>
          <cell r="H1133">
            <v>799.99</v>
          </cell>
          <cell r="I1133">
            <v>619.91999999999996</v>
          </cell>
          <cell r="J1133">
            <v>475.10919999999999</v>
          </cell>
          <cell r="K1133">
            <v>0</v>
          </cell>
          <cell r="L1133">
            <v>475.10919999999999</v>
          </cell>
          <cell r="M1133">
            <v>0</v>
          </cell>
          <cell r="N1133">
            <v>619.91999999999996</v>
          </cell>
          <cell r="O1133" t="str">
            <v/>
          </cell>
          <cell r="P1133">
            <v>0</v>
          </cell>
          <cell r="Q1133">
            <v>0.30479477139150302</v>
          </cell>
          <cell r="R1133">
            <v>0.30479477139150302</v>
          </cell>
          <cell r="S1133" t="e">
            <v>#VALUE!</v>
          </cell>
          <cell r="T1133" t="e">
            <v>#VALUE!</v>
          </cell>
        </row>
        <row r="1134">
          <cell r="A1134" t="str">
            <v>GCEM417002J3</v>
          </cell>
          <cell r="B1134" t="str">
            <v>MKP000631005133</v>
          </cell>
          <cell r="C1134" t="str">
            <v/>
          </cell>
          <cell r="D1134" t="str">
            <v>Armário de Cozinha Completa de Canto 417cm Rustic/Branco Emilly Madesa 02</v>
          </cell>
          <cell r="E1134" t="str">
            <v>EMILLY</v>
          </cell>
          <cell r="F1134" t="str">
            <v>COZINHA</v>
          </cell>
          <cell r="G1134" t="str">
            <v/>
          </cell>
          <cell r="H1134">
            <v>1499.99</v>
          </cell>
          <cell r="I1134">
            <v>1499.99</v>
          </cell>
          <cell r="J1134">
            <v>1217.7262000000001</v>
          </cell>
          <cell r="K1134">
            <v>0</v>
          </cell>
          <cell r="L1134">
            <v>1217.7262000000001</v>
          </cell>
          <cell r="M1134">
            <v>0</v>
          </cell>
          <cell r="N1134">
            <v>1499.99</v>
          </cell>
          <cell r="O1134" t="str">
            <v/>
          </cell>
          <cell r="P1134">
            <v>0</v>
          </cell>
          <cell r="Q1134">
            <v>0.23179578463533099</v>
          </cell>
          <cell r="R1134">
            <v>0.23179578463533099</v>
          </cell>
          <cell r="S1134" t="e">
            <v>#VALUE!</v>
          </cell>
          <cell r="T1134" t="e">
            <v>#VALUE!</v>
          </cell>
        </row>
        <row r="1135">
          <cell r="A1135" t="str">
            <v>G246003BNCCT</v>
          </cell>
          <cell r="B1135" t="str">
            <v>MKP000631004841</v>
          </cell>
          <cell r="C1135" t="str">
            <v/>
          </cell>
          <cell r="D1135" t="str">
            <v>Balcão 60 cm 1 Porta Com Pés Cinza Nice Madesa</v>
          </cell>
          <cell r="E1135" t="str">
            <v>NICE</v>
          </cell>
          <cell r="F1135" t="str">
            <v>MODULAÇÃO</v>
          </cell>
          <cell r="G1135" t="str">
            <v/>
          </cell>
          <cell r="H1135">
            <v>599.99</v>
          </cell>
          <cell r="I1135">
            <v>359.99</v>
          </cell>
          <cell r="J1135">
            <v>206.7294</v>
          </cell>
          <cell r="K1135">
            <v>0</v>
          </cell>
          <cell r="L1135">
            <v>206.7294</v>
          </cell>
          <cell r="M1135">
            <v>0</v>
          </cell>
          <cell r="N1135">
            <v>359.99</v>
          </cell>
          <cell r="O1135" t="str">
            <v/>
          </cell>
          <cell r="P1135">
            <v>0</v>
          </cell>
          <cell r="Q1135">
            <v>0.741358510207063</v>
          </cell>
          <cell r="R1135">
            <v>0.741358510207063</v>
          </cell>
          <cell r="S1135" t="e">
            <v>#VALUE!</v>
          </cell>
          <cell r="T1135" t="e">
            <v>#VALUE!</v>
          </cell>
        </row>
        <row r="1136">
          <cell r="A1136" t="str">
            <v>1118091E</v>
          </cell>
          <cell r="B1136" t="str">
            <v>MKP000631002664</v>
          </cell>
          <cell r="C1136" t="str">
            <v/>
          </cell>
          <cell r="D1136" t="str">
            <v>Guarda-Roupa Casal Madesa Istambul 3 Portas de Correr com Espelho 3 Gavetas Branco</v>
          </cell>
          <cell r="E1136" t="str">
            <v>ISTAMBUL</v>
          </cell>
          <cell r="F1136" t="str">
            <v>QUARTO</v>
          </cell>
          <cell r="G1136" t="str">
            <v/>
          </cell>
          <cell r="H1136">
            <v>2599.9899999999998</v>
          </cell>
          <cell r="I1136">
            <v>1659.99</v>
          </cell>
          <cell r="J1136">
            <v>1365.1922999999999</v>
          </cell>
          <cell r="K1136">
            <v>0</v>
          </cell>
          <cell r="L1136">
            <v>1365.1922999999999</v>
          </cell>
          <cell r="M1136">
            <v>0</v>
          </cell>
          <cell r="N1136">
            <v>1659.99</v>
          </cell>
          <cell r="O1136" t="str">
            <v>ZEMA</v>
          </cell>
          <cell r="P1136">
            <v>1739.99</v>
          </cell>
          <cell r="Q1136">
            <v>0.21593858975032301</v>
          </cell>
          <cell r="R1136">
            <v>0.21593858975032301</v>
          </cell>
          <cell r="S1136" t="e">
            <v>#VALUE!</v>
          </cell>
          <cell r="T1136" t="e">
            <v>#VALUE!</v>
          </cell>
        </row>
        <row r="1137">
          <cell r="A1137" t="str">
            <v>MDFC0200133Z3Z</v>
          </cell>
          <cell r="B1137" t="str">
            <v>MKP000631002774</v>
          </cell>
          <cell r="C1137" t="str">
            <v/>
          </cell>
          <cell r="D1137" t="str">
            <v>Kit Madesa Estante Livreiro 6908 + Estante Livreiro 6906 Cinza</v>
          </cell>
          <cell r="E1137" t="str">
            <v>6908 + 6906</v>
          </cell>
          <cell r="F1137" t="str">
            <v>ESCRITÓRIO</v>
          </cell>
          <cell r="G1137" t="str">
            <v/>
          </cell>
          <cell r="H1137">
            <v>759.99</v>
          </cell>
          <cell r="I1137">
            <v>639.91999999999996</v>
          </cell>
          <cell r="J1137">
            <v>413.79669999999999</v>
          </cell>
          <cell r="K1137">
            <v>0</v>
          </cell>
          <cell r="L1137">
            <v>413.79669999999999</v>
          </cell>
          <cell r="M1137">
            <v>0</v>
          </cell>
          <cell r="N1137">
            <v>639.91999999999996</v>
          </cell>
          <cell r="O1137" t="str">
            <v/>
          </cell>
          <cell r="P1137">
            <v>0</v>
          </cell>
          <cell r="Q1137">
            <v>0.54645989201943801</v>
          </cell>
          <cell r="R1137">
            <v>0.54645989201943801</v>
          </cell>
          <cell r="S1137" t="e">
            <v>#VALUE!</v>
          </cell>
          <cell r="T1137" t="e">
            <v>#VALUE!</v>
          </cell>
        </row>
        <row r="1138">
          <cell r="A1138" t="str">
            <v>GRRM3100028N</v>
          </cell>
          <cell r="B1138" t="str">
            <v>MKP000631004193</v>
          </cell>
          <cell r="C1138" t="str">
            <v/>
          </cell>
          <cell r="D1138" t="str">
            <v>Armário de Cozinha Completa 310cm Preto Reims Madesa 02</v>
          </cell>
          <cell r="E1138" t="str">
            <v>REIMS</v>
          </cell>
          <cell r="F1138" t="str">
            <v>COZINHA</v>
          </cell>
          <cell r="G1138" t="str">
            <v/>
          </cell>
          <cell r="H1138">
            <v>1989.9</v>
          </cell>
          <cell r="I1138">
            <v>1779.99</v>
          </cell>
          <cell r="J1138">
            <v>1423.1149</v>
          </cell>
          <cell r="K1138">
            <v>0</v>
          </cell>
          <cell r="L1138">
            <v>1423.1149</v>
          </cell>
          <cell r="M1138">
            <v>0</v>
          </cell>
          <cell r="N1138">
            <v>1779.99</v>
          </cell>
          <cell r="O1138" t="str">
            <v>B2W</v>
          </cell>
          <cell r="P1138">
            <v>1599.99</v>
          </cell>
          <cell r="Q1138">
            <v>0.25077040511627002</v>
          </cell>
          <cell r="R1138">
            <v>0.25077040511627002</v>
          </cell>
          <cell r="S1138" t="e">
            <v>#VALUE!</v>
          </cell>
          <cell r="T1138" t="e">
            <v>#VALUE!</v>
          </cell>
        </row>
        <row r="1139">
          <cell r="A1139" t="str">
            <v>110409</v>
          </cell>
          <cell r="B1139" t="str">
            <v>MKP000631002617</v>
          </cell>
          <cell r="C1139" t="str">
            <v/>
          </cell>
          <cell r="D1139" t="str">
            <v>Sapateira Madesa Isis 1 Porta Branco</v>
          </cell>
          <cell r="E1139" t="str">
            <v>ISIS</v>
          </cell>
          <cell r="F1139" t="str">
            <v>QUARTO</v>
          </cell>
          <cell r="G1139" t="str">
            <v/>
          </cell>
          <cell r="H1139">
            <v>869.99</v>
          </cell>
          <cell r="I1139">
            <v>459.99</v>
          </cell>
          <cell r="J1139">
            <v>292.4579</v>
          </cell>
          <cell r="K1139">
            <v>0</v>
          </cell>
          <cell r="L1139">
            <v>292.4579</v>
          </cell>
          <cell r="M1139">
            <v>0</v>
          </cell>
          <cell r="N1139">
            <v>459.99</v>
          </cell>
          <cell r="O1139" t="str">
            <v>CAMICADO</v>
          </cell>
          <cell r="P1139">
            <v>399.99</v>
          </cell>
          <cell r="Q1139">
            <v>0.57284176628499295</v>
          </cell>
          <cell r="R1139">
            <v>0.57284176628499295</v>
          </cell>
          <cell r="S1139" t="e">
            <v>#VALUE!</v>
          </cell>
          <cell r="T1139" t="e">
            <v>#VALUE!</v>
          </cell>
        </row>
        <row r="1140">
          <cell r="A1140" t="str">
            <v>GRRM1900028N</v>
          </cell>
          <cell r="B1140" t="str">
            <v>MKP000631002185</v>
          </cell>
          <cell r="C1140" t="str">
            <v/>
          </cell>
          <cell r="D1140" t="str">
            <v>Armário de Cozinha Compacta 190cm Preto Reims Madesa 02</v>
          </cell>
          <cell r="E1140" t="str">
            <v>REIMS</v>
          </cell>
          <cell r="F1140" t="str">
            <v>COZINHA</v>
          </cell>
          <cell r="G1140" t="str">
            <v/>
          </cell>
          <cell r="H1140">
            <v>2039.99</v>
          </cell>
          <cell r="I1140">
            <v>1229.99</v>
          </cell>
          <cell r="J1140">
            <v>958.89480000000003</v>
          </cell>
          <cell r="K1140">
            <v>0</v>
          </cell>
          <cell r="L1140">
            <v>958.89480000000003</v>
          </cell>
          <cell r="M1140">
            <v>0</v>
          </cell>
          <cell r="N1140">
            <v>1229.99</v>
          </cell>
          <cell r="O1140" t="str">
            <v>LEROY</v>
          </cell>
          <cell r="P1140">
            <v>1099.99</v>
          </cell>
          <cell r="Q1140">
            <v>0.28271631048578</v>
          </cell>
          <cell r="R1140">
            <v>0.28271631048578</v>
          </cell>
          <cell r="S1140" t="e">
            <v>#VALUE!</v>
          </cell>
          <cell r="T1140" t="e">
            <v>#VALUE!</v>
          </cell>
        </row>
        <row r="1141">
          <cell r="A1141" t="str">
            <v>G271206SPR</v>
          </cell>
          <cell r="B1141" t="str">
            <v>MKP000631003275</v>
          </cell>
          <cell r="C1141" t="str">
            <v/>
          </cell>
          <cell r="D1141" t="str">
            <v>Tampo para Balcão de Pia de 120 x 60 cm para Cozinhas Madesa Glamy, Lux e Stella Mood</v>
          </cell>
          <cell r="E1141" t="str">
            <v>PR</v>
          </cell>
          <cell r="F1141" t="str">
            <v>MODULAÇÃO</v>
          </cell>
          <cell r="G1141" t="str">
            <v/>
          </cell>
          <cell r="H1141">
            <v>379.99</v>
          </cell>
          <cell r="I1141">
            <v>169.99</v>
          </cell>
          <cell r="J1141">
            <v>98.710400000000007</v>
          </cell>
          <cell r="K1141">
            <v>0</v>
          </cell>
          <cell r="L1141">
            <v>98.710400000000007</v>
          </cell>
          <cell r="M1141">
            <v>0</v>
          </cell>
          <cell r="N1141">
            <v>169.99</v>
          </cell>
          <cell r="O1141" t="str">
            <v/>
          </cell>
          <cell r="P1141">
            <v>0</v>
          </cell>
          <cell r="Q1141">
            <v>0.72210830874963505</v>
          </cell>
          <cell r="R1141">
            <v>0.72210830874963505</v>
          </cell>
          <cell r="S1141" t="e">
            <v>#VALUE!</v>
          </cell>
          <cell r="T1141" t="e">
            <v>#VALUE!</v>
          </cell>
        </row>
        <row r="1142">
          <cell r="A1142" t="str">
            <v>GRRM2400018N</v>
          </cell>
          <cell r="B1142" t="str">
            <v>MKP000631002449</v>
          </cell>
          <cell r="C1142" t="str">
            <v/>
          </cell>
          <cell r="D1142" t="str">
            <v>Armário de Cozinha Completa 240cm Preto Reims Madesa 01</v>
          </cell>
          <cell r="E1142" t="str">
            <v>REIMS</v>
          </cell>
          <cell r="F1142" t="str">
            <v>COZINHA</v>
          </cell>
          <cell r="G1142" t="str">
            <v/>
          </cell>
          <cell r="H1142">
            <v>2139.9899999999998</v>
          </cell>
          <cell r="I1142">
            <v>1229.92</v>
          </cell>
          <cell r="J1142">
            <v>1073.4211</v>
          </cell>
          <cell r="K1142">
            <v>0</v>
          </cell>
          <cell r="L1142">
            <v>1073.4211</v>
          </cell>
          <cell r="M1142">
            <v>0</v>
          </cell>
          <cell r="N1142">
            <v>1229.92</v>
          </cell>
          <cell r="O1142" t="str">
            <v/>
          </cell>
          <cell r="P1142">
            <v>0</v>
          </cell>
          <cell r="Q1142">
            <v>0.14579450692743001</v>
          </cell>
          <cell r="R1142">
            <v>0.14579450692743001</v>
          </cell>
          <cell r="S1142" t="e">
            <v>#VALUE!</v>
          </cell>
          <cell r="T1142" t="e">
            <v>#VALUE!</v>
          </cell>
        </row>
        <row r="1143">
          <cell r="A1143" t="str">
            <v>1093093E2GCP</v>
          </cell>
          <cell r="B1143" t="str">
            <v>MKP000631001072</v>
          </cell>
          <cell r="C1143" t="str">
            <v/>
          </cell>
          <cell r="D1143" t="str">
            <v>Guarda-Roupa Casal Madesa Lyon 3 Portas de Correr de Espelho 2 Gavetas com Pés Branco</v>
          </cell>
          <cell r="E1143" t="str">
            <v>LYON</v>
          </cell>
          <cell r="F1143" t="str">
            <v>QUARTO</v>
          </cell>
          <cell r="G1143" t="str">
            <v/>
          </cell>
          <cell r="H1143">
            <v>1699.99</v>
          </cell>
          <cell r="I1143">
            <v>1419.92</v>
          </cell>
          <cell r="J1143">
            <v>1145.5572999999999</v>
          </cell>
          <cell r="K1143">
            <v>0</v>
          </cell>
          <cell r="L1143">
            <v>1145.5572999999999</v>
          </cell>
          <cell r="M1143">
            <v>0</v>
          </cell>
          <cell r="N1143">
            <v>1419.92</v>
          </cell>
          <cell r="O1143" t="str">
            <v/>
          </cell>
          <cell r="P1143">
            <v>0</v>
          </cell>
          <cell r="Q1143">
            <v>0.23950150725764699</v>
          </cell>
          <cell r="R1143">
            <v>0.23950150725764699</v>
          </cell>
          <cell r="S1143" t="e">
            <v>#VALUE!</v>
          </cell>
          <cell r="T1143" t="e">
            <v>#VALUE!</v>
          </cell>
        </row>
        <row r="1144">
          <cell r="A1144" t="str">
            <v>GRLX4000019N</v>
          </cell>
          <cell r="B1144" t="str">
            <v>MKP000631005008</v>
          </cell>
          <cell r="C1144" t="str">
            <v/>
          </cell>
          <cell r="D1144" t="str">
            <v>Armário de Cozinha Completa 400cm Rustic/Cinza Lux da Thauane Madesa</v>
          </cell>
          <cell r="E1144" t="str">
            <v>LUX</v>
          </cell>
          <cell r="F1144" t="str">
            <v>COZINHA</v>
          </cell>
          <cell r="G1144" t="str">
            <v/>
          </cell>
          <cell r="H1144">
            <v>6709.99</v>
          </cell>
          <cell r="I1144">
            <v>6689.99</v>
          </cell>
          <cell r="J1144">
            <v>4166.0236000000004</v>
          </cell>
          <cell r="K1144">
            <v>0</v>
          </cell>
          <cell r="L1144">
            <v>4166.0236000000004</v>
          </cell>
          <cell r="M1144">
            <v>0</v>
          </cell>
          <cell r="N1144">
            <v>6689.99</v>
          </cell>
          <cell r="O1144" t="str">
            <v>LOJA</v>
          </cell>
          <cell r="P1144">
            <v>5879.99</v>
          </cell>
          <cell r="Q1144">
            <v>0.60584543976179095</v>
          </cell>
          <cell r="R1144">
            <v>0.60584543976179095</v>
          </cell>
          <cell r="S1144" t="e">
            <v>#VALUE!</v>
          </cell>
          <cell r="T1144" t="e">
            <v>#VALUE!</v>
          </cell>
        </row>
        <row r="1145">
          <cell r="A1145" t="str">
            <v>10975Z1E</v>
          </cell>
          <cell r="B1145" t="str">
            <v>MKP000631002363</v>
          </cell>
          <cell r="C1145" t="str">
            <v/>
          </cell>
          <cell r="D1145" t="str">
            <v>Guarda-Roupa Solteiro Madesa Tokio 2 Portas de Correr com Espelho 2 Gavetas Rustic</v>
          </cell>
          <cell r="E1145" t="str">
            <v>TOKIO</v>
          </cell>
          <cell r="F1145" t="str">
            <v>QUARTO</v>
          </cell>
          <cell r="G1145" t="str">
            <v/>
          </cell>
          <cell r="H1145">
            <v>1539.99</v>
          </cell>
          <cell r="I1145">
            <v>989.92</v>
          </cell>
          <cell r="J1145">
            <v>750.39959999999996</v>
          </cell>
          <cell r="K1145">
            <v>0</v>
          </cell>
          <cell r="L1145">
            <v>750.39959999999996</v>
          </cell>
          <cell r="M1145">
            <v>0</v>
          </cell>
          <cell r="N1145">
            <v>989.92</v>
          </cell>
          <cell r="O1145" t="str">
            <v/>
          </cell>
          <cell r="P1145">
            <v>0</v>
          </cell>
          <cell r="Q1145">
            <v>0.31919046865163597</v>
          </cell>
          <cell r="R1145">
            <v>0.31919046865163597</v>
          </cell>
          <cell r="S1145" t="e">
            <v>#VALUE!</v>
          </cell>
          <cell r="T1145" t="e">
            <v>#VALUE!</v>
          </cell>
        </row>
        <row r="1146">
          <cell r="A1146" t="str">
            <v>GRTP2400069B</v>
          </cell>
          <cell r="B1146" t="str">
            <v>MKP000631004957</v>
          </cell>
          <cell r="C1146" t="str">
            <v/>
          </cell>
          <cell r="D1146" t="str">
            <v>Armário de Cozinha Completa 240cm Branco/Rustic Diamante Madesa 06</v>
          </cell>
          <cell r="E1146" t="str">
            <v>DIAMANTE</v>
          </cell>
          <cell r="F1146" t="str">
            <v>COZINHA</v>
          </cell>
          <cell r="G1146" t="str">
            <v/>
          </cell>
          <cell r="H1146">
            <v>1399.99</v>
          </cell>
          <cell r="I1146">
            <v>1299.99</v>
          </cell>
          <cell r="J1146">
            <v>1065.8128999999999</v>
          </cell>
          <cell r="K1146">
            <v>0</v>
          </cell>
          <cell r="L1146">
            <v>1065.8128999999999</v>
          </cell>
          <cell r="M1146">
            <v>0</v>
          </cell>
          <cell r="N1146">
            <v>1299.99</v>
          </cell>
          <cell r="O1146" t="str">
            <v/>
          </cell>
          <cell r="P1146">
            <v>0</v>
          </cell>
          <cell r="Q1146">
            <v>0.219716894025208</v>
          </cell>
          <cell r="R1146">
            <v>0.219716894025208</v>
          </cell>
          <cell r="S1146" t="e">
            <v>#VALUE!</v>
          </cell>
          <cell r="T1146" t="e">
            <v>#VALUE!</v>
          </cell>
        </row>
        <row r="1147">
          <cell r="A1147" t="str">
            <v>GRNC2400023B</v>
          </cell>
          <cell r="B1147" t="str">
            <v>MKP000631005001</v>
          </cell>
          <cell r="C1147" t="str">
            <v/>
          </cell>
          <cell r="D1147" t="str">
            <v>Armário de Cozinha Completa 240cm Cinza Nice Madesa 02</v>
          </cell>
          <cell r="E1147" t="str">
            <v>NICE</v>
          </cell>
          <cell r="F1147" t="str">
            <v>COZINHA</v>
          </cell>
          <cell r="G1147" t="str">
            <v/>
          </cell>
          <cell r="H1147">
            <v>1649.99</v>
          </cell>
          <cell r="I1147">
            <v>1549.99</v>
          </cell>
          <cell r="J1147">
            <v>1139.8675000000001</v>
          </cell>
          <cell r="K1147">
            <v>0</v>
          </cell>
          <cell r="L1147">
            <v>1139.8675000000001</v>
          </cell>
          <cell r="M1147">
            <v>0</v>
          </cell>
          <cell r="N1147">
            <v>1549.99</v>
          </cell>
          <cell r="O1147" t="str">
            <v/>
          </cell>
          <cell r="P1147">
            <v>0</v>
          </cell>
          <cell r="Q1147">
            <v>0.35979839762077598</v>
          </cell>
          <cell r="R1147">
            <v>0.35979839762077598</v>
          </cell>
          <cell r="S1147" t="e">
            <v>#VALUE!</v>
          </cell>
          <cell r="T1147" t="e">
            <v>#VALUE!</v>
          </cell>
        </row>
        <row r="1148">
          <cell r="A1148" t="str">
            <v>26175Z4E</v>
          </cell>
          <cell r="B1148" t="str">
            <v>MKP000631000528</v>
          </cell>
          <cell r="C1148" t="str">
            <v/>
          </cell>
          <cell r="D1148" t="str">
            <v>Cabeceira Extensível Madesa com 2 Mesas de Cabeceira com Espelho Rustic</v>
          </cell>
          <cell r="E1148">
            <v>2617</v>
          </cell>
          <cell r="F1148" t="str">
            <v>QUARTO</v>
          </cell>
          <cell r="G1148" t="str">
            <v/>
          </cell>
          <cell r="H1148">
            <v>1199.99</v>
          </cell>
          <cell r="I1148">
            <v>689.99</v>
          </cell>
          <cell r="J1148">
            <v>538.65620000000001</v>
          </cell>
          <cell r="K1148">
            <v>0</v>
          </cell>
          <cell r="L1148">
            <v>538.65620000000001</v>
          </cell>
          <cell r="M1148">
            <v>0</v>
          </cell>
          <cell r="N1148">
            <v>689.99</v>
          </cell>
          <cell r="O1148" t="str">
            <v/>
          </cell>
          <cell r="P1148">
            <v>0</v>
          </cell>
          <cell r="Q1148">
            <v>0.28094691938939897</v>
          </cell>
          <cell r="R1148">
            <v>0.28094691938939897</v>
          </cell>
          <cell r="S1148" t="e">
            <v>#VALUE!</v>
          </cell>
          <cell r="T1148" t="e">
            <v>#VALUE!</v>
          </cell>
        </row>
        <row r="1149">
          <cell r="A1149" t="str">
            <v>GRTE2900015Z</v>
          </cell>
          <cell r="B1149" t="str">
            <v>MKP000631001987</v>
          </cell>
          <cell r="C1149" t="str">
            <v/>
          </cell>
          <cell r="D1149" t="str">
            <v>Armário de Cozinha Completa 290cm Rustic Stella Madesa 01</v>
          </cell>
          <cell r="E1149" t="str">
            <v>STELLA</v>
          </cell>
          <cell r="F1149" t="str">
            <v>COZINHA</v>
          </cell>
          <cell r="G1149" t="str">
            <v/>
          </cell>
          <cell r="H1149">
            <v>3069.99</v>
          </cell>
          <cell r="I1149">
            <v>2499.9899999999998</v>
          </cell>
          <cell r="J1149">
            <v>2147.7577999999999</v>
          </cell>
          <cell r="K1149">
            <v>0</v>
          </cell>
          <cell r="L1149">
            <v>2147.7577999999999</v>
          </cell>
          <cell r="M1149">
            <v>0</v>
          </cell>
          <cell r="N1149">
            <v>2499.9899999999998</v>
          </cell>
          <cell r="O1149" t="str">
            <v/>
          </cell>
          <cell r="P1149">
            <v>0</v>
          </cell>
          <cell r="Q1149">
            <v>0.16399996312433299</v>
          </cell>
          <cell r="R1149">
            <v>0.16399996312433299</v>
          </cell>
          <cell r="S1149" t="e">
            <v>#VALUE!</v>
          </cell>
          <cell r="T1149" t="e">
            <v>#VALUE!</v>
          </cell>
        </row>
        <row r="1150">
          <cell r="A1150" t="str">
            <v>MDJA0601427GBE</v>
          </cell>
          <cell r="B1150" t="str">
            <v>MKP000631005340</v>
          </cell>
          <cell r="C1150" t="str">
            <v/>
          </cell>
          <cell r="D1150" t="str">
            <v>Conjunto Sala de Jantar Mesa Tampo de Vidro 6 Cadeiras Crema/Rustic/Bege Francine Madesa</v>
          </cell>
          <cell r="E1150" t="str">
            <v>FRANCINE</v>
          </cell>
          <cell r="F1150" t="str">
            <v>SALA DE JANTAR</v>
          </cell>
          <cell r="G1150">
            <v>4280</v>
          </cell>
          <cell r="H1150">
            <v>1249.99</v>
          </cell>
          <cell r="I1150">
            <v>1149.99</v>
          </cell>
          <cell r="J1150">
            <v>915.05499999999995</v>
          </cell>
          <cell r="K1150">
            <v>0</v>
          </cell>
          <cell r="L1150">
            <v>915.05499999999995</v>
          </cell>
          <cell r="M1150">
            <v>0</v>
          </cell>
          <cell r="N1150">
            <v>1149.99</v>
          </cell>
          <cell r="O1150" t="str">
            <v/>
          </cell>
          <cell r="P1150">
            <v>0</v>
          </cell>
          <cell r="Q1150">
            <v>0.25674413013425401</v>
          </cell>
          <cell r="R1150">
            <v>0.25674413013425401</v>
          </cell>
          <cell r="S1150" t="e">
            <v>#VALUE!</v>
          </cell>
          <cell r="T1150" t="e">
            <v>#VALUE!</v>
          </cell>
        </row>
        <row r="1151">
          <cell r="A1151" t="str">
            <v>MDJA0400427KSIM</v>
          </cell>
          <cell r="B1151" t="str">
            <v>MKP000631000821</v>
          </cell>
          <cell r="C1151" t="str">
            <v/>
          </cell>
          <cell r="D1151" t="str">
            <v>Conjunto Sala de Jantar Madesa Grazi Mesa Tampo de Vidro com 4 Cadeiras Rustic/Preto/Imperial</v>
          </cell>
          <cell r="E1151" t="str">
            <v>GRAZI</v>
          </cell>
          <cell r="F1151" t="str">
            <v>SALA DE JANTAR</v>
          </cell>
          <cell r="G1151">
            <v>4254</v>
          </cell>
          <cell r="H1151">
            <v>2669.99</v>
          </cell>
          <cell r="I1151">
            <v>1539.99</v>
          </cell>
          <cell r="J1151">
            <v>1207.2949000000001</v>
          </cell>
          <cell r="K1151">
            <v>0</v>
          </cell>
          <cell r="L1151">
            <v>1207.2949000000001</v>
          </cell>
          <cell r="M1151">
            <v>0</v>
          </cell>
          <cell r="N1151">
            <v>1539.99</v>
          </cell>
          <cell r="O1151" t="str">
            <v>IMPÉRIO</v>
          </cell>
          <cell r="P1151">
            <v>1659</v>
          </cell>
          <cell r="Q1151">
            <v>0.27557069942066398</v>
          </cell>
          <cell r="R1151">
            <v>0.27557069942066398</v>
          </cell>
          <cell r="S1151" t="e">
            <v>#VALUE!</v>
          </cell>
          <cell r="T1151" t="e">
            <v>#VALUE!</v>
          </cell>
        </row>
        <row r="1152">
          <cell r="A1152" t="str">
            <v>G256027KAG</v>
          </cell>
          <cell r="B1152" t="str">
            <v>MKP000631003069</v>
          </cell>
          <cell r="C1152" t="str">
            <v/>
          </cell>
          <cell r="D1152" t="str">
            <v>Armário Aéreo Madesa Agata 60 cm 1 Porta Basculante Rustic/Preto</v>
          </cell>
          <cell r="E1152" t="str">
            <v>ÁGATA</v>
          </cell>
          <cell r="F1152" t="str">
            <v>MODULAÇÃO</v>
          </cell>
          <cell r="G1152" t="str">
            <v/>
          </cell>
          <cell r="H1152">
            <v>389.99</v>
          </cell>
          <cell r="I1152">
            <v>249.99</v>
          </cell>
          <cell r="J1152">
            <v>149.85319999999999</v>
          </cell>
          <cell r="K1152">
            <v>0</v>
          </cell>
          <cell r="L1152">
            <v>149.85319999999999</v>
          </cell>
          <cell r="M1152">
            <v>0</v>
          </cell>
          <cell r="N1152">
            <v>249.99</v>
          </cell>
          <cell r="O1152" t="str">
            <v/>
          </cell>
          <cell r="P1152">
            <v>0</v>
          </cell>
          <cell r="Q1152">
            <v>0.66823264368061597</v>
          </cell>
          <cell r="R1152">
            <v>0.66823264368061597</v>
          </cell>
          <cell r="S1152" t="e">
            <v>#VALUE!</v>
          </cell>
          <cell r="T1152" t="e">
            <v>#VALUE!</v>
          </cell>
        </row>
        <row r="1153">
          <cell r="A1153" t="str">
            <v>GRNC2600023B</v>
          </cell>
          <cell r="B1153" t="str">
            <v>MKP000631004795</v>
          </cell>
          <cell r="C1153" t="str">
            <v/>
          </cell>
          <cell r="D1153" t="str">
            <v>Armário de Cozinha Completa 260cm Cinza Nice Madesa 02</v>
          </cell>
          <cell r="E1153" t="str">
            <v>NICE</v>
          </cell>
          <cell r="F1153" t="str">
            <v>COZINHA</v>
          </cell>
          <cell r="G1153" t="str">
            <v/>
          </cell>
          <cell r="H1153">
            <v>2099.9899999999998</v>
          </cell>
          <cell r="I1153">
            <v>1899.99</v>
          </cell>
          <cell r="J1153">
            <v>1376.4193</v>
          </cell>
          <cell r="K1153">
            <v>0</v>
          </cell>
          <cell r="L1153">
            <v>1376.4193</v>
          </cell>
          <cell r="M1153">
            <v>0</v>
          </cell>
          <cell r="N1153">
            <v>1899.99</v>
          </cell>
          <cell r="O1153" t="str">
            <v>MAGALU</v>
          </cell>
          <cell r="P1153">
            <v>1894.73</v>
          </cell>
          <cell r="Q1153">
            <v>0.38038604951267402</v>
          </cell>
          <cell r="R1153">
            <v>0.38038604951267402</v>
          </cell>
          <cell r="S1153" t="e">
            <v>#VALUE!</v>
          </cell>
          <cell r="T1153" t="e">
            <v>#VALUE!</v>
          </cell>
        </row>
        <row r="1154">
          <cell r="A1154" t="str">
            <v>GRGL3300039B</v>
          </cell>
          <cell r="B1154" t="str">
            <v>MKP000631004600</v>
          </cell>
          <cell r="C1154" t="str">
            <v/>
          </cell>
          <cell r="D1154" t="str">
            <v>Armário de Cozinha Completa 330cm Branco/Rustic Glamy Madesa 03</v>
          </cell>
          <cell r="E1154" t="str">
            <v>GLAMY</v>
          </cell>
          <cell r="F1154" t="str">
            <v>COZINHA</v>
          </cell>
          <cell r="G1154" t="str">
            <v/>
          </cell>
          <cell r="H1154">
            <v>2799.99</v>
          </cell>
          <cell r="I1154">
            <v>2699.99</v>
          </cell>
          <cell r="J1154">
            <v>2173.8415</v>
          </cell>
          <cell r="K1154">
            <v>0</v>
          </cell>
          <cell r="L1154">
            <v>2173.8415</v>
          </cell>
          <cell r="M1154">
            <v>0</v>
          </cell>
          <cell r="N1154">
            <v>2699.99</v>
          </cell>
          <cell r="O1154" t="str">
            <v/>
          </cell>
          <cell r="P1154">
            <v>0</v>
          </cell>
          <cell r="Q1154">
            <v>0.242036275413824</v>
          </cell>
          <cell r="R1154">
            <v>0.242036275413824</v>
          </cell>
          <cell r="S1154" t="e">
            <v>#VALUE!</v>
          </cell>
          <cell r="T1154" t="e">
            <v>#VALUE!</v>
          </cell>
        </row>
        <row r="1155">
          <cell r="A1155" t="str">
            <v>XC1063772E</v>
          </cell>
          <cell r="B1155" t="str">
            <v>MKP000631003104</v>
          </cell>
          <cell r="C1155" t="str">
            <v/>
          </cell>
          <cell r="D1155" t="str">
            <v>Guarda-Roupa Casal 100% MDF Madesa Zurique 3 Portas de Correr com Espelhos Preto/Branco</v>
          </cell>
          <cell r="E1155" t="str">
            <v>ZURIQUE</v>
          </cell>
          <cell r="F1155" t="str">
            <v>QUARTO</v>
          </cell>
          <cell r="G1155" t="str">
            <v/>
          </cell>
          <cell r="H1155">
            <v>3969.99</v>
          </cell>
          <cell r="I1155">
            <v>2359.92</v>
          </cell>
          <cell r="J1155">
            <v>2033.8746000000001</v>
          </cell>
          <cell r="K1155">
            <v>0</v>
          </cell>
          <cell r="L1155">
            <v>2033.8746000000001</v>
          </cell>
          <cell r="M1155">
            <v>0</v>
          </cell>
          <cell r="N1155">
            <v>2359.92</v>
          </cell>
          <cell r="O1155" t="str">
            <v/>
          </cell>
          <cell r="P1155">
            <v>0</v>
          </cell>
          <cell r="Q1155">
            <v>0.160307523384185</v>
          </cell>
          <cell r="R1155">
            <v>0.160307523384185</v>
          </cell>
          <cell r="S1155" t="e">
            <v>#VALUE!</v>
          </cell>
          <cell r="T1155" t="e">
            <v>#VALUE!</v>
          </cell>
        </row>
        <row r="1156">
          <cell r="A1156" t="str">
            <v>GRRM250002D8</v>
          </cell>
          <cell r="B1156" t="str">
            <v>MKP000631001842</v>
          </cell>
          <cell r="C1156" t="str">
            <v/>
          </cell>
          <cell r="D1156" t="str">
            <v>Armário de Cozinha Completa 250cm Preto Reims Madesa 02</v>
          </cell>
          <cell r="E1156" t="str">
            <v>REIMS</v>
          </cell>
          <cell r="F1156" t="str">
            <v>COZINHA</v>
          </cell>
          <cell r="G1156" t="str">
            <v/>
          </cell>
          <cell r="H1156">
            <v>2059.9899999999998</v>
          </cell>
          <cell r="I1156">
            <v>1299.92</v>
          </cell>
          <cell r="J1156">
            <v>1052.8527999999999</v>
          </cell>
          <cell r="K1156">
            <v>0</v>
          </cell>
          <cell r="L1156">
            <v>1052.8527999999999</v>
          </cell>
          <cell r="M1156">
            <v>0</v>
          </cell>
          <cell r="N1156">
            <v>1299.92</v>
          </cell>
          <cell r="O1156" t="str">
            <v/>
          </cell>
          <cell r="P1156">
            <v>0</v>
          </cell>
          <cell r="Q1156">
            <v>0.234664522903866</v>
          </cell>
          <cell r="R1156">
            <v>0.234664522903866</v>
          </cell>
          <cell r="S1156" t="e">
            <v>#VALUE!</v>
          </cell>
          <cell r="T1156" t="e">
            <v>#VALUE!</v>
          </cell>
        </row>
        <row r="1157">
          <cell r="A1157" t="str">
            <v>GCGM47900309</v>
          </cell>
          <cell r="B1157" t="str">
            <v>MKP000631004300</v>
          </cell>
          <cell r="C1157" t="str">
            <v/>
          </cell>
          <cell r="D1157" t="str">
            <v>Armário de Cozinha Completa de Canto 100% MDF 479cm Frentes Branco Brilho Acordes Madesa 03</v>
          </cell>
          <cell r="E1157" t="str">
            <v>ACORDES</v>
          </cell>
          <cell r="F1157" t="str">
            <v>COZINHA</v>
          </cell>
          <cell r="G1157" t="str">
            <v/>
          </cell>
          <cell r="H1157">
            <v>3599.99</v>
          </cell>
          <cell r="I1157">
            <v>3499.99</v>
          </cell>
          <cell r="J1157">
            <v>2981.0518999999999</v>
          </cell>
          <cell r="K1157">
            <v>0</v>
          </cell>
          <cell r="L1157">
            <v>2981.0518999999999</v>
          </cell>
          <cell r="M1157">
            <v>0</v>
          </cell>
          <cell r="N1157">
            <v>3499.99</v>
          </cell>
          <cell r="O1157" t="str">
            <v/>
          </cell>
          <cell r="P1157">
            <v>0</v>
          </cell>
          <cell r="Q1157">
            <v>0.17407885451440799</v>
          </cell>
          <cell r="R1157">
            <v>0.17407885451440799</v>
          </cell>
          <cell r="S1157" t="e">
            <v>#VALUE!</v>
          </cell>
          <cell r="T1157" t="e">
            <v>#VALUE!</v>
          </cell>
        </row>
        <row r="1158">
          <cell r="A1158" t="str">
            <v>XA21058N1</v>
          </cell>
          <cell r="B1158" t="str">
            <v>MKP000631005832</v>
          </cell>
          <cell r="C1158" t="str">
            <v/>
          </cell>
          <cell r="D1158" t="str">
            <v>Painel para TV com Prateleira até 60 Polegadas Madesa Alfa Preto</v>
          </cell>
          <cell r="E1158" t="str">
            <v>ALFA</v>
          </cell>
          <cell r="F1158" t="str">
            <v>SALA DE ESTAR</v>
          </cell>
          <cell r="G1158" t="str">
            <v/>
          </cell>
          <cell r="H1158">
            <v>599.99</v>
          </cell>
          <cell r="I1158">
            <v>479.92</v>
          </cell>
          <cell r="J1158">
            <v>309.11309999999997</v>
          </cell>
          <cell r="K1158">
            <v>0</v>
          </cell>
          <cell r="L1158">
            <v>309.11309999999997</v>
          </cell>
          <cell r="M1158">
            <v>0</v>
          </cell>
          <cell r="N1158">
            <v>479.92</v>
          </cell>
          <cell r="O1158" t="str">
            <v/>
          </cell>
          <cell r="P1158">
            <v>0</v>
          </cell>
          <cell r="Q1158">
            <v>0.552570887484225</v>
          </cell>
          <cell r="R1158">
            <v>0.552570887484225</v>
          </cell>
          <cell r="S1158" t="e">
            <v>#VALUE!</v>
          </cell>
          <cell r="T1158" t="e">
            <v>#VALUE!</v>
          </cell>
        </row>
        <row r="1159">
          <cell r="A1159" t="str">
            <v>GCSM448002C9</v>
          </cell>
          <cell r="B1159" t="str">
            <v>MKP000631004281</v>
          </cell>
          <cell r="C1159" t="str">
            <v/>
          </cell>
          <cell r="D1159" t="str">
            <v>Armário de Cozinha Completa de Canto 100% MDF 447cm Frentes Branco Brilho Smart Madesa 02</v>
          </cell>
          <cell r="E1159" t="str">
            <v>SMART</v>
          </cell>
          <cell r="F1159" t="str">
            <v>COZINHA</v>
          </cell>
          <cell r="G1159" t="str">
            <v/>
          </cell>
          <cell r="H1159">
            <v>2639.99</v>
          </cell>
          <cell r="I1159">
            <v>2539.9899999999998</v>
          </cell>
          <cell r="J1159">
            <v>2058.8791999999999</v>
          </cell>
          <cell r="K1159">
            <v>0</v>
          </cell>
          <cell r="L1159">
            <v>2058.8791999999999</v>
          </cell>
          <cell r="M1159">
            <v>0</v>
          </cell>
          <cell r="N1159">
            <v>2539.9899999999998</v>
          </cell>
          <cell r="O1159" t="str">
            <v/>
          </cell>
          <cell r="P1159">
            <v>0</v>
          </cell>
          <cell r="Q1159">
            <v>0.233676069970496</v>
          </cell>
          <cell r="R1159">
            <v>0.233676069970496</v>
          </cell>
          <cell r="S1159" t="e">
            <v>#VALUE!</v>
          </cell>
          <cell r="T1159" t="e">
            <v>#VALUE!</v>
          </cell>
        </row>
        <row r="1160">
          <cell r="A1160" t="str">
            <v>044915ZXTFBM</v>
          </cell>
          <cell r="B1160" t="str">
            <v>MKP000631000569</v>
          </cell>
          <cell r="C1160" t="str">
            <v/>
          </cell>
          <cell r="D1160" t="str">
            <v>Conjunto Sala de Jantar Madesa Rute Mesa Tampo de Madeira com 4 Cadeiras Rustic/Bege Marrom</v>
          </cell>
          <cell r="E1160" t="str">
            <v>RUTE</v>
          </cell>
          <cell r="F1160" t="str">
            <v>SALA DE JANTAR</v>
          </cell>
          <cell r="G1160" t="str">
            <v>4290X</v>
          </cell>
          <cell r="H1160">
            <v>1279.99</v>
          </cell>
          <cell r="I1160">
            <v>549.99</v>
          </cell>
          <cell r="J1160">
            <v>427.78140000000002</v>
          </cell>
          <cell r="K1160">
            <v>0</v>
          </cell>
          <cell r="L1160">
            <v>427.78140000000002</v>
          </cell>
          <cell r="M1160">
            <v>0</v>
          </cell>
          <cell r="N1160">
            <v>549.99</v>
          </cell>
          <cell r="O1160" t="str">
            <v/>
          </cell>
          <cell r="P1160">
            <v>0</v>
          </cell>
          <cell r="Q1160">
            <v>0.285680022553575</v>
          </cell>
          <cell r="R1160">
            <v>0.285680022553575</v>
          </cell>
          <cell r="S1160" t="e">
            <v>#VALUE!</v>
          </cell>
          <cell r="T1160" t="e">
            <v>#VALUE!</v>
          </cell>
        </row>
        <row r="1161">
          <cell r="A1161" t="str">
            <v>GRLX2000039R</v>
          </cell>
          <cell r="B1161" t="str">
            <v>MKP000631004538</v>
          </cell>
          <cell r="C1161" t="str">
            <v/>
          </cell>
          <cell r="D1161" t="str">
            <v>Kit com 2 Balcões de Cozinha Madesa Lux 4 Portas 3 Gavetas (Sem Tampo e Pia) Branco/Cinza</v>
          </cell>
          <cell r="E1161" t="str">
            <v>LUX</v>
          </cell>
          <cell r="F1161" t="str">
            <v>COZINHA</v>
          </cell>
          <cell r="G1161" t="str">
            <v/>
          </cell>
          <cell r="H1161">
            <v>2249.9899999999998</v>
          </cell>
          <cell r="I1161">
            <v>2129.9899999999998</v>
          </cell>
          <cell r="J1161">
            <v>1400.7263</v>
          </cell>
          <cell r="K1161">
            <v>0</v>
          </cell>
          <cell r="L1161">
            <v>1400.7263</v>
          </cell>
          <cell r="M1161">
            <v>0</v>
          </cell>
          <cell r="N1161">
            <v>2129.9899999999998</v>
          </cell>
          <cell r="O1161" t="str">
            <v>LOJA</v>
          </cell>
          <cell r="P1161">
            <v>1869.99</v>
          </cell>
          <cell r="Q1161">
            <v>0.52063254612981802</v>
          </cell>
          <cell r="R1161">
            <v>0.52063254612981802</v>
          </cell>
          <cell r="S1161" t="e">
            <v>#VALUE!</v>
          </cell>
          <cell r="T1161" t="e">
            <v>#VALUE!</v>
          </cell>
        </row>
        <row r="1162">
          <cell r="A1162" t="str">
            <v>GCLX5460059N</v>
          </cell>
          <cell r="B1162" t="str">
            <v>MKP000631004974</v>
          </cell>
          <cell r="C1162" t="str">
            <v/>
          </cell>
          <cell r="D1162" t="str">
            <v>Armário de Cozinha Completa de Canto 546cm Rustic/Cinza Lux Madesa 05</v>
          </cell>
          <cell r="E1162" t="str">
            <v>LUX</v>
          </cell>
          <cell r="F1162" t="str">
            <v>COZINHA</v>
          </cell>
          <cell r="G1162" t="str">
            <v/>
          </cell>
          <cell r="H1162">
            <v>9419.99</v>
          </cell>
          <cell r="I1162">
            <v>9319.99</v>
          </cell>
          <cell r="J1162">
            <v>5719.7096000000001</v>
          </cell>
          <cell r="K1162">
            <v>0</v>
          </cell>
          <cell r="L1162">
            <v>5719.7096000000001</v>
          </cell>
          <cell r="M1162">
            <v>0</v>
          </cell>
          <cell r="N1162">
            <v>9319.99</v>
          </cell>
          <cell r="O1162" t="str">
            <v>LOJA</v>
          </cell>
          <cell r="P1162">
            <v>8189.99</v>
          </cell>
          <cell r="Q1162">
            <v>0.62945160712354997</v>
          </cell>
          <cell r="R1162">
            <v>0.62945160712354997</v>
          </cell>
          <cell r="S1162" t="e">
            <v>#VALUE!</v>
          </cell>
          <cell r="T1162" t="e">
            <v>#VALUE!</v>
          </cell>
        </row>
        <row r="1163">
          <cell r="A1163" t="str">
            <v>MDJA0200485ZSIM</v>
          </cell>
          <cell r="B1163" t="str">
            <v>MKP000631003221</v>
          </cell>
          <cell r="C1163" t="str">
            <v/>
          </cell>
          <cell r="D1163" t="str">
            <v>Conjunto Sala de Jantar Madesa Manu Mesa Tampo de Madeira com 2 Cadeiras Rustic/Imperial</v>
          </cell>
          <cell r="E1163" t="str">
            <v>MANU</v>
          </cell>
          <cell r="F1163" t="str">
            <v>SALA DE JANTAR</v>
          </cell>
          <cell r="G1163">
            <v>4255</v>
          </cell>
          <cell r="H1163">
            <v>1189.99</v>
          </cell>
          <cell r="I1163">
            <v>529.99</v>
          </cell>
          <cell r="J1163">
            <v>399.84469999999999</v>
          </cell>
          <cell r="K1163">
            <v>0</v>
          </cell>
          <cell r="L1163">
            <v>399.84469999999999</v>
          </cell>
          <cell r="M1163">
            <v>0</v>
          </cell>
          <cell r="N1163">
            <v>529.99</v>
          </cell>
          <cell r="O1163" t="str">
            <v/>
          </cell>
          <cell r="P1163">
            <v>0</v>
          </cell>
          <cell r="Q1163">
            <v>0.32548962134548698</v>
          </cell>
          <cell r="R1163">
            <v>0.32548962134548698</v>
          </cell>
          <cell r="S1163" t="e">
            <v>#VALUE!</v>
          </cell>
          <cell r="T1163" t="e">
            <v>#VALUE!</v>
          </cell>
        </row>
        <row r="1164">
          <cell r="A1164" t="str">
            <v>XA94098N</v>
          </cell>
          <cell r="B1164" t="str">
            <v>MKP000631003371</v>
          </cell>
          <cell r="C1164" t="str">
            <v/>
          </cell>
          <cell r="D1164" t="str">
            <v>Escrivaninha Mesa para Computador Gamer 9409 Madesa Preto</v>
          </cell>
          <cell r="E1164" t="str">
            <v>GAMER</v>
          </cell>
          <cell r="F1164" t="str">
            <v>ESCRITÓRIO</v>
          </cell>
          <cell r="G1164" t="str">
            <v/>
          </cell>
          <cell r="H1164">
            <v>499.99</v>
          </cell>
          <cell r="I1164">
            <v>349.99</v>
          </cell>
          <cell r="J1164">
            <v>224.06039999999999</v>
          </cell>
          <cell r="K1164">
            <v>0</v>
          </cell>
          <cell r="L1164">
            <v>224.06039999999999</v>
          </cell>
          <cell r="M1164">
            <v>0</v>
          </cell>
          <cell r="N1164">
            <v>349.99</v>
          </cell>
          <cell r="O1164" t="str">
            <v>MAGALU</v>
          </cell>
          <cell r="P1164">
            <v>299.99</v>
          </cell>
          <cell r="Q1164">
            <v>0.56203416578744003</v>
          </cell>
          <cell r="R1164">
            <v>0.56203416578744003</v>
          </cell>
          <cell r="S1164" t="e">
            <v>#VALUE!</v>
          </cell>
          <cell r="T1164" t="e">
            <v>#VALUE!</v>
          </cell>
        </row>
        <row r="1165">
          <cell r="A1165" t="str">
            <v>MDES02000409</v>
          </cell>
          <cell r="B1165" t="str">
            <v>MKP000631000158</v>
          </cell>
          <cell r="C1165" t="str">
            <v/>
          </cell>
          <cell r="D1165" t="str">
            <v>Rack Madesa Londres e Painel para TV até 55 Polegadas Branco</v>
          </cell>
          <cell r="E1165" t="str">
            <v>LONDRES</v>
          </cell>
          <cell r="F1165" t="str">
            <v>SALA DE ESTAR</v>
          </cell>
          <cell r="G1165" t="str">
            <v/>
          </cell>
          <cell r="H1165">
            <v>649.99</v>
          </cell>
          <cell r="I1165">
            <v>549.99</v>
          </cell>
          <cell r="J1165">
            <v>425.51420000000002</v>
          </cell>
          <cell r="K1165">
            <v>0</v>
          </cell>
          <cell r="L1165">
            <v>425.51420000000002</v>
          </cell>
          <cell r="M1165">
            <v>0</v>
          </cell>
          <cell r="N1165">
            <v>549.99</v>
          </cell>
          <cell r="O1165" t="str">
            <v/>
          </cell>
          <cell r="P1165">
            <v>0</v>
          </cell>
          <cell r="Q1165">
            <v>0.29253030803672397</v>
          </cell>
          <cell r="R1165">
            <v>0.29253030803672397</v>
          </cell>
          <cell r="S1165" t="e">
            <v>#VALUE!</v>
          </cell>
          <cell r="T1165" t="e">
            <v>#VALUE!</v>
          </cell>
        </row>
        <row r="1166">
          <cell r="A1166" t="str">
            <v>G251429NLX</v>
          </cell>
          <cell r="B1166" t="str">
            <v>MKP000631002695</v>
          </cell>
          <cell r="C1166" t="str">
            <v/>
          </cell>
          <cell r="D1166" t="str">
            <v>Armário Aéreo Madesa Lux 120 cm 3 Portas Rustic/Cinza</v>
          </cell>
          <cell r="E1166" t="str">
            <v>LUX</v>
          </cell>
          <cell r="F1166" t="str">
            <v>MODULAÇÃO</v>
          </cell>
          <cell r="G1166" t="str">
            <v/>
          </cell>
          <cell r="H1166">
            <v>1439.99</v>
          </cell>
          <cell r="I1166">
            <v>1129.99</v>
          </cell>
          <cell r="J1166">
            <v>713.76469999999995</v>
          </cell>
          <cell r="K1166">
            <v>0</v>
          </cell>
          <cell r="L1166">
            <v>713.76469999999995</v>
          </cell>
          <cell r="M1166">
            <v>0</v>
          </cell>
          <cell r="N1166">
            <v>1129.99</v>
          </cell>
          <cell r="O1166" t="str">
            <v>LOJA</v>
          </cell>
          <cell r="P1166">
            <v>1119.99</v>
          </cell>
          <cell r="Q1166">
            <v>0.583140774543768</v>
          </cell>
          <cell r="R1166">
            <v>0.583140774543768</v>
          </cell>
          <cell r="S1166" t="e">
            <v>#VALUE!</v>
          </cell>
          <cell r="T1166" t="e">
            <v>#VALUE!</v>
          </cell>
        </row>
        <row r="1167">
          <cell r="A1167" t="str">
            <v>GRGM31000173</v>
          </cell>
          <cell r="B1167" t="str">
            <v>MKP000631004939</v>
          </cell>
          <cell r="C1167" t="str">
            <v/>
          </cell>
          <cell r="D1167" t="str">
            <v>Armário de Cozinha Completa 100% MDF 310cm Branco/Preto Acordes Madesa 01</v>
          </cell>
          <cell r="E1167" t="str">
            <v>ACORDES</v>
          </cell>
          <cell r="F1167" t="str">
            <v>COZINHA</v>
          </cell>
          <cell r="G1167" t="str">
            <v/>
          </cell>
          <cell r="H1167">
            <v>2499.9899999999998</v>
          </cell>
          <cell r="I1167">
            <v>2499.9899999999998</v>
          </cell>
          <cell r="J1167">
            <v>2109.0518999999999</v>
          </cell>
          <cell r="K1167">
            <v>0</v>
          </cell>
          <cell r="L1167">
            <v>2109.0518999999999</v>
          </cell>
          <cell r="M1167">
            <v>0</v>
          </cell>
          <cell r="N1167">
            <v>2499.9899999999998</v>
          </cell>
          <cell r="O1167" t="str">
            <v/>
          </cell>
          <cell r="P1167">
            <v>0</v>
          </cell>
          <cell r="Q1167">
            <v>0.18536201029476801</v>
          </cell>
          <cell r="R1167">
            <v>0.18536201029476801</v>
          </cell>
          <cell r="S1167" t="e">
            <v>#VALUE!</v>
          </cell>
          <cell r="T1167" t="e">
            <v>#VALUE!</v>
          </cell>
        </row>
        <row r="1168">
          <cell r="A1168" t="str">
            <v>G221235ZGL</v>
          </cell>
          <cell r="B1168" t="str">
            <v>MKP000631004875</v>
          </cell>
          <cell r="C1168" t="str">
            <v/>
          </cell>
          <cell r="D1168" t="str">
            <v>Balcão Gabinete de Pia 120 x 60 cm 1 Porta 2 Gavetas Rustic (Sem Tampo) Glamy Madesa</v>
          </cell>
          <cell r="E1168" t="str">
            <v>GLAMY</v>
          </cell>
          <cell r="F1168" t="str">
            <v>MODULAÇÃO</v>
          </cell>
          <cell r="G1168" t="str">
            <v/>
          </cell>
          <cell r="H1168">
            <v>819.99</v>
          </cell>
          <cell r="I1168">
            <v>719.99</v>
          </cell>
          <cell r="J1168">
            <v>460.64490000000001</v>
          </cell>
          <cell r="K1168">
            <v>0</v>
          </cell>
          <cell r="L1168">
            <v>460.64490000000001</v>
          </cell>
          <cell r="M1168">
            <v>0</v>
          </cell>
          <cell r="N1168">
            <v>719.99</v>
          </cell>
          <cell r="O1168" t="str">
            <v/>
          </cell>
          <cell r="P1168">
            <v>0</v>
          </cell>
          <cell r="Q1168">
            <v>0.56300438797867902</v>
          </cell>
          <cell r="R1168">
            <v>0.56300438797867902</v>
          </cell>
          <cell r="S1168" t="e">
            <v>#VALUE!</v>
          </cell>
          <cell r="T1168" t="e">
            <v>#VALUE!</v>
          </cell>
        </row>
        <row r="1169">
          <cell r="A1169" t="str">
            <v>GCRM43700109</v>
          </cell>
          <cell r="B1169" t="str">
            <v>MKP000631003224</v>
          </cell>
          <cell r="C1169" t="str">
            <v/>
          </cell>
          <cell r="D1169" t="str">
            <v>Armário de Cozinha Completa de Canto 437cm Branco Reims Madesa 01</v>
          </cell>
          <cell r="E1169" t="str">
            <v>REIMS</v>
          </cell>
          <cell r="F1169" t="str">
            <v>COZINHA</v>
          </cell>
          <cell r="G1169" t="str">
            <v/>
          </cell>
          <cell r="H1169">
            <v>4219.99</v>
          </cell>
          <cell r="I1169">
            <v>2649.92</v>
          </cell>
          <cell r="J1169">
            <v>2329.0574999999999</v>
          </cell>
          <cell r="K1169">
            <v>0</v>
          </cell>
          <cell r="L1169">
            <v>2329.0574999999999</v>
          </cell>
          <cell r="M1169">
            <v>0</v>
          </cell>
          <cell r="N1169">
            <v>2649.92</v>
          </cell>
          <cell r="O1169" t="str">
            <v/>
          </cell>
          <cell r="P1169">
            <v>0</v>
          </cell>
          <cell r="Q1169">
            <v>0.13776495427871599</v>
          </cell>
          <cell r="R1169">
            <v>0.13776495427871599</v>
          </cell>
          <cell r="S1169" t="e">
            <v>#VALUE!</v>
          </cell>
          <cell r="T1169" t="e">
            <v>#VALUE!</v>
          </cell>
        </row>
        <row r="1170">
          <cell r="A1170" t="str">
            <v>GRRM26001009</v>
          </cell>
          <cell r="B1170" t="str">
            <v>MKP000631004204</v>
          </cell>
          <cell r="C1170" t="str">
            <v/>
          </cell>
          <cell r="D1170" t="str">
            <v>Armário de Cozinha Completa 260cm Branco Reims Madesa 10</v>
          </cell>
          <cell r="E1170" t="str">
            <v>REIMS</v>
          </cell>
          <cell r="F1170" t="str">
            <v>COZINHA</v>
          </cell>
          <cell r="G1170" t="str">
            <v/>
          </cell>
          <cell r="H1170">
            <v>1319.99</v>
          </cell>
          <cell r="I1170">
            <v>1179.92</v>
          </cell>
          <cell r="J1170">
            <v>974.56899999999996</v>
          </cell>
          <cell r="K1170">
            <v>0</v>
          </cell>
          <cell r="L1170">
            <v>974.56899999999996</v>
          </cell>
          <cell r="M1170">
            <v>0</v>
          </cell>
          <cell r="N1170">
            <v>1179.92</v>
          </cell>
          <cell r="O1170" t="str">
            <v/>
          </cell>
          <cell r="P1170">
            <v>0</v>
          </cell>
          <cell r="Q1170">
            <v>0.210709554685199</v>
          </cell>
          <cell r="R1170">
            <v>0.210709554685199</v>
          </cell>
          <cell r="S1170" t="e">
            <v>#VALUE!</v>
          </cell>
          <cell r="T1170" t="e">
            <v>#VALUE!</v>
          </cell>
        </row>
        <row r="1171">
          <cell r="A1171" t="str">
            <v>G266077KAG</v>
          </cell>
          <cell r="B1171" t="str">
            <v>MKP000631003082</v>
          </cell>
          <cell r="C1171" t="str">
            <v/>
          </cell>
          <cell r="D1171" t="str">
            <v>Paneleiro Madesa Agata 60 cm 3 Portas Rustic/Preto</v>
          </cell>
          <cell r="E1171" t="str">
            <v>ÁGATA</v>
          </cell>
          <cell r="F1171" t="str">
            <v>MODULAÇÃO</v>
          </cell>
          <cell r="G1171" t="str">
            <v/>
          </cell>
          <cell r="H1171">
            <v>1229.99</v>
          </cell>
          <cell r="I1171">
            <v>829.99</v>
          </cell>
          <cell r="J1171">
            <v>513.92409999999995</v>
          </cell>
          <cell r="K1171">
            <v>0</v>
          </cell>
          <cell r="L1171">
            <v>513.92409999999995</v>
          </cell>
          <cell r="M1171">
            <v>0</v>
          </cell>
          <cell r="N1171">
            <v>829.99</v>
          </cell>
          <cell r="O1171" t="str">
            <v/>
          </cell>
          <cell r="P1171">
            <v>0</v>
          </cell>
          <cell r="Q1171">
            <v>0.61500501727784296</v>
          </cell>
          <cell r="R1171">
            <v>0.61500501727784296</v>
          </cell>
          <cell r="S1171" t="e">
            <v>#VALUE!</v>
          </cell>
          <cell r="T1171" t="e">
            <v>#VALUE!</v>
          </cell>
        </row>
        <row r="1172">
          <cell r="A1172" t="str">
            <v>XA1094092E4G</v>
          </cell>
          <cell r="B1172" t="str">
            <v>MKP000631001604</v>
          </cell>
          <cell r="C1172" t="str">
            <v/>
          </cell>
          <cell r="D1172" t="str">
            <v>Guarda-Roupa Infantil Madesa Theo 2 Portas de Correr de Espelho 4 Gavetas Branco</v>
          </cell>
          <cell r="E1172" t="str">
            <v>THEO</v>
          </cell>
          <cell r="F1172" t="str">
            <v>QUARTO</v>
          </cell>
          <cell r="G1172" t="str">
            <v/>
          </cell>
          <cell r="H1172">
            <v>1199.99</v>
          </cell>
          <cell r="I1172">
            <v>1099.99</v>
          </cell>
          <cell r="J1172">
            <v>912.43899999999996</v>
          </cell>
          <cell r="K1172">
            <v>0</v>
          </cell>
          <cell r="L1172">
            <v>912.43899999999996</v>
          </cell>
          <cell r="M1172">
            <v>0</v>
          </cell>
          <cell r="N1172">
            <v>1099.99</v>
          </cell>
          <cell r="O1172" t="str">
            <v/>
          </cell>
          <cell r="P1172">
            <v>0</v>
          </cell>
          <cell r="Q1172">
            <v>0.20554908328118399</v>
          </cell>
          <cell r="R1172">
            <v>0.20554908328118399</v>
          </cell>
          <cell r="S1172" t="e">
            <v>#VALUE!</v>
          </cell>
          <cell r="T1172" t="e">
            <v>#VALUE!</v>
          </cell>
        </row>
        <row r="1173">
          <cell r="A1173" t="str">
            <v>GCGL2690017K</v>
          </cell>
          <cell r="B1173" t="str">
            <v>MKP000631004517</v>
          </cell>
          <cell r="C1173" t="str">
            <v/>
          </cell>
          <cell r="D1173" t="str">
            <v>Armário de Cozinha Compacta de Canto 269cm Rustic/Preto Glamy Madesa 01</v>
          </cell>
          <cell r="E1173" t="str">
            <v>GLAMY</v>
          </cell>
          <cell r="F1173" t="str">
            <v>COZINHA</v>
          </cell>
          <cell r="G1173" t="str">
            <v/>
          </cell>
          <cell r="H1173">
            <v>1999.99</v>
          </cell>
          <cell r="I1173">
            <v>1899.99</v>
          </cell>
          <cell r="J1173">
            <v>1554.7215000000001</v>
          </cell>
          <cell r="K1173">
            <v>0</v>
          </cell>
          <cell r="L1173">
            <v>1554.7215000000001</v>
          </cell>
          <cell r="M1173">
            <v>0</v>
          </cell>
          <cell r="N1173">
            <v>1899.99</v>
          </cell>
          <cell r="O1173" t="str">
            <v/>
          </cell>
          <cell r="P1173">
            <v>0</v>
          </cell>
          <cell r="Q1173">
            <v>0.22207739456873801</v>
          </cell>
          <cell r="R1173">
            <v>0.22207739456873801</v>
          </cell>
          <cell r="S1173" t="e">
            <v>#VALUE!</v>
          </cell>
          <cell r="T1173" t="e">
            <v>#VALUE!</v>
          </cell>
        </row>
        <row r="1174">
          <cell r="A1174" t="str">
            <v>G221249NLX</v>
          </cell>
          <cell r="B1174" t="str">
            <v>MKP000631003554</v>
          </cell>
          <cell r="C1174" t="str">
            <v/>
          </cell>
          <cell r="D1174" t="str">
            <v>Balcão Gabinete de Pia Madesa Lux 120 cm 2 Portas 3 Gavetas (Sem Tampo) Rustic/Cinza</v>
          </cell>
          <cell r="E1174" t="str">
            <v>LUX</v>
          </cell>
          <cell r="F1174" t="str">
            <v>MODULAÇÃO</v>
          </cell>
          <cell r="G1174" t="str">
            <v/>
          </cell>
          <cell r="H1174">
            <v>1759.99</v>
          </cell>
          <cell r="I1174">
            <v>1329.99</v>
          </cell>
          <cell r="J1174">
            <v>831.67</v>
          </cell>
          <cell r="K1174">
            <v>0</v>
          </cell>
          <cell r="L1174">
            <v>831.67</v>
          </cell>
          <cell r="M1174">
            <v>0</v>
          </cell>
          <cell r="N1174">
            <v>1329.99</v>
          </cell>
          <cell r="O1174" t="str">
            <v>LOJA</v>
          </cell>
          <cell r="P1174">
            <v>1319.99</v>
          </cell>
          <cell r="Q1174">
            <v>0.59917996320655997</v>
          </cell>
          <cell r="R1174">
            <v>0.59917996320655997</v>
          </cell>
          <cell r="S1174" t="e">
            <v>#VALUE!</v>
          </cell>
          <cell r="T1174" t="e">
            <v>#VALUE!</v>
          </cell>
        </row>
        <row r="1175">
          <cell r="A1175" t="str">
            <v>G2412373GL</v>
          </cell>
          <cell r="B1175" t="str">
            <v>MKP000631001131</v>
          </cell>
          <cell r="C1175" t="str">
            <v/>
          </cell>
          <cell r="D1175" t="str">
            <v>Balcão Gabinete de Pia Madesa Glamy 120 cm 1 Porta 2 Gavetas (Sem Tampo e Pia) Branco/Preto</v>
          </cell>
          <cell r="E1175" t="str">
            <v>GLAMY</v>
          </cell>
          <cell r="F1175" t="str">
            <v>MODULAÇÃO</v>
          </cell>
          <cell r="G1175" t="str">
            <v/>
          </cell>
          <cell r="H1175">
            <v>1149.99</v>
          </cell>
          <cell r="I1175">
            <v>579.99</v>
          </cell>
          <cell r="J1175">
            <v>447.5976</v>
          </cell>
          <cell r="K1175">
            <v>0</v>
          </cell>
          <cell r="L1175">
            <v>447.5976</v>
          </cell>
          <cell r="M1175">
            <v>0</v>
          </cell>
          <cell r="N1175">
            <v>579.99</v>
          </cell>
          <cell r="O1175" t="str">
            <v/>
          </cell>
          <cell r="P1175">
            <v>0</v>
          </cell>
          <cell r="Q1175">
            <v>0.29578442779853997</v>
          </cell>
          <cell r="R1175">
            <v>0.29578442779853997</v>
          </cell>
          <cell r="S1175" t="e">
            <v>#VALUE!</v>
          </cell>
          <cell r="T1175" t="e">
            <v>#VALUE!</v>
          </cell>
        </row>
        <row r="1176">
          <cell r="A1176" t="str">
            <v>G2560209</v>
          </cell>
          <cell r="B1176" t="str">
            <v>MKP000631003409</v>
          </cell>
          <cell r="C1176" t="str">
            <v/>
          </cell>
          <cell r="D1176" t="str">
            <v>Armário Aéreo Madesa Acordes 100% MDF 60 cm 1 Porta Basculante Branco Brilho</v>
          </cell>
          <cell r="E1176" t="str">
            <v>ACORDES</v>
          </cell>
          <cell r="F1176" t="str">
            <v>MODULAÇÃO</v>
          </cell>
          <cell r="G1176" t="str">
            <v/>
          </cell>
          <cell r="H1176">
            <v>409.99</v>
          </cell>
          <cell r="I1176">
            <v>259.99</v>
          </cell>
          <cell r="J1176">
            <v>162.46449999999999</v>
          </cell>
          <cell r="K1176">
            <v>0</v>
          </cell>
          <cell r="L1176">
            <v>162.46449999999999</v>
          </cell>
          <cell r="M1176">
            <v>0</v>
          </cell>
          <cell r="N1176">
            <v>259.99</v>
          </cell>
          <cell r="O1176" t="str">
            <v/>
          </cell>
          <cell r="P1176">
            <v>0</v>
          </cell>
          <cell r="Q1176">
            <v>0.60028806293067105</v>
          </cell>
          <cell r="R1176">
            <v>0.60028806293067105</v>
          </cell>
          <cell r="S1176" t="e">
            <v>#VALUE!</v>
          </cell>
          <cell r="T1176" t="e">
            <v>#VALUE!</v>
          </cell>
        </row>
        <row r="1177">
          <cell r="A1177" t="str">
            <v>GCGL2690016E</v>
          </cell>
          <cell r="B1177" t="str">
            <v>MKP000631004516</v>
          </cell>
          <cell r="C1177" t="str">
            <v/>
          </cell>
          <cell r="D1177" t="str">
            <v>Armário de Cozinha Compacta de Canto 269cm Rustic/Branco Glamy Madesa 01</v>
          </cell>
          <cell r="E1177" t="str">
            <v>GLAMY</v>
          </cell>
          <cell r="F1177" t="str">
            <v>COZINHA</v>
          </cell>
          <cell r="G1177" t="str">
            <v/>
          </cell>
          <cell r="H1177">
            <v>1999.99</v>
          </cell>
          <cell r="I1177">
            <v>1899.99</v>
          </cell>
          <cell r="J1177">
            <v>1554.7215000000001</v>
          </cell>
          <cell r="K1177">
            <v>0</v>
          </cell>
          <cell r="L1177">
            <v>1554.7215000000001</v>
          </cell>
          <cell r="M1177">
            <v>0</v>
          </cell>
          <cell r="N1177">
            <v>1899.99</v>
          </cell>
          <cell r="O1177" t="str">
            <v/>
          </cell>
          <cell r="P1177">
            <v>0</v>
          </cell>
          <cell r="Q1177">
            <v>0.22207739456873801</v>
          </cell>
          <cell r="R1177">
            <v>0.22207739456873801</v>
          </cell>
          <cell r="S1177" t="e">
            <v>#VALUE!</v>
          </cell>
          <cell r="T1177" t="e">
            <v>#VALUE!</v>
          </cell>
        </row>
        <row r="1178">
          <cell r="A1178" t="str">
            <v>G2540009PR</v>
          </cell>
          <cell r="B1178" t="str">
            <v>MKP000631004428</v>
          </cell>
          <cell r="C1178" t="str">
            <v/>
          </cell>
          <cell r="D1178" t="str">
            <v>Armário Aéreo 40 cm com 2 Nichos Abertos para Cozinha Madesa Lux, Glamy, Agata, Stella Branco</v>
          </cell>
          <cell r="E1178" t="str">
            <v>PR</v>
          </cell>
          <cell r="F1178" t="str">
            <v>MODULAÇÃO</v>
          </cell>
          <cell r="G1178" t="str">
            <v/>
          </cell>
          <cell r="H1178">
            <v>319.89999999999998</v>
          </cell>
          <cell r="I1178">
            <v>189.99</v>
          </cell>
          <cell r="J1178">
            <v>109.4469</v>
          </cell>
          <cell r="K1178">
            <v>0</v>
          </cell>
          <cell r="L1178">
            <v>109.4469</v>
          </cell>
          <cell r="M1178">
            <v>0</v>
          </cell>
          <cell r="N1178">
            <v>189.99</v>
          </cell>
          <cell r="O1178" t="str">
            <v/>
          </cell>
          <cell r="P1178">
            <v>0</v>
          </cell>
          <cell r="Q1178">
            <v>0.73591029074373104</v>
          </cell>
          <cell r="R1178">
            <v>0.73591029074373104</v>
          </cell>
          <cell r="S1178" t="e">
            <v>#VALUE!</v>
          </cell>
          <cell r="T1178" t="e">
            <v>#VALUE!</v>
          </cell>
        </row>
        <row r="1179">
          <cell r="A1179" t="str">
            <v>1093092GCP</v>
          </cell>
          <cell r="B1179" t="str">
            <v>MKP000631001070</v>
          </cell>
          <cell r="C1179" t="str">
            <v/>
          </cell>
          <cell r="D1179" t="str">
            <v>Guarda-Roupa Casal Madesa Lyon 3 Portas de Correr 2 Gavetas com Pés Branco</v>
          </cell>
          <cell r="E1179" t="str">
            <v>LYON</v>
          </cell>
          <cell r="F1179" t="str">
            <v>QUARTO</v>
          </cell>
          <cell r="G1179" t="str">
            <v/>
          </cell>
          <cell r="H1179">
            <v>1169.99</v>
          </cell>
          <cell r="I1179">
            <v>929.92</v>
          </cell>
          <cell r="J1179">
            <v>755.77329999999995</v>
          </cell>
          <cell r="K1179">
            <v>0</v>
          </cell>
          <cell r="L1179">
            <v>755.77329999999995</v>
          </cell>
          <cell r="M1179">
            <v>0</v>
          </cell>
          <cell r="N1179">
            <v>929.92</v>
          </cell>
          <cell r="O1179" t="str">
            <v/>
          </cell>
          <cell r="P1179">
            <v>0</v>
          </cell>
          <cell r="Q1179">
            <v>0.230421873860852</v>
          </cell>
          <cell r="R1179">
            <v>0.230421873860852</v>
          </cell>
          <cell r="S1179" t="e">
            <v>#VALUE!</v>
          </cell>
          <cell r="T1179" t="e">
            <v>#VALUE!</v>
          </cell>
        </row>
        <row r="1180">
          <cell r="A1180" t="str">
            <v>10945Z4G</v>
          </cell>
          <cell r="B1180" t="str">
            <v>MKP000631000781</v>
          </cell>
          <cell r="C1180" t="str">
            <v/>
          </cell>
          <cell r="D1180" t="str">
            <v>Guarda-Roupa Solteiro Madesa Dallas Plus 2 Portas de Correr 4 Gavetas Rustic</v>
          </cell>
          <cell r="E1180" t="str">
            <v>DALLAS PLUS</v>
          </cell>
          <cell r="F1180" t="str">
            <v>QUARTO</v>
          </cell>
          <cell r="G1180" t="str">
            <v/>
          </cell>
          <cell r="H1180">
            <v>1319.99</v>
          </cell>
          <cell r="I1180">
            <v>819.92</v>
          </cell>
          <cell r="J1180">
            <v>652.58299999999997</v>
          </cell>
          <cell r="K1180">
            <v>0</v>
          </cell>
          <cell r="L1180">
            <v>652.58299999999997</v>
          </cell>
          <cell r="M1180">
            <v>0</v>
          </cell>
          <cell r="N1180">
            <v>819.92</v>
          </cell>
          <cell r="O1180" t="str">
            <v/>
          </cell>
          <cell r="P1180">
            <v>0</v>
          </cell>
          <cell r="Q1180">
            <v>0.25642255467886799</v>
          </cell>
          <cell r="R1180">
            <v>0.25642255467886799</v>
          </cell>
          <cell r="S1180" t="e">
            <v>#VALUE!</v>
          </cell>
          <cell r="T1180" t="e">
            <v>#VALUE!</v>
          </cell>
        </row>
        <row r="1181">
          <cell r="A1181" t="str">
            <v>XAG20088095ZRF</v>
          </cell>
          <cell r="B1181" t="str">
            <v>MKP000631003304</v>
          </cell>
          <cell r="C1181" t="str">
            <v/>
          </cell>
          <cell r="D1181" t="str">
            <v>Armário de Cozinha Completa Madesa Diamante com Balcão e Tampo Branco/Rustic</v>
          </cell>
          <cell r="E1181" t="str">
            <v>DIAMANTE</v>
          </cell>
          <cell r="F1181" t="str">
            <v>COZINHA</v>
          </cell>
          <cell r="G1181" t="str">
            <v/>
          </cell>
          <cell r="H1181">
            <v>1499.99</v>
          </cell>
          <cell r="I1181">
            <v>1399.99</v>
          </cell>
          <cell r="J1181">
            <v>1065.8128999999999</v>
          </cell>
          <cell r="K1181">
            <v>0</v>
          </cell>
          <cell r="L1181">
            <v>1065.8128999999999</v>
          </cell>
          <cell r="M1181">
            <v>0</v>
          </cell>
          <cell r="N1181">
            <v>1399.99</v>
          </cell>
          <cell r="O1181" t="str">
            <v>CARREFOUR</v>
          </cell>
          <cell r="P1181">
            <v>1299.99</v>
          </cell>
          <cell r="Q1181">
            <v>0.31354199222021001</v>
          </cell>
          <cell r="R1181">
            <v>0.31354199222021001</v>
          </cell>
          <cell r="S1181" t="e">
            <v>#VALUE!</v>
          </cell>
          <cell r="T1181" t="e">
            <v>#VALUE!</v>
          </cell>
        </row>
        <row r="1182">
          <cell r="A1182" t="str">
            <v>XB1063093E</v>
          </cell>
          <cell r="B1182" t="str">
            <v>MKP000631001430</v>
          </cell>
          <cell r="C1182" t="str">
            <v/>
          </cell>
          <cell r="D1182" t="str">
            <v>Guarda-Roupa Juvenil 100% MDF Madesa Kevin 3 Portas de Correr de Espelho Branco</v>
          </cell>
          <cell r="E1182" t="str">
            <v>KEVIN</v>
          </cell>
          <cell r="F1182" t="str">
            <v>QUARTO</v>
          </cell>
          <cell r="G1182" t="str">
            <v/>
          </cell>
          <cell r="H1182">
            <v>4069.99</v>
          </cell>
          <cell r="I1182">
            <v>2769.99</v>
          </cell>
          <cell r="J1182">
            <v>2275.1352000000002</v>
          </cell>
          <cell r="K1182">
            <v>0</v>
          </cell>
          <cell r="L1182">
            <v>2275.1352000000002</v>
          </cell>
          <cell r="M1182">
            <v>0</v>
          </cell>
          <cell r="N1182">
            <v>2769.99</v>
          </cell>
          <cell r="O1182" t="str">
            <v>MADEIRAMADEIRA</v>
          </cell>
          <cell r="P1182">
            <v>2759.99</v>
          </cell>
          <cell r="Q1182">
            <v>0.217505667355505</v>
          </cell>
          <cell r="R1182">
            <v>0.217505667355505</v>
          </cell>
          <cell r="S1182" t="e">
            <v>#VALUE!</v>
          </cell>
          <cell r="T1182" t="e">
            <v>#VALUE!</v>
          </cell>
        </row>
        <row r="1183">
          <cell r="A1183" t="str">
            <v>GRTP2600029B</v>
          </cell>
          <cell r="B1183" t="str">
            <v>MKP000631004964</v>
          </cell>
          <cell r="C1183" t="str">
            <v/>
          </cell>
          <cell r="D1183" t="str">
            <v>Armário de Cozinha Completa 260cm Branco/Rustic Diamante Madesa 02</v>
          </cell>
          <cell r="E1183" t="str">
            <v>DIAMANTE</v>
          </cell>
          <cell r="F1183" t="str">
            <v>COZINHA</v>
          </cell>
          <cell r="G1183" t="str">
            <v/>
          </cell>
          <cell r="H1183">
            <v>1199.99</v>
          </cell>
          <cell r="I1183">
            <v>1199.99</v>
          </cell>
          <cell r="J1183">
            <v>987.83429999999998</v>
          </cell>
          <cell r="K1183">
            <v>0</v>
          </cell>
          <cell r="L1183">
            <v>987.83429999999998</v>
          </cell>
          <cell r="M1183">
            <v>0</v>
          </cell>
          <cell r="N1183">
            <v>1199.99</v>
          </cell>
          <cell r="O1183" t="str">
            <v/>
          </cell>
          <cell r="P1183">
            <v>0</v>
          </cell>
          <cell r="Q1183">
            <v>0.21476850925301899</v>
          </cell>
          <cell r="R1183">
            <v>0.21476850925301899</v>
          </cell>
          <cell r="S1183" t="e">
            <v>#VALUE!</v>
          </cell>
          <cell r="T1183" t="e">
            <v>#VALUE!</v>
          </cell>
        </row>
        <row r="1184">
          <cell r="A1184" t="str">
            <v>XAGRGM3500019B</v>
          </cell>
          <cell r="B1184" t="str">
            <v>MKP000631003744</v>
          </cell>
          <cell r="C1184" t="str">
            <v/>
          </cell>
          <cell r="D1184" t="str">
            <v>Armário de Cozinha Completa 100% MDF 350cm Branco/Rustic Acordes Madesa XA01</v>
          </cell>
          <cell r="E1184" t="str">
            <v>ACORDES</v>
          </cell>
          <cell r="F1184" t="str">
            <v>COZINHA</v>
          </cell>
          <cell r="G1184" t="str">
            <v/>
          </cell>
          <cell r="H1184">
            <v>1999.99</v>
          </cell>
          <cell r="I1184">
            <v>1899.99</v>
          </cell>
          <cell r="J1184">
            <v>1572.87</v>
          </cell>
          <cell r="K1184">
            <v>0</v>
          </cell>
          <cell r="L1184">
            <v>1572.87</v>
          </cell>
          <cell r="M1184">
            <v>0</v>
          </cell>
          <cell r="N1184">
            <v>1899.99</v>
          </cell>
          <cell r="O1184" t="str">
            <v/>
          </cell>
          <cell r="P1184">
            <v>0</v>
          </cell>
          <cell r="Q1184">
            <v>0.207976501554483</v>
          </cell>
          <cell r="R1184">
            <v>0.207976501554483</v>
          </cell>
          <cell r="S1184" t="e">
            <v>#VALUE!</v>
          </cell>
          <cell r="T1184" t="e">
            <v>#VALUE!</v>
          </cell>
        </row>
        <row r="1185">
          <cell r="A1185" t="str">
            <v>GCAG479001F9</v>
          </cell>
          <cell r="B1185" t="str">
            <v>MKP000631004521</v>
          </cell>
          <cell r="C1185" t="str">
            <v/>
          </cell>
          <cell r="D1185" t="str">
            <v>Armário de Cozinha Completa de Canto 479cm Rustic Cinza Agata Madesa 01</v>
          </cell>
          <cell r="E1185" t="str">
            <v>ÁGATA</v>
          </cell>
          <cell r="F1185" t="str">
            <v>COZINHA</v>
          </cell>
          <cell r="G1185" t="str">
            <v/>
          </cell>
          <cell r="H1185">
            <v>4069.99</v>
          </cell>
          <cell r="I1185">
            <v>3549.92</v>
          </cell>
          <cell r="J1185">
            <v>2881.8182999999999</v>
          </cell>
          <cell r="K1185">
            <v>0</v>
          </cell>
          <cell r="L1185">
            <v>2881.8182999999999</v>
          </cell>
          <cell r="M1185">
            <v>0</v>
          </cell>
          <cell r="N1185">
            <v>3549.92</v>
          </cell>
          <cell r="O1185" t="str">
            <v/>
          </cell>
          <cell r="P1185">
            <v>0</v>
          </cell>
          <cell r="Q1185">
            <v>0.23183338796897801</v>
          </cell>
          <cell r="R1185">
            <v>0.23183338796897801</v>
          </cell>
          <cell r="S1185" t="e">
            <v>#VALUE!</v>
          </cell>
          <cell r="T1185" t="e">
            <v>#VALUE!</v>
          </cell>
        </row>
        <row r="1186">
          <cell r="A1186" t="str">
            <v>GCGL4590017K</v>
          </cell>
          <cell r="B1186" t="str">
            <v>MKP000631004317</v>
          </cell>
          <cell r="C1186" t="str">
            <v/>
          </cell>
          <cell r="D1186" t="str">
            <v>Armário de Cozinha Completa de Canto 459cm Rustic Preto Glamy Madesa 01</v>
          </cell>
          <cell r="E1186" t="str">
            <v>GLAMY</v>
          </cell>
          <cell r="F1186" t="str">
            <v>COZINHA</v>
          </cell>
          <cell r="G1186" t="str">
            <v/>
          </cell>
          <cell r="H1186">
            <v>3599.99</v>
          </cell>
          <cell r="I1186">
            <v>3499.99</v>
          </cell>
          <cell r="J1186">
            <v>2819.9825999999998</v>
          </cell>
          <cell r="K1186">
            <v>0</v>
          </cell>
          <cell r="L1186">
            <v>2819.9825999999998</v>
          </cell>
          <cell r="M1186">
            <v>0</v>
          </cell>
          <cell r="N1186">
            <v>3499.99</v>
          </cell>
          <cell r="O1186" t="str">
            <v/>
          </cell>
          <cell r="P1186">
            <v>0</v>
          </cell>
          <cell r="Q1186">
            <v>0.24113886376461999</v>
          </cell>
          <cell r="R1186">
            <v>0.24113886376461999</v>
          </cell>
          <cell r="S1186" t="e">
            <v>#VALUE!</v>
          </cell>
          <cell r="T1186" t="e">
            <v>#VALUE!</v>
          </cell>
        </row>
        <row r="1187">
          <cell r="A1187" t="str">
            <v>GRNC3000053B</v>
          </cell>
          <cell r="B1187" t="str">
            <v>MKP000631004802</v>
          </cell>
          <cell r="C1187" t="str">
            <v/>
          </cell>
          <cell r="D1187" t="str">
            <v>Armário de Cozinha Completa 300cm Cinza Nice Madesa 05</v>
          </cell>
          <cell r="E1187" t="str">
            <v>NICE</v>
          </cell>
          <cell r="F1187" t="str">
            <v>COZINHA</v>
          </cell>
          <cell r="G1187" t="str">
            <v/>
          </cell>
          <cell r="H1187">
            <v>2099.9899999999998</v>
          </cell>
          <cell r="I1187">
            <v>2019.99</v>
          </cell>
          <cell r="J1187">
            <v>1520.6917000000001</v>
          </cell>
          <cell r="K1187">
            <v>0</v>
          </cell>
          <cell r="L1187">
            <v>1520.6917000000001</v>
          </cell>
          <cell r="M1187">
            <v>0</v>
          </cell>
          <cell r="N1187">
            <v>2019.99</v>
          </cell>
          <cell r="O1187" t="str">
            <v>MADEIRAMADEIRA</v>
          </cell>
          <cell r="P1187">
            <v>1999.99</v>
          </cell>
          <cell r="Q1187">
            <v>0.32833630906251399</v>
          </cell>
          <cell r="R1187">
            <v>0.32833630906251399</v>
          </cell>
          <cell r="S1187" t="e">
            <v>#VALUE!</v>
          </cell>
          <cell r="T1187" t="e">
            <v>#VALUE!</v>
          </cell>
        </row>
        <row r="1188">
          <cell r="A1188" t="str">
            <v>MDJA0401085ZLIB</v>
          </cell>
          <cell r="B1188" t="str">
            <v>MKP000631004175</v>
          </cell>
          <cell r="C1188" t="str">
            <v/>
          </cell>
          <cell r="D1188" t="str">
            <v>Conjunto Sala de Jantar Madesa Débora Mesa Tampo de Vidro Redondo 4 Cadeiras Rustic/Lírio Bege</v>
          </cell>
          <cell r="E1188" t="str">
            <v>DÉBORA</v>
          </cell>
          <cell r="F1188" t="str">
            <v>SALA DE JANTAR</v>
          </cell>
          <cell r="G1188" t="str">
            <v>4290X</v>
          </cell>
          <cell r="H1188">
            <v>779.99</v>
          </cell>
          <cell r="I1188">
            <v>679.99</v>
          </cell>
          <cell r="J1188">
            <v>531.88729999999998</v>
          </cell>
          <cell r="K1188">
            <v>0</v>
          </cell>
          <cell r="L1188">
            <v>531.88729999999998</v>
          </cell>
          <cell r="M1188">
            <v>0</v>
          </cell>
          <cell r="N1188">
            <v>679.99</v>
          </cell>
          <cell r="O1188" t="str">
            <v/>
          </cell>
          <cell r="P1188">
            <v>0</v>
          </cell>
          <cell r="Q1188">
            <v>0.27844752074358597</v>
          </cell>
          <cell r="R1188">
            <v>0.27844752074358597</v>
          </cell>
          <cell r="S1188" t="e">
            <v>#VALUE!</v>
          </cell>
          <cell r="T1188" t="e">
            <v>#VALUE!</v>
          </cell>
        </row>
        <row r="1189">
          <cell r="A1189" t="str">
            <v>GRGL3300019B</v>
          </cell>
          <cell r="B1189" t="str">
            <v>MKP000631000597</v>
          </cell>
          <cell r="C1189" t="str">
            <v/>
          </cell>
          <cell r="D1189" t="str">
            <v>Armário de Cozinha Completa 330cm Branco/Rustic Roma Madesa 01</v>
          </cell>
          <cell r="E1189" t="str">
            <v>ROMA/GLAMY</v>
          </cell>
          <cell r="F1189" t="str">
            <v>COZINHA</v>
          </cell>
          <cell r="G1189" t="str">
            <v/>
          </cell>
          <cell r="H1189">
            <v>3099.99</v>
          </cell>
          <cell r="I1189">
            <v>2999.99</v>
          </cell>
          <cell r="J1189">
            <v>2492.6338000000001</v>
          </cell>
          <cell r="K1189">
            <v>0</v>
          </cell>
          <cell r="L1189">
            <v>2492.6338000000001</v>
          </cell>
          <cell r="M1189">
            <v>0</v>
          </cell>
          <cell r="N1189">
            <v>2999.99</v>
          </cell>
          <cell r="O1189" t="str">
            <v/>
          </cell>
          <cell r="P1189">
            <v>0</v>
          </cell>
          <cell r="Q1189">
            <v>0.203542213059936</v>
          </cell>
          <cell r="R1189">
            <v>0.203542213059936</v>
          </cell>
          <cell r="S1189" t="e">
            <v>#VALUE!</v>
          </cell>
          <cell r="T1189" t="e">
            <v>#VALUE!</v>
          </cell>
        </row>
        <row r="1190">
          <cell r="A1190" t="str">
            <v>1163093ECP</v>
          </cell>
          <cell r="B1190" t="str">
            <v>MKP000631001124</v>
          </cell>
          <cell r="C1190" t="str">
            <v/>
          </cell>
          <cell r="D1190" t="str">
            <v>Guarda-Roupa Casal 100% MDF Madesa Eros 3 Portas de Correr de Espelho com Pés Branco</v>
          </cell>
          <cell r="E1190" t="str">
            <v>EROS</v>
          </cell>
          <cell r="F1190" t="str">
            <v>QUARTO</v>
          </cell>
          <cell r="G1190" t="str">
            <v/>
          </cell>
          <cell r="H1190">
            <v>3189.99</v>
          </cell>
          <cell r="I1190">
            <v>2359.92</v>
          </cell>
          <cell r="J1190">
            <v>1987.3207</v>
          </cell>
          <cell r="K1190">
            <v>0</v>
          </cell>
          <cell r="L1190">
            <v>1987.3207</v>
          </cell>
          <cell r="M1190">
            <v>0</v>
          </cell>
          <cell r="N1190">
            <v>2359.92</v>
          </cell>
          <cell r="O1190" t="str">
            <v/>
          </cell>
          <cell r="P1190">
            <v>0</v>
          </cell>
          <cell r="Q1190">
            <v>0.187488259947174</v>
          </cell>
          <cell r="R1190">
            <v>0.187488259947174</v>
          </cell>
          <cell r="S1190" t="e">
            <v>#VALUE!</v>
          </cell>
          <cell r="T1190" t="e">
            <v>#VALUE!</v>
          </cell>
        </row>
        <row r="1191">
          <cell r="A1191" t="str">
            <v>MDJA0601507GBE</v>
          </cell>
          <cell r="B1191" t="str">
            <v>MKP000631005733</v>
          </cell>
          <cell r="C1191" t="str">
            <v/>
          </cell>
          <cell r="D1191" t="str">
            <v>Conjunto Sala de Jantar Mesa Tampo de Madeira 6 Cadeiras Rustic/Crema/Bege Wendy Madesa</v>
          </cell>
          <cell r="E1191" t="str">
            <v>WENDY</v>
          </cell>
          <cell r="F1191" t="str">
            <v>SALA DE JANTAR</v>
          </cell>
          <cell r="G1191" t="str">
            <v>4291X</v>
          </cell>
          <cell r="H1191">
            <v>849.99</v>
          </cell>
          <cell r="I1191">
            <v>777.76</v>
          </cell>
          <cell r="J1191">
            <v>590.49659999999994</v>
          </cell>
          <cell r="K1191">
            <v>0</v>
          </cell>
          <cell r="L1191">
            <v>590.49659999999994</v>
          </cell>
          <cell r="M1191">
            <v>0</v>
          </cell>
          <cell r="N1191">
            <v>777.76</v>
          </cell>
          <cell r="O1191" t="str">
            <v>LEROY</v>
          </cell>
          <cell r="P1191">
            <v>776.99</v>
          </cell>
          <cell r="Q1191">
            <v>0.31712866763331099</v>
          </cell>
          <cell r="R1191">
            <v>0.31712866763331099</v>
          </cell>
          <cell r="S1191" t="e">
            <v>#VALUE!</v>
          </cell>
          <cell r="T1191" t="e">
            <v>#VALUE!</v>
          </cell>
        </row>
        <row r="1192">
          <cell r="A1192" t="str">
            <v>G2412073</v>
          </cell>
          <cell r="B1192" t="str">
            <v>MKP000631004945</v>
          </cell>
          <cell r="C1192" t="str">
            <v/>
          </cell>
          <cell r="D1192" t="str">
            <v>Balcão Gabinete de Pia 100% MDF 120 cm 2 Portas Branco/Preto Acordes Madesa</v>
          </cell>
          <cell r="E1192" t="str">
            <v>ACORDES</v>
          </cell>
          <cell r="F1192" t="str">
            <v>MODULAÇÃO</v>
          </cell>
          <cell r="G1192" t="str">
            <v/>
          </cell>
          <cell r="H1192">
            <v>629.99</v>
          </cell>
          <cell r="I1192">
            <v>519.99</v>
          </cell>
          <cell r="J1192">
            <v>396.83629999999999</v>
          </cell>
          <cell r="K1192">
            <v>0</v>
          </cell>
          <cell r="L1192">
            <v>396.83629999999999</v>
          </cell>
          <cell r="M1192">
            <v>0</v>
          </cell>
          <cell r="N1192">
            <v>519.99</v>
          </cell>
          <cell r="O1192" t="str">
            <v/>
          </cell>
          <cell r="P1192">
            <v>0</v>
          </cell>
          <cell r="Q1192">
            <v>0.31033879713120999</v>
          </cell>
          <cell r="R1192">
            <v>0.31033879713120999</v>
          </cell>
          <cell r="S1192" t="e">
            <v>#VALUE!</v>
          </cell>
          <cell r="T1192" t="e">
            <v>#VALUE!</v>
          </cell>
        </row>
        <row r="1193">
          <cell r="A1193" t="str">
            <v>11639B2E</v>
          </cell>
          <cell r="B1193" t="str">
            <v>MKP000631001191</v>
          </cell>
          <cell r="C1193" t="str">
            <v/>
          </cell>
          <cell r="D1193" t="str">
            <v>Guarda-Roupa Casal 100% MDF Madesa Eros 3 Portas de Correr com Espelhos Branco/Rustic</v>
          </cell>
          <cell r="E1193" t="str">
            <v>EROS</v>
          </cell>
          <cell r="F1193" t="str">
            <v>QUARTO</v>
          </cell>
          <cell r="G1193" t="str">
            <v/>
          </cell>
          <cell r="H1193">
            <v>2989.99</v>
          </cell>
          <cell r="I1193">
            <v>2139.92</v>
          </cell>
          <cell r="J1193">
            <v>1811.2094</v>
          </cell>
          <cell r="K1193">
            <v>0</v>
          </cell>
          <cell r="L1193">
            <v>1811.2094</v>
          </cell>
          <cell r="M1193">
            <v>0</v>
          </cell>
          <cell r="N1193">
            <v>2139.92</v>
          </cell>
          <cell r="O1193" t="str">
            <v/>
          </cell>
          <cell r="P1193">
            <v>0</v>
          </cell>
          <cell r="Q1193">
            <v>0.18148680102919101</v>
          </cell>
          <cell r="R1193">
            <v>0.18148680102919101</v>
          </cell>
          <cell r="S1193" t="e">
            <v>#VALUE!</v>
          </cell>
          <cell r="T1193" t="e">
            <v>#VALUE!</v>
          </cell>
        </row>
        <row r="1194">
          <cell r="A1194" t="str">
            <v>70087K5ZPP</v>
          </cell>
          <cell r="B1194" t="str">
            <v>MKP000631001677</v>
          </cell>
          <cell r="C1194" t="str">
            <v/>
          </cell>
          <cell r="D1194" t="str">
            <v>Rack para TV até 65 Polegadas Madesa Cancun com Pés Rustic/Preto 7K5Z</v>
          </cell>
          <cell r="E1194" t="str">
            <v>CANCUN</v>
          </cell>
          <cell r="F1194" t="str">
            <v>SALA DE ESTAR</v>
          </cell>
          <cell r="G1194" t="str">
            <v/>
          </cell>
          <cell r="H1194">
            <v>459.99</v>
          </cell>
          <cell r="I1194">
            <v>359.99</v>
          </cell>
          <cell r="J1194">
            <v>271.62799999999999</v>
          </cell>
          <cell r="K1194">
            <v>0</v>
          </cell>
          <cell r="L1194">
            <v>271.62799999999999</v>
          </cell>
          <cell r="M1194">
            <v>0</v>
          </cell>
          <cell r="N1194">
            <v>359.99</v>
          </cell>
          <cell r="O1194" t="str">
            <v/>
          </cell>
          <cell r="P1194">
            <v>0</v>
          </cell>
          <cell r="Q1194">
            <v>0.32530519681328901</v>
          </cell>
          <cell r="R1194">
            <v>0.32530519681328901</v>
          </cell>
          <cell r="S1194" t="e">
            <v>#VALUE!</v>
          </cell>
          <cell r="T1194" t="e">
            <v>#VALUE!</v>
          </cell>
        </row>
        <row r="1195">
          <cell r="A1195" t="str">
            <v>GRRM26001109</v>
          </cell>
          <cell r="B1195" t="str">
            <v>MKP000631004201</v>
          </cell>
          <cell r="C1195" t="str">
            <v/>
          </cell>
          <cell r="D1195" t="str">
            <v>Armário de Cozinha Completa 260cm Branco Reims Madesa 11</v>
          </cell>
          <cell r="E1195" t="str">
            <v>REIMS</v>
          </cell>
          <cell r="F1195" t="str">
            <v>COZINHA</v>
          </cell>
          <cell r="G1195" t="str">
            <v/>
          </cell>
          <cell r="H1195">
            <v>1299.99</v>
          </cell>
          <cell r="I1195">
            <v>1199.99</v>
          </cell>
          <cell r="J1195">
            <v>995.02829999999994</v>
          </cell>
          <cell r="K1195">
            <v>0</v>
          </cell>
          <cell r="L1195">
            <v>995.02829999999994</v>
          </cell>
          <cell r="M1195">
            <v>0</v>
          </cell>
          <cell r="N1195">
            <v>1199.99</v>
          </cell>
          <cell r="O1195" t="str">
            <v>MAGALU</v>
          </cell>
          <cell r="P1195">
            <v>1157.8800000000001</v>
          </cell>
          <cell r="Q1195">
            <v>0.20598579959987101</v>
          </cell>
          <cell r="R1195">
            <v>0.20598579959987101</v>
          </cell>
          <cell r="S1195" t="e">
            <v>#VALUE!</v>
          </cell>
          <cell r="T1195" t="e">
            <v>#VALUE!</v>
          </cell>
        </row>
        <row r="1196">
          <cell r="A1196" t="str">
            <v>XAGRTP06000109</v>
          </cell>
          <cell r="B1196" t="str">
            <v>MKP000631001720</v>
          </cell>
          <cell r="C1196" t="str">
            <v/>
          </cell>
          <cell r="D1196" t="str">
            <v>Kit Área de Serviço Madesa Topazio 60 cm com Armário e Balcão Branco</v>
          </cell>
          <cell r="E1196" t="str">
            <v>TOPÁZIO</v>
          </cell>
          <cell r="F1196" t="str">
            <v>COZINHA</v>
          </cell>
          <cell r="G1196" t="str">
            <v/>
          </cell>
          <cell r="H1196">
            <v>499.99</v>
          </cell>
          <cell r="I1196">
            <v>399.99</v>
          </cell>
          <cell r="J1196">
            <v>252.36770000000001</v>
          </cell>
          <cell r="K1196">
            <v>0</v>
          </cell>
          <cell r="L1196">
            <v>252.36770000000001</v>
          </cell>
          <cell r="M1196">
            <v>0</v>
          </cell>
          <cell r="N1196">
            <v>399.99</v>
          </cell>
          <cell r="O1196" t="str">
            <v/>
          </cell>
          <cell r="P1196">
            <v>0</v>
          </cell>
          <cell r="Q1196">
            <v>0.58494926252448298</v>
          </cell>
          <cell r="R1196">
            <v>0.58494926252448298</v>
          </cell>
          <cell r="S1196" t="e">
            <v>#VALUE!</v>
          </cell>
          <cell r="T1196" t="e">
            <v>#VALUE!</v>
          </cell>
        </row>
        <row r="1197">
          <cell r="A1197" t="str">
            <v>GRAG270003F8</v>
          </cell>
          <cell r="B1197" t="str">
            <v>MKP000631004561</v>
          </cell>
          <cell r="C1197" t="str">
            <v/>
          </cell>
          <cell r="D1197" t="str">
            <v>Armário de Cozinha Completa 270cm Branco Cinza Agata Madesa 03</v>
          </cell>
          <cell r="E1197" t="str">
            <v>ÁGATA</v>
          </cell>
          <cell r="F1197" t="str">
            <v>COZINHA</v>
          </cell>
          <cell r="G1197" t="str">
            <v/>
          </cell>
          <cell r="H1197">
            <v>2199.9899999999998</v>
          </cell>
          <cell r="I1197">
            <v>2099.9899999999998</v>
          </cell>
          <cell r="J1197">
            <v>1695.8765000000001</v>
          </cell>
          <cell r="K1197">
            <v>0</v>
          </cell>
          <cell r="L1197">
            <v>1695.8765000000001</v>
          </cell>
          <cell r="M1197">
            <v>0</v>
          </cell>
          <cell r="N1197">
            <v>2099.9899999999998</v>
          </cell>
          <cell r="O1197" t="str">
            <v/>
          </cell>
          <cell r="P1197">
            <v>0</v>
          </cell>
          <cell r="Q1197">
            <v>0.23829182136788801</v>
          </cell>
          <cell r="R1197">
            <v>0.23829182136788801</v>
          </cell>
          <cell r="S1197" t="e">
            <v>#VALUE!</v>
          </cell>
          <cell r="T1197" t="e">
            <v>#VALUE!</v>
          </cell>
        </row>
        <row r="1198">
          <cell r="A1198" t="str">
            <v>G2575709RM</v>
          </cell>
          <cell r="B1198" t="str">
            <v>MKP000631002347</v>
          </cell>
          <cell r="C1198" t="str">
            <v/>
          </cell>
          <cell r="D1198" t="str">
            <v>Armário Aéreo de Canto Madesa Reims 1 Porta e Adega Branco</v>
          </cell>
          <cell r="E1198" t="str">
            <v>REIMS</v>
          </cell>
          <cell r="F1198" t="str">
            <v>MODULAÇÃO</v>
          </cell>
          <cell r="G1198" t="str">
            <v/>
          </cell>
          <cell r="H1198">
            <v>779.99</v>
          </cell>
          <cell r="I1198">
            <v>369.99</v>
          </cell>
          <cell r="J1198">
            <v>232.7586</v>
          </cell>
          <cell r="K1198">
            <v>0</v>
          </cell>
          <cell r="L1198">
            <v>232.7586</v>
          </cell>
          <cell r="M1198">
            <v>0</v>
          </cell>
          <cell r="N1198">
            <v>369.99</v>
          </cell>
          <cell r="O1198" t="str">
            <v/>
          </cell>
          <cell r="P1198">
            <v>0</v>
          </cell>
          <cell r="Q1198">
            <v>0.58958680796327201</v>
          </cell>
          <cell r="R1198">
            <v>0.58958680796327201</v>
          </cell>
          <cell r="S1198" t="e">
            <v>#VALUE!</v>
          </cell>
          <cell r="T1198" t="e">
            <v>#VALUE!</v>
          </cell>
        </row>
        <row r="1199">
          <cell r="A1199" t="str">
            <v>G221236EAG</v>
          </cell>
          <cell r="B1199" t="str">
            <v>MKP000631004867</v>
          </cell>
          <cell r="C1199" t="str">
            <v/>
          </cell>
          <cell r="D1199" t="str">
            <v>Balcão Gabinete de Pia 120 x 60 cm 1 Porta 2 Gavetas Rustic/Branco (Sem Tampo) Agata Madesa</v>
          </cell>
          <cell r="E1199" t="str">
            <v>ÁGATA</v>
          </cell>
          <cell r="F1199" t="str">
            <v>MODULAÇÃO</v>
          </cell>
          <cell r="G1199" t="str">
            <v/>
          </cell>
          <cell r="H1199">
            <v>799.99</v>
          </cell>
          <cell r="I1199">
            <v>699.99</v>
          </cell>
          <cell r="J1199">
            <v>438.40890000000002</v>
          </cell>
          <cell r="K1199">
            <v>0</v>
          </cell>
          <cell r="L1199">
            <v>438.40890000000002</v>
          </cell>
          <cell r="M1199">
            <v>0</v>
          </cell>
          <cell r="N1199">
            <v>699.99</v>
          </cell>
          <cell r="O1199" t="str">
            <v/>
          </cell>
          <cell r="P1199">
            <v>0</v>
          </cell>
          <cell r="Q1199">
            <v>0.59666010429989003</v>
          </cell>
          <cell r="R1199">
            <v>0.59666010429989003</v>
          </cell>
          <cell r="S1199" t="e">
            <v>#VALUE!</v>
          </cell>
          <cell r="T1199" t="e">
            <v>#VALUE!</v>
          </cell>
        </row>
        <row r="1200">
          <cell r="A1200" t="str">
            <v>GCGM40900173</v>
          </cell>
          <cell r="B1200" t="str">
            <v>MKP000631004936</v>
          </cell>
          <cell r="C1200" t="str">
            <v/>
          </cell>
          <cell r="D1200" t="str">
            <v>Armário de Cozinha Completa de Canto 100% MDF 409cm Branco/Preto Acordes Madesa 01</v>
          </cell>
          <cell r="E1200" t="str">
            <v>ACORDES</v>
          </cell>
          <cell r="F1200" t="str">
            <v>COZINHA</v>
          </cell>
          <cell r="G1200" t="str">
            <v/>
          </cell>
          <cell r="H1200">
            <v>2799.99</v>
          </cell>
          <cell r="I1200">
            <v>2519.92</v>
          </cell>
          <cell r="J1200">
            <v>2179.3024</v>
          </cell>
          <cell r="K1200">
            <v>0</v>
          </cell>
          <cell r="L1200">
            <v>2179.3024</v>
          </cell>
          <cell r="M1200">
            <v>0</v>
          </cell>
          <cell r="N1200">
            <v>2519.92</v>
          </cell>
          <cell r="O1200" t="str">
            <v/>
          </cell>
          <cell r="P1200">
            <v>0</v>
          </cell>
          <cell r="Q1200">
            <v>0.15629662042312301</v>
          </cell>
          <cell r="R1200">
            <v>0.15629662042312301</v>
          </cell>
          <cell r="S1200" t="e">
            <v>#VALUE!</v>
          </cell>
          <cell r="T1200" t="e">
            <v>#VALUE!</v>
          </cell>
        </row>
        <row r="1201">
          <cell r="A1201" t="str">
            <v>G2212309GLCT</v>
          </cell>
          <cell r="B1201" t="str">
            <v>MKP000631004881</v>
          </cell>
          <cell r="C1201" t="str">
            <v/>
          </cell>
          <cell r="D1201" t="str">
            <v>Balcão Gabinete de Pia 120 x 60 cm 1 Porta 2 Gavetas Branco (Com Tampo) Glamy Madesa</v>
          </cell>
          <cell r="E1201" t="str">
            <v>GLAMY</v>
          </cell>
          <cell r="F1201" t="str">
            <v>MODULAÇÃO</v>
          </cell>
          <cell r="G1201" t="str">
            <v/>
          </cell>
          <cell r="H1201">
            <v>959.99</v>
          </cell>
          <cell r="I1201">
            <v>859.99</v>
          </cell>
          <cell r="J1201">
            <v>559.35530000000006</v>
          </cell>
          <cell r="K1201">
            <v>0</v>
          </cell>
          <cell r="L1201">
            <v>559.35530000000006</v>
          </cell>
          <cell r="M1201">
            <v>0</v>
          </cell>
          <cell r="N1201">
            <v>859.99</v>
          </cell>
          <cell r="O1201" t="str">
            <v/>
          </cell>
          <cell r="P1201">
            <v>0</v>
          </cell>
          <cell r="Q1201">
            <v>0.53746643680680295</v>
          </cell>
          <cell r="R1201">
            <v>0.53746643680680295</v>
          </cell>
          <cell r="S1201" t="e">
            <v>#VALUE!</v>
          </cell>
          <cell r="T1201" t="e">
            <v>#VALUE!</v>
          </cell>
        </row>
        <row r="1202">
          <cell r="A1202" t="str">
            <v>GRAG180003F9</v>
          </cell>
          <cell r="B1202" t="str">
            <v>MKP000631004593</v>
          </cell>
          <cell r="C1202" t="str">
            <v/>
          </cell>
          <cell r="D1202" t="str">
            <v>Armário de Cozinha Compacta 180cm Rustic Cinza Agata Madesa 03</v>
          </cell>
          <cell r="E1202" t="str">
            <v>ÁGATA</v>
          </cell>
          <cell r="F1202" t="str">
            <v>COZINHA</v>
          </cell>
          <cell r="G1202" t="str">
            <v/>
          </cell>
          <cell r="H1202">
            <v>1829.99</v>
          </cell>
          <cell r="I1202">
            <v>1669.92</v>
          </cell>
          <cell r="J1202">
            <v>1251.8868</v>
          </cell>
          <cell r="K1202">
            <v>0</v>
          </cell>
          <cell r="L1202">
            <v>1251.8868</v>
          </cell>
          <cell r="M1202">
            <v>0</v>
          </cell>
          <cell r="N1202">
            <v>1669.92</v>
          </cell>
          <cell r="O1202" t="str">
            <v/>
          </cell>
          <cell r="P1202">
            <v>0</v>
          </cell>
          <cell r="Q1202">
            <v>0.33392252398539601</v>
          </cell>
          <cell r="R1202">
            <v>0.33392252398539601</v>
          </cell>
          <cell r="S1202" t="e">
            <v>#VALUE!</v>
          </cell>
          <cell r="T1202" t="e">
            <v>#VALUE!</v>
          </cell>
        </row>
        <row r="1203">
          <cell r="A1203" t="str">
            <v>XA7003091</v>
          </cell>
          <cell r="B1203" t="str">
            <v>MKP000631001547</v>
          </cell>
          <cell r="C1203" t="str">
            <v/>
          </cell>
          <cell r="D1203" t="str">
            <v>Rack com Painel para TV até 65 Polegadas Madesa Havaí 1 Porta Branco</v>
          </cell>
          <cell r="E1203" t="str">
            <v>HAVAÍ</v>
          </cell>
          <cell r="F1203" t="str">
            <v>SALA DE ESTAR</v>
          </cell>
          <cell r="G1203" t="str">
            <v/>
          </cell>
          <cell r="H1203">
            <v>569.99</v>
          </cell>
          <cell r="I1203">
            <v>469.99</v>
          </cell>
          <cell r="J1203">
            <v>356.46269999999998</v>
          </cell>
          <cell r="K1203">
            <v>0</v>
          </cell>
          <cell r="L1203">
            <v>356.46269999999998</v>
          </cell>
          <cell r="M1203">
            <v>0</v>
          </cell>
          <cell r="N1203">
            <v>469.99</v>
          </cell>
          <cell r="O1203" t="str">
            <v/>
          </cell>
          <cell r="P1203">
            <v>0</v>
          </cell>
          <cell r="Q1203">
            <v>0.31848297171064499</v>
          </cell>
          <cell r="R1203">
            <v>0.31848297171064499</v>
          </cell>
          <cell r="S1203" t="e">
            <v>#VALUE!</v>
          </cell>
          <cell r="T1203" t="e">
            <v>#VALUE!</v>
          </cell>
        </row>
        <row r="1204">
          <cell r="A1204" t="str">
            <v>XAGCEM4170017K</v>
          </cell>
          <cell r="B1204" t="str">
            <v>MKP000631003296</v>
          </cell>
          <cell r="C1204" t="str">
            <v/>
          </cell>
          <cell r="D1204" t="str">
            <v>Armário de Cozinha Completa de Canto 357cm Rustic/Preto Emilly Rock Madesa XA</v>
          </cell>
          <cell r="E1204" t="str">
            <v>ROCK/EMILLY</v>
          </cell>
          <cell r="F1204" t="str">
            <v>COZINHA</v>
          </cell>
          <cell r="G1204" t="str">
            <v/>
          </cell>
          <cell r="H1204">
            <v>1679.99</v>
          </cell>
          <cell r="I1204">
            <v>1519.92</v>
          </cell>
          <cell r="J1204">
            <v>1217.7262000000001</v>
          </cell>
          <cell r="K1204">
            <v>0</v>
          </cell>
          <cell r="L1204">
            <v>1217.7262000000001</v>
          </cell>
          <cell r="M1204">
            <v>0</v>
          </cell>
          <cell r="N1204">
            <v>1519.92</v>
          </cell>
          <cell r="O1204" t="str">
            <v/>
          </cell>
          <cell r="P1204">
            <v>0</v>
          </cell>
          <cell r="Q1204">
            <v>0.248162353737647</v>
          </cell>
          <cell r="R1204">
            <v>0.248162353737647</v>
          </cell>
          <cell r="S1204" t="e">
            <v>#VALUE!</v>
          </cell>
          <cell r="T1204" t="e">
            <v>#VALUE!</v>
          </cell>
        </row>
        <row r="1205">
          <cell r="A1205" t="str">
            <v>MDJA0601357KSIM</v>
          </cell>
          <cell r="B1205" t="str">
            <v>MKP000631004926</v>
          </cell>
          <cell r="C1205" t="str">
            <v/>
          </cell>
          <cell r="D1205" t="str">
            <v>Conjunto Sala de Jantar Mesa Tampo de Madeira 6 Cadeiras Rustic/Preto/Imperial Hanna Madesa</v>
          </cell>
          <cell r="E1205" t="str">
            <v>HANNA</v>
          </cell>
          <cell r="F1205" t="str">
            <v>SALA DE JANTAR</v>
          </cell>
          <cell r="G1205">
            <v>4256</v>
          </cell>
          <cell r="H1205">
            <v>1599.99</v>
          </cell>
          <cell r="I1205">
            <v>1499.99</v>
          </cell>
          <cell r="J1205">
            <v>1178.8132000000001</v>
          </cell>
          <cell r="K1205">
            <v>0</v>
          </cell>
          <cell r="L1205">
            <v>1178.8132000000001</v>
          </cell>
          <cell r="M1205">
            <v>0</v>
          </cell>
          <cell r="N1205">
            <v>1499.99</v>
          </cell>
          <cell r="O1205" t="str">
            <v/>
          </cell>
          <cell r="P1205">
            <v>0</v>
          </cell>
          <cell r="Q1205">
            <v>0.27245775666577199</v>
          </cell>
          <cell r="R1205">
            <v>0.27245775666577199</v>
          </cell>
          <cell r="S1205" t="e">
            <v>#VALUE!</v>
          </cell>
          <cell r="T1205" t="e">
            <v>#VALUE!</v>
          </cell>
        </row>
        <row r="1206">
          <cell r="A1206" t="str">
            <v>GCEM2610017K</v>
          </cell>
          <cell r="B1206" t="str">
            <v>MKP000631002202</v>
          </cell>
          <cell r="C1206" t="str">
            <v/>
          </cell>
          <cell r="D1206" t="str">
            <v>Armário de Cozinha Completa de Canto 261cm Rustic/Preto Emilly Song Madesa 01</v>
          </cell>
          <cell r="E1206" t="str">
            <v>SONG/EMILLY</v>
          </cell>
          <cell r="F1206" t="str">
            <v>COZINHA</v>
          </cell>
          <cell r="G1206" t="str">
            <v/>
          </cell>
          <cell r="H1206">
            <v>1449.99</v>
          </cell>
          <cell r="I1206">
            <v>939.99</v>
          </cell>
          <cell r="J1206">
            <v>760.86360000000002</v>
          </cell>
          <cell r="K1206">
            <v>0</v>
          </cell>
          <cell r="L1206">
            <v>760.86360000000002</v>
          </cell>
          <cell r="M1206">
            <v>0</v>
          </cell>
          <cell r="N1206">
            <v>939.99</v>
          </cell>
          <cell r="O1206" t="str">
            <v/>
          </cell>
          <cell r="P1206">
            <v>0</v>
          </cell>
          <cell r="Q1206">
            <v>0.235425114304325</v>
          </cell>
          <cell r="R1206">
            <v>0.235425114304325</v>
          </cell>
          <cell r="S1206" t="e">
            <v>#VALUE!</v>
          </cell>
          <cell r="T1206" t="e">
            <v>#VALUE!</v>
          </cell>
        </row>
        <row r="1207">
          <cell r="A1207" t="str">
            <v>GCRM4620018N</v>
          </cell>
          <cell r="B1207" t="str">
            <v>MKP000631002547</v>
          </cell>
          <cell r="C1207" t="str">
            <v/>
          </cell>
          <cell r="D1207" t="str">
            <v>Armário de Cozinha Completa de Canto 462cm Preto Reims Madesa 01</v>
          </cell>
          <cell r="E1207" t="str">
            <v>REIMS</v>
          </cell>
          <cell r="F1207" t="str">
            <v>COZINHA</v>
          </cell>
          <cell r="G1207" t="str">
            <v/>
          </cell>
          <cell r="H1207">
            <v>2919.99</v>
          </cell>
          <cell r="I1207">
            <v>2759.92</v>
          </cell>
          <cell r="J1207">
            <v>2135.6370000000002</v>
          </cell>
          <cell r="K1207">
            <v>0</v>
          </cell>
          <cell r="L1207">
            <v>2135.6370000000002</v>
          </cell>
          <cell r="M1207">
            <v>0</v>
          </cell>
          <cell r="N1207">
            <v>2759.92</v>
          </cell>
          <cell r="O1207" t="str">
            <v/>
          </cell>
          <cell r="P1207">
            <v>0</v>
          </cell>
          <cell r="Q1207">
            <v>0.29231699956500101</v>
          </cell>
          <cell r="R1207">
            <v>0.29231699956500101</v>
          </cell>
          <cell r="S1207" t="e">
            <v>#VALUE!</v>
          </cell>
          <cell r="T1207" t="e">
            <v>#VALUE!</v>
          </cell>
        </row>
        <row r="1208">
          <cell r="A1208" t="str">
            <v>GRLX4000017K</v>
          </cell>
          <cell r="B1208" t="str">
            <v>MKP000631005007</v>
          </cell>
          <cell r="C1208" t="str">
            <v/>
          </cell>
          <cell r="D1208" t="str">
            <v>Armário de Cozinha Completa 400cm Rustic/Preto Lux da Thauane Madesa</v>
          </cell>
          <cell r="E1208" t="str">
            <v>LUX</v>
          </cell>
          <cell r="F1208" t="str">
            <v>COZINHA</v>
          </cell>
          <cell r="G1208" t="str">
            <v/>
          </cell>
          <cell r="H1208">
            <v>7179.99</v>
          </cell>
          <cell r="I1208">
            <v>7149.99</v>
          </cell>
          <cell r="J1208">
            <v>4166.0236000000004</v>
          </cell>
          <cell r="K1208">
            <v>0</v>
          </cell>
          <cell r="L1208">
            <v>4166.0236000000004</v>
          </cell>
          <cell r="M1208">
            <v>0</v>
          </cell>
          <cell r="N1208">
            <v>7149.99</v>
          </cell>
          <cell r="O1208" t="str">
            <v>LOJA</v>
          </cell>
          <cell r="P1208">
            <v>6289.99</v>
          </cell>
          <cell r="Q1208">
            <v>0.71626248108628099</v>
          </cell>
          <cell r="R1208">
            <v>0.71626248108628099</v>
          </cell>
          <cell r="S1208" t="e">
            <v>#VALUE!</v>
          </cell>
          <cell r="T1208" t="e">
            <v>#VALUE!</v>
          </cell>
        </row>
        <row r="1209">
          <cell r="A1209" t="str">
            <v>G242013BNCPP</v>
          </cell>
          <cell r="B1209" t="str">
            <v>MKP000631004825</v>
          </cell>
          <cell r="C1209" t="str">
            <v/>
          </cell>
          <cell r="D1209" t="str">
            <v>Balcão Porta-Pano 20 cm Suspenso Cinza Nice Madesa</v>
          </cell>
          <cell r="E1209" t="str">
            <v>NICE</v>
          </cell>
          <cell r="F1209" t="str">
            <v>MODULAÇÃO</v>
          </cell>
          <cell r="G1209" t="str">
            <v/>
          </cell>
          <cell r="H1209">
            <v>479.99</v>
          </cell>
          <cell r="I1209">
            <v>259.99</v>
          </cell>
          <cell r="J1209">
            <v>143.1388</v>
          </cell>
          <cell r="K1209">
            <v>0</v>
          </cell>
          <cell r="L1209">
            <v>143.1388</v>
          </cell>
          <cell r="M1209">
            <v>0</v>
          </cell>
          <cell r="N1209">
            <v>259.99</v>
          </cell>
          <cell r="O1209" t="str">
            <v/>
          </cell>
          <cell r="P1209">
            <v>0</v>
          </cell>
          <cell r="Q1209">
            <v>0.81634888653530702</v>
          </cell>
          <cell r="R1209">
            <v>0.81634888653530702</v>
          </cell>
          <cell r="S1209" t="e">
            <v>#VALUE!</v>
          </cell>
          <cell r="T1209" t="e">
            <v>#VALUE!</v>
          </cell>
        </row>
        <row r="1210">
          <cell r="A1210" t="str">
            <v>G2440009K</v>
          </cell>
          <cell r="B1210" t="str">
            <v>MKP000631000936</v>
          </cell>
          <cell r="C1210" t="str">
            <v/>
          </cell>
          <cell r="D1210" t="str">
            <v>Balcão Madesa Acordes 100% MDF 40 cm 1 Porta Branco Brilho</v>
          </cell>
          <cell r="E1210" t="str">
            <v>ACORDES</v>
          </cell>
          <cell r="F1210" t="str">
            <v>MODULAÇÃO</v>
          </cell>
          <cell r="G1210" t="str">
            <v/>
          </cell>
          <cell r="H1210">
            <v>719.99</v>
          </cell>
          <cell r="I1210">
            <v>379.99</v>
          </cell>
          <cell r="J1210">
            <v>244.49789999999999</v>
          </cell>
          <cell r="K1210">
            <v>0</v>
          </cell>
          <cell r="L1210">
            <v>244.49789999999999</v>
          </cell>
          <cell r="M1210">
            <v>0</v>
          </cell>
          <cell r="N1210">
            <v>379.99</v>
          </cell>
          <cell r="O1210" t="str">
            <v/>
          </cell>
          <cell r="P1210">
            <v>0</v>
          </cell>
          <cell r="Q1210">
            <v>0.55416467789702895</v>
          </cell>
          <cell r="R1210">
            <v>0.55416467789702895</v>
          </cell>
          <cell r="S1210" t="e">
            <v>#VALUE!</v>
          </cell>
          <cell r="T1210" t="e">
            <v>#VALUE!</v>
          </cell>
        </row>
        <row r="1211">
          <cell r="A1211" t="str">
            <v>G200267K</v>
          </cell>
          <cell r="B1211" t="str">
            <v>MKP000631005586</v>
          </cell>
          <cell r="C1211" t="str">
            <v/>
          </cell>
          <cell r="D1211" t="str">
            <v>Armário de Cozinha Compacta 120cm Rustic/Preto Easy Madesa</v>
          </cell>
          <cell r="E1211" t="str">
            <v>EASY</v>
          </cell>
          <cell r="F1211" t="str">
            <v>COZINHA</v>
          </cell>
          <cell r="G1211" t="str">
            <v/>
          </cell>
          <cell r="H1211">
            <v>479.99</v>
          </cell>
          <cell r="I1211">
            <v>479.99</v>
          </cell>
          <cell r="J1211">
            <v>340.81029999999998</v>
          </cell>
          <cell r="K1211">
            <v>0</v>
          </cell>
          <cell r="L1211">
            <v>340.81029999999998</v>
          </cell>
          <cell r="M1211">
            <v>0</v>
          </cell>
          <cell r="N1211">
            <v>479.99</v>
          </cell>
          <cell r="O1211" t="str">
            <v>MELI</v>
          </cell>
          <cell r="P1211">
            <v>544.44000000000005</v>
          </cell>
          <cell r="Q1211">
            <v>0.40837879606338201</v>
          </cell>
          <cell r="R1211">
            <v>0.40837879606338201</v>
          </cell>
          <cell r="S1211" t="e">
            <v>#VALUE!</v>
          </cell>
          <cell r="T1211" t="e">
            <v>#VALUE!</v>
          </cell>
        </row>
        <row r="1212">
          <cell r="A1212" t="str">
            <v>G270809NLX</v>
          </cell>
          <cell r="B1212" t="str">
            <v>MKP000631002737</v>
          </cell>
          <cell r="C1212" t="str">
            <v/>
          </cell>
          <cell r="D1212" t="str">
            <v>Porta-Geladeira Madesa Lux 1 Porta Basculante Rustic/Cinza</v>
          </cell>
          <cell r="E1212" t="str">
            <v>LUX</v>
          </cell>
          <cell r="F1212" t="str">
            <v>MODULAÇÃO</v>
          </cell>
          <cell r="G1212" t="str">
            <v/>
          </cell>
          <cell r="H1212">
            <v>1139.99</v>
          </cell>
          <cell r="I1212">
            <v>799.99</v>
          </cell>
          <cell r="J1212">
            <v>450.25720000000001</v>
          </cell>
          <cell r="K1212">
            <v>0</v>
          </cell>
          <cell r="L1212">
            <v>450.25720000000001</v>
          </cell>
          <cell r="M1212">
            <v>0</v>
          </cell>
          <cell r="N1212">
            <v>799.99</v>
          </cell>
          <cell r="O1212" t="str">
            <v>LOJA</v>
          </cell>
          <cell r="P1212">
            <v>789.99</v>
          </cell>
          <cell r="Q1212">
            <v>0.77674004990925205</v>
          </cell>
          <cell r="R1212">
            <v>0.77674004990925205</v>
          </cell>
          <cell r="S1212" t="e">
            <v>#VALUE!</v>
          </cell>
          <cell r="T1212" t="e">
            <v>#VALUE!</v>
          </cell>
        </row>
        <row r="1213">
          <cell r="A1213" t="str">
            <v>1085093ECP</v>
          </cell>
          <cell r="B1213" t="str">
            <v>MKP000631000272</v>
          </cell>
          <cell r="C1213" t="str">
            <v/>
          </cell>
          <cell r="D1213" t="str">
            <v>Guarda-Roupa Casal Madesa Veneza 3 Portas de Correr com Espelho com Pés Branco</v>
          </cell>
          <cell r="E1213" t="str">
            <v>VENEZA</v>
          </cell>
          <cell r="F1213" t="str">
            <v>QUARTO</v>
          </cell>
          <cell r="G1213" t="str">
            <v/>
          </cell>
          <cell r="H1213">
            <v>1969.99</v>
          </cell>
          <cell r="I1213">
            <v>1839.92</v>
          </cell>
          <cell r="J1213">
            <v>1543.4618</v>
          </cell>
          <cell r="K1213">
            <v>0</v>
          </cell>
          <cell r="L1213">
            <v>1543.4618</v>
          </cell>
          <cell r="M1213">
            <v>0</v>
          </cell>
          <cell r="N1213">
            <v>1839.92</v>
          </cell>
          <cell r="O1213" t="str">
            <v/>
          </cell>
          <cell r="P1213">
            <v>0</v>
          </cell>
          <cell r="Q1213">
            <v>0.19207355828307501</v>
          </cell>
          <cell r="R1213">
            <v>0.19207355828307501</v>
          </cell>
          <cell r="S1213" t="e">
            <v>#VALUE!</v>
          </cell>
          <cell r="T1213" t="e">
            <v>#VALUE!</v>
          </cell>
        </row>
        <row r="1214">
          <cell r="A1214" t="str">
            <v>MDJA0600776ESIM</v>
          </cell>
          <cell r="B1214" t="str">
            <v>MKP000631000858</v>
          </cell>
          <cell r="C1214" t="str">
            <v/>
          </cell>
          <cell r="D1214" t="str">
            <v>Conjunto Sala de Jantar Madesa Daniela Mesa Tampo de Madeira com 6 Cadeiras Rustic/Branco/Imperial</v>
          </cell>
          <cell r="E1214" t="str">
            <v>DANIELA</v>
          </cell>
          <cell r="F1214" t="str">
            <v>SALA DE JANTAR</v>
          </cell>
          <cell r="G1214">
            <v>4254</v>
          </cell>
          <cell r="H1214">
            <v>1749.99</v>
          </cell>
          <cell r="I1214">
            <v>1649.99</v>
          </cell>
          <cell r="J1214">
            <v>1305.8308999999999</v>
          </cell>
          <cell r="K1214">
            <v>0</v>
          </cell>
          <cell r="L1214">
            <v>1305.8308999999999</v>
          </cell>
          <cell r="M1214">
            <v>0</v>
          </cell>
          <cell r="N1214">
            <v>1649.99</v>
          </cell>
          <cell r="O1214" t="str">
            <v/>
          </cell>
          <cell r="P1214">
            <v>0</v>
          </cell>
          <cell r="Q1214">
            <v>0.26355564108645302</v>
          </cell>
          <cell r="R1214">
            <v>0.26355564108645302</v>
          </cell>
          <cell r="S1214" t="e">
            <v>#VALUE!</v>
          </cell>
          <cell r="T1214" t="e">
            <v>#VALUE!</v>
          </cell>
        </row>
        <row r="1215">
          <cell r="A1215" t="str">
            <v>GCGM32800109</v>
          </cell>
          <cell r="B1215" t="str">
            <v>MKP000631000980</v>
          </cell>
          <cell r="C1215" t="str">
            <v/>
          </cell>
          <cell r="D1215" t="str">
            <v>Kit Área De Serviço Madesa Acordes 100% MDF com Armário e Balcão de Canto Portas Branco Brilho</v>
          </cell>
          <cell r="E1215" t="str">
            <v>ACORDES</v>
          </cell>
          <cell r="F1215" t="str">
            <v>COZINHA</v>
          </cell>
          <cell r="G1215" t="str">
            <v/>
          </cell>
          <cell r="H1215">
            <v>2299.9899999999998</v>
          </cell>
          <cell r="I1215">
            <v>2199.9899999999998</v>
          </cell>
          <cell r="J1215">
            <v>1802.1841999999999</v>
          </cell>
          <cell r="K1215">
            <v>0</v>
          </cell>
          <cell r="L1215">
            <v>1802.1841999999999</v>
          </cell>
          <cell r="M1215">
            <v>0</v>
          </cell>
          <cell r="N1215">
            <v>2199.9899999999998</v>
          </cell>
          <cell r="O1215" t="str">
            <v/>
          </cell>
          <cell r="P1215">
            <v>0</v>
          </cell>
          <cell r="Q1215">
            <v>0.220735372111241</v>
          </cell>
          <cell r="R1215">
            <v>0.220735372111241</v>
          </cell>
          <cell r="S1215" t="e">
            <v>#VALUE!</v>
          </cell>
          <cell r="T1215" t="e">
            <v>#VALUE!</v>
          </cell>
        </row>
        <row r="1216">
          <cell r="A1216" t="str">
            <v>XC1063091ECP</v>
          </cell>
          <cell r="B1216" t="str">
            <v>MKP000631001485</v>
          </cell>
          <cell r="C1216" t="str">
            <v/>
          </cell>
          <cell r="D1216" t="str">
            <v>Guarda-Roupa Casal 100% MDF Madesa Zurique 3 Portas de Correr com Espelho com Pés Branco</v>
          </cell>
          <cell r="E1216" t="str">
            <v>ZURIQUE</v>
          </cell>
          <cell r="F1216" t="str">
            <v>QUARTO</v>
          </cell>
          <cell r="G1216" t="str">
            <v/>
          </cell>
          <cell r="H1216">
            <v>3399.99</v>
          </cell>
          <cell r="I1216">
            <v>2249.9899999999998</v>
          </cell>
          <cell r="J1216">
            <v>1838.7973</v>
          </cell>
          <cell r="K1216">
            <v>0</v>
          </cell>
          <cell r="L1216">
            <v>1838.7973</v>
          </cell>
          <cell r="M1216">
            <v>0</v>
          </cell>
          <cell r="N1216">
            <v>2249.9899999999998</v>
          </cell>
          <cell r="O1216" t="str">
            <v>VIA</v>
          </cell>
          <cell r="P1216">
            <v>2199.9899999999998</v>
          </cell>
          <cell r="Q1216">
            <v>0.22362046104809899</v>
          </cell>
          <cell r="R1216">
            <v>0.22362046104809899</v>
          </cell>
          <cell r="S1216" t="e">
            <v>#VALUE!</v>
          </cell>
          <cell r="T1216" t="e">
            <v>#VALUE!</v>
          </cell>
        </row>
        <row r="1217">
          <cell r="A1217" t="str">
            <v>G2412009GL</v>
          </cell>
          <cell r="B1217" t="str">
            <v>MKP000631000013</v>
          </cell>
          <cell r="C1217" t="str">
            <v/>
          </cell>
          <cell r="D1217" t="str">
            <v>Balcão Gabinete de Pia Madesa Glamy 120 cm 2 Portas (Sem Tampo e Pia) Branco</v>
          </cell>
          <cell r="E1217" t="str">
            <v>GLAMY</v>
          </cell>
          <cell r="F1217" t="str">
            <v>MODULAÇÃO</v>
          </cell>
          <cell r="G1217" t="str">
            <v/>
          </cell>
          <cell r="H1217">
            <v>769.99</v>
          </cell>
          <cell r="I1217">
            <v>499.99</v>
          </cell>
          <cell r="J1217">
            <v>377.00920000000002</v>
          </cell>
          <cell r="K1217">
            <v>0</v>
          </cell>
          <cell r="L1217">
            <v>377.00920000000002</v>
          </cell>
          <cell r="M1217">
            <v>0</v>
          </cell>
          <cell r="N1217">
            <v>499.99</v>
          </cell>
          <cell r="O1217" t="str">
            <v/>
          </cell>
          <cell r="P1217">
            <v>0</v>
          </cell>
          <cell r="Q1217">
            <v>0.32620105822351297</v>
          </cell>
          <cell r="R1217">
            <v>0.32620105822351297</v>
          </cell>
          <cell r="S1217" t="e">
            <v>#VALUE!</v>
          </cell>
          <cell r="T1217" t="e">
            <v>#VALUE!</v>
          </cell>
        </row>
        <row r="1218">
          <cell r="A1218" t="str">
            <v>53637K1</v>
          </cell>
          <cell r="B1218" t="str">
            <v>MKP000631003132</v>
          </cell>
          <cell r="C1218" t="str">
            <v/>
          </cell>
          <cell r="D1218" t="str">
            <v>Mesa de Jantar Madesa Quadrada Tampo de Madeira 5363 Rustic/Preto</v>
          </cell>
          <cell r="E1218">
            <v>5363</v>
          </cell>
          <cell r="F1218" t="str">
            <v>SALA DE JANTAR</v>
          </cell>
          <cell r="G1218" t="str">
            <v/>
          </cell>
          <cell r="H1218">
            <v>469.99</v>
          </cell>
          <cell r="I1218">
            <v>259.92</v>
          </cell>
          <cell r="J1218">
            <v>143.29140000000001</v>
          </cell>
          <cell r="K1218">
            <v>0</v>
          </cell>
          <cell r="L1218">
            <v>143.29140000000001</v>
          </cell>
          <cell r="M1218">
            <v>0</v>
          </cell>
          <cell r="N1218">
            <v>259.92</v>
          </cell>
          <cell r="O1218" t="str">
            <v/>
          </cell>
          <cell r="P1218">
            <v>0</v>
          </cell>
          <cell r="Q1218">
            <v>0.81392602766111599</v>
          </cell>
          <cell r="R1218">
            <v>0.81392602766111599</v>
          </cell>
          <cell r="S1218" t="e">
            <v>#VALUE!</v>
          </cell>
          <cell r="T1218" t="e">
            <v>#VALUE!</v>
          </cell>
        </row>
        <row r="1219">
          <cell r="A1219" t="str">
            <v>10188N</v>
          </cell>
          <cell r="B1219" t="str">
            <v>MKP000631002248</v>
          </cell>
          <cell r="C1219" t="str">
            <v/>
          </cell>
          <cell r="D1219" t="str">
            <v>Guarda-Roupa Casal Madesa Kansas 3 Portas de Correr 3 Gavetas Preto</v>
          </cell>
          <cell r="E1219" t="str">
            <v>KANSAS</v>
          </cell>
          <cell r="F1219" t="str">
            <v>QUARTO</v>
          </cell>
          <cell r="G1219" t="str">
            <v/>
          </cell>
          <cell r="H1219">
            <v>1969.99</v>
          </cell>
          <cell r="I1219">
            <v>1429.92</v>
          </cell>
          <cell r="J1219">
            <v>1164.6541</v>
          </cell>
          <cell r="K1219">
            <v>0</v>
          </cell>
          <cell r="L1219">
            <v>1164.6541</v>
          </cell>
          <cell r="M1219">
            <v>0</v>
          </cell>
          <cell r="N1219">
            <v>1429.92</v>
          </cell>
          <cell r="O1219" t="str">
            <v/>
          </cell>
          <cell r="P1219">
            <v>0</v>
          </cell>
          <cell r="Q1219">
            <v>0.22776367678609399</v>
          </cell>
          <cell r="R1219">
            <v>0.22776367678609399</v>
          </cell>
          <cell r="S1219" t="e">
            <v>#VALUE!</v>
          </cell>
          <cell r="T1219" t="e">
            <v>#VALUE!</v>
          </cell>
        </row>
        <row r="1220">
          <cell r="A1220" t="str">
            <v>1028D84E</v>
          </cell>
          <cell r="B1220" t="str">
            <v>MKP000631003474</v>
          </cell>
          <cell r="C1220" t="str">
            <v/>
          </cell>
          <cell r="D1220" t="str">
            <v>Guarda-Roupa Casal Madesa Austin 4 Portas de Correr de Espelho 3 Gavetas Preto/Rustic</v>
          </cell>
          <cell r="E1220" t="str">
            <v>AUSTIN</v>
          </cell>
          <cell r="F1220" t="str">
            <v>QUARTO</v>
          </cell>
          <cell r="G1220" t="str">
            <v/>
          </cell>
          <cell r="H1220">
            <v>2999.99</v>
          </cell>
          <cell r="I1220">
            <v>1919.92</v>
          </cell>
          <cell r="J1220">
            <v>1632.2095999999999</v>
          </cell>
          <cell r="K1220">
            <v>0</v>
          </cell>
          <cell r="L1220">
            <v>1632.2095999999999</v>
          </cell>
          <cell r="M1220">
            <v>0</v>
          </cell>
          <cell r="N1220">
            <v>1919.92</v>
          </cell>
          <cell r="O1220" t="str">
            <v/>
          </cell>
          <cell r="P1220">
            <v>0</v>
          </cell>
          <cell r="Q1220">
            <v>0.17627049859282801</v>
          </cell>
          <cell r="R1220">
            <v>0.17627049859282801</v>
          </cell>
          <cell r="S1220" t="e">
            <v>#VALUE!</v>
          </cell>
          <cell r="T1220" t="e">
            <v>#VALUE!</v>
          </cell>
        </row>
        <row r="1221">
          <cell r="A1221" t="str">
            <v>G2212373GLCT</v>
          </cell>
          <cell r="B1221" t="str">
            <v>MKP000631004879</v>
          </cell>
          <cell r="C1221" t="str">
            <v/>
          </cell>
          <cell r="D1221" t="str">
            <v>Balcão Gabinete de Pia 120 x 60 cm 1 Porta 2 Gavetas Branco/Preto (Com Tampo) Glamy Madesa</v>
          </cell>
          <cell r="E1221" t="str">
            <v>GLAMY</v>
          </cell>
          <cell r="F1221" t="str">
            <v>MODULAÇÃO</v>
          </cell>
          <cell r="G1221" t="str">
            <v/>
          </cell>
          <cell r="H1221">
            <v>959.99</v>
          </cell>
          <cell r="I1221">
            <v>859.99</v>
          </cell>
          <cell r="J1221">
            <v>559.35530000000006</v>
          </cell>
          <cell r="K1221">
            <v>0</v>
          </cell>
          <cell r="L1221">
            <v>559.35530000000006</v>
          </cell>
          <cell r="M1221">
            <v>0</v>
          </cell>
          <cell r="N1221">
            <v>859.99</v>
          </cell>
          <cell r="O1221" t="str">
            <v/>
          </cell>
          <cell r="P1221">
            <v>0</v>
          </cell>
          <cell r="Q1221">
            <v>0.53746643680680295</v>
          </cell>
          <cell r="R1221">
            <v>0.53746643680680295</v>
          </cell>
          <cell r="S1221" t="e">
            <v>#VALUE!</v>
          </cell>
          <cell r="T1221" t="e">
            <v>#VALUE!</v>
          </cell>
        </row>
        <row r="1222">
          <cell r="A1222" t="str">
            <v>G247505LAG</v>
          </cell>
          <cell r="B1222" t="str">
            <v>MKP000631005390</v>
          </cell>
          <cell r="C1222" t="str">
            <v/>
          </cell>
          <cell r="D1222" t="str">
            <v>Balcão de Canto 1 Porta Branco/Crema Agata Madesa</v>
          </cell>
          <cell r="E1222" t="str">
            <v>ÁGATA</v>
          </cell>
          <cell r="F1222" t="str">
            <v>MODULAÇÃO</v>
          </cell>
          <cell r="G1222" t="str">
            <v/>
          </cell>
          <cell r="H1222">
            <v>689.99</v>
          </cell>
          <cell r="I1222">
            <v>589.99</v>
          </cell>
          <cell r="J1222">
            <v>314.9228</v>
          </cell>
          <cell r="K1222">
            <v>0</v>
          </cell>
          <cell r="L1222">
            <v>314.9228</v>
          </cell>
          <cell r="M1222">
            <v>0</v>
          </cell>
          <cell r="N1222">
            <v>589.99</v>
          </cell>
          <cell r="O1222" t="str">
            <v/>
          </cell>
          <cell r="P1222">
            <v>0</v>
          </cell>
          <cell r="Q1222">
            <v>0.87344326927107196</v>
          </cell>
          <cell r="R1222">
            <v>0.87344326927107196</v>
          </cell>
          <cell r="S1222" t="e">
            <v>#VALUE!</v>
          </cell>
          <cell r="T1222" t="e">
            <v>#VALUE!</v>
          </cell>
        </row>
        <row r="1223">
          <cell r="A1223" t="str">
            <v>GRTP1800029B</v>
          </cell>
          <cell r="B1223" t="str">
            <v>MKP000631003569</v>
          </cell>
          <cell r="C1223" t="str">
            <v/>
          </cell>
          <cell r="D1223" t="str">
            <v>Cozinha Compacta Madesa Diamante Pop com Armário, Balcão e Tampo Branco/Rustic</v>
          </cell>
          <cell r="E1223" t="str">
            <v>DIAMANTE</v>
          </cell>
          <cell r="F1223" t="str">
            <v>COZINHA</v>
          </cell>
          <cell r="G1223" t="str">
            <v/>
          </cell>
          <cell r="H1223">
            <v>1099.99</v>
          </cell>
          <cell r="I1223">
            <v>999.99</v>
          </cell>
          <cell r="J1223">
            <v>813.4452</v>
          </cell>
          <cell r="K1223">
            <v>0</v>
          </cell>
          <cell r="L1223">
            <v>813.4452</v>
          </cell>
          <cell r="M1223">
            <v>0</v>
          </cell>
          <cell r="N1223">
            <v>999.99</v>
          </cell>
          <cell r="O1223" t="str">
            <v/>
          </cell>
          <cell r="P1223">
            <v>0</v>
          </cell>
          <cell r="Q1223">
            <v>0.22932681881951</v>
          </cell>
          <cell r="R1223">
            <v>0.22932681881951</v>
          </cell>
          <cell r="S1223" t="e">
            <v>#VALUE!</v>
          </cell>
          <cell r="T1223" t="e">
            <v>#VALUE!</v>
          </cell>
        </row>
        <row r="1224">
          <cell r="A1224" t="str">
            <v>GRGL220002C3</v>
          </cell>
          <cell r="B1224" t="str">
            <v>MKP000631001235</v>
          </cell>
          <cell r="C1224" t="str">
            <v/>
          </cell>
          <cell r="D1224" t="str">
            <v>Armário de Cozinha Completa 220cm Rustic/Preto/Crema Parma Madesa 02</v>
          </cell>
          <cell r="E1224" t="str">
            <v>PARMA/GLAMY</v>
          </cell>
          <cell r="F1224" t="str">
            <v>COZINHA</v>
          </cell>
          <cell r="G1224" t="str">
            <v/>
          </cell>
          <cell r="H1224">
            <v>1969.99</v>
          </cell>
          <cell r="I1224">
            <v>1869.99</v>
          </cell>
          <cell r="J1224">
            <v>1558.7654</v>
          </cell>
          <cell r="K1224">
            <v>0</v>
          </cell>
          <cell r="L1224">
            <v>1558.7654</v>
          </cell>
          <cell r="M1224">
            <v>0</v>
          </cell>
          <cell r="N1224">
            <v>1869.99</v>
          </cell>
          <cell r="O1224" t="str">
            <v/>
          </cell>
          <cell r="P1224">
            <v>0</v>
          </cell>
          <cell r="Q1224">
            <v>0.199660962451438</v>
          </cell>
          <cell r="R1224">
            <v>0.199660962451438</v>
          </cell>
          <cell r="S1224" t="e">
            <v>#VALUE!</v>
          </cell>
          <cell r="T1224" t="e">
            <v>#VALUE!</v>
          </cell>
        </row>
        <row r="1225">
          <cell r="A1225" t="str">
            <v>MDJA0401546ESIM</v>
          </cell>
          <cell r="B1225" t="str">
            <v>MKP000631005367</v>
          </cell>
          <cell r="C1225" t="str">
            <v/>
          </cell>
          <cell r="D1225" t="str">
            <v>Conjunto Sala de Jantar Mesa Tampo de Madeira 4 Cadeiras Rustic/Branco/Imperial Keila Madesa</v>
          </cell>
          <cell r="E1225" t="str">
            <v>KEILA</v>
          </cell>
          <cell r="F1225" t="str">
            <v>SALA DE JANTAR</v>
          </cell>
          <cell r="G1225">
            <v>4255</v>
          </cell>
          <cell r="H1225">
            <v>1149.99</v>
          </cell>
          <cell r="I1225">
            <v>1049.99</v>
          </cell>
          <cell r="J1225">
            <v>803.80960000000005</v>
          </cell>
          <cell r="K1225">
            <v>0</v>
          </cell>
          <cell r="L1225">
            <v>803.80960000000005</v>
          </cell>
          <cell r="M1225">
            <v>0</v>
          </cell>
          <cell r="N1225">
            <v>1049.99</v>
          </cell>
          <cell r="O1225" t="str">
            <v/>
          </cell>
          <cell r="P1225">
            <v>0</v>
          </cell>
          <cell r="Q1225">
            <v>0.30626705627800399</v>
          </cell>
          <cell r="R1225">
            <v>0.30626705627800399</v>
          </cell>
          <cell r="S1225" t="e">
            <v>#VALUE!</v>
          </cell>
          <cell r="T1225" t="e">
            <v>#VALUE!</v>
          </cell>
        </row>
        <row r="1226">
          <cell r="A1226" t="str">
            <v>XAG2412009RM</v>
          </cell>
          <cell r="B1226" t="str">
            <v>MKP000631002488</v>
          </cell>
          <cell r="C1226" t="str">
            <v/>
          </cell>
          <cell r="D1226" t="str">
            <v>Balcão Cantinho do Café Madesa Reims 2 Portas Branco</v>
          </cell>
          <cell r="E1226" t="str">
            <v>REIMS</v>
          </cell>
          <cell r="F1226" t="str">
            <v>MODULAÇÃO</v>
          </cell>
          <cell r="G1226" t="str">
            <v/>
          </cell>
          <cell r="H1226">
            <v>1099.99</v>
          </cell>
          <cell r="I1226">
            <v>559.99</v>
          </cell>
          <cell r="J1226">
            <v>333.65989999999999</v>
          </cell>
          <cell r="K1226">
            <v>0</v>
          </cell>
          <cell r="L1226">
            <v>333.65989999999999</v>
          </cell>
          <cell r="M1226">
            <v>0</v>
          </cell>
          <cell r="N1226">
            <v>559.99</v>
          </cell>
          <cell r="O1226" t="str">
            <v/>
          </cell>
          <cell r="P1226">
            <v>0</v>
          </cell>
          <cell r="Q1226">
            <v>0.67832574426834003</v>
          </cell>
          <cell r="R1226">
            <v>0.67832574426834003</v>
          </cell>
          <cell r="S1226" t="e">
            <v>#VALUE!</v>
          </cell>
          <cell r="T1226" t="e">
            <v>#VALUE!</v>
          </cell>
        </row>
        <row r="1227">
          <cell r="A1227" t="str">
            <v>GCRM4370018N</v>
          </cell>
          <cell r="B1227" t="str">
            <v>MKP000631003225</v>
          </cell>
          <cell r="C1227" t="str">
            <v/>
          </cell>
          <cell r="D1227" t="str">
            <v>Armário de Cozinha Completa de Canto 437cm Preto Reims Madesa 01</v>
          </cell>
          <cell r="E1227" t="str">
            <v>REIMS</v>
          </cell>
          <cell r="F1227" t="str">
            <v>COZINHA</v>
          </cell>
          <cell r="G1227" t="str">
            <v/>
          </cell>
          <cell r="H1227">
            <v>4219.99</v>
          </cell>
          <cell r="I1227">
            <v>2649.92</v>
          </cell>
          <cell r="J1227">
            <v>2329.0574999999999</v>
          </cell>
          <cell r="K1227">
            <v>0</v>
          </cell>
          <cell r="L1227">
            <v>2329.0574999999999</v>
          </cell>
          <cell r="M1227">
            <v>0</v>
          </cell>
          <cell r="N1227">
            <v>2649.92</v>
          </cell>
          <cell r="O1227" t="str">
            <v/>
          </cell>
          <cell r="P1227">
            <v>0</v>
          </cell>
          <cell r="Q1227">
            <v>0.13776495427871599</v>
          </cell>
          <cell r="R1227">
            <v>0.13776495427871599</v>
          </cell>
          <cell r="S1227" t="e">
            <v>#VALUE!</v>
          </cell>
          <cell r="T1227" t="e">
            <v>#VALUE!</v>
          </cell>
        </row>
        <row r="1228">
          <cell r="A1228" t="str">
            <v>10937K2E4G</v>
          </cell>
          <cell r="B1228" t="str">
            <v>MKP000631002300</v>
          </cell>
          <cell r="C1228" t="str">
            <v/>
          </cell>
          <cell r="D1228" t="str">
            <v>Guarda-Roupa Casal Madesa Lyon Plus 3 Portas de Correr com Espelhos 4 Gavetas Rustic/Preto</v>
          </cell>
          <cell r="E1228" t="str">
            <v>LYON PLUS</v>
          </cell>
          <cell r="F1228" t="str">
            <v>QUARTO</v>
          </cell>
          <cell r="G1228" t="str">
            <v/>
          </cell>
          <cell r="H1228">
            <v>1569.99</v>
          </cell>
          <cell r="I1228">
            <v>1299.92</v>
          </cell>
          <cell r="J1228">
            <v>1058.1829</v>
          </cell>
          <cell r="K1228">
            <v>0</v>
          </cell>
          <cell r="L1228">
            <v>1058.1829</v>
          </cell>
          <cell r="M1228">
            <v>0</v>
          </cell>
          <cell r="N1228">
            <v>1299.92</v>
          </cell>
          <cell r="O1228" t="str">
            <v/>
          </cell>
          <cell r="P1228">
            <v>0</v>
          </cell>
          <cell r="Q1228">
            <v>0.228445479510206</v>
          </cell>
          <cell r="R1228">
            <v>0.228445479510206</v>
          </cell>
          <cell r="S1228" t="e">
            <v>#VALUE!</v>
          </cell>
          <cell r="T1228" t="e">
            <v>#VALUE!</v>
          </cell>
        </row>
        <row r="1229">
          <cell r="A1229" t="str">
            <v>MDJA0601406ESIM</v>
          </cell>
          <cell r="B1229" t="str">
            <v>MKP000631005358</v>
          </cell>
          <cell r="C1229" t="str">
            <v/>
          </cell>
          <cell r="D1229" t="str">
            <v>Conjunto Sala de Jantar Mesa Tampo de Madeira 6 Cadeiras Rustic/Branco/Imperial Renata Madesa</v>
          </cell>
          <cell r="E1229" t="str">
            <v>RENATA</v>
          </cell>
          <cell r="F1229" t="str">
            <v>SALA DE JANTAR</v>
          </cell>
          <cell r="G1229">
            <v>4255</v>
          </cell>
          <cell r="H1229">
            <v>1459.99</v>
          </cell>
          <cell r="I1229">
            <v>1359.99</v>
          </cell>
          <cell r="J1229">
            <v>1064.2978000000001</v>
          </cell>
          <cell r="K1229">
            <v>0</v>
          </cell>
          <cell r="L1229">
            <v>1064.2978000000001</v>
          </cell>
          <cell r="M1229">
            <v>0</v>
          </cell>
          <cell r="N1229">
            <v>1359.99</v>
          </cell>
          <cell r="O1229" t="str">
            <v/>
          </cell>
          <cell r="P1229">
            <v>0</v>
          </cell>
          <cell r="Q1229">
            <v>0.277828442377688</v>
          </cell>
          <cell r="R1229">
            <v>0.277828442377688</v>
          </cell>
          <cell r="S1229" t="e">
            <v>#VALUE!</v>
          </cell>
          <cell r="T1229" t="e">
            <v>#VALUE!</v>
          </cell>
        </row>
        <row r="1230">
          <cell r="A1230" t="str">
            <v>G256026E</v>
          </cell>
          <cell r="B1230" t="str">
            <v>MKP000631003410</v>
          </cell>
          <cell r="C1230" t="str">
            <v/>
          </cell>
          <cell r="D1230" t="str">
            <v>Armário Aéreo Madesa Acordes 100% MDF 60 cm 1 Porta Basculante Branco/Rustic</v>
          </cell>
          <cell r="E1230" t="str">
            <v>ACORDES</v>
          </cell>
          <cell r="F1230" t="str">
            <v>MODULAÇÃO</v>
          </cell>
          <cell r="G1230" t="str">
            <v/>
          </cell>
          <cell r="H1230">
            <v>409.99</v>
          </cell>
          <cell r="I1230">
            <v>259.99</v>
          </cell>
          <cell r="J1230">
            <v>162.46449999999999</v>
          </cell>
          <cell r="K1230">
            <v>0</v>
          </cell>
          <cell r="L1230">
            <v>162.46449999999999</v>
          </cell>
          <cell r="M1230">
            <v>0</v>
          </cell>
          <cell r="N1230">
            <v>259.99</v>
          </cell>
          <cell r="O1230" t="str">
            <v/>
          </cell>
          <cell r="P1230">
            <v>0</v>
          </cell>
          <cell r="Q1230">
            <v>0.60028806293067105</v>
          </cell>
          <cell r="R1230">
            <v>0.60028806293067105</v>
          </cell>
          <cell r="S1230" t="e">
            <v>#VALUE!</v>
          </cell>
          <cell r="T1230" t="e">
            <v>#VALUE!</v>
          </cell>
        </row>
        <row r="1231">
          <cell r="A1231" t="str">
            <v>GRAG2000017K</v>
          </cell>
          <cell r="B1231" t="str">
            <v>MKP000631004930</v>
          </cell>
          <cell r="C1231" t="str">
            <v/>
          </cell>
          <cell r="D1231" t="str">
            <v>Kit com 2 Balcões de Cozinha Madesa Agata 3 Gavetas 4 Portas (Sem Tampo e Pia) Rustic/Preto</v>
          </cell>
          <cell r="E1231" t="str">
            <v>ÁGATA</v>
          </cell>
          <cell r="F1231" t="str">
            <v>COZINHA</v>
          </cell>
          <cell r="G1231" t="str">
            <v/>
          </cell>
          <cell r="H1231">
            <v>1169.99</v>
          </cell>
          <cell r="I1231">
            <v>1069.99</v>
          </cell>
          <cell r="J1231">
            <v>868.41390000000001</v>
          </cell>
          <cell r="K1231">
            <v>0</v>
          </cell>
          <cell r="L1231">
            <v>868.41390000000001</v>
          </cell>
          <cell r="M1231">
            <v>0</v>
          </cell>
          <cell r="N1231">
            <v>1069.99</v>
          </cell>
          <cell r="O1231" t="str">
            <v/>
          </cell>
          <cell r="P1231">
            <v>0</v>
          </cell>
          <cell r="Q1231">
            <v>0.23211984515678499</v>
          </cell>
          <cell r="R1231">
            <v>0.23211984515678499</v>
          </cell>
          <cell r="S1231" t="e">
            <v>#VALUE!</v>
          </cell>
          <cell r="T1231" t="e">
            <v>#VALUE!</v>
          </cell>
        </row>
        <row r="1232">
          <cell r="A1232" t="str">
            <v>MDES02000173</v>
          </cell>
          <cell r="B1232" t="str">
            <v>MKP000631000948</v>
          </cell>
          <cell r="C1232" t="str">
            <v/>
          </cell>
          <cell r="D1232" t="str">
            <v>Rack para TV até 65 Polegadas Madesa Londres e Estante Escada Branco/Preto</v>
          </cell>
          <cell r="E1232" t="str">
            <v>LONDRES</v>
          </cell>
          <cell r="F1232" t="str">
            <v>SALA DE ESTAR</v>
          </cell>
          <cell r="G1232" t="str">
            <v/>
          </cell>
          <cell r="H1232">
            <v>699.99</v>
          </cell>
          <cell r="I1232">
            <v>599.99</v>
          </cell>
          <cell r="J1232">
            <v>469.9753</v>
          </cell>
          <cell r="K1232">
            <v>0</v>
          </cell>
          <cell r="L1232">
            <v>469.9753</v>
          </cell>
          <cell r="M1232">
            <v>0</v>
          </cell>
          <cell r="N1232">
            <v>599.99</v>
          </cell>
          <cell r="O1232" t="str">
            <v/>
          </cell>
          <cell r="P1232">
            <v>0</v>
          </cell>
          <cell r="Q1232">
            <v>0.276641559673455</v>
          </cell>
          <cell r="R1232">
            <v>0.276641559673455</v>
          </cell>
          <cell r="S1232" t="e">
            <v>#VALUE!</v>
          </cell>
          <cell r="T1232" t="e">
            <v>#VALUE!</v>
          </cell>
        </row>
        <row r="1233">
          <cell r="A1233" t="str">
            <v>G2412409GL</v>
          </cell>
          <cell r="B1233" t="str">
            <v>MKP000631000016</v>
          </cell>
          <cell r="C1233" t="str">
            <v/>
          </cell>
          <cell r="D1233" t="str">
            <v>Balcão Gabinete de Pia Madesa Glamy 120 cm 2 Portas e 3 Gavetas (Sem Tampo e Pia) Branco</v>
          </cell>
          <cell r="E1233" t="str">
            <v>GLAMY</v>
          </cell>
          <cell r="F1233" t="str">
            <v>MODULAÇÃO</v>
          </cell>
          <cell r="G1233" t="str">
            <v/>
          </cell>
          <cell r="H1233">
            <v>1139.99</v>
          </cell>
          <cell r="I1233">
            <v>719.99</v>
          </cell>
          <cell r="J1233">
            <v>557.96010000000001</v>
          </cell>
          <cell r="K1233">
            <v>0</v>
          </cell>
          <cell r="L1233">
            <v>557.96010000000001</v>
          </cell>
          <cell r="M1233">
            <v>0</v>
          </cell>
          <cell r="N1233">
            <v>719.99</v>
          </cell>
          <cell r="O1233" t="str">
            <v/>
          </cell>
          <cell r="P1233">
            <v>0</v>
          </cell>
          <cell r="Q1233">
            <v>0.29039692981630799</v>
          </cell>
          <cell r="R1233">
            <v>0.29039692981630799</v>
          </cell>
          <cell r="S1233" t="e">
            <v>#VALUE!</v>
          </cell>
          <cell r="T1233" t="e">
            <v>#VALUE!</v>
          </cell>
        </row>
        <row r="1234">
          <cell r="A1234" t="str">
            <v>GCRM4020028N</v>
          </cell>
          <cell r="B1234" t="str">
            <v>MKP000631002645</v>
          </cell>
          <cell r="C1234" t="str">
            <v/>
          </cell>
          <cell r="D1234" t="str">
            <v>Armário de Cozinha Completa de Canto 402cm Preto Reims Madesa 02</v>
          </cell>
          <cell r="E1234" t="str">
            <v>REIMS</v>
          </cell>
          <cell r="F1234" t="str">
            <v>COZINHA</v>
          </cell>
          <cell r="G1234" t="str">
            <v/>
          </cell>
          <cell r="H1234">
            <v>3649.99</v>
          </cell>
          <cell r="I1234">
            <v>1859.92</v>
          </cell>
          <cell r="J1234">
            <v>1529.1610000000001</v>
          </cell>
          <cell r="K1234">
            <v>0</v>
          </cell>
          <cell r="L1234">
            <v>1529.1610000000001</v>
          </cell>
          <cell r="M1234">
            <v>0</v>
          </cell>
          <cell r="N1234">
            <v>1859.92</v>
          </cell>
          <cell r="O1234" t="str">
            <v/>
          </cell>
          <cell r="P1234">
            <v>0</v>
          </cell>
          <cell r="Q1234">
            <v>0.21630096503899801</v>
          </cell>
          <cell r="R1234">
            <v>0.21630096503899801</v>
          </cell>
          <cell r="S1234" t="e">
            <v>#VALUE!</v>
          </cell>
          <cell r="T1234" t="e">
            <v>#VALUE!</v>
          </cell>
        </row>
        <row r="1235">
          <cell r="A1235" t="str">
            <v>G2580409TE</v>
          </cell>
          <cell r="B1235" t="str">
            <v>MKP000631001907</v>
          </cell>
          <cell r="C1235" t="str">
            <v/>
          </cell>
          <cell r="D1235" t="str">
            <v>Armário Aéreo Madesa Stella 80 cm 1 Porta Basculante Branco</v>
          </cell>
          <cell r="E1235" t="str">
            <v>STELLA</v>
          </cell>
          <cell r="F1235" t="str">
            <v>MODULAÇÃO</v>
          </cell>
          <cell r="G1235" t="str">
            <v/>
          </cell>
          <cell r="H1235">
            <v>369.99</v>
          </cell>
          <cell r="I1235">
            <v>279.99</v>
          </cell>
          <cell r="J1235">
            <v>165.22219999999999</v>
          </cell>
          <cell r="K1235">
            <v>0</v>
          </cell>
          <cell r="L1235">
            <v>165.22219999999999</v>
          </cell>
          <cell r="M1235">
            <v>0</v>
          </cell>
          <cell r="N1235">
            <v>279.99</v>
          </cell>
          <cell r="O1235" t="str">
            <v/>
          </cell>
          <cell r="P1235">
            <v>0</v>
          </cell>
          <cell r="Q1235">
            <v>0.69462699322488097</v>
          </cell>
          <cell r="R1235">
            <v>0.69462699322488097</v>
          </cell>
          <cell r="S1235" t="e">
            <v>#VALUE!</v>
          </cell>
          <cell r="T1235" t="e">
            <v>#VALUE!</v>
          </cell>
        </row>
        <row r="1236">
          <cell r="A1236" t="str">
            <v>MDJA0401197KPT</v>
          </cell>
          <cell r="B1236" t="str">
            <v>MKP000631004158</v>
          </cell>
          <cell r="C1236" t="str">
            <v/>
          </cell>
          <cell r="D1236" t="str">
            <v>Conjunto Sala de Jantar Madesa Ana Mesa Tampo de Vidro Redondo 4 Cadeiras Rustic/Preto</v>
          </cell>
          <cell r="E1236" t="str">
            <v>ANA</v>
          </cell>
          <cell r="F1236" t="str">
            <v>SALA DE JANTAR</v>
          </cell>
          <cell r="G1236" t="str">
            <v>4280X</v>
          </cell>
          <cell r="H1236">
            <v>969.99</v>
          </cell>
          <cell r="I1236">
            <v>839.92</v>
          </cell>
          <cell r="J1236">
            <v>642.8057</v>
          </cell>
          <cell r="K1236">
            <v>0</v>
          </cell>
          <cell r="L1236">
            <v>642.8057</v>
          </cell>
          <cell r="M1236">
            <v>0</v>
          </cell>
          <cell r="N1236">
            <v>839.92</v>
          </cell>
          <cell r="O1236" t="str">
            <v/>
          </cell>
          <cell r="P1236">
            <v>0</v>
          </cell>
          <cell r="Q1236">
            <v>0.30664678300145698</v>
          </cell>
          <cell r="R1236">
            <v>0.30664678300145698</v>
          </cell>
          <cell r="S1236" t="e">
            <v>#VALUE!</v>
          </cell>
          <cell r="T1236" t="e">
            <v>#VALUE!</v>
          </cell>
        </row>
        <row r="1237">
          <cell r="A1237" t="str">
            <v>G266125ZPR</v>
          </cell>
          <cell r="B1237" t="str">
            <v>MKP000631004410</v>
          </cell>
          <cell r="C1237" t="str">
            <v/>
          </cell>
          <cell r="D1237" t="str">
            <v>Paneleiro 60 cm com Nichos Abertos para Cozinha Madesa Glamy, Agata, Stella Rustic</v>
          </cell>
          <cell r="E1237" t="str">
            <v>PR</v>
          </cell>
          <cell r="F1237" t="str">
            <v>MODULAÇÃO</v>
          </cell>
          <cell r="G1237" t="str">
            <v/>
          </cell>
          <cell r="H1237">
            <v>839.9</v>
          </cell>
          <cell r="I1237">
            <v>499.99</v>
          </cell>
          <cell r="J1237">
            <v>314.03989999999999</v>
          </cell>
          <cell r="K1237">
            <v>0</v>
          </cell>
          <cell r="L1237">
            <v>314.03989999999999</v>
          </cell>
          <cell r="M1237">
            <v>0</v>
          </cell>
          <cell r="N1237">
            <v>499.99</v>
          </cell>
          <cell r="O1237" t="str">
            <v/>
          </cell>
          <cell r="P1237">
            <v>0</v>
          </cell>
          <cell r="Q1237">
            <v>0.59212252965307899</v>
          </cell>
          <cell r="R1237">
            <v>0.59212252965307899</v>
          </cell>
          <cell r="S1237" t="e">
            <v>#VALUE!</v>
          </cell>
          <cell r="T1237" t="e">
            <v>#VALUE!</v>
          </cell>
        </row>
        <row r="1238">
          <cell r="A1238" t="str">
            <v>GRTP18000109</v>
          </cell>
          <cell r="B1238" t="str">
            <v>MKP000631003570</v>
          </cell>
          <cell r="C1238" t="str">
            <v/>
          </cell>
          <cell r="D1238" t="str">
            <v>Cozinha Compacta Madesa Topazio Pop com Armário, Balcão e Tampo Branco</v>
          </cell>
          <cell r="E1238" t="str">
            <v>TOPÁZIO</v>
          </cell>
          <cell r="F1238" t="str">
            <v>COZINHA</v>
          </cell>
          <cell r="G1238" t="str">
            <v/>
          </cell>
          <cell r="H1238">
            <v>1179.99</v>
          </cell>
          <cell r="I1238">
            <v>1039.92</v>
          </cell>
          <cell r="J1238">
            <v>820.06150000000002</v>
          </cell>
          <cell r="K1238">
            <v>0</v>
          </cell>
          <cell r="L1238">
            <v>820.06150000000002</v>
          </cell>
          <cell r="M1238">
            <v>0</v>
          </cell>
          <cell r="N1238">
            <v>1039.92</v>
          </cell>
          <cell r="O1238" t="str">
            <v/>
          </cell>
          <cell r="P1238">
            <v>0</v>
          </cell>
          <cell r="Q1238">
            <v>0.26810001445013598</v>
          </cell>
          <cell r="R1238">
            <v>0.26810001445013598</v>
          </cell>
          <cell r="S1238" t="e">
            <v>#VALUE!</v>
          </cell>
          <cell r="T1238" t="e">
            <v>#VALUE!</v>
          </cell>
        </row>
        <row r="1239">
          <cell r="A1239" t="str">
            <v>G2675509TE</v>
          </cell>
          <cell r="B1239" t="str">
            <v>MKP000631001920</v>
          </cell>
          <cell r="C1239" t="str">
            <v/>
          </cell>
          <cell r="D1239" t="str">
            <v>Torre Quente Madesa Stella 70 cm 3 Portas Branco</v>
          </cell>
          <cell r="E1239" t="str">
            <v>STELLA</v>
          </cell>
          <cell r="F1239" t="str">
            <v>MODULAÇÃO</v>
          </cell>
          <cell r="G1239" t="str">
            <v/>
          </cell>
          <cell r="H1239">
            <v>1259.99</v>
          </cell>
          <cell r="I1239">
            <v>869.99</v>
          </cell>
          <cell r="J1239">
            <v>529.32579999999996</v>
          </cell>
          <cell r="K1239">
            <v>0</v>
          </cell>
          <cell r="L1239">
            <v>529.32579999999996</v>
          </cell>
          <cell r="M1239">
            <v>0</v>
          </cell>
          <cell r="N1239">
            <v>869.99</v>
          </cell>
          <cell r="O1239" t="str">
            <v/>
          </cell>
          <cell r="P1239">
            <v>0</v>
          </cell>
          <cell r="Q1239">
            <v>0.64358132552768099</v>
          </cell>
          <cell r="R1239">
            <v>0.64358132552768099</v>
          </cell>
          <cell r="S1239" t="e">
            <v>#VALUE!</v>
          </cell>
          <cell r="T1239" t="e">
            <v>#VALUE!</v>
          </cell>
        </row>
        <row r="1240">
          <cell r="A1240" t="str">
            <v>GRGL3100015Z</v>
          </cell>
          <cell r="B1240" t="str">
            <v>MKP000631004368</v>
          </cell>
          <cell r="C1240" t="str">
            <v/>
          </cell>
          <cell r="D1240" t="str">
            <v>Armário de Cozinha Completa 310cm Rustic Glamy Madesa 01</v>
          </cell>
          <cell r="E1240" t="str">
            <v>GLAMY</v>
          </cell>
          <cell r="F1240" t="str">
            <v>COZINHA</v>
          </cell>
          <cell r="G1240" t="str">
            <v/>
          </cell>
          <cell r="H1240">
            <v>2579.9</v>
          </cell>
          <cell r="I1240">
            <v>2439.92</v>
          </cell>
          <cell r="J1240">
            <v>2041.7117000000001</v>
          </cell>
          <cell r="K1240">
            <v>0</v>
          </cell>
          <cell r="L1240">
            <v>2041.7117000000001</v>
          </cell>
          <cell r="M1240">
            <v>0</v>
          </cell>
          <cell r="N1240">
            <v>2439.92</v>
          </cell>
          <cell r="O1240" t="str">
            <v/>
          </cell>
          <cell r="P1240">
            <v>0</v>
          </cell>
          <cell r="Q1240">
            <v>0.19503649805209999</v>
          </cell>
          <cell r="R1240">
            <v>0.19503649805209999</v>
          </cell>
          <cell r="S1240" t="e">
            <v>#VALUE!</v>
          </cell>
          <cell r="T1240" t="e">
            <v>#VALUE!</v>
          </cell>
        </row>
        <row r="1241">
          <cell r="A1241" t="str">
            <v>GRTP18000173</v>
          </cell>
          <cell r="B1241" t="str">
            <v>MKP000631003571</v>
          </cell>
          <cell r="C1241" t="str">
            <v/>
          </cell>
          <cell r="D1241" t="str">
            <v>Cozinha Compacta Madesa Topazio Pop com Armário, Balcão e Tampo Branco/Preto</v>
          </cell>
          <cell r="E1241" t="str">
            <v>TOPÁZIO</v>
          </cell>
          <cell r="F1241" t="str">
            <v>COZINHA</v>
          </cell>
          <cell r="G1241" t="str">
            <v/>
          </cell>
          <cell r="H1241">
            <v>1099.99</v>
          </cell>
          <cell r="I1241">
            <v>999.99</v>
          </cell>
          <cell r="J1241">
            <v>820.06150000000002</v>
          </cell>
          <cell r="K1241">
            <v>0</v>
          </cell>
          <cell r="L1241">
            <v>820.06150000000002</v>
          </cell>
          <cell r="M1241">
            <v>0</v>
          </cell>
          <cell r="N1241">
            <v>999.99</v>
          </cell>
          <cell r="O1241" t="str">
            <v/>
          </cell>
          <cell r="P1241">
            <v>0</v>
          </cell>
          <cell r="Q1241">
            <v>0.21940854435917301</v>
          </cell>
          <cell r="R1241">
            <v>0.21940854435917301</v>
          </cell>
          <cell r="S1241" t="e">
            <v>#VALUE!</v>
          </cell>
          <cell r="T1241" t="e">
            <v>#VALUE!</v>
          </cell>
        </row>
        <row r="1242">
          <cell r="A1242" t="str">
            <v>GRRM2600058N</v>
          </cell>
          <cell r="B1242" t="str">
            <v>MKP000631003214</v>
          </cell>
          <cell r="C1242" t="str">
            <v/>
          </cell>
          <cell r="D1242" t="str">
            <v>Armário de Cozinha Completa 260cm Preto Reims Madesa 05</v>
          </cell>
          <cell r="E1242" t="str">
            <v>REIMS</v>
          </cell>
          <cell r="F1242" t="str">
            <v>COZINHA</v>
          </cell>
          <cell r="G1242" t="str">
            <v/>
          </cell>
          <cell r="H1242">
            <v>2819.99</v>
          </cell>
          <cell r="I1242">
            <v>1789.92</v>
          </cell>
          <cell r="J1242">
            <v>1575.8130000000001</v>
          </cell>
          <cell r="K1242">
            <v>0</v>
          </cell>
          <cell r="L1242">
            <v>1575.8130000000001</v>
          </cell>
          <cell r="M1242">
            <v>0</v>
          </cell>
          <cell r="N1242">
            <v>1789.92</v>
          </cell>
          <cell r="O1242" t="str">
            <v/>
          </cell>
          <cell r="P1242">
            <v>0</v>
          </cell>
          <cell r="Q1242">
            <v>0.13587081715914301</v>
          </cell>
          <cell r="R1242">
            <v>0.13587081715914301</v>
          </cell>
          <cell r="S1242" t="e">
            <v>#VALUE!</v>
          </cell>
          <cell r="T1242" t="e">
            <v>#VALUE!</v>
          </cell>
        </row>
        <row r="1243">
          <cell r="A1243" t="str">
            <v>GCNC4450013B</v>
          </cell>
          <cell r="B1243" t="str">
            <v>MKP000631004837</v>
          </cell>
          <cell r="C1243" t="str">
            <v/>
          </cell>
          <cell r="D1243" t="str">
            <v>Armário de Cozinha Completa de Canto 445cm Cinza Nice Madesa 01</v>
          </cell>
          <cell r="E1243" t="str">
            <v>NICE</v>
          </cell>
          <cell r="F1243" t="str">
            <v>COZINHA</v>
          </cell>
          <cell r="G1243" t="str">
            <v/>
          </cell>
          <cell r="H1243">
            <v>3159.99</v>
          </cell>
          <cell r="I1243">
            <v>2939.92</v>
          </cell>
          <cell r="J1243">
            <v>1993.3047999999999</v>
          </cell>
          <cell r="K1243">
            <v>0</v>
          </cell>
          <cell r="L1243">
            <v>1993.3047999999999</v>
          </cell>
          <cell r="M1243">
            <v>0</v>
          </cell>
          <cell r="N1243">
            <v>2939.92</v>
          </cell>
          <cell r="O1243" t="str">
            <v/>
          </cell>
          <cell r="P1243">
            <v>0</v>
          </cell>
          <cell r="Q1243">
            <v>0.47489736642384101</v>
          </cell>
          <cell r="R1243">
            <v>0.47489736642384101</v>
          </cell>
          <cell r="S1243" t="e">
            <v>#VALUE!</v>
          </cell>
          <cell r="T1243" t="e">
            <v>#VALUE!</v>
          </cell>
        </row>
        <row r="1244">
          <cell r="A1244" t="str">
            <v>GCGL47900109</v>
          </cell>
          <cell r="B1244" t="str">
            <v>MKP000631004315</v>
          </cell>
          <cell r="C1244" t="str">
            <v/>
          </cell>
          <cell r="D1244" t="str">
            <v>Armário de Cozinha Completa de Canto 479cm Branco Glamy Madesa 01</v>
          </cell>
          <cell r="E1244" t="str">
            <v>GLAMY</v>
          </cell>
          <cell r="F1244" t="str">
            <v>COZINHA</v>
          </cell>
          <cell r="G1244" t="str">
            <v/>
          </cell>
          <cell r="H1244">
            <v>3799.99</v>
          </cell>
          <cell r="I1244">
            <v>3699.99</v>
          </cell>
          <cell r="J1244">
            <v>3004.9774000000002</v>
          </cell>
          <cell r="K1244">
            <v>0</v>
          </cell>
          <cell r="L1244">
            <v>3004.9774000000002</v>
          </cell>
          <cell r="M1244">
            <v>0</v>
          </cell>
          <cell r="N1244">
            <v>3699.99</v>
          </cell>
          <cell r="O1244" t="str">
            <v/>
          </cell>
          <cell r="P1244">
            <v>0</v>
          </cell>
          <cell r="Q1244">
            <v>0.231287130478918</v>
          </cell>
          <cell r="R1244">
            <v>0.231287130478918</v>
          </cell>
          <cell r="S1244" t="e">
            <v>#VALUE!</v>
          </cell>
          <cell r="T1244" t="e">
            <v>#VALUE!</v>
          </cell>
        </row>
        <row r="1245">
          <cell r="A1245" t="str">
            <v>60246E5ZPP</v>
          </cell>
          <cell r="B1245" t="str">
            <v>MKP000631001616</v>
          </cell>
          <cell r="C1245" t="str">
            <v/>
          </cell>
          <cell r="D1245" t="str">
            <v>Rack Madesa Dubai para TV até 65 Polegadas com Pés Rustic/Branco 6E5Z</v>
          </cell>
          <cell r="E1245" t="str">
            <v>DUBAI</v>
          </cell>
          <cell r="F1245" t="str">
            <v>SALA DE ESTAR</v>
          </cell>
          <cell r="G1245" t="str">
            <v/>
          </cell>
          <cell r="H1245">
            <v>569.99</v>
          </cell>
          <cell r="I1245">
            <v>319.99</v>
          </cell>
          <cell r="J1245">
            <v>243.82210000000001</v>
          </cell>
          <cell r="K1245">
            <v>0</v>
          </cell>
          <cell r="L1245">
            <v>243.82210000000001</v>
          </cell>
          <cell r="M1245">
            <v>0</v>
          </cell>
          <cell r="N1245">
            <v>319.99</v>
          </cell>
          <cell r="O1245" t="str">
            <v>LOJA</v>
          </cell>
          <cell r="P1245">
            <v>329.99</v>
          </cell>
          <cell r="Q1245">
            <v>0.31239128856654103</v>
          </cell>
          <cell r="R1245">
            <v>0.31239128856654103</v>
          </cell>
          <cell r="S1245" t="e">
            <v>#VALUE!</v>
          </cell>
          <cell r="T1245" t="e">
            <v>#VALUE!</v>
          </cell>
        </row>
        <row r="1246">
          <cell r="A1246" t="str">
            <v>G25602F9AG</v>
          </cell>
          <cell r="B1246" t="str">
            <v>MKP000631002579</v>
          </cell>
          <cell r="C1246" t="str">
            <v/>
          </cell>
          <cell r="D1246" t="str">
            <v>Armário Aéreo Madesa Agata 60 cm 1 Porta Basculante Rustic/Cinza</v>
          </cell>
          <cell r="E1246" t="str">
            <v>ÁGATA</v>
          </cell>
          <cell r="F1246" t="str">
            <v>MODULAÇÃO</v>
          </cell>
          <cell r="G1246" t="str">
            <v/>
          </cell>
          <cell r="H1246">
            <v>389.99</v>
          </cell>
          <cell r="I1246">
            <v>249.99</v>
          </cell>
          <cell r="J1246">
            <v>149.85319999999999</v>
          </cell>
          <cell r="K1246">
            <v>0</v>
          </cell>
          <cell r="L1246">
            <v>149.85319999999999</v>
          </cell>
          <cell r="M1246">
            <v>0</v>
          </cell>
          <cell r="N1246">
            <v>249.99</v>
          </cell>
          <cell r="O1246" t="str">
            <v/>
          </cell>
          <cell r="P1246">
            <v>0</v>
          </cell>
          <cell r="Q1246">
            <v>0.66823264368061597</v>
          </cell>
          <cell r="R1246">
            <v>0.66823264368061597</v>
          </cell>
          <cell r="S1246" t="e">
            <v>#VALUE!</v>
          </cell>
          <cell r="T1246" t="e">
            <v>#VALUE!</v>
          </cell>
        </row>
        <row r="1247">
          <cell r="A1247" t="str">
            <v>GRAG150002F8</v>
          </cell>
          <cell r="B1247" t="str">
            <v>MKP000631004664</v>
          </cell>
          <cell r="C1247" t="str">
            <v/>
          </cell>
          <cell r="D1247" t="str">
            <v>Armário de Cozinha Compacta 150cm Branco/Cinza Agata Madesa 02</v>
          </cell>
          <cell r="E1247" t="str">
            <v>ÁGATA</v>
          </cell>
          <cell r="F1247" t="str">
            <v>COZINHA</v>
          </cell>
          <cell r="G1247" t="str">
            <v/>
          </cell>
          <cell r="H1247">
            <v>1169.99</v>
          </cell>
          <cell r="I1247">
            <v>949.92</v>
          </cell>
          <cell r="J1247">
            <v>764.01369999999997</v>
          </cell>
          <cell r="K1247">
            <v>0</v>
          </cell>
          <cell r="L1247">
            <v>764.01369999999997</v>
          </cell>
          <cell r="M1247">
            <v>0</v>
          </cell>
          <cell r="N1247">
            <v>949.92</v>
          </cell>
          <cell r="O1247" t="str">
            <v/>
          </cell>
          <cell r="P1247">
            <v>0</v>
          </cell>
          <cell r="Q1247">
            <v>0.24332849005194501</v>
          </cell>
          <cell r="R1247">
            <v>0.24332849005194501</v>
          </cell>
          <cell r="S1247" t="e">
            <v>#VALUE!</v>
          </cell>
          <cell r="T1247" t="e">
            <v>#VALUE!</v>
          </cell>
        </row>
        <row r="1248">
          <cell r="A1248" t="str">
            <v>G2512109TE</v>
          </cell>
          <cell r="B1248" t="str">
            <v>MKP000631001901</v>
          </cell>
          <cell r="C1248" t="str">
            <v/>
          </cell>
          <cell r="D1248" t="str">
            <v>Armário Aéreo Madesa Stella 120 cm 2 Portas Branco</v>
          </cell>
          <cell r="E1248" t="str">
            <v>STELLA</v>
          </cell>
          <cell r="F1248" t="str">
            <v>MODULAÇÃO</v>
          </cell>
          <cell r="G1248" t="str">
            <v/>
          </cell>
          <cell r="H1248">
            <v>819.99</v>
          </cell>
          <cell r="I1248">
            <v>479.99</v>
          </cell>
          <cell r="J1248">
            <v>310.49740000000003</v>
          </cell>
          <cell r="K1248">
            <v>0</v>
          </cell>
          <cell r="L1248">
            <v>310.49740000000003</v>
          </cell>
          <cell r="M1248">
            <v>0</v>
          </cell>
          <cell r="N1248">
            <v>479.99</v>
          </cell>
          <cell r="O1248" t="str">
            <v/>
          </cell>
          <cell r="P1248">
            <v>0</v>
          </cell>
          <cell r="Q1248">
            <v>0.54587445820802405</v>
          </cell>
          <cell r="R1248">
            <v>0.54587445820802405</v>
          </cell>
          <cell r="S1248" t="e">
            <v>#VALUE!</v>
          </cell>
          <cell r="T1248" t="e">
            <v>#VALUE!</v>
          </cell>
        </row>
        <row r="1249">
          <cell r="A1249" t="str">
            <v>XC106377</v>
          </cell>
          <cell r="B1249" t="str">
            <v>MKP000631003100</v>
          </cell>
          <cell r="C1249" t="str">
            <v/>
          </cell>
          <cell r="D1249" t="str">
            <v>Guarda-Roupa Casal 100% MDF Madesa Zurique 3 Portas de Correr Preto/Branco</v>
          </cell>
          <cell r="E1249" t="str">
            <v>ZURIQUE</v>
          </cell>
          <cell r="F1249" t="str">
            <v>QUARTO</v>
          </cell>
          <cell r="G1249" t="str">
            <v/>
          </cell>
          <cell r="H1249">
            <v>2469.9899999999998</v>
          </cell>
          <cell r="I1249">
            <v>1829.92</v>
          </cell>
          <cell r="J1249">
            <v>1551.3534</v>
          </cell>
          <cell r="K1249">
            <v>0</v>
          </cell>
          <cell r="L1249">
            <v>1551.3534</v>
          </cell>
          <cell r="M1249">
            <v>0</v>
          </cell>
          <cell r="N1249">
            <v>1829.92</v>
          </cell>
          <cell r="O1249" t="str">
            <v/>
          </cell>
          <cell r="P1249">
            <v>0</v>
          </cell>
          <cell r="Q1249">
            <v>0.179563599112878</v>
          </cell>
          <cell r="R1249">
            <v>0.179563599112878</v>
          </cell>
          <cell r="S1249" t="e">
            <v>#VALUE!</v>
          </cell>
          <cell r="T1249" t="e">
            <v>#VALUE!</v>
          </cell>
        </row>
        <row r="1250">
          <cell r="A1250" t="str">
            <v>XB1063091ECP</v>
          </cell>
          <cell r="B1250" t="str">
            <v>MKP000631001489</v>
          </cell>
          <cell r="C1250" t="str">
            <v/>
          </cell>
          <cell r="D1250" t="str">
            <v>Guarda-Roupa Juvenil 100% MDF Madesa Kevin 3 Portas de Correr com Espelho com Pés Branco</v>
          </cell>
          <cell r="E1250" t="str">
            <v>KEVIN</v>
          </cell>
          <cell r="F1250" t="str">
            <v>QUARTO</v>
          </cell>
          <cell r="G1250" t="str">
            <v/>
          </cell>
          <cell r="H1250">
            <v>3429.99</v>
          </cell>
          <cell r="I1250">
            <v>2119.92</v>
          </cell>
          <cell r="J1250">
            <v>1838.7973</v>
          </cell>
          <cell r="K1250">
            <v>0</v>
          </cell>
          <cell r="L1250">
            <v>1838.7973</v>
          </cell>
          <cell r="M1250">
            <v>0</v>
          </cell>
          <cell r="N1250">
            <v>2119.92</v>
          </cell>
          <cell r="O1250" t="str">
            <v/>
          </cell>
          <cell r="P1250">
            <v>0</v>
          </cell>
          <cell r="Q1250">
            <v>0.15288400738895999</v>
          </cell>
          <cell r="R1250">
            <v>0.15288400738895999</v>
          </cell>
          <cell r="S1250" t="e">
            <v>#VALUE!</v>
          </cell>
          <cell r="T1250" t="e">
            <v>#VALUE!</v>
          </cell>
        </row>
        <row r="1251">
          <cell r="A1251" t="str">
            <v>G247503BNCCT</v>
          </cell>
          <cell r="B1251" t="str">
            <v>MKP000631004830</v>
          </cell>
          <cell r="C1251" t="str">
            <v/>
          </cell>
          <cell r="D1251" t="str">
            <v>Balcão de Canto 1 Porta Com Pés Cinza Nice Madesa</v>
          </cell>
          <cell r="E1251" t="str">
            <v>NICE</v>
          </cell>
          <cell r="F1251" t="str">
            <v>MODULAÇÃO</v>
          </cell>
          <cell r="G1251" t="str">
            <v/>
          </cell>
          <cell r="H1251">
            <v>569.99</v>
          </cell>
          <cell r="I1251">
            <v>539.99</v>
          </cell>
          <cell r="J1251">
            <v>243.63679999999999</v>
          </cell>
          <cell r="K1251">
            <v>0</v>
          </cell>
          <cell r="L1251">
            <v>243.63679999999999</v>
          </cell>
          <cell r="M1251">
            <v>0</v>
          </cell>
          <cell r="N1251">
            <v>539.99</v>
          </cell>
          <cell r="O1251" t="str">
            <v/>
          </cell>
          <cell r="P1251">
            <v>0</v>
          </cell>
          <cell r="Q1251">
            <v>1.21637289604854</v>
          </cell>
          <cell r="R1251">
            <v>1.21637289604854</v>
          </cell>
          <cell r="S1251" t="e">
            <v>#VALUE!</v>
          </cell>
          <cell r="T1251" t="e">
            <v>#VALUE!</v>
          </cell>
        </row>
        <row r="1252">
          <cell r="A1252" t="str">
            <v>10937K2E</v>
          </cell>
          <cell r="B1252" t="str">
            <v>MKP000631002106</v>
          </cell>
          <cell r="C1252" t="str">
            <v/>
          </cell>
          <cell r="D1252" t="str">
            <v>Guarda-Roupa Casal Madesa Mônaco 3 Portas de Correr com Espelhos Rustic/Preto</v>
          </cell>
          <cell r="E1252" t="str">
            <v>MÔNACO</v>
          </cell>
          <cell r="F1252" t="str">
            <v>QUARTO</v>
          </cell>
          <cell r="G1252" t="str">
            <v/>
          </cell>
          <cell r="H1252">
            <v>1369.99</v>
          </cell>
          <cell r="I1252">
            <v>1079.92</v>
          </cell>
          <cell r="J1252">
            <v>880.70910000000003</v>
          </cell>
          <cell r="K1252">
            <v>0</v>
          </cell>
          <cell r="L1252">
            <v>880.70910000000003</v>
          </cell>
          <cell r="M1252">
            <v>0</v>
          </cell>
          <cell r="N1252">
            <v>1079.92</v>
          </cell>
          <cell r="O1252" t="str">
            <v/>
          </cell>
          <cell r="P1252">
            <v>0</v>
          </cell>
          <cell r="Q1252">
            <v>0.22619375682617601</v>
          </cell>
          <cell r="R1252">
            <v>0.22619375682617601</v>
          </cell>
          <cell r="S1252" t="e">
            <v>#VALUE!</v>
          </cell>
          <cell r="T1252" t="e">
            <v>#VALUE!</v>
          </cell>
        </row>
        <row r="1253">
          <cell r="A1253" t="str">
            <v>MDJA0601415ZBE</v>
          </cell>
          <cell r="B1253" t="str">
            <v>MKP000631005344</v>
          </cell>
          <cell r="C1253" t="str">
            <v/>
          </cell>
          <cell r="D1253" t="str">
            <v>Conjunto Sala de Jantar Mesa Tampo de Madeira 6 Cadeiras Rustic/Crema/Bege Augusta Madesa</v>
          </cell>
          <cell r="E1253" t="str">
            <v>AUGUSTA</v>
          </cell>
          <cell r="F1253" t="str">
            <v>SALA DE JANTAR</v>
          </cell>
          <cell r="G1253">
            <v>4280</v>
          </cell>
          <cell r="H1253">
            <v>999.99</v>
          </cell>
          <cell r="I1253">
            <v>899.99</v>
          </cell>
          <cell r="J1253">
            <v>682.62339999999995</v>
          </cell>
          <cell r="K1253">
            <v>0</v>
          </cell>
          <cell r="L1253">
            <v>682.62339999999995</v>
          </cell>
          <cell r="M1253">
            <v>0</v>
          </cell>
          <cell r="N1253">
            <v>899.99</v>
          </cell>
          <cell r="O1253" t="str">
            <v/>
          </cell>
          <cell r="P1253">
            <v>0</v>
          </cell>
          <cell r="Q1253">
            <v>0.31842828710530602</v>
          </cell>
          <cell r="R1253">
            <v>0.31842828710530602</v>
          </cell>
          <cell r="S1253" t="e">
            <v>#VALUE!</v>
          </cell>
          <cell r="T1253" t="e">
            <v>#VALUE!</v>
          </cell>
        </row>
        <row r="1254">
          <cell r="A1254" t="str">
            <v>1095F8</v>
          </cell>
          <cell r="B1254" t="str">
            <v>MKP000631003529</v>
          </cell>
          <cell r="C1254" t="str">
            <v/>
          </cell>
          <cell r="D1254" t="str">
            <v>Guarda-Roupa Casal Madesa Reno 3 Portas de Correr Branco/Cinza</v>
          </cell>
          <cell r="E1254" t="str">
            <v>RENO</v>
          </cell>
          <cell r="F1254" t="str">
            <v>QUARTO</v>
          </cell>
          <cell r="G1254" t="str">
            <v/>
          </cell>
          <cell r="H1254">
            <v>1469.99</v>
          </cell>
          <cell r="I1254">
            <v>1089.92</v>
          </cell>
          <cell r="J1254">
            <v>918.40129999999999</v>
          </cell>
          <cell r="K1254">
            <v>0</v>
          </cell>
          <cell r="L1254">
            <v>918.40129999999999</v>
          </cell>
          <cell r="M1254">
            <v>0</v>
          </cell>
          <cell r="N1254">
            <v>1089.92</v>
          </cell>
          <cell r="O1254" t="str">
            <v/>
          </cell>
          <cell r="P1254">
            <v>0</v>
          </cell>
          <cell r="Q1254">
            <v>0.18675790201952</v>
          </cell>
          <cell r="R1254">
            <v>0.18675790201952</v>
          </cell>
          <cell r="S1254" t="e">
            <v>#VALUE!</v>
          </cell>
          <cell r="T1254" t="e">
            <v>#VALUE!</v>
          </cell>
        </row>
        <row r="1255">
          <cell r="A1255" t="str">
            <v>GRRM2700018N</v>
          </cell>
          <cell r="B1255" t="str">
            <v>MKP000631003403</v>
          </cell>
          <cell r="C1255" t="str">
            <v/>
          </cell>
          <cell r="D1255" t="str">
            <v>Armário de Cozinha Completa 270cm Preto Reims Madesa 01</v>
          </cell>
          <cell r="E1255" t="str">
            <v>REIMS</v>
          </cell>
          <cell r="F1255" t="str">
            <v>COZINHA</v>
          </cell>
          <cell r="G1255" t="str">
            <v/>
          </cell>
          <cell r="H1255">
            <v>3549.99</v>
          </cell>
          <cell r="I1255">
            <v>1899.99</v>
          </cell>
          <cell r="J1255">
            <v>1629.1685</v>
          </cell>
          <cell r="K1255">
            <v>0</v>
          </cell>
          <cell r="L1255">
            <v>1629.1685</v>
          </cell>
          <cell r="M1255">
            <v>0</v>
          </cell>
          <cell r="N1255">
            <v>1899.99</v>
          </cell>
          <cell r="O1255" t="str">
            <v>CARREFOUR</v>
          </cell>
          <cell r="P1255">
            <v>1879.99</v>
          </cell>
          <cell r="Q1255">
            <v>0.16623295871482899</v>
          </cell>
          <cell r="R1255">
            <v>0.16623295871482899</v>
          </cell>
          <cell r="S1255" t="e">
            <v>#VALUE!</v>
          </cell>
          <cell r="T1255" t="e">
            <v>#VALUE!</v>
          </cell>
        </row>
        <row r="1256">
          <cell r="A1256" t="str">
            <v>GREM2930057K</v>
          </cell>
          <cell r="B1256" t="str">
            <v>MKP000631005147</v>
          </cell>
          <cell r="C1256" t="str">
            <v/>
          </cell>
          <cell r="D1256" t="str">
            <v>Armário de Cozinha Completa 293cm Rustic/Preto Emilly Madesa 05</v>
          </cell>
          <cell r="E1256" t="str">
            <v>EMILLY</v>
          </cell>
          <cell r="F1256" t="str">
            <v>COZINHA</v>
          </cell>
          <cell r="G1256" t="str">
            <v/>
          </cell>
          <cell r="H1256">
            <v>1559.99</v>
          </cell>
          <cell r="I1256">
            <v>1459.99</v>
          </cell>
          <cell r="J1256">
            <v>1188.8085000000001</v>
          </cell>
          <cell r="K1256">
            <v>0</v>
          </cell>
          <cell r="L1256">
            <v>1188.8085000000001</v>
          </cell>
          <cell r="M1256">
            <v>0</v>
          </cell>
          <cell r="N1256">
            <v>1459.99</v>
          </cell>
          <cell r="O1256" t="str">
            <v/>
          </cell>
          <cell r="P1256">
            <v>0</v>
          </cell>
          <cell r="Q1256">
            <v>0.22811201299452299</v>
          </cell>
          <cell r="R1256">
            <v>0.22811201299452299</v>
          </cell>
          <cell r="S1256" t="e">
            <v>#VALUE!</v>
          </cell>
          <cell r="T1256" t="e">
            <v>#VALUE!</v>
          </cell>
        </row>
        <row r="1257">
          <cell r="A1257" t="str">
            <v>G2665509TE</v>
          </cell>
          <cell r="B1257" t="str">
            <v>MKP000631001919</v>
          </cell>
          <cell r="C1257" t="str">
            <v/>
          </cell>
          <cell r="D1257" t="str">
            <v>Torre Quente Madesa Stella 60 cm 1 Porta 3 Gavetas Branco</v>
          </cell>
          <cell r="E1257" t="str">
            <v>STELLA</v>
          </cell>
          <cell r="F1257" t="str">
            <v>MODULAÇÃO</v>
          </cell>
          <cell r="G1257" t="str">
            <v/>
          </cell>
          <cell r="H1257">
            <v>1339.99</v>
          </cell>
          <cell r="I1257">
            <v>899.99</v>
          </cell>
          <cell r="J1257">
            <v>553.40390000000002</v>
          </cell>
          <cell r="K1257">
            <v>0</v>
          </cell>
          <cell r="L1257">
            <v>553.40390000000002</v>
          </cell>
          <cell r="M1257">
            <v>0</v>
          </cell>
          <cell r="N1257">
            <v>899.99</v>
          </cell>
          <cell r="O1257" t="str">
            <v/>
          </cell>
          <cell r="P1257">
            <v>0</v>
          </cell>
          <cell r="Q1257">
            <v>0.626280552052488</v>
          </cell>
          <cell r="R1257">
            <v>0.626280552052488</v>
          </cell>
          <cell r="S1257" t="e">
            <v>#VALUE!</v>
          </cell>
          <cell r="T1257" t="e">
            <v>#VALUE!</v>
          </cell>
        </row>
        <row r="1258">
          <cell r="A1258" t="str">
            <v>10188N3E</v>
          </cell>
          <cell r="B1258" t="str">
            <v>MKP000631002257</v>
          </cell>
          <cell r="C1258" t="str">
            <v/>
          </cell>
          <cell r="D1258" t="str">
            <v>Guarda-Roupa Casal Madesa Kansas 3 Portas de Correr de Espelho 3 Gavetas Preto</v>
          </cell>
          <cell r="E1258" t="str">
            <v>KANSAS</v>
          </cell>
          <cell r="F1258" t="str">
            <v>QUARTO</v>
          </cell>
          <cell r="G1258" t="str">
            <v/>
          </cell>
          <cell r="H1258">
            <v>2389.9899999999998</v>
          </cell>
          <cell r="I1258">
            <v>1839.92</v>
          </cell>
          <cell r="J1258">
            <v>1523.3404</v>
          </cell>
          <cell r="K1258">
            <v>0</v>
          </cell>
          <cell r="L1258">
            <v>1523.3404</v>
          </cell>
          <cell r="M1258">
            <v>0</v>
          </cell>
          <cell r="N1258">
            <v>1839.92</v>
          </cell>
          <cell r="O1258" t="str">
            <v/>
          </cell>
          <cell r="P1258">
            <v>0</v>
          </cell>
          <cell r="Q1258">
            <v>0.20781934228226301</v>
          </cell>
          <cell r="R1258">
            <v>0.20781934228226301</v>
          </cell>
          <cell r="S1258" t="e">
            <v>#VALUE!</v>
          </cell>
          <cell r="T1258" t="e">
            <v>#VALUE!</v>
          </cell>
        </row>
        <row r="1259">
          <cell r="A1259" t="str">
            <v>1093091E2GCP</v>
          </cell>
          <cell r="B1259" t="str">
            <v>MKP000631001086</v>
          </cell>
          <cell r="C1259" t="str">
            <v/>
          </cell>
          <cell r="D1259" t="str">
            <v>Guarda-Roupa Casal Madesa Lyon 3 Portas de Correr com Espelho 2 Gavetas com Pés Branco</v>
          </cell>
          <cell r="E1259" t="str">
            <v>LYON</v>
          </cell>
          <cell r="F1259" t="str">
            <v>QUARTO</v>
          </cell>
          <cell r="G1259" t="str">
            <v/>
          </cell>
          <cell r="H1259">
            <v>1869.99</v>
          </cell>
          <cell r="I1259">
            <v>1149.99</v>
          </cell>
          <cell r="J1259">
            <v>885.70129999999995</v>
          </cell>
          <cell r="K1259">
            <v>0</v>
          </cell>
          <cell r="L1259">
            <v>885.70129999999995</v>
          </cell>
          <cell r="M1259">
            <v>0</v>
          </cell>
          <cell r="N1259">
            <v>1149.99</v>
          </cell>
          <cell r="O1259" t="str">
            <v>IMPÉRIO</v>
          </cell>
          <cell r="P1259">
            <v>1159</v>
          </cell>
          <cell r="Q1259">
            <v>0.29839484259535298</v>
          </cell>
          <cell r="R1259">
            <v>0.29839484259535298</v>
          </cell>
          <cell r="S1259" t="e">
            <v>#VALUE!</v>
          </cell>
          <cell r="T1259" t="e">
            <v>#VALUE!</v>
          </cell>
        </row>
        <row r="1260">
          <cell r="A1260" t="str">
            <v>1094774G</v>
          </cell>
          <cell r="B1260" t="str">
            <v>MKP000631002023</v>
          </cell>
          <cell r="C1260" t="str">
            <v/>
          </cell>
          <cell r="D1260" t="str">
            <v>Guarda-Roupa Solteiro Madesa Dallas Plus 2 Portas de Correr 4 Gavetas Preto/Branco</v>
          </cell>
          <cell r="E1260" t="str">
            <v>DALLAS PLUS</v>
          </cell>
          <cell r="F1260" t="str">
            <v>QUARTO</v>
          </cell>
          <cell r="G1260" t="str">
            <v/>
          </cell>
          <cell r="H1260">
            <v>1069.99</v>
          </cell>
          <cell r="I1260">
            <v>819.92</v>
          </cell>
          <cell r="J1260">
            <v>652.58299999999997</v>
          </cell>
          <cell r="K1260">
            <v>0</v>
          </cell>
          <cell r="L1260">
            <v>652.58299999999997</v>
          </cell>
          <cell r="M1260">
            <v>0</v>
          </cell>
          <cell r="N1260">
            <v>819.92</v>
          </cell>
          <cell r="O1260" t="str">
            <v/>
          </cell>
          <cell r="P1260">
            <v>0</v>
          </cell>
          <cell r="Q1260">
            <v>0.25642255467886799</v>
          </cell>
          <cell r="R1260">
            <v>0.25642255467886799</v>
          </cell>
          <cell r="S1260" t="e">
            <v>#VALUE!</v>
          </cell>
          <cell r="T1260" t="e">
            <v>#VALUE!</v>
          </cell>
        </row>
        <row r="1261">
          <cell r="A1261" t="str">
            <v>GRNC3200083B</v>
          </cell>
          <cell r="B1261" t="str">
            <v>MKP000631004995</v>
          </cell>
          <cell r="C1261" t="str">
            <v/>
          </cell>
          <cell r="D1261" t="str">
            <v>Armário de Cozinha Completa 320cm Cinza Nice Madesa 08</v>
          </cell>
          <cell r="E1261" t="str">
            <v>NICE</v>
          </cell>
          <cell r="F1261" t="str">
            <v>COZINHA</v>
          </cell>
          <cell r="G1261" t="str">
            <v/>
          </cell>
          <cell r="H1261">
            <v>2399.9899999999998</v>
          </cell>
          <cell r="I1261">
            <v>2259.92</v>
          </cell>
          <cell r="J1261">
            <v>1600.7085999999999</v>
          </cell>
          <cell r="K1261">
            <v>0</v>
          </cell>
          <cell r="L1261">
            <v>1600.7085999999999</v>
          </cell>
          <cell r="M1261">
            <v>0</v>
          </cell>
          <cell r="N1261">
            <v>2259.92</v>
          </cell>
          <cell r="O1261" t="str">
            <v/>
          </cell>
          <cell r="P1261">
            <v>0</v>
          </cell>
          <cell r="Q1261">
            <v>0.41182473811910503</v>
          </cell>
          <cell r="R1261">
            <v>0.41182473811910503</v>
          </cell>
          <cell r="S1261" t="e">
            <v>#VALUE!</v>
          </cell>
          <cell r="T1261" t="e">
            <v>#VALUE!</v>
          </cell>
        </row>
        <row r="1262">
          <cell r="A1262" t="str">
            <v>1094092GCP</v>
          </cell>
          <cell r="B1262" t="str">
            <v>MKP000631001001</v>
          </cell>
          <cell r="C1262" t="str">
            <v/>
          </cell>
          <cell r="D1262" t="str">
            <v>Guarda-Roupa Solteiro Madesa Dallas 2 Portas de Correr 2 Gavetas com Pés Branco</v>
          </cell>
          <cell r="E1262" t="str">
            <v>DALLAS</v>
          </cell>
          <cell r="F1262" t="str">
            <v>QUARTO</v>
          </cell>
          <cell r="G1262" t="str">
            <v/>
          </cell>
          <cell r="H1262">
            <v>1009.99</v>
          </cell>
          <cell r="I1262">
            <v>769.92</v>
          </cell>
          <cell r="J1262">
            <v>600.43740000000003</v>
          </cell>
          <cell r="K1262">
            <v>0</v>
          </cell>
          <cell r="L1262">
            <v>600.43740000000003</v>
          </cell>
          <cell r="M1262">
            <v>0</v>
          </cell>
          <cell r="N1262">
            <v>769.92</v>
          </cell>
          <cell r="O1262" t="str">
            <v/>
          </cell>
          <cell r="P1262">
            <v>0</v>
          </cell>
          <cell r="Q1262">
            <v>0.28226522864831499</v>
          </cell>
          <cell r="R1262">
            <v>0.28226522864831499</v>
          </cell>
          <cell r="S1262" t="e">
            <v>#VALUE!</v>
          </cell>
          <cell r="T1262" t="e">
            <v>#VALUE!</v>
          </cell>
        </row>
        <row r="1263">
          <cell r="A1263" t="str">
            <v>GRGM2400019B</v>
          </cell>
          <cell r="B1263" t="str">
            <v>MKP000631003513</v>
          </cell>
          <cell r="C1263" t="str">
            <v/>
          </cell>
          <cell r="D1263" t="str">
            <v>Armário de Cozinha Completa 100% MDF 240cm Branco/Rustic Acordes Madesa 01</v>
          </cell>
          <cell r="E1263" t="str">
            <v>ACORDES</v>
          </cell>
          <cell r="F1263" t="str">
            <v>COZINHA</v>
          </cell>
          <cell r="G1263" t="str">
            <v/>
          </cell>
          <cell r="H1263">
            <v>3079.99</v>
          </cell>
          <cell r="I1263">
            <v>2159.9899999999998</v>
          </cell>
          <cell r="J1263">
            <v>1827.2215000000001</v>
          </cell>
          <cell r="K1263">
            <v>0</v>
          </cell>
          <cell r="L1263">
            <v>1827.2215000000001</v>
          </cell>
          <cell r="M1263">
            <v>0</v>
          </cell>
          <cell r="N1263">
            <v>2159.9899999999998</v>
          </cell>
          <cell r="O1263" t="str">
            <v/>
          </cell>
          <cell r="P1263">
            <v>0</v>
          </cell>
          <cell r="Q1263">
            <v>0.18211722005241299</v>
          </cell>
          <cell r="R1263">
            <v>0.18211722005241299</v>
          </cell>
          <cell r="S1263" t="e">
            <v>#VALUE!</v>
          </cell>
          <cell r="T1263" t="e">
            <v>#VALUE!</v>
          </cell>
        </row>
        <row r="1264">
          <cell r="A1264" t="str">
            <v>GCRM2620018N</v>
          </cell>
          <cell r="B1264" t="str">
            <v>MKP000631002593</v>
          </cell>
          <cell r="C1264" t="str">
            <v/>
          </cell>
          <cell r="D1264" t="str">
            <v>Armário de Cozinha Completa de Canto 262cm Preto Reims Madesa 01</v>
          </cell>
          <cell r="E1264" t="str">
            <v>REIMS</v>
          </cell>
          <cell r="F1264" t="str">
            <v>COZINHA</v>
          </cell>
          <cell r="G1264" t="str">
            <v/>
          </cell>
          <cell r="H1264">
            <v>2269.9899999999998</v>
          </cell>
          <cell r="I1264">
            <v>1269.92</v>
          </cell>
          <cell r="J1264">
            <v>1029.0472</v>
          </cell>
          <cell r="K1264">
            <v>0</v>
          </cell>
          <cell r="L1264">
            <v>1029.0472</v>
          </cell>
          <cell r="M1264">
            <v>0</v>
          </cell>
          <cell r="N1264">
            <v>1269.92</v>
          </cell>
          <cell r="O1264" t="str">
            <v/>
          </cell>
          <cell r="P1264">
            <v>0</v>
          </cell>
          <cell r="Q1264">
            <v>0.234073616837012</v>
          </cell>
          <cell r="R1264">
            <v>0.234073616837012</v>
          </cell>
          <cell r="S1264" t="e">
            <v>#VALUE!</v>
          </cell>
          <cell r="T1264" t="e">
            <v>#VALUE!</v>
          </cell>
        </row>
        <row r="1265">
          <cell r="A1265" t="str">
            <v>GRGM19000109</v>
          </cell>
          <cell r="B1265" t="str">
            <v>MKP000631000179</v>
          </cell>
          <cell r="C1265" t="str">
            <v/>
          </cell>
          <cell r="D1265" t="str">
            <v>Armário de Cozinha Compacta 100% MDF 190cm Portas Branco Brilho Acordes Madesa 01</v>
          </cell>
          <cell r="E1265" t="str">
            <v>ACORDES</v>
          </cell>
          <cell r="F1265" t="str">
            <v>COZINHA</v>
          </cell>
          <cell r="G1265" t="str">
            <v/>
          </cell>
          <cell r="H1265">
            <v>2619.9899999999998</v>
          </cell>
          <cell r="I1265">
            <v>1629.99</v>
          </cell>
          <cell r="J1265">
            <v>1218.184</v>
          </cell>
          <cell r="K1265">
            <v>0</v>
          </cell>
          <cell r="L1265">
            <v>1218.184</v>
          </cell>
          <cell r="M1265">
            <v>0</v>
          </cell>
          <cell r="N1265">
            <v>1629.99</v>
          </cell>
          <cell r="O1265" t="str">
            <v/>
          </cell>
          <cell r="P1265">
            <v>0</v>
          </cell>
          <cell r="Q1265">
            <v>0.33804909603146999</v>
          </cell>
          <cell r="R1265">
            <v>0.33804909603146999</v>
          </cell>
          <cell r="S1265" t="e">
            <v>#VALUE!</v>
          </cell>
          <cell r="T1265" t="e">
            <v>#VALUE!</v>
          </cell>
        </row>
        <row r="1266">
          <cell r="A1266" t="str">
            <v>GREM293001J1</v>
          </cell>
          <cell r="B1266" t="str">
            <v>MKP000631005146</v>
          </cell>
          <cell r="C1266" t="str">
            <v/>
          </cell>
          <cell r="D1266" t="str">
            <v>Armário de Cozinha Completa 293cm Rustic/Cinza Emilly Madesa 01</v>
          </cell>
          <cell r="E1266" t="str">
            <v>EMILLY</v>
          </cell>
          <cell r="F1266" t="str">
            <v>COZINHA</v>
          </cell>
          <cell r="G1266" t="str">
            <v/>
          </cell>
          <cell r="H1266">
            <v>1249.99</v>
          </cell>
          <cell r="I1266">
            <v>1149.99</v>
          </cell>
          <cell r="J1266">
            <v>910.59690000000001</v>
          </cell>
          <cell r="K1266">
            <v>0</v>
          </cell>
          <cell r="L1266">
            <v>910.59690000000001</v>
          </cell>
          <cell r="M1266">
            <v>0</v>
          </cell>
          <cell r="N1266">
            <v>1149.99</v>
          </cell>
          <cell r="O1266" t="str">
            <v/>
          </cell>
          <cell r="P1266">
            <v>0</v>
          </cell>
          <cell r="Q1266">
            <v>0.262896897628358</v>
          </cell>
          <cell r="R1266">
            <v>0.262896897628358</v>
          </cell>
          <cell r="S1266" t="e">
            <v>#VALUE!</v>
          </cell>
          <cell r="T1266" t="e">
            <v>#VALUE!</v>
          </cell>
        </row>
        <row r="1267">
          <cell r="A1267" t="str">
            <v>GREM2330017K</v>
          </cell>
          <cell r="B1267" t="str">
            <v>MKP000631001827</v>
          </cell>
          <cell r="C1267" t="str">
            <v/>
          </cell>
          <cell r="D1267" t="str">
            <v>Armário de Cozinha Completa 233cm Rustic/Preto Emilly King Madesa 01</v>
          </cell>
          <cell r="E1267" t="str">
            <v>KING/EMILLY</v>
          </cell>
          <cell r="F1267" t="str">
            <v>COZINHA</v>
          </cell>
          <cell r="G1267" t="str">
            <v/>
          </cell>
          <cell r="H1267">
            <v>1069.99</v>
          </cell>
          <cell r="I1267">
            <v>969.99</v>
          </cell>
          <cell r="J1267">
            <v>788.05909999999994</v>
          </cell>
          <cell r="K1267">
            <v>0</v>
          </cell>
          <cell r="L1267">
            <v>788.05909999999994</v>
          </cell>
          <cell r="M1267">
            <v>0</v>
          </cell>
          <cell r="N1267">
            <v>969.99</v>
          </cell>
          <cell r="O1267" t="str">
            <v/>
          </cell>
          <cell r="P1267">
            <v>0</v>
          </cell>
          <cell r="Q1267">
            <v>0.23085946219008199</v>
          </cell>
          <cell r="R1267">
            <v>0.23085946219008199</v>
          </cell>
          <cell r="S1267" t="e">
            <v>#VALUE!</v>
          </cell>
          <cell r="T1267" t="e">
            <v>#VALUE!</v>
          </cell>
        </row>
        <row r="1268">
          <cell r="A1268" t="str">
            <v>10959B3E</v>
          </cell>
          <cell r="B1268" t="str">
            <v>MKP000631002087</v>
          </cell>
          <cell r="C1268" t="str">
            <v/>
          </cell>
          <cell r="D1268" t="str">
            <v>Guarda-Roupa Casal Madesa Reno 3 Portas de Correr de Espelho Branco/Rustic</v>
          </cell>
          <cell r="E1268" t="str">
            <v>RENO</v>
          </cell>
          <cell r="F1268" t="str">
            <v>QUARTO</v>
          </cell>
          <cell r="G1268" t="str">
            <v/>
          </cell>
          <cell r="H1268">
            <v>1869.99</v>
          </cell>
          <cell r="I1268">
            <v>1549.99</v>
          </cell>
          <cell r="J1268">
            <v>1277.0876000000001</v>
          </cell>
          <cell r="K1268">
            <v>0</v>
          </cell>
          <cell r="L1268">
            <v>1277.0876000000001</v>
          </cell>
          <cell r="M1268">
            <v>0</v>
          </cell>
          <cell r="N1268">
            <v>1549.99</v>
          </cell>
          <cell r="O1268" t="str">
            <v>WEB</v>
          </cell>
          <cell r="P1268">
            <v>1549.99</v>
          </cell>
          <cell r="Q1268">
            <v>0.21369121429101601</v>
          </cell>
          <cell r="R1268">
            <v>0.21369121429101601</v>
          </cell>
          <cell r="S1268" t="e">
            <v>#VALUE!</v>
          </cell>
          <cell r="T1268" t="e">
            <v>#VALUE!</v>
          </cell>
        </row>
        <row r="1269">
          <cell r="A1269" t="str">
            <v>G2440009GL</v>
          </cell>
          <cell r="B1269" t="str">
            <v>MKP000631000557</v>
          </cell>
          <cell r="C1269" t="str">
            <v/>
          </cell>
          <cell r="D1269" t="str">
            <v>Balcão Madesa Glamy 40 cm 1 Porta Branco</v>
          </cell>
          <cell r="E1269" t="str">
            <v>GLAMY</v>
          </cell>
          <cell r="F1269" t="str">
            <v>MODULAÇÃO</v>
          </cell>
          <cell r="G1269" t="str">
            <v/>
          </cell>
          <cell r="H1269">
            <v>509.99</v>
          </cell>
          <cell r="I1269">
            <v>349.99</v>
          </cell>
          <cell r="J1269">
            <v>223.8424</v>
          </cell>
          <cell r="K1269">
            <v>0</v>
          </cell>
          <cell r="L1269">
            <v>223.8424</v>
          </cell>
          <cell r="M1269">
            <v>0</v>
          </cell>
          <cell r="N1269">
            <v>349.99</v>
          </cell>
          <cell r="O1269" t="str">
            <v/>
          </cell>
          <cell r="P1269">
            <v>0</v>
          </cell>
          <cell r="Q1269">
            <v>0.56355543007044195</v>
          </cell>
          <cell r="R1269">
            <v>0.56355543007044195</v>
          </cell>
          <cell r="S1269" t="e">
            <v>#VALUE!</v>
          </cell>
          <cell r="T1269" t="e">
            <v>#VALUE!</v>
          </cell>
        </row>
        <row r="1270">
          <cell r="A1270" t="str">
            <v>70088N</v>
          </cell>
          <cell r="B1270" t="str">
            <v>MKP000631001645</v>
          </cell>
          <cell r="C1270" t="str">
            <v/>
          </cell>
          <cell r="D1270" t="str">
            <v>Rack para TV até 65 Polegadas Madesa Cancun Preto</v>
          </cell>
          <cell r="E1270" t="str">
            <v>CANCUN</v>
          </cell>
          <cell r="F1270" t="str">
            <v>SALA DE ESTAR</v>
          </cell>
          <cell r="G1270" t="str">
            <v/>
          </cell>
          <cell r="H1270">
            <v>559.99</v>
          </cell>
          <cell r="I1270">
            <v>319.99</v>
          </cell>
          <cell r="J1270">
            <v>214.45750000000001</v>
          </cell>
          <cell r="K1270">
            <v>0</v>
          </cell>
          <cell r="L1270">
            <v>214.45750000000001</v>
          </cell>
          <cell r="M1270">
            <v>0</v>
          </cell>
          <cell r="N1270">
            <v>319.99</v>
          </cell>
          <cell r="O1270" t="str">
            <v>MAGALU</v>
          </cell>
          <cell r="P1270">
            <v>299.99</v>
          </cell>
          <cell r="Q1270">
            <v>0.49209050744319999</v>
          </cell>
          <cell r="R1270">
            <v>0.49209050744319999</v>
          </cell>
          <cell r="S1270" t="e">
            <v>#VALUE!</v>
          </cell>
          <cell r="T1270" t="e">
            <v>#VALUE!</v>
          </cell>
        </row>
        <row r="1271">
          <cell r="A1271" t="str">
            <v>GREM1690065Z</v>
          </cell>
          <cell r="B1271" t="str">
            <v>MKP000631001532</v>
          </cell>
          <cell r="C1271" t="str">
            <v/>
          </cell>
          <cell r="D1271" t="str">
            <v>Armário de Cozinha Completa 169cm Rustic Emilly Voice Madesa 06</v>
          </cell>
          <cell r="E1271" t="str">
            <v>VOICE/EMILLY</v>
          </cell>
          <cell r="F1271" t="str">
            <v>COZINHA</v>
          </cell>
          <cell r="G1271" t="str">
            <v/>
          </cell>
          <cell r="H1271">
            <v>1169.99</v>
          </cell>
          <cell r="I1271">
            <v>1069.99</v>
          </cell>
          <cell r="J1271">
            <v>857.02340000000004</v>
          </cell>
          <cell r="K1271">
            <v>0</v>
          </cell>
          <cell r="L1271">
            <v>857.02340000000004</v>
          </cell>
          <cell r="M1271">
            <v>0</v>
          </cell>
          <cell r="N1271">
            <v>1069.99</v>
          </cell>
          <cell r="O1271" t="str">
            <v/>
          </cell>
          <cell r="P1271">
            <v>0</v>
          </cell>
          <cell r="Q1271">
            <v>0.24849566534589401</v>
          </cell>
          <cell r="R1271">
            <v>0.24849566534589401</v>
          </cell>
          <cell r="S1271" t="e">
            <v>#VALUE!</v>
          </cell>
          <cell r="T1271" t="e">
            <v>#VALUE!</v>
          </cell>
        </row>
        <row r="1272">
          <cell r="A1272" t="str">
            <v>GCEM5130027K</v>
          </cell>
          <cell r="B1272" t="str">
            <v>MKP000631000443</v>
          </cell>
          <cell r="C1272" t="str">
            <v/>
          </cell>
          <cell r="D1272" t="str">
            <v>Armário de Cozinha Completa de Canto 513cm Rustic/Preto Emilly Big Madesa 02</v>
          </cell>
          <cell r="E1272" t="str">
            <v>BIG/EMILLY</v>
          </cell>
          <cell r="F1272" t="str">
            <v>COZINHA</v>
          </cell>
          <cell r="G1272" t="str">
            <v/>
          </cell>
          <cell r="H1272">
            <v>2099.9899999999998</v>
          </cell>
          <cell r="I1272">
            <v>1999.99</v>
          </cell>
          <cell r="J1272">
            <v>1657.6066000000001</v>
          </cell>
          <cell r="K1272">
            <v>0</v>
          </cell>
          <cell r="L1272">
            <v>1657.6066000000001</v>
          </cell>
          <cell r="M1272">
            <v>0</v>
          </cell>
          <cell r="N1272">
            <v>1999.99</v>
          </cell>
          <cell r="O1272" t="str">
            <v/>
          </cell>
          <cell r="P1272">
            <v>0</v>
          </cell>
          <cell r="Q1272">
            <v>0.206552869661595</v>
          </cell>
          <cell r="R1272">
            <v>0.206552869661595</v>
          </cell>
          <cell r="S1272" t="e">
            <v>#VALUE!</v>
          </cell>
          <cell r="T1272" t="e">
            <v>#VALUE!</v>
          </cell>
        </row>
        <row r="1273">
          <cell r="A1273" t="str">
            <v>GRAG180003F8</v>
          </cell>
          <cell r="B1273" t="str">
            <v>MKP000631004591</v>
          </cell>
          <cell r="C1273" t="str">
            <v/>
          </cell>
          <cell r="D1273" t="str">
            <v>Armário de Cozinha Compacta 180cm Branco Cinza Agata Madesa 03</v>
          </cell>
          <cell r="E1273" t="str">
            <v>ÁGATA</v>
          </cell>
          <cell r="F1273" t="str">
            <v>COZINHA</v>
          </cell>
          <cell r="G1273" t="str">
            <v/>
          </cell>
          <cell r="H1273">
            <v>1599.99</v>
          </cell>
          <cell r="I1273">
            <v>1499.99</v>
          </cell>
          <cell r="J1273">
            <v>1251.8868</v>
          </cell>
          <cell r="K1273">
            <v>0</v>
          </cell>
          <cell r="L1273">
            <v>1251.8868</v>
          </cell>
          <cell r="M1273">
            <v>0</v>
          </cell>
          <cell r="N1273">
            <v>1499.99</v>
          </cell>
          <cell r="O1273" t="str">
            <v/>
          </cell>
          <cell r="P1273">
            <v>0</v>
          </cell>
          <cell r="Q1273">
            <v>0.19818341402753001</v>
          </cell>
          <cell r="R1273">
            <v>0.19818341402753001</v>
          </cell>
          <cell r="S1273" t="e">
            <v>#VALUE!</v>
          </cell>
          <cell r="T1273" t="e">
            <v>#VALUE!</v>
          </cell>
        </row>
        <row r="1274">
          <cell r="A1274" t="str">
            <v>GCAG399002F8</v>
          </cell>
          <cell r="B1274" t="str">
            <v>MKP000631004531</v>
          </cell>
          <cell r="C1274" t="str">
            <v/>
          </cell>
          <cell r="D1274" t="str">
            <v>Armário de Cozinha Completa de Canto 399cm Branco Cinza Agata Madesa 02</v>
          </cell>
          <cell r="E1274" t="str">
            <v>ÁGATA</v>
          </cell>
          <cell r="F1274" t="str">
            <v>COZINHA</v>
          </cell>
          <cell r="G1274" t="str">
            <v/>
          </cell>
          <cell r="H1274">
            <v>2599.9899999999998</v>
          </cell>
          <cell r="I1274">
            <v>2499.9899999999998</v>
          </cell>
          <cell r="J1274">
            <v>2030.0596</v>
          </cell>
          <cell r="K1274">
            <v>0</v>
          </cell>
          <cell r="L1274">
            <v>2030.0596</v>
          </cell>
          <cell r="M1274">
            <v>0</v>
          </cell>
          <cell r="N1274">
            <v>2499.9899999999998</v>
          </cell>
          <cell r="O1274" t="str">
            <v/>
          </cell>
          <cell r="P1274">
            <v>0</v>
          </cell>
          <cell r="Q1274">
            <v>0.23148601154369999</v>
          </cell>
          <cell r="R1274">
            <v>0.23148601154369999</v>
          </cell>
          <cell r="S1274" t="e">
            <v>#VALUE!</v>
          </cell>
          <cell r="T1274" t="e">
            <v>#VALUE!</v>
          </cell>
        </row>
        <row r="1275">
          <cell r="A1275" t="str">
            <v>GREM2290027K</v>
          </cell>
          <cell r="B1275" t="str">
            <v>MKP000631000324</v>
          </cell>
          <cell r="C1275" t="str">
            <v/>
          </cell>
          <cell r="D1275" t="str">
            <v>Armário de Cozinha Compacta 229cm Rustic/Preto Emilly Pop Madesa 02</v>
          </cell>
          <cell r="E1275" t="str">
            <v>POP/EMILLY</v>
          </cell>
          <cell r="F1275" t="str">
            <v>COZINHA</v>
          </cell>
          <cell r="G1275" t="str">
            <v/>
          </cell>
          <cell r="H1275">
            <v>1099.99</v>
          </cell>
          <cell r="I1275">
            <v>759.99</v>
          </cell>
          <cell r="J1275">
            <v>587.28110000000004</v>
          </cell>
          <cell r="K1275">
            <v>0</v>
          </cell>
          <cell r="L1275">
            <v>587.28110000000004</v>
          </cell>
          <cell r="M1275">
            <v>0</v>
          </cell>
          <cell r="N1275">
            <v>759.99</v>
          </cell>
          <cell r="O1275" t="str">
            <v>MAGALU</v>
          </cell>
          <cell r="P1275">
            <v>736.83</v>
          </cell>
          <cell r="Q1275">
            <v>0.29408216950962701</v>
          </cell>
          <cell r="R1275">
            <v>0.29408216950962701</v>
          </cell>
          <cell r="S1275" t="e">
            <v>#VALUE!</v>
          </cell>
          <cell r="T1275" t="e">
            <v>#VALUE!</v>
          </cell>
        </row>
        <row r="1276">
          <cell r="A1276" t="str">
            <v>GRNC3200043B</v>
          </cell>
          <cell r="B1276" t="str">
            <v>MKP000631005003</v>
          </cell>
          <cell r="C1276" t="str">
            <v/>
          </cell>
          <cell r="D1276" t="str">
            <v>Armário de Cozinha Completa Suspenso 320cm Cinza Nice Madesa 04</v>
          </cell>
          <cell r="E1276" t="str">
            <v>NICE</v>
          </cell>
          <cell r="F1276" t="str">
            <v>COZINHA</v>
          </cell>
          <cell r="G1276" t="str">
            <v/>
          </cell>
          <cell r="H1276">
            <v>2589.9899999999998</v>
          </cell>
          <cell r="I1276">
            <v>2249.92</v>
          </cell>
          <cell r="J1276">
            <v>1589.0455999999999</v>
          </cell>
          <cell r="K1276">
            <v>0</v>
          </cell>
          <cell r="L1276">
            <v>1589.0455999999999</v>
          </cell>
          <cell r="M1276">
            <v>0</v>
          </cell>
          <cell r="N1276">
            <v>2249.92</v>
          </cell>
          <cell r="O1276" t="str">
            <v/>
          </cell>
          <cell r="P1276">
            <v>0</v>
          </cell>
          <cell r="Q1276">
            <v>0.41589391770758499</v>
          </cell>
          <cell r="R1276">
            <v>0.41589391770758499</v>
          </cell>
          <cell r="S1276" t="e">
            <v>#VALUE!</v>
          </cell>
          <cell r="T1276" t="e">
            <v>#VALUE!</v>
          </cell>
        </row>
        <row r="1277">
          <cell r="A1277" t="str">
            <v>1163092E</v>
          </cell>
          <cell r="B1277" t="str">
            <v>MKP000631001187</v>
          </cell>
          <cell r="C1277" t="str">
            <v/>
          </cell>
          <cell r="D1277" t="str">
            <v>Guarda-Roupa Casal 100% MDF Madesa Eros 3 Portas de Correr com Espelhos Branco</v>
          </cell>
          <cell r="E1277" t="str">
            <v>EROS</v>
          </cell>
          <cell r="F1277" t="str">
            <v>QUARTO</v>
          </cell>
          <cell r="G1277" t="str">
            <v/>
          </cell>
          <cell r="H1277">
            <v>2989.99</v>
          </cell>
          <cell r="I1277">
            <v>2139.92</v>
          </cell>
          <cell r="J1277">
            <v>1811.2094</v>
          </cell>
          <cell r="K1277">
            <v>0</v>
          </cell>
          <cell r="L1277">
            <v>1811.2094</v>
          </cell>
          <cell r="M1277">
            <v>0</v>
          </cell>
          <cell r="N1277">
            <v>2139.92</v>
          </cell>
          <cell r="O1277" t="str">
            <v/>
          </cell>
          <cell r="P1277">
            <v>0</v>
          </cell>
          <cell r="Q1277">
            <v>0.18148680102919101</v>
          </cell>
          <cell r="R1277">
            <v>0.18148680102919101</v>
          </cell>
          <cell r="S1277" t="e">
            <v>#VALUE!</v>
          </cell>
          <cell r="T1277" t="e">
            <v>#VALUE!</v>
          </cell>
        </row>
        <row r="1278">
          <cell r="A1278" t="str">
            <v>1095H92E</v>
          </cell>
          <cell r="B1278" t="str">
            <v>MKP000631003536</v>
          </cell>
          <cell r="C1278" t="str">
            <v/>
          </cell>
          <cell r="D1278" t="str">
            <v>Guarda-Roupa Casal Madesa Reno 3 Portas de Correr com Espelhos Preto/Cinza</v>
          </cell>
          <cell r="E1278" t="str">
            <v>RENO</v>
          </cell>
          <cell r="F1278" t="str">
            <v>QUARTO</v>
          </cell>
          <cell r="G1278" t="str">
            <v/>
          </cell>
          <cell r="H1278">
            <v>2039.99</v>
          </cell>
          <cell r="I1278">
            <v>1359.92</v>
          </cell>
          <cell r="J1278">
            <v>1157.5255</v>
          </cell>
          <cell r="K1278">
            <v>0</v>
          </cell>
          <cell r="L1278">
            <v>1157.5255</v>
          </cell>
          <cell r="M1278">
            <v>0</v>
          </cell>
          <cell r="N1278">
            <v>1359.92</v>
          </cell>
          <cell r="O1278" t="str">
            <v/>
          </cell>
          <cell r="P1278">
            <v>0</v>
          </cell>
          <cell r="Q1278">
            <v>0.17485100760199199</v>
          </cell>
          <cell r="R1278">
            <v>0.17485100760199199</v>
          </cell>
          <cell r="S1278" t="e">
            <v>#VALUE!</v>
          </cell>
          <cell r="T1278" t="e">
            <v>#VALUE!</v>
          </cell>
        </row>
        <row r="1279">
          <cell r="A1279" t="str">
            <v>GRLX2600089R</v>
          </cell>
          <cell r="B1279" t="str">
            <v>MKP000631004858</v>
          </cell>
          <cell r="C1279" t="str">
            <v/>
          </cell>
          <cell r="D1279" t="str">
            <v>Armário de Cozinha Completa 260cm Branco/Cinza Lux Madesa 08</v>
          </cell>
          <cell r="E1279" t="str">
            <v>LUX</v>
          </cell>
          <cell r="F1279" t="str">
            <v>COZINHA</v>
          </cell>
          <cell r="G1279" t="str">
            <v/>
          </cell>
          <cell r="H1279">
            <v>4729.99</v>
          </cell>
          <cell r="I1279">
            <v>4649.99</v>
          </cell>
          <cell r="J1279">
            <v>3061.5374999999999</v>
          </cell>
          <cell r="K1279">
            <v>0</v>
          </cell>
          <cell r="L1279">
            <v>3061.5374999999999</v>
          </cell>
          <cell r="M1279">
            <v>0</v>
          </cell>
          <cell r="N1279">
            <v>4649.99</v>
          </cell>
          <cell r="O1279" t="str">
            <v>LOJA</v>
          </cell>
          <cell r="P1279">
            <v>4089.99</v>
          </cell>
          <cell r="Q1279">
            <v>0.51884143179693198</v>
          </cell>
          <cell r="R1279">
            <v>0.51884143179693198</v>
          </cell>
          <cell r="S1279" t="e">
            <v>#VALUE!</v>
          </cell>
          <cell r="T1279" t="e">
            <v>#VALUE!</v>
          </cell>
        </row>
        <row r="1280">
          <cell r="A1280" t="str">
            <v>42805Z2XPE</v>
          </cell>
          <cell r="B1280" t="str">
            <v>MKP000631000080</v>
          </cell>
          <cell r="C1280" t="str">
            <v/>
          </cell>
          <cell r="D1280" t="str">
            <v>Kit 2 Cadeiras 4280 Madesa Rustic/Sintético Bege</v>
          </cell>
          <cell r="E1280">
            <v>4280</v>
          </cell>
          <cell r="F1280" t="str">
            <v>SALA DE JANTAR</v>
          </cell>
          <cell r="G1280" t="str">
            <v>4280X</v>
          </cell>
          <cell r="H1280">
            <v>479.99</v>
          </cell>
          <cell r="I1280">
            <v>289.92</v>
          </cell>
          <cell r="J1280">
            <v>141.78720000000001</v>
          </cell>
          <cell r="K1280">
            <v>0</v>
          </cell>
          <cell r="L1280">
            <v>141.78720000000001</v>
          </cell>
          <cell r="M1280">
            <v>0</v>
          </cell>
          <cell r="N1280">
            <v>289.92</v>
          </cell>
          <cell r="O1280" t="str">
            <v/>
          </cell>
          <cell r="P1280">
            <v>0</v>
          </cell>
          <cell r="Q1280">
            <v>1.04475439249805</v>
          </cell>
          <cell r="R1280">
            <v>1.04475439249805</v>
          </cell>
          <cell r="S1280" t="e">
            <v>#VALUE!</v>
          </cell>
          <cell r="T1280" t="e">
            <v>#VALUE!</v>
          </cell>
        </row>
        <row r="1281">
          <cell r="A1281" t="str">
            <v>10949BCP</v>
          </cell>
          <cell r="B1281" t="str">
            <v>MKP000631000975</v>
          </cell>
          <cell r="C1281" t="str">
            <v/>
          </cell>
          <cell r="D1281" t="str">
            <v>Guarda-Roupa Solteiro Madesa Denver 2 Portas de Correr com Pés Branco/Rustic</v>
          </cell>
          <cell r="E1281" t="str">
            <v>DENVER</v>
          </cell>
          <cell r="F1281" t="str">
            <v>QUARTO</v>
          </cell>
          <cell r="G1281" t="str">
            <v/>
          </cell>
          <cell r="H1281">
            <v>759.99</v>
          </cell>
          <cell r="I1281">
            <v>639.91999999999996</v>
          </cell>
          <cell r="J1281">
            <v>511.70049999999998</v>
          </cell>
          <cell r="K1281">
            <v>0</v>
          </cell>
          <cell r="L1281">
            <v>511.70049999999998</v>
          </cell>
          <cell r="M1281">
            <v>0</v>
          </cell>
          <cell r="N1281">
            <v>639.91999999999996</v>
          </cell>
          <cell r="O1281" t="str">
            <v/>
          </cell>
          <cell r="P1281">
            <v>0</v>
          </cell>
          <cell r="Q1281">
            <v>0.25057528769270299</v>
          </cell>
          <cell r="R1281">
            <v>0.25057528769270299</v>
          </cell>
          <cell r="S1281" t="e">
            <v>#VALUE!</v>
          </cell>
          <cell r="T1281" t="e">
            <v>#VALUE!</v>
          </cell>
        </row>
        <row r="1282">
          <cell r="A1282" t="str">
            <v>GRGL30000109</v>
          </cell>
          <cell r="B1282" t="str">
            <v>MKP000631001019</v>
          </cell>
          <cell r="C1282" t="str">
            <v/>
          </cell>
          <cell r="D1282" t="str">
            <v>Armário de Cozinha Completa 300cm Branco Verona Madesa 01</v>
          </cell>
          <cell r="E1282" t="str">
            <v>VERONA/GLAMY</v>
          </cell>
          <cell r="F1282" t="str">
            <v>COZINHA</v>
          </cell>
          <cell r="G1282" t="str">
            <v/>
          </cell>
          <cell r="H1282">
            <v>2999.99</v>
          </cell>
          <cell r="I1282">
            <v>2399.9899999999998</v>
          </cell>
          <cell r="J1282">
            <v>2019.9553000000001</v>
          </cell>
          <cell r="K1282">
            <v>0</v>
          </cell>
          <cell r="L1282">
            <v>2019.9553000000001</v>
          </cell>
          <cell r="M1282">
            <v>0</v>
          </cell>
          <cell r="N1282">
            <v>2399.9899999999998</v>
          </cell>
          <cell r="O1282" t="str">
            <v/>
          </cell>
          <cell r="P1282">
            <v>0</v>
          </cell>
          <cell r="Q1282">
            <v>0.188140153398444</v>
          </cell>
          <cell r="R1282">
            <v>0.188140153398444</v>
          </cell>
          <cell r="S1282" t="e">
            <v>#VALUE!</v>
          </cell>
          <cell r="T1282" t="e">
            <v>#VALUE!</v>
          </cell>
        </row>
        <row r="1283">
          <cell r="A1283" t="str">
            <v>1093F82E</v>
          </cell>
          <cell r="B1283" t="str">
            <v>MKP000631004582</v>
          </cell>
          <cell r="C1283" t="str">
            <v/>
          </cell>
          <cell r="D1283" t="str">
            <v>Guarda-Roupa Casal Madesa Mônaco 3 Portas de Correr com Espelhos Branco/Cinza</v>
          </cell>
          <cell r="E1283" t="str">
            <v>MÔNACO</v>
          </cell>
          <cell r="F1283" t="str">
            <v>QUARTO</v>
          </cell>
          <cell r="G1283" t="str">
            <v/>
          </cell>
          <cell r="H1283">
            <v>1099.99</v>
          </cell>
          <cell r="I1283">
            <v>1079.92</v>
          </cell>
          <cell r="J1283">
            <v>880.70910000000003</v>
          </cell>
          <cell r="K1283">
            <v>0</v>
          </cell>
          <cell r="L1283">
            <v>880.70910000000003</v>
          </cell>
          <cell r="M1283">
            <v>0</v>
          </cell>
          <cell r="N1283">
            <v>1079.92</v>
          </cell>
          <cell r="O1283" t="str">
            <v/>
          </cell>
          <cell r="P1283">
            <v>0</v>
          </cell>
          <cell r="Q1283">
            <v>0.22619375682617601</v>
          </cell>
          <cell r="R1283">
            <v>0.22619375682617601</v>
          </cell>
          <cell r="S1283" t="e">
            <v>#VALUE!</v>
          </cell>
          <cell r="T1283" t="e">
            <v>#VALUE!</v>
          </cell>
        </row>
        <row r="1284">
          <cell r="A1284" t="str">
            <v>G26755F9AG</v>
          </cell>
          <cell r="B1284" t="str">
            <v>MKP000631002625</v>
          </cell>
          <cell r="C1284" t="str">
            <v/>
          </cell>
          <cell r="D1284" t="str">
            <v>Torre Quente Madesa Agata 70 cm 3 Portas Rustic/Cinza</v>
          </cell>
          <cell r="E1284" t="str">
            <v>ÁGATA</v>
          </cell>
          <cell r="F1284" t="str">
            <v>MODULAÇÃO</v>
          </cell>
          <cell r="G1284" t="str">
            <v/>
          </cell>
          <cell r="H1284">
            <v>1269.99</v>
          </cell>
          <cell r="I1284">
            <v>889.99</v>
          </cell>
          <cell r="J1284">
            <v>520.20249999999999</v>
          </cell>
          <cell r="K1284">
            <v>0</v>
          </cell>
          <cell r="L1284">
            <v>520.20249999999999</v>
          </cell>
          <cell r="M1284">
            <v>0</v>
          </cell>
          <cell r="N1284">
            <v>889.99</v>
          </cell>
          <cell r="O1284" t="str">
            <v/>
          </cell>
          <cell r="P1284">
            <v>0</v>
          </cell>
          <cell r="Q1284">
            <v>0.71085298513559603</v>
          </cell>
          <cell r="R1284">
            <v>0.71085298513559603</v>
          </cell>
          <cell r="S1284" t="e">
            <v>#VALUE!</v>
          </cell>
          <cell r="T1284" t="e">
            <v>#VALUE!</v>
          </cell>
        </row>
        <row r="1285">
          <cell r="A1285" t="str">
            <v>1094094GCP</v>
          </cell>
          <cell r="B1285" t="str">
            <v>MKP000631001015</v>
          </cell>
          <cell r="C1285" t="str">
            <v/>
          </cell>
          <cell r="D1285" t="str">
            <v>Guarda-Roupa Solteiro Madesa Dallas Plus 2 Portas de Correr 4 Gavetas com Pés Branco</v>
          </cell>
          <cell r="E1285" t="str">
            <v>DALLAS PLUS</v>
          </cell>
          <cell r="F1285" t="str">
            <v>QUARTO</v>
          </cell>
          <cell r="G1285" t="str">
            <v/>
          </cell>
          <cell r="H1285">
            <v>1109.99</v>
          </cell>
          <cell r="I1285">
            <v>889.92</v>
          </cell>
          <cell r="J1285">
            <v>689.17430000000002</v>
          </cell>
          <cell r="K1285">
            <v>0</v>
          </cell>
          <cell r="L1285">
            <v>689.17430000000002</v>
          </cell>
          <cell r="M1285">
            <v>0</v>
          </cell>
          <cell r="N1285">
            <v>889.92</v>
          </cell>
          <cell r="O1285" t="str">
            <v/>
          </cell>
          <cell r="P1285">
            <v>0</v>
          </cell>
          <cell r="Q1285">
            <v>0.29128436739443098</v>
          </cell>
          <cell r="R1285">
            <v>0.29128436739443098</v>
          </cell>
          <cell r="S1285" t="e">
            <v>#VALUE!</v>
          </cell>
          <cell r="T1285" t="e">
            <v>#VALUE!</v>
          </cell>
        </row>
        <row r="1286">
          <cell r="A1286" t="str">
            <v>MDJA0200225ZSIM</v>
          </cell>
          <cell r="B1286" t="str">
            <v>MKP000631000901</v>
          </cell>
          <cell r="C1286" t="str">
            <v/>
          </cell>
          <cell r="D1286" t="str">
            <v>Conjunto Sala de Jantar Madesa Lia Mesa Tampo de Madeira com 2 Cadeiras Rustic/Imperial</v>
          </cell>
          <cell r="E1286" t="str">
            <v>LIA</v>
          </cell>
          <cell r="F1286" t="str">
            <v>SALA DE JANTAR</v>
          </cell>
          <cell r="G1286">
            <v>4254</v>
          </cell>
          <cell r="H1286">
            <v>699.99</v>
          </cell>
          <cell r="I1286">
            <v>599.99</v>
          </cell>
          <cell r="J1286">
            <v>470.32409999999999</v>
          </cell>
          <cell r="K1286">
            <v>0</v>
          </cell>
          <cell r="L1286">
            <v>470.32409999999999</v>
          </cell>
          <cell r="M1286">
            <v>0</v>
          </cell>
          <cell r="N1286">
            <v>599.99</v>
          </cell>
          <cell r="O1286" t="str">
            <v/>
          </cell>
          <cell r="P1286">
            <v>0</v>
          </cell>
          <cell r="Q1286">
            <v>0.27569478153469101</v>
          </cell>
          <cell r="R1286">
            <v>0.27569478153469101</v>
          </cell>
          <cell r="S1286" t="e">
            <v>#VALUE!</v>
          </cell>
          <cell r="T1286" t="e">
            <v>#VALUE!</v>
          </cell>
        </row>
        <row r="1287">
          <cell r="A1287" t="str">
            <v>G24800F9AG</v>
          </cell>
          <cell r="B1287" t="str">
            <v>MKP000631002587</v>
          </cell>
          <cell r="C1287" t="str">
            <v/>
          </cell>
          <cell r="D1287" t="str">
            <v>Balcão Madesa Agata 80 cm 2 Portas Rustic/Cinza</v>
          </cell>
          <cell r="E1287" t="str">
            <v>ÁGATA</v>
          </cell>
          <cell r="F1287" t="str">
            <v>MODULAÇÃO</v>
          </cell>
          <cell r="G1287" t="str">
            <v/>
          </cell>
          <cell r="H1287">
            <v>919.99</v>
          </cell>
          <cell r="I1287">
            <v>529.99</v>
          </cell>
          <cell r="J1287">
            <v>325.82279999999997</v>
          </cell>
          <cell r="K1287">
            <v>0</v>
          </cell>
          <cell r="L1287">
            <v>325.82279999999997</v>
          </cell>
          <cell r="M1287">
            <v>0</v>
          </cell>
          <cell r="N1287">
            <v>529.99</v>
          </cell>
          <cell r="O1287" t="str">
            <v/>
          </cell>
          <cell r="P1287">
            <v>0</v>
          </cell>
          <cell r="Q1287">
            <v>0.62662035928731796</v>
          </cell>
          <cell r="R1287">
            <v>0.62662035928731796</v>
          </cell>
          <cell r="S1287" t="e">
            <v>#VALUE!</v>
          </cell>
          <cell r="T1287" t="e">
            <v>#VALUE!</v>
          </cell>
        </row>
        <row r="1288">
          <cell r="A1288" t="str">
            <v>10936E1E4G</v>
          </cell>
          <cell r="B1288" t="str">
            <v>MKP000631000810</v>
          </cell>
          <cell r="C1288" t="str">
            <v/>
          </cell>
          <cell r="D1288" t="str">
            <v>Guarda-Roupa Casal Madesa Lyon Plus 3 Portas de Correr com Espelho 4 Gavetas Rustic/Branco</v>
          </cell>
          <cell r="E1288" t="str">
            <v>LYON PLUS</v>
          </cell>
          <cell r="F1288" t="str">
            <v>QUARTO</v>
          </cell>
          <cell r="G1288" t="str">
            <v/>
          </cell>
          <cell r="H1288">
            <v>1509.99</v>
          </cell>
          <cell r="I1288">
            <v>1159.92</v>
          </cell>
          <cell r="J1288">
            <v>928.25490000000002</v>
          </cell>
          <cell r="K1288">
            <v>0</v>
          </cell>
          <cell r="L1288">
            <v>928.25490000000002</v>
          </cell>
          <cell r="M1288">
            <v>0</v>
          </cell>
          <cell r="N1288">
            <v>1159.92</v>
          </cell>
          <cell r="O1288" t="str">
            <v/>
          </cell>
          <cell r="P1288">
            <v>0</v>
          </cell>
          <cell r="Q1288">
            <v>0.249570565154033</v>
          </cell>
          <cell r="R1288">
            <v>0.249570565154033</v>
          </cell>
          <cell r="S1288" t="e">
            <v>#VALUE!</v>
          </cell>
          <cell r="T1288" t="e">
            <v>#VALUE!</v>
          </cell>
        </row>
        <row r="1289">
          <cell r="A1289" t="str">
            <v>044805ZXTLIB</v>
          </cell>
          <cell r="B1289" t="str">
            <v>MKP000631000632</v>
          </cell>
          <cell r="C1289" t="str">
            <v/>
          </cell>
          <cell r="D1289" t="str">
            <v>Conjunto Sala de Jantar Madesa Megan Mesa Tampo de Madeira com 6 Cadeiras Rustic/Lírio Bege</v>
          </cell>
          <cell r="E1289" t="str">
            <v>MEGAN</v>
          </cell>
          <cell r="F1289" t="str">
            <v>SALA DE JANTAR</v>
          </cell>
          <cell r="G1289" t="str">
            <v>4290X</v>
          </cell>
          <cell r="H1289">
            <v>939.99</v>
          </cell>
          <cell r="I1289">
            <v>839.99</v>
          </cell>
          <cell r="J1289">
            <v>662.74180000000001</v>
          </cell>
          <cell r="K1289">
            <v>0</v>
          </cell>
          <cell r="L1289">
            <v>662.74180000000001</v>
          </cell>
          <cell r="M1289">
            <v>0</v>
          </cell>
          <cell r="N1289">
            <v>839.99</v>
          </cell>
          <cell r="O1289" t="str">
            <v/>
          </cell>
          <cell r="P1289">
            <v>0</v>
          </cell>
          <cell r="Q1289">
            <v>0.26744683977983602</v>
          </cell>
          <cell r="R1289">
            <v>0.26744683977983602</v>
          </cell>
          <cell r="S1289" t="e">
            <v>#VALUE!</v>
          </cell>
          <cell r="T1289" t="e">
            <v>#VALUE!</v>
          </cell>
        </row>
        <row r="1290">
          <cell r="A1290" t="str">
            <v>GRNC2600063B</v>
          </cell>
          <cell r="B1290" t="str">
            <v>MKP000631004803</v>
          </cell>
          <cell r="C1290" t="str">
            <v/>
          </cell>
          <cell r="D1290" t="str">
            <v>Armário de Cozinha Completa 260cm Cinza Nice Madesa 06</v>
          </cell>
          <cell r="E1290" t="str">
            <v>NICE</v>
          </cell>
          <cell r="F1290" t="str">
            <v>COZINHA</v>
          </cell>
          <cell r="G1290" t="str">
            <v/>
          </cell>
          <cell r="H1290">
            <v>1899.99</v>
          </cell>
          <cell r="I1290">
            <v>1799.99</v>
          </cell>
          <cell r="J1290">
            <v>1382.3162</v>
          </cell>
          <cell r="K1290">
            <v>0</v>
          </cell>
          <cell r="L1290">
            <v>1382.3162</v>
          </cell>
          <cell r="M1290">
            <v>0</v>
          </cell>
          <cell r="N1290">
            <v>1799.99</v>
          </cell>
          <cell r="O1290" t="str">
            <v/>
          </cell>
          <cell r="P1290">
            <v>0</v>
          </cell>
          <cell r="Q1290">
            <v>0.30215503515042302</v>
          </cell>
          <cell r="R1290">
            <v>0.30215503515042302</v>
          </cell>
          <cell r="S1290" t="e">
            <v>#VALUE!</v>
          </cell>
          <cell r="T1290" t="e">
            <v>#VALUE!</v>
          </cell>
        </row>
        <row r="1291">
          <cell r="A1291" t="str">
            <v>G22120H8LX</v>
          </cell>
          <cell r="B1291" t="str">
            <v>MKP000631004686</v>
          </cell>
          <cell r="C1291" t="str">
            <v/>
          </cell>
          <cell r="D1291" t="str">
            <v>Balcão Gabinete de Pia Madesa Lux 120 cm 2 Portas (Sem Tampo) Rustic/Branco Veludo</v>
          </cell>
          <cell r="E1291" t="str">
            <v>LUX</v>
          </cell>
          <cell r="F1291" t="str">
            <v>MODULAÇÃO</v>
          </cell>
          <cell r="G1291" t="str">
            <v/>
          </cell>
          <cell r="H1291">
            <v>1219.99</v>
          </cell>
          <cell r="I1291">
            <v>739.99</v>
          </cell>
          <cell r="J1291">
            <v>412.7285</v>
          </cell>
          <cell r="K1291">
            <v>0</v>
          </cell>
          <cell r="L1291">
            <v>412.7285</v>
          </cell>
          <cell r="M1291">
            <v>0</v>
          </cell>
          <cell r="N1291">
            <v>739.99</v>
          </cell>
          <cell r="O1291" t="str">
            <v>LOJA</v>
          </cell>
          <cell r="P1291">
            <v>729.99</v>
          </cell>
          <cell r="Q1291">
            <v>0.79292198139939496</v>
          </cell>
          <cell r="R1291">
            <v>0.79292198139939496</v>
          </cell>
          <cell r="S1291" t="e">
            <v>#VALUE!</v>
          </cell>
          <cell r="T1291" t="e">
            <v>#VALUE!</v>
          </cell>
        </row>
        <row r="1292">
          <cell r="A1292" t="str">
            <v>GRGL2800049B</v>
          </cell>
          <cell r="B1292" t="str">
            <v>MKP000631001497</v>
          </cell>
          <cell r="C1292" t="str">
            <v/>
          </cell>
          <cell r="D1292" t="str">
            <v>Armário de Cozinha Completa 280cm Branco/Rustic Genova Madesa 04</v>
          </cell>
          <cell r="E1292" t="str">
            <v>GENOVA/GLAMY</v>
          </cell>
          <cell r="F1292" t="str">
            <v>COZINHA</v>
          </cell>
          <cell r="G1292" t="str">
            <v/>
          </cell>
          <cell r="H1292">
            <v>2599.9899999999998</v>
          </cell>
          <cell r="I1292">
            <v>2499.9899999999998</v>
          </cell>
          <cell r="J1292">
            <v>2050.3009000000002</v>
          </cell>
          <cell r="K1292">
            <v>0</v>
          </cell>
          <cell r="L1292">
            <v>2050.3009000000002</v>
          </cell>
          <cell r="M1292">
            <v>0</v>
          </cell>
          <cell r="N1292">
            <v>2499.9899999999998</v>
          </cell>
          <cell r="O1292" t="str">
            <v/>
          </cell>
          <cell r="P1292">
            <v>0</v>
          </cell>
          <cell r="Q1292">
            <v>0.219328343464122</v>
          </cell>
          <cell r="R1292">
            <v>0.219328343464122</v>
          </cell>
          <cell r="S1292" t="e">
            <v>#VALUE!</v>
          </cell>
          <cell r="T1292" t="e">
            <v>#VALUE!</v>
          </cell>
        </row>
        <row r="1293">
          <cell r="A1293" t="str">
            <v>G2420009K</v>
          </cell>
          <cell r="B1293" t="str">
            <v>MKP000631000941</v>
          </cell>
          <cell r="C1293" t="str">
            <v/>
          </cell>
          <cell r="D1293" t="str">
            <v>Balcão Porta-Pano Madesa Acordes 100% MDF Branco</v>
          </cell>
          <cell r="E1293" t="str">
            <v>ACORDES</v>
          </cell>
          <cell r="F1293" t="str">
            <v>MODULAÇÃO</v>
          </cell>
          <cell r="G1293" t="str">
            <v/>
          </cell>
          <cell r="H1293">
            <v>409.99</v>
          </cell>
          <cell r="I1293">
            <v>269.99</v>
          </cell>
          <cell r="J1293">
            <v>165.50559999999999</v>
          </cell>
          <cell r="K1293">
            <v>0</v>
          </cell>
          <cell r="L1293">
            <v>165.50559999999999</v>
          </cell>
          <cell r="M1293">
            <v>0</v>
          </cell>
          <cell r="N1293">
            <v>269.99</v>
          </cell>
          <cell r="O1293" t="str">
            <v/>
          </cell>
          <cell r="P1293">
            <v>0</v>
          </cell>
          <cell r="Q1293">
            <v>0.63130431840372803</v>
          </cell>
          <cell r="R1293">
            <v>0.63130431840372803</v>
          </cell>
          <cell r="S1293" t="e">
            <v>#VALUE!</v>
          </cell>
          <cell r="T1293" t="e">
            <v>#VALUE!</v>
          </cell>
        </row>
        <row r="1294">
          <cell r="A1294" t="str">
            <v>MDJA0400416ESIM</v>
          </cell>
          <cell r="B1294" t="str">
            <v>MKP000631000869</v>
          </cell>
          <cell r="C1294" t="str">
            <v/>
          </cell>
          <cell r="D1294" t="str">
            <v>Conjunto Sala de Jantar Madesa Ingrid Mesa Tampo de Madeira com 4 Cadeiras Rustic/Branco/Imperial</v>
          </cell>
          <cell r="E1294" t="str">
            <v>INGRID</v>
          </cell>
          <cell r="F1294" t="str">
            <v>SALA DE JANTAR</v>
          </cell>
          <cell r="G1294">
            <v>4254</v>
          </cell>
          <cell r="H1294">
            <v>1339.99</v>
          </cell>
          <cell r="I1294">
            <v>1239.99</v>
          </cell>
          <cell r="J1294">
            <v>974.86329999999998</v>
          </cell>
          <cell r="K1294">
            <v>0</v>
          </cell>
          <cell r="L1294">
            <v>974.86329999999998</v>
          </cell>
          <cell r="M1294">
            <v>0</v>
          </cell>
          <cell r="N1294">
            <v>1239.99</v>
          </cell>
          <cell r="O1294" t="str">
            <v/>
          </cell>
          <cell r="P1294">
            <v>0</v>
          </cell>
          <cell r="Q1294">
            <v>0.27196295111324797</v>
          </cell>
          <cell r="R1294">
            <v>0.27196295111324797</v>
          </cell>
          <cell r="S1294" t="e">
            <v>#VALUE!</v>
          </cell>
          <cell r="T1294" t="e">
            <v>#VALUE!</v>
          </cell>
        </row>
        <row r="1295">
          <cell r="A1295" t="str">
            <v>42565Z2TSIMK</v>
          </cell>
          <cell r="B1295" t="str">
            <v>MKP000631004859</v>
          </cell>
          <cell r="C1295" t="str">
            <v/>
          </cell>
          <cell r="D1295" t="str">
            <v>Kit 2 Cadeiras de Jantar Rustic/Imperial 4256 Madesa</v>
          </cell>
          <cell r="E1295">
            <v>4256</v>
          </cell>
          <cell r="F1295" t="str">
            <v>SALA DE JANTAR</v>
          </cell>
          <cell r="G1295">
            <v>4256</v>
          </cell>
          <cell r="H1295">
            <v>699.99</v>
          </cell>
          <cell r="I1295">
            <v>399.99</v>
          </cell>
          <cell r="J1295">
            <v>298.66000000000003</v>
          </cell>
          <cell r="K1295">
            <v>0</v>
          </cell>
          <cell r="L1295">
            <v>298.66000000000003</v>
          </cell>
          <cell r="M1295">
            <v>0</v>
          </cell>
          <cell r="N1295">
            <v>399.99</v>
          </cell>
          <cell r="O1295" t="str">
            <v/>
          </cell>
          <cell r="P1295">
            <v>0</v>
          </cell>
          <cell r="Q1295">
            <v>0.33928212683318798</v>
          </cell>
          <cell r="R1295">
            <v>0.33928212683318798</v>
          </cell>
          <cell r="S1295" t="e">
            <v>#VALUE!</v>
          </cell>
          <cell r="T1295" t="e">
            <v>#VALUE!</v>
          </cell>
        </row>
        <row r="1296">
          <cell r="A1296" t="str">
            <v>GCLX5460019N</v>
          </cell>
          <cell r="B1296" t="str">
            <v>MKP000631002734</v>
          </cell>
          <cell r="C1296" t="str">
            <v/>
          </cell>
          <cell r="D1296" t="str">
            <v>Armário de Cozinha Completa de Canto 546cm Rustic/Cinza Lux Madesa 01</v>
          </cell>
          <cell r="E1296" t="str">
            <v>LUX</v>
          </cell>
          <cell r="F1296" t="str">
            <v>COZINHA</v>
          </cell>
          <cell r="G1296" t="str">
            <v/>
          </cell>
          <cell r="H1296">
            <v>8439.99</v>
          </cell>
          <cell r="I1296">
            <v>8339.99</v>
          </cell>
          <cell r="J1296">
            <v>5172.1589999999997</v>
          </cell>
          <cell r="K1296">
            <v>0</v>
          </cell>
          <cell r="L1296">
            <v>5172.1589999999997</v>
          </cell>
          <cell r="M1296">
            <v>0</v>
          </cell>
          <cell r="N1296">
            <v>8339.99</v>
          </cell>
          <cell r="O1296" t="str">
            <v>LOJA</v>
          </cell>
          <cell r="P1296">
            <v>7329.99</v>
          </cell>
          <cell r="Q1296">
            <v>0.61247749730818402</v>
          </cell>
          <cell r="R1296">
            <v>0.61247749730818402</v>
          </cell>
          <cell r="S1296" t="e">
            <v>#VALUE!</v>
          </cell>
          <cell r="T1296" t="e">
            <v>#VALUE!</v>
          </cell>
        </row>
        <row r="1297">
          <cell r="A1297" t="str">
            <v>53295Z1</v>
          </cell>
          <cell r="B1297" t="str">
            <v>MKP000631000098</v>
          </cell>
          <cell r="C1297" t="str">
            <v/>
          </cell>
          <cell r="D1297" t="str">
            <v>Mesa de Jantar Madesa com Tampo de Madeira 5329 Rustic</v>
          </cell>
          <cell r="E1297">
            <v>5329</v>
          </cell>
          <cell r="F1297" t="str">
            <v>SALA DE JANTAR</v>
          </cell>
          <cell r="G1297" t="str">
            <v/>
          </cell>
          <cell r="H1297">
            <v>469.99</v>
          </cell>
          <cell r="I1297">
            <v>279.99</v>
          </cell>
          <cell r="J1297">
            <v>139.35650000000001</v>
          </cell>
          <cell r="K1297">
            <v>0</v>
          </cell>
          <cell r="L1297">
            <v>139.35650000000001</v>
          </cell>
          <cell r="M1297">
            <v>0</v>
          </cell>
          <cell r="N1297">
            <v>279.99</v>
          </cell>
          <cell r="O1297" t="str">
            <v/>
          </cell>
          <cell r="P1297">
            <v>0</v>
          </cell>
          <cell r="Q1297">
            <v>1.0091635481660299</v>
          </cell>
          <cell r="R1297">
            <v>1.0091635481660299</v>
          </cell>
          <cell r="S1297" t="e">
            <v>#VALUE!</v>
          </cell>
          <cell r="T1297" t="e">
            <v>#VALUE!</v>
          </cell>
        </row>
        <row r="1298">
          <cell r="A1298" t="str">
            <v>GCGM4190039B</v>
          </cell>
          <cell r="B1298" t="str">
            <v>MKP000631003523</v>
          </cell>
          <cell r="C1298" t="str">
            <v/>
          </cell>
          <cell r="D1298" t="str">
            <v>Armário de Cozinha Completa de Canto 100% MDF 419cm Branco/Rustic Acordes Madesa 03</v>
          </cell>
          <cell r="E1298" t="str">
            <v>ACORDES</v>
          </cell>
          <cell r="F1298" t="str">
            <v>COZINHA</v>
          </cell>
          <cell r="G1298" t="str">
            <v/>
          </cell>
          <cell r="H1298">
            <v>4419.99</v>
          </cell>
          <cell r="I1298">
            <v>2999.99</v>
          </cell>
          <cell r="J1298">
            <v>2547.9295000000002</v>
          </cell>
          <cell r="K1298">
            <v>0</v>
          </cell>
          <cell r="L1298">
            <v>2547.9295000000002</v>
          </cell>
          <cell r="M1298">
            <v>0</v>
          </cell>
          <cell r="N1298">
            <v>2999.99</v>
          </cell>
          <cell r="O1298" t="str">
            <v/>
          </cell>
          <cell r="P1298">
            <v>0</v>
          </cell>
          <cell r="Q1298">
            <v>0.177422687715653</v>
          </cell>
          <cell r="R1298">
            <v>0.177422687715653</v>
          </cell>
          <cell r="S1298" t="e">
            <v>#VALUE!</v>
          </cell>
          <cell r="T1298" t="e">
            <v>#VALUE!</v>
          </cell>
        </row>
        <row r="1299">
          <cell r="A1299" t="str">
            <v>10938N2G</v>
          </cell>
          <cell r="B1299" t="str">
            <v>MKP000631001932</v>
          </cell>
          <cell r="C1299" t="str">
            <v/>
          </cell>
          <cell r="D1299" t="str">
            <v>Guarda-Roupa Casal Madesa Lyon 3 Portas de Correr 2 Gavetas Preto</v>
          </cell>
          <cell r="E1299" t="str">
            <v>LYON</v>
          </cell>
          <cell r="F1299" t="str">
            <v>QUARTO</v>
          </cell>
          <cell r="G1299" t="str">
            <v/>
          </cell>
          <cell r="H1299">
            <v>1539.99</v>
          </cell>
          <cell r="I1299">
            <v>869.92</v>
          </cell>
          <cell r="J1299">
            <v>709.59</v>
          </cell>
          <cell r="K1299">
            <v>0</v>
          </cell>
          <cell r="L1299">
            <v>709.59</v>
          </cell>
          <cell r="M1299">
            <v>0</v>
          </cell>
          <cell r="N1299">
            <v>869.92</v>
          </cell>
          <cell r="O1299" t="str">
            <v/>
          </cell>
          <cell r="P1299">
            <v>0</v>
          </cell>
          <cell r="Q1299">
            <v>0.22594737806338899</v>
          </cell>
          <cell r="R1299">
            <v>0.22594737806338899</v>
          </cell>
          <cell r="S1299" t="e">
            <v>#VALUE!</v>
          </cell>
          <cell r="T1299" t="e">
            <v>#VALUE!</v>
          </cell>
        </row>
        <row r="1300">
          <cell r="A1300" t="str">
            <v>G20070F9</v>
          </cell>
          <cell r="B1300" t="str">
            <v>MKP000631004130</v>
          </cell>
          <cell r="C1300" t="str">
            <v/>
          </cell>
          <cell r="D1300" t="str">
            <v>Armário de Cozinha Compacta Rustic/Cinza Emilly Top Madesa</v>
          </cell>
          <cell r="E1300" t="str">
            <v>TOP/EMILLY</v>
          </cell>
          <cell r="F1300" t="str">
            <v>COZINHA</v>
          </cell>
          <cell r="G1300" t="str">
            <v/>
          </cell>
          <cell r="H1300">
            <v>859.99</v>
          </cell>
          <cell r="I1300">
            <v>779.99</v>
          </cell>
          <cell r="J1300">
            <v>587.28110000000004</v>
          </cell>
          <cell r="K1300">
            <v>0</v>
          </cell>
          <cell r="L1300">
            <v>587.28110000000004</v>
          </cell>
          <cell r="M1300">
            <v>0</v>
          </cell>
          <cell r="N1300">
            <v>779.99</v>
          </cell>
          <cell r="O1300" t="str">
            <v>VIA</v>
          </cell>
          <cell r="P1300">
            <v>729.99</v>
          </cell>
          <cell r="Q1300">
            <v>0.32813741153937998</v>
          </cell>
          <cell r="R1300">
            <v>0.32813741153937998</v>
          </cell>
          <cell r="S1300" t="e">
            <v>#VALUE!</v>
          </cell>
          <cell r="T1300" t="e">
            <v>#VALUE!</v>
          </cell>
        </row>
        <row r="1301">
          <cell r="A1301" t="str">
            <v>G2412309GL</v>
          </cell>
          <cell r="B1301" t="str">
            <v>MKP000631000011</v>
          </cell>
          <cell r="C1301" t="str">
            <v/>
          </cell>
          <cell r="D1301" t="str">
            <v>Balcão Gabinete de Pia Madesa Glamy 120 cm 1 Porta 2 Gavetas (Sem Tampo e Pia) Branco</v>
          </cell>
          <cell r="E1301" t="str">
            <v>GLAMY</v>
          </cell>
          <cell r="F1301" t="str">
            <v>MODULAÇÃO</v>
          </cell>
          <cell r="G1301" t="str">
            <v/>
          </cell>
          <cell r="H1301">
            <v>1149.99</v>
          </cell>
          <cell r="I1301">
            <v>579.99</v>
          </cell>
          <cell r="J1301">
            <v>447.5976</v>
          </cell>
          <cell r="K1301">
            <v>0</v>
          </cell>
          <cell r="L1301">
            <v>447.5976</v>
          </cell>
          <cell r="M1301">
            <v>0</v>
          </cell>
          <cell r="N1301">
            <v>579.99</v>
          </cell>
          <cell r="O1301" t="str">
            <v/>
          </cell>
          <cell r="P1301">
            <v>0</v>
          </cell>
          <cell r="Q1301">
            <v>0.29578442779853997</v>
          </cell>
          <cell r="R1301">
            <v>0.29578442779853997</v>
          </cell>
          <cell r="S1301" t="e">
            <v>#VALUE!</v>
          </cell>
          <cell r="T1301" t="e">
            <v>#VALUE!</v>
          </cell>
        </row>
        <row r="1302">
          <cell r="A1302" t="str">
            <v>GRGL15000209</v>
          </cell>
          <cell r="B1302" t="str">
            <v>MKP000631004253</v>
          </cell>
          <cell r="C1302" t="str">
            <v/>
          </cell>
          <cell r="D1302" t="str">
            <v>Armário de Cozinha Compacta 150cm Branco Glamy Madesa 02</v>
          </cell>
          <cell r="E1302" t="str">
            <v>GLAMY</v>
          </cell>
          <cell r="F1302" t="str">
            <v>COZINHA</v>
          </cell>
          <cell r="G1302" t="str">
            <v/>
          </cell>
          <cell r="H1302">
            <v>1069.99</v>
          </cell>
          <cell r="I1302">
            <v>969.99</v>
          </cell>
          <cell r="J1302">
            <v>797.41129999999998</v>
          </cell>
          <cell r="K1302">
            <v>0</v>
          </cell>
          <cell r="L1302">
            <v>797.41129999999998</v>
          </cell>
          <cell r="M1302">
            <v>0</v>
          </cell>
          <cell r="N1302">
            <v>969.99</v>
          </cell>
          <cell r="O1302" t="str">
            <v/>
          </cell>
          <cell r="P1302">
            <v>0</v>
          </cell>
          <cell r="Q1302">
            <v>0.216423695024136</v>
          </cell>
          <cell r="R1302">
            <v>0.216423695024136</v>
          </cell>
          <cell r="S1302" t="e">
            <v>#VALUE!</v>
          </cell>
          <cell r="T1302" t="e">
            <v>#VALUE!</v>
          </cell>
        </row>
        <row r="1303">
          <cell r="A1303" t="str">
            <v>GRLX2000039N</v>
          </cell>
          <cell r="B1303" t="str">
            <v>MKP000631004333</v>
          </cell>
          <cell r="C1303" t="str">
            <v/>
          </cell>
          <cell r="D1303" t="str">
            <v>Kit com 2 Balcões de Cozinha Madesa Lux 4 Portas 3 Gavetas (Sem Tampo e Pia) Rustic/Cinza</v>
          </cell>
          <cell r="E1303" t="str">
            <v>LUX</v>
          </cell>
          <cell r="F1303" t="str">
            <v>COZINHA</v>
          </cell>
          <cell r="G1303" t="str">
            <v/>
          </cell>
          <cell r="H1303">
            <v>2249.9899999999998</v>
          </cell>
          <cell r="I1303">
            <v>2129.9899999999998</v>
          </cell>
          <cell r="J1303">
            <v>1400.7263</v>
          </cell>
          <cell r="K1303">
            <v>0</v>
          </cell>
          <cell r="L1303">
            <v>1400.7263</v>
          </cell>
          <cell r="M1303">
            <v>0</v>
          </cell>
          <cell r="N1303">
            <v>2129.9899999999998</v>
          </cell>
          <cell r="O1303" t="str">
            <v>LOJA</v>
          </cell>
          <cell r="P1303">
            <v>1869.99</v>
          </cell>
          <cell r="Q1303">
            <v>0.52063254612981802</v>
          </cell>
          <cell r="R1303">
            <v>0.52063254612981802</v>
          </cell>
          <cell r="S1303" t="e">
            <v>#VALUE!</v>
          </cell>
          <cell r="T1303" t="e">
            <v>#VALUE!</v>
          </cell>
        </row>
        <row r="1304">
          <cell r="A1304" t="str">
            <v>G270806ETE</v>
          </cell>
          <cell r="B1304" t="str">
            <v>MKP000631003169</v>
          </cell>
          <cell r="C1304" t="str">
            <v/>
          </cell>
          <cell r="D1304" t="str">
            <v>Porta-Geladeira Madesa Stella 1 Porta Basculante Rustic/Branco</v>
          </cell>
          <cell r="E1304" t="str">
            <v>STELLA</v>
          </cell>
          <cell r="F1304" t="str">
            <v>MODULAÇÃO</v>
          </cell>
          <cell r="G1304" t="str">
            <v/>
          </cell>
          <cell r="H1304">
            <v>949.99</v>
          </cell>
          <cell r="I1304">
            <v>619.99</v>
          </cell>
          <cell r="J1304">
            <v>356.32100000000003</v>
          </cell>
          <cell r="K1304">
            <v>0</v>
          </cell>
          <cell r="L1304">
            <v>356.32100000000003</v>
          </cell>
          <cell r="M1304">
            <v>0</v>
          </cell>
          <cell r="N1304">
            <v>619.99</v>
          </cell>
          <cell r="O1304" t="str">
            <v/>
          </cell>
          <cell r="P1304">
            <v>0</v>
          </cell>
          <cell r="Q1304">
            <v>0.73997603284678704</v>
          </cell>
          <cell r="R1304">
            <v>0.73997603284678704</v>
          </cell>
          <cell r="S1304" t="e">
            <v>#VALUE!</v>
          </cell>
          <cell r="T1304" t="e">
            <v>#VALUE!</v>
          </cell>
        </row>
        <row r="1305">
          <cell r="A1305" t="str">
            <v>G20088095Z</v>
          </cell>
          <cell r="B1305" t="str">
            <v>MKP000631000382</v>
          </cell>
          <cell r="C1305" t="str">
            <v/>
          </cell>
          <cell r="D1305" t="str">
            <v>Armário de Cozinha Completa 240cm Branco/Rustic Topazio Madesa</v>
          </cell>
          <cell r="E1305" t="str">
            <v>TOPÁZIO</v>
          </cell>
          <cell r="F1305" t="str">
            <v>COZINHA</v>
          </cell>
          <cell r="G1305" t="str">
            <v/>
          </cell>
          <cell r="H1305">
            <v>1399.99</v>
          </cell>
          <cell r="I1305">
            <v>1299.99</v>
          </cell>
          <cell r="J1305">
            <v>1072.4292</v>
          </cell>
          <cell r="K1305">
            <v>0</v>
          </cell>
          <cell r="L1305">
            <v>1072.4292</v>
          </cell>
          <cell r="M1305">
            <v>0</v>
          </cell>
          <cell r="N1305">
            <v>1299.99</v>
          </cell>
          <cell r="O1305" t="str">
            <v/>
          </cell>
          <cell r="P1305">
            <v>0</v>
          </cell>
          <cell r="Q1305">
            <v>0.21219190973166299</v>
          </cell>
          <cell r="R1305">
            <v>0.21219190973166299</v>
          </cell>
          <cell r="S1305" t="e">
            <v>#VALUE!</v>
          </cell>
          <cell r="T1305" t="e">
            <v>#VALUE!</v>
          </cell>
        </row>
        <row r="1306">
          <cell r="A1306" t="str">
            <v>MDES0200147K5Z</v>
          </cell>
          <cell r="B1306" t="str">
            <v>MKP000631002897</v>
          </cell>
          <cell r="C1306" t="str">
            <v/>
          </cell>
          <cell r="D1306" t="str">
            <v>Rack Madesa Dubai e Painel para TV até 65 Polegadas com Pés Rustic/Preto 7K5Z</v>
          </cell>
          <cell r="E1306" t="str">
            <v>DUBAI</v>
          </cell>
          <cell r="F1306" t="str">
            <v>SALA DE ESTAR</v>
          </cell>
          <cell r="G1306" t="str">
            <v/>
          </cell>
          <cell r="H1306">
            <v>699.99</v>
          </cell>
          <cell r="I1306">
            <v>579.91999999999996</v>
          </cell>
          <cell r="J1306">
            <v>399.32150000000001</v>
          </cell>
          <cell r="K1306">
            <v>0</v>
          </cell>
          <cell r="L1306">
            <v>399.32150000000001</v>
          </cell>
          <cell r="M1306">
            <v>0</v>
          </cell>
          <cell r="N1306">
            <v>579.91999999999996</v>
          </cell>
          <cell r="O1306" t="str">
            <v/>
          </cell>
          <cell r="P1306">
            <v>0</v>
          </cell>
          <cell r="Q1306">
            <v>0.45226340179529501</v>
          </cell>
          <cell r="R1306">
            <v>0.45226340179529501</v>
          </cell>
          <cell r="S1306" t="e">
            <v>#VALUE!</v>
          </cell>
          <cell r="T1306" t="e">
            <v>#VALUE!</v>
          </cell>
        </row>
        <row r="1307">
          <cell r="A1307" t="str">
            <v>G22600H7LX</v>
          </cell>
          <cell r="B1307" t="str">
            <v>MKP000631004680</v>
          </cell>
          <cell r="C1307" t="str">
            <v/>
          </cell>
          <cell r="D1307" t="str">
            <v>Balcão Madesa Lux 60 cm 1 Porta (Sem Tampo) Branco/Branco Veludo</v>
          </cell>
          <cell r="E1307" t="str">
            <v>LUX</v>
          </cell>
          <cell r="F1307" t="str">
            <v>MODULAÇÃO</v>
          </cell>
          <cell r="G1307" t="str">
            <v/>
          </cell>
          <cell r="H1307">
            <v>859.99</v>
          </cell>
          <cell r="I1307">
            <v>519.99</v>
          </cell>
          <cell r="J1307">
            <v>254.39510000000001</v>
          </cell>
          <cell r="K1307">
            <v>0</v>
          </cell>
          <cell r="L1307">
            <v>254.39510000000001</v>
          </cell>
          <cell r="M1307">
            <v>0</v>
          </cell>
          <cell r="N1307">
            <v>519.99</v>
          </cell>
          <cell r="O1307" t="str">
            <v>LOJA</v>
          </cell>
          <cell r="P1307">
            <v>499.99</v>
          </cell>
          <cell r="Q1307">
            <v>1.0440252190392001</v>
          </cell>
          <cell r="R1307">
            <v>1.0440252190392001</v>
          </cell>
          <cell r="S1307" t="e">
            <v>#VALUE!</v>
          </cell>
          <cell r="T1307" t="e">
            <v>#VALUE!</v>
          </cell>
        </row>
        <row r="1308">
          <cell r="A1308" t="str">
            <v>10935Z2E</v>
          </cell>
          <cell r="B1308" t="str">
            <v>MKP000631001854</v>
          </cell>
          <cell r="C1308" t="str">
            <v/>
          </cell>
          <cell r="D1308" t="str">
            <v>Guarda-Roupa Casal Madesa Mônaco 3 Portas de Correr com Espelhos Rustic</v>
          </cell>
          <cell r="E1308" t="str">
            <v>MÔNACO</v>
          </cell>
          <cell r="F1308" t="str">
            <v>QUARTO</v>
          </cell>
          <cell r="G1308" t="str">
            <v/>
          </cell>
          <cell r="H1308">
            <v>1869.99</v>
          </cell>
          <cell r="I1308">
            <v>1159.92</v>
          </cell>
          <cell r="J1308">
            <v>880.70910000000003</v>
          </cell>
          <cell r="K1308">
            <v>0</v>
          </cell>
          <cell r="L1308">
            <v>880.70910000000003</v>
          </cell>
          <cell r="M1308">
            <v>0</v>
          </cell>
          <cell r="N1308">
            <v>1159.92</v>
          </cell>
          <cell r="O1308" t="str">
            <v/>
          </cell>
          <cell r="P1308">
            <v>0</v>
          </cell>
          <cell r="Q1308">
            <v>0.31702965258335603</v>
          </cell>
          <cell r="R1308">
            <v>0.31702965258335603</v>
          </cell>
          <cell r="S1308" t="e">
            <v>#VALUE!</v>
          </cell>
          <cell r="T1308" t="e">
            <v>#VALUE!</v>
          </cell>
        </row>
        <row r="1309">
          <cell r="A1309" t="str">
            <v>G241203BNC</v>
          </cell>
          <cell r="B1309" t="str">
            <v>MKP000631004824</v>
          </cell>
          <cell r="C1309" t="str">
            <v/>
          </cell>
          <cell r="D1309" t="str">
            <v>Balcão de Pia 2 Portas Suspenso Cinza Nice Madesa</v>
          </cell>
          <cell r="E1309" t="str">
            <v>NICE</v>
          </cell>
          <cell r="F1309" t="str">
            <v>MODULAÇÃO</v>
          </cell>
          <cell r="G1309" t="str">
            <v/>
          </cell>
          <cell r="H1309">
            <v>2589.9899999999998</v>
          </cell>
          <cell r="I1309">
            <v>429.99</v>
          </cell>
          <cell r="J1309">
            <v>291.17169999999999</v>
          </cell>
          <cell r="K1309">
            <v>0</v>
          </cell>
          <cell r="L1309">
            <v>291.17169999999999</v>
          </cell>
          <cell r="M1309">
            <v>0</v>
          </cell>
          <cell r="N1309">
            <v>429.99</v>
          </cell>
          <cell r="O1309" t="str">
            <v/>
          </cell>
          <cell r="P1309">
            <v>0</v>
          </cell>
          <cell r="Q1309">
            <v>0.476757528290009</v>
          </cell>
          <cell r="R1309">
            <v>0.476757528290009</v>
          </cell>
          <cell r="S1309" t="e">
            <v>#VALUE!</v>
          </cell>
          <cell r="T1309" t="e">
            <v>#VALUE!</v>
          </cell>
        </row>
        <row r="1310">
          <cell r="A1310" t="str">
            <v>3226091B</v>
          </cell>
          <cell r="B1310" t="str">
            <v>MKP000631000315</v>
          </cell>
          <cell r="C1310" t="str">
            <v/>
          </cell>
          <cell r="D1310" t="str">
            <v>Mesa de Cabeceira Madesa 2 Gavetas Branco</v>
          </cell>
          <cell r="E1310">
            <v>3226</v>
          </cell>
          <cell r="F1310" t="str">
            <v>QUARTO</v>
          </cell>
          <cell r="G1310" t="str">
            <v/>
          </cell>
          <cell r="H1310">
            <v>469.99</v>
          </cell>
          <cell r="I1310">
            <v>259.99</v>
          </cell>
          <cell r="J1310">
            <v>190.8263</v>
          </cell>
          <cell r="K1310">
            <v>0</v>
          </cell>
          <cell r="L1310">
            <v>190.8263</v>
          </cell>
          <cell r="M1310">
            <v>0</v>
          </cell>
          <cell r="N1310">
            <v>259.99</v>
          </cell>
          <cell r="O1310" t="str">
            <v/>
          </cell>
          <cell r="P1310">
            <v>0</v>
          </cell>
          <cell r="Q1310">
            <v>0.36244322716522798</v>
          </cell>
          <cell r="R1310">
            <v>0.36244322716522798</v>
          </cell>
          <cell r="S1310" t="e">
            <v>#VALUE!</v>
          </cell>
          <cell r="T1310" t="e">
            <v>#VALUE!</v>
          </cell>
        </row>
        <row r="1311">
          <cell r="A1311" t="str">
            <v>GCEM4170025Z</v>
          </cell>
          <cell r="B1311" t="str">
            <v>MKP000631005134</v>
          </cell>
          <cell r="C1311" t="str">
            <v/>
          </cell>
          <cell r="D1311" t="str">
            <v>Armário de Cozinha Completa de Canto 417cm Rustic Emilly Madesa 02</v>
          </cell>
          <cell r="E1311" t="str">
            <v>EMILLY</v>
          </cell>
          <cell r="F1311" t="str">
            <v>COZINHA</v>
          </cell>
          <cell r="G1311" t="str">
            <v/>
          </cell>
          <cell r="H1311">
            <v>1499.99</v>
          </cell>
          <cell r="I1311">
            <v>1499.99</v>
          </cell>
          <cell r="J1311">
            <v>1217.7262000000001</v>
          </cell>
          <cell r="K1311">
            <v>0</v>
          </cell>
          <cell r="L1311">
            <v>1217.7262000000001</v>
          </cell>
          <cell r="M1311">
            <v>0</v>
          </cell>
          <cell r="N1311">
            <v>1499.99</v>
          </cell>
          <cell r="O1311" t="str">
            <v/>
          </cell>
          <cell r="P1311">
            <v>0</v>
          </cell>
          <cell r="Q1311">
            <v>0.23179578463533099</v>
          </cell>
          <cell r="R1311">
            <v>0.23179578463533099</v>
          </cell>
          <cell r="S1311" t="e">
            <v>#VALUE!</v>
          </cell>
          <cell r="T1311" t="e">
            <v>#VALUE!</v>
          </cell>
        </row>
        <row r="1312">
          <cell r="A1312" t="str">
            <v>G251255ZEMMB</v>
          </cell>
          <cell r="B1312" t="str">
            <v>MKP000631001233</v>
          </cell>
          <cell r="C1312" t="str">
            <v/>
          </cell>
          <cell r="D1312" t="str">
            <v>Armário Aéreo Madesa Emilly 2 Portas de Correr de Vidro Rustic</v>
          </cell>
          <cell r="E1312" t="str">
            <v>EMILLY</v>
          </cell>
          <cell r="F1312" t="str">
            <v>MODULAÇÃO</v>
          </cell>
          <cell r="G1312" t="str">
            <v/>
          </cell>
          <cell r="H1312">
            <v>469.99</v>
          </cell>
          <cell r="I1312">
            <v>299.99</v>
          </cell>
          <cell r="J1312">
            <v>228.0934</v>
          </cell>
          <cell r="K1312">
            <v>0</v>
          </cell>
          <cell r="L1312">
            <v>228.0934</v>
          </cell>
          <cell r="M1312">
            <v>0</v>
          </cell>
          <cell r="N1312">
            <v>299.99</v>
          </cell>
          <cell r="O1312" t="str">
            <v/>
          </cell>
          <cell r="P1312">
            <v>0</v>
          </cell>
          <cell r="Q1312">
            <v>0.31520684070648303</v>
          </cell>
          <cell r="R1312">
            <v>0.31520684070648303</v>
          </cell>
          <cell r="S1312" t="e">
            <v>#VALUE!</v>
          </cell>
          <cell r="T1312" t="e">
            <v>#VALUE!</v>
          </cell>
        </row>
        <row r="1313">
          <cell r="A1313" t="str">
            <v>MDJA0600787KSIM</v>
          </cell>
          <cell r="B1313" t="str">
            <v>MKP000631000824</v>
          </cell>
          <cell r="C1313" t="str">
            <v/>
          </cell>
          <cell r="D1313" t="str">
            <v>Conjunto Sala de Jantar Madesa Rafaela Mesa Tampo de Vidro com 6 Cadeiras Rustic/Preto/Imperial</v>
          </cell>
          <cell r="E1313" t="str">
            <v>RAFAELA</v>
          </cell>
          <cell r="F1313" t="str">
            <v>SALA DE JANTAR</v>
          </cell>
          <cell r="G1313">
            <v>4254</v>
          </cell>
          <cell r="H1313">
            <v>3349.99</v>
          </cell>
          <cell r="I1313">
            <v>1999.99</v>
          </cell>
          <cell r="J1313">
            <v>1538.2625</v>
          </cell>
          <cell r="K1313">
            <v>0</v>
          </cell>
          <cell r="L1313">
            <v>1538.2625</v>
          </cell>
          <cell r="M1313">
            <v>0</v>
          </cell>
          <cell r="N1313">
            <v>1999.99</v>
          </cell>
          <cell r="O1313" t="str">
            <v>COLOMBO</v>
          </cell>
          <cell r="P1313">
            <v>1919.99</v>
          </cell>
          <cell r="Q1313">
            <v>0.30016170842102702</v>
          </cell>
          <cell r="R1313">
            <v>0.30016170842102702</v>
          </cell>
          <cell r="S1313" t="e">
            <v>#VALUE!</v>
          </cell>
          <cell r="T1313" t="e">
            <v>#VALUE!</v>
          </cell>
        </row>
        <row r="1314">
          <cell r="A1314" t="str">
            <v>GRTP06000173</v>
          </cell>
          <cell r="B1314" t="str">
            <v>MKP000631001057</v>
          </cell>
          <cell r="C1314" t="str">
            <v/>
          </cell>
          <cell r="D1314" t="str">
            <v>Kit Madesa Topazio 60 cm 2 Portas com Armário Aéreo e Balcão Branco/Preto</v>
          </cell>
          <cell r="E1314" t="str">
            <v>TOPÁZIO</v>
          </cell>
          <cell r="F1314" t="str">
            <v>MODULAÇÃO</v>
          </cell>
          <cell r="G1314" t="str">
            <v/>
          </cell>
          <cell r="H1314">
            <v>569.99</v>
          </cell>
          <cell r="I1314">
            <v>389.99</v>
          </cell>
          <cell r="J1314">
            <v>252.36770000000001</v>
          </cell>
          <cell r="K1314">
            <v>0</v>
          </cell>
          <cell r="L1314">
            <v>252.36770000000001</v>
          </cell>
          <cell r="M1314">
            <v>0</v>
          </cell>
          <cell r="N1314">
            <v>389.99</v>
          </cell>
          <cell r="O1314" t="str">
            <v/>
          </cell>
          <cell r="P1314">
            <v>0</v>
          </cell>
          <cell r="Q1314">
            <v>0.54532454034331701</v>
          </cell>
          <cell r="R1314">
            <v>0.54532454034331701</v>
          </cell>
          <cell r="S1314" t="e">
            <v>#VALUE!</v>
          </cell>
          <cell r="T1314" t="e">
            <v>#VALUE!</v>
          </cell>
        </row>
        <row r="1315">
          <cell r="A1315" t="str">
            <v>GRNC2600013B</v>
          </cell>
          <cell r="B1315" t="str">
            <v>MKP000631004807</v>
          </cell>
          <cell r="C1315" t="str">
            <v/>
          </cell>
          <cell r="D1315" t="str">
            <v>Armário de Cozinha Completa 260cm Cinza Nice Madesa 01</v>
          </cell>
          <cell r="E1315" t="str">
            <v>NICE</v>
          </cell>
          <cell r="F1315" t="str">
            <v>COZINHA</v>
          </cell>
          <cell r="G1315" t="str">
            <v/>
          </cell>
          <cell r="H1315">
            <v>2599.9899999999998</v>
          </cell>
          <cell r="I1315">
            <v>2029.99</v>
          </cell>
          <cell r="J1315">
            <v>1382.3162</v>
          </cell>
          <cell r="K1315">
            <v>0</v>
          </cell>
          <cell r="L1315">
            <v>1382.3162</v>
          </cell>
          <cell r="M1315">
            <v>0</v>
          </cell>
          <cell r="N1315">
            <v>2029.99</v>
          </cell>
          <cell r="O1315" t="str">
            <v>LOJA</v>
          </cell>
          <cell r="P1315">
            <v>1799.99</v>
          </cell>
          <cell r="Q1315">
            <v>0.46854243623853897</v>
          </cell>
          <cell r="R1315">
            <v>0.46854243623853897</v>
          </cell>
          <cell r="S1315" t="e">
            <v>#VALUE!</v>
          </cell>
          <cell r="T1315" t="e">
            <v>#VALUE!</v>
          </cell>
        </row>
        <row r="1316">
          <cell r="A1316" t="str">
            <v>1094092E4GCP</v>
          </cell>
          <cell r="B1316" t="str">
            <v>MKP000631000983</v>
          </cell>
          <cell r="C1316" t="str">
            <v/>
          </cell>
          <cell r="D1316" t="str">
            <v>Guarda-Roupa Solteiro Madesa Dallas Plus 2 Portas de Correr de Espelho 4 Gavetas com Pés Branco</v>
          </cell>
          <cell r="E1316" t="str">
            <v>DALLAS PLUS</v>
          </cell>
          <cell r="F1316" t="str">
            <v>QUARTO</v>
          </cell>
          <cell r="G1316" t="str">
            <v/>
          </cell>
          <cell r="H1316">
            <v>1669.99</v>
          </cell>
          <cell r="I1316">
            <v>1199.92</v>
          </cell>
          <cell r="J1316">
            <v>949.03030000000001</v>
          </cell>
          <cell r="K1316">
            <v>0</v>
          </cell>
          <cell r="L1316">
            <v>949.03030000000001</v>
          </cell>
          <cell r="M1316">
            <v>0</v>
          </cell>
          <cell r="N1316">
            <v>1199.92</v>
          </cell>
          <cell r="O1316" t="str">
            <v/>
          </cell>
          <cell r="P1316">
            <v>0</v>
          </cell>
          <cell r="Q1316">
            <v>0.26436426740010299</v>
          </cell>
          <cell r="R1316">
            <v>0.26436426740010299</v>
          </cell>
          <cell r="S1316" t="e">
            <v>#VALUE!</v>
          </cell>
          <cell r="T1316" t="e">
            <v>#VALUE!</v>
          </cell>
        </row>
        <row r="1317">
          <cell r="A1317" t="str">
            <v>GREM2330035Z</v>
          </cell>
          <cell r="B1317" t="str">
            <v>MKP000631001535</v>
          </cell>
          <cell r="C1317" t="str">
            <v/>
          </cell>
          <cell r="D1317" t="str">
            <v>Armário de Cozinha Completa 233cm Rustic Emilly Fire Madesa 03</v>
          </cell>
          <cell r="E1317" t="str">
            <v>FIRE/EMILLY</v>
          </cell>
          <cell r="F1317" t="str">
            <v>COZINHA</v>
          </cell>
          <cell r="G1317" t="str">
            <v/>
          </cell>
          <cell r="H1317">
            <v>1799.99</v>
          </cell>
          <cell r="I1317">
            <v>1199.99</v>
          </cell>
          <cell r="J1317">
            <v>1009.5362</v>
          </cell>
          <cell r="K1317">
            <v>0</v>
          </cell>
          <cell r="L1317">
            <v>1009.5362</v>
          </cell>
          <cell r="M1317">
            <v>0</v>
          </cell>
          <cell r="N1317">
            <v>1199.99</v>
          </cell>
          <cell r="O1317" t="str">
            <v/>
          </cell>
          <cell r="P1317">
            <v>0</v>
          </cell>
          <cell r="Q1317">
            <v>0.188654750567637</v>
          </cell>
          <cell r="R1317">
            <v>0.188654750567637</v>
          </cell>
          <cell r="S1317" t="e">
            <v>#VALUE!</v>
          </cell>
          <cell r="T1317" t="e">
            <v>#VALUE!</v>
          </cell>
        </row>
        <row r="1318">
          <cell r="A1318" t="str">
            <v>GREM1690015Z</v>
          </cell>
          <cell r="B1318" t="str">
            <v>MKP000631001531</v>
          </cell>
          <cell r="C1318" t="str">
            <v/>
          </cell>
          <cell r="D1318" t="str">
            <v>Armário de Cozinha Compacta 169cm Rustic Emilly Free Madesa 01</v>
          </cell>
          <cell r="E1318" t="str">
            <v>FREE/EMILLY</v>
          </cell>
          <cell r="F1318" t="str">
            <v>COZINHA</v>
          </cell>
          <cell r="G1318" t="str">
            <v/>
          </cell>
          <cell r="H1318">
            <v>1269.99</v>
          </cell>
          <cell r="I1318">
            <v>659.99</v>
          </cell>
          <cell r="J1318">
            <v>529.99069999999995</v>
          </cell>
          <cell r="K1318">
            <v>0</v>
          </cell>
          <cell r="L1318">
            <v>529.99069999999995</v>
          </cell>
          <cell r="M1318">
            <v>0</v>
          </cell>
          <cell r="N1318">
            <v>659.99</v>
          </cell>
          <cell r="O1318" t="str">
            <v/>
          </cell>
          <cell r="P1318">
            <v>0</v>
          </cell>
          <cell r="Q1318">
            <v>0.24528600218834001</v>
          </cell>
          <cell r="R1318">
            <v>0.24528600218834001</v>
          </cell>
          <cell r="S1318" t="e">
            <v>#VALUE!</v>
          </cell>
          <cell r="T1318" t="e">
            <v>#VALUE!</v>
          </cell>
        </row>
        <row r="1319">
          <cell r="A1319" t="str">
            <v>6024095ZPP</v>
          </cell>
          <cell r="B1319" t="str">
            <v>MKP000631001570</v>
          </cell>
          <cell r="C1319" t="str">
            <v/>
          </cell>
          <cell r="D1319" t="str">
            <v>Rack Madesa Dubai para TV até 65 Polegadas com Pés Branco/Rustic 095Z</v>
          </cell>
          <cell r="E1319" t="str">
            <v>DUBAI</v>
          </cell>
          <cell r="F1319" t="str">
            <v>SALA DE ESTAR</v>
          </cell>
          <cell r="G1319" t="str">
            <v/>
          </cell>
          <cell r="H1319">
            <v>569.99</v>
          </cell>
          <cell r="I1319">
            <v>329.92</v>
          </cell>
          <cell r="J1319">
            <v>243.82210000000001</v>
          </cell>
          <cell r="K1319">
            <v>0</v>
          </cell>
          <cell r="L1319">
            <v>243.82210000000001</v>
          </cell>
          <cell r="M1319">
            <v>0</v>
          </cell>
          <cell r="N1319">
            <v>329.92</v>
          </cell>
          <cell r="O1319" t="str">
            <v/>
          </cell>
          <cell r="P1319">
            <v>0</v>
          </cell>
          <cell r="Q1319">
            <v>0.35311770344033599</v>
          </cell>
          <cell r="R1319">
            <v>0.35311770344033599</v>
          </cell>
          <cell r="S1319" t="e">
            <v>#VALUE!</v>
          </cell>
          <cell r="T1319" t="e">
            <v>#VALUE!</v>
          </cell>
        </row>
        <row r="1320">
          <cell r="A1320" t="str">
            <v>1094092E2GCP</v>
          </cell>
          <cell r="B1320" t="str">
            <v>MKP000631001009</v>
          </cell>
          <cell r="C1320" t="str">
            <v/>
          </cell>
          <cell r="D1320" t="str">
            <v>Guarda-Roupa Solteiro Madesa Dallas 2 Portas de Correr de Espelho 2 Gavetas com Pés Branco</v>
          </cell>
          <cell r="E1320" t="str">
            <v>DALLAS</v>
          </cell>
          <cell r="F1320" t="str">
            <v>QUARTO</v>
          </cell>
          <cell r="G1320" t="str">
            <v/>
          </cell>
          <cell r="H1320">
            <v>1359.99</v>
          </cell>
          <cell r="I1320">
            <v>1099.92</v>
          </cell>
          <cell r="J1320">
            <v>860.29340000000002</v>
          </cell>
          <cell r="K1320">
            <v>0</v>
          </cell>
          <cell r="L1320">
            <v>860.29340000000002</v>
          </cell>
          <cell r="M1320">
            <v>0</v>
          </cell>
          <cell r="N1320">
            <v>1099.92</v>
          </cell>
          <cell r="O1320" t="str">
            <v/>
          </cell>
          <cell r="P1320">
            <v>0</v>
          </cell>
          <cell r="Q1320">
            <v>0.27854055372271802</v>
          </cell>
          <cell r="R1320">
            <v>0.27854055372271802</v>
          </cell>
          <cell r="S1320" t="e">
            <v>#VALUE!</v>
          </cell>
          <cell r="T1320" t="e">
            <v>#VALUE!</v>
          </cell>
        </row>
        <row r="1321">
          <cell r="A1321" t="str">
            <v>XA6002091CPC</v>
          </cell>
          <cell r="B1321" t="str">
            <v>MKP000631001637</v>
          </cell>
          <cell r="C1321" t="str">
            <v/>
          </cell>
          <cell r="D1321" t="str">
            <v>Rack para TV até 65 Polegadas Madesa Madri com Pés de Madeira Branco</v>
          </cell>
          <cell r="E1321" t="str">
            <v>MADRI</v>
          </cell>
          <cell r="F1321" t="str">
            <v>SALA DE ESTAR</v>
          </cell>
          <cell r="G1321" t="str">
            <v/>
          </cell>
          <cell r="H1321">
            <v>899.99</v>
          </cell>
          <cell r="I1321">
            <v>449.99</v>
          </cell>
          <cell r="J1321">
            <v>320.73250000000002</v>
          </cell>
          <cell r="K1321">
            <v>0</v>
          </cell>
          <cell r="L1321">
            <v>320.73250000000002</v>
          </cell>
          <cell r="M1321">
            <v>0</v>
          </cell>
          <cell r="N1321">
            <v>449.99</v>
          </cell>
          <cell r="O1321" t="str">
            <v>IMPÉRIO</v>
          </cell>
          <cell r="P1321">
            <v>499</v>
          </cell>
          <cell r="Q1321">
            <v>0.40300717887959597</v>
          </cell>
          <cell r="R1321">
            <v>0.40300717887959597</v>
          </cell>
          <cell r="S1321" t="e">
            <v>#VALUE!</v>
          </cell>
          <cell r="T1321" t="e">
            <v>#VALUE!</v>
          </cell>
        </row>
        <row r="1322">
          <cell r="A1322" t="str">
            <v>69145Z09</v>
          </cell>
          <cell r="B1322" t="str">
            <v>MKP000631000170</v>
          </cell>
          <cell r="C1322" t="str">
            <v/>
          </cell>
          <cell r="D1322" t="str">
            <v>Rack para TV até 75 Polegadas Madesa Metz 180 cm 2 Portas Rustic/Branco</v>
          </cell>
          <cell r="E1322" t="str">
            <v>METZ</v>
          </cell>
          <cell r="F1322" t="str">
            <v>SALA DE ESTAR</v>
          </cell>
          <cell r="G1322" t="str">
            <v/>
          </cell>
          <cell r="H1322">
            <v>859.99</v>
          </cell>
          <cell r="I1322">
            <v>419.92</v>
          </cell>
          <cell r="J1322">
            <v>283.82510000000002</v>
          </cell>
          <cell r="K1322">
            <v>0</v>
          </cell>
          <cell r="L1322">
            <v>283.82510000000002</v>
          </cell>
          <cell r="M1322">
            <v>0</v>
          </cell>
          <cell r="N1322">
            <v>419.92</v>
          </cell>
          <cell r="O1322" t="str">
            <v/>
          </cell>
          <cell r="P1322">
            <v>0</v>
          </cell>
          <cell r="Q1322">
            <v>0.47950269373638899</v>
          </cell>
          <cell r="R1322">
            <v>0.47950269373638899</v>
          </cell>
          <cell r="S1322" t="e">
            <v>#VALUE!</v>
          </cell>
          <cell r="T1322" t="e">
            <v>#VALUE!</v>
          </cell>
        </row>
        <row r="1323">
          <cell r="A1323" t="str">
            <v>GRRM2000018N</v>
          </cell>
          <cell r="B1323" t="str">
            <v>MKP000631003192</v>
          </cell>
          <cell r="C1323" t="str">
            <v/>
          </cell>
          <cell r="D1323" t="str">
            <v>Armário de Cozinha Compacta 200cm Preto Reims Madesa 01</v>
          </cell>
          <cell r="E1323" t="str">
            <v>REIMS</v>
          </cell>
          <cell r="F1323" t="str">
            <v>COZINHA</v>
          </cell>
          <cell r="G1323" t="str">
            <v/>
          </cell>
          <cell r="H1323">
            <v>2019.99</v>
          </cell>
          <cell r="I1323">
            <v>1319.92</v>
          </cell>
          <cell r="J1323">
            <v>1134.4611</v>
          </cell>
          <cell r="K1323">
            <v>0</v>
          </cell>
          <cell r="L1323">
            <v>1134.4611</v>
          </cell>
          <cell r="M1323">
            <v>0</v>
          </cell>
          <cell r="N1323">
            <v>1319.92</v>
          </cell>
          <cell r="O1323" t="str">
            <v/>
          </cell>
          <cell r="P1323">
            <v>0</v>
          </cell>
          <cell r="Q1323">
            <v>0.163477531314207</v>
          </cell>
          <cell r="R1323">
            <v>0.163477531314207</v>
          </cell>
          <cell r="S1323" t="e">
            <v>#VALUE!</v>
          </cell>
          <cell r="T1323" t="e">
            <v>#VALUE!</v>
          </cell>
        </row>
        <row r="1324">
          <cell r="A1324" t="str">
            <v>MDJA0601337KSIM</v>
          </cell>
          <cell r="B1324" t="str">
            <v>MKP000631004887</v>
          </cell>
          <cell r="C1324" t="str">
            <v/>
          </cell>
          <cell r="D1324" t="str">
            <v>Conjunto Sala de Jantar Mesa Tampo de Vidro 6 Cadeiras Rustic/Preto/Imperial Stéfani Madesa</v>
          </cell>
          <cell r="E1324" t="str">
            <v>STÉFANI</v>
          </cell>
          <cell r="F1324" t="str">
            <v>SALA DE JANTAR</v>
          </cell>
          <cell r="G1324">
            <v>4256</v>
          </cell>
          <cell r="H1324">
            <v>2099.9899999999998</v>
          </cell>
          <cell r="I1324">
            <v>1779.92</v>
          </cell>
          <cell r="J1324">
            <v>1441.3397</v>
          </cell>
          <cell r="K1324">
            <v>0</v>
          </cell>
          <cell r="L1324">
            <v>1441.3397</v>
          </cell>
          <cell r="M1324">
            <v>0</v>
          </cell>
          <cell r="N1324">
            <v>1779.92</v>
          </cell>
          <cell r="O1324" t="str">
            <v/>
          </cell>
          <cell r="P1324">
            <v>0</v>
          </cell>
          <cell r="Q1324">
            <v>0.234906663571398</v>
          </cell>
          <cell r="R1324">
            <v>0.234906663571398</v>
          </cell>
          <cell r="S1324" t="e">
            <v>#VALUE!</v>
          </cell>
          <cell r="T1324" t="e">
            <v>#VALUE!</v>
          </cell>
        </row>
        <row r="1325">
          <cell r="A1325" t="str">
            <v>GRAG220001F9</v>
          </cell>
          <cell r="B1325" t="str">
            <v>MKP000631005018</v>
          </cell>
          <cell r="C1325" t="str">
            <v/>
          </cell>
          <cell r="D1325" t="str">
            <v>Armário de Cozinha Completa 220cm Rustic/Cinza Agata da Thêmis Madesa</v>
          </cell>
          <cell r="E1325" t="str">
            <v>ÁGATA</v>
          </cell>
          <cell r="F1325" t="str">
            <v>COZINHA</v>
          </cell>
          <cell r="G1325" t="str">
            <v/>
          </cell>
          <cell r="H1325">
            <v>2299.9899999999998</v>
          </cell>
          <cell r="I1325">
            <v>2199.9899999999998</v>
          </cell>
          <cell r="J1325">
            <v>1717.7963999999999</v>
          </cell>
          <cell r="K1325">
            <v>0</v>
          </cell>
          <cell r="L1325">
            <v>1717.7963999999999</v>
          </cell>
          <cell r="M1325">
            <v>0</v>
          </cell>
          <cell r="N1325">
            <v>2199.9899999999998</v>
          </cell>
          <cell r="O1325" t="str">
            <v/>
          </cell>
          <cell r="P1325">
            <v>0</v>
          </cell>
          <cell r="Q1325">
            <v>0.28070474475321999</v>
          </cell>
          <cell r="R1325">
            <v>0.28070474475321999</v>
          </cell>
          <cell r="S1325" t="e">
            <v>#VALUE!</v>
          </cell>
          <cell r="T1325" t="e">
            <v>#VALUE!</v>
          </cell>
        </row>
        <row r="1326">
          <cell r="A1326" t="str">
            <v>1063771E</v>
          </cell>
          <cell r="B1326" t="str">
            <v>MKP000631003033</v>
          </cell>
          <cell r="C1326" t="str">
            <v/>
          </cell>
          <cell r="D1326" t="str">
            <v>Guarda-Roupa Casal 100% MDF Madesa Royale 3 Portas de Correr com Espelho Preto/Branco</v>
          </cell>
          <cell r="E1326" t="str">
            <v>ROYALE</v>
          </cell>
          <cell r="F1326" t="str">
            <v>QUARTO</v>
          </cell>
          <cell r="G1326" t="str">
            <v/>
          </cell>
          <cell r="H1326">
            <v>2489.9899999999998</v>
          </cell>
          <cell r="I1326">
            <v>2129.9899999999998</v>
          </cell>
          <cell r="J1326">
            <v>1792.614</v>
          </cell>
          <cell r="K1326">
            <v>0</v>
          </cell>
          <cell r="L1326">
            <v>1792.614</v>
          </cell>
          <cell r="M1326">
            <v>0</v>
          </cell>
          <cell r="N1326">
            <v>2129.9899999999998</v>
          </cell>
          <cell r="O1326" t="str">
            <v>LOJA</v>
          </cell>
          <cell r="P1326">
            <v>1999.99</v>
          </cell>
          <cell r="Q1326">
            <v>0.18820337228204201</v>
          </cell>
          <cell r="R1326">
            <v>0.18820337228204201</v>
          </cell>
          <cell r="S1326" t="e">
            <v>#VALUE!</v>
          </cell>
          <cell r="T1326" t="e">
            <v>#VALUE!</v>
          </cell>
        </row>
        <row r="1327">
          <cell r="A1327" t="str">
            <v>G251427KLX</v>
          </cell>
          <cell r="B1327" t="str">
            <v>MKP000631002750</v>
          </cell>
          <cell r="C1327" t="str">
            <v/>
          </cell>
          <cell r="D1327" t="str">
            <v>Armário Aéreo Madesa Lux 120 cm 3 Portas Rustic/Preto</v>
          </cell>
          <cell r="E1327" t="str">
            <v>LUX</v>
          </cell>
          <cell r="F1327" t="str">
            <v>MODULAÇÃO</v>
          </cell>
          <cell r="G1327" t="str">
            <v/>
          </cell>
          <cell r="H1327">
            <v>1619.99</v>
          </cell>
          <cell r="I1327">
            <v>1179.99</v>
          </cell>
          <cell r="J1327">
            <v>713.76469999999995</v>
          </cell>
          <cell r="K1327">
            <v>0</v>
          </cell>
          <cell r="L1327">
            <v>713.76469999999995</v>
          </cell>
          <cell r="M1327">
            <v>0</v>
          </cell>
          <cell r="N1327">
            <v>1179.99</v>
          </cell>
          <cell r="O1327" t="str">
            <v>LOJA</v>
          </cell>
          <cell r="P1327">
            <v>1169.99</v>
          </cell>
          <cell r="Q1327">
            <v>0.65319187121470101</v>
          </cell>
          <cell r="R1327">
            <v>0.65319187121470101</v>
          </cell>
          <cell r="S1327" t="e">
            <v>#VALUE!</v>
          </cell>
          <cell r="T1327" t="e">
            <v>#VALUE!</v>
          </cell>
        </row>
        <row r="1328">
          <cell r="A1328" t="str">
            <v>GREM325002J3</v>
          </cell>
          <cell r="B1328" t="str">
            <v>MKP000631005015</v>
          </cell>
          <cell r="C1328" t="str">
            <v/>
          </cell>
          <cell r="D1328" t="str">
            <v>Armário de Cozinha Completa 325cm Rustic/Branco Emilly Madesa 02</v>
          </cell>
          <cell r="E1328" t="str">
            <v>EMILLY</v>
          </cell>
          <cell r="F1328" t="str">
            <v>COZINHA</v>
          </cell>
          <cell r="G1328" t="str">
            <v/>
          </cell>
          <cell r="H1328">
            <v>1479.99</v>
          </cell>
          <cell r="I1328">
            <v>1379.99</v>
          </cell>
          <cell r="J1328">
            <v>1092.4088999999999</v>
          </cell>
          <cell r="K1328">
            <v>0</v>
          </cell>
          <cell r="L1328">
            <v>1092.4088999999999</v>
          </cell>
          <cell r="M1328">
            <v>0</v>
          </cell>
          <cell r="N1328">
            <v>1379.99</v>
          </cell>
          <cell r="O1328" t="str">
            <v/>
          </cell>
          <cell r="P1328">
            <v>0</v>
          </cell>
          <cell r="Q1328">
            <v>0.26325408004273898</v>
          </cell>
          <cell r="R1328">
            <v>0.26325408004273898</v>
          </cell>
          <cell r="S1328" t="e">
            <v>#VALUE!</v>
          </cell>
          <cell r="T1328" t="e">
            <v>#VALUE!</v>
          </cell>
        </row>
        <row r="1329">
          <cell r="A1329" t="str">
            <v>MDES0200195Z5Z</v>
          </cell>
          <cell r="B1329" t="str">
            <v>MKP000631005983</v>
          </cell>
          <cell r="C1329" t="str">
            <v/>
          </cell>
          <cell r="D1329" t="str">
            <v>Rack com Painel para TV até 65 Polegadas com Pés Rustic Detroit Madesa</v>
          </cell>
          <cell r="E1329" t="str">
            <v>DETROIT</v>
          </cell>
          <cell r="F1329" t="str">
            <v>SALA DE ESTAR</v>
          </cell>
          <cell r="G1329" t="str">
            <v/>
          </cell>
          <cell r="H1329">
            <v>539.99</v>
          </cell>
          <cell r="I1329">
            <v>439.99</v>
          </cell>
          <cell r="J1329">
            <v>327.30520000000001</v>
          </cell>
          <cell r="K1329">
            <v>0</v>
          </cell>
          <cell r="L1329">
            <v>327.30520000000001</v>
          </cell>
          <cell r="M1329">
            <v>0</v>
          </cell>
          <cell r="N1329">
            <v>439.99</v>
          </cell>
          <cell r="O1329" t="str">
            <v/>
          </cell>
          <cell r="P1329">
            <v>0</v>
          </cell>
          <cell r="Q1329">
            <v>0.34428050638975499</v>
          </cell>
          <cell r="R1329">
            <v>0.34428050638975499</v>
          </cell>
          <cell r="S1329" t="e">
            <v>#VALUE!</v>
          </cell>
          <cell r="T1329" t="e">
            <v>#VALUE!</v>
          </cell>
        </row>
        <row r="1330">
          <cell r="A1330" t="str">
            <v>16685Z7-2E</v>
          </cell>
          <cell r="B1330" t="str">
            <v>MKP000631000545</v>
          </cell>
          <cell r="C1330" t="str">
            <v/>
          </cell>
          <cell r="D1330" t="str">
            <v>Guarda-Roupa Casal Madesa Apolo 4 Portas de Correr com Espelho Rustic</v>
          </cell>
          <cell r="E1330" t="str">
            <v>APOLO</v>
          </cell>
          <cell r="F1330" t="str">
            <v>QUARTO</v>
          </cell>
          <cell r="G1330" t="str">
            <v/>
          </cell>
          <cell r="H1330">
            <v>3539.99</v>
          </cell>
          <cell r="I1330">
            <v>2429.9899999999998</v>
          </cell>
          <cell r="J1330">
            <v>2059.2280000000001</v>
          </cell>
          <cell r="K1330">
            <v>0</v>
          </cell>
          <cell r="L1330">
            <v>2059.2280000000001</v>
          </cell>
          <cell r="M1330">
            <v>0</v>
          </cell>
          <cell r="N1330">
            <v>2429.9899999999998</v>
          </cell>
          <cell r="O1330" t="str">
            <v/>
          </cell>
          <cell r="P1330" t="e">
            <v>#VALUE!</v>
          </cell>
          <cell r="Q1330">
            <v>0.180049028082369</v>
          </cell>
          <cell r="R1330">
            <v>0.180049028082369</v>
          </cell>
          <cell r="S1330" t="e">
            <v>#VALUE!</v>
          </cell>
          <cell r="T1330" t="e">
            <v>#VALUE!</v>
          </cell>
        </row>
        <row r="1331">
          <cell r="A1331" t="str">
            <v>GCRM46200109</v>
          </cell>
          <cell r="B1331" t="str">
            <v>MKP000631002546</v>
          </cell>
          <cell r="C1331" t="str">
            <v/>
          </cell>
          <cell r="D1331" t="str">
            <v>Armário de Cozinha Completa de Canto 462cm Branco Reims Madesa 01</v>
          </cell>
          <cell r="E1331" t="str">
            <v>REIMS</v>
          </cell>
          <cell r="F1331" t="str">
            <v>COZINHA</v>
          </cell>
          <cell r="G1331" t="str">
            <v/>
          </cell>
          <cell r="H1331">
            <v>4489.99</v>
          </cell>
          <cell r="I1331">
            <v>2759.92</v>
          </cell>
          <cell r="J1331">
            <v>2135.6370000000002</v>
          </cell>
          <cell r="K1331">
            <v>0</v>
          </cell>
          <cell r="L1331">
            <v>2135.6370000000002</v>
          </cell>
          <cell r="M1331">
            <v>0</v>
          </cell>
          <cell r="N1331">
            <v>2759.92</v>
          </cell>
          <cell r="O1331" t="str">
            <v/>
          </cell>
          <cell r="P1331">
            <v>0</v>
          </cell>
          <cell r="Q1331">
            <v>0.29231699956500101</v>
          </cell>
          <cell r="R1331">
            <v>0.29231699956500101</v>
          </cell>
          <cell r="S1331" t="e">
            <v>#VALUE!</v>
          </cell>
          <cell r="T1331" t="e">
            <v>#VALUE!</v>
          </cell>
        </row>
        <row r="1332">
          <cell r="A1332" t="str">
            <v>1093094G</v>
          </cell>
          <cell r="B1332" t="str">
            <v>MKP000631000465</v>
          </cell>
          <cell r="C1332" t="str">
            <v/>
          </cell>
          <cell r="D1332" t="str">
            <v>Guarda-Roupa Casal Madesa Lyon Plus 3 Portas de Correr 4 Gavetas Branco</v>
          </cell>
          <cell r="E1332" t="str">
            <v>LYON PLUS</v>
          </cell>
          <cell r="F1332" t="str">
            <v>QUARTO</v>
          </cell>
          <cell r="G1332" t="str">
            <v/>
          </cell>
          <cell r="H1332">
            <v>1799.99</v>
          </cell>
          <cell r="I1332">
            <v>989.92</v>
          </cell>
          <cell r="J1332">
            <v>798.32690000000002</v>
          </cell>
          <cell r="K1332">
            <v>0</v>
          </cell>
          <cell r="L1332">
            <v>798.32690000000002</v>
          </cell>
          <cell r="M1332">
            <v>0</v>
          </cell>
          <cell r="N1332">
            <v>989.92</v>
          </cell>
          <cell r="O1332" t="str">
            <v/>
          </cell>
          <cell r="P1332">
            <v>0</v>
          </cell>
          <cell r="Q1332">
            <v>0.23999329096890001</v>
          </cell>
          <cell r="R1332">
            <v>0.23999329096890001</v>
          </cell>
          <cell r="S1332" t="e">
            <v>#VALUE!</v>
          </cell>
          <cell r="T1332" t="e">
            <v>#VALUE!</v>
          </cell>
        </row>
        <row r="1333">
          <cell r="A1333" t="str">
            <v>MDJA0401066ESIM</v>
          </cell>
          <cell r="B1333" t="str">
            <v>MKP000631003209</v>
          </cell>
          <cell r="C1333" t="str">
            <v/>
          </cell>
          <cell r="D1333" t="str">
            <v>Conjunto Sala de Jantar Madesa Sabrina Mesa Tampo de Vidro com 4 Cadeiras Rustic/Branco/Imperial</v>
          </cell>
          <cell r="E1333" t="str">
            <v>SABRINA</v>
          </cell>
          <cell r="F1333" t="str">
            <v>SALA DE JANTAR</v>
          </cell>
          <cell r="G1333">
            <v>4255</v>
          </cell>
          <cell r="H1333">
            <v>1469.99</v>
          </cell>
          <cell r="I1333">
            <v>1369.99</v>
          </cell>
          <cell r="J1333">
            <v>1066.3361</v>
          </cell>
          <cell r="K1333">
            <v>0</v>
          </cell>
          <cell r="L1333">
            <v>1066.3361</v>
          </cell>
          <cell r="M1333">
            <v>0</v>
          </cell>
          <cell r="N1333">
            <v>1369.99</v>
          </cell>
          <cell r="O1333" t="str">
            <v/>
          </cell>
          <cell r="P1333">
            <v>0</v>
          </cell>
          <cell r="Q1333">
            <v>0.28476378132560698</v>
          </cell>
          <cell r="R1333">
            <v>0.28476378132560698</v>
          </cell>
          <cell r="S1333" t="e">
            <v>#VALUE!</v>
          </cell>
          <cell r="T1333" t="e">
            <v>#VALUE!</v>
          </cell>
        </row>
        <row r="1334">
          <cell r="A1334" t="str">
            <v>10946E2G</v>
          </cell>
          <cell r="B1334" t="str">
            <v>MKP000631000786</v>
          </cell>
          <cell r="C1334" t="str">
            <v/>
          </cell>
          <cell r="D1334" t="str">
            <v>Guarda-Roupa Solteiro Madesa Dallas 2 Portas de Correr 2 Gavetas Rustic/Branco</v>
          </cell>
          <cell r="E1334" t="str">
            <v>DALLAS</v>
          </cell>
          <cell r="F1334" t="str">
            <v>QUARTO</v>
          </cell>
          <cell r="G1334" t="str">
            <v/>
          </cell>
          <cell r="H1334">
            <v>969.99</v>
          </cell>
          <cell r="I1334">
            <v>719.92</v>
          </cell>
          <cell r="J1334">
            <v>563.84609999999998</v>
          </cell>
          <cell r="K1334">
            <v>0</v>
          </cell>
          <cell r="L1334">
            <v>563.84609999999998</v>
          </cell>
          <cell r="M1334">
            <v>0</v>
          </cell>
          <cell r="N1334">
            <v>719.92</v>
          </cell>
          <cell r="O1334" t="str">
            <v/>
          </cell>
          <cell r="P1334">
            <v>0</v>
          </cell>
          <cell r="Q1334">
            <v>0.27680230474237599</v>
          </cell>
          <cell r="R1334">
            <v>0.27680230474237599</v>
          </cell>
          <cell r="S1334" t="e">
            <v>#VALUE!</v>
          </cell>
          <cell r="T1334" t="e">
            <v>#VALUE!</v>
          </cell>
        </row>
        <row r="1335">
          <cell r="A1335" t="str">
            <v>GRRM33000109</v>
          </cell>
          <cell r="B1335" t="str">
            <v>MKP000631004192</v>
          </cell>
          <cell r="C1335" t="str">
            <v/>
          </cell>
          <cell r="D1335" t="str">
            <v>Armário de Cozinha Completa 330cm Branco Reims Madesa 01</v>
          </cell>
          <cell r="E1335" t="str">
            <v>REIMS</v>
          </cell>
          <cell r="F1335" t="str">
            <v>COZINHA</v>
          </cell>
          <cell r="G1335" t="str">
            <v/>
          </cell>
          <cell r="H1335">
            <v>1999.99</v>
          </cell>
          <cell r="I1335">
            <v>1359.99</v>
          </cell>
          <cell r="J1335">
            <v>1147.2467999999999</v>
          </cell>
          <cell r="K1335">
            <v>0</v>
          </cell>
          <cell r="L1335">
            <v>1147.2467999999999</v>
          </cell>
          <cell r="M1335">
            <v>0</v>
          </cell>
          <cell r="N1335">
            <v>1359.99</v>
          </cell>
          <cell r="O1335" t="str">
            <v>LOJA</v>
          </cell>
          <cell r="P1335">
            <v>1199.99</v>
          </cell>
          <cell r="Q1335">
            <v>0.18543804175352699</v>
          </cell>
          <cell r="R1335">
            <v>0.18543804175352699</v>
          </cell>
          <cell r="S1335" t="e">
            <v>#VALUE!</v>
          </cell>
          <cell r="T1335" t="e">
            <v>#VALUE!</v>
          </cell>
        </row>
        <row r="1336">
          <cell r="A1336" t="str">
            <v>G254005ZPR</v>
          </cell>
          <cell r="B1336" t="str">
            <v>MKP000631004427</v>
          </cell>
          <cell r="C1336" t="str">
            <v/>
          </cell>
          <cell r="D1336" t="str">
            <v>Armário Aéreo 40 cm com 2 Nichos Abertos para Cozinha Madesa Lux, Glamy, Agata, Stella Rustic</v>
          </cell>
          <cell r="E1336" t="str">
            <v>PR</v>
          </cell>
          <cell r="F1336" t="str">
            <v>MODULAÇÃO</v>
          </cell>
          <cell r="G1336" t="str">
            <v/>
          </cell>
          <cell r="H1336">
            <v>319.89999999999998</v>
          </cell>
          <cell r="I1336">
            <v>189.99</v>
          </cell>
          <cell r="J1336">
            <v>109.4469</v>
          </cell>
          <cell r="K1336">
            <v>0</v>
          </cell>
          <cell r="L1336">
            <v>109.4469</v>
          </cell>
          <cell r="M1336">
            <v>0</v>
          </cell>
          <cell r="N1336">
            <v>189.99</v>
          </cell>
          <cell r="O1336" t="str">
            <v/>
          </cell>
          <cell r="P1336">
            <v>0</v>
          </cell>
          <cell r="Q1336">
            <v>0.73591029074373104</v>
          </cell>
          <cell r="R1336">
            <v>0.73591029074373104</v>
          </cell>
          <cell r="S1336" t="e">
            <v>#VALUE!</v>
          </cell>
          <cell r="T1336" t="e">
            <v>#VALUE!</v>
          </cell>
        </row>
        <row r="1337">
          <cell r="A1337" t="str">
            <v>10186E1E</v>
          </cell>
          <cell r="B1337" t="str">
            <v>MKP000631002377</v>
          </cell>
          <cell r="C1337" t="str">
            <v/>
          </cell>
          <cell r="D1337" t="str">
            <v>Guarda-Roupa Casal Madesa Kansas 3 Portas de Correr com Espelho 3 Gavetas Rustic/Branco</v>
          </cell>
          <cell r="E1337" t="str">
            <v>KANSAS</v>
          </cell>
          <cell r="F1337" t="str">
            <v>QUARTO</v>
          </cell>
          <cell r="G1337" t="str">
            <v/>
          </cell>
          <cell r="H1337">
            <v>1649.99</v>
          </cell>
          <cell r="I1337">
            <v>1549.99</v>
          </cell>
          <cell r="J1337">
            <v>1284.2162000000001</v>
          </cell>
          <cell r="K1337">
            <v>0</v>
          </cell>
          <cell r="L1337">
            <v>1284.2162000000001</v>
          </cell>
          <cell r="M1337">
            <v>0</v>
          </cell>
          <cell r="N1337">
            <v>1549.99</v>
          </cell>
          <cell r="O1337" t="str">
            <v/>
          </cell>
          <cell r="P1337">
            <v>0</v>
          </cell>
          <cell r="Q1337">
            <v>0.20695409386674901</v>
          </cell>
          <cell r="R1337">
            <v>0.20695409386674901</v>
          </cell>
          <cell r="S1337" t="e">
            <v>#VALUE!</v>
          </cell>
          <cell r="T1337" t="e">
            <v>#VALUE!</v>
          </cell>
        </row>
        <row r="1338">
          <cell r="A1338" t="str">
            <v>GCRM26200109</v>
          </cell>
          <cell r="B1338" t="str">
            <v>MKP000631002592</v>
          </cell>
          <cell r="C1338" t="str">
            <v/>
          </cell>
          <cell r="D1338" t="str">
            <v>Armário de Cozinha Completa de Canto 262cm Branco Reims Madesa 01</v>
          </cell>
          <cell r="E1338" t="str">
            <v>REIMS</v>
          </cell>
          <cell r="F1338" t="str">
            <v>COZINHA</v>
          </cell>
          <cell r="G1338" t="str">
            <v/>
          </cell>
          <cell r="H1338">
            <v>2269.9899999999998</v>
          </cell>
          <cell r="I1338">
            <v>1269.92</v>
          </cell>
          <cell r="J1338">
            <v>1029.0472</v>
          </cell>
          <cell r="K1338">
            <v>0</v>
          </cell>
          <cell r="L1338">
            <v>1029.0472</v>
          </cell>
          <cell r="M1338">
            <v>0</v>
          </cell>
          <cell r="N1338">
            <v>1269.92</v>
          </cell>
          <cell r="O1338" t="str">
            <v/>
          </cell>
          <cell r="P1338">
            <v>0</v>
          </cell>
          <cell r="Q1338">
            <v>0.234073616837012</v>
          </cell>
          <cell r="R1338">
            <v>0.234073616837012</v>
          </cell>
          <cell r="S1338" t="e">
            <v>#VALUE!</v>
          </cell>
          <cell r="T1338" t="e">
            <v>#VALUE!</v>
          </cell>
        </row>
        <row r="1339">
          <cell r="A1339" t="str">
            <v>G237559NLX</v>
          </cell>
          <cell r="B1339" t="str">
            <v>MKP000631002747</v>
          </cell>
          <cell r="C1339" t="str">
            <v/>
          </cell>
          <cell r="D1339" t="str">
            <v>Torre Quente Madesa Lux 70 cm 3 Portas Rustic/Cinza</v>
          </cell>
          <cell r="E1339" t="str">
            <v>LUX</v>
          </cell>
          <cell r="F1339" t="str">
            <v>MODULAÇÃO</v>
          </cell>
          <cell r="G1339" t="str">
            <v/>
          </cell>
          <cell r="H1339">
            <v>1889.99</v>
          </cell>
          <cell r="I1339">
            <v>1499.99</v>
          </cell>
          <cell r="J1339">
            <v>842.17759999999998</v>
          </cell>
          <cell r="K1339">
            <v>0</v>
          </cell>
          <cell r="L1339">
            <v>842.17759999999998</v>
          </cell>
          <cell r="M1339">
            <v>0</v>
          </cell>
          <cell r="N1339">
            <v>1499.99</v>
          </cell>
          <cell r="O1339" t="str">
            <v>LOJA</v>
          </cell>
          <cell r="P1339">
            <v>1489.99</v>
          </cell>
          <cell r="Q1339">
            <v>0.78108512978735101</v>
          </cell>
          <cell r="R1339">
            <v>0.78108512978735101</v>
          </cell>
          <cell r="S1339" t="e">
            <v>#VALUE!</v>
          </cell>
          <cell r="T1339" t="e">
            <v>#VALUE!</v>
          </cell>
        </row>
        <row r="1340">
          <cell r="A1340" t="str">
            <v>GCEM4810017K</v>
          </cell>
          <cell r="B1340" t="str">
            <v>MKP000631000446</v>
          </cell>
          <cell r="C1340" t="str">
            <v/>
          </cell>
          <cell r="D1340" t="str">
            <v>Armário de Cozinha Completa de Canto 481cm Rustic/Preto Emilly Moon Madesa 01</v>
          </cell>
          <cell r="E1340" t="str">
            <v>MOON/EMILLY</v>
          </cell>
          <cell r="F1340" t="str">
            <v>COZINHA</v>
          </cell>
          <cell r="G1340" t="str">
            <v/>
          </cell>
          <cell r="H1340">
            <v>2879.99</v>
          </cell>
          <cell r="I1340">
            <v>1499.99</v>
          </cell>
          <cell r="J1340">
            <v>1217.7262000000001</v>
          </cell>
          <cell r="K1340">
            <v>0</v>
          </cell>
          <cell r="L1340">
            <v>1217.7262000000001</v>
          </cell>
          <cell r="M1340">
            <v>0</v>
          </cell>
          <cell r="N1340">
            <v>1499.99</v>
          </cell>
          <cell r="O1340" t="str">
            <v/>
          </cell>
          <cell r="P1340">
            <v>0</v>
          </cell>
          <cell r="Q1340">
            <v>0.23179578463533099</v>
          </cell>
          <cell r="R1340">
            <v>0.23179578463533099</v>
          </cell>
          <cell r="S1340" t="e">
            <v>#VALUE!</v>
          </cell>
          <cell r="T1340" t="e">
            <v>#VALUE!</v>
          </cell>
        </row>
        <row r="1341">
          <cell r="A1341" t="str">
            <v>10936E2E</v>
          </cell>
          <cell r="B1341" t="str">
            <v>MKP000631001873</v>
          </cell>
          <cell r="C1341" t="str">
            <v/>
          </cell>
          <cell r="D1341" t="str">
            <v>Guarda-Roupa Casal Madesa Mônaco 3 Portas de Correr com Espelhos Rustic/Branco</v>
          </cell>
          <cell r="E1341" t="str">
            <v>MÔNACO</v>
          </cell>
          <cell r="F1341" t="str">
            <v>QUARTO</v>
          </cell>
          <cell r="G1341" t="str">
            <v/>
          </cell>
          <cell r="H1341">
            <v>1369.99</v>
          </cell>
          <cell r="I1341">
            <v>1079.92</v>
          </cell>
          <cell r="J1341">
            <v>880.70910000000003</v>
          </cell>
          <cell r="K1341">
            <v>0</v>
          </cell>
          <cell r="L1341">
            <v>880.70910000000003</v>
          </cell>
          <cell r="M1341">
            <v>0</v>
          </cell>
          <cell r="N1341">
            <v>1079.92</v>
          </cell>
          <cell r="O1341" t="str">
            <v/>
          </cell>
          <cell r="P1341">
            <v>0</v>
          </cell>
          <cell r="Q1341">
            <v>0.22619375682617601</v>
          </cell>
          <cell r="R1341">
            <v>0.22619375682617601</v>
          </cell>
          <cell r="S1341" t="e">
            <v>#VALUE!</v>
          </cell>
          <cell r="T1341" t="e">
            <v>#VALUE!</v>
          </cell>
        </row>
        <row r="1342">
          <cell r="A1342" t="str">
            <v>10639B1E</v>
          </cell>
          <cell r="B1342" t="str">
            <v>MKP000631000996</v>
          </cell>
          <cell r="C1342" t="str">
            <v/>
          </cell>
          <cell r="D1342" t="str">
            <v>Guarda-Roupa Casal 100% MDF Madesa Royale 3 Portas de Correr com Espelho Branco/Rustic</v>
          </cell>
          <cell r="E1342" t="str">
            <v>ROYALE</v>
          </cell>
          <cell r="F1342" t="str">
            <v>QUARTO</v>
          </cell>
          <cell r="G1342" t="str">
            <v/>
          </cell>
          <cell r="H1342">
            <v>3019.99</v>
          </cell>
          <cell r="I1342">
            <v>2219.9899999999998</v>
          </cell>
          <cell r="J1342">
            <v>1792.614</v>
          </cell>
          <cell r="K1342">
            <v>0</v>
          </cell>
          <cell r="L1342">
            <v>1792.614</v>
          </cell>
          <cell r="M1342">
            <v>0</v>
          </cell>
          <cell r="N1342">
            <v>2219.9899999999998</v>
          </cell>
          <cell r="O1342" t="str">
            <v>LEROY</v>
          </cell>
          <cell r="P1342">
            <v>2099.9899999999998</v>
          </cell>
          <cell r="Q1342">
            <v>0.23840938428462599</v>
          </cell>
          <cell r="R1342">
            <v>0.23840938428462599</v>
          </cell>
          <cell r="S1342" t="e">
            <v>#VALUE!</v>
          </cell>
          <cell r="T1342" t="e">
            <v>#VALUE!</v>
          </cell>
        </row>
        <row r="1343">
          <cell r="A1343" t="str">
            <v>G241207KAG</v>
          </cell>
          <cell r="B1343" t="str">
            <v>MKP000631003074</v>
          </cell>
          <cell r="C1343" t="str">
            <v/>
          </cell>
          <cell r="D1343" t="str">
            <v>Balcão Gabinete de Pia Madesa Agata 2 Portas (Sem Tampo e Pia) Rustic/Preto</v>
          </cell>
          <cell r="E1343" t="str">
            <v>ÁGATA</v>
          </cell>
          <cell r="F1343" t="str">
            <v>MODULAÇÃO</v>
          </cell>
          <cell r="G1343" t="str">
            <v/>
          </cell>
          <cell r="H1343">
            <v>939.99</v>
          </cell>
          <cell r="I1343">
            <v>489.99</v>
          </cell>
          <cell r="J1343">
            <v>355.6234</v>
          </cell>
          <cell r="K1343">
            <v>0</v>
          </cell>
          <cell r="L1343">
            <v>355.6234</v>
          </cell>
          <cell r="M1343">
            <v>0</v>
          </cell>
          <cell r="N1343">
            <v>489.99</v>
          </cell>
          <cell r="O1343" t="str">
            <v/>
          </cell>
          <cell r="P1343">
            <v>0</v>
          </cell>
          <cell r="Q1343">
            <v>0.37783396705616101</v>
          </cell>
          <cell r="R1343">
            <v>0.37783396705616101</v>
          </cell>
          <cell r="S1343" t="e">
            <v>#VALUE!</v>
          </cell>
          <cell r="T1343" t="e">
            <v>#VALUE!</v>
          </cell>
        </row>
        <row r="1344">
          <cell r="A1344" t="str">
            <v>1018091E</v>
          </cell>
          <cell r="B1344" t="str">
            <v>MKP000631002250</v>
          </cell>
          <cell r="C1344" t="str">
            <v/>
          </cell>
          <cell r="D1344" t="str">
            <v>Guarda-Roupa Casal Madesa Kansas 3 Portas de Correr com Espelho 3 Gavetas Branco</v>
          </cell>
          <cell r="E1344" t="str">
            <v>KANSAS</v>
          </cell>
          <cell r="F1344" t="str">
            <v>QUARTO</v>
          </cell>
          <cell r="G1344" t="str">
            <v/>
          </cell>
          <cell r="H1344">
            <v>2559.9899999999998</v>
          </cell>
          <cell r="I1344">
            <v>1629.99</v>
          </cell>
          <cell r="J1344">
            <v>1284.2162000000001</v>
          </cell>
          <cell r="K1344">
            <v>0</v>
          </cell>
          <cell r="L1344">
            <v>1284.2162000000001</v>
          </cell>
          <cell r="M1344">
            <v>0</v>
          </cell>
          <cell r="N1344">
            <v>1629.99</v>
          </cell>
          <cell r="O1344" t="str">
            <v>MADEIRAMADEIRA</v>
          </cell>
          <cell r="P1344">
            <v>1549.99</v>
          </cell>
          <cell r="Q1344">
            <v>0.26924890061346402</v>
          </cell>
          <cell r="R1344">
            <v>0.26924890061346402</v>
          </cell>
          <cell r="S1344" t="e">
            <v>#VALUE!</v>
          </cell>
          <cell r="T1344" t="e">
            <v>#VALUE!</v>
          </cell>
        </row>
        <row r="1345">
          <cell r="A1345" t="str">
            <v>XAGCEM4170015Z</v>
          </cell>
          <cell r="B1345" t="str">
            <v>MKP000631003295</v>
          </cell>
          <cell r="C1345" t="str">
            <v/>
          </cell>
          <cell r="D1345" t="str">
            <v>Armário de Cozinha Completa de Canto 357cm Rustic Emilly Rock Madesa XA</v>
          </cell>
          <cell r="E1345" t="str">
            <v>ROCK/EMILLY</v>
          </cell>
          <cell r="F1345" t="str">
            <v>COZINHA</v>
          </cell>
          <cell r="G1345" t="str">
            <v/>
          </cell>
          <cell r="H1345">
            <v>2199.9899999999998</v>
          </cell>
          <cell r="I1345">
            <v>1669.99</v>
          </cell>
          <cell r="J1345">
            <v>1217.7262000000001</v>
          </cell>
          <cell r="K1345">
            <v>0</v>
          </cell>
          <cell r="L1345">
            <v>1217.7262000000001</v>
          </cell>
          <cell r="M1345">
            <v>0</v>
          </cell>
          <cell r="N1345">
            <v>1669.99</v>
          </cell>
          <cell r="O1345" t="str">
            <v/>
          </cell>
          <cell r="P1345">
            <v>0</v>
          </cell>
          <cell r="Q1345">
            <v>0.37140023759035501</v>
          </cell>
          <cell r="R1345">
            <v>0.37140023759035501</v>
          </cell>
          <cell r="S1345" t="e">
            <v>#VALUE!</v>
          </cell>
          <cell r="T1345" t="e">
            <v>#VALUE!</v>
          </cell>
        </row>
        <row r="1346">
          <cell r="A1346" t="str">
            <v>G2412009</v>
          </cell>
          <cell r="B1346" t="str">
            <v>MKP000631000906</v>
          </cell>
          <cell r="C1346" t="str">
            <v/>
          </cell>
          <cell r="D1346" t="str">
            <v>Balcão Gabinete de Pia Madesa Acordes 100% MDF 120 cm 2 Portas Branco Brilho</v>
          </cell>
          <cell r="E1346" t="str">
            <v>ACORDES</v>
          </cell>
          <cell r="F1346" t="str">
            <v>MODULAÇÃO</v>
          </cell>
          <cell r="G1346" t="str">
            <v/>
          </cell>
          <cell r="H1346">
            <v>959.99</v>
          </cell>
          <cell r="I1346">
            <v>519.99</v>
          </cell>
          <cell r="J1346">
            <v>396.83629999999999</v>
          </cell>
          <cell r="K1346">
            <v>0</v>
          </cell>
          <cell r="L1346">
            <v>396.83629999999999</v>
          </cell>
          <cell r="M1346">
            <v>0</v>
          </cell>
          <cell r="N1346">
            <v>519.99</v>
          </cell>
          <cell r="O1346" t="str">
            <v/>
          </cell>
          <cell r="P1346">
            <v>0</v>
          </cell>
          <cell r="Q1346">
            <v>0.31033879713120999</v>
          </cell>
          <cell r="R1346">
            <v>0.31033879713120999</v>
          </cell>
          <cell r="S1346" t="e">
            <v>#VALUE!</v>
          </cell>
          <cell r="T1346" t="e">
            <v>#VALUE!</v>
          </cell>
        </row>
        <row r="1347">
          <cell r="A1347" t="str">
            <v>G256029RLX</v>
          </cell>
          <cell r="B1347" t="str">
            <v>MKP000631003233</v>
          </cell>
          <cell r="C1347" t="str">
            <v/>
          </cell>
          <cell r="D1347" t="str">
            <v>Armário Aéreo Madesa Lux 60 cm 1 Porta Basculante Branco/Cinza</v>
          </cell>
          <cell r="E1347" t="str">
            <v>LUX</v>
          </cell>
          <cell r="F1347" t="str">
            <v>MODULAÇÃO</v>
          </cell>
          <cell r="G1347" t="str">
            <v/>
          </cell>
          <cell r="H1347">
            <v>729.99</v>
          </cell>
          <cell r="I1347">
            <v>369.99</v>
          </cell>
          <cell r="J1347">
            <v>224.06039999999999</v>
          </cell>
          <cell r="K1347">
            <v>0</v>
          </cell>
          <cell r="L1347">
            <v>224.06039999999999</v>
          </cell>
          <cell r="M1347">
            <v>0</v>
          </cell>
          <cell r="N1347">
            <v>369.99</v>
          </cell>
          <cell r="O1347" t="str">
            <v>LOJA</v>
          </cell>
          <cell r="P1347">
            <v>359.99</v>
          </cell>
          <cell r="Q1347">
            <v>0.65129581130802205</v>
          </cell>
          <cell r="R1347">
            <v>0.65129581130802205</v>
          </cell>
          <cell r="S1347" t="e">
            <v>#VALUE!</v>
          </cell>
          <cell r="T1347" t="e">
            <v>#VALUE!</v>
          </cell>
        </row>
        <row r="1348">
          <cell r="A1348" t="str">
            <v>GRAG1800037K</v>
          </cell>
          <cell r="B1348" t="str">
            <v>MKP000631004272</v>
          </cell>
          <cell r="C1348" t="str">
            <v/>
          </cell>
          <cell r="D1348" t="str">
            <v>Armário de Cozinha Compacta 180cm Rustic Preto Agata Madesa 03</v>
          </cell>
          <cell r="E1348" t="str">
            <v>ÁGATA</v>
          </cell>
          <cell r="F1348" t="str">
            <v>COZINHA</v>
          </cell>
          <cell r="G1348" t="str">
            <v/>
          </cell>
          <cell r="H1348">
            <v>1599.99</v>
          </cell>
          <cell r="I1348">
            <v>1499.99</v>
          </cell>
          <cell r="J1348">
            <v>1251.8868</v>
          </cell>
          <cell r="K1348">
            <v>0</v>
          </cell>
          <cell r="L1348">
            <v>1251.8868</v>
          </cell>
          <cell r="M1348">
            <v>0</v>
          </cell>
          <cell r="N1348">
            <v>1499.99</v>
          </cell>
          <cell r="O1348" t="str">
            <v/>
          </cell>
          <cell r="P1348">
            <v>0</v>
          </cell>
          <cell r="Q1348">
            <v>0.19818341402753001</v>
          </cell>
          <cell r="R1348">
            <v>0.19818341402753001</v>
          </cell>
          <cell r="S1348" t="e">
            <v>#VALUE!</v>
          </cell>
          <cell r="T1348" t="e">
            <v>#VALUE!</v>
          </cell>
        </row>
        <row r="1349">
          <cell r="A1349" t="str">
            <v>GRGM27000609</v>
          </cell>
          <cell r="B1349" t="str">
            <v>MKP000631003520</v>
          </cell>
          <cell r="C1349" t="str">
            <v/>
          </cell>
          <cell r="D1349" t="str">
            <v>Armário de Cozinha Completa 100% MDF 270cm Frentes Branco Brilho Acordes Madesa 06</v>
          </cell>
          <cell r="E1349" t="str">
            <v>ACORDES</v>
          </cell>
          <cell r="F1349" t="str">
            <v>COZINHA</v>
          </cell>
          <cell r="G1349" t="str">
            <v/>
          </cell>
          <cell r="H1349">
            <v>2649.99</v>
          </cell>
          <cell r="I1349">
            <v>2449.92</v>
          </cell>
          <cell r="J1349">
            <v>1835.0477000000001</v>
          </cell>
          <cell r="K1349">
            <v>0</v>
          </cell>
          <cell r="L1349">
            <v>1835.0477000000001</v>
          </cell>
          <cell r="M1349">
            <v>0</v>
          </cell>
          <cell r="N1349">
            <v>2449.92</v>
          </cell>
          <cell r="O1349" t="str">
            <v/>
          </cell>
          <cell r="P1349">
            <v>0</v>
          </cell>
          <cell r="Q1349">
            <v>0.33507156244494302</v>
          </cell>
          <cell r="R1349">
            <v>0.33507156244494302</v>
          </cell>
          <cell r="S1349" t="e">
            <v>#VALUE!</v>
          </cell>
          <cell r="T1349" t="e">
            <v>#VALUE!</v>
          </cell>
        </row>
        <row r="1350">
          <cell r="A1350" t="str">
            <v>11639B1ECP</v>
          </cell>
          <cell r="B1350" t="str">
            <v>MKP000631000994</v>
          </cell>
          <cell r="C1350" t="str">
            <v/>
          </cell>
          <cell r="D1350" t="str">
            <v>Guarda-Roupa Casal 100% MDF Madesa Eros 3 Portas de Correr com Espelho com Pés Branco/Rustic</v>
          </cell>
          <cell r="E1350" t="str">
            <v>EROS</v>
          </cell>
          <cell r="F1350" t="str">
            <v>QUARTO</v>
          </cell>
          <cell r="G1350" t="str">
            <v/>
          </cell>
          <cell r="H1350">
            <v>2169.9899999999998</v>
          </cell>
          <cell r="I1350">
            <v>2069.9899999999998</v>
          </cell>
          <cell r="J1350">
            <v>1727.4647</v>
          </cell>
          <cell r="K1350">
            <v>0</v>
          </cell>
          <cell r="L1350">
            <v>1727.4647</v>
          </cell>
          <cell r="M1350">
            <v>0</v>
          </cell>
          <cell r="N1350">
            <v>2069.9899999999998</v>
          </cell>
          <cell r="O1350" t="str">
            <v>VIA</v>
          </cell>
          <cell r="P1350">
            <v>2069.9899999999998</v>
          </cell>
          <cell r="Q1350">
            <v>0.198282083564428</v>
          </cell>
          <cell r="R1350">
            <v>0.198282083564428</v>
          </cell>
          <cell r="S1350" t="e">
            <v>#VALUE!</v>
          </cell>
          <cell r="T1350" t="e">
            <v>#VALUE!</v>
          </cell>
        </row>
        <row r="1351">
          <cell r="A1351" t="str">
            <v>1085091E</v>
          </cell>
          <cell r="B1351" t="str">
            <v>MKP000631000269</v>
          </cell>
          <cell r="C1351" t="str">
            <v/>
          </cell>
          <cell r="D1351" t="str">
            <v>Guarda-Roupa Casal Madesa Veneza 3 Portas de Correr Central com Espelho Branco</v>
          </cell>
          <cell r="E1351" t="str">
            <v>VENEZA</v>
          </cell>
          <cell r="F1351" t="str">
            <v>QUARTO</v>
          </cell>
          <cell r="G1351" t="str">
            <v/>
          </cell>
          <cell r="H1351">
            <v>2449.9899999999998</v>
          </cell>
          <cell r="I1351">
            <v>1419.99</v>
          </cell>
          <cell r="J1351">
            <v>1151.2253000000001</v>
          </cell>
          <cell r="K1351">
            <v>0</v>
          </cell>
          <cell r="L1351">
            <v>1151.2253000000001</v>
          </cell>
          <cell r="M1351">
            <v>0</v>
          </cell>
          <cell r="N1351">
            <v>1419.99</v>
          </cell>
          <cell r="O1351" t="str">
            <v>MADEIRAMADEIRA</v>
          </cell>
          <cell r="P1351">
            <v>1399.99</v>
          </cell>
          <cell r="Q1351">
            <v>0.23345968855965901</v>
          </cell>
          <cell r="R1351">
            <v>0.23345968855965901</v>
          </cell>
          <cell r="S1351" t="e">
            <v>#VALUE!</v>
          </cell>
          <cell r="T1351" t="e">
            <v>#VALUE!</v>
          </cell>
        </row>
        <row r="1352">
          <cell r="A1352" t="str">
            <v>10289B2E</v>
          </cell>
          <cell r="B1352" t="str">
            <v>MKP000631003466</v>
          </cell>
          <cell r="C1352" t="str">
            <v/>
          </cell>
          <cell r="D1352" t="str">
            <v>Guarda-Roupa Casal Madesa Austin 4 Portas de Correr com Espelhos 3 Gavetas Branco/Rustic</v>
          </cell>
          <cell r="E1352" t="str">
            <v>AUSTIN</v>
          </cell>
          <cell r="F1352" t="str">
            <v>QUARTO</v>
          </cell>
          <cell r="G1352" t="str">
            <v/>
          </cell>
          <cell r="H1352">
            <v>2069.9899999999998</v>
          </cell>
          <cell r="I1352">
            <v>1639.92</v>
          </cell>
          <cell r="J1352">
            <v>1393.0853999999999</v>
          </cell>
          <cell r="K1352">
            <v>0</v>
          </cell>
          <cell r="L1352">
            <v>1393.0853999999999</v>
          </cell>
          <cell r="M1352">
            <v>0</v>
          </cell>
          <cell r="N1352">
            <v>1639.92</v>
          </cell>
          <cell r="O1352" t="str">
            <v/>
          </cell>
          <cell r="P1352">
            <v>0</v>
          </cell>
          <cell r="Q1352">
            <v>0.17718554799296601</v>
          </cell>
          <cell r="R1352">
            <v>0.17718554799296601</v>
          </cell>
          <cell r="S1352" t="e">
            <v>#VALUE!</v>
          </cell>
          <cell r="T1352" t="e">
            <v>#VALUE!</v>
          </cell>
        </row>
        <row r="1353">
          <cell r="A1353" t="str">
            <v>G257573BNC</v>
          </cell>
          <cell r="B1353" t="str">
            <v>MKP000631004811</v>
          </cell>
          <cell r="C1353" t="str">
            <v/>
          </cell>
          <cell r="D1353" t="str">
            <v>Armário Aéreo de Canto 1 Porta e Adega Cinza Nice Madesa</v>
          </cell>
          <cell r="E1353" t="str">
            <v>NICE</v>
          </cell>
          <cell r="F1353" t="str">
            <v>MODULAÇÃO</v>
          </cell>
          <cell r="G1353" t="str">
            <v/>
          </cell>
          <cell r="H1353">
            <v>599.99</v>
          </cell>
          <cell r="I1353">
            <v>439.99</v>
          </cell>
          <cell r="J1353">
            <v>220.08189999999999</v>
          </cell>
          <cell r="K1353">
            <v>0</v>
          </cell>
          <cell r="L1353">
            <v>220.08189999999999</v>
          </cell>
          <cell r="M1353">
            <v>0</v>
          </cell>
          <cell r="N1353">
            <v>439.99</v>
          </cell>
          <cell r="O1353" t="str">
            <v/>
          </cell>
          <cell r="P1353">
            <v>0</v>
          </cell>
          <cell r="Q1353">
            <v>0.99921029398601202</v>
          </cell>
          <cell r="R1353">
            <v>0.99921029398601202</v>
          </cell>
          <cell r="S1353" t="e">
            <v>#VALUE!</v>
          </cell>
          <cell r="T1353" t="e">
            <v>#VALUE!</v>
          </cell>
        </row>
        <row r="1354">
          <cell r="A1354" t="str">
            <v>G2704009PR</v>
          </cell>
          <cell r="B1354" t="str">
            <v>MKP000631003268</v>
          </cell>
          <cell r="C1354" t="str">
            <v/>
          </cell>
          <cell r="D1354" t="str">
            <v>Rodapé para Cozinhas Madesa Glamy, Lux, Agata e Stella Branco</v>
          </cell>
          <cell r="E1354" t="str">
            <v>PR</v>
          </cell>
          <cell r="F1354" t="str">
            <v>MODULAÇÃO</v>
          </cell>
          <cell r="G1354" t="str">
            <v/>
          </cell>
          <cell r="H1354">
            <v>369.99</v>
          </cell>
          <cell r="I1354">
            <v>119.99</v>
          </cell>
          <cell r="J1354">
            <v>71.798299999999998</v>
          </cell>
          <cell r="K1354">
            <v>0</v>
          </cell>
          <cell r="L1354">
            <v>71.798299999999998</v>
          </cell>
          <cell r="M1354">
            <v>0</v>
          </cell>
          <cell r="N1354">
            <v>119.99</v>
          </cell>
          <cell r="O1354" t="str">
            <v/>
          </cell>
          <cell r="P1354">
            <v>0</v>
          </cell>
          <cell r="Q1354">
            <v>0.67120948546135495</v>
          </cell>
          <cell r="R1354">
            <v>0.67120948546135495</v>
          </cell>
          <cell r="S1354" t="e">
            <v>#VALUE!</v>
          </cell>
          <cell r="T1354" t="e">
            <v>#VALUE!</v>
          </cell>
        </row>
        <row r="1355">
          <cell r="A1355" t="str">
            <v>G2560209GL</v>
          </cell>
          <cell r="B1355" t="str">
            <v>MKP000631000005</v>
          </cell>
          <cell r="C1355" t="str">
            <v/>
          </cell>
          <cell r="D1355" t="str">
            <v>Armário Aéreo Madesa Glamy 60 cm 1 Porta Basculante Branco</v>
          </cell>
          <cell r="E1355" t="str">
            <v>GLAMY</v>
          </cell>
          <cell r="F1355" t="str">
            <v>MODULAÇÃO</v>
          </cell>
          <cell r="G1355" t="str">
            <v/>
          </cell>
          <cell r="H1355">
            <v>389.99</v>
          </cell>
          <cell r="I1355">
            <v>249.99</v>
          </cell>
          <cell r="J1355">
            <v>158.20259999999999</v>
          </cell>
          <cell r="K1355">
            <v>0</v>
          </cell>
          <cell r="L1355">
            <v>158.20259999999999</v>
          </cell>
          <cell r="M1355">
            <v>0</v>
          </cell>
          <cell r="N1355">
            <v>249.99</v>
          </cell>
          <cell r="O1355" t="str">
            <v/>
          </cell>
          <cell r="P1355">
            <v>0</v>
          </cell>
          <cell r="Q1355">
            <v>0.58018894758998896</v>
          </cell>
          <cell r="R1355">
            <v>0.58018894758998896</v>
          </cell>
          <cell r="S1355" t="e">
            <v>#VALUE!</v>
          </cell>
          <cell r="T1355" t="e">
            <v>#VALUE!</v>
          </cell>
        </row>
        <row r="1356">
          <cell r="A1356" t="str">
            <v>G251216E</v>
          </cell>
          <cell r="B1356" t="str">
            <v>MKP000631000914</v>
          </cell>
          <cell r="C1356" t="str">
            <v/>
          </cell>
          <cell r="D1356" t="str">
            <v>Armário Aéreo Madesa Acordes 100% MDF 120 cm 2 Portas Branco/Rustic</v>
          </cell>
          <cell r="E1356" t="str">
            <v>ACORDES</v>
          </cell>
          <cell r="F1356" t="str">
            <v>MODULAÇÃO</v>
          </cell>
          <cell r="G1356" t="str">
            <v/>
          </cell>
          <cell r="H1356">
            <v>869.99</v>
          </cell>
          <cell r="I1356">
            <v>439.99</v>
          </cell>
          <cell r="J1356">
            <v>290.38690000000003</v>
          </cell>
          <cell r="K1356">
            <v>0</v>
          </cell>
          <cell r="L1356">
            <v>290.38690000000003</v>
          </cell>
          <cell r="M1356">
            <v>0</v>
          </cell>
          <cell r="N1356">
            <v>439.99</v>
          </cell>
          <cell r="O1356" t="str">
            <v/>
          </cell>
          <cell r="P1356">
            <v>0</v>
          </cell>
          <cell r="Q1356">
            <v>0.51518543019674801</v>
          </cell>
          <cell r="R1356">
            <v>0.51518543019674801</v>
          </cell>
          <cell r="S1356" t="e">
            <v>#VALUE!</v>
          </cell>
          <cell r="T1356" t="e">
            <v>#VALUE!</v>
          </cell>
        </row>
        <row r="1357">
          <cell r="A1357" t="str">
            <v>MDJA0601307GSIM</v>
          </cell>
          <cell r="B1357" t="str">
            <v>MKP000631003218</v>
          </cell>
          <cell r="C1357" t="str">
            <v/>
          </cell>
          <cell r="D1357" t="str">
            <v>Conjunto Sala de Jantar Madesa Luciana Mesa Tampo de Madeira com 6 Cadeiras Rustic/Crema/Imperial</v>
          </cell>
          <cell r="E1357" t="str">
            <v>LUCIANA</v>
          </cell>
          <cell r="F1357" t="str">
            <v>SALA DE JANTAR</v>
          </cell>
          <cell r="G1357">
            <v>4255</v>
          </cell>
          <cell r="H1357">
            <v>2659.99</v>
          </cell>
          <cell r="I1357">
            <v>1519.99</v>
          </cell>
          <cell r="J1357">
            <v>1094.3927000000001</v>
          </cell>
          <cell r="K1357">
            <v>0</v>
          </cell>
          <cell r="L1357">
            <v>1094.3927000000001</v>
          </cell>
          <cell r="M1357">
            <v>0</v>
          </cell>
          <cell r="N1357">
            <v>1519.99</v>
          </cell>
          <cell r="O1357" t="str">
            <v>LEROY</v>
          </cell>
          <cell r="P1357">
            <v>1443.99</v>
          </cell>
          <cell r="Q1357">
            <v>0.38888901579844198</v>
          </cell>
          <cell r="R1357">
            <v>0.38888901579844198</v>
          </cell>
          <cell r="S1357" t="e">
            <v>#VALUE!</v>
          </cell>
          <cell r="T1357" t="e">
            <v>#VALUE!</v>
          </cell>
        </row>
        <row r="1358">
          <cell r="A1358" t="str">
            <v>GRTE29000109</v>
          </cell>
          <cell r="B1358" t="str">
            <v>MKP000631001978</v>
          </cell>
          <cell r="C1358" t="str">
            <v/>
          </cell>
          <cell r="D1358" t="str">
            <v>Armário de Cozinha Completa 290cm Branco Stella Madesa 01</v>
          </cell>
          <cell r="E1358" t="str">
            <v>STELLA</v>
          </cell>
          <cell r="F1358" t="str">
            <v>COZINHA</v>
          </cell>
          <cell r="G1358" t="str">
            <v/>
          </cell>
          <cell r="H1358">
            <v>2899.99</v>
          </cell>
          <cell r="I1358">
            <v>2499.9899999999998</v>
          </cell>
          <cell r="J1358">
            <v>2147.7577999999999</v>
          </cell>
          <cell r="K1358">
            <v>0</v>
          </cell>
          <cell r="L1358">
            <v>2147.7577999999999</v>
          </cell>
          <cell r="M1358">
            <v>0</v>
          </cell>
          <cell r="N1358">
            <v>2499.9899999999998</v>
          </cell>
          <cell r="O1358" t="str">
            <v/>
          </cell>
          <cell r="P1358">
            <v>0</v>
          </cell>
          <cell r="Q1358">
            <v>0.16399996312433299</v>
          </cell>
          <cell r="R1358">
            <v>0.16399996312433299</v>
          </cell>
          <cell r="S1358" t="e">
            <v>#VALUE!</v>
          </cell>
          <cell r="T1358" t="e">
            <v>#VALUE!</v>
          </cell>
        </row>
        <row r="1359">
          <cell r="A1359" t="str">
            <v>GCNC2650023B</v>
          </cell>
          <cell r="B1359" t="str">
            <v>MKP000631004798</v>
          </cell>
          <cell r="C1359" t="str">
            <v/>
          </cell>
          <cell r="D1359" t="str">
            <v>Armário de Cozinha Completa de Canto 265cm Cinza Nice Madesa 02</v>
          </cell>
          <cell r="E1359" t="str">
            <v>NICE</v>
          </cell>
          <cell r="F1359" t="str">
            <v>COZINHA</v>
          </cell>
          <cell r="G1359" t="str">
            <v/>
          </cell>
          <cell r="H1359">
            <v>1599.99</v>
          </cell>
          <cell r="I1359">
            <v>1469.99</v>
          </cell>
          <cell r="J1359">
            <v>1076.0807</v>
          </cell>
          <cell r="K1359">
            <v>0</v>
          </cell>
          <cell r="L1359">
            <v>1076.0807</v>
          </cell>
          <cell r="M1359">
            <v>0</v>
          </cell>
          <cell r="N1359">
            <v>1469.99</v>
          </cell>
          <cell r="O1359" t="str">
            <v/>
          </cell>
          <cell r="P1359">
            <v>0</v>
          </cell>
          <cell r="Q1359">
            <v>0.36605925559300501</v>
          </cell>
          <cell r="R1359">
            <v>0.36605925559300501</v>
          </cell>
          <cell r="S1359" t="e">
            <v>#VALUE!</v>
          </cell>
          <cell r="T1359" t="e">
            <v>#VALUE!</v>
          </cell>
        </row>
        <row r="1360">
          <cell r="A1360" t="str">
            <v>GCRM3820018N</v>
          </cell>
          <cell r="B1360" t="str">
            <v>MKP000631002535</v>
          </cell>
          <cell r="C1360" t="str">
            <v/>
          </cell>
          <cell r="D1360" t="str">
            <v>Armário de Cozinha Completa de Canto 382cm Preto Reims Madesa 01</v>
          </cell>
          <cell r="E1360" t="str">
            <v>REIMS</v>
          </cell>
          <cell r="F1360" t="str">
            <v>COZINHA</v>
          </cell>
          <cell r="G1360" t="str">
            <v/>
          </cell>
          <cell r="H1360">
            <v>3299.99</v>
          </cell>
          <cell r="I1360">
            <v>1759.92</v>
          </cell>
          <cell r="J1360">
            <v>1533.7717</v>
          </cell>
          <cell r="K1360">
            <v>0</v>
          </cell>
          <cell r="L1360">
            <v>1533.7717</v>
          </cell>
          <cell r="M1360">
            <v>0</v>
          </cell>
          <cell r="N1360">
            <v>1759.92</v>
          </cell>
          <cell r="O1360" t="str">
            <v/>
          </cell>
          <cell r="P1360">
            <v>0</v>
          </cell>
          <cell r="Q1360">
            <v>0.147445868247536</v>
          </cell>
          <cell r="R1360">
            <v>0.147445868247536</v>
          </cell>
          <cell r="S1360" t="e">
            <v>#VALUE!</v>
          </cell>
          <cell r="T1360" t="e">
            <v>#VALUE!</v>
          </cell>
        </row>
        <row r="1361">
          <cell r="A1361" t="str">
            <v>101809</v>
          </cell>
          <cell r="B1361" t="str">
            <v>MKP000631002247</v>
          </cell>
          <cell r="C1361" t="str">
            <v/>
          </cell>
          <cell r="D1361" t="str">
            <v>Guarda-Roupa Casal Madesa Kansas 3 Portas de Correr 3 Gavetas Branco</v>
          </cell>
          <cell r="E1361" t="str">
            <v>KANSAS</v>
          </cell>
          <cell r="F1361" t="str">
            <v>QUARTO</v>
          </cell>
          <cell r="G1361" t="str">
            <v/>
          </cell>
          <cell r="H1361">
            <v>2339.9899999999998</v>
          </cell>
          <cell r="I1361">
            <v>1459.99</v>
          </cell>
          <cell r="J1361">
            <v>1164.6541</v>
          </cell>
          <cell r="K1361">
            <v>0</v>
          </cell>
          <cell r="L1361">
            <v>1164.6541</v>
          </cell>
          <cell r="M1361">
            <v>0</v>
          </cell>
          <cell r="N1361">
            <v>1459.99</v>
          </cell>
          <cell r="O1361" t="str">
            <v>MADEIRAMADEIRA</v>
          </cell>
          <cell r="P1361">
            <v>1399.99</v>
          </cell>
          <cell r="Q1361">
            <v>0.25358250144828398</v>
          </cell>
          <cell r="R1361">
            <v>0.25358250144828398</v>
          </cell>
          <cell r="S1361" t="e">
            <v>#VALUE!</v>
          </cell>
          <cell r="T1361" t="e">
            <v>#VALUE!</v>
          </cell>
        </row>
        <row r="1362">
          <cell r="A1362" t="str">
            <v>109777</v>
          </cell>
          <cell r="B1362" t="str">
            <v>MKP000631002472</v>
          </cell>
          <cell r="C1362" t="str">
            <v/>
          </cell>
          <cell r="D1362" t="str">
            <v>Guarda-Roupa Solteiro Madesa Tokio 2 Portas de Correr 2 Gavetas Preto/Branco</v>
          </cell>
          <cell r="E1362" t="str">
            <v>TOKIO</v>
          </cell>
          <cell r="F1362" t="str">
            <v>QUARTO</v>
          </cell>
          <cell r="G1362" t="str">
            <v/>
          </cell>
          <cell r="H1362">
            <v>1049.99</v>
          </cell>
          <cell r="I1362">
            <v>769.92</v>
          </cell>
          <cell r="J1362">
            <v>630.83749999999998</v>
          </cell>
          <cell r="K1362">
            <v>0</v>
          </cell>
          <cell r="L1362">
            <v>630.83749999999998</v>
          </cell>
          <cell r="M1362">
            <v>0</v>
          </cell>
          <cell r="N1362">
            <v>769.92</v>
          </cell>
          <cell r="O1362" t="str">
            <v/>
          </cell>
          <cell r="P1362">
            <v>0</v>
          </cell>
          <cell r="Q1362">
            <v>0.220472784195613</v>
          </cell>
          <cell r="R1362">
            <v>0.220472784195613</v>
          </cell>
          <cell r="S1362" t="e">
            <v>#VALUE!</v>
          </cell>
          <cell r="T1362" t="e">
            <v>#VALUE!</v>
          </cell>
        </row>
        <row r="1363">
          <cell r="A1363" t="str">
            <v>10945Z2E4G</v>
          </cell>
          <cell r="B1363" t="str">
            <v>MKP000631000776</v>
          </cell>
          <cell r="C1363" t="str">
            <v/>
          </cell>
          <cell r="D1363" t="str">
            <v>Guarda-Roupa Solteiro Madesa Dallas Plus 2 Portas de Correr de Espelho 4 Gavetas Rustic</v>
          </cell>
          <cell r="E1363" t="str">
            <v>DALLAS PLUS</v>
          </cell>
          <cell r="F1363" t="str">
            <v>QUARTO</v>
          </cell>
          <cell r="G1363" t="str">
            <v/>
          </cell>
          <cell r="H1363">
            <v>1459.99</v>
          </cell>
          <cell r="I1363">
            <v>1199.92</v>
          </cell>
          <cell r="J1363">
            <v>912.43899999999996</v>
          </cell>
          <cell r="K1363">
            <v>0</v>
          </cell>
          <cell r="L1363">
            <v>912.43899999999996</v>
          </cell>
          <cell r="M1363">
            <v>0</v>
          </cell>
          <cell r="N1363">
            <v>1199.92</v>
          </cell>
          <cell r="O1363" t="str">
            <v/>
          </cell>
          <cell r="P1363">
            <v>0</v>
          </cell>
          <cell r="Q1363">
            <v>0.315068733361901</v>
          </cell>
          <cell r="R1363">
            <v>0.315068733361901</v>
          </cell>
          <cell r="S1363" t="e">
            <v>#VALUE!</v>
          </cell>
          <cell r="T1363" t="e">
            <v>#VALUE!</v>
          </cell>
        </row>
        <row r="1364">
          <cell r="A1364" t="str">
            <v>MDJA0600777KSIM</v>
          </cell>
          <cell r="B1364" t="str">
            <v>MKP000631000828</v>
          </cell>
          <cell r="C1364" t="str">
            <v/>
          </cell>
          <cell r="D1364" t="str">
            <v>Conjunto Sala de Jantar Madesa Daniela Mesa Tampo de Madeira com 6 Cadeiras Rustic/Preto/Imperial</v>
          </cell>
          <cell r="E1364" t="str">
            <v>DANIELA</v>
          </cell>
          <cell r="F1364" t="str">
            <v>SALA DE JANTAR</v>
          </cell>
          <cell r="G1364">
            <v>4254</v>
          </cell>
          <cell r="H1364">
            <v>1749.99</v>
          </cell>
          <cell r="I1364">
            <v>1649.99</v>
          </cell>
          <cell r="J1364">
            <v>1305.8308999999999</v>
          </cell>
          <cell r="K1364">
            <v>0</v>
          </cell>
          <cell r="L1364">
            <v>1305.8308999999999</v>
          </cell>
          <cell r="M1364">
            <v>0</v>
          </cell>
          <cell r="N1364">
            <v>1649.99</v>
          </cell>
          <cell r="O1364" t="str">
            <v/>
          </cell>
          <cell r="P1364">
            <v>0</v>
          </cell>
          <cell r="Q1364">
            <v>0.26355564108645302</v>
          </cell>
          <cell r="R1364">
            <v>0.26355564108645302</v>
          </cell>
          <cell r="S1364" t="e">
            <v>#VALUE!</v>
          </cell>
          <cell r="T1364" t="e">
            <v>#VALUE!</v>
          </cell>
        </row>
        <row r="1365">
          <cell r="A1365" t="str">
            <v>GREM2290077K</v>
          </cell>
          <cell r="B1365" t="str">
            <v>MKP000631005167</v>
          </cell>
          <cell r="C1365" t="str">
            <v/>
          </cell>
          <cell r="D1365" t="str">
            <v>Armário de Cozinha Completa 229cm Rustic/Preto Emilly Madesa 07</v>
          </cell>
          <cell r="E1365" t="str">
            <v>EMILLY</v>
          </cell>
          <cell r="F1365" t="str">
            <v>COZINHA</v>
          </cell>
          <cell r="G1365" t="str">
            <v/>
          </cell>
          <cell r="H1365">
            <v>1239.99</v>
          </cell>
          <cell r="I1365">
            <v>1139.99</v>
          </cell>
          <cell r="J1365">
            <v>914.24839999999995</v>
          </cell>
          <cell r="K1365">
            <v>0</v>
          </cell>
          <cell r="L1365">
            <v>914.24839999999995</v>
          </cell>
          <cell r="M1365">
            <v>0</v>
          </cell>
          <cell r="N1365">
            <v>1139.99</v>
          </cell>
          <cell r="O1365" t="str">
            <v/>
          </cell>
          <cell r="P1365">
            <v>0</v>
          </cell>
          <cell r="Q1365">
            <v>0.24691495221648699</v>
          </cell>
          <cell r="R1365">
            <v>0.24691495221648699</v>
          </cell>
          <cell r="S1365" t="e">
            <v>#VALUE!</v>
          </cell>
          <cell r="T1365" t="e">
            <v>#VALUE!</v>
          </cell>
        </row>
        <row r="1366">
          <cell r="A1366" t="str">
            <v>GRRM25000209</v>
          </cell>
          <cell r="B1366" t="str">
            <v>MKP000631002233</v>
          </cell>
          <cell r="C1366" t="str">
            <v/>
          </cell>
          <cell r="D1366" t="str">
            <v>Armário de Cozinha Completa 250cm Branco Reims Madesa 02</v>
          </cell>
          <cell r="E1366" t="str">
            <v>REIMS</v>
          </cell>
          <cell r="F1366" t="str">
            <v>COZINHA</v>
          </cell>
          <cell r="G1366" t="str">
            <v/>
          </cell>
          <cell r="H1366">
            <v>2059.9899999999998</v>
          </cell>
          <cell r="I1366">
            <v>1299.92</v>
          </cell>
          <cell r="J1366">
            <v>1052.8527999999999</v>
          </cell>
          <cell r="K1366">
            <v>0</v>
          </cell>
          <cell r="L1366">
            <v>1052.8527999999999</v>
          </cell>
          <cell r="M1366">
            <v>0</v>
          </cell>
          <cell r="N1366">
            <v>1299.92</v>
          </cell>
          <cell r="O1366" t="str">
            <v/>
          </cell>
          <cell r="P1366">
            <v>0</v>
          </cell>
          <cell r="Q1366">
            <v>0.234664522903866</v>
          </cell>
          <cell r="R1366">
            <v>0.234664522903866</v>
          </cell>
          <cell r="S1366" t="e">
            <v>#VALUE!</v>
          </cell>
          <cell r="T1366" t="e">
            <v>#VALUE!</v>
          </cell>
        </row>
        <row r="1367">
          <cell r="A1367" t="str">
            <v>G258049NLX</v>
          </cell>
          <cell r="B1367" t="str">
            <v>MKP000631002700</v>
          </cell>
          <cell r="C1367" t="str">
            <v/>
          </cell>
          <cell r="D1367" t="str">
            <v>Armário Aéreo Madesa Lux 80 cm 1 Porta Basculante Rustic/Cinza</v>
          </cell>
          <cell r="E1367" t="str">
            <v>LUX</v>
          </cell>
          <cell r="F1367" t="str">
            <v>MODULAÇÃO</v>
          </cell>
          <cell r="G1367" t="str">
            <v/>
          </cell>
          <cell r="H1367">
            <v>779.99</v>
          </cell>
          <cell r="I1367">
            <v>449.99</v>
          </cell>
          <cell r="J1367">
            <v>259.15839999999997</v>
          </cell>
          <cell r="K1367">
            <v>0</v>
          </cell>
          <cell r="L1367">
            <v>259.15839999999997</v>
          </cell>
          <cell r="M1367">
            <v>0</v>
          </cell>
          <cell r="N1367">
            <v>449.99</v>
          </cell>
          <cell r="O1367" t="str">
            <v>LOJA</v>
          </cell>
          <cell r="P1367">
            <v>439.99</v>
          </cell>
          <cell r="Q1367">
            <v>0.73635120451430502</v>
          </cell>
          <cell r="R1367">
            <v>0.73635120451430502</v>
          </cell>
          <cell r="S1367" t="e">
            <v>#VALUE!</v>
          </cell>
          <cell r="T1367" t="e">
            <v>#VALUE!</v>
          </cell>
        </row>
        <row r="1368">
          <cell r="A1368" t="str">
            <v>GRTP26000109</v>
          </cell>
          <cell r="B1368" t="str">
            <v>MKP000631004958</v>
          </cell>
          <cell r="C1368" t="str">
            <v/>
          </cell>
          <cell r="D1368" t="str">
            <v>Armário de Cozinha Completa 260cm Branco Topazio Madesa 01</v>
          </cell>
          <cell r="E1368" t="str">
            <v>TOPÁZIO</v>
          </cell>
          <cell r="F1368" t="str">
            <v>COZINHA</v>
          </cell>
          <cell r="G1368" t="str">
            <v/>
          </cell>
          <cell r="H1368">
            <v>1199.99</v>
          </cell>
          <cell r="I1368">
            <v>1199.99</v>
          </cell>
          <cell r="J1368">
            <v>994.45060000000001</v>
          </cell>
          <cell r="K1368">
            <v>0</v>
          </cell>
          <cell r="L1368">
            <v>994.45060000000001</v>
          </cell>
          <cell r="M1368">
            <v>0</v>
          </cell>
          <cell r="N1368">
            <v>1199.99</v>
          </cell>
          <cell r="O1368" t="str">
            <v/>
          </cell>
          <cell r="P1368">
            <v>0</v>
          </cell>
          <cell r="Q1368">
            <v>0.20668638542729001</v>
          </cell>
          <cell r="R1368">
            <v>0.20668638542729001</v>
          </cell>
          <cell r="S1368" t="e">
            <v>#VALUE!</v>
          </cell>
          <cell r="T1368" t="e">
            <v>#VALUE!</v>
          </cell>
        </row>
        <row r="1369">
          <cell r="A1369" t="str">
            <v>G20086095ZRF</v>
          </cell>
          <cell r="B1369" t="str">
            <v>MKP000631001046</v>
          </cell>
          <cell r="C1369" t="str">
            <v/>
          </cell>
          <cell r="D1369" t="str">
            <v>Armário de Cozinha Compacta 180cm Branco/Rustic Diamante Madesa 86</v>
          </cell>
          <cell r="E1369" t="str">
            <v>DIAMANTE</v>
          </cell>
          <cell r="F1369" t="str">
            <v>COZINHA</v>
          </cell>
          <cell r="G1369" t="str">
            <v/>
          </cell>
          <cell r="H1369">
            <v>1519.99</v>
          </cell>
          <cell r="I1369">
            <v>999.99</v>
          </cell>
          <cell r="J1369">
            <v>813.4452</v>
          </cell>
          <cell r="K1369">
            <v>0</v>
          </cell>
          <cell r="L1369">
            <v>813.4452</v>
          </cell>
          <cell r="M1369">
            <v>0</v>
          </cell>
          <cell r="N1369">
            <v>999.99</v>
          </cell>
          <cell r="O1369" t="str">
            <v/>
          </cell>
          <cell r="P1369">
            <v>0</v>
          </cell>
          <cell r="Q1369">
            <v>0.22932681881951</v>
          </cell>
          <cell r="R1369">
            <v>0.22932681881951</v>
          </cell>
          <cell r="S1369" t="e">
            <v>#VALUE!</v>
          </cell>
          <cell r="T1369" t="e">
            <v>#VALUE!</v>
          </cell>
        </row>
        <row r="1370">
          <cell r="A1370" t="str">
            <v>52585Z1B</v>
          </cell>
          <cell r="B1370" t="str">
            <v>MKP000631000111</v>
          </cell>
          <cell r="C1370" t="str">
            <v/>
          </cell>
          <cell r="D1370" t="str">
            <v>Mesa de Jantar Madesa Retangular Tampo de Madeira 5258B Rustic</v>
          </cell>
          <cell r="E1370">
            <v>5258</v>
          </cell>
          <cell r="F1370" t="str">
            <v>SALA DE JANTAR</v>
          </cell>
          <cell r="G1370" t="str">
            <v/>
          </cell>
          <cell r="H1370">
            <v>689.99</v>
          </cell>
          <cell r="I1370">
            <v>249.99</v>
          </cell>
          <cell r="J1370">
            <v>170.93379999999999</v>
          </cell>
          <cell r="K1370">
            <v>0</v>
          </cell>
          <cell r="L1370">
            <v>170.93379999999999</v>
          </cell>
          <cell r="M1370">
            <v>0</v>
          </cell>
          <cell r="N1370">
            <v>249.99</v>
          </cell>
          <cell r="O1370" t="str">
            <v/>
          </cell>
          <cell r="P1370">
            <v>0</v>
          </cell>
          <cell r="Q1370">
            <v>0.462496007226189</v>
          </cell>
          <cell r="R1370">
            <v>0.462496007226189</v>
          </cell>
          <cell r="S1370" t="e">
            <v>#VALUE!</v>
          </cell>
          <cell r="T1370" t="e">
            <v>#VALUE!</v>
          </cell>
        </row>
        <row r="1371">
          <cell r="A1371" t="str">
            <v>1097D82E</v>
          </cell>
          <cell r="B1371" t="str">
            <v>MKP000631002485</v>
          </cell>
          <cell r="C1371" t="str">
            <v/>
          </cell>
          <cell r="D1371" t="str">
            <v>Guarda-Roupa Solteiro Madesa Tokio 2 Portas de Correr de Espelho 2 Gavetas Preto/Rustic</v>
          </cell>
          <cell r="E1371" t="str">
            <v>TOKIO</v>
          </cell>
          <cell r="F1371" t="str">
            <v>QUARTO</v>
          </cell>
          <cell r="G1371" t="str">
            <v/>
          </cell>
          <cell r="H1371">
            <v>1759.99</v>
          </cell>
          <cell r="I1371">
            <v>1049.92</v>
          </cell>
          <cell r="J1371">
            <v>869.96169999999995</v>
          </cell>
          <cell r="K1371">
            <v>0</v>
          </cell>
          <cell r="L1371">
            <v>869.96169999999995</v>
          </cell>
          <cell r="M1371">
            <v>0</v>
          </cell>
          <cell r="N1371">
            <v>1049.92</v>
          </cell>
          <cell r="O1371" t="str">
            <v/>
          </cell>
          <cell r="P1371">
            <v>0</v>
          </cell>
          <cell r="Q1371">
            <v>0.20685772718500101</v>
          </cell>
          <cell r="R1371">
            <v>0.20685772718500101</v>
          </cell>
          <cell r="S1371" t="e">
            <v>#VALUE!</v>
          </cell>
          <cell r="T1371" t="e">
            <v>#VALUE!</v>
          </cell>
        </row>
        <row r="1372">
          <cell r="A1372" t="str">
            <v>GRRM320001D8</v>
          </cell>
          <cell r="B1372" t="str">
            <v>MKP000631001839</v>
          </cell>
          <cell r="C1372" t="str">
            <v/>
          </cell>
          <cell r="D1372" t="str">
            <v>Armário de Cozinha Completa 320cm Preto Reims Madesa 01</v>
          </cell>
          <cell r="E1372" t="str">
            <v>REIMS</v>
          </cell>
          <cell r="F1372" t="str">
            <v>COZINHA</v>
          </cell>
          <cell r="G1372" t="str">
            <v/>
          </cell>
          <cell r="H1372">
            <v>1919.99</v>
          </cell>
          <cell r="I1372">
            <v>1819.99</v>
          </cell>
          <cell r="J1372">
            <v>1443.0509999999999</v>
          </cell>
          <cell r="K1372">
            <v>0</v>
          </cell>
          <cell r="L1372">
            <v>1443.0509999999999</v>
          </cell>
          <cell r="M1372">
            <v>0</v>
          </cell>
          <cell r="N1372">
            <v>1819.99</v>
          </cell>
          <cell r="O1372" t="str">
            <v>MADEIRAMADEIRA</v>
          </cell>
          <cell r="P1372">
            <v>1759.99</v>
          </cell>
          <cell r="Q1372">
            <v>0.26120975627333998</v>
          </cell>
          <cell r="R1372">
            <v>0.26120975627333998</v>
          </cell>
          <cell r="S1372" t="e">
            <v>#VALUE!</v>
          </cell>
          <cell r="T1372" t="e">
            <v>#VALUE!</v>
          </cell>
        </row>
        <row r="1373">
          <cell r="A1373" t="str">
            <v>10445ZAML</v>
          </cell>
          <cell r="B1373" t="str">
            <v>MKP000631000950</v>
          </cell>
          <cell r="C1373" t="str">
            <v/>
          </cell>
          <cell r="D1373" t="str">
            <v>Guarda-Roupa Infantil Madesa Nick 2 Portas de Correr Rustic</v>
          </cell>
          <cell r="E1373" t="str">
            <v>NICK</v>
          </cell>
          <cell r="F1373" t="str">
            <v>QUARTO</v>
          </cell>
          <cell r="G1373" t="str">
            <v/>
          </cell>
          <cell r="H1373">
            <v>969.99</v>
          </cell>
          <cell r="I1373">
            <v>719.92</v>
          </cell>
          <cell r="J1373">
            <v>568.91459999999995</v>
          </cell>
          <cell r="K1373">
            <v>0</v>
          </cell>
          <cell r="L1373">
            <v>568.91459999999995</v>
          </cell>
          <cell r="M1373">
            <v>0</v>
          </cell>
          <cell r="N1373">
            <v>719.92</v>
          </cell>
          <cell r="O1373" t="str">
            <v/>
          </cell>
          <cell r="P1373">
            <v>0</v>
          </cell>
          <cell r="Q1373">
            <v>0.26542718362299</v>
          </cell>
          <cell r="R1373">
            <v>0.26542718362299</v>
          </cell>
          <cell r="S1373" t="e">
            <v>#VALUE!</v>
          </cell>
          <cell r="T1373" t="e">
            <v>#VALUE!</v>
          </cell>
        </row>
        <row r="1374">
          <cell r="A1374" t="str">
            <v>GCRM3920018N</v>
          </cell>
          <cell r="B1374" t="str">
            <v>MKP000631002539</v>
          </cell>
          <cell r="C1374" t="str">
            <v/>
          </cell>
          <cell r="D1374" t="str">
            <v>Armário de Cozinha Completa de Canto 392cm Preto Reims Madesa 01</v>
          </cell>
          <cell r="E1374" t="str">
            <v>REIMS</v>
          </cell>
          <cell r="F1374" t="str">
            <v>COZINHA</v>
          </cell>
          <cell r="G1374" t="str">
            <v/>
          </cell>
          <cell r="H1374">
            <v>3269.99</v>
          </cell>
          <cell r="I1374">
            <v>1859.92</v>
          </cell>
          <cell r="J1374">
            <v>1513.1925000000001</v>
          </cell>
          <cell r="K1374">
            <v>0</v>
          </cell>
          <cell r="L1374">
            <v>1513.1925000000001</v>
          </cell>
          <cell r="M1374">
            <v>0</v>
          </cell>
          <cell r="N1374">
            <v>1859.92</v>
          </cell>
          <cell r="O1374" t="str">
            <v/>
          </cell>
          <cell r="P1374">
            <v>0</v>
          </cell>
          <cell r="Q1374">
            <v>0.229136411923797</v>
          </cell>
          <cell r="R1374">
            <v>0.229136411923797</v>
          </cell>
          <cell r="S1374" t="e">
            <v>#VALUE!</v>
          </cell>
          <cell r="T1374" t="e">
            <v>#VALUE!</v>
          </cell>
        </row>
        <row r="1375">
          <cell r="A1375" t="str">
            <v>GRGL290001A5</v>
          </cell>
          <cell r="B1375" t="str">
            <v>MKP000631000228</v>
          </cell>
          <cell r="C1375" t="str">
            <v/>
          </cell>
          <cell r="D1375" t="str">
            <v>Armário de Cozinha Completa 290cm Branco/Branco/Crema Vicenza Madesa 01</v>
          </cell>
          <cell r="E1375" t="str">
            <v>VICENZA/GLAMY</v>
          </cell>
          <cell r="F1375" t="str">
            <v>COZINHA</v>
          </cell>
          <cell r="G1375" t="str">
            <v/>
          </cell>
          <cell r="H1375">
            <v>2599.9899999999998</v>
          </cell>
          <cell r="I1375">
            <v>2499.9899999999998</v>
          </cell>
          <cell r="J1375">
            <v>2094.1842999999999</v>
          </cell>
          <cell r="K1375">
            <v>0</v>
          </cell>
          <cell r="L1375">
            <v>2094.1842999999999</v>
          </cell>
          <cell r="M1375">
            <v>0</v>
          </cell>
          <cell r="N1375">
            <v>2499.9899999999998</v>
          </cell>
          <cell r="O1375" t="str">
            <v/>
          </cell>
          <cell r="P1375">
            <v>0</v>
          </cell>
          <cell r="Q1375">
            <v>0.193777453111457</v>
          </cell>
          <cell r="R1375">
            <v>0.193777453111457</v>
          </cell>
          <cell r="S1375" t="e">
            <v>#VALUE!</v>
          </cell>
          <cell r="T1375" t="e">
            <v>#VALUE!</v>
          </cell>
        </row>
        <row r="1376">
          <cell r="A1376" t="str">
            <v>1093D81E2G</v>
          </cell>
          <cell r="B1376" t="str">
            <v>MKP000631002220</v>
          </cell>
          <cell r="C1376" t="str">
            <v/>
          </cell>
          <cell r="D1376" t="str">
            <v>Guarda-Roupa Casal Madesa Lyon 3 Portas de Correr com Espelho 2 Gavetas Preto/Rustic</v>
          </cell>
          <cell r="E1376" t="str">
            <v>LYON</v>
          </cell>
          <cell r="F1376" t="str">
            <v>QUARTO</v>
          </cell>
          <cell r="G1376" t="str">
            <v/>
          </cell>
          <cell r="H1376">
            <v>1319.99</v>
          </cell>
          <cell r="I1376">
            <v>1059.92</v>
          </cell>
          <cell r="J1376">
            <v>839.51800000000003</v>
          </cell>
          <cell r="K1376">
            <v>0</v>
          </cell>
          <cell r="L1376">
            <v>839.51800000000003</v>
          </cell>
          <cell r="M1376">
            <v>0</v>
          </cell>
          <cell r="N1376">
            <v>1059.92</v>
          </cell>
          <cell r="O1376" t="str">
            <v/>
          </cell>
          <cell r="P1376">
            <v>0</v>
          </cell>
          <cell r="Q1376">
            <v>0.26253397783013599</v>
          </cell>
          <cell r="R1376">
            <v>0.26253397783013599</v>
          </cell>
          <cell r="S1376" t="e">
            <v>#VALUE!</v>
          </cell>
          <cell r="T1376" t="e">
            <v>#VALUE!</v>
          </cell>
        </row>
        <row r="1377">
          <cell r="A1377" t="str">
            <v>MDJA0400417GSIM</v>
          </cell>
          <cell r="B1377" t="str">
            <v>MKP000631000870</v>
          </cell>
          <cell r="C1377" t="str">
            <v/>
          </cell>
          <cell r="D1377" t="str">
            <v>Conjunto Sala de Jantar Madesa Ingrid Mesa Tampo de Madeira com 4 Cadeiras Rustic/Crema/Imperial</v>
          </cell>
          <cell r="E1377" t="str">
            <v>INGRID</v>
          </cell>
          <cell r="F1377" t="str">
            <v>SALA DE JANTAR</v>
          </cell>
          <cell r="G1377">
            <v>4254</v>
          </cell>
          <cell r="H1377">
            <v>1339.99</v>
          </cell>
          <cell r="I1377">
            <v>1239.99</v>
          </cell>
          <cell r="J1377">
            <v>974.86329999999998</v>
          </cell>
          <cell r="K1377">
            <v>0</v>
          </cell>
          <cell r="L1377">
            <v>974.86329999999998</v>
          </cell>
          <cell r="M1377">
            <v>0</v>
          </cell>
          <cell r="N1377">
            <v>1239.99</v>
          </cell>
          <cell r="O1377" t="str">
            <v/>
          </cell>
          <cell r="P1377">
            <v>0</v>
          </cell>
          <cell r="Q1377">
            <v>0.27196295111324797</v>
          </cell>
          <cell r="R1377">
            <v>0.27196295111324797</v>
          </cell>
          <cell r="S1377" t="e">
            <v>#VALUE!</v>
          </cell>
          <cell r="T1377" t="e">
            <v>#VALUE!</v>
          </cell>
        </row>
        <row r="1378">
          <cell r="A1378" t="str">
            <v>MDJA060136F9SL</v>
          </cell>
          <cell r="B1378" t="str">
            <v>MKP000631005292</v>
          </cell>
          <cell r="C1378" t="str">
            <v/>
          </cell>
          <cell r="D1378" t="str">
            <v>Conjunto Sala de Jantar Mesa Tampo de Vidro 6 Cadeiras Rustic/Cinza/Silver Alexis Madesa</v>
          </cell>
          <cell r="E1378" t="str">
            <v>ALEXIS</v>
          </cell>
          <cell r="F1378" t="str">
            <v>SALA DE JANTAR</v>
          </cell>
          <cell r="G1378">
            <v>4255</v>
          </cell>
          <cell r="H1378">
            <v>1949.99</v>
          </cell>
          <cell r="I1378">
            <v>1679.99</v>
          </cell>
          <cell r="J1378">
            <v>1296.7293999999999</v>
          </cell>
          <cell r="K1378">
            <v>0</v>
          </cell>
          <cell r="L1378">
            <v>1296.7293999999999</v>
          </cell>
          <cell r="M1378">
            <v>0</v>
          </cell>
          <cell r="N1378">
            <v>1679.99</v>
          </cell>
          <cell r="O1378" t="str">
            <v>LOJA</v>
          </cell>
          <cell r="P1378">
            <v>1759.99</v>
          </cell>
          <cell r="Q1378">
            <v>0.29555942820452702</v>
          </cell>
          <cell r="R1378">
            <v>0.29555942820452702</v>
          </cell>
          <cell r="S1378" t="e">
            <v>#VALUE!</v>
          </cell>
          <cell r="T1378" t="e">
            <v>#VALUE!</v>
          </cell>
        </row>
        <row r="1379">
          <cell r="A1379" t="str">
            <v>10186E2E</v>
          </cell>
          <cell r="B1379" t="str">
            <v>MKP000631002383</v>
          </cell>
          <cell r="C1379" t="str">
            <v/>
          </cell>
          <cell r="D1379" t="str">
            <v>Guarda-Roupa Casal Madesa Kansas 3 Portas de Correr com Espelhos 3 Gavetas Rustic/Branco</v>
          </cell>
          <cell r="E1379" t="str">
            <v>KANSAS</v>
          </cell>
          <cell r="F1379" t="str">
            <v>QUARTO</v>
          </cell>
          <cell r="G1379" t="str">
            <v/>
          </cell>
          <cell r="H1379">
            <v>2009.99</v>
          </cell>
          <cell r="I1379">
            <v>1679.92</v>
          </cell>
          <cell r="J1379">
            <v>1403.7782999999999</v>
          </cell>
          <cell r="K1379">
            <v>0</v>
          </cell>
          <cell r="L1379">
            <v>1403.7782999999999</v>
          </cell>
          <cell r="M1379">
            <v>0</v>
          </cell>
          <cell r="N1379">
            <v>1679.92</v>
          </cell>
          <cell r="O1379" t="str">
            <v/>
          </cell>
          <cell r="P1379">
            <v>0</v>
          </cell>
          <cell r="Q1379">
            <v>0.19671318469590299</v>
          </cell>
          <cell r="R1379">
            <v>0.19671318469590299</v>
          </cell>
          <cell r="S1379" t="e">
            <v>#VALUE!</v>
          </cell>
          <cell r="T1379" t="e">
            <v>#VALUE!</v>
          </cell>
        </row>
        <row r="1380">
          <cell r="A1380" t="str">
            <v>1097D8</v>
          </cell>
          <cell r="B1380" t="str">
            <v>MKP000631002473</v>
          </cell>
          <cell r="C1380" t="str">
            <v/>
          </cell>
          <cell r="D1380" t="str">
            <v>Guarda-Roupa Solteiro Madesa Tokio 2 Portas de Correr 2 Gavetas Preto/Rustic</v>
          </cell>
          <cell r="E1380" t="str">
            <v>TOKIO</v>
          </cell>
          <cell r="F1380" t="str">
            <v>QUARTO</v>
          </cell>
          <cell r="G1380" t="str">
            <v/>
          </cell>
          <cell r="H1380">
            <v>1399.99</v>
          </cell>
          <cell r="I1380">
            <v>769.92</v>
          </cell>
          <cell r="J1380">
            <v>630.83749999999998</v>
          </cell>
          <cell r="K1380">
            <v>0</v>
          </cell>
          <cell r="L1380">
            <v>630.83749999999998</v>
          </cell>
          <cell r="M1380">
            <v>0</v>
          </cell>
          <cell r="N1380">
            <v>769.92</v>
          </cell>
          <cell r="O1380" t="str">
            <v/>
          </cell>
          <cell r="P1380">
            <v>0</v>
          </cell>
          <cell r="Q1380">
            <v>0.220472784195613</v>
          </cell>
          <cell r="R1380">
            <v>0.220472784195613</v>
          </cell>
          <cell r="S1380" t="e">
            <v>#VALUE!</v>
          </cell>
          <cell r="T1380" t="e">
            <v>#VALUE!</v>
          </cell>
        </row>
        <row r="1381">
          <cell r="A1381" t="str">
            <v>GRRM26000209</v>
          </cell>
          <cell r="B1381" t="str">
            <v>MKP000631002181</v>
          </cell>
          <cell r="C1381" t="str">
            <v/>
          </cell>
          <cell r="D1381" t="str">
            <v>Armário de Cozinha Completa 260cm Branco Reims Madesa 02</v>
          </cell>
          <cell r="E1381" t="str">
            <v>REIMS</v>
          </cell>
          <cell r="F1381" t="str">
            <v>COZINHA</v>
          </cell>
          <cell r="G1381" t="str">
            <v/>
          </cell>
          <cell r="H1381">
            <v>2439.9899999999998</v>
          </cell>
          <cell r="I1381">
            <v>1669.99</v>
          </cell>
          <cell r="J1381">
            <v>1301.0676000000001</v>
          </cell>
          <cell r="K1381">
            <v>0</v>
          </cell>
          <cell r="L1381">
            <v>1301.0676000000001</v>
          </cell>
          <cell r="M1381">
            <v>0</v>
          </cell>
          <cell r="N1381">
            <v>1669.99</v>
          </cell>
          <cell r="O1381" t="str">
            <v>MAGALU</v>
          </cell>
          <cell r="P1381">
            <v>1557.88</v>
          </cell>
          <cell r="Q1381">
            <v>0.28355359859856599</v>
          </cell>
          <cell r="R1381">
            <v>0.28355359859856599</v>
          </cell>
          <cell r="S1381" t="e">
            <v>#VALUE!</v>
          </cell>
          <cell r="T1381" t="e">
            <v>#VALUE!</v>
          </cell>
        </row>
        <row r="1382">
          <cell r="A1382" t="str">
            <v>53245Z2</v>
          </cell>
          <cell r="B1382" t="str">
            <v>MKP000631004567</v>
          </cell>
          <cell r="C1382" t="str">
            <v/>
          </cell>
          <cell r="D1382" t="str">
            <v>Mesa de Jantar Redonda Madesa 5324 com Tampo de Vidro Rustic</v>
          </cell>
          <cell r="E1382">
            <v>5324</v>
          </cell>
          <cell r="F1382" t="str">
            <v>SALA DE JANTAR</v>
          </cell>
          <cell r="G1382" t="str">
            <v/>
          </cell>
          <cell r="H1382">
            <v>639.99</v>
          </cell>
          <cell r="I1382">
            <v>359.99</v>
          </cell>
          <cell r="J1382">
            <v>275.03969999999998</v>
          </cell>
          <cell r="K1382">
            <v>0</v>
          </cell>
          <cell r="L1382">
            <v>275.03969999999998</v>
          </cell>
          <cell r="M1382">
            <v>0</v>
          </cell>
          <cell r="N1382">
            <v>359.99</v>
          </cell>
          <cell r="O1382" t="str">
            <v/>
          </cell>
          <cell r="P1382">
            <v>0</v>
          </cell>
          <cell r="Q1382">
            <v>0.30886559285804899</v>
          </cell>
          <cell r="R1382">
            <v>0.30886559285804899</v>
          </cell>
          <cell r="S1382" t="e">
            <v>#VALUE!</v>
          </cell>
          <cell r="T1382" t="e">
            <v>#VALUE!</v>
          </cell>
        </row>
        <row r="1383">
          <cell r="A1383" t="str">
            <v>10945Z1E4G</v>
          </cell>
          <cell r="B1383" t="str">
            <v>MKP000631000777</v>
          </cell>
          <cell r="C1383" t="str">
            <v/>
          </cell>
          <cell r="D1383" t="str">
            <v>Guarda-Roupa Solteiro Madesa Dallas Plus 2 Portas de Correr com Espelho 4 Gavetas Rustic</v>
          </cell>
          <cell r="E1383" t="str">
            <v>DALLAS PLUS</v>
          </cell>
          <cell r="F1383" t="str">
            <v>QUARTO</v>
          </cell>
          <cell r="G1383" t="str">
            <v/>
          </cell>
          <cell r="H1383">
            <v>1259.99</v>
          </cell>
          <cell r="I1383">
            <v>959.92</v>
          </cell>
          <cell r="J1383">
            <v>782.51099999999997</v>
          </cell>
          <cell r="K1383">
            <v>0</v>
          </cell>
          <cell r="L1383">
            <v>782.51099999999997</v>
          </cell>
          <cell r="M1383">
            <v>0</v>
          </cell>
          <cell r="N1383">
            <v>959.92</v>
          </cell>
          <cell r="O1383" t="str">
            <v/>
          </cell>
          <cell r="P1383">
            <v>0</v>
          </cell>
          <cell r="Q1383">
            <v>0.22671757968897599</v>
          </cell>
          <cell r="R1383">
            <v>0.22671757968897599</v>
          </cell>
          <cell r="S1383" t="e">
            <v>#VALUE!</v>
          </cell>
          <cell r="T1383" t="e">
            <v>#VALUE!</v>
          </cell>
        </row>
        <row r="1384">
          <cell r="A1384" t="str">
            <v>XA1063093ECP</v>
          </cell>
          <cell r="B1384" t="str">
            <v>MKP000631001465</v>
          </cell>
          <cell r="C1384" t="str">
            <v/>
          </cell>
          <cell r="D1384" t="str">
            <v>Guarda-Roupa Infantil Madesa Logan 100% MDF 3 Portas de Correr de Espelho com Pés Branco</v>
          </cell>
          <cell r="E1384" t="str">
            <v>LOGAN</v>
          </cell>
          <cell r="F1384" t="str">
            <v>QUARTO</v>
          </cell>
          <cell r="G1384" t="str">
            <v/>
          </cell>
          <cell r="H1384">
            <v>3369.99</v>
          </cell>
          <cell r="I1384">
            <v>2659.92</v>
          </cell>
          <cell r="J1384">
            <v>2321.3184999999999</v>
          </cell>
          <cell r="K1384">
            <v>0</v>
          </cell>
          <cell r="L1384">
            <v>2321.3184999999999</v>
          </cell>
          <cell r="M1384">
            <v>0</v>
          </cell>
          <cell r="N1384">
            <v>2659.92</v>
          </cell>
          <cell r="O1384" t="str">
            <v/>
          </cell>
          <cell r="P1384">
            <v>0</v>
          </cell>
          <cell r="Q1384">
            <v>0.14586602398593701</v>
          </cell>
          <cell r="R1384">
            <v>0.14586602398593701</v>
          </cell>
          <cell r="S1384" t="e">
            <v>#VALUE!</v>
          </cell>
          <cell r="T1384" t="e">
            <v>#VALUE!</v>
          </cell>
        </row>
        <row r="1385">
          <cell r="A1385" t="str">
            <v>XAG200806E09</v>
          </cell>
          <cell r="B1385" t="str">
            <v>MKP000631003290</v>
          </cell>
          <cell r="C1385" t="str">
            <v/>
          </cell>
          <cell r="D1385" t="str">
            <v>Armário de Cozinha Compacta Madesa Reims com Balcão 5 Portas 3 Gavetas Branco</v>
          </cell>
          <cell r="E1385" t="str">
            <v>REIMS</v>
          </cell>
          <cell r="F1385" t="str">
            <v>COZINHA</v>
          </cell>
          <cell r="G1385" t="str">
            <v/>
          </cell>
          <cell r="H1385">
            <v>1359.99</v>
          </cell>
          <cell r="I1385">
            <v>1229.92</v>
          </cell>
          <cell r="J1385">
            <v>942.93719999999996</v>
          </cell>
          <cell r="K1385">
            <v>0</v>
          </cell>
          <cell r="L1385">
            <v>942.93719999999996</v>
          </cell>
          <cell r="M1385">
            <v>0</v>
          </cell>
          <cell r="N1385">
            <v>1229.92</v>
          </cell>
          <cell r="O1385" t="str">
            <v/>
          </cell>
          <cell r="P1385">
            <v>0</v>
          </cell>
          <cell r="Q1385">
            <v>0.304349854900199</v>
          </cell>
          <cell r="R1385">
            <v>0.304349854900199</v>
          </cell>
          <cell r="S1385" t="e">
            <v>#VALUE!</v>
          </cell>
          <cell r="T1385" t="e">
            <v>#VALUE!</v>
          </cell>
        </row>
        <row r="1386">
          <cell r="A1386" t="str">
            <v>MDJA0601347KSIM</v>
          </cell>
          <cell r="B1386" t="str">
            <v>MKP000631004931</v>
          </cell>
          <cell r="C1386" t="str">
            <v/>
          </cell>
          <cell r="D1386" t="str">
            <v>Conjunto Sala de Jantar Mesa Tampo de Vidro 6 Cadeiras Rustic/Preto/Imperial Geórgia Madesa</v>
          </cell>
          <cell r="E1386" t="str">
            <v>GEÓRGIA</v>
          </cell>
          <cell r="F1386" t="str">
            <v>SALA DE JANTAR</v>
          </cell>
          <cell r="G1386">
            <v>4256</v>
          </cell>
          <cell r="H1386">
            <v>1879.99</v>
          </cell>
          <cell r="I1386">
            <v>1779.99</v>
          </cell>
          <cell r="J1386">
            <v>1411.2447999999999</v>
          </cell>
          <cell r="K1386">
            <v>0</v>
          </cell>
          <cell r="L1386">
            <v>1411.2447999999999</v>
          </cell>
          <cell r="M1386">
            <v>0</v>
          </cell>
          <cell r="N1386">
            <v>1779.99</v>
          </cell>
          <cell r="O1386" t="str">
            <v/>
          </cell>
          <cell r="P1386">
            <v>0</v>
          </cell>
          <cell r="Q1386">
            <v>0.26129074133701002</v>
          </cell>
          <cell r="R1386">
            <v>0.26129074133701002</v>
          </cell>
          <cell r="S1386" t="e">
            <v>#VALUE!</v>
          </cell>
          <cell r="T1386" t="e">
            <v>#VALUE!</v>
          </cell>
        </row>
        <row r="1387">
          <cell r="A1387" t="str">
            <v>G221249RLX</v>
          </cell>
          <cell r="B1387" t="str">
            <v>MKP000631003551</v>
          </cell>
          <cell r="C1387" t="str">
            <v/>
          </cell>
          <cell r="D1387" t="str">
            <v>Balcão Gabinete de Pia Madesa Lux 120 cm 2 Portas 3 Gavetas (Sem Tampo) Branco/Cinza</v>
          </cell>
          <cell r="E1387" t="str">
            <v>LUX</v>
          </cell>
          <cell r="F1387" t="str">
            <v>MODULAÇÃO</v>
          </cell>
          <cell r="G1387" t="str">
            <v/>
          </cell>
          <cell r="H1387">
            <v>1659.99</v>
          </cell>
          <cell r="I1387">
            <v>1329.99</v>
          </cell>
          <cell r="J1387">
            <v>831.67</v>
          </cell>
          <cell r="K1387">
            <v>0</v>
          </cell>
          <cell r="L1387">
            <v>831.67</v>
          </cell>
          <cell r="M1387">
            <v>0</v>
          </cell>
          <cell r="N1387">
            <v>1329.99</v>
          </cell>
          <cell r="O1387" t="str">
            <v>LOJA</v>
          </cell>
          <cell r="P1387">
            <v>1319.99</v>
          </cell>
          <cell r="Q1387">
            <v>0.59917996320655997</v>
          </cell>
          <cell r="R1387">
            <v>0.59917996320655997</v>
          </cell>
          <cell r="S1387" t="e">
            <v>#VALUE!</v>
          </cell>
          <cell r="T1387" t="e">
            <v>#VALUE!</v>
          </cell>
        </row>
        <row r="1388">
          <cell r="A1388" t="str">
            <v>MDFC02000209</v>
          </cell>
          <cell r="B1388" t="str">
            <v>MKP000631002647</v>
          </cell>
          <cell r="C1388" t="str">
            <v/>
          </cell>
          <cell r="D1388" t="str">
            <v>Mesa para Computador Gamer Madesa 9409 e Painel para TV até 65 Polegadas Branco</v>
          </cell>
          <cell r="E1388" t="str">
            <v>GAMER</v>
          </cell>
          <cell r="F1388" t="str">
            <v>ESCRITÓRIO</v>
          </cell>
          <cell r="G1388" t="str">
            <v/>
          </cell>
          <cell r="H1388">
            <v>859.99</v>
          </cell>
          <cell r="I1388">
            <v>569.91999999999996</v>
          </cell>
          <cell r="J1388">
            <v>434.67020000000002</v>
          </cell>
          <cell r="K1388">
            <v>0</v>
          </cell>
          <cell r="L1388">
            <v>434.67020000000002</v>
          </cell>
          <cell r="M1388">
            <v>0</v>
          </cell>
          <cell r="N1388">
            <v>569.91999999999996</v>
          </cell>
          <cell r="O1388" t="str">
            <v/>
          </cell>
          <cell r="P1388">
            <v>0</v>
          </cell>
          <cell r="Q1388">
            <v>0.31115498601008301</v>
          </cell>
          <cell r="R1388">
            <v>0.31115498601008301</v>
          </cell>
          <cell r="S1388" t="e">
            <v>#VALUE!</v>
          </cell>
          <cell r="T1388" t="e">
            <v>#VALUE!</v>
          </cell>
        </row>
        <row r="1389">
          <cell r="A1389" t="str">
            <v>XC1063092E</v>
          </cell>
          <cell r="B1389" t="str">
            <v>MKP000631001429</v>
          </cell>
          <cell r="C1389" t="str">
            <v/>
          </cell>
          <cell r="D1389" t="str">
            <v>Guarda-Roupa Casal 100% MDF Madesa Zurique 3 Portas de Correr com Espelhos Branco</v>
          </cell>
          <cell r="E1389" t="str">
            <v>ZURIQUE</v>
          </cell>
          <cell r="F1389" t="str">
            <v>QUARTO</v>
          </cell>
          <cell r="G1389" t="str">
            <v/>
          </cell>
          <cell r="H1389">
            <v>3189.99</v>
          </cell>
          <cell r="I1389">
            <v>2479.9899999999998</v>
          </cell>
          <cell r="J1389">
            <v>2033.8746000000001</v>
          </cell>
          <cell r="K1389">
            <v>0</v>
          </cell>
          <cell r="L1389">
            <v>2033.8746000000001</v>
          </cell>
          <cell r="M1389">
            <v>0</v>
          </cell>
          <cell r="N1389">
            <v>2479.9899999999998</v>
          </cell>
          <cell r="O1389" t="str">
            <v>MADEIRAMADEIRA</v>
          </cell>
          <cell r="P1389">
            <v>2469.9899999999998</v>
          </cell>
          <cell r="Q1389">
            <v>0.219342628104997</v>
          </cell>
          <cell r="R1389">
            <v>0.219342628104997</v>
          </cell>
          <cell r="S1389" t="e">
            <v>#VALUE!</v>
          </cell>
          <cell r="T1389" t="e">
            <v>#VALUE!</v>
          </cell>
        </row>
        <row r="1390">
          <cell r="A1390" t="str">
            <v>70086E09PP</v>
          </cell>
          <cell r="B1390" t="str">
            <v>MKP000631001675</v>
          </cell>
          <cell r="C1390" t="str">
            <v/>
          </cell>
          <cell r="D1390" t="str">
            <v>Rack para TV até 65 Polegadas Madesa Cancun com Pés Rustic/Branco 6E09</v>
          </cell>
          <cell r="E1390" t="str">
            <v>CANCUN</v>
          </cell>
          <cell r="F1390" t="str">
            <v>SALA DE ESTAR</v>
          </cell>
          <cell r="G1390" t="str">
            <v/>
          </cell>
          <cell r="H1390">
            <v>459.99</v>
          </cell>
          <cell r="I1390">
            <v>359.99</v>
          </cell>
          <cell r="J1390">
            <v>271.62799999999999</v>
          </cell>
          <cell r="K1390">
            <v>0</v>
          </cell>
          <cell r="L1390">
            <v>271.62799999999999</v>
          </cell>
          <cell r="M1390">
            <v>0</v>
          </cell>
          <cell r="N1390">
            <v>359.99</v>
          </cell>
          <cell r="O1390" t="str">
            <v/>
          </cell>
          <cell r="P1390">
            <v>0</v>
          </cell>
          <cell r="Q1390">
            <v>0.32530519681328901</v>
          </cell>
          <cell r="R1390">
            <v>0.32530519681328901</v>
          </cell>
          <cell r="S1390" t="e">
            <v>#VALUE!</v>
          </cell>
          <cell r="T1390" t="e">
            <v>#VALUE!</v>
          </cell>
        </row>
        <row r="1391">
          <cell r="A1391" t="str">
            <v>GRNC3200053B</v>
          </cell>
          <cell r="B1391" t="str">
            <v>MKP000631005002</v>
          </cell>
          <cell r="C1391" t="str">
            <v/>
          </cell>
          <cell r="D1391" t="str">
            <v>Armário de Cozinha Completa Suspenso 320cm Cinza Nice Madesa 05</v>
          </cell>
          <cell r="E1391" t="str">
            <v>NICE</v>
          </cell>
          <cell r="F1391" t="str">
            <v>COZINHA</v>
          </cell>
          <cell r="G1391" t="str">
            <v/>
          </cell>
          <cell r="H1391">
            <v>2589.9899999999998</v>
          </cell>
          <cell r="I1391">
            <v>2249.92</v>
          </cell>
          <cell r="J1391">
            <v>1583.1487</v>
          </cell>
          <cell r="K1391">
            <v>0</v>
          </cell>
          <cell r="L1391">
            <v>1583.1487</v>
          </cell>
          <cell r="M1391">
            <v>0</v>
          </cell>
          <cell r="N1391">
            <v>2249.92</v>
          </cell>
          <cell r="O1391" t="str">
            <v/>
          </cell>
          <cell r="P1391">
            <v>0</v>
          </cell>
          <cell r="Q1391">
            <v>0.42116782839160999</v>
          </cell>
          <cell r="R1391">
            <v>0.42116782839160999</v>
          </cell>
          <cell r="S1391" t="e">
            <v>#VALUE!</v>
          </cell>
          <cell r="T1391" t="e">
            <v>#VALUE!</v>
          </cell>
        </row>
        <row r="1392">
          <cell r="A1392" t="str">
            <v>GRTP2400029B</v>
          </cell>
          <cell r="B1392" t="str">
            <v>MKP000631001052</v>
          </cell>
          <cell r="C1392" t="str">
            <v/>
          </cell>
          <cell r="D1392" t="str">
            <v>Armário de Cozinha Completa 240cm Branco/Rustic Diamante Madesa 02</v>
          </cell>
          <cell r="E1392" t="str">
            <v>DIAMANTE</v>
          </cell>
          <cell r="F1392" t="str">
            <v>COZINHA</v>
          </cell>
          <cell r="G1392" t="str">
            <v/>
          </cell>
          <cell r="H1392">
            <v>1759.99</v>
          </cell>
          <cell r="I1392">
            <v>1199.99</v>
          </cell>
          <cell r="J1392">
            <v>971.64779999999996</v>
          </cell>
          <cell r="K1392">
            <v>0</v>
          </cell>
          <cell r="L1392">
            <v>971.64779999999996</v>
          </cell>
          <cell r="M1392">
            <v>0</v>
          </cell>
          <cell r="N1392">
            <v>1199.99</v>
          </cell>
          <cell r="O1392" t="str">
            <v>B2W</v>
          </cell>
          <cell r="P1392">
            <v>1229.99</v>
          </cell>
          <cell r="Q1392">
            <v>0.235005111934592</v>
          </cell>
          <cell r="R1392">
            <v>0.235005111934592</v>
          </cell>
          <cell r="S1392" t="e">
            <v>#VALUE!</v>
          </cell>
          <cell r="T1392" t="e">
            <v>#VALUE!</v>
          </cell>
        </row>
        <row r="1393">
          <cell r="A1393" t="str">
            <v>10939B1E2G</v>
          </cell>
          <cell r="B1393" t="str">
            <v>MKP000631000813</v>
          </cell>
          <cell r="C1393" t="str">
            <v/>
          </cell>
          <cell r="D1393" t="str">
            <v>Guarda-Roupa Casal Madesa Lyon 3 Portas de Correr com Espelho 2 Gavetas Branco/Rustic</v>
          </cell>
          <cell r="E1393" t="str">
            <v>LYON</v>
          </cell>
          <cell r="F1393" t="str">
            <v>QUARTO</v>
          </cell>
          <cell r="G1393" t="str">
            <v/>
          </cell>
          <cell r="H1393">
            <v>1149.99</v>
          </cell>
          <cell r="I1393">
            <v>1049.99</v>
          </cell>
          <cell r="J1393">
            <v>839.51800000000003</v>
          </cell>
          <cell r="K1393">
            <v>0</v>
          </cell>
          <cell r="L1393">
            <v>839.51800000000003</v>
          </cell>
          <cell r="M1393">
            <v>0</v>
          </cell>
          <cell r="N1393">
            <v>1049.99</v>
          </cell>
          <cell r="O1393" t="str">
            <v/>
          </cell>
          <cell r="P1393">
            <v>0</v>
          </cell>
          <cell r="Q1393">
            <v>0.25070576211588103</v>
          </cell>
          <cell r="R1393">
            <v>0.25070576211588103</v>
          </cell>
          <cell r="S1393" t="e">
            <v>#VALUE!</v>
          </cell>
          <cell r="T1393" t="e">
            <v>#VALUE!</v>
          </cell>
        </row>
        <row r="1394">
          <cell r="A1394" t="str">
            <v>G2460009</v>
          </cell>
          <cell r="B1394" t="str">
            <v>MKP000631003406</v>
          </cell>
          <cell r="C1394" t="str">
            <v/>
          </cell>
          <cell r="D1394" t="str">
            <v>Balcão Madesa Acordes 100% MDF 60 cm 1 Porta Frente Branco Brilho</v>
          </cell>
          <cell r="E1394" t="str">
            <v>ACORDES</v>
          </cell>
          <cell r="F1394" t="str">
            <v>MODULAÇÃO</v>
          </cell>
          <cell r="G1394" t="str">
            <v/>
          </cell>
          <cell r="H1394">
            <v>859.99</v>
          </cell>
          <cell r="I1394">
            <v>449.99</v>
          </cell>
          <cell r="J1394">
            <v>290.9973</v>
          </cell>
          <cell r="K1394">
            <v>0</v>
          </cell>
          <cell r="L1394">
            <v>290.9973</v>
          </cell>
          <cell r="M1394">
            <v>0</v>
          </cell>
          <cell r="N1394">
            <v>449.99</v>
          </cell>
          <cell r="O1394" t="str">
            <v/>
          </cell>
          <cell r="P1394">
            <v>0</v>
          </cell>
          <cell r="Q1394">
            <v>0.546371736095146</v>
          </cell>
          <cell r="R1394">
            <v>0.546371736095146</v>
          </cell>
          <cell r="S1394" t="e">
            <v>#VALUE!</v>
          </cell>
          <cell r="T1394" t="e">
            <v>#VALUE!</v>
          </cell>
        </row>
        <row r="1395">
          <cell r="A1395" t="str">
            <v>XB1063093ECP</v>
          </cell>
          <cell r="B1395" t="str">
            <v>MKP000631001481</v>
          </cell>
          <cell r="C1395" t="str">
            <v/>
          </cell>
          <cell r="D1395" t="str">
            <v>Guarda-Roupa Juvenil 100% MDF Madesa Kevin 3 Portas de Correr de Espelho com Pés Branco</v>
          </cell>
          <cell r="E1395" t="str">
            <v>KEVIN</v>
          </cell>
          <cell r="F1395" t="str">
            <v>QUARTO</v>
          </cell>
          <cell r="G1395" t="str">
            <v/>
          </cell>
          <cell r="H1395">
            <v>3369.99</v>
          </cell>
          <cell r="I1395">
            <v>2659.92</v>
          </cell>
          <cell r="J1395">
            <v>2321.3184999999999</v>
          </cell>
          <cell r="K1395">
            <v>0</v>
          </cell>
          <cell r="L1395">
            <v>2321.3184999999999</v>
          </cell>
          <cell r="M1395">
            <v>0</v>
          </cell>
          <cell r="N1395">
            <v>2659.92</v>
          </cell>
          <cell r="O1395" t="str">
            <v/>
          </cell>
          <cell r="P1395">
            <v>0</v>
          </cell>
          <cell r="Q1395">
            <v>0.14586602398593701</v>
          </cell>
          <cell r="R1395">
            <v>0.14586602398593701</v>
          </cell>
          <cell r="S1395" t="e">
            <v>#VALUE!</v>
          </cell>
          <cell r="T1395" t="e">
            <v>#VALUE!</v>
          </cell>
        </row>
        <row r="1396">
          <cell r="A1396" t="str">
            <v>XC10639B1R</v>
          </cell>
          <cell r="B1396" t="str">
            <v>MKP000631001433</v>
          </cell>
          <cell r="C1396" t="str">
            <v/>
          </cell>
          <cell r="D1396" t="str">
            <v>Guarda-Roupa Casal 100% MDF Madesa Zurique 3 Portas de Correr Branco/Branco/Rustic</v>
          </cell>
          <cell r="E1396" t="str">
            <v>ZURIQUE</v>
          </cell>
          <cell r="F1396" t="str">
            <v>QUARTO</v>
          </cell>
          <cell r="G1396" t="str">
            <v/>
          </cell>
          <cell r="H1396">
            <v>2469.9899999999998</v>
          </cell>
          <cell r="I1396">
            <v>1829.92</v>
          </cell>
          <cell r="J1396">
            <v>1551.3534</v>
          </cell>
          <cell r="K1396">
            <v>0</v>
          </cell>
          <cell r="L1396">
            <v>1551.3534</v>
          </cell>
          <cell r="M1396">
            <v>0</v>
          </cell>
          <cell r="N1396">
            <v>1829.92</v>
          </cell>
          <cell r="O1396" t="str">
            <v/>
          </cell>
          <cell r="P1396">
            <v>0</v>
          </cell>
          <cell r="Q1396">
            <v>0.179563599112878</v>
          </cell>
          <cell r="R1396">
            <v>0.179563599112878</v>
          </cell>
          <cell r="S1396" t="e">
            <v>#VALUE!</v>
          </cell>
          <cell r="T1396" t="e">
            <v>#VALUE!</v>
          </cell>
        </row>
        <row r="1397">
          <cell r="A1397" t="str">
            <v>GRRM1900018N</v>
          </cell>
          <cell r="B1397" t="str">
            <v>MKP000631002186</v>
          </cell>
          <cell r="C1397" t="str">
            <v/>
          </cell>
          <cell r="D1397" t="str">
            <v>Armário de Cozinha Compacta 190cm Preto Reims Madesa 01</v>
          </cell>
          <cell r="E1397" t="str">
            <v>REIMS</v>
          </cell>
          <cell r="F1397" t="str">
            <v>COZINHA</v>
          </cell>
          <cell r="G1397" t="str">
            <v/>
          </cell>
          <cell r="H1397">
            <v>1169.99</v>
          </cell>
          <cell r="I1397">
            <v>1069.99</v>
          </cell>
          <cell r="J1397">
            <v>910.86940000000004</v>
          </cell>
          <cell r="K1397">
            <v>0</v>
          </cell>
          <cell r="L1397">
            <v>910.86940000000004</v>
          </cell>
          <cell r="M1397">
            <v>0</v>
          </cell>
          <cell r="N1397">
            <v>1069.99</v>
          </cell>
          <cell r="O1397" t="str">
            <v/>
          </cell>
          <cell r="P1397">
            <v>0</v>
          </cell>
          <cell r="Q1397">
            <v>0.17469090519453201</v>
          </cell>
          <cell r="R1397">
            <v>0.17469090519453201</v>
          </cell>
          <cell r="S1397" t="e">
            <v>#VALUE!</v>
          </cell>
          <cell r="T1397" t="e">
            <v>#VALUE!</v>
          </cell>
        </row>
        <row r="1398">
          <cell r="A1398" t="str">
            <v>104409A2EML</v>
          </cell>
          <cell r="B1398" t="str">
            <v>MKP000631000952</v>
          </cell>
          <cell r="C1398" t="str">
            <v/>
          </cell>
          <cell r="D1398" t="str">
            <v>Guarda-Roupa Infantil Madesa Nick 2 Portas de Correr de Espelho Branco</v>
          </cell>
          <cell r="E1398" t="str">
            <v>NICK</v>
          </cell>
          <cell r="F1398" t="str">
            <v>QUARTO</v>
          </cell>
          <cell r="G1398" t="str">
            <v/>
          </cell>
          <cell r="H1398">
            <v>1619.99</v>
          </cell>
          <cell r="I1398">
            <v>1029.92</v>
          </cell>
          <cell r="J1398">
            <v>845.73099999999999</v>
          </cell>
          <cell r="K1398">
            <v>0</v>
          </cell>
          <cell r="L1398">
            <v>845.73099999999999</v>
          </cell>
          <cell r="M1398">
            <v>0</v>
          </cell>
          <cell r="N1398">
            <v>1029.92</v>
          </cell>
          <cell r="O1398" t="str">
            <v/>
          </cell>
          <cell r="P1398">
            <v>0</v>
          </cell>
          <cell r="Q1398">
            <v>0.217786743066058</v>
          </cell>
          <cell r="R1398">
            <v>0.217786743066058</v>
          </cell>
          <cell r="S1398" t="e">
            <v>#VALUE!</v>
          </cell>
          <cell r="T1398" t="e">
            <v>#VALUE!</v>
          </cell>
        </row>
        <row r="1399">
          <cell r="A1399" t="str">
            <v>XAG241243BNC</v>
          </cell>
          <cell r="B1399" t="str">
            <v>MKP000631005974</v>
          </cell>
          <cell r="C1399" t="str">
            <v/>
          </cell>
          <cell r="D1399" t="str">
            <v>Balcão Gabinete de Pia Cozinha 3 Portas 1 Gaveta Suspenso Cinza Nice Madesa</v>
          </cell>
          <cell r="E1399" t="str">
            <v>NICE</v>
          </cell>
          <cell r="F1399" t="str">
            <v>MODULAÇÃO</v>
          </cell>
          <cell r="G1399" t="str">
            <v/>
          </cell>
          <cell r="H1399">
            <v>499.99</v>
          </cell>
          <cell r="I1399">
            <v>499.99</v>
          </cell>
          <cell r="J1399">
            <v>353.94479999999999</v>
          </cell>
          <cell r="K1399">
            <v>0</v>
          </cell>
          <cell r="L1399">
            <v>353.94479999999999</v>
          </cell>
          <cell r="M1399">
            <v>0</v>
          </cell>
          <cell r="N1399">
            <v>499.99</v>
          </cell>
          <cell r="O1399" t="str">
            <v/>
          </cell>
          <cell r="P1399">
            <v>0</v>
          </cell>
          <cell r="Q1399">
            <v>0.41262140311144502</v>
          </cell>
          <cell r="R1399">
            <v>0.41262140311144502</v>
          </cell>
          <cell r="S1399" t="e">
            <v>#VALUE!</v>
          </cell>
          <cell r="T1399" t="e">
            <v>#VALUE!</v>
          </cell>
        </row>
        <row r="1400">
          <cell r="A1400" t="str">
            <v>GRTP2600019B</v>
          </cell>
          <cell r="B1400" t="str">
            <v>MKP000631004959</v>
          </cell>
          <cell r="C1400" t="str">
            <v/>
          </cell>
          <cell r="D1400" t="str">
            <v>Armário de Cozinha Completa 260cm Branco/Rustic Topazio Madesa 01</v>
          </cell>
          <cell r="E1400" t="str">
            <v>TOPÁZIO</v>
          </cell>
          <cell r="F1400" t="str">
            <v>COZINHA</v>
          </cell>
          <cell r="G1400" t="str">
            <v/>
          </cell>
          <cell r="H1400">
            <v>1299.99</v>
          </cell>
          <cell r="I1400">
            <v>1199.99</v>
          </cell>
          <cell r="J1400">
            <v>994.45060000000001</v>
          </cell>
          <cell r="K1400">
            <v>0</v>
          </cell>
          <cell r="L1400">
            <v>994.45060000000001</v>
          </cell>
          <cell r="M1400">
            <v>0</v>
          </cell>
          <cell r="N1400">
            <v>1199.99</v>
          </cell>
          <cell r="O1400" t="str">
            <v/>
          </cell>
          <cell r="P1400">
            <v>0</v>
          </cell>
          <cell r="Q1400">
            <v>0.20668638542729001</v>
          </cell>
          <cell r="R1400">
            <v>0.20668638542729001</v>
          </cell>
          <cell r="S1400" t="e">
            <v>#VALUE!</v>
          </cell>
          <cell r="T1400" t="e">
            <v>#VALUE!</v>
          </cell>
        </row>
        <row r="1401">
          <cell r="A1401" t="str">
            <v>10935Z3E2GCP</v>
          </cell>
          <cell r="B1401" t="str">
            <v>MKP000631001082</v>
          </cell>
          <cell r="C1401" t="str">
            <v/>
          </cell>
          <cell r="D1401" t="str">
            <v>Guarda-Roupa Casal Madesa Lyon 3 Portas de Correr de Espelho 2 Gavetas com Pés Rustic</v>
          </cell>
          <cell r="E1401" t="str">
            <v>LYON</v>
          </cell>
          <cell r="F1401" t="str">
            <v>QUARTO</v>
          </cell>
          <cell r="G1401" t="str">
            <v/>
          </cell>
          <cell r="H1401">
            <v>2339.9899999999998</v>
          </cell>
          <cell r="I1401">
            <v>1419.92</v>
          </cell>
          <cell r="J1401">
            <v>1145.5572999999999</v>
          </cell>
          <cell r="K1401">
            <v>0</v>
          </cell>
          <cell r="L1401">
            <v>1145.5572999999999</v>
          </cell>
          <cell r="M1401">
            <v>0</v>
          </cell>
          <cell r="N1401">
            <v>1419.92</v>
          </cell>
          <cell r="O1401" t="str">
            <v/>
          </cell>
          <cell r="P1401">
            <v>0</v>
          </cell>
          <cell r="Q1401">
            <v>0.23950150725764699</v>
          </cell>
          <cell r="R1401">
            <v>0.23950150725764699</v>
          </cell>
          <cell r="S1401" t="e">
            <v>#VALUE!</v>
          </cell>
          <cell r="T1401" t="e">
            <v>#VALUE!</v>
          </cell>
        </row>
        <row r="1402">
          <cell r="A1402" t="str">
            <v>GRLX3400019R</v>
          </cell>
          <cell r="B1402" t="str">
            <v>MKP000631004327</v>
          </cell>
          <cell r="C1402" t="str">
            <v/>
          </cell>
          <cell r="D1402" t="str">
            <v>Armário de Cozinha Completa 340cm Branco/Cinza Lux Madesa 01</v>
          </cell>
          <cell r="E1402" t="str">
            <v>LUX</v>
          </cell>
          <cell r="F1402" t="str">
            <v>COZINHA</v>
          </cell>
          <cell r="G1402" t="str">
            <v/>
          </cell>
          <cell r="H1402">
            <v>3879.99</v>
          </cell>
          <cell r="I1402">
            <v>3789.99</v>
          </cell>
          <cell r="J1402">
            <v>2569.9911000000002</v>
          </cell>
          <cell r="K1402">
            <v>0</v>
          </cell>
          <cell r="L1402">
            <v>2569.9911000000002</v>
          </cell>
          <cell r="M1402">
            <v>0</v>
          </cell>
          <cell r="N1402">
            <v>3789.99</v>
          </cell>
          <cell r="O1402" t="str">
            <v>LOJA</v>
          </cell>
          <cell r="P1402">
            <v>3329.99</v>
          </cell>
          <cell r="Q1402">
            <v>0.474709387125893</v>
          </cell>
          <cell r="R1402">
            <v>0.474709387125893</v>
          </cell>
          <cell r="S1402" t="e">
            <v>#VALUE!</v>
          </cell>
          <cell r="T1402" t="e">
            <v>#VALUE!</v>
          </cell>
        </row>
        <row r="1403">
          <cell r="A1403" t="str">
            <v>G25600F9AG</v>
          </cell>
          <cell r="B1403" t="str">
            <v>MKP000631002921</v>
          </cell>
          <cell r="C1403" t="str">
            <v/>
          </cell>
          <cell r="D1403" t="str">
            <v>Armário Aéreo Madesa Agata 60 cm 1 Porta Rustic/Cinza</v>
          </cell>
          <cell r="E1403" t="str">
            <v>ÁGATA</v>
          </cell>
          <cell r="F1403" t="str">
            <v>MODULAÇÃO</v>
          </cell>
          <cell r="G1403" t="str">
            <v/>
          </cell>
          <cell r="H1403">
            <v>619.99</v>
          </cell>
          <cell r="I1403">
            <v>319.99</v>
          </cell>
          <cell r="J1403">
            <v>183.3271</v>
          </cell>
          <cell r="K1403">
            <v>0</v>
          </cell>
          <cell r="L1403">
            <v>183.3271</v>
          </cell>
          <cell r="M1403">
            <v>0</v>
          </cell>
          <cell r="N1403">
            <v>319.99</v>
          </cell>
          <cell r="O1403" t="str">
            <v/>
          </cell>
          <cell r="P1403">
            <v>0</v>
          </cell>
          <cell r="Q1403">
            <v>0.74545934561775096</v>
          </cell>
          <cell r="R1403">
            <v>0.74545934561775096</v>
          </cell>
          <cell r="S1403" t="e">
            <v>#VALUE!</v>
          </cell>
          <cell r="T1403" t="e">
            <v>#VALUE!</v>
          </cell>
        </row>
        <row r="1404">
          <cell r="A1404" t="str">
            <v>GRGL2400085Z</v>
          </cell>
          <cell r="B1404" t="str">
            <v>MKP000631005039</v>
          </cell>
          <cell r="C1404" t="str">
            <v/>
          </cell>
          <cell r="D1404" t="str">
            <v>Armário de Cozinha Completa 240cm Rustic Glamy Madesa 08</v>
          </cell>
          <cell r="E1404" t="str">
            <v>GLAMY</v>
          </cell>
          <cell r="F1404" t="str">
            <v>COZINHA</v>
          </cell>
          <cell r="G1404" t="str">
            <v/>
          </cell>
          <cell r="H1404">
            <v>1799.99</v>
          </cell>
          <cell r="I1404">
            <v>1729.92</v>
          </cell>
          <cell r="J1404">
            <v>1391.3414</v>
          </cell>
          <cell r="K1404">
            <v>0</v>
          </cell>
          <cell r="L1404">
            <v>1391.3414</v>
          </cell>
          <cell r="M1404">
            <v>0</v>
          </cell>
          <cell r="N1404">
            <v>1729.92</v>
          </cell>
          <cell r="O1404" t="str">
            <v/>
          </cell>
          <cell r="P1404">
            <v>0</v>
          </cell>
          <cell r="Q1404">
            <v>0.243346888118186</v>
          </cell>
          <cell r="R1404">
            <v>0.243346888118186</v>
          </cell>
          <cell r="S1404" t="e">
            <v>#VALUE!</v>
          </cell>
          <cell r="T1404" t="e">
            <v>#VALUE!</v>
          </cell>
        </row>
        <row r="1405">
          <cell r="A1405" t="str">
            <v>G270807KAG</v>
          </cell>
          <cell r="B1405" t="str">
            <v>MKP000631003164</v>
          </cell>
          <cell r="C1405" t="str">
            <v/>
          </cell>
          <cell r="D1405" t="str">
            <v>Porta-Geladeira Madesa Agata 1 Porta Basculante Rustic/Preto</v>
          </cell>
          <cell r="E1405" t="str">
            <v>ÁGATA</v>
          </cell>
          <cell r="F1405" t="str">
            <v>MODULAÇÃO</v>
          </cell>
          <cell r="G1405" t="str">
            <v/>
          </cell>
          <cell r="H1405">
            <v>959.99</v>
          </cell>
          <cell r="I1405">
            <v>629.99</v>
          </cell>
          <cell r="J1405">
            <v>353.45429999999999</v>
          </cell>
          <cell r="K1405">
            <v>0</v>
          </cell>
          <cell r="L1405">
            <v>353.45429999999999</v>
          </cell>
          <cell r="M1405">
            <v>0</v>
          </cell>
          <cell r="N1405">
            <v>629.99</v>
          </cell>
          <cell r="O1405" t="str">
            <v/>
          </cell>
          <cell r="P1405">
            <v>0</v>
          </cell>
          <cell r="Q1405">
            <v>0.78238035299047204</v>
          </cell>
          <cell r="R1405">
            <v>0.78238035299047204</v>
          </cell>
          <cell r="S1405" t="e">
            <v>#VALUE!</v>
          </cell>
          <cell r="T1405" t="e">
            <v>#VALUE!</v>
          </cell>
        </row>
        <row r="1406">
          <cell r="A1406" t="str">
            <v>XC10639B1B</v>
          </cell>
          <cell r="B1406" t="str">
            <v>MKP000631001436</v>
          </cell>
          <cell r="C1406" t="str">
            <v/>
          </cell>
          <cell r="D1406" t="str">
            <v>Guarda-Roupa Casal 100% MDF Madesa Zurique 3 Portas de Correr Branco/Rustic/Branco</v>
          </cell>
          <cell r="E1406" t="str">
            <v>ZURIQUE</v>
          </cell>
          <cell r="F1406" t="str">
            <v>QUARTO</v>
          </cell>
          <cell r="G1406" t="str">
            <v/>
          </cell>
          <cell r="H1406">
            <v>2469.9899999999998</v>
          </cell>
          <cell r="I1406">
            <v>1829.92</v>
          </cell>
          <cell r="J1406">
            <v>1551.3534</v>
          </cell>
          <cell r="K1406">
            <v>0</v>
          </cell>
          <cell r="L1406">
            <v>1551.3534</v>
          </cell>
          <cell r="M1406">
            <v>0</v>
          </cell>
          <cell r="N1406">
            <v>1829.92</v>
          </cell>
          <cell r="O1406" t="str">
            <v/>
          </cell>
          <cell r="P1406">
            <v>0</v>
          </cell>
          <cell r="Q1406">
            <v>0.179563599112878</v>
          </cell>
          <cell r="R1406">
            <v>0.179563599112878</v>
          </cell>
          <cell r="S1406" t="e">
            <v>#VALUE!</v>
          </cell>
          <cell r="T1406" t="e">
            <v>#VALUE!</v>
          </cell>
        </row>
        <row r="1407">
          <cell r="A1407" t="str">
            <v>GRGL2700107K</v>
          </cell>
          <cell r="B1407" t="str">
            <v>MKP000631004214</v>
          </cell>
          <cell r="C1407" t="str">
            <v/>
          </cell>
          <cell r="D1407" t="str">
            <v>Armário de Cozinha Completa 270cm Rustic Preto Glamy Madesa 07</v>
          </cell>
          <cell r="E1407" t="str">
            <v>GLAMY</v>
          </cell>
          <cell r="F1407" t="str">
            <v>COZINHA</v>
          </cell>
          <cell r="G1407" t="str">
            <v/>
          </cell>
          <cell r="H1407">
            <v>2199.9899999999998</v>
          </cell>
          <cell r="I1407">
            <v>2099.9899999999998</v>
          </cell>
          <cell r="J1407">
            <v>1752.7309</v>
          </cell>
          <cell r="K1407">
            <v>0</v>
          </cell>
          <cell r="L1407">
            <v>1752.7309</v>
          </cell>
          <cell r="M1407">
            <v>0</v>
          </cell>
          <cell r="N1407">
            <v>2099.9899999999998</v>
          </cell>
          <cell r="O1407" t="str">
            <v/>
          </cell>
          <cell r="P1407">
            <v>0</v>
          </cell>
          <cell r="Q1407">
            <v>0.198124595167461</v>
          </cell>
          <cell r="R1407">
            <v>0.198124595167461</v>
          </cell>
          <cell r="S1407" t="e">
            <v>#VALUE!</v>
          </cell>
          <cell r="T1407" t="e">
            <v>#VALUE!</v>
          </cell>
        </row>
        <row r="1408">
          <cell r="A1408" t="str">
            <v>GREM3250035Z</v>
          </cell>
          <cell r="B1408" t="str">
            <v>MKP000631005142</v>
          </cell>
          <cell r="C1408" t="str">
            <v/>
          </cell>
          <cell r="D1408" t="str">
            <v>Armário de Cozinha Completa 325cm Rustic Emilly Madesa 03</v>
          </cell>
          <cell r="E1408" t="str">
            <v>EMILLY</v>
          </cell>
          <cell r="F1408" t="str">
            <v>COZINHA</v>
          </cell>
          <cell r="G1408" t="str">
            <v/>
          </cell>
          <cell r="H1408">
            <v>1799.99</v>
          </cell>
          <cell r="I1408">
            <v>1699.99</v>
          </cell>
          <cell r="J1408">
            <v>1377.2367999999999</v>
          </cell>
          <cell r="K1408">
            <v>0</v>
          </cell>
          <cell r="L1408">
            <v>1377.2367999999999</v>
          </cell>
          <cell r="M1408">
            <v>0</v>
          </cell>
          <cell r="N1408">
            <v>1699.99</v>
          </cell>
          <cell r="O1408" t="str">
            <v/>
          </cell>
          <cell r="P1408">
            <v>0</v>
          </cell>
          <cell r="Q1408">
            <v>0.23434837059247901</v>
          </cell>
          <cell r="R1408">
            <v>0.23434837059247901</v>
          </cell>
          <cell r="S1408" t="e">
            <v>#VALUE!</v>
          </cell>
          <cell r="T1408" t="e">
            <v>#VALUE!</v>
          </cell>
        </row>
        <row r="1409">
          <cell r="A1409" t="str">
            <v>GRGL290001A9</v>
          </cell>
          <cell r="B1409" t="str">
            <v>MKP000631002237</v>
          </cell>
          <cell r="C1409" t="str">
            <v/>
          </cell>
          <cell r="D1409" t="str">
            <v>Armário de Cozinha Completa 290cm Branco/Rustic/Crema Vicenza Madesa 01</v>
          </cell>
          <cell r="E1409" t="str">
            <v>VICENZA/GLAMY</v>
          </cell>
          <cell r="F1409" t="str">
            <v>COZINHA</v>
          </cell>
          <cell r="G1409" t="str">
            <v/>
          </cell>
          <cell r="H1409">
            <v>2599.9899999999998</v>
          </cell>
          <cell r="I1409">
            <v>2499.9899999999998</v>
          </cell>
          <cell r="J1409">
            <v>2094.1842999999999</v>
          </cell>
          <cell r="K1409">
            <v>0</v>
          </cell>
          <cell r="L1409">
            <v>2094.1842999999999</v>
          </cell>
          <cell r="M1409">
            <v>0</v>
          </cell>
          <cell r="N1409">
            <v>2499.9899999999998</v>
          </cell>
          <cell r="O1409" t="str">
            <v/>
          </cell>
          <cell r="P1409">
            <v>0</v>
          </cell>
          <cell r="Q1409">
            <v>0.193777453111457</v>
          </cell>
          <cell r="R1409">
            <v>0.193777453111457</v>
          </cell>
          <cell r="S1409" t="e">
            <v>#VALUE!</v>
          </cell>
          <cell r="T1409" t="e">
            <v>#VALUE!</v>
          </cell>
        </row>
        <row r="1410">
          <cell r="A1410" t="str">
            <v>GCEM2610025Z</v>
          </cell>
          <cell r="B1410" t="str">
            <v>MKP000631002063</v>
          </cell>
          <cell r="C1410" t="str">
            <v/>
          </cell>
          <cell r="D1410" t="str">
            <v>Armário de Cozinha Completa de Canto 261cm Rustic Emilly Face Madesa 02</v>
          </cell>
          <cell r="E1410" t="str">
            <v>FACE/EMILLY</v>
          </cell>
          <cell r="F1410" t="str">
            <v>COZINHA</v>
          </cell>
          <cell r="G1410" t="str">
            <v/>
          </cell>
          <cell r="H1410">
            <v>1839.99</v>
          </cell>
          <cell r="I1410">
            <v>1199.99</v>
          </cell>
          <cell r="J1410">
            <v>988.95699999999999</v>
          </cell>
          <cell r="K1410">
            <v>0</v>
          </cell>
          <cell r="L1410">
            <v>988.95699999999999</v>
          </cell>
          <cell r="M1410">
            <v>0</v>
          </cell>
          <cell r="N1410">
            <v>1199.99</v>
          </cell>
          <cell r="O1410" t="str">
            <v/>
          </cell>
          <cell r="P1410">
            <v>0</v>
          </cell>
          <cell r="Q1410">
            <v>0.21338945980462201</v>
          </cell>
          <cell r="R1410">
            <v>0.21338945980462201</v>
          </cell>
          <cell r="S1410" t="e">
            <v>#VALUE!</v>
          </cell>
          <cell r="T1410" t="e">
            <v>#VALUE!</v>
          </cell>
        </row>
        <row r="1411">
          <cell r="A1411" t="str">
            <v>MDES0200049B</v>
          </cell>
          <cell r="B1411" t="str">
            <v>MKP000631001804</v>
          </cell>
          <cell r="C1411" t="str">
            <v/>
          </cell>
          <cell r="D1411" t="str">
            <v>Rack Madesa Londres e Painel para TV até 55 Polegadas Branco/Rustic</v>
          </cell>
          <cell r="E1411" t="str">
            <v>LONDRES</v>
          </cell>
          <cell r="F1411" t="str">
            <v>SALA DE ESTAR</v>
          </cell>
          <cell r="G1411" t="str">
            <v/>
          </cell>
          <cell r="H1411">
            <v>649.99</v>
          </cell>
          <cell r="I1411">
            <v>549.99</v>
          </cell>
          <cell r="J1411">
            <v>425.51420000000002</v>
          </cell>
          <cell r="K1411">
            <v>0</v>
          </cell>
          <cell r="L1411">
            <v>425.51420000000002</v>
          </cell>
          <cell r="M1411">
            <v>0</v>
          </cell>
          <cell r="N1411">
            <v>549.99</v>
          </cell>
          <cell r="O1411" t="str">
            <v/>
          </cell>
          <cell r="P1411">
            <v>0</v>
          </cell>
          <cell r="Q1411">
            <v>0.29253030803672397</v>
          </cell>
          <cell r="R1411">
            <v>0.29253030803672397</v>
          </cell>
          <cell r="S1411" t="e">
            <v>#VALUE!</v>
          </cell>
          <cell r="T1411" t="e">
            <v>#VALUE!</v>
          </cell>
        </row>
        <row r="1412">
          <cell r="A1412" t="str">
            <v>MDFC0200153Z3Z</v>
          </cell>
          <cell r="B1412" t="str">
            <v>MKP000631002771</v>
          </cell>
          <cell r="C1412" t="str">
            <v/>
          </cell>
          <cell r="D1412" t="str">
            <v>Kit Madesa com 2 Estantes Livreiro 6908 Cinza</v>
          </cell>
          <cell r="E1412">
            <v>6908</v>
          </cell>
          <cell r="F1412" t="str">
            <v>ESCRITÓRIO</v>
          </cell>
          <cell r="G1412" t="str">
            <v/>
          </cell>
          <cell r="H1412">
            <v>799.99</v>
          </cell>
          <cell r="I1412">
            <v>679.92</v>
          </cell>
          <cell r="J1412">
            <v>461.98559999999998</v>
          </cell>
          <cell r="K1412">
            <v>0</v>
          </cell>
          <cell r="L1412">
            <v>461.98559999999998</v>
          </cell>
          <cell r="M1412">
            <v>0</v>
          </cell>
          <cell r="N1412">
            <v>679.92</v>
          </cell>
          <cell r="O1412" t="str">
            <v/>
          </cell>
          <cell r="P1412">
            <v>0</v>
          </cell>
          <cell r="Q1412">
            <v>0.47173418392261601</v>
          </cell>
          <cell r="R1412">
            <v>0.47173418392261601</v>
          </cell>
          <cell r="S1412" t="e">
            <v>#VALUE!</v>
          </cell>
          <cell r="T1412" t="e">
            <v>#VALUE!</v>
          </cell>
        </row>
        <row r="1413">
          <cell r="A1413" t="str">
            <v>G248027KGL</v>
          </cell>
          <cell r="B1413" t="str">
            <v>MKP000631005046</v>
          </cell>
          <cell r="C1413" t="str">
            <v/>
          </cell>
          <cell r="D1413" t="str">
            <v>Balcão 80 cm 2 Gavetas Rustic/Preto Glamy Madesa</v>
          </cell>
          <cell r="E1413" t="str">
            <v>GLAMY</v>
          </cell>
          <cell r="F1413" t="str">
            <v>MODULAÇÃO</v>
          </cell>
          <cell r="G1413" t="str">
            <v/>
          </cell>
          <cell r="H1413">
            <v>699.99</v>
          </cell>
          <cell r="I1413">
            <v>599.99</v>
          </cell>
          <cell r="J1413">
            <v>392.3673</v>
          </cell>
          <cell r="K1413">
            <v>0</v>
          </cell>
          <cell r="L1413">
            <v>392.3673</v>
          </cell>
          <cell r="M1413">
            <v>0</v>
          </cell>
          <cell r="N1413">
            <v>599.99</v>
          </cell>
          <cell r="O1413" t="str">
            <v/>
          </cell>
          <cell r="P1413">
            <v>0</v>
          </cell>
          <cell r="Q1413">
            <v>0.52915393306221004</v>
          </cell>
          <cell r="R1413">
            <v>0.52915393306221004</v>
          </cell>
          <cell r="S1413" t="e">
            <v>#VALUE!</v>
          </cell>
          <cell r="T1413" t="e">
            <v>#VALUE!</v>
          </cell>
        </row>
        <row r="1414">
          <cell r="A1414" t="str">
            <v>G24600F9AG</v>
          </cell>
          <cell r="B1414" t="str">
            <v>MKP000631002944</v>
          </cell>
          <cell r="C1414" t="str">
            <v/>
          </cell>
          <cell r="D1414" t="str">
            <v>Balcão Madesa Agata 60 cm 1 Porta Rustic/Cinza</v>
          </cell>
          <cell r="E1414" t="str">
            <v>ÁGATA</v>
          </cell>
          <cell r="F1414" t="str">
            <v>MODULAÇÃO</v>
          </cell>
          <cell r="G1414" t="str">
            <v/>
          </cell>
          <cell r="H1414">
            <v>799.99</v>
          </cell>
          <cell r="I1414">
            <v>419.99</v>
          </cell>
          <cell r="J1414">
            <v>251.9753</v>
          </cell>
          <cell r="K1414">
            <v>0</v>
          </cell>
          <cell r="L1414">
            <v>251.9753</v>
          </cell>
          <cell r="M1414">
            <v>0</v>
          </cell>
          <cell r="N1414">
            <v>419.99</v>
          </cell>
          <cell r="O1414" t="str">
            <v/>
          </cell>
          <cell r="P1414">
            <v>0</v>
          </cell>
          <cell r="Q1414">
            <v>0.66679035603886605</v>
          </cell>
          <cell r="R1414">
            <v>0.66679035603886605</v>
          </cell>
          <cell r="S1414" t="e">
            <v>#VALUE!</v>
          </cell>
          <cell r="T1414" t="e">
            <v>#VALUE!</v>
          </cell>
        </row>
        <row r="1415">
          <cell r="A1415" t="str">
            <v>G241209BGL</v>
          </cell>
          <cell r="B1415" t="str">
            <v>MKP000631000483</v>
          </cell>
          <cell r="C1415" t="str">
            <v/>
          </cell>
          <cell r="D1415" t="str">
            <v>Balcão Gabinete de Pia Madesa Glamy 120 cm 2 Portas (Sem Tampo e Pia) Branco/Rustic</v>
          </cell>
          <cell r="E1415" t="str">
            <v>GLAMY</v>
          </cell>
          <cell r="F1415" t="str">
            <v>MODULAÇÃO</v>
          </cell>
          <cell r="G1415" t="str">
            <v/>
          </cell>
          <cell r="H1415">
            <v>949.99</v>
          </cell>
          <cell r="I1415">
            <v>499.99</v>
          </cell>
          <cell r="J1415">
            <v>377.00920000000002</v>
          </cell>
          <cell r="K1415">
            <v>0</v>
          </cell>
          <cell r="L1415">
            <v>377.00920000000002</v>
          </cell>
          <cell r="M1415">
            <v>0</v>
          </cell>
          <cell r="N1415">
            <v>499.99</v>
          </cell>
          <cell r="O1415" t="str">
            <v/>
          </cell>
          <cell r="P1415">
            <v>0</v>
          </cell>
          <cell r="Q1415">
            <v>0.32620105822351297</v>
          </cell>
          <cell r="R1415">
            <v>0.32620105822351297</v>
          </cell>
          <cell r="S1415" t="e">
            <v>#VALUE!</v>
          </cell>
          <cell r="T1415" t="e">
            <v>#VALUE!</v>
          </cell>
        </row>
        <row r="1416">
          <cell r="A1416" t="str">
            <v>G2660073</v>
          </cell>
          <cell r="B1416" t="str">
            <v>MKP000631004952</v>
          </cell>
          <cell r="C1416" t="str">
            <v/>
          </cell>
          <cell r="D1416" t="str">
            <v>Paneleiro 100% MDF 60 cm 2 Portas Branco/Preto Acordes Madesa</v>
          </cell>
          <cell r="E1416" t="str">
            <v>ACORDES</v>
          </cell>
          <cell r="F1416" t="str">
            <v>MODULAÇÃO</v>
          </cell>
          <cell r="G1416" t="str">
            <v/>
          </cell>
          <cell r="H1416">
            <v>1059.99</v>
          </cell>
          <cell r="I1416">
            <v>779.99</v>
          </cell>
          <cell r="J1416">
            <v>507.91820000000001</v>
          </cell>
          <cell r="K1416">
            <v>0</v>
          </cell>
          <cell r="L1416">
            <v>507.91820000000001</v>
          </cell>
          <cell r="M1416">
            <v>0</v>
          </cell>
          <cell r="N1416">
            <v>779.99</v>
          </cell>
          <cell r="O1416" t="str">
            <v/>
          </cell>
          <cell r="P1416">
            <v>0</v>
          </cell>
          <cell r="Q1416">
            <v>0.53566066346903896</v>
          </cell>
          <cell r="R1416">
            <v>0.53566066346903896</v>
          </cell>
          <cell r="S1416" t="e">
            <v>#VALUE!</v>
          </cell>
          <cell r="T1416" t="e">
            <v>#VALUE!</v>
          </cell>
        </row>
        <row r="1417">
          <cell r="A1417" t="str">
            <v>G2460009GL</v>
          </cell>
          <cell r="B1417" t="str">
            <v>MKP000631000017</v>
          </cell>
          <cell r="C1417" t="str">
            <v/>
          </cell>
          <cell r="D1417" t="str">
            <v>Balcão Madesa Glamy 60 cm 1 Porta Branco</v>
          </cell>
          <cell r="E1417" t="str">
            <v>GLAMY</v>
          </cell>
          <cell r="F1417" t="str">
            <v>MODULAÇÃO</v>
          </cell>
          <cell r="G1417" t="str">
            <v/>
          </cell>
          <cell r="H1417">
            <v>819.99</v>
          </cell>
          <cell r="I1417">
            <v>419.99</v>
          </cell>
          <cell r="J1417">
            <v>262.66820000000001</v>
          </cell>
          <cell r="K1417">
            <v>0</v>
          </cell>
          <cell r="L1417">
            <v>262.66820000000001</v>
          </cell>
          <cell r="M1417">
            <v>0</v>
          </cell>
          <cell r="N1417">
            <v>419.99</v>
          </cell>
          <cell r="O1417" t="str">
            <v/>
          </cell>
          <cell r="P1417">
            <v>0</v>
          </cell>
          <cell r="Q1417">
            <v>0.59893736660928099</v>
          </cell>
          <cell r="R1417">
            <v>0.59893736660928099</v>
          </cell>
          <cell r="S1417" t="e">
            <v>#VALUE!</v>
          </cell>
          <cell r="T1417" t="e">
            <v>#VALUE!</v>
          </cell>
        </row>
        <row r="1418">
          <cell r="A1418" t="str">
            <v>32265Z1B</v>
          </cell>
          <cell r="B1418" t="str">
            <v>MKP000631000076</v>
          </cell>
          <cell r="C1418" t="str">
            <v/>
          </cell>
          <cell r="D1418" t="str">
            <v>Mesa de Cabeceira Madesa 2 Gavetas Rustic</v>
          </cell>
          <cell r="E1418">
            <v>3226</v>
          </cell>
          <cell r="F1418" t="str">
            <v>QUARTO</v>
          </cell>
          <cell r="G1418" t="str">
            <v/>
          </cell>
          <cell r="H1418">
            <v>499.99</v>
          </cell>
          <cell r="I1418">
            <v>259.99</v>
          </cell>
          <cell r="J1418">
            <v>190.8263</v>
          </cell>
          <cell r="K1418">
            <v>0</v>
          </cell>
          <cell r="L1418">
            <v>190.8263</v>
          </cell>
          <cell r="M1418">
            <v>0</v>
          </cell>
          <cell r="N1418">
            <v>259.99</v>
          </cell>
          <cell r="O1418" t="str">
            <v/>
          </cell>
          <cell r="P1418">
            <v>0</v>
          </cell>
          <cell r="Q1418">
            <v>0.36244322716522798</v>
          </cell>
          <cell r="R1418">
            <v>0.36244322716522798</v>
          </cell>
          <cell r="S1418" t="e">
            <v>#VALUE!</v>
          </cell>
          <cell r="T1418" t="e">
            <v>#VALUE!</v>
          </cell>
        </row>
        <row r="1419">
          <cell r="A1419" t="str">
            <v>942395</v>
          </cell>
          <cell r="B1419" t="str">
            <v>MKP000631005273</v>
          </cell>
          <cell r="C1419" t="str">
            <v/>
          </cell>
          <cell r="D1419" t="str">
            <v>Mesa de Escritório Industrial Preta 120cm Nero Marquina Madesa</v>
          </cell>
          <cell r="E1419">
            <v>9423</v>
          </cell>
          <cell r="F1419" t="str">
            <v>ESCRITÓRIO</v>
          </cell>
          <cell r="G1419" t="str">
            <v/>
          </cell>
          <cell r="H1419">
            <v>559.99</v>
          </cell>
          <cell r="I1419">
            <v>449.92</v>
          </cell>
          <cell r="J1419">
            <v>320.20929999999998</v>
          </cell>
          <cell r="K1419">
            <v>0</v>
          </cell>
          <cell r="L1419">
            <v>320.20929999999998</v>
          </cell>
          <cell r="M1419">
            <v>0</v>
          </cell>
          <cell r="N1419">
            <v>449.92</v>
          </cell>
          <cell r="O1419" t="str">
            <v/>
          </cell>
          <cell r="P1419">
            <v>0</v>
          </cell>
          <cell r="Q1419">
            <v>0.40508098921549102</v>
          </cell>
          <cell r="R1419">
            <v>0.40508098921549102</v>
          </cell>
          <cell r="S1419" t="e">
            <v>#VALUE!</v>
          </cell>
          <cell r="T1419" t="e">
            <v>#VALUE!</v>
          </cell>
        </row>
        <row r="1420">
          <cell r="A1420" t="str">
            <v>10945Z2E2G</v>
          </cell>
          <cell r="B1420" t="str">
            <v>MKP000631000782</v>
          </cell>
          <cell r="C1420" t="str">
            <v/>
          </cell>
          <cell r="D1420" t="str">
            <v>Guarda-Roupa Solteiro Madesa Dallas 2 Portas de Correr de Espelho 2 Gavetas Rustic</v>
          </cell>
          <cell r="E1420" t="str">
            <v>DALLAS</v>
          </cell>
          <cell r="F1420" t="str">
            <v>QUARTO</v>
          </cell>
          <cell r="G1420" t="str">
            <v/>
          </cell>
          <cell r="H1420">
            <v>1359.99</v>
          </cell>
          <cell r="I1420">
            <v>1029.92</v>
          </cell>
          <cell r="J1420">
            <v>823.70209999999997</v>
          </cell>
          <cell r="K1420">
            <v>0</v>
          </cell>
          <cell r="L1420">
            <v>823.70209999999997</v>
          </cell>
          <cell r="M1420">
            <v>0</v>
          </cell>
          <cell r="N1420">
            <v>1029.92</v>
          </cell>
          <cell r="O1420" t="str">
            <v/>
          </cell>
          <cell r="P1420">
            <v>0</v>
          </cell>
          <cell r="Q1420">
            <v>0.25035495235474098</v>
          </cell>
          <cell r="R1420">
            <v>0.25035495235474098</v>
          </cell>
          <cell r="S1420" t="e">
            <v>#VALUE!</v>
          </cell>
          <cell r="T1420" t="e">
            <v>#VALUE!</v>
          </cell>
        </row>
        <row r="1421">
          <cell r="A1421" t="str">
            <v>GREM1050015Z</v>
          </cell>
          <cell r="B1421" t="str">
            <v>MKP000631003778</v>
          </cell>
          <cell r="C1421" t="str">
            <v/>
          </cell>
          <cell r="D1421" t="str">
            <v>Armário de Cozinha Compacta Emilly 105cm com Armário e Balcão Rustic Emilly Madesa 01</v>
          </cell>
          <cell r="E1421" t="str">
            <v>EMILLY</v>
          </cell>
          <cell r="F1421" t="str">
            <v>COZINHA</v>
          </cell>
          <cell r="G1421" t="str">
            <v/>
          </cell>
          <cell r="H1421">
            <v>739.99</v>
          </cell>
          <cell r="I1421">
            <v>639.99</v>
          </cell>
          <cell r="J1421">
            <v>500.01569999999998</v>
          </cell>
          <cell r="K1421">
            <v>0</v>
          </cell>
          <cell r="L1421">
            <v>500.01569999999998</v>
          </cell>
          <cell r="M1421">
            <v>0</v>
          </cell>
          <cell r="N1421">
            <v>639.99</v>
          </cell>
          <cell r="O1421" t="str">
            <v/>
          </cell>
          <cell r="P1421">
            <v>0</v>
          </cell>
          <cell r="Q1421">
            <v>0.27993980988996903</v>
          </cell>
          <cell r="R1421">
            <v>0.27993980988996903</v>
          </cell>
          <cell r="S1421" t="e">
            <v>#VALUE!</v>
          </cell>
          <cell r="T1421" t="e">
            <v>#VALUE!</v>
          </cell>
        </row>
        <row r="1422">
          <cell r="A1422" t="str">
            <v>G20096C9V2</v>
          </cell>
          <cell r="B1422" t="str">
            <v>MKP000631003408</v>
          </cell>
          <cell r="C1422" t="str">
            <v/>
          </cell>
          <cell r="D1422" t="str">
            <v>Armário Aéreo de Canto Madesa Smart 100% MDF com Adega Porta Branco Brilho</v>
          </cell>
          <cell r="E1422" t="str">
            <v>SMART</v>
          </cell>
          <cell r="F1422" t="str">
            <v>MODULAÇÃO</v>
          </cell>
          <cell r="G1422" t="str">
            <v/>
          </cell>
          <cell r="H1422">
            <v>759.99</v>
          </cell>
          <cell r="I1422">
            <v>329.99</v>
          </cell>
          <cell r="J1422">
            <v>204.702</v>
          </cell>
          <cell r="K1422">
            <v>0</v>
          </cell>
          <cell r="L1422">
            <v>204.702</v>
          </cell>
          <cell r="M1422">
            <v>0</v>
          </cell>
          <cell r="N1422">
            <v>329.99</v>
          </cell>
          <cell r="O1422" t="str">
            <v/>
          </cell>
          <cell r="P1422">
            <v>0</v>
          </cell>
          <cell r="Q1422">
            <v>0.61205068831765197</v>
          </cell>
          <cell r="R1422">
            <v>0.61205068831765197</v>
          </cell>
          <cell r="S1422" t="e">
            <v>#VALUE!</v>
          </cell>
          <cell r="T1422" t="e">
            <v>#VALUE!</v>
          </cell>
        </row>
        <row r="1423">
          <cell r="A1423" t="str">
            <v>XA10949B</v>
          </cell>
          <cell r="B1423" t="str">
            <v>MKP000631001613</v>
          </cell>
          <cell r="C1423" t="str">
            <v/>
          </cell>
          <cell r="D1423" t="str">
            <v>Guarda-Roupa Infantil Madesa Enzo 2 Portas de Correr Branco/Rustic</v>
          </cell>
          <cell r="E1423" t="str">
            <v>ENZO</v>
          </cell>
          <cell r="F1423" t="str">
            <v>QUARTO</v>
          </cell>
          <cell r="G1423" t="str">
            <v/>
          </cell>
          <cell r="H1423">
            <v>869.99</v>
          </cell>
          <cell r="I1423">
            <v>619.91999999999996</v>
          </cell>
          <cell r="J1423">
            <v>475.10919999999999</v>
          </cell>
          <cell r="K1423">
            <v>0</v>
          </cell>
          <cell r="L1423">
            <v>475.10919999999999</v>
          </cell>
          <cell r="M1423">
            <v>0</v>
          </cell>
          <cell r="N1423">
            <v>619.91999999999996</v>
          </cell>
          <cell r="O1423" t="str">
            <v/>
          </cell>
          <cell r="P1423">
            <v>0</v>
          </cell>
          <cell r="Q1423">
            <v>0.30479477139150302</v>
          </cell>
          <cell r="R1423">
            <v>0.30479477139150302</v>
          </cell>
          <cell r="S1423" t="e">
            <v>#VALUE!</v>
          </cell>
          <cell r="T1423" t="e">
            <v>#VALUE!</v>
          </cell>
        </row>
        <row r="1424">
          <cell r="A1424" t="str">
            <v>G256029NLX</v>
          </cell>
          <cell r="B1424" t="str">
            <v>MKP000631003095</v>
          </cell>
          <cell r="C1424" t="str">
            <v/>
          </cell>
          <cell r="D1424" t="str">
            <v>Armário Aéreo Madesa Lux 60 cm 1 Porta Basculante Rustic/Cinza</v>
          </cell>
          <cell r="E1424" t="str">
            <v>LUX</v>
          </cell>
          <cell r="F1424" t="str">
            <v>MODULAÇÃO</v>
          </cell>
          <cell r="G1424" t="str">
            <v/>
          </cell>
          <cell r="H1424">
            <v>539.99</v>
          </cell>
          <cell r="I1424">
            <v>369.99</v>
          </cell>
          <cell r="J1424">
            <v>224.06039999999999</v>
          </cell>
          <cell r="K1424">
            <v>0</v>
          </cell>
          <cell r="L1424">
            <v>224.06039999999999</v>
          </cell>
          <cell r="M1424">
            <v>0</v>
          </cell>
          <cell r="N1424">
            <v>369.99</v>
          </cell>
          <cell r="O1424" t="str">
            <v>LOJA</v>
          </cell>
          <cell r="P1424">
            <v>359.99</v>
          </cell>
          <cell r="Q1424">
            <v>0.65129581130802205</v>
          </cell>
          <cell r="R1424">
            <v>0.65129581130802205</v>
          </cell>
          <cell r="S1424" t="e">
            <v>#VALUE!</v>
          </cell>
          <cell r="T1424" t="e">
            <v>#VALUE!</v>
          </cell>
        </row>
        <row r="1425">
          <cell r="A1425" t="str">
            <v>GRRM190001D8</v>
          </cell>
          <cell r="B1425" t="str">
            <v>MKP000631001756</v>
          </cell>
          <cell r="C1425" t="str">
            <v/>
          </cell>
          <cell r="D1425" t="str">
            <v>Armário de Cozinha Compacta 190cm Preto/Rustic Reims Madesa 01</v>
          </cell>
          <cell r="E1425" t="str">
            <v>REIMS</v>
          </cell>
          <cell r="F1425" t="str">
            <v>COZINHA</v>
          </cell>
          <cell r="G1425" t="str">
            <v/>
          </cell>
          <cell r="H1425">
            <v>1859.99</v>
          </cell>
          <cell r="I1425">
            <v>1079.99</v>
          </cell>
          <cell r="J1425">
            <v>910.86940000000004</v>
          </cell>
          <cell r="K1425">
            <v>0</v>
          </cell>
          <cell r="L1425">
            <v>910.86940000000004</v>
          </cell>
          <cell r="M1425">
            <v>0</v>
          </cell>
          <cell r="N1425">
            <v>1079.99</v>
          </cell>
          <cell r="O1425" t="str">
            <v/>
          </cell>
          <cell r="P1425">
            <v>0</v>
          </cell>
          <cell r="Q1425">
            <v>0.18566942747225901</v>
          </cell>
          <cell r="R1425">
            <v>0.18566942747225901</v>
          </cell>
          <cell r="S1425" t="e">
            <v>#VALUE!</v>
          </cell>
          <cell r="T1425" t="e">
            <v>#VALUE!</v>
          </cell>
        </row>
        <row r="1426">
          <cell r="A1426" t="str">
            <v>10285Z2E</v>
          </cell>
          <cell r="B1426" t="str">
            <v>MKP000631002243</v>
          </cell>
          <cell r="C1426" t="str">
            <v/>
          </cell>
          <cell r="D1426" t="str">
            <v>Guarda-Roupa Casal Madesa Austin 4 Portas de Correr com Espelhos 3 Gavetas Rustic</v>
          </cell>
          <cell r="E1426" t="str">
            <v>AUSTIN</v>
          </cell>
          <cell r="F1426" t="str">
            <v>QUARTO</v>
          </cell>
          <cell r="G1426" t="str">
            <v/>
          </cell>
          <cell r="H1426">
            <v>2839.99</v>
          </cell>
          <cell r="I1426">
            <v>1729.99</v>
          </cell>
          <cell r="J1426">
            <v>1393.0853999999999</v>
          </cell>
          <cell r="K1426">
            <v>0</v>
          </cell>
          <cell r="L1426">
            <v>1393.0853999999999</v>
          </cell>
          <cell r="M1426">
            <v>0</v>
          </cell>
          <cell r="N1426">
            <v>1729.99</v>
          </cell>
          <cell r="O1426" t="str">
            <v>COLOMBO</v>
          </cell>
          <cell r="P1426">
            <v>1699.99</v>
          </cell>
          <cell r="Q1426">
            <v>0.24184059354868001</v>
          </cell>
          <cell r="R1426">
            <v>0.24184059354868001</v>
          </cell>
          <cell r="S1426" t="e">
            <v>#VALUE!</v>
          </cell>
          <cell r="T1426" t="e">
            <v>#VALUE!</v>
          </cell>
        </row>
        <row r="1427">
          <cell r="A1427" t="str">
            <v>G241535LAGFF</v>
          </cell>
          <cell r="B1427" t="str">
            <v>MKP000631005417</v>
          </cell>
          <cell r="C1427" t="str">
            <v/>
          </cell>
          <cell r="D1427" t="str">
            <v>Balcão Gabinete de Pia 150 cm 2 Portas e 2 Gavetas (Sem Tampo e Pia) Branco/Crema Agata Madesa</v>
          </cell>
          <cell r="E1427" t="str">
            <v>ÁGATA</v>
          </cell>
          <cell r="F1427" t="str">
            <v>MODULAÇÃO</v>
          </cell>
          <cell r="G1427" t="str">
            <v/>
          </cell>
          <cell r="H1427">
            <v>799.99</v>
          </cell>
          <cell r="I1427">
            <v>699.99</v>
          </cell>
          <cell r="J1427">
            <v>477.38729999999998</v>
          </cell>
          <cell r="K1427">
            <v>0</v>
          </cell>
          <cell r="L1427">
            <v>477.38729999999998</v>
          </cell>
          <cell r="M1427">
            <v>0</v>
          </cell>
          <cell r="N1427">
            <v>699.99</v>
          </cell>
          <cell r="O1427" t="str">
            <v/>
          </cell>
          <cell r="P1427">
            <v>0</v>
          </cell>
          <cell r="Q1427">
            <v>0.46629372000470098</v>
          </cell>
          <cell r="R1427">
            <v>0.46629372000470098</v>
          </cell>
          <cell r="S1427" t="e">
            <v>#VALUE!</v>
          </cell>
          <cell r="T1427" t="e">
            <v>#VALUE!</v>
          </cell>
        </row>
        <row r="1428">
          <cell r="A1428" t="str">
            <v>1093771E2G</v>
          </cell>
          <cell r="B1428" t="str">
            <v>MKP000631002219</v>
          </cell>
          <cell r="C1428" t="str">
            <v/>
          </cell>
          <cell r="D1428" t="str">
            <v>Guarda-Roupa Casal Madesa Lyon 3 Portas de Correr com Espelho 2 Gavetas Preto/Branco</v>
          </cell>
          <cell r="E1428" t="str">
            <v>LYON</v>
          </cell>
          <cell r="F1428" t="str">
            <v>QUARTO</v>
          </cell>
          <cell r="G1428" t="str">
            <v/>
          </cell>
          <cell r="H1428">
            <v>1149.99</v>
          </cell>
          <cell r="I1428">
            <v>1049.99</v>
          </cell>
          <cell r="J1428">
            <v>839.51800000000003</v>
          </cell>
          <cell r="K1428">
            <v>0</v>
          </cell>
          <cell r="L1428">
            <v>839.51800000000003</v>
          </cell>
          <cell r="M1428">
            <v>0</v>
          </cell>
          <cell r="N1428">
            <v>1049.99</v>
          </cell>
          <cell r="O1428" t="str">
            <v/>
          </cell>
          <cell r="P1428">
            <v>0</v>
          </cell>
          <cell r="Q1428">
            <v>0.25070576211588103</v>
          </cell>
          <cell r="R1428">
            <v>0.25070576211588103</v>
          </cell>
          <cell r="S1428" t="e">
            <v>#VALUE!</v>
          </cell>
          <cell r="T1428" t="e">
            <v>#VALUE!</v>
          </cell>
        </row>
        <row r="1429">
          <cell r="A1429" t="str">
            <v>044775ZXTFLH</v>
          </cell>
          <cell r="B1429" t="str">
            <v>MKP000631000609</v>
          </cell>
          <cell r="C1429" t="str">
            <v/>
          </cell>
          <cell r="D1429" t="str">
            <v>Conjunto Sala de Jantar Madesa Gales Mesa Tampo de Vidro com 6 Cadeiras Rustic/Floral Hibiscos</v>
          </cell>
          <cell r="E1429" t="str">
            <v>GALES</v>
          </cell>
          <cell r="F1429" t="str">
            <v>SALA DE JANTAR</v>
          </cell>
          <cell r="G1429" t="str">
            <v>4290X</v>
          </cell>
          <cell r="H1429">
            <v>1819.99</v>
          </cell>
          <cell r="I1429">
            <v>1169.99</v>
          </cell>
          <cell r="J1429">
            <v>933.90110000000004</v>
          </cell>
          <cell r="K1429">
            <v>0</v>
          </cell>
          <cell r="L1429">
            <v>933.90110000000004</v>
          </cell>
          <cell r="M1429">
            <v>0</v>
          </cell>
          <cell r="N1429">
            <v>1169.99</v>
          </cell>
          <cell r="O1429" t="str">
            <v/>
          </cell>
          <cell r="P1429">
            <v>0</v>
          </cell>
          <cell r="Q1429">
            <v>0.252798610045539</v>
          </cell>
          <cell r="R1429">
            <v>0.252798610045539</v>
          </cell>
          <cell r="S1429" t="e">
            <v>#VALUE!</v>
          </cell>
          <cell r="T1429" t="e">
            <v>#VALUE!</v>
          </cell>
        </row>
        <row r="1430">
          <cell r="A1430" t="str">
            <v>GRGL2700109B</v>
          </cell>
          <cell r="B1430" t="str">
            <v>MKP000631004658</v>
          </cell>
          <cell r="C1430" t="str">
            <v/>
          </cell>
          <cell r="D1430" t="str">
            <v>Armário de Cozinha Completa 270cm Branco Rustic Glamy Madesa 10</v>
          </cell>
          <cell r="E1430" t="str">
            <v>GLAMY</v>
          </cell>
          <cell r="F1430" t="str">
            <v>COZINHA</v>
          </cell>
          <cell r="G1430" t="str">
            <v/>
          </cell>
          <cell r="H1430">
            <v>2199.9899999999998</v>
          </cell>
          <cell r="I1430">
            <v>2099.9899999999998</v>
          </cell>
          <cell r="J1430">
            <v>1752.7309</v>
          </cell>
          <cell r="K1430">
            <v>0</v>
          </cell>
          <cell r="L1430">
            <v>1752.7309</v>
          </cell>
          <cell r="M1430">
            <v>0</v>
          </cell>
          <cell r="N1430">
            <v>2099.9899999999998</v>
          </cell>
          <cell r="O1430" t="str">
            <v/>
          </cell>
          <cell r="P1430">
            <v>0</v>
          </cell>
          <cell r="Q1430">
            <v>0.198124595167461</v>
          </cell>
          <cell r="R1430">
            <v>0.198124595167461</v>
          </cell>
          <cell r="S1430" t="e">
            <v>#VALUE!</v>
          </cell>
          <cell r="T1430" t="e">
            <v>#VALUE!</v>
          </cell>
        </row>
        <row r="1431">
          <cell r="A1431" t="str">
            <v>044775ZXTFBM</v>
          </cell>
          <cell r="B1431" t="str">
            <v>MKP000631000610</v>
          </cell>
          <cell r="C1431" t="str">
            <v/>
          </cell>
          <cell r="D1431" t="str">
            <v>Conjunto Sala de Jantar Madesa Gales Mesa Tampo de Vidro com 6 Cadeiras Rustic/Bege Marrom</v>
          </cell>
          <cell r="E1431" t="str">
            <v>GALES</v>
          </cell>
          <cell r="F1431" t="str">
            <v>SALA DE JANTAR</v>
          </cell>
          <cell r="G1431" t="str">
            <v>4290X</v>
          </cell>
          <cell r="H1431">
            <v>2349.9899999999998</v>
          </cell>
          <cell r="I1431">
            <v>1169.99</v>
          </cell>
          <cell r="J1431">
            <v>933.90110000000004</v>
          </cell>
          <cell r="K1431">
            <v>0</v>
          </cell>
          <cell r="L1431">
            <v>933.90110000000004</v>
          </cell>
          <cell r="M1431">
            <v>0</v>
          </cell>
          <cell r="N1431">
            <v>1169.99</v>
          </cell>
          <cell r="O1431" t="str">
            <v/>
          </cell>
          <cell r="P1431">
            <v>0</v>
          </cell>
          <cell r="Q1431">
            <v>0.252798610045539</v>
          </cell>
          <cell r="R1431">
            <v>0.252798610045539</v>
          </cell>
          <cell r="S1431" t="e">
            <v>#VALUE!</v>
          </cell>
          <cell r="T1431" t="e">
            <v>#VALUE!</v>
          </cell>
        </row>
        <row r="1432">
          <cell r="A1432" t="str">
            <v>GCRM3920038N</v>
          </cell>
          <cell r="B1432" t="str">
            <v>MKP000631004293</v>
          </cell>
          <cell r="C1432" t="str">
            <v/>
          </cell>
          <cell r="D1432" t="str">
            <v>Armário de Cozinha Completa de Canto 392cm Preto Reims Madesa 03</v>
          </cell>
          <cell r="E1432" t="str">
            <v>REIMS</v>
          </cell>
          <cell r="F1432" t="str">
            <v>COZINHA</v>
          </cell>
          <cell r="G1432" t="str">
            <v/>
          </cell>
          <cell r="H1432">
            <v>1989.99</v>
          </cell>
          <cell r="I1432">
            <v>1739.92</v>
          </cell>
          <cell r="J1432">
            <v>1507.2955999999999</v>
          </cell>
          <cell r="K1432">
            <v>0</v>
          </cell>
          <cell r="L1432">
            <v>1507.2955999999999</v>
          </cell>
          <cell r="M1432">
            <v>0</v>
          </cell>
          <cell r="N1432">
            <v>1739.92</v>
          </cell>
          <cell r="O1432" t="str">
            <v/>
          </cell>
          <cell r="P1432">
            <v>0</v>
          </cell>
          <cell r="Q1432">
            <v>0.154332302170855</v>
          </cell>
          <cell r="R1432">
            <v>0.154332302170855</v>
          </cell>
          <cell r="S1432" t="e">
            <v>#VALUE!</v>
          </cell>
          <cell r="T1432" t="e">
            <v>#VALUE!</v>
          </cell>
        </row>
        <row r="1433">
          <cell r="A1433" t="str">
            <v>GRGM2500039B</v>
          </cell>
          <cell r="B1433" t="str">
            <v>MKP000631003515</v>
          </cell>
          <cell r="C1433" t="str">
            <v/>
          </cell>
          <cell r="D1433" t="str">
            <v>Armário de Cozinha Completa 100% MDF 250cm Branco/Rustic Acordes Madesa 03</v>
          </cell>
          <cell r="E1433" t="str">
            <v>ACORDES</v>
          </cell>
          <cell r="F1433" t="str">
            <v>COZINHA</v>
          </cell>
          <cell r="G1433" t="str">
            <v/>
          </cell>
          <cell r="H1433">
            <v>3499.99</v>
          </cell>
          <cell r="I1433">
            <v>2019.92</v>
          </cell>
          <cell r="J1433">
            <v>1671.6458</v>
          </cell>
          <cell r="K1433">
            <v>0</v>
          </cell>
          <cell r="L1433">
            <v>1671.6458</v>
          </cell>
          <cell r="M1433">
            <v>0</v>
          </cell>
          <cell r="N1433">
            <v>2019.92</v>
          </cell>
          <cell r="O1433" t="str">
            <v/>
          </cell>
          <cell r="P1433">
            <v>0</v>
          </cell>
          <cell r="Q1433">
            <v>0.20834210213670901</v>
          </cell>
          <cell r="R1433">
            <v>0.20834210213670901</v>
          </cell>
          <cell r="S1433" t="e">
            <v>#VALUE!</v>
          </cell>
          <cell r="T1433" t="e">
            <v>#VALUE!</v>
          </cell>
        </row>
        <row r="1434">
          <cell r="A1434" t="str">
            <v>MDJA0800047GBE</v>
          </cell>
          <cell r="B1434" t="str">
            <v>MKP000631005438</v>
          </cell>
          <cell r="C1434" t="str">
            <v/>
          </cell>
          <cell r="D1434" t="str">
            <v>Conjunto Sala de Jantar Mesa Tampo de Madeira 8 Cadeiras Rustic/Crema/Bege Marisa Madesa</v>
          </cell>
          <cell r="E1434" t="str">
            <v>MARISA</v>
          </cell>
          <cell r="F1434" t="str">
            <v>SALA DE JANTAR</v>
          </cell>
          <cell r="G1434" t="str">
            <v>4291X</v>
          </cell>
          <cell r="H1434">
            <v>1249.99</v>
          </cell>
          <cell r="I1434">
            <v>1149.99</v>
          </cell>
          <cell r="J1434">
            <v>869.50390000000004</v>
          </cell>
          <cell r="K1434">
            <v>0</v>
          </cell>
          <cell r="L1434">
            <v>869.50390000000004</v>
          </cell>
          <cell r="M1434">
            <v>0</v>
          </cell>
          <cell r="N1434">
            <v>1149.99</v>
          </cell>
          <cell r="O1434" t="str">
            <v/>
          </cell>
          <cell r="P1434">
            <v>0</v>
          </cell>
          <cell r="Q1434">
            <v>0.32258176185293702</v>
          </cell>
          <cell r="R1434">
            <v>0.32258176185293702</v>
          </cell>
          <cell r="S1434" t="e">
            <v>#VALUE!</v>
          </cell>
          <cell r="T1434" t="e">
            <v>#VALUE!</v>
          </cell>
        </row>
        <row r="1435">
          <cell r="A1435" t="str">
            <v>GRLX2000019N</v>
          </cell>
          <cell r="B1435" t="str">
            <v>MKP000631002724</v>
          </cell>
          <cell r="C1435" t="str">
            <v/>
          </cell>
          <cell r="D1435" t="str">
            <v>Armário de Cozinha Compacta 200cm Rustic/Cinza Lux Madesa 01</v>
          </cell>
          <cell r="E1435" t="str">
            <v>LUX</v>
          </cell>
          <cell r="F1435" t="str">
            <v>COZINHA</v>
          </cell>
          <cell r="G1435" t="str">
            <v/>
          </cell>
          <cell r="H1435">
            <v>3039.99</v>
          </cell>
          <cell r="I1435">
            <v>2939.99</v>
          </cell>
          <cell r="J1435">
            <v>1757.2653</v>
          </cell>
          <cell r="K1435">
            <v>0</v>
          </cell>
          <cell r="L1435">
            <v>1757.2653</v>
          </cell>
          <cell r="M1435">
            <v>0</v>
          </cell>
          <cell r="N1435">
            <v>2939.99</v>
          </cell>
          <cell r="O1435" t="str">
            <v>LOJA</v>
          </cell>
          <cell r="P1435">
            <v>2579.9899999999998</v>
          </cell>
          <cell r="Q1435">
            <v>0.67304845773714395</v>
          </cell>
          <cell r="R1435">
            <v>0.67304845773714395</v>
          </cell>
          <cell r="S1435" t="e">
            <v>#VALUE!</v>
          </cell>
          <cell r="T1435" t="e">
            <v>#VALUE!</v>
          </cell>
        </row>
        <row r="1436">
          <cell r="A1436" t="str">
            <v>G226009NLX</v>
          </cell>
          <cell r="B1436" t="str">
            <v>MKP000631002706</v>
          </cell>
          <cell r="C1436" t="str">
            <v/>
          </cell>
          <cell r="D1436" t="str">
            <v>Balcão Madesa Lux 60 cm 1 Porta (Sem Tampo) Rustic/Cinza</v>
          </cell>
          <cell r="E1436" t="str">
            <v>LUX</v>
          </cell>
          <cell r="F1436" t="str">
            <v>MODULAÇÃO</v>
          </cell>
          <cell r="G1436" t="str">
            <v/>
          </cell>
          <cell r="H1436">
            <v>919.99</v>
          </cell>
          <cell r="I1436">
            <v>659.99</v>
          </cell>
          <cell r="J1436">
            <v>361.89089999999999</v>
          </cell>
          <cell r="K1436">
            <v>0</v>
          </cell>
          <cell r="L1436">
            <v>361.89089999999999</v>
          </cell>
          <cell r="M1436">
            <v>0</v>
          </cell>
          <cell r="N1436">
            <v>659.99</v>
          </cell>
          <cell r="O1436" t="str">
            <v>LOJA</v>
          </cell>
          <cell r="P1436">
            <v>649.99</v>
          </cell>
          <cell r="Q1436">
            <v>0.823726432469012</v>
          </cell>
          <cell r="R1436">
            <v>0.823726432469012</v>
          </cell>
          <cell r="S1436" t="e">
            <v>#VALUE!</v>
          </cell>
          <cell r="T1436" t="e">
            <v>#VALUE!</v>
          </cell>
        </row>
        <row r="1437">
          <cell r="A1437" t="str">
            <v>10936E2E2G</v>
          </cell>
          <cell r="B1437" t="str">
            <v>MKP000631001852</v>
          </cell>
          <cell r="C1437" t="str">
            <v/>
          </cell>
          <cell r="D1437" t="str">
            <v>Guarda-Roupa Casal Madesa Lyon 3 Portas de Correr com Espelhos 2 Gavetas Rustic/Branco</v>
          </cell>
          <cell r="E1437" t="str">
            <v>LYON</v>
          </cell>
          <cell r="F1437" t="str">
            <v>QUARTO</v>
          </cell>
          <cell r="G1437" t="str">
            <v/>
          </cell>
          <cell r="H1437">
            <v>1279.99</v>
          </cell>
          <cell r="I1437">
            <v>1179.99</v>
          </cell>
          <cell r="J1437">
            <v>969.44600000000003</v>
          </cell>
          <cell r="K1437">
            <v>0</v>
          </cell>
          <cell r="L1437">
            <v>969.44600000000003</v>
          </cell>
          <cell r="M1437">
            <v>0</v>
          </cell>
          <cell r="N1437">
            <v>1179.99</v>
          </cell>
          <cell r="O1437" t="str">
            <v/>
          </cell>
          <cell r="P1437">
            <v>0</v>
          </cell>
          <cell r="Q1437">
            <v>0.21717970882338999</v>
          </cell>
          <cell r="R1437">
            <v>0.21717970882338999</v>
          </cell>
          <cell r="S1437" t="e">
            <v>#VALUE!</v>
          </cell>
          <cell r="T1437" t="e">
            <v>#VALUE!</v>
          </cell>
        </row>
        <row r="1438">
          <cell r="A1438" t="str">
            <v>XB21055Z1</v>
          </cell>
          <cell r="B1438" t="str">
            <v>MKP000631005826</v>
          </cell>
          <cell r="C1438" t="str">
            <v/>
          </cell>
          <cell r="D1438" t="str">
            <v>Painel para TV até 60 Polegadas Madesa Alfa com Prateleiras e Nichos Rustic</v>
          </cell>
          <cell r="E1438" t="str">
            <v>ALFA</v>
          </cell>
          <cell r="F1438" t="str">
            <v>SALA DE ESTAR</v>
          </cell>
          <cell r="G1438" t="str">
            <v/>
          </cell>
          <cell r="H1438">
            <v>879.99</v>
          </cell>
          <cell r="I1438">
            <v>399.99</v>
          </cell>
          <cell r="J1438">
            <v>309.11309999999997</v>
          </cell>
          <cell r="K1438">
            <v>0</v>
          </cell>
          <cell r="L1438">
            <v>309.11309999999997</v>
          </cell>
          <cell r="M1438">
            <v>0</v>
          </cell>
          <cell r="N1438">
            <v>399.99</v>
          </cell>
          <cell r="O1438" t="str">
            <v/>
          </cell>
          <cell r="P1438">
            <v>0</v>
          </cell>
          <cell r="Q1438">
            <v>0.29399239307554398</v>
          </cell>
          <cell r="R1438">
            <v>0.29399239307554398</v>
          </cell>
          <cell r="S1438" t="e">
            <v>#VALUE!</v>
          </cell>
          <cell r="T1438" t="e">
            <v>#VALUE!</v>
          </cell>
        </row>
        <row r="1439">
          <cell r="A1439" t="str">
            <v>MDDR01000109</v>
          </cell>
          <cell r="B1439" t="str">
            <v>MKP000631005903</v>
          </cell>
          <cell r="C1439" t="str">
            <v/>
          </cell>
          <cell r="D1439" t="str">
            <v>Armário Aéreo para Quarto com Nicho e Prateleira 120cm Branco Madesa</v>
          </cell>
          <cell r="E1439" t="str">
            <v>PR</v>
          </cell>
          <cell r="F1439" t="str">
            <v>MODULAÇÃO</v>
          </cell>
          <cell r="G1439" t="str">
            <v/>
          </cell>
          <cell r="H1439">
            <v>229.99</v>
          </cell>
          <cell r="I1439">
            <v>229.99</v>
          </cell>
          <cell r="J1439">
            <v>179.25049999999999</v>
          </cell>
          <cell r="K1439">
            <v>0</v>
          </cell>
          <cell r="L1439">
            <v>179.25049999999999</v>
          </cell>
          <cell r="M1439">
            <v>0</v>
          </cell>
          <cell r="N1439">
            <v>229.99</v>
          </cell>
          <cell r="O1439" t="str">
            <v/>
          </cell>
          <cell r="P1439">
            <v>0</v>
          </cell>
          <cell r="Q1439">
            <v>0.28306476132563102</v>
          </cell>
          <cell r="R1439">
            <v>0.28306476132563102</v>
          </cell>
          <cell r="S1439" t="e">
            <v>#VALUE!</v>
          </cell>
          <cell r="T1439" t="e">
            <v>#VALUE!</v>
          </cell>
        </row>
        <row r="1440">
          <cell r="A1440" t="str">
            <v>XB1063092E</v>
          </cell>
          <cell r="B1440" t="str">
            <v>MKP000631001428</v>
          </cell>
          <cell r="C1440" t="str">
            <v/>
          </cell>
          <cell r="D1440" t="str">
            <v>Guarda-Roupa Juvenil 100% MDF Madesa Kevin 3 Portas de Correr com Espelhos Branco</v>
          </cell>
          <cell r="E1440" t="str">
            <v>KEVIN</v>
          </cell>
          <cell r="F1440" t="str">
            <v>QUARTO</v>
          </cell>
          <cell r="G1440" t="str">
            <v/>
          </cell>
          <cell r="H1440">
            <v>3189.99</v>
          </cell>
          <cell r="I1440">
            <v>2359.92</v>
          </cell>
          <cell r="J1440">
            <v>2033.8746000000001</v>
          </cell>
          <cell r="K1440">
            <v>0</v>
          </cell>
          <cell r="L1440">
            <v>2033.8746000000001</v>
          </cell>
          <cell r="M1440">
            <v>0</v>
          </cell>
          <cell r="N1440">
            <v>2359.92</v>
          </cell>
          <cell r="O1440" t="str">
            <v/>
          </cell>
          <cell r="P1440">
            <v>0</v>
          </cell>
          <cell r="Q1440">
            <v>0.160307523384185</v>
          </cell>
          <cell r="R1440">
            <v>0.160307523384185</v>
          </cell>
          <cell r="S1440" t="e">
            <v>#VALUE!</v>
          </cell>
          <cell r="T1440" t="e">
            <v>#VALUE!</v>
          </cell>
        </row>
        <row r="1441">
          <cell r="A1441" t="str">
            <v>G251217KAG</v>
          </cell>
          <cell r="B1441" t="str">
            <v>MKP000631003065</v>
          </cell>
          <cell r="C1441" t="str">
            <v/>
          </cell>
          <cell r="D1441" t="str">
            <v>Armário Aéreo Madesa Agata 120 cm 2 Portas Rustic/Preto</v>
          </cell>
          <cell r="E1441" t="str">
            <v>ÁGATA</v>
          </cell>
          <cell r="F1441" t="str">
            <v>MODULAÇÃO</v>
          </cell>
          <cell r="G1441" t="str">
            <v/>
          </cell>
          <cell r="H1441">
            <v>829.99</v>
          </cell>
          <cell r="I1441">
            <v>489.99</v>
          </cell>
          <cell r="J1441">
            <v>307.46719999999999</v>
          </cell>
          <cell r="K1441">
            <v>0</v>
          </cell>
          <cell r="L1441">
            <v>307.46719999999999</v>
          </cell>
          <cell r="M1441">
            <v>0</v>
          </cell>
          <cell r="N1441">
            <v>489.99</v>
          </cell>
          <cell r="O1441" t="str">
            <v/>
          </cell>
          <cell r="P1441">
            <v>0</v>
          </cell>
          <cell r="Q1441">
            <v>0.59363340219704797</v>
          </cell>
          <cell r="R1441">
            <v>0.59363340219704797</v>
          </cell>
          <cell r="S1441" t="e">
            <v>#VALUE!</v>
          </cell>
          <cell r="T1441" t="e">
            <v>#VALUE!</v>
          </cell>
        </row>
        <row r="1442">
          <cell r="A1442" t="str">
            <v>1093D82E</v>
          </cell>
          <cell r="B1442" t="str">
            <v>MKP000631002105</v>
          </cell>
          <cell r="C1442" t="str">
            <v/>
          </cell>
          <cell r="D1442" t="str">
            <v>Guarda-Roupa Casal Madesa Mônaco 3 Portas de Correr com Espelhos Preto/Rustic</v>
          </cell>
          <cell r="E1442" t="str">
            <v>MÔNACO</v>
          </cell>
          <cell r="F1442" t="str">
            <v>QUARTO</v>
          </cell>
          <cell r="G1442" t="str">
            <v/>
          </cell>
          <cell r="H1442">
            <v>1369.99</v>
          </cell>
          <cell r="I1442">
            <v>1079.92</v>
          </cell>
          <cell r="J1442">
            <v>880.70910000000003</v>
          </cell>
          <cell r="K1442">
            <v>0</v>
          </cell>
          <cell r="L1442">
            <v>880.70910000000003</v>
          </cell>
          <cell r="M1442">
            <v>0</v>
          </cell>
          <cell r="N1442">
            <v>1079.92</v>
          </cell>
          <cell r="O1442" t="str">
            <v/>
          </cell>
          <cell r="P1442">
            <v>0</v>
          </cell>
          <cell r="Q1442">
            <v>0.22619375682617601</v>
          </cell>
          <cell r="R1442">
            <v>0.22619375682617601</v>
          </cell>
          <cell r="S1442" t="e">
            <v>#VALUE!</v>
          </cell>
          <cell r="T1442" t="e">
            <v>#VALUE!</v>
          </cell>
        </row>
        <row r="1443">
          <cell r="A1443" t="str">
            <v>10938N2E2G</v>
          </cell>
          <cell r="B1443" t="str">
            <v>MKP000631001934</v>
          </cell>
          <cell r="C1443" t="str">
            <v/>
          </cell>
          <cell r="D1443" t="str">
            <v>Guarda-Roupa Casal Madesa Lyon 3 Portas de Correr com Espelhos 2 Gavetas Preto</v>
          </cell>
          <cell r="E1443" t="str">
            <v>LYON</v>
          </cell>
          <cell r="F1443" t="str">
            <v>QUARTO</v>
          </cell>
          <cell r="G1443" t="str">
            <v/>
          </cell>
          <cell r="H1443">
            <v>1469.99</v>
          </cell>
          <cell r="I1443">
            <v>1189.92</v>
          </cell>
          <cell r="J1443">
            <v>969.44600000000003</v>
          </cell>
          <cell r="K1443">
            <v>0</v>
          </cell>
          <cell r="L1443">
            <v>969.44600000000003</v>
          </cell>
          <cell r="M1443">
            <v>0</v>
          </cell>
          <cell r="N1443">
            <v>1189.92</v>
          </cell>
          <cell r="O1443" t="str">
            <v/>
          </cell>
          <cell r="P1443">
            <v>0</v>
          </cell>
          <cell r="Q1443">
            <v>0.22742267233038299</v>
          </cell>
          <cell r="R1443">
            <v>0.22742267233038299</v>
          </cell>
          <cell r="S1443" t="e">
            <v>#VALUE!</v>
          </cell>
          <cell r="T1443" t="e">
            <v>#VALUE!</v>
          </cell>
        </row>
        <row r="1444">
          <cell r="A1444" t="str">
            <v>G251535ZGL</v>
          </cell>
          <cell r="B1444" t="str">
            <v>MKP000631004437</v>
          </cell>
          <cell r="C1444" t="str">
            <v/>
          </cell>
          <cell r="D1444" t="str">
            <v>Armário Aéreo Madesa Glamy 150 cm 2 Portas e 2 Nichos Rustic</v>
          </cell>
          <cell r="E1444" t="str">
            <v>GLAMY</v>
          </cell>
          <cell r="F1444" t="str">
            <v>MODULAÇÃO</v>
          </cell>
          <cell r="G1444" t="str">
            <v/>
          </cell>
          <cell r="H1444">
            <v>949.99</v>
          </cell>
          <cell r="I1444">
            <v>589.99</v>
          </cell>
          <cell r="J1444">
            <v>361.16059999999999</v>
          </cell>
          <cell r="K1444">
            <v>0</v>
          </cell>
          <cell r="L1444">
            <v>361.16059999999999</v>
          </cell>
          <cell r="M1444">
            <v>0</v>
          </cell>
          <cell r="N1444">
            <v>589.99</v>
          </cell>
          <cell r="O1444" t="str">
            <v/>
          </cell>
          <cell r="P1444">
            <v>0</v>
          </cell>
          <cell r="Q1444">
            <v>0.63359458368382404</v>
          </cell>
          <cell r="R1444">
            <v>0.63359458368382404</v>
          </cell>
          <cell r="S1444" t="e">
            <v>#VALUE!</v>
          </cell>
          <cell r="T1444" t="e">
            <v>#VALUE!</v>
          </cell>
        </row>
        <row r="1445">
          <cell r="A1445" t="str">
            <v>GCLX5460019R</v>
          </cell>
          <cell r="B1445" t="str">
            <v>MKP000631003393</v>
          </cell>
          <cell r="C1445" t="str">
            <v/>
          </cell>
          <cell r="D1445" t="str">
            <v>Armário de Cozinha Completa de Canto 546cm Branco/Cinza Lux Madesa 01</v>
          </cell>
          <cell r="E1445" t="str">
            <v>LUX</v>
          </cell>
          <cell r="F1445" t="str">
            <v>COZINHA</v>
          </cell>
          <cell r="G1445" t="str">
            <v/>
          </cell>
          <cell r="H1445">
            <v>8439.99</v>
          </cell>
          <cell r="I1445">
            <v>8339.99</v>
          </cell>
          <cell r="J1445">
            <v>5172.1589999999997</v>
          </cell>
          <cell r="K1445">
            <v>0</v>
          </cell>
          <cell r="L1445">
            <v>5172.1589999999997</v>
          </cell>
          <cell r="M1445">
            <v>0</v>
          </cell>
          <cell r="N1445">
            <v>8339.99</v>
          </cell>
          <cell r="O1445" t="str">
            <v>LOJA</v>
          </cell>
          <cell r="P1445">
            <v>7329.99</v>
          </cell>
          <cell r="Q1445">
            <v>0.61247749730818402</v>
          </cell>
          <cell r="R1445">
            <v>0.61247749730818402</v>
          </cell>
          <cell r="S1445" t="e">
            <v>#VALUE!</v>
          </cell>
          <cell r="T1445" t="e">
            <v>#VALUE!</v>
          </cell>
        </row>
        <row r="1446">
          <cell r="A1446" t="str">
            <v>G25804F9AG</v>
          </cell>
          <cell r="B1446" t="str">
            <v>MKP000631002581</v>
          </cell>
          <cell r="C1446" t="str">
            <v/>
          </cell>
          <cell r="D1446" t="str">
            <v>Armário Aéreo Madesa Agata 80 cm 1 Porta Basculante Rustic/Cinza</v>
          </cell>
          <cell r="E1446" t="str">
            <v>ÁGATA</v>
          </cell>
          <cell r="F1446" t="str">
            <v>MODULAÇÃO</v>
          </cell>
          <cell r="G1446" t="str">
            <v/>
          </cell>
          <cell r="H1446">
            <v>389.99</v>
          </cell>
          <cell r="I1446">
            <v>279.99</v>
          </cell>
          <cell r="J1446">
            <v>162.35550000000001</v>
          </cell>
          <cell r="K1446">
            <v>0</v>
          </cell>
          <cell r="L1446">
            <v>162.35550000000001</v>
          </cell>
          <cell r="M1446">
            <v>0</v>
          </cell>
          <cell r="N1446">
            <v>279.99</v>
          </cell>
          <cell r="O1446" t="str">
            <v/>
          </cell>
          <cell r="P1446">
            <v>0</v>
          </cell>
          <cell r="Q1446">
            <v>0.72454890656614701</v>
          </cell>
          <cell r="R1446">
            <v>0.72454890656614701</v>
          </cell>
          <cell r="S1446" t="e">
            <v>#VALUE!</v>
          </cell>
          <cell r="T1446" t="e">
            <v>#VALUE!</v>
          </cell>
        </row>
        <row r="1447">
          <cell r="A1447" t="str">
            <v>G2480009GL</v>
          </cell>
          <cell r="B1447" t="str">
            <v>MKP000631000018</v>
          </cell>
          <cell r="C1447" t="str">
            <v/>
          </cell>
          <cell r="D1447" t="str">
            <v>Balcão Madesa Glamy 80 cm 2 Portas Branco</v>
          </cell>
          <cell r="E1447" t="str">
            <v>GLAMY</v>
          </cell>
          <cell r="F1447" t="str">
            <v>MODULAÇÃO</v>
          </cell>
          <cell r="G1447" t="str">
            <v/>
          </cell>
          <cell r="H1447">
            <v>939.99</v>
          </cell>
          <cell r="I1447">
            <v>519.99</v>
          </cell>
          <cell r="J1447">
            <v>333.19119999999998</v>
          </cell>
          <cell r="K1447">
            <v>0</v>
          </cell>
          <cell r="L1447">
            <v>333.19119999999998</v>
          </cell>
          <cell r="M1447">
            <v>0</v>
          </cell>
          <cell r="N1447">
            <v>519.99</v>
          </cell>
          <cell r="O1447" t="str">
            <v/>
          </cell>
          <cell r="P1447">
            <v>0</v>
          </cell>
          <cell r="Q1447">
            <v>0.56063545495799405</v>
          </cell>
          <cell r="R1447">
            <v>0.56063545495799405</v>
          </cell>
          <cell r="S1447" t="e">
            <v>#VALUE!</v>
          </cell>
          <cell r="T1447" t="e">
            <v>#VALUE!</v>
          </cell>
        </row>
        <row r="1448">
          <cell r="A1448" t="str">
            <v>GRAG2000016E</v>
          </cell>
          <cell r="B1448" t="str">
            <v>MKP000631004922</v>
          </cell>
          <cell r="C1448" t="str">
            <v/>
          </cell>
          <cell r="D1448" t="str">
            <v>Kit com 2 Balcões de Cozinha Madesa Agata 3 Gavetas 4 Portas (Sem Tampo e Pia) Rustic/Branco</v>
          </cell>
          <cell r="E1448" t="str">
            <v>ÁGATA</v>
          </cell>
          <cell r="F1448" t="str">
            <v>COZINHA</v>
          </cell>
          <cell r="G1448" t="str">
            <v/>
          </cell>
          <cell r="H1448">
            <v>1169.99</v>
          </cell>
          <cell r="I1448">
            <v>1069.99</v>
          </cell>
          <cell r="J1448">
            <v>868.41390000000001</v>
          </cell>
          <cell r="K1448">
            <v>0</v>
          </cell>
          <cell r="L1448">
            <v>868.41390000000001</v>
          </cell>
          <cell r="M1448">
            <v>0</v>
          </cell>
          <cell r="N1448">
            <v>1069.99</v>
          </cell>
          <cell r="O1448" t="str">
            <v/>
          </cell>
          <cell r="P1448">
            <v>0</v>
          </cell>
          <cell r="Q1448">
            <v>0.23211984515678499</v>
          </cell>
          <cell r="R1448">
            <v>0.23211984515678499</v>
          </cell>
          <cell r="S1448" t="e">
            <v>#VALUE!</v>
          </cell>
          <cell r="T1448" t="e">
            <v>#VALUE!</v>
          </cell>
        </row>
        <row r="1449">
          <cell r="A1449" t="str">
            <v>1163092ECP</v>
          </cell>
          <cell r="B1449" t="str">
            <v>MKP000631001184</v>
          </cell>
          <cell r="C1449" t="str">
            <v/>
          </cell>
          <cell r="D1449" t="str">
            <v>Guarda-Roupa Casal 100% MDF Madesa Eros 3 Portas de Correr com Espelhos com Pés Branco</v>
          </cell>
          <cell r="E1449" t="str">
            <v>EROS</v>
          </cell>
          <cell r="F1449" t="str">
            <v>QUARTO</v>
          </cell>
          <cell r="G1449" t="str">
            <v/>
          </cell>
          <cell r="H1449">
            <v>3049.99</v>
          </cell>
          <cell r="I1449">
            <v>2259.92</v>
          </cell>
          <cell r="J1449">
            <v>1857.3927000000001</v>
          </cell>
          <cell r="K1449">
            <v>0</v>
          </cell>
          <cell r="L1449">
            <v>1857.3927000000001</v>
          </cell>
          <cell r="M1449">
            <v>0</v>
          </cell>
          <cell r="N1449">
            <v>2259.92</v>
          </cell>
          <cell r="O1449" t="str">
            <v/>
          </cell>
          <cell r="P1449">
            <v>0</v>
          </cell>
          <cell r="Q1449">
            <v>0.216716314218313</v>
          </cell>
          <cell r="R1449">
            <v>0.216716314218313</v>
          </cell>
          <cell r="S1449" t="e">
            <v>#VALUE!</v>
          </cell>
          <cell r="T1449" t="e">
            <v>#VALUE!</v>
          </cell>
        </row>
        <row r="1450">
          <cell r="A1450" t="str">
            <v>11639B1E</v>
          </cell>
          <cell r="B1450" t="str">
            <v>MKP000631000988</v>
          </cell>
          <cell r="C1450" t="str">
            <v/>
          </cell>
          <cell r="D1450" t="str">
            <v>Guarda-Roupa Casal 100% MDF Madesa Eros 3 Portas de Correr com Espelho Branco/Rustic</v>
          </cell>
          <cell r="E1450" t="str">
            <v>EROS</v>
          </cell>
          <cell r="F1450" t="str">
            <v>QUARTO</v>
          </cell>
          <cell r="G1450" t="str">
            <v/>
          </cell>
          <cell r="H1450">
            <v>2689.99</v>
          </cell>
          <cell r="I1450">
            <v>2049.92</v>
          </cell>
          <cell r="J1450">
            <v>1681.2814000000001</v>
          </cell>
          <cell r="K1450">
            <v>0</v>
          </cell>
          <cell r="L1450">
            <v>1681.2814000000001</v>
          </cell>
          <cell r="M1450">
            <v>0</v>
          </cell>
          <cell r="N1450">
            <v>2049.92</v>
          </cell>
          <cell r="O1450" t="str">
            <v/>
          </cell>
          <cell r="P1450">
            <v>0</v>
          </cell>
          <cell r="Q1450">
            <v>0.21926049975929099</v>
          </cell>
          <cell r="R1450">
            <v>0.21926049975929099</v>
          </cell>
          <cell r="S1450" t="e">
            <v>#VALUE!</v>
          </cell>
          <cell r="T1450" t="e">
            <v>#VALUE!</v>
          </cell>
        </row>
        <row r="1451">
          <cell r="A1451" t="str">
            <v>G2460109RM</v>
          </cell>
          <cell r="B1451" t="str">
            <v>MKP000631003018</v>
          </cell>
          <cell r="C1451" t="str">
            <v/>
          </cell>
          <cell r="D1451" t="str">
            <v>Balcão Madesa Reims 60 cm 3 Gavetas Branco</v>
          </cell>
          <cell r="E1451" t="str">
            <v>REIMS</v>
          </cell>
          <cell r="F1451" t="str">
            <v>MODULAÇÃO</v>
          </cell>
          <cell r="G1451" t="str">
            <v/>
          </cell>
          <cell r="H1451">
            <v>1019.99</v>
          </cell>
          <cell r="I1451">
            <v>449.99</v>
          </cell>
          <cell r="J1451">
            <v>341.9984</v>
          </cell>
          <cell r="K1451">
            <v>0</v>
          </cell>
          <cell r="L1451">
            <v>341.9984</v>
          </cell>
          <cell r="M1451">
            <v>0</v>
          </cell>
          <cell r="N1451">
            <v>449.99</v>
          </cell>
          <cell r="O1451" t="str">
            <v/>
          </cell>
          <cell r="P1451">
            <v>0</v>
          </cell>
          <cell r="Q1451">
            <v>0.31576638955036002</v>
          </cell>
          <cell r="R1451">
            <v>0.31576638955036002</v>
          </cell>
          <cell r="S1451" t="e">
            <v>#VALUE!</v>
          </cell>
          <cell r="T1451" t="e">
            <v>#VALUE!</v>
          </cell>
        </row>
        <row r="1452">
          <cell r="A1452" t="str">
            <v>XAGREM2930019B</v>
          </cell>
          <cell r="B1452" t="str">
            <v>MKP000631004144</v>
          </cell>
          <cell r="C1452" t="str">
            <v/>
          </cell>
          <cell r="D1452" t="str">
            <v>Armário de Cozinha Completa 293cm Rustic/Branco Emilly Madesa 01XA</v>
          </cell>
          <cell r="E1452" t="str">
            <v>EMILLY</v>
          </cell>
          <cell r="F1452" t="str">
            <v>COZINHA</v>
          </cell>
          <cell r="G1452" t="str">
            <v/>
          </cell>
          <cell r="H1452">
            <v>1299.99</v>
          </cell>
          <cell r="I1452">
            <v>1229.99</v>
          </cell>
          <cell r="J1452">
            <v>910.59690000000001</v>
          </cell>
          <cell r="K1452">
            <v>0</v>
          </cell>
          <cell r="L1452">
            <v>910.59690000000001</v>
          </cell>
          <cell r="M1452">
            <v>0</v>
          </cell>
          <cell r="N1452">
            <v>1229.99</v>
          </cell>
          <cell r="O1452" t="str">
            <v/>
          </cell>
          <cell r="P1452">
            <v>0</v>
          </cell>
          <cell r="Q1452">
            <v>0.35075135880651498</v>
          </cell>
          <cell r="R1452">
            <v>0.35075135880651498</v>
          </cell>
          <cell r="S1452" t="e">
            <v>#VALUE!</v>
          </cell>
          <cell r="T1452" t="e">
            <v>#VALUE!</v>
          </cell>
        </row>
        <row r="1453">
          <cell r="A1453" t="str">
            <v>1028774E</v>
          </cell>
          <cell r="B1453" t="str">
            <v>MKP000631003473</v>
          </cell>
          <cell r="C1453" t="str">
            <v/>
          </cell>
          <cell r="D1453" t="str">
            <v>Guarda-Roupa Casal Madesa Austin 4 Portas de Correr de Espelho 3 Gavetas Preto/Branco</v>
          </cell>
          <cell r="E1453" t="str">
            <v>AUSTIN</v>
          </cell>
          <cell r="F1453" t="str">
            <v>QUARTO</v>
          </cell>
          <cell r="G1453" t="str">
            <v/>
          </cell>
          <cell r="H1453">
            <v>2369.9899999999998</v>
          </cell>
          <cell r="I1453">
            <v>1919.92</v>
          </cell>
          <cell r="J1453">
            <v>1632.2095999999999</v>
          </cell>
          <cell r="K1453">
            <v>0</v>
          </cell>
          <cell r="L1453">
            <v>1632.2095999999999</v>
          </cell>
          <cell r="M1453">
            <v>0</v>
          </cell>
          <cell r="N1453">
            <v>1919.92</v>
          </cell>
          <cell r="O1453" t="str">
            <v/>
          </cell>
          <cell r="P1453">
            <v>0</v>
          </cell>
          <cell r="Q1453">
            <v>0.17627049859282801</v>
          </cell>
          <cell r="R1453">
            <v>0.17627049859282801</v>
          </cell>
          <cell r="S1453" t="e">
            <v>#VALUE!</v>
          </cell>
          <cell r="T1453" t="e">
            <v>#VALUE!</v>
          </cell>
        </row>
        <row r="1454">
          <cell r="A1454" t="str">
            <v>XAG20088095Z</v>
          </cell>
          <cell r="B1454" t="str">
            <v>MKP000631003316</v>
          </cell>
          <cell r="C1454" t="str">
            <v/>
          </cell>
          <cell r="D1454" t="str">
            <v>Armário de Cozinha Completa 240cm Branco/Rustic Topazio Madesa XA</v>
          </cell>
          <cell r="E1454" t="str">
            <v>TOPÁZIO</v>
          </cell>
          <cell r="F1454" t="str">
            <v>COZINHA</v>
          </cell>
          <cell r="G1454" t="str">
            <v/>
          </cell>
          <cell r="H1454">
            <v>1399.99</v>
          </cell>
          <cell r="I1454">
            <v>1299.99</v>
          </cell>
          <cell r="J1454">
            <v>1072.4292</v>
          </cell>
          <cell r="K1454">
            <v>0</v>
          </cell>
          <cell r="L1454">
            <v>1072.4292</v>
          </cell>
          <cell r="M1454">
            <v>0</v>
          </cell>
          <cell r="N1454">
            <v>1299.99</v>
          </cell>
          <cell r="O1454" t="str">
            <v/>
          </cell>
          <cell r="P1454">
            <v>0</v>
          </cell>
          <cell r="Q1454">
            <v>0.21219190973166299</v>
          </cell>
          <cell r="R1454">
            <v>0.21219190973166299</v>
          </cell>
          <cell r="S1454" t="e">
            <v>#VALUE!</v>
          </cell>
          <cell r="T1454" t="e">
            <v>#VALUE!</v>
          </cell>
        </row>
        <row r="1455">
          <cell r="A1455" t="str">
            <v>G251206E</v>
          </cell>
          <cell r="B1455" t="str">
            <v>MKP000631000915</v>
          </cell>
          <cell r="C1455" t="str">
            <v/>
          </cell>
          <cell r="D1455" t="str">
            <v>Armário Aéreo Madesa Acordes 100% MDF 120 cm 2 Portas Vidro Reflex Branco/Rustic</v>
          </cell>
          <cell r="E1455" t="str">
            <v>ACORDES</v>
          </cell>
          <cell r="F1455" t="str">
            <v>MODULAÇÃO</v>
          </cell>
          <cell r="G1455" t="str">
            <v/>
          </cell>
          <cell r="H1455">
            <v>959.99</v>
          </cell>
          <cell r="I1455">
            <v>529.99</v>
          </cell>
          <cell r="J1455">
            <v>350.40230000000003</v>
          </cell>
          <cell r="K1455">
            <v>0</v>
          </cell>
          <cell r="L1455">
            <v>350.40230000000003</v>
          </cell>
          <cell r="M1455">
            <v>0</v>
          </cell>
          <cell r="N1455">
            <v>529.99</v>
          </cell>
          <cell r="O1455" t="str">
            <v/>
          </cell>
          <cell r="P1455">
            <v>0</v>
          </cell>
          <cell r="Q1455">
            <v>0.51251861075112803</v>
          </cell>
          <cell r="R1455">
            <v>0.51251861075112803</v>
          </cell>
          <cell r="S1455" t="e">
            <v>#VALUE!</v>
          </cell>
          <cell r="T1455" t="e">
            <v>#VALUE!</v>
          </cell>
        </row>
        <row r="1456">
          <cell r="A1456" t="str">
            <v>G228009NLX</v>
          </cell>
          <cell r="B1456" t="str">
            <v>MKP000631002709</v>
          </cell>
          <cell r="C1456" t="str">
            <v/>
          </cell>
          <cell r="D1456" t="str">
            <v>Balcão Madesa Lux 80 cm 2 Portas (Sem Tampo) Rustic/Cinza</v>
          </cell>
          <cell r="E1456" t="str">
            <v>LUX</v>
          </cell>
          <cell r="F1456" t="str">
            <v>MODULAÇÃO</v>
          </cell>
          <cell r="G1456" t="str">
            <v/>
          </cell>
          <cell r="H1456">
            <v>1099.99</v>
          </cell>
          <cell r="I1456">
            <v>879.99</v>
          </cell>
          <cell r="J1456">
            <v>488.62520000000001</v>
          </cell>
          <cell r="K1456">
            <v>0</v>
          </cell>
          <cell r="L1456">
            <v>488.62520000000001</v>
          </cell>
          <cell r="M1456">
            <v>0</v>
          </cell>
          <cell r="N1456">
            <v>879.99</v>
          </cell>
          <cell r="O1456" t="str">
            <v>LOJA</v>
          </cell>
          <cell r="P1456">
            <v>869.99</v>
          </cell>
          <cell r="Q1456">
            <v>0.80095091288783304</v>
          </cell>
          <cell r="R1456">
            <v>0.80095091288783304</v>
          </cell>
          <cell r="S1456" t="e">
            <v>#VALUE!</v>
          </cell>
          <cell r="T1456" t="e">
            <v>#VALUE!</v>
          </cell>
        </row>
        <row r="1457">
          <cell r="A1457" t="str">
            <v>GRAG180001F9</v>
          </cell>
          <cell r="B1457" t="str">
            <v>MKP000631004274</v>
          </cell>
          <cell r="C1457" t="str">
            <v/>
          </cell>
          <cell r="D1457" t="str">
            <v>Armário de Cozinha Compacta 180cm Rustic Cinza Agata Madesa 01</v>
          </cell>
          <cell r="E1457" t="str">
            <v>ÁGATA</v>
          </cell>
          <cell r="F1457" t="str">
            <v>COZINHA</v>
          </cell>
          <cell r="G1457" t="str">
            <v/>
          </cell>
          <cell r="H1457">
            <v>1639.99</v>
          </cell>
          <cell r="I1457">
            <v>1539.99</v>
          </cell>
          <cell r="J1457">
            <v>1285.3607</v>
          </cell>
          <cell r="K1457">
            <v>0</v>
          </cell>
          <cell r="L1457">
            <v>1285.3607</v>
          </cell>
          <cell r="M1457">
            <v>0</v>
          </cell>
          <cell r="N1457">
            <v>1539.99</v>
          </cell>
          <cell r="O1457" t="str">
            <v/>
          </cell>
          <cell r="P1457">
            <v>0</v>
          </cell>
          <cell r="Q1457">
            <v>0.19809949067215099</v>
          </cell>
          <cell r="R1457">
            <v>0.19809949067215099</v>
          </cell>
          <cell r="S1457" t="e">
            <v>#VALUE!</v>
          </cell>
          <cell r="T1457" t="e">
            <v>#VALUE!</v>
          </cell>
        </row>
        <row r="1458">
          <cell r="A1458" t="str">
            <v>G2412309TE</v>
          </cell>
          <cell r="B1458" t="str">
            <v>MKP000631002038</v>
          </cell>
          <cell r="C1458" t="str">
            <v/>
          </cell>
          <cell r="D1458" t="str">
            <v>Balcão Gabinete de Pia Madesa Stella 1 Porta e 2 Gavetas (Sem Tampo e Pia) Branco</v>
          </cell>
          <cell r="E1458" t="str">
            <v>STELLA</v>
          </cell>
          <cell r="F1458" t="str">
            <v>MODULAÇÃO</v>
          </cell>
          <cell r="G1458" t="str">
            <v/>
          </cell>
          <cell r="H1458">
            <v>1119.99</v>
          </cell>
          <cell r="I1458">
            <v>559.99</v>
          </cell>
          <cell r="J1458">
            <v>429.73250000000002</v>
          </cell>
          <cell r="K1458">
            <v>0</v>
          </cell>
          <cell r="L1458">
            <v>429.73250000000002</v>
          </cell>
          <cell r="M1458">
            <v>0</v>
          </cell>
          <cell r="N1458">
            <v>559.99</v>
          </cell>
          <cell r="O1458" t="str">
            <v/>
          </cell>
          <cell r="P1458">
            <v>0</v>
          </cell>
          <cell r="Q1458">
            <v>0.303112983076681</v>
          </cell>
          <cell r="R1458">
            <v>0.303112983076681</v>
          </cell>
          <cell r="S1458" t="e">
            <v>#VALUE!</v>
          </cell>
          <cell r="T1458" t="e">
            <v>#VALUE!</v>
          </cell>
        </row>
        <row r="1459">
          <cell r="A1459" t="str">
            <v>MDJA0601357KSIL</v>
          </cell>
          <cell r="B1459" t="str">
            <v>MKP000631004927</v>
          </cell>
          <cell r="C1459" t="str">
            <v/>
          </cell>
          <cell r="D1459" t="str">
            <v>Conjunto Sala de Jantar Mesa Tampo de Madeira 6 Cadeiras Rustic/Preto/Silver Hanna Madesa</v>
          </cell>
          <cell r="E1459" t="str">
            <v>HANNA</v>
          </cell>
          <cell r="F1459" t="str">
            <v>SALA DE JANTAR</v>
          </cell>
          <cell r="G1459">
            <v>4256</v>
          </cell>
          <cell r="H1459">
            <v>1599.99</v>
          </cell>
          <cell r="I1459">
            <v>1499.99</v>
          </cell>
          <cell r="J1459">
            <v>1178.8132000000001</v>
          </cell>
          <cell r="K1459">
            <v>0</v>
          </cell>
          <cell r="L1459">
            <v>1178.8132000000001</v>
          </cell>
          <cell r="M1459">
            <v>0</v>
          </cell>
          <cell r="N1459">
            <v>1499.99</v>
          </cell>
          <cell r="O1459" t="str">
            <v/>
          </cell>
          <cell r="P1459">
            <v>0</v>
          </cell>
          <cell r="Q1459">
            <v>0.27245775666577199</v>
          </cell>
          <cell r="R1459">
            <v>0.27245775666577199</v>
          </cell>
          <cell r="S1459" t="e">
            <v>#VALUE!</v>
          </cell>
          <cell r="T1459" t="e">
            <v>#VALUE!</v>
          </cell>
        </row>
        <row r="1460">
          <cell r="A1460" t="str">
            <v>GRGL3300037K</v>
          </cell>
          <cell r="B1460" t="str">
            <v>MKP000631004352</v>
          </cell>
          <cell r="C1460" t="str">
            <v/>
          </cell>
          <cell r="D1460" t="str">
            <v>Armário de Cozinha Completa 330cm Rustic/Preto Glamy Madesa 03</v>
          </cell>
          <cell r="E1460" t="str">
            <v>GLAMY</v>
          </cell>
          <cell r="F1460" t="str">
            <v>COZINHA</v>
          </cell>
          <cell r="G1460" t="str">
            <v/>
          </cell>
          <cell r="H1460">
            <v>2799.99</v>
          </cell>
          <cell r="I1460">
            <v>2699.99</v>
          </cell>
          <cell r="J1460">
            <v>2173.8415</v>
          </cell>
          <cell r="K1460">
            <v>0</v>
          </cell>
          <cell r="L1460">
            <v>2173.8415</v>
          </cell>
          <cell r="M1460">
            <v>0</v>
          </cell>
          <cell r="N1460">
            <v>2699.99</v>
          </cell>
          <cell r="O1460" t="str">
            <v/>
          </cell>
          <cell r="P1460">
            <v>0</v>
          </cell>
          <cell r="Q1460">
            <v>0.242036275413824</v>
          </cell>
          <cell r="R1460">
            <v>0.242036275413824</v>
          </cell>
          <cell r="S1460" t="e">
            <v>#VALUE!</v>
          </cell>
          <cell r="T1460" t="e">
            <v>#VALUE!</v>
          </cell>
        </row>
        <row r="1461">
          <cell r="A1461" t="str">
            <v>MDES0200118N</v>
          </cell>
          <cell r="B1461" t="str">
            <v>MKP000631001150</v>
          </cell>
          <cell r="C1461" t="str">
            <v/>
          </cell>
          <cell r="D1461" t="str">
            <v>Rack Madesa Reims e Painel para TV até 55 Polegadas 2 Portas e 1 Gaveta Preto</v>
          </cell>
          <cell r="E1461" t="str">
            <v>REIMS</v>
          </cell>
          <cell r="F1461" t="str">
            <v>SALA DE ESTAR</v>
          </cell>
          <cell r="G1461" t="str">
            <v/>
          </cell>
          <cell r="H1461">
            <v>1079.99</v>
          </cell>
          <cell r="I1461">
            <v>669.99</v>
          </cell>
          <cell r="J1461">
            <v>447.71749999999997</v>
          </cell>
          <cell r="K1461">
            <v>0</v>
          </cell>
          <cell r="L1461">
            <v>447.71749999999997</v>
          </cell>
          <cell r="M1461">
            <v>0</v>
          </cell>
          <cell r="N1461">
            <v>669.99</v>
          </cell>
          <cell r="O1461" t="str">
            <v>IMPÉRIO</v>
          </cell>
          <cell r="P1461">
            <v>659</v>
          </cell>
          <cell r="Q1461">
            <v>0.49645702926510599</v>
          </cell>
          <cell r="R1461">
            <v>0.49645702926510599</v>
          </cell>
          <cell r="S1461" t="e">
            <v>#VALUE!</v>
          </cell>
          <cell r="T1461" t="e">
            <v>#VALUE!</v>
          </cell>
        </row>
        <row r="1462">
          <cell r="A1462" t="str">
            <v>10939BCP</v>
          </cell>
          <cell r="B1462" t="str">
            <v>MKP000631001075</v>
          </cell>
          <cell r="C1462" t="str">
            <v/>
          </cell>
          <cell r="D1462" t="str">
            <v>Guarda-Roupa Casal Madesa Mônaco 3 Portas de Correr com Pés Branco/Rustic</v>
          </cell>
          <cell r="E1462" t="str">
            <v>MÔNACO</v>
          </cell>
          <cell r="F1462" t="str">
            <v>QUARTO</v>
          </cell>
          <cell r="G1462" t="str">
            <v/>
          </cell>
          <cell r="H1462">
            <v>1139.99</v>
          </cell>
          <cell r="I1462">
            <v>839.92</v>
          </cell>
          <cell r="J1462">
            <v>667.03639999999996</v>
          </cell>
          <cell r="K1462">
            <v>0</v>
          </cell>
          <cell r="L1462">
            <v>667.03639999999996</v>
          </cell>
          <cell r="M1462">
            <v>0</v>
          </cell>
          <cell r="N1462">
            <v>839.92</v>
          </cell>
          <cell r="O1462" t="str">
            <v/>
          </cell>
          <cell r="P1462">
            <v>0</v>
          </cell>
          <cell r="Q1462">
            <v>0.25918165785255498</v>
          </cell>
          <cell r="R1462">
            <v>0.25918165785255498</v>
          </cell>
          <cell r="S1462" t="e">
            <v>#VALUE!</v>
          </cell>
          <cell r="T1462" t="e">
            <v>#VALUE!</v>
          </cell>
        </row>
        <row r="1463">
          <cell r="A1463" t="str">
            <v>GREM2010015Z</v>
          </cell>
          <cell r="B1463" t="str">
            <v>MKP000631001542</v>
          </cell>
          <cell r="C1463" t="str">
            <v/>
          </cell>
          <cell r="D1463" t="str">
            <v>Armário de Cozinha Completa 201cm Rustic Emilly Sing Madesa 01</v>
          </cell>
          <cell r="E1463" t="str">
            <v>SING/EMILLY</v>
          </cell>
          <cell r="F1463" t="str">
            <v>COZINHA</v>
          </cell>
          <cell r="G1463" t="str">
            <v/>
          </cell>
          <cell r="H1463">
            <v>979.99</v>
          </cell>
          <cell r="I1463">
            <v>879.99</v>
          </cell>
          <cell r="J1463">
            <v>711.80269999999996</v>
          </cell>
          <cell r="K1463">
            <v>0</v>
          </cell>
          <cell r="L1463">
            <v>711.80269999999996</v>
          </cell>
          <cell r="M1463">
            <v>0</v>
          </cell>
          <cell r="N1463">
            <v>879.99</v>
          </cell>
          <cell r="O1463" t="str">
            <v/>
          </cell>
          <cell r="P1463">
            <v>0</v>
          </cell>
          <cell r="Q1463">
            <v>0.23628359375428001</v>
          </cell>
          <cell r="R1463">
            <v>0.23628359375428001</v>
          </cell>
          <cell r="S1463" t="e">
            <v>#VALUE!</v>
          </cell>
          <cell r="T1463" t="e">
            <v>#VALUE!</v>
          </cell>
        </row>
        <row r="1464">
          <cell r="A1464" t="str">
            <v>1085092E</v>
          </cell>
          <cell r="B1464" t="str">
            <v>MKP000631000267</v>
          </cell>
          <cell r="C1464" t="str">
            <v/>
          </cell>
          <cell r="D1464" t="str">
            <v>Guarda-Roupa Casal Madesa Veneza 3 Portas de Correr 2 Portas com Espelho Branco</v>
          </cell>
          <cell r="E1464" t="str">
            <v>VENEZA</v>
          </cell>
          <cell r="F1464" t="str">
            <v>QUARTO</v>
          </cell>
          <cell r="G1464" t="str">
            <v/>
          </cell>
          <cell r="H1464">
            <v>1969.99</v>
          </cell>
          <cell r="I1464">
            <v>1599.99</v>
          </cell>
          <cell r="J1464">
            <v>1324.2519</v>
          </cell>
          <cell r="K1464">
            <v>0</v>
          </cell>
          <cell r="L1464">
            <v>1324.2519</v>
          </cell>
          <cell r="M1464">
            <v>0</v>
          </cell>
          <cell r="N1464">
            <v>1599.99</v>
          </cell>
          <cell r="O1464" t="str">
            <v>MADEIRAMADEIRA</v>
          </cell>
          <cell r="P1464">
            <v>1589.99</v>
          </cell>
          <cell r="Q1464">
            <v>0.208221789223032</v>
          </cell>
          <cell r="R1464">
            <v>0.208221789223032</v>
          </cell>
          <cell r="S1464" t="e">
            <v>#VALUE!</v>
          </cell>
          <cell r="T1464" t="e">
            <v>#VALUE!</v>
          </cell>
        </row>
        <row r="1465">
          <cell r="A1465" t="str">
            <v>10286E</v>
          </cell>
          <cell r="B1465" t="str">
            <v>MKP000631003463</v>
          </cell>
          <cell r="C1465" t="str">
            <v/>
          </cell>
          <cell r="D1465" t="str">
            <v>Guarda-Roupa Casal Madesa Austin 4 Portas de Correr 3 Gavetas Rustic/Branco</v>
          </cell>
          <cell r="E1465" t="str">
            <v>AUSTIN</v>
          </cell>
          <cell r="F1465" t="str">
            <v>QUARTO</v>
          </cell>
          <cell r="G1465" t="str">
            <v/>
          </cell>
          <cell r="H1465">
            <v>2429.9899999999998</v>
          </cell>
          <cell r="I1465">
            <v>1399.99</v>
          </cell>
          <cell r="J1465">
            <v>1153.9612</v>
          </cell>
          <cell r="K1465">
            <v>0</v>
          </cell>
          <cell r="L1465">
            <v>1153.9612</v>
          </cell>
          <cell r="M1465">
            <v>0</v>
          </cell>
          <cell r="N1465">
            <v>1399.99</v>
          </cell>
          <cell r="O1465" t="str">
            <v>ZEMA</v>
          </cell>
          <cell r="P1465">
            <v>1519.99</v>
          </cell>
          <cell r="Q1465">
            <v>0.21320370216953499</v>
          </cell>
          <cell r="R1465">
            <v>0.21320370216953499</v>
          </cell>
          <cell r="S1465" t="e">
            <v>#VALUE!</v>
          </cell>
          <cell r="T1465" t="e">
            <v>#VALUE!</v>
          </cell>
        </row>
        <row r="1466">
          <cell r="A1466" t="str">
            <v>MDES02001177</v>
          </cell>
          <cell r="B1466" t="str">
            <v>MKP000631001155</v>
          </cell>
          <cell r="C1466" t="str">
            <v/>
          </cell>
          <cell r="D1466" t="str">
            <v>Rack Madesa Reims e Painel para TV até 55 Polegadas 2 Portas e 1 Gaveta Preto/Branco</v>
          </cell>
          <cell r="E1466" t="str">
            <v>REIMS</v>
          </cell>
          <cell r="F1466" t="str">
            <v>SALA DE ESTAR</v>
          </cell>
          <cell r="G1466" t="str">
            <v/>
          </cell>
          <cell r="H1466">
            <v>699.99</v>
          </cell>
          <cell r="I1466">
            <v>599.99</v>
          </cell>
          <cell r="J1466">
            <v>447.71749999999997</v>
          </cell>
          <cell r="K1466">
            <v>0</v>
          </cell>
          <cell r="L1466">
            <v>447.71749999999997</v>
          </cell>
          <cell r="M1466">
            <v>0</v>
          </cell>
          <cell r="N1466">
            <v>599.99</v>
          </cell>
          <cell r="O1466" t="str">
            <v/>
          </cell>
          <cell r="P1466">
            <v>0</v>
          </cell>
          <cell r="Q1466">
            <v>0.34010843891516401</v>
          </cell>
          <cell r="R1466">
            <v>0.34010843891516401</v>
          </cell>
          <cell r="S1466" t="e">
            <v>#VALUE!</v>
          </cell>
          <cell r="T1466" t="e">
            <v>#VALUE!</v>
          </cell>
        </row>
        <row r="1467">
          <cell r="A1467" t="str">
            <v>MDFC0200050909</v>
          </cell>
          <cell r="B1467" t="str">
            <v>MKP000631002657</v>
          </cell>
          <cell r="C1467" t="str">
            <v/>
          </cell>
          <cell r="D1467" t="str">
            <v>Escrivaninha Madesa Alaska + Estante Livreiro 6906 Branco</v>
          </cell>
          <cell r="E1467" t="str">
            <v>ALASKA + 6906</v>
          </cell>
          <cell r="F1467" t="str">
            <v>ESCRITÓRIO</v>
          </cell>
          <cell r="G1467" t="str">
            <v/>
          </cell>
          <cell r="H1467">
            <v>849.99</v>
          </cell>
          <cell r="I1467">
            <v>719.92</v>
          </cell>
          <cell r="J1467">
            <v>515.37379999999996</v>
          </cell>
          <cell r="K1467">
            <v>0</v>
          </cell>
          <cell r="L1467">
            <v>515.37379999999996</v>
          </cell>
          <cell r="M1467">
            <v>0</v>
          </cell>
          <cell r="N1467">
            <v>719.92</v>
          </cell>
          <cell r="O1467" t="str">
            <v/>
          </cell>
          <cell r="P1467">
            <v>0</v>
          </cell>
          <cell r="Q1467">
            <v>0.39688901531276899</v>
          </cell>
          <cell r="R1467">
            <v>0.39688901531276899</v>
          </cell>
          <cell r="S1467" t="e">
            <v>#VALUE!</v>
          </cell>
          <cell r="T1467" t="e">
            <v>#VALUE!</v>
          </cell>
        </row>
        <row r="1468">
          <cell r="A1468" t="str">
            <v>1118093E</v>
          </cell>
          <cell r="B1468" t="str">
            <v>MKP000631002682</v>
          </cell>
          <cell r="C1468" t="str">
            <v/>
          </cell>
          <cell r="D1468" t="str">
            <v>Guarda-Roupa Casal Madesa Istambul 3 Portas de Correr de Espelho 3 Gavetas Branco</v>
          </cell>
          <cell r="E1468" t="str">
            <v>ISTAMBUL</v>
          </cell>
          <cell r="F1468" t="str">
            <v>QUARTO</v>
          </cell>
          <cell r="G1468" t="str">
            <v/>
          </cell>
          <cell r="H1468">
            <v>2589.9899999999998</v>
          </cell>
          <cell r="I1468">
            <v>2019.92</v>
          </cell>
          <cell r="J1468">
            <v>1766.2687000000001</v>
          </cell>
          <cell r="K1468">
            <v>0</v>
          </cell>
          <cell r="L1468">
            <v>1766.2687000000001</v>
          </cell>
          <cell r="M1468">
            <v>0</v>
          </cell>
          <cell r="N1468">
            <v>2019.92</v>
          </cell>
          <cell r="O1468" t="str">
            <v/>
          </cell>
          <cell r="P1468">
            <v>0</v>
          </cell>
          <cell r="Q1468">
            <v>0.14360855740692199</v>
          </cell>
          <cell r="R1468">
            <v>0.14360855740692199</v>
          </cell>
          <cell r="S1468" t="e">
            <v>#VALUE!</v>
          </cell>
          <cell r="T1468" t="e">
            <v>#VALUE!</v>
          </cell>
        </row>
        <row r="1469">
          <cell r="A1469" t="str">
            <v>GREM293001F9</v>
          </cell>
          <cell r="B1469" t="str">
            <v>MKP000631004453</v>
          </cell>
          <cell r="C1469" t="str">
            <v/>
          </cell>
          <cell r="D1469" t="str">
            <v>Armário de Cozinha Completa 293cm Rustic/Cinza Emilly Madesa 01</v>
          </cell>
          <cell r="E1469" t="str">
            <v>EMILLY</v>
          </cell>
          <cell r="F1469" t="str">
            <v>COZINHA</v>
          </cell>
          <cell r="G1469" t="str">
            <v/>
          </cell>
          <cell r="H1469">
            <v>1249.99</v>
          </cell>
          <cell r="I1469">
            <v>1149.99</v>
          </cell>
          <cell r="J1469">
            <v>910.59690000000001</v>
          </cell>
          <cell r="K1469">
            <v>0</v>
          </cell>
          <cell r="L1469">
            <v>910.59690000000001</v>
          </cell>
          <cell r="M1469">
            <v>0</v>
          </cell>
          <cell r="N1469">
            <v>1149.99</v>
          </cell>
          <cell r="O1469" t="str">
            <v/>
          </cell>
          <cell r="P1469">
            <v>0</v>
          </cell>
          <cell r="Q1469">
            <v>0.262896897628358</v>
          </cell>
          <cell r="R1469">
            <v>0.262896897628358</v>
          </cell>
          <cell r="S1469" t="e">
            <v>#VALUE!</v>
          </cell>
          <cell r="T1469" t="e">
            <v>#VALUE!</v>
          </cell>
        </row>
        <row r="1470">
          <cell r="A1470" t="str">
            <v>1093092E4G</v>
          </cell>
          <cell r="B1470" t="str">
            <v>MKP000631001862</v>
          </cell>
          <cell r="C1470" t="str">
            <v/>
          </cell>
          <cell r="D1470" t="str">
            <v>Guarda-Roupa Casal Madesa Lyon Plus 3 Portas de Correr com Espelhos 4 Gavetas Branco</v>
          </cell>
          <cell r="E1470" t="str">
            <v>LYON PLUS</v>
          </cell>
          <cell r="F1470" t="str">
            <v>QUARTO</v>
          </cell>
          <cell r="G1470" t="str">
            <v/>
          </cell>
          <cell r="H1470">
            <v>1569.99</v>
          </cell>
          <cell r="I1470">
            <v>1299.92</v>
          </cell>
          <cell r="J1470">
            <v>1058.1829</v>
          </cell>
          <cell r="K1470">
            <v>0</v>
          </cell>
          <cell r="L1470">
            <v>1058.1829</v>
          </cell>
          <cell r="M1470">
            <v>0</v>
          </cell>
          <cell r="N1470">
            <v>1299.92</v>
          </cell>
          <cell r="O1470" t="str">
            <v/>
          </cell>
          <cell r="P1470">
            <v>0</v>
          </cell>
          <cell r="Q1470">
            <v>0.228445479510206</v>
          </cell>
          <cell r="R1470">
            <v>0.228445479510206</v>
          </cell>
          <cell r="S1470" t="e">
            <v>#VALUE!</v>
          </cell>
          <cell r="T1470" t="e">
            <v>#VALUE!</v>
          </cell>
        </row>
        <row r="1471">
          <cell r="A1471" t="str">
            <v>MDJA0401187KPT</v>
          </cell>
          <cell r="B1471" t="str">
            <v>MKP000631004161</v>
          </cell>
          <cell r="C1471" t="str">
            <v/>
          </cell>
          <cell r="D1471" t="str">
            <v>Conjunto Sala de Jantar Madesa Madu Mesa Tampo de Vidro Redondo 4 Cadeiras Rustic/Preto/Preto</v>
          </cell>
          <cell r="E1471" t="str">
            <v>MADU</v>
          </cell>
          <cell r="F1471" t="str">
            <v>SALA DE JANTAR</v>
          </cell>
          <cell r="G1471" t="str">
            <v>4291X</v>
          </cell>
          <cell r="H1471">
            <v>869.99</v>
          </cell>
          <cell r="I1471">
            <v>769.99</v>
          </cell>
          <cell r="J1471">
            <v>617.43050000000005</v>
          </cell>
          <cell r="K1471">
            <v>0</v>
          </cell>
          <cell r="L1471">
            <v>617.43050000000005</v>
          </cell>
          <cell r="M1471">
            <v>0</v>
          </cell>
          <cell r="N1471">
            <v>769.99</v>
          </cell>
          <cell r="O1471" t="str">
            <v/>
          </cell>
          <cell r="P1471">
            <v>0</v>
          </cell>
          <cell r="Q1471">
            <v>0.24708772890228101</v>
          </cell>
          <cell r="R1471">
            <v>0.24708772890228101</v>
          </cell>
          <cell r="S1471" t="e">
            <v>#VALUE!</v>
          </cell>
          <cell r="T1471" t="e">
            <v>#VALUE!</v>
          </cell>
        </row>
        <row r="1472">
          <cell r="A1472" t="str">
            <v>GRAG180004F8</v>
          </cell>
          <cell r="B1472" t="str">
            <v>MKP000631004590</v>
          </cell>
          <cell r="C1472" t="str">
            <v/>
          </cell>
          <cell r="D1472" t="str">
            <v>Armário de Cozinha Compacta 180cm Branco Cinza Agata Madesa 04</v>
          </cell>
          <cell r="E1472" t="str">
            <v>ÁGATA</v>
          </cell>
          <cell r="F1472" t="str">
            <v>COZINHA</v>
          </cell>
          <cell r="G1472" t="str">
            <v/>
          </cell>
          <cell r="H1472">
            <v>1599.99</v>
          </cell>
          <cell r="I1472">
            <v>1499.99</v>
          </cell>
          <cell r="J1472">
            <v>1236.3869999999999</v>
          </cell>
          <cell r="K1472">
            <v>0</v>
          </cell>
          <cell r="L1472">
            <v>1236.3869999999999</v>
          </cell>
          <cell r="M1472">
            <v>0</v>
          </cell>
          <cell r="N1472">
            <v>1499.99</v>
          </cell>
          <cell r="O1472" t="str">
            <v/>
          </cell>
          <cell r="P1472">
            <v>0</v>
          </cell>
          <cell r="Q1472">
            <v>0.213204279889711</v>
          </cell>
          <cell r="R1472">
            <v>0.213204279889711</v>
          </cell>
          <cell r="S1472" t="e">
            <v>#VALUE!</v>
          </cell>
          <cell r="T1472" t="e">
            <v>#VALUE!</v>
          </cell>
        </row>
        <row r="1473">
          <cell r="A1473" t="str">
            <v>MDJA0601317GSIM</v>
          </cell>
          <cell r="B1473" t="str">
            <v>MKP000631003207</v>
          </cell>
          <cell r="C1473" t="str">
            <v/>
          </cell>
          <cell r="D1473" t="str">
            <v>Conjunto Sala de Jantar Madesa Patricia Mesa Tampo de Vidro com 6 Cadeiras Rustic/Crema/Imperial</v>
          </cell>
          <cell r="E1473" t="str">
            <v>PATRICIA</v>
          </cell>
          <cell r="F1473" t="str">
            <v>SALA DE JANTAR</v>
          </cell>
          <cell r="G1473">
            <v>4255</v>
          </cell>
          <cell r="H1473">
            <v>1799.99</v>
          </cell>
          <cell r="I1473">
            <v>1699.99</v>
          </cell>
          <cell r="J1473">
            <v>1326.8243</v>
          </cell>
          <cell r="K1473">
            <v>0</v>
          </cell>
          <cell r="L1473">
            <v>1326.8243</v>
          </cell>
          <cell r="M1473">
            <v>0</v>
          </cell>
          <cell r="N1473">
            <v>1699.99</v>
          </cell>
          <cell r="O1473" t="str">
            <v/>
          </cell>
          <cell r="P1473">
            <v>0</v>
          </cell>
          <cell r="Q1473">
            <v>0.28124726084682</v>
          </cell>
          <cell r="R1473">
            <v>0.28124726084682</v>
          </cell>
          <cell r="S1473" t="e">
            <v>#VALUE!</v>
          </cell>
          <cell r="T1473" t="e">
            <v>#VALUE!</v>
          </cell>
        </row>
        <row r="1474">
          <cell r="A1474" t="str">
            <v>GRGL290006C5</v>
          </cell>
          <cell r="B1474" t="str">
            <v>MKP000631000224</v>
          </cell>
          <cell r="C1474" t="str">
            <v/>
          </cell>
          <cell r="D1474" t="str">
            <v>Armário de Cozinha Completa 290cm Branco/Preto/Crema Vicenza Madesa 06</v>
          </cell>
          <cell r="E1474" t="str">
            <v>VICENZA/GLAMY</v>
          </cell>
          <cell r="F1474" t="str">
            <v>COZINHA</v>
          </cell>
          <cell r="G1474" t="str">
            <v/>
          </cell>
          <cell r="H1474">
            <v>2599.9899999999998</v>
          </cell>
          <cell r="I1474">
            <v>2499.9899999999998</v>
          </cell>
          <cell r="J1474">
            <v>2094.1842999999999</v>
          </cell>
          <cell r="K1474">
            <v>0</v>
          </cell>
          <cell r="L1474">
            <v>2094.1842999999999</v>
          </cell>
          <cell r="M1474">
            <v>0</v>
          </cell>
          <cell r="N1474">
            <v>2499.9899999999998</v>
          </cell>
          <cell r="O1474" t="str">
            <v/>
          </cell>
          <cell r="P1474">
            <v>0</v>
          </cell>
          <cell r="Q1474">
            <v>0.193777453111457</v>
          </cell>
          <cell r="R1474">
            <v>0.193777453111457</v>
          </cell>
          <cell r="S1474" t="e">
            <v>#VALUE!</v>
          </cell>
          <cell r="T1474" t="e">
            <v>#VALUE!</v>
          </cell>
        </row>
        <row r="1475">
          <cell r="A1475" t="str">
            <v>G2512009</v>
          </cell>
          <cell r="B1475" t="str">
            <v>MKP000631000927</v>
          </cell>
          <cell r="C1475" t="str">
            <v/>
          </cell>
          <cell r="D1475" t="str">
            <v>Armário Aéreo Madesa Acordes 100% MDF 120 cm 2 Portas Vidro Reflex Branco Brilho</v>
          </cell>
          <cell r="E1475" t="str">
            <v>ACORDES</v>
          </cell>
          <cell r="F1475" t="str">
            <v>MODULAÇÃO</v>
          </cell>
          <cell r="G1475" t="str">
            <v/>
          </cell>
          <cell r="H1475">
            <v>959.99</v>
          </cell>
          <cell r="I1475">
            <v>529.99</v>
          </cell>
          <cell r="J1475">
            <v>350.40230000000003</v>
          </cell>
          <cell r="K1475">
            <v>0</v>
          </cell>
          <cell r="L1475">
            <v>350.40230000000003</v>
          </cell>
          <cell r="M1475">
            <v>0</v>
          </cell>
          <cell r="N1475">
            <v>529.99</v>
          </cell>
          <cell r="O1475" t="str">
            <v/>
          </cell>
          <cell r="P1475">
            <v>0</v>
          </cell>
          <cell r="Q1475">
            <v>0.51251861075112803</v>
          </cell>
          <cell r="R1475">
            <v>0.51251861075112803</v>
          </cell>
          <cell r="S1475" t="e">
            <v>#VALUE!</v>
          </cell>
          <cell r="T1475" t="e">
            <v>#VALUE!</v>
          </cell>
        </row>
        <row r="1476">
          <cell r="A1476" t="str">
            <v>XA10946E4G</v>
          </cell>
          <cell r="B1476" t="str">
            <v>MKP000631001590</v>
          </cell>
          <cell r="C1476" t="str">
            <v/>
          </cell>
          <cell r="D1476" t="str">
            <v>Guarda-Roupa Infantil Madesa Theo 2 Portas de Correr 4 Gavetas Rustic/Branco</v>
          </cell>
          <cell r="E1476" t="str">
            <v>THEO</v>
          </cell>
          <cell r="F1476" t="str">
            <v>QUARTO</v>
          </cell>
          <cell r="G1476" t="str">
            <v/>
          </cell>
          <cell r="H1476">
            <v>1119.99</v>
          </cell>
          <cell r="I1476">
            <v>819.92</v>
          </cell>
          <cell r="J1476">
            <v>652.58299999999997</v>
          </cell>
          <cell r="K1476">
            <v>0</v>
          </cell>
          <cell r="L1476">
            <v>652.58299999999997</v>
          </cell>
          <cell r="M1476">
            <v>0</v>
          </cell>
          <cell r="N1476">
            <v>819.92</v>
          </cell>
          <cell r="O1476" t="str">
            <v/>
          </cell>
          <cell r="P1476">
            <v>0</v>
          </cell>
          <cell r="Q1476">
            <v>0.25642255467886799</v>
          </cell>
          <cell r="R1476">
            <v>0.25642255467886799</v>
          </cell>
          <cell r="S1476" t="e">
            <v>#VALUE!</v>
          </cell>
          <cell r="T1476" t="e">
            <v>#VALUE!</v>
          </cell>
        </row>
        <row r="1477">
          <cell r="A1477" t="str">
            <v>G2480109K</v>
          </cell>
          <cell r="B1477" t="str">
            <v>MKP000631000939</v>
          </cell>
          <cell r="C1477" t="str">
            <v/>
          </cell>
          <cell r="D1477" t="str">
            <v>Balcão Madesa Acordes 100% MDF 80 cm 2 Gavetas Frentes Branco Brilho</v>
          </cell>
          <cell r="E1477" t="str">
            <v>ACORDES</v>
          </cell>
          <cell r="F1477" t="str">
            <v>MODULAÇÃO</v>
          </cell>
          <cell r="G1477" t="str">
            <v/>
          </cell>
          <cell r="H1477">
            <v>1149.99</v>
          </cell>
          <cell r="I1477">
            <v>669.99</v>
          </cell>
          <cell r="J1477">
            <v>439.52069999999998</v>
          </cell>
          <cell r="K1477">
            <v>0</v>
          </cell>
          <cell r="L1477">
            <v>439.52069999999998</v>
          </cell>
          <cell r="M1477">
            <v>0</v>
          </cell>
          <cell r="N1477">
            <v>669.99</v>
          </cell>
          <cell r="O1477" t="str">
            <v/>
          </cell>
          <cell r="P1477">
            <v>0</v>
          </cell>
          <cell r="Q1477">
            <v>0.52436506403452698</v>
          </cell>
          <cell r="R1477">
            <v>0.52436506403452698</v>
          </cell>
          <cell r="S1477" t="e">
            <v>#VALUE!</v>
          </cell>
          <cell r="T1477" t="e">
            <v>#VALUE!</v>
          </cell>
        </row>
        <row r="1478">
          <cell r="A1478" t="str">
            <v>G247503BNC</v>
          </cell>
          <cell r="B1478" t="str">
            <v>MKP000631004831</v>
          </cell>
          <cell r="C1478" t="str">
            <v/>
          </cell>
          <cell r="D1478" t="str">
            <v>Balcão de Canto 1 Porta Suspenso Cinza Nice Madesa</v>
          </cell>
          <cell r="E1478" t="str">
            <v>NICE</v>
          </cell>
          <cell r="F1478" t="str">
            <v>MODULAÇÃO</v>
          </cell>
          <cell r="G1478" t="str">
            <v/>
          </cell>
          <cell r="H1478">
            <v>539.99</v>
          </cell>
          <cell r="I1478">
            <v>519.99</v>
          </cell>
          <cell r="J1478">
            <v>222.79599999999999</v>
          </cell>
          <cell r="K1478">
            <v>0</v>
          </cell>
          <cell r="L1478">
            <v>222.79599999999999</v>
          </cell>
          <cell r="M1478">
            <v>0</v>
          </cell>
          <cell r="N1478">
            <v>519.99</v>
          </cell>
          <cell r="O1478" t="str">
            <v/>
          </cell>
          <cell r="P1478">
            <v>0</v>
          </cell>
          <cell r="Q1478">
            <v>1.3339287958491199</v>
          </cell>
          <cell r="R1478">
            <v>1.3339287958491199</v>
          </cell>
          <cell r="S1478" t="e">
            <v>#VALUE!</v>
          </cell>
          <cell r="T1478" t="e">
            <v>#VALUE!</v>
          </cell>
        </row>
        <row r="1479">
          <cell r="A1479" t="str">
            <v>GRRM18000109</v>
          </cell>
          <cell r="B1479" t="str">
            <v>MKP000631003170</v>
          </cell>
          <cell r="C1479" t="str">
            <v/>
          </cell>
          <cell r="D1479" t="str">
            <v>Armário de Cozinha Compacta 180cm Branco Reims Madesa 01</v>
          </cell>
          <cell r="E1479" t="str">
            <v>REIMS</v>
          </cell>
          <cell r="F1479" t="str">
            <v>COZINHA</v>
          </cell>
          <cell r="G1479" t="str">
            <v/>
          </cell>
          <cell r="H1479">
            <v>1869.99</v>
          </cell>
          <cell r="I1479">
            <v>1069.99</v>
          </cell>
          <cell r="J1479">
            <v>933.87929999999994</v>
          </cell>
          <cell r="K1479">
            <v>0</v>
          </cell>
          <cell r="L1479">
            <v>933.87929999999994</v>
          </cell>
          <cell r="M1479">
            <v>0</v>
          </cell>
          <cell r="N1479">
            <v>1069.99</v>
          </cell>
          <cell r="O1479" t="str">
            <v/>
          </cell>
          <cell r="P1479">
            <v>0</v>
          </cell>
          <cell r="Q1479">
            <v>0.14574763569553401</v>
          </cell>
          <cell r="R1479">
            <v>0.14574763569553401</v>
          </cell>
          <cell r="S1479" t="e">
            <v>#VALUE!</v>
          </cell>
          <cell r="T1479" t="e">
            <v>#VALUE!</v>
          </cell>
        </row>
        <row r="1480">
          <cell r="A1480" t="str">
            <v>MDDR0200025Z</v>
          </cell>
          <cell r="B1480" t="str">
            <v>MKP000631000844</v>
          </cell>
          <cell r="C1480" t="str">
            <v/>
          </cell>
          <cell r="D1480" t="str">
            <v>Quarto Completo com Guarda-Roupa Luke e Cabeceira com 2 Mesas de Cabeceira Madesa Rustic</v>
          </cell>
          <cell r="E1480" t="str">
            <v>LUKE</v>
          </cell>
          <cell r="F1480" t="str">
            <v>QUARTO</v>
          </cell>
          <cell r="G1480" t="str">
            <v/>
          </cell>
          <cell r="H1480">
            <v>1399.99</v>
          </cell>
          <cell r="I1480">
            <v>1299.99</v>
          </cell>
          <cell r="J1480">
            <v>1044.9829999999999</v>
          </cell>
          <cell r="K1480">
            <v>0</v>
          </cell>
          <cell r="L1480">
            <v>1044.9829999999999</v>
          </cell>
          <cell r="M1480">
            <v>0</v>
          </cell>
          <cell r="N1480">
            <v>1299.99</v>
          </cell>
          <cell r="O1480" t="str">
            <v/>
          </cell>
          <cell r="P1480">
            <v>0</v>
          </cell>
          <cell r="Q1480">
            <v>0.24402980718346601</v>
          </cell>
          <cell r="R1480">
            <v>0.24402980718346601</v>
          </cell>
          <cell r="S1480" t="e">
            <v>#VALUE!</v>
          </cell>
          <cell r="T1480" t="e">
            <v>#VALUE!</v>
          </cell>
        </row>
        <row r="1481">
          <cell r="A1481" t="str">
            <v>MDDR0300027K</v>
          </cell>
          <cell r="B1481" t="str">
            <v>MKP000631005978</v>
          </cell>
          <cell r="C1481" t="str">
            <v/>
          </cell>
          <cell r="D1481" t="str">
            <v>Guarda-Roupa Closet Modulado Valencia 4 Gavetas 199cm Rustic/Preto Madesa 02</v>
          </cell>
          <cell r="E1481" t="str">
            <v>VALENCIA</v>
          </cell>
          <cell r="F1481" t="str">
            <v>QUARTO</v>
          </cell>
          <cell r="G1481" t="str">
            <v/>
          </cell>
          <cell r="H1481">
            <v>1099.99</v>
          </cell>
          <cell r="I1481">
            <v>999.99</v>
          </cell>
          <cell r="J1481">
            <v>802.05470000000003</v>
          </cell>
          <cell r="K1481">
            <v>0</v>
          </cell>
          <cell r="L1481">
            <v>802.05470000000003</v>
          </cell>
          <cell r="M1481">
            <v>0</v>
          </cell>
          <cell r="N1481">
            <v>999.99</v>
          </cell>
          <cell r="O1481" t="str">
            <v>LOJA</v>
          </cell>
          <cell r="P1481">
            <v>999.99</v>
          </cell>
          <cell r="Q1481">
            <v>0.24678528783635301</v>
          </cell>
          <cell r="R1481">
            <v>0.24678528783635301</v>
          </cell>
          <cell r="S1481" t="e">
            <v>#VALUE!</v>
          </cell>
          <cell r="T1481" t="e">
            <v>#VALUE!</v>
          </cell>
        </row>
        <row r="1482">
          <cell r="A1482" t="str">
            <v>GCEM2930037K</v>
          </cell>
          <cell r="B1482" t="str">
            <v>MKP000631002198</v>
          </cell>
          <cell r="C1482" t="str">
            <v/>
          </cell>
          <cell r="D1482" t="str">
            <v>Armário de Cozinha Completa de Canto 293cm Rustic/Preto Emilly Point Madesa 03</v>
          </cell>
          <cell r="E1482" t="str">
            <v>POINT/EMILLY</v>
          </cell>
          <cell r="F1482" t="str">
            <v>COZINHA</v>
          </cell>
          <cell r="G1482" t="str">
            <v/>
          </cell>
          <cell r="H1482">
            <v>1959.99</v>
          </cell>
          <cell r="I1482">
            <v>1299.99</v>
          </cell>
          <cell r="J1482">
            <v>1065.2134000000001</v>
          </cell>
          <cell r="K1482">
            <v>0</v>
          </cell>
          <cell r="L1482">
            <v>1065.2134000000001</v>
          </cell>
          <cell r="M1482">
            <v>0</v>
          </cell>
          <cell r="N1482">
            <v>1299.99</v>
          </cell>
          <cell r="O1482" t="str">
            <v/>
          </cell>
          <cell r="P1482">
            <v>0</v>
          </cell>
          <cell r="Q1482">
            <v>0.220403348286832</v>
          </cell>
          <cell r="R1482">
            <v>0.220403348286832</v>
          </cell>
          <cell r="S1482" t="e">
            <v>#VALUE!</v>
          </cell>
          <cell r="T1482" t="e">
            <v>#VALUE!</v>
          </cell>
        </row>
        <row r="1483">
          <cell r="A1483" t="str">
            <v>GRSM250002A9</v>
          </cell>
          <cell r="B1483" t="str">
            <v>MKP000631004188</v>
          </cell>
          <cell r="C1483" t="str">
            <v/>
          </cell>
          <cell r="D1483" t="str">
            <v>Armário de Cozinha Completa 100% MDF 250 cm Branco/Rustic/Crema Smart Madesa 02</v>
          </cell>
          <cell r="E1483" t="str">
            <v>SMART</v>
          </cell>
          <cell r="F1483" t="str">
            <v>COZINHA</v>
          </cell>
          <cell r="G1483" t="str">
            <v/>
          </cell>
          <cell r="H1483">
            <v>1859.99</v>
          </cell>
          <cell r="I1483">
            <v>1759.99</v>
          </cell>
          <cell r="J1483">
            <v>1329.146</v>
          </cell>
          <cell r="K1483">
            <v>0</v>
          </cell>
          <cell r="L1483">
            <v>1329.146</v>
          </cell>
          <cell r="M1483">
            <v>0</v>
          </cell>
          <cell r="N1483">
            <v>1759.99</v>
          </cell>
          <cell r="O1483" t="str">
            <v>MELI</v>
          </cell>
          <cell r="P1483">
            <v>1779.99</v>
          </cell>
          <cell r="Q1483">
            <v>0.32415099620357701</v>
          </cell>
          <cell r="R1483">
            <v>0.32415099620357701</v>
          </cell>
          <cell r="S1483" t="e">
            <v>#VALUE!</v>
          </cell>
          <cell r="T1483" t="e">
            <v>#VALUE!</v>
          </cell>
        </row>
        <row r="1484">
          <cell r="A1484" t="str">
            <v>G200965LV2</v>
          </cell>
          <cell r="B1484" t="str">
            <v>MKP000631003407</v>
          </cell>
          <cell r="C1484" t="str">
            <v/>
          </cell>
          <cell r="D1484" t="str">
            <v>Armário Aéreo de Canto Madesa Smart 100% MDF com 1 Porta e Adega Branco/Crema</v>
          </cell>
          <cell r="E1484" t="str">
            <v>SMART</v>
          </cell>
          <cell r="F1484" t="str">
            <v>MODULAÇÃO</v>
          </cell>
          <cell r="G1484" t="str">
            <v/>
          </cell>
          <cell r="H1484">
            <v>759.99</v>
          </cell>
          <cell r="I1484">
            <v>349.99</v>
          </cell>
          <cell r="J1484">
            <v>204.702</v>
          </cell>
          <cell r="K1484">
            <v>0</v>
          </cell>
          <cell r="L1484">
            <v>204.702</v>
          </cell>
          <cell r="M1484">
            <v>0</v>
          </cell>
          <cell r="N1484">
            <v>349.99</v>
          </cell>
          <cell r="O1484" t="str">
            <v/>
          </cell>
          <cell r="P1484">
            <v>0</v>
          </cell>
          <cell r="Q1484">
            <v>0.70975369073091599</v>
          </cell>
          <cell r="R1484">
            <v>0.70975369073091599</v>
          </cell>
          <cell r="S1484" t="e">
            <v>#VALUE!</v>
          </cell>
          <cell r="T1484" t="e">
            <v>#VALUE!</v>
          </cell>
        </row>
        <row r="1485">
          <cell r="A1485" t="str">
            <v>G2540009TE</v>
          </cell>
          <cell r="B1485" t="str">
            <v>MKP000631001904</v>
          </cell>
          <cell r="C1485" t="str">
            <v/>
          </cell>
          <cell r="D1485" t="str">
            <v>Armário Aéreo Madesa Stella 40 cm 1 Porta Branco</v>
          </cell>
          <cell r="E1485" t="str">
            <v>STELLA</v>
          </cell>
          <cell r="F1485" t="str">
            <v>MODULAÇÃO</v>
          </cell>
          <cell r="G1485" t="str">
            <v/>
          </cell>
          <cell r="H1485">
            <v>389.99</v>
          </cell>
          <cell r="I1485">
            <v>289.99</v>
          </cell>
          <cell r="J1485">
            <v>170.05090000000001</v>
          </cell>
          <cell r="K1485">
            <v>0</v>
          </cell>
          <cell r="L1485">
            <v>170.05090000000001</v>
          </cell>
          <cell r="M1485">
            <v>0</v>
          </cell>
          <cell r="N1485">
            <v>289.99</v>
          </cell>
          <cell r="O1485" t="str">
            <v/>
          </cell>
          <cell r="P1485">
            <v>0</v>
          </cell>
          <cell r="Q1485">
            <v>0.70531293865542599</v>
          </cell>
          <cell r="R1485">
            <v>0.70531293865542599</v>
          </cell>
          <cell r="S1485" t="e">
            <v>#VALUE!</v>
          </cell>
          <cell r="T1485" t="e">
            <v>#VALUE!</v>
          </cell>
        </row>
        <row r="1486">
          <cell r="A1486" t="str">
            <v>10938N4G</v>
          </cell>
          <cell r="B1486" t="str">
            <v>MKP000631001938</v>
          </cell>
          <cell r="C1486" t="str">
            <v/>
          </cell>
          <cell r="D1486" t="str">
            <v>Guarda-Roupa Casal Madesa Lyon Plus 3 Portas de Correr 4 Gavetas Preto</v>
          </cell>
          <cell r="E1486" t="str">
            <v>LYON PLUS</v>
          </cell>
          <cell r="F1486" t="str">
            <v>QUARTO</v>
          </cell>
          <cell r="G1486" t="str">
            <v/>
          </cell>
          <cell r="H1486">
            <v>1799.99</v>
          </cell>
          <cell r="I1486">
            <v>989.92</v>
          </cell>
          <cell r="J1486">
            <v>798.32690000000002</v>
          </cell>
          <cell r="K1486">
            <v>0</v>
          </cell>
          <cell r="L1486">
            <v>798.32690000000002</v>
          </cell>
          <cell r="M1486">
            <v>0</v>
          </cell>
          <cell r="N1486">
            <v>989.92</v>
          </cell>
          <cell r="O1486" t="str">
            <v/>
          </cell>
          <cell r="P1486">
            <v>0</v>
          </cell>
          <cell r="Q1486">
            <v>0.23999329096890001</v>
          </cell>
          <cell r="R1486">
            <v>0.23999329096890001</v>
          </cell>
          <cell r="S1486" t="e">
            <v>#VALUE!</v>
          </cell>
          <cell r="T1486" t="e">
            <v>#VALUE!</v>
          </cell>
        </row>
        <row r="1487">
          <cell r="A1487" t="str">
            <v>G251219RLX</v>
          </cell>
          <cell r="B1487" t="str">
            <v>MKP000631003229</v>
          </cell>
          <cell r="C1487" t="str">
            <v/>
          </cell>
          <cell r="D1487" t="str">
            <v>Armário Aéreo Madesa Lux 120 cm 2 Portas Branco/Cinza</v>
          </cell>
          <cell r="E1487" t="str">
            <v>LUX</v>
          </cell>
          <cell r="F1487" t="str">
            <v>MODULAÇÃO</v>
          </cell>
          <cell r="G1487" t="str">
            <v/>
          </cell>
          <cell r="H1487">
            <v>1179.99</v>
          </cell>
          <cell r="I1487">
            <v>889.99</v>
          </cell>
          <cell r="J1487">
            <v>563.4864</v>
          </cell>
          <cell r="K1487">
            <v>0</v>
          </cell>
          <cell r="L1487">
            <v>563.4864</v>
          </cell>
          <cell r="M1487">
            <v>0</v>
          </cell>
          <cell r="N1487">
            <v>889.99</v>
          </cell>
          <cell r="O1487" t="str">
            <v>LOJA</v>
          </cell>
          <cell r="P1487">
            <v>879.99</v>
          </cell>
          <cell r="Q1487">
            <v>0.57943474767092795</v>
          </cell>
          <cell r="R1487">
            <v>0.57943474767092795</v>
          </cell>
          <cell r="S1487" t="e">
            <v>#VALUE!</v>
          </cell>
          <cell r="T1487" t="e">
            <v>#VALUE!</v>
          </cell>
        </row>
        <row r="1488">
          <cell r="A1488" t="str">
            <v>G2412009TE</v>
          </cell>
          <cell r="B1488" t="str">
            <v>MKP000631001910</v>
          </cell>
          <cell r="C1488" t="str">
            <v/>
          </cell>
          <cell r="D1488" t="str">
            <v>Balcão Gabinete de Pia Madesa Stella 2 Portas (Sem Tampo e Pia) Branco</v>
          </cell>
          <cell r="E1488" t="str">
            <v>STELLA</v>
          </cell>
          <cell r="F1488" t="str">
            <v>MODULAÇÃO</v>
          </cell>
          <cell r="G1488" t="str">
            <v/>
          </cell>
          <cell r="H1488">
            <v>919.99</v>
          </cell>
          <cell r="I1488">
            <v>469.99</v>
          </cell>
          <cell r="J1488">
            <v>358.65359999999998</v>
          </cell>
          <cell r="K1488">
            <v>0</v>
          </cell>
          <cell r="L1488">
            <v>358.65359999999998</v>
          </cell>
          <cell r="M1488">
            <v>0</v>
          </cell>
          <cell r="N1488">
            <v>469.99</v>
          </cell>
          <cell r="O1488" t="str">
            <v/>
          </cell>
          <cell r="P1488">
            <v>0</v>
          </cell>
          <cell r="Q1488">
            <v>0.31042878142029001</v>
          </cell>
          <cell r="R1488">
            <v>0.31042878142029001</v>
          </cell>
          <cell r="S1488" t="e">
            <v>#VALUE!</v>
          </cell>
          <cell r="T1488" t="e">
            <v>#VALUE!</v>
          </cell>
        </row>
        <row r="1489">
          <cell r="A1489" t="str">
            <v>G2470009GL</v>
          </cell>
          <cell r="B1489" t="str">
            <v>MKP000631003499</v>
          </cell>
          <cell r="C1489" t="str">
            <v/>
          </cell>
          <cell r="D1489" t="str">
            <v>Balcão de Cozinha Madesa Glamy 70 cm 2 Portas Branco</v>
          </cell>
          <cell r="E1489" t="str">
            <v>GLAMY</v>
          </cell>
          <cell r="F1489" t="str">
            <v>MODULAÇÃO</v>
          </cell>
          <cell r="G1489" t="str">
            <v/>
          </cell>
          <cell r="H1489">
            <v>879.99</v>
          </cell>
          <cell r="I1489">
            <v>499.99</v>
          </cell>
          <cell r="J1489">
            <v>321.34289999999999</v>
          </cell>
          <cell r="K1489">
            <v>0</v>
          </cell>
          <cell r="L1489">
            <v>321.34289999999999</v>
          </cell>
          <cell r="M1489">
            <v>0</v>
          </cell>
          <cell r="N1489">
            <v>499.99</v>
          </cell>
          <cell r="O1489" t="str">
            <v/>
          </cell>
          <cell r="P1489">
            <v>0</v>
          </cell>
          <cell r="Q1489">
            <v>0.55593915409364902</v>
          </cell>
          <cell r="R1489">
            <v>0.55593915409364902</v>
          </cell>
          <cell r="S1489" t="e">
            <v>#VALUE!</v>
          </cell>
          <cell r="T1489" t="e">
            <v>#VALUE!</v>
          </cell>
        </row>
        <row r="1490">
          <cell r="A1490" t="str">
            <v>XA1094091E4G</v>
          </cell>
          <cell r="B1490" t="str">
            <v>MKP000631001626</v>
          </cell>
          <cell r="C1490" t="str">
            <v/>
          </cell>
          <cell r="D1490" t="str">
            <v>Guarda-Roupa Infantil Madesa Theo 2 Portas de Correr com Espelho 4 Gavetas Branco</v>
          </cell>
          <cell r="E1490" t="str">
            <v>THEO</v>
          </cell>
          <cell r="F1490" t="str">
            <v>QUARTO</v>
          </cell>
          <cell r="G1490" t="str">
            <v/>
          </cell>
          <cell r="H1490">
            <v>1539.99</v>
          </cell>
          <cell r="I1490">
            <v>959.92</v>
          </cell>
          <cell r="J1490">
            <v>782.51099999999997</v>
          </cell>
          <cell r="K1490">
            <v>0</v>
          </cell>
          <cell r="L1490">
            <v>782.51099999999997</v>
          </cell>
          <cell r="M1490">
            <v>0</v>
          </cell>
          <cell r="N1490">
            <v>959.92</v>
          </cell>
          <cell r="O1490" t="str">
            <v/>
          </cell>
          <cell r="P1490">
            <v>0</v>
          </cell>
          <cell r="Q1490">
            <v>0.22671757968897599</v>
          </cell>
          <cell r="R1490">
            <v>0.22671757968897599</v>
          </cell>
          <cell r="S1490" t="e">
            <v>#VALUE!</v>
          </cell>
          <cell r="T1490" t="e">
            <v>#VALUE!</v>
          </cell>
        </row>
        <row r="1491">
          <cell r="A1491" t="str">
            <v>G246017KAG</v>
          </cell>
          <cell r="B1491" t="str">
            <v>MKP000631003080</v>
          </cell>
          <cell r="C1491" t="str">
            <v/>
          </cell>
          <cell r="D1491" t="str">
            <v>Balcão Madesa Agata 60 cm 3 Gavetas Rustic/Preto</v>
          </cell>
          <cell r="E1491" t="str">
            <v>ÁGATA</v>
          </cell>
          <cell r="F1491" t="str">
            <v>MODULAÇÃO</v>
          </cell>
          <cell r="G1491" t="str">
            <v/>
          </cell>
          <cell r="H1491">
            <v>1019.99</v>
          </cell>
          <cell r="I1491">
            <v>579.99</v>
          </cell>
          <cell r="J1491">
            <v>373.48849999999999</v>
          </cell>
          <cell r="K1491">
            <v>0</v>
          </cell>
          <cell r="L1491">
            <v>373.48849999999999</v>
          </cell>
          <cell r="M1491">
            <v>0</v>
          </cell>
          <cell r="N1491">
            <v>579.99</v>
          </cell>
          <cell r="O1491" t="str">
            <v/>
          </cell>
          <cell r="P1491">
            <v>0</v>
          </cell>
          <cell r="Q1491">
            <v>0.55289921911919704</v>
          </cell>
          <cell r="R1491">
            <v>0.55289921911919704</v>
          </cell>
          <cell r="S1491" t="e">
            <v>#VALUE!</v>
          </cell>
          <cell r="T1491" t="e">
            <v>#VALUE!</v>
          </cell>
        </row>
        <row r="1492">
          <cell r="A1492" t="str">
            <v>10639BCP</v>
          </cell>
          <cell r="B1492" t="str">
            <v>MKP000631000992</v>
          </cell>
          <cell r="C1492" t="str">
            <v/>
          </cell>
          <cell r="D1492" t="str">
            <v>Guarda-Roupa Casal 100% MDF Madesa Royale 3 Portas de Correr com Pés Branco/Rustic</v>
          </cell>
          <cell r="E1492" t="str">
            <v>ROYALE</v>
          </cell>
          <cell r="F1492" t="str">
            <v>QUARTO</v>
          </cell>
          <cell r="G1492" t="str">
            <v/>
          </cell>
          <cell r="H1492">
            <v>2589.9899999999998</v>
          </cell>
          <cell r="I1492">
            <v>1899.92</v>
          </cell>
          <cell r="J1492">
            <v>1597.5367000000001</v>
          </cell>
          <cell r="K1492">
            <v>0</v>
          </cell>
          <cell r="L1492">
            <v>1597.5367000000001</v>
          </cell>
          <cell r="M1492">
            <v>0</v>
          </cell>
          <cell r="N1492">
            <v>1899.92</v>
          </cell>
          <cell r="O1492" t="str">
            <v/>
          </cell>
          <cell r="P1492">
            <v>0</v>
          </cell>
          <cell r="Q1492">
            <v>0.18928097238704999</v>
          </cell>
          <cell r="R1492">
            <v>0.18928097238704999</v>
          </cell>
          <cell r="S1492" t="e">
            <v>#VALUE!</v>
          </cell>
          <cell r="T1492" t="e">
            <v>#VALUE!</v>
          </cell>
        </row>
        <row r="1493">
          <cell r="A1493" t="str">
            <v>G258045ZGL</v>
          </cell>
          <cell r="B1493" t="str">
            <v>MKP000631000371</v>
          </cell>
          <cell r="C1493" t="str">
            <v/>
          </cell>
          <cell r="D1493" t="str">
            <v>Armário Aéreo Madesa Glamy 80 cm 1 Porta Basculante Rustic</v>
          </cell>
          <cell r="E1493" t="str">
            <v>GLAMY</v>
          </cell>
          <cell r="F1493" t="str">
            <v>MODULAÇÃO</v>
          </cell>
          <cell r="G1493" t="str">
            <v/>
          </cell>
          <cell r="H1493">
            <v>389.99</v>
          </cell>
          <cell r="I1493">
            <v>289.99</v>
          </cell>
          <cell r="J1493">
            <v>174.38910000000001</v>
          </cell>
          <cell r="K1493">
            <v>0</v>
          </cell>
          <cell r="L1493">
            <v>174.38910000000001</v>
          </cell>
          <cell r="M1493">
            <v>0</v>
          </cell>
          <cell r="N1493">
            <v>289.99</v>
          </cell>
          <cell r="O1493" t="str">
            <v/>
          </cell>
          <cell r="P1493">
            <v>0</v>
          </cell>
          <cell r="Q1493">
            <v>0.66289062791195097</v>
          </cell>
          <cell r="R1493">
            <v>0.66289062791195097</v>
          </cell>
          <cell r="S1493" t="e">
            <v>#VALUE!</v>
          </cell>
          <cell r="T1493" t="e">
            <v>#VALUE!</v>
          </cell>
        </row>
        <row r="1494">
          <cell r="A1494" t="str">
            <v>MDJA0401457GSIM</v>
          </cell>
          <cell r="B1494" t="str">
            <v>MKP000631004892</v>
          </cell>
          <cell r="C1494" t="str">
            <v/>
          </cell>
          <cell r="D1494" t="str">
            <v>Conjunto Sala de Jantar Mesa Tampo de Vidro 4 Cadeiras Rustic/Crema/Imperial Aryeli Madesa</v>
          </cell>
          <cell r="E1494" t="str">
            <v>ARYELI</v>
          </cell>
          <cell r="F1494" t="str">
            <v>SALA DE JANTAR</v>
          </cell>
          <cell r="G1494">
            <v>4256</v>
          </cell>
          <cell r="H1494">
            <v>1589.99</v>
          </cell>
          <cell r="I1494">
            <v>1489.99</v>
          </cell>
          <cell r="J1494">
            <v>1142.6796999999999</v>
          </cell>
          <cell r="K1494">
            <v>0</v>
          </cell>
          <cell r="L1494">
            <v>1142.6796999999999</v>
          </cell>
          <cell r="M1494">
            <v>0</v>
          </cell>
          <cell r="N1494">
            <v>1489.99</v>
          </cell>
          <cell r="O1494" t="str">
            <v>AMAZON</v>
          </cell>
          <cell r="P1494">
            <v>1459.99</v>
          </cell>
          <cell r="Q1494">
            <v>0.30394370355927403</v>
          </cell>
          <cell r="R1494">
            <v>0.30394370355927403</v>
          </cell>
          <cell r="S1494" t="e">
            <v>#VALUE!</v>
          </cell>
          <cell r="T1494" t="e">
            <v>#VALUE!</v>
          </cell>
        </row>
        <row r="1495">
          <cell r="A1495" t="str">
            <v>G2570209GL</v>
          </cell>
          <cell r="B1495" t="str">
            <v>MKP000631003493</v>
          </cell>
          <cell r="C1495" t="str">
            <v/>
          </cell>
          <cell r="D1495" t="str">
            <v>Armário Aéreo de Cozinha Madesa Glamy 70 cm 1 Porta Basculante Branco</v>
          </cell>
          <cell r="E1495" t="str">
            <v>GLAMY</v>
          </cell>
          <cell r="F1495" t="str">
            <v>MODULAÇÃO</v>
          </cell>
          <cell r="G1495" t="str">
            <v/>
          </cell>
          <cell r="H1495">
            <v>409.99</v>
          </cell>
          <cell r="I1495">
            <v>259.99</v>
          </cell>
          <cell r="J1495">
            <v>166.5847</v>
          </cell>
          <cell r="K1495">
            <v>0</v>
          </cell>
          <cell r="L1495">
            <v>166.5847</v>
          </cell>
          <cell r="M1495">
            <v>0</v>
          </cell>
          <cell r="N1495">
            <v>259.99</v>
          </cell>
          <cell r="O1495" t="str">
            <v/>
          </cell>
          <cell r="P1495">
            <v>0</v>
          </cell>
          <cell r="Q1495">
            <v>0.56070755597602895</v>
          </cell>
          <cell r="R1495">
            <v>0.56070755597602895</v>
          </cell>
          <cell r="S1495" t="e">
            <v>#VALUE!</v>
          </cell>
          <cell r="T1495" t="e">
            <v>#VALUE!</v>
          </cell>
        </row>
        <row r="1496">
          <cell r="A1496" t="str">
            <v>G258007KAG</v>
          </cell>
          <cell r="B1496" t="str">
            <v>MKP000631003071</v>
          </cell>
          <cell r="C1496" t="str">
            <v/>
          </cell>
          <cell r="D1496" t="str">
            <v>Armário Aéreo Madesa Agata 80 cm 2 Portas Rustic/Preto</v>
          </cell>
          <cell r="E1496" t="str">
            <v>ÁGATA</v>
          </cell>
          <cell r="F1496" t="str">
            <v>MODULAÇÃO</v>
          </cell>
          <cell r="G1496" t="str">
            <v/>
          </cell>
          <cell r="H1496">
            <v>699.99</v>
          </cell>
          <cell r="I1496">
            <v>439.99</v>
          </cell>
          <cell r="J1496">
            <v>252.3895</v>
          </cell>
          <cell r="K1496">
            <v>0</v>
          </cell>
          <cell r="L1496">
            <v>252.3895</v>
          </cell>
          <cell r="M1496">
            <v>0</v>
          </cell>
          <cell r="N1496">
            <v>439.99</v>
          </cell>
          <cell r="O1496" t="str">
            <v/>
          </cell>
          <cell r="P1496">
            <v>0</v>
          </cell>
          <cell r="Q1496">
            <v>0.74329756190332796</v>
          </cell>
          <cell r="R1496">
            <v>0.74329756190332796</v>
          </cell>
          <cell r="S1496" t="e">
            <v>#VALUE!</v>
          </cell>
          <cell r="T1496" t="e">
            <v>#VALUE!</v>
          </cell>
        </row>
        <row r="1497">
          <cell r="A1497" t="str">
            <v>MDES02000777</v>
          </cell>
          <cell r="B1497" t="str">
            <v>MKP000631001801</v>
          </cell>
          <cell r="C1497" t="str">
            <v/>
          </cell>
          <cell r="D1497" t="str">
            <v>Rack Madesa Le Mans e Painel para TV até 55 Polegadas 2 Portas Preto/Branco</v>
          </cell>
          <cell r="E1497" t="str">
            <v>LE MANS</v>
          </cell>
          <cell r="F1497" t="str">
            <v>SALA DE ESTAR</v>
          </cell>
          <cell r="G1497" t="str">
            <v/>
          </cell>
          <cell r="H1497">
            <v>559.99</v>
          </cell>
          <cell r="I1497">
            <v>459.99</v>
          </cell>
          <cell r="J1497">
            <v>351.69940000000003</v>
          </cell>
          <cell r="K1497">
            <v>0</v>
          </cell>
          <cell r="L1497">
            <v>351.69940000000003</v>
          </cell>
          <cell r="M1497">
            <v>0</v>
          </cell>
          <cell r="N1497">
            <v>459.99</v>
          </cell>
          <cell r="O1497" t="str">
            <v/>
          </cell>
          <cell r="P1497">
            <v>0</v>
          </cell>
          <cell r="Q1497">
            <v>0.30790669531992398</v>
          </cell>
          <cell r="R1497">
            <v>0.30790669531992398</v>
          </cell>
          <cell r="S1497" t="e">
            <v>#VALUE!</v>
          </cell>
          <cell r="T1497" t="e">
            <v>#VALUE!</v>
          </cell>
        </row>
        <row r="1498">
          <cell r="A1498" t="str">
            <v>G243505ZGL</v>
          </cell>
          <cell r="B1498" t="str">
            <v>MKP000631000374</v>
          </cell>
          <cell r="C1498" t="str">
            <v/>
          </cell>
          <cell r="D1498" t="str">
            <v>Balcão Madesa Glamy 35 cm 1 Porta Rustic</v>
          </cell>
          <cell r="E1498" t="str">
            <v>GLAMY</v>
          </cell>
          <cell r="F1498" t="str">
            <v>MODULAÇÃO</v>
          </cell>
          <cell r="G1498" t="str">
            <v/>
          </cell>
          <cell r="H1498">
            <v>719.99</v>
          </cell>
          <cell r="I1498">
            <v>339.99</v>
          </cell>
          <cell r="J1498">
            <v>217.0735</v>
          </cell>
          <cell r="K1498">
            <v>0</v>
          </cell>
          <cell r="L1498">
            <v>217.0735</v>
          </cell>
          <cell r="M1498">
            <v>0</v>
          </cell>
          <cell r="N1498">
            <v>339.99</v>
          </cell>
          <cell r="O1498" t="str">
            <v/>
          </cell>
          <cell r="P1498">
            <v>0</v>
          </cell>
          <cell r="Q1498">
            <v>0.56624369165282695</v>
          </cell>
          <cell r="R1498">
            <v>0.56624369165282695</v>
          </cell>
          <cell r="S1498" t="e">
            <v>#VALUE!</v>
          </cell>
          <cell r="T1498" t="e">
            <v>#VALUE!</v>
          </cell>
        </row>
        <row r="1499">
          <cell r="A1499" t="str">
            <v>10186E</v>
          </cell>
          <cell r="B1499" t="str">
            <v>MKP000631002371</v>
          </cell>
          <cell r="C1499" t="str">
            <v/>
          </cell>
          <cell r="D1499" t="str">
            <v>Guarda-Roupa Casal Madesa Kansas 3 Portas de Correr 3 Gavetas Rustic/Branco</v>
          </cell>
          <cell r="E1499" t="str">
            <v>KANSAS</v>
          </cell>
          <cell r="F1499" t="str">
            <v>QUARTO</v>
          </cell>
          <cell r="G1499" t="str">
            <v/>
          </cell>
          <cell r="H1499">
            <v>2339.9899999999998</v>
          </cell>
          <cell r="I1499">
            <v>1429.92</v>
          </cell>
          <cell r="J1499">
            <v>1164.6541</v>
          </cell>
          <cell r="K1499">
            <v>0</v>
          </cell>
          <cell r="L1499">
            <v>1164.6541</v>
          </cell>
          <cell r="M1499">
            <v>0</v>
          </cell>
          <cell r="N1499">
            <v>1429.92</v>
          </cell>
          <cell r="O1499" t="str">
            <v/>
          </cell>
          <cell r="P1499">
            <v>0</v>
          </cell>
          <cell r="Q1499">
            <v>0.22776367678609399</v>
          </cell>
          <cell r="R1499">
            <v>0.22776367678609399</v>
          </cell>
          <cell r="S1499" t="e">
            <v>#VALUE!</v>
          </cell>
          <cell r="T1499" t="e">
            <v>#VALUE!</v>
          </cell>
        </row>
        <row r="1500">
          <cell r="A1500" t="str">
            <v>MDFC0200107309</v>
          </cell>
          <cell r="B1500" t="str">
            <v>MKP000631002823</v>
          </cell>
          <cell r="C1500" t="str">
            <v/>
          </cell>
          <cell r="D1500" t="str">
            <v>Escrivaninha Madesa Rubi + Estante Livreiro 6907 Branco</v>
          </cell>
          <cell r="E1500" t="str">
            <v>RUBI + 6907</v>
          </cell>
          <cell r="F1500" t="str">
            <v>ESCRITÓRIO</v>
          </cell>
          <cell r="G1500" t="str">
            <v/>
          </cell>
          <cell r="H1500">
            <v>489.99</v>
          </cell>
          <cell r="I1500">
            <v>379.92</v>
          </cell>
          <cell r="J1500">
            <v>283.84690000000001</v>
          </cell>
          <cell r="K1500">
            <v>0</v>
          </cell>
          <cell r="L1500">
            <v>283.84690000000001</v>
          </cell>
          <cell r="M1500">
            <v>0</v>
          </cell>
          <cell r="N1500">
            <v>379.92</v>
          </cell>
          <cell r="O1500" t="str">
            <v/>
          </cell>
          <cell r="P1500">
            <v>0</v>
          </cell>
          <cell r="Q1500">
            <v>0.33846802624936201</v>
          </cell>
          <cell r="R1500">
            <v>0.33846802624936201</v>
          </cell>
          <cell r="S1500" t="e">
            <v>#VALUE!</v>
          </cell>
          <cell r="T1500" t="e">
            <v>#VALUE!</v>
          </cell>
        </row>
        <row r="1501">
          <cell r="A1501" t="str">
            <v>GRTP3000019B</v>
          </cell>
          <cell r="B1501" t="str">
            <v>MKP000631003022</v>
          </cell>
          <cell r="C1501" t="str">
            <v/>
          </cell>
          <cell r="D1501" t="str">
            <v>Armário de Cozinha Completa 300cm Branco/Rustic Topazio Madesa 01</v>
          </cell>
          <cell r="E1501" t="str">
            <v>TOPÁZIO</v>
          </cell>
          <cell r="F1501" t="str">
            <v>COZINHA</v>
          </cell>
          <cell r="G1501" t="str">
            <v/>
          </cell>
          <cell r="H1501">
            <v>1599.99</v>
          </cell>
          <cell r="I1501">
            <v>1499.99</v>
          </cell>
          <cell r="J1501">
            <v>1230.6318000000001</v>
          </cell>
          <cell r="K1501">
            <v>0</v>
          </cell>
          <cell r="L1501">
            <v>1230.6318000000001</v>
          </cell>
          <cell r="M1501">
            <v>0</v>
          </cell>
          <cell r="N1501">
            <v>1499.99</v>
          </cell>
          <cell r="O1501" t="str">
            <v/>
          </cell>
          <cell r="P1501">
            <v>0</v>
          </cell>
          <cell r="Q1501">
            <v>0.218877977962214</v>
          </cell>
          <cell r="R1501">
            <v>0.218877977962214</v>
          </cell>
          <cell r="S1501" t="e">
            <v>#VALUE!</v>
          </cell>
          <cell r="T1501" t="e">
            <v>#VALUE!</v>
          </cell>
        </row>
        <row r="1502">
          <cell r="A1502" t="str">
            <v>10949B2GCP</v>
          </cell>
          <cell r="B1502" t="str">
            <v>MKP000631001000</v>
          </cell>
          <cell r="C1502" t="str">
            <v/>
          </cell>
          <cell r="D1502" t="str">
            <v>Guarda-Roupa Solteiro Madesa Dallas 2 Portas de Correr 2 Gavetas com Pés Branco/Rustic</v>
          </cell>
          <cell r="E1502" t="str">
            <v>DALLAS</v>
          </cell>
          <cell r="F1502" t="str">
            <v>QUARTO</v>
          </cell>
          <cell r="G1502" t="str">
            <v/>
          </cell>
          <cell r="H1502">
            <v>1009.99</v>
          </cell>
          <cell r="I1502">
            <v>769.92</v>
          </cell>
          <cell r="J1502">
            <v>600.43740000000003</v>
          </cell>
          <cell r="K1502">
            <v>0</v>
          </cell>
          <cell r="L1502">
            <v>600.43740000000003</v>
          </cell>
          <cell r="M1502">
            <v>0</v>
          </cell>
          <cell r="N1502">
            <v>769.92</v>
          </cell>
          <cell r="O1502" t="str">
            <v/>
          </cell>
          <cell r="P1502">
            <v>0</v>
          </cell>
          <cell r="Q1502">
            <v>0.28226522864831499</v>
          </cell>
          <cell r="R1502">
            <v>0.28226522864831499</v>
          </cell>
          <cell r="S1502" t="e">
            <v>#VALUE!</v>
          </cell>
          <cell r="T1502" t="e">
            <v>#VALUE!</v>
          </cell>
        </row>
        <row r="1503">
          <cell r="A1503" t="str">
            <v>G254007KAG</v>
          </cell>
          <cell r="B1503" t="str">
            <v>MKP000631003067</v>
          </cell>
          <cell r="C1503" t="str">
            <v/>
          </cell>
          <cell r="D1503" t="str">
            <v>Armário Aéreo Madesa Agata 40 cm 1 Porta Rustic/Preto</v>
          </cell>
          <cell r="E1503" t="str">
            <v>ÁGATA</v>
          </cell>
          <cell r="F1503" t="str">
            <v>MODULAÇÃO</v>
          </cell>
          <cell r="G1503" t="str">
            <v/>
          </cell>
          <cell r="H1503">
            <v>369.99</v>
          </cell>
          <cell r="I1503">
            <v>289.99</v>
          </cell>
          <cell r="J1503">
            <v>166.9117</v>
          </cell>
          <cell r="K1503">
            <v>0</v>
          </cell>
          <cell r="L1503">
            <v>166.9117</v>
          </cell>
          <cell r="M1503">
            <v>0</v>
          </cell>
          <cell r="N1503">
            <v>289.99</v>
          </cell>
          <cell r="O1503" t="str">
            <v/>
          </cell>
          <cell r="P1503">
            <v>0</v>
          </cell>
          <cell r="Q1503">
            <v>0.73738569555040201</v>
          </cell>
          <cell r="R1503">
            <v>0.73738569555040201</v>
          </cell>
          <cell r="S1503" t="e">
            <v>#VALUE!</v>
          </cell>
          <cell r="T1503" t="e">
            <v>#VALUE!</v>
          </cell>
        </row>
        <row r="1504">
          <cell r="A1504" t="str">
            <v>MDFC0200117309</v>
          </cell>
          <cell r="B1504" t="str">
            <v>MKP000631002826</v>
          </cell>
          <cell r="C1504" t="str">
            <v/>
          </cell>
          <cell r="D1504" t="str">
            <v>Escrivaninha Madesa Rubi + Estante Livreiro 6908 Branco</v>
          </cell>
          <cell r="E1504" t="str">
            <v>RUBI + 6908</v>
          </cell>
          <cell r="F1504" t="str">
            <v>ESCRITÓRIO</v>
          </cell>
          <cell r="G1504" t="str">
            <v/>
          </cell>
          <cell r="H1504">
            <v>579.99</v>
          </cell>
          <cell r="I1504">
            <v>469.92</v>
          </cell>
          <cell r="J1504">
            <v>360.29950000000002</v>
          </cell>
          <cell r="K1504">
            <v>0</v>
          </cell>
          <cell r="L1504">
            <v>360.29950000000002</v>
          </cell>
          <cell r="M1504">
            <v>0</v>
          </cell>
          <cell r="N1504">
            <v>469.92</v>
          </cell>
          <cell r="O1504" t="str">
            <v/>
          </cell>
          <cell r="P1504">
            <v>0</v>
          </cell>
          <cell r="Q1504">
            <v>0.304248271229907</v>
          </cell>
          <cell r="R1504">
            <v>0.304248271229907</v>
          </cell>
          <cell r="S1504" t="e">
            <v>#VALUE!</v>
          </cell>
          <cell r="T1504" t="e">
            <v>#VALUE!</v>
          </cell>
        </row>
        <row r="1505">
          <cell r="A1505" t="str">
            <v>G267555ZGL</v>
          </cell>
          <cell r="B1505" t="str">
            <v>MKP000631000359</v>
          </cell>
          <cell r="C1505" t="str">
            <v/>
          </cell>
          <cell r="D1505" t="str">
            <v>Torre Quente Madesa Glamy 70 cm 3 Portas Rustic</v>
          </cell>
          <cell r="E1505" t="str">
            <v>GLAMY</v>
          </cell>
          <cell r="F1505" t="str">
            <v>MODULAÇÃO</v>
          </cell>
          <cell r="G1505" t="str">
            <v/>
          </cell>
          <cell r="H1505">
            <v>1279.99</v>
          </cell>
          <cell r="I1505">
            <v>869.99</v>
          </cell>
          <cell r="J1505">
            <v>535.41890000000001</v>
          </cell>
          <cell r="K1505">
            <v>0</v>
          </cell>
          <cell r="L1505">
            <v>535.41890000000001</v>
          </cell>
          <cell r="M1505">
            <v>0</v>
          </cell>
          <cell r="N1505">
            <v>869.99</v>
          </cell>
          <cell r="O1505" t="str">
            <v/>
          </cell>
          <cell r="P1505">
            <v>0</v>
          </cell>
          <cell r="Q1505">
            <v>0.62487726899442697</v>
          </cell>
          <cell r="R1505">
            <v>0.62487726899442697</v>
          </cell>
          <cell r="S1505" t="e">
            <v>#VALUE!</v>
          </cell>
          <cell r="T1505" t="e">
            <v>#VALUE!</v>
          </cell>
        </row>
        <row r="1506">
          <cell r="A1506" t="str">
            <v>G2515309GL</v>
          </cell>
          <cell r="B1506" t="str">
            <v>MKP000631004709</v>
          </cell>
          <cell r="C1506" t="str">
            <v/>
          </cell>
          <cell r="D1506" t="str">
            <v>Armário Aéreo Madesa Glamy 150 cm 2 Portas e 2 Nichos Branco</v>
          </cell>
          <cell r="E1506" t="str">
            <v>GLAMY</v>
          </cell>
          <cell r="F1506" t="str">
            <v>MODULAÇÃO</v>
          </cell>
          <cell r="G1506" t="str">
            <v/>
          </cell>
          <cell r="H1506">
            <v>949.99</v>
          </cell>
          <cell r="I1506">
            <v>589.99</v>
          </cell>
          <cell r="J1506">
            <v>361.16059999999999</v>
          </cell>
          <cell r="K1506">
            <v>0</v>
          </cell>
          <cell r="L1506">
            <v>361.16059999999999</v>
          </cell>
          <cell r="M1506">
            <v>0</v>
          </cell>
          <cell r="N1506">
            <v>589.99</v>
          </cell>
          <cell r="O1506" t="str">
            <v/>
          </cell>
          <cell r="P1506">
            <v>0</v>
          </cell>
          <cell r="Q1506">
            <v>0.63359458368382404</v>
          </cell>
          <cell r="R1506">
            <v>0.63359458368382404</v>
          </cell>
          <cell r="S1506" t="e">
            <v>#VALUE!</v>
          </cell>
          <cell r="T1506" t="e">
            <v>#VALUE!</v>
          </cell>
        </row>
        <row r="1507">
          <cell r="A1507" t="str">
            <v>MDFC020016D8</v>
          </cell>
          <cell r="B1507" t="str">
            <v>MKP000631005422</v>
          </cell>
          <cell r="C1507" t="str">
            <v/>
          </cell>
          <cell r="D1507" t="str">
            <v>Conjunto Escritório Home Office com Mesa Industrial + Estante Preto/Rustic Madesa</v>
          </cell>
          <cell r="E1507" t="str">
            <v>9423 + ESTANTE</v>
          </cell>
          <cell r="F1507" t="str">
            <v>ESCRITÓRIO</v>
          </cell>
          <cell r="G1507" t="str">
            <v/>
          </cell>
          <cell r="H1507">
            <v>749.99</v>
          </cell>
          <cell r="I1507">
            <v>629.91999999999996</v>
          </cell>
          <cell r="J1507">
            <v>481.81270000000001</v>
          </cell>
          <cell r="K1507">
            <v>0</v>
          </cell>
          <cell r="L1507">
            <v>481.81270000000001</v>
          </cell>
          <cell r="M1507">
            <v>0</v>
          </cell>
          <cell r="N1507">
            <v>629.91999999999996</v>
          </cell>
          <cell r="O1507" t="str">
            <v/>
          </cell>
          <cell r="P1507">
            <v>0</v>
          </cell>
          <cell r="Q1507">
            <v>0.30739600678853002</v>
          </cell>
          <cell r="R1507">
            <v>0.30739600678853002</v>
          </cell>
          <cell r="S1507" t="e">
            <v>#VALUE!</v>
          </cell>
          <cell r="T1507" t="e">
            <v>#VALUE!</v>
          </cell>
        </row>
        <row r="1508">
          <cell r="A1508" t="str">
            <v>GCRM3920028N</v>
          </cell>
          <cell r="B1508" t="str">
            <v>MKP000631002595</v>
          </cell>
          <cell r="C1508" t="str">
            <v/>
          </cell>
          <cell r="D1508" t="str">
            <v>Armário de Cozinha Completa de Canto 392cm Preto Reims Madesa 02</v>
          </cell>
          <cell r="E1508" t="str">
            <v>REIMS</v>
          </cell>
          <cell r="F1508" t="str">
            <v>COZINHA</v>
          </cell>
          <cell r="G1508" t="str">
            <v/>
          </cell>
          <cell r="H1508">
            <v>3389.99</v>
          </cell>
          <cell r="I1508">
            <v>2039.92</v>
          </cell>
          <cell r="J1508">
            <v>1745.4496999999999</v>
          </cell>
          <cell r="K1508">
            <v>0</v>
          </cell>
          <cell r="L1508">
            <v>1745.4496999999999</v>
          </cell>
          <cell r="M1508">
            <v>0</v>
          </cell>
          <cell r="N1508">
            <v>2039.92</v>
          </cell>
          <cell r="O1508" t="str">
            <v/>
          </cell>
          <cell r="P1508">
            <v>0</v>
          </cell>
          <cell r="Q1508">
            <v>0.16870741104713599</v>
          </cell>
          <cell r="R1508">
            <v>0.16870741104713599</v>
          </cell>
          <cell r="S1508" t="e">
            <v>#VALUE!</v>
          </cell>
          <cell r="T1508" t="e">
            <v>#VALUE!</v>
          </cell>
        </row>
        <row r="1509">
          <cell r="A1509" t="str">
            <v>G251283BPRPT</v>
          </cell>
          <cell r="B1509" t="str">
            <v>MKP000631004799</v>
          </cell>
          <cell r="C1509" t="str">
            <v/>
          </cell>
          <cell r="D1509" t="str">
            <v>Armário Aéreo 2 Portas de Correr de Vidro Pontilhado e 1 Nicho Cinza Nice Madesa</v>
          </cell>
          <cell r="E1509" t="str">
            <v>NICE</v>
          </cell>
          <cell r="F1509" t="str">
            <v>MODULAÇÃO</v>
          </cell>
          <cell r="G1509" t="str">
            <v/>
          </cell>
          <cell r="H1509">
            <v>429.99</v>
          </cell>
          <cell r="I1509">
            <v>369.99</v>
          </cell>
          <cell r="J1509">
            <v>234.51349999999999</v>
          </cell>
          <cell r="K1509">
            <v>0</v>
          </cell>
          <cell r="L1509">
            <v>234.51349999999999</v>
          </cell>
          <cell r="M1509">
            <v>0</v>
          </cell>
          <cell r="N1509">
            <v>369.99</v>
          </cell>
          <cell r="O1509" t="str">
            <v/>
          </cell>
          <cell r="P1509">
            <v>0</v>
          </cell>
          <cell r="Q1509">
            <v>0.57769168939101601</v>
          </cell>
          <cell r="R1509">
            <v>0.57769168939101601</v>
          </cell>
          <cell r="S1509" t="e">
            <v>#VALUE!</v>
          </cell>
          <cell r="T1509" t="e">
            <v>#VALUE!</v>
          </cell>
        </row>
        <row r="1510">
          <cell r="A1510" t="str">
            <v>GREM1690055Z</v>
          </cell>
          <cell r="B1510" t="str">
            <v>MKP000631001510</v>
          </cell>
          <cell r="C1510" t="str">
            <v/>
          </cell>
          <cell r="D1510" t="str">
            <v>Armário de Cozinha Completa 169cm Rustic Emilly Fly Madesa 05</v>
          </cell>
          <cell r="E1510" t="str">
            <v>FLY/EMILLY</v>
          </cell>
          <cell r="F1510" t="str">
            <v>COZINHA</v>
          </cell>
          <cell r="G1510" t="str">
            <v/>
          </cell>
          <cell r="H1510">
            <v>1469.99</v>
          </cell>
          <cell r="I1510">
            <v>999.99</v>
          </cell>
          <cell r="J1510">
            <v>863.63969999999995</v>
          </cell>
          <cell r="K1510">
            <v>0</v>
          </cell>
          <cell r="L1510">
            <v>863.63969999999995</v>
          </cell>
          <cell r="M1510">
            <v>0</v>
          </cell>
          <cell r="N1510">
            <v>999.99</v>
          </cell>
          <cell r="O1510" t="str">
            <v/>
          </cell>
          <cell r="P1510">
            <v>0</v>
          </cell>
          <cell r="Q1510">
            <v>0.15787868482655401</v>
          </cell>
          <cell r="R1510">
            <v>0.15787868482655401</v>
          </cell>
          <cell r="S1510" t="e">
            <v>#VALUE!</v>
          </cell>
          <cell r="T1510" t="e">
            <v>#VALUE!</v>
          </cell>
        </row>
        <row r="1511">
          <cell r="A1511" t="str">
            <v>1018093E</v>
          </cell>
          <cell r="B1511" t="str">
            <v>MKP000631002256</v>
          </cell>
          <cell r="C1511" t="str">
            <v/>
          </cell>
          <cell r="D1511" t="str">
            <v>Guarda-Roupa Casal Madesa Kansas 3 Portas de Correr de Espelho 3 Gavetas Branco</v>
          </cell>
          <cell r="E1511" t="str">
            <v>KANSAS</v>
          </cell>
          <cell r="F1511" t="str">
            <v>QUARTO</v>
          </cell>
          <cell r="G1511" t="str">
            <v/>
          </cell>
          <cell r="H1511">
            <v>2389.9899999999998</v>
          </cell>
          <cell r="I1511">
            <v>1839.92</v>
          </cell>
          <cell r="J1511">
            <v>1523.3404</v>
          </cell>
          <cell r="K1511">
            <v>0</v>
          </cell>
          <cell r="L1511">
            <v>1523.3404</v>
          </cell>
          <cell r="M1511">
            <v>0</v>
          </cell>
          <cell r="N1511">
            <v>1839.92</v>
          </cell>
          <cell r="O1511" t="str">
            <v/>
          </cell>
          <cell r="P1511">
            <v>0</v>
          </cell>
          <cell r="Q1511">
            <v>0.20781934228226301</v>
          </cell>
          <cell r="R1511">
            <v>0.20781934228226301</v>
          </cell>
          <cell r="S1511" t="e">
            <v>#VALUE!</v>
          </cell>
          <cell r="T1511" t="e">
            <v>#VALUE!</v>
          </cell>
        </row>
        <row r="1512">
          <cell r="A1512" t="str">
            <v>G200817K8N</v>
          </cell>
          <cell r="B1512" t="str">
            <v>MKP000631000193</v>
          </cell>
          <cell r="C1512" t="str">
            <v/>
          </cell>
          <cell r="D1512" t="str">
            <v>Armário de Cozinha Completa 250cm Preto Reims Madesa</v>
          </cell>
          <cell r="E1512" t="str">
            <v>REIMS</v>
          </cell>
          <cell r="F1512" t="str">
            <v>COZINHA</v>
          </cell>
          <cell r="G1512" t="str">
            <v/>
          </cell>
          <cell r="H1512">
            <v>2579.9899999999998</v>
          </cell>
          <cell r="I1512">
            <v>1639.92</v>
          </cell>
          <cell r="J1512">
            <v>1333.1244999999999</v>
          </cell>
          <cell r="K1512">
            <v>0</v>
          </cell>
          <cell r="L1512">
            <v>1333.1244999999999</v>
          </cell>
          <cell r="M1512">
            <v>0</v>
          </cell>
          <cell r="N1512">
            <v>1639.92</v>
          </cell>
          <cell r="O1512" t="str">
            <v/>
          </cell>
          <cell r="P1512">
            <v>0</v>
          </cell>
          <cell r="Q1512">
            <v>0.23013266952936501</v>
          </cell>
          <cell r="R1512">
            <v>0.23013266952936501</v>
          </cell>
          <cell r="S1512" t="e">
            <v>#VALUE!</v>
          </cell>
          <cell r="T1512" t="e">
            <v>#VALUE!</v>
          </cell>
        </row>
        <row r="1513">
          <cell r="A1513" t="str">
            <v>GREM2290035Z</v>
          </cell>
          <cell r="B1513" t="str">
            <v>MKP000631000380</v>
          </cell>
          <cell r="C1513" t="str">
            <v/>
          </cell>
          <cell r="D1513" t="str">
            <v>Armário de Cozinha Completa 229cm Rustic Emilly Fit Madesa 03</v>
          </cell>
          <cell r="E1513" t="str">
            <v>FIT/EMILLY</v>
          </cell>
          <cell r="F1513" t="str">
            <v>COZINHA</v>
          </cell>
          <cell r="G1513" t="str">
            <v/>
          </cell>
          <cell r="H1513">
            <v>1309.99</v>
          </cell>
          <cell r="I1513">
            <v>769.92</v>
          </cell>
          <cell r="J1513">
            <v>587.28110000000004</v>
          </cell>
          <cell r="K1513">
            <v>0</v>
          </cell>
          <cell r="L1513">
            <v>587.28110000000004</v>
          </cell>
          <cell r="M1513">
            <v>0</v>
          </cell>
          <cell r="N1513">
            <v>769.92</v>
          </cell>
          <cell r="O1513" t="str">
            <v/>
          </cell>
          <cell r="P1513">
            <v>0</v>
          </cell>
          <cell r="Q1513">
            <v>0.31099059717739902</v>
          </cell>
          <cell r="R1513">
            <v>0.31099059717739902</v>
          </cell>
          <cell r="S1513" t="e">
            <v>#VALUE!</v>
          </cell>
          <cell r="T1513" t="e">
            <v>#VALUE!</v>
          </cell>
        </row>
        <row r="1514">
          <cell r="A1514" t="str">
            <v>G200579B</v>
          </cell>
          <cell r="B1514" t="str">
            <v>MKP000631000209</v>
          </cell>
          <cell r="C1514" t="str">
            <v/>
          </cell>
          <cell r="D1514" t="str">
            <v>Armário de Cozinha Completa 261cm Rustic/Branco Emilly Hit Madesa</v>
          </cell>
          <cell r="E1514" t="str">
            <v>HIT/EMILLY</v>
          </cell>
          <cell r="F1514" t="str">
            <v>COZINHA</v>
          </cell>
          <cell r="G1514" t="str">
            <v/>
          </cell>
          <cell r="H1514">
            <v>1659.99</v>
          </cell>
          <cell r="I1514">
            <v>1159.92</v>
          </cell>
          <cell r="J1514">
            <v>834.34050000000002</v>
          </cell>
          <cell r="K1514">
            <v>0</v>
          </cell>
          <cell r="L1514">
            <v>834.34050000000002</v>
          </cell>
          <cell r="M1514">
            <v>0</v>
          </cell>
          <cell r="N1514">
            <v>1159.92</v>
          </cell>
          <cell r="O1514" t="str">
            <v/>
          </cell>
          <cell r="P1514">
            <v>0</v>
          </cell>
          <cell r="Q1514">
            <v>0.39022377554487597</v>
          </cell>
          <cell r="R1514">
            <v>0.39022377554487597</v>
          </cell>
          <cell r="S1514" t="e">
            <v>#VALUE!</v>
          </cell>
          <cell r="T1514" t="e">
            <v>#VALUE!</v>
          </cell>
        </row>
        <row r="1515">
          <cell r="A1515" t="str">
            <v>GRRM2500038N</v>
          </cell>
          <cell r="B1515" t="str">
            <v>MKP000631004489</v>
          </cell>
          <cell r="C1515" t="str">
            <v/>
          </cell>
          <cell r="D1515" t="str">
            <v>Armário de Cozinha Completa 250cm Preto Reims Madesa 03</v>
          </cell>
          <cell r="E1515" t="str">
            <v>REIMS</v>
          </cell>
          <cell r="F1515" t="str">
            <v>COZINHA</v>
          </cell>
          <cell r="G1515" t="str">
            <v/>
          </cell>
          <cell r="H1515">
            <v>2099.9</v>
          </cell>
          <cell r="I1515">
            <v>1289.99</v>
          </cell>
          <cell r="J1515">
            <v>1046.9449999999999</v>
          </cell>
          <cell r="K1515">
            <v>0</v>
          </cell>
          <cell r="L1515">
            <v>1046.9449999999999</v>
          </cell>
          <cell r="M1515">
            <v>0</v>
          </cell>
          <cell r="N1515">
            <v>1289.99</v>
          </cell>
          <cell r="O1515" t="str">
            <v>MADEIRAMADEIRA</v>
          </cell>
          <cell r="P1515">
            <v>1279.99</v>
          </cell>
          <cell r="Q1515">
            <v>0.232146865403627</v>
          </cell>
          <cell r="R1515">
            <v>0.232146865403627</v>
          </cell>
          <cell r="S1515" t="e">
            <v>#VALUE!</v>
          </cell>
          <cell r="T1515" t="e">
            <v>#VALUE!</v>
          </cell>
        </row>
        <row r="1516">
          <cell r="A1516" t="str">
            <v>GCGL4590016E</v>
          </cell>
          <cell r="B1516" t="str">
            <v>MKP000631004378</v>
          </cell>
          <cell r="C1516" t="str">
            <v/>
          </cell>
          <cell r="D1516" t="str">
            <v>Armário de Cozinha Completa de Canto 459cm Rustic Branco Glamy Madesa 01</v>
          </cell>
          <cell r="E1516" t="str">
            <v>GLAMY</v>
          </cell>
          <cell r="F1516" t="str">
            <v>COZINHA</v>
          </cell>
          <cell r="G1516" t="str">
            <v/>
          </cell>
          <cell r="H1516">
            <v>3599.99</v>
          </cell>
          <cell r="I1516">
            <v>3499.99</v>
          </cell>
          <cell r="J1516">
            <v>2819.9825999999998</v>
          </cell>
          <cell r="K1516">
            <v>0</v>
          </cell>
          <cell r="L1516">
            <v>2819.9825999999998</v>
          </cell>
          <cell r="M1516">
            <v>0</v>
          </cell>
          <cell r="N1516">
            <v>3499.99</v>
          </cell>
          <cell r="O1516" t="str">
            <v/>
          </cell>
          <cell r="P1516">
            <v>0</v>
          </cell>
          <cell r="Q1516">
            <v>0.24113886376461999</v>
          </cell>
          <cell r="R1516">
            <v>0.24113886376461999</v>
          </cell>
          <cell r="S1516" t="e">
            <v>#VALUE!</v>
          </cell>
          <cell r="T1516" t="e">
            <v>#VALUE!</v>
          </cell>
        </row>
        <row r="1517">
          <cell r="A1517" t="str">
            <v>10945Z2E2GCP</v>
          </cell>
          <cell r="B1517" t="str">
            <v>MKP000631001016</v>
          </cell>
          <cell r="C1517" t="str">
            <v/>
          </cell>
          <cell r="D1517" t="str">
            <v>Guarda-Roupa Solteiro Madesa Dallas 2 Portas de Correr de Espelho 2 Gavetas com Pés Rustic</v>
          </cell>
          <cell r="E1517" t="str">
            <v>DALLAS</v>
          </cell>
          <cell r="F1517" t="str">
            <v>QUARTO</v>
          </cell>
          <cell r="G1517" t="str">
            <v/>
          </cell>
          <cell r="H1517">
            <v>1359.99</v>
          </cell>
          <cell r="I1517">
            <v>1099.92</v>
          </cell>
          <cell r="J1517">
            <v>860.29340000000002</v>
          </cell>
          <cell r="K1517">
            <v>0</v>
          </cell>
          <cell r="L1517">
            <v>860.29340000000002</v>
          </cell>
          <cell r="M1517">
            <v>0</v>
          </cell>
          <cell r="N1517">
            <v>1099.92</v>
          </cell>
          <cell r="O1517" t="str">
            <v/>
          </cell>
          <cell r="P1517">
            <v>0</v>
          </cell>
          <cell r="Q1517">
            <v>0.27854055372271802</v>
          </cell>
          <cell r="R1517">
            <v>0.27854055372271802</v>
          </cell>
          <cell r="S1517" t="e">
            <v>#VALUE!</v>
          </cell>
          <cell r="T1517" t="e">
            <v>#VALUE!</v>
          </cell>
        </row>
        <row r="1518">
          <cell r="A1518" t="str">
            <v>GRLX2400059R</v>
          </cell>
          <cell r="B1518" t="str">
            <v>MKP000631004848</v>
          </cell>
          <cell r="C1518" t="str">
            <v/>
          </cell>
          <cell r="D1518" t="str">
            <v>Armário de Cozinha Completa 240cm Branco/Cinza Lux Madesa 05</v>
          </cell>
          <cell r="E1518" t="str">
            <v>LUX</v>
          </cell>
          <cell r="F1518" t="str">
            <v>COZINHA</v>
          </cell>
          <cell r="G1518" t="str">
            <v/>
          </cell>
          <cell r="H1518">
            <v>3899.99</v>
          </cell>
          <cell r="I1518">
            <v>3819.99</v>
          </cell>
          <cell r="J1518">
            <v>2550.6327000000001</v>
          </cell>
          <cell r="K1518">
            <v>0</v>
          </cell>
          <cell r="L1518">
            <v>2550.6327000000001</v>
          </cell>
          <cell r="M1518">
            <v>0</v>
          </cell>
          <cell r="N1518">
            <v>3819.99</v>
          </cell>
          <cell r="O1518" t="str">
            <v>LOJA</v>
          </cell>
          <cell r="P1518">
            <v>3349.99</v>
          </cell>
          <cell r="Q1518">
            <v>0.497663697324981</v>
          </cell>
          <cell r="R1518">
            <v>0.497663697324981</v>
          </cell>
          <cell r="S1518" t="e">
            <v>#VALUE!</v>
          </cell>
          <cell r="T1518" t="e">
            <v>#VALUE!</v>
          </cell>
        </row>
        <row r="1519">
          <cell r="A1519" t="str">
            <v>10946E1E4G</v>
          </cell>
          <cell r="B1519" t="str">
            <v>MKP000631000768</v>
          </cell>
          <cell r="C1519" t="str">
            <v/>
          </cell>
          <cell r="D1519" t="str">
            <v>Guarda-Roupa Solteiro Madesa Dallas Plus 2 Portas de Correr com Espelho 4 Gavetas Rustic/Branco</v>
          </cell>
          <cell r="E1519" t="str">
            <v>DALLAS PLUS</v>
          </cell>
          <cell r="F1519" t="str">
            <v>QUARTO</v>
          </cell>
          <cell r="G1519" t="str">
            <v/>
          </cell>
          <cell r="H1519">
            <v>1259.99</v>
          </cell>
          <cell r="I1519">
            <v>959.92</v>
          </cell>
          <cell r="J1519">
            <v>782.51099999999997</v>
          </cell>
          <cell r="K1519">
            <v>0</v>
          </cell>
          <cell r="L1519">
            <v>782.51099999999997</v>
          </cell>
          <cell r="M1519">
            <v>0</v>
          </cell>
          <cell r="N1519">
            <v>959.92</v>
          </cell>
          <cell r="O1519" t="str">
            <v/>
          </cell>
          <cell r="P1519">
            <v>0</v>
          </cell>
          <cell r="Q1519">
            <v>0.22671757968897599</v>
          </cell>
          <cell r="R1519">
            <v>0.22671757968897599</v>
          </cell>
          <cell r="S1519" t="e">
            <v>#VALUE!</v>
          </cell>
          <cell r="T1519" t="e">
            <v>#VALUE!</v>
          </cell>
        </row>
        <row r="1520">
          <cell r="A1520" t="str">
            <v>G244003BNCCT</v>
          </cell>
          <cell r="B1520" t="str">
            <v>MKP000631004838</v>
          </cell>
          <cell r="C1520" t="str">
            <v/>
          </cell>
          <cell r="D1520" t="str">
            <v>Balcão 40 cm 1 Porta Com Pés Cinza Nice Madesa</v>
          </cell>
          <cell r="E1520" t="str">
            <v>NICE</v>
          </cell>
          <cell r="F1520" t="str">
            <v>MODULAÇÃO</v>
          </cell>
          <cell r="G1520" t="str">
            <v/>
          </cell>
          <cell r="H1520">
            <v>559.99</v>
          </cell>
          <cell r="I1520">
            <v>319.99</v>
          </cell>
          <cell r="J1520">
            <v>179.91540000000001</v>
          </cell>
          <cell r="K1520">
            <v>0</v>
          </cell>
          <cell r="L1520">
            <v>179.91540000000001</v>
          </cell>
          <cell r="M1520">
            <v>0</v>
          </cell>
          <cell r="N1520">
            <v>319.99</v>
          </cell>
          <cell r="O1520" t="str">
            <v/>
          </cell>
          <cell r="P1520">
            <v>0</v>
          </cell>
          <cell r="Q1520">
            <v>0.77855814455016104</v>
          </cell>
          <cell r="R1520">
            <v>0.77855814455016104</v>
          </cell>
          <cell r="S1520" t="e">
            <v>#VALUE!</v>
          </cell>
          <cell r="T1520" t="e">
            <v>#VALUE!</v>
          </cell>
        </row>
        <row r="1521">
          <cell r="A1521" t="str">
            <v>XAGREM229002F9</v>
          </cell>
          <cell r="B1521" t="str">
            <v>MKP000631004143</v>
          </cell>
          <cell r="C1521" t="str">
            <v/>
          </cell>
          <cell r="D1521" t="str">
            <v>Armário de Cozinha Compacta Madesa Emilly Pop com Balcão Rustic/Cinza</v>
          </cell>
          <cell r="E1521" t="str">
            <v>POP/EMILLY</v>
          </cell>
          <cell r="F1521" t="str">
            <v>COZINHA</v>
          </cell>
          <cell r="G1521" t="str">
            <v/>
          </cell>
          <cell r="H1521">
            <v>899.99</v>
          </cell>
          <cell r="I1521">
            <v>849.99</v>
          </cell>
          <cell r="J1521">
            <v>587.28110000000004</v>
          </cell>
          <cell r="K1521">
            <v>0</v>
          </cell>
          <cell r="L1521">
            <v>587.28110000000004</v>
          </cell>
          <cell r="M1521">
            <v>0</v>
          </cell>
          <cell r="N1521">
            <v>849.99</v>
          </cell>
          <cell r="O1521" t="str">
            <v>VIA</v>
          </cell>
          <cell r="P1521">
            <v>749.99</v>
          </cell>
          <cell r="Q1521">
            <v>0.44733075864351801</v>
          </cell>
          <cell r="R1521">
            <v>0.44733075864351801</v>
          </cell>
          <cell r="S1521" t="e">
            <v>#VALUE!</v>
          </cell>
          <cell r="T1521" t="e">
            <v>#VALUE!</v>
          </cell>
        </row>
        <row r="1522">
          <cell r="A1522" t="str">
            <v>10935Z2GCP</v>
          </cell>
          <cell r="B1522" t="str">
            <v>MKP000631001078</v>
          </cell>
          <cell r="C1522" t="str">
            <v/>
          </cell>
          <cell r="D1522" t="str">
            <v>Guarda-Roupa Casal Madesa Lyon 3 Portas de Correr 2 Gavetas com Pés Rustic</v>
          </cell>
          <cell r="E1522" t="str">
            <v>LYON</v>
          </cell>
          <cell r="F1522" t="str">
            <v>QUARTO</v>
          </cell>
          <cell r="G1522" t="str">
            <v/>
          </cell>
          <cell r="H1522">
            <v>1169.99</v>
          </cell>
          <cell r="I1522">
            <v>929.92</v>
          </cell>
          <cell r="J1522">
            <v>755.77329999999995</v>
          </cell>
          <cell r="K1522">
            <v>0</v>
          </cell>
          <cell r="L1522">
            <v>755.77329999999995</v>
          </cell>
          <cell r="M1522">
            <v>0</v>
          </cell>
          <cell r="N1522">
            <v>929.92</v>
          </cell>
          <cell r="O1522" t="str">
            <v/>
          </cell>
          <cell r="P1522">
            <v>0</v>
          </cell>
          <cell r="Q1522">
            <v>0.230421873860852</v>
          </cell>
          <cell r="R1522">
            <v>0.230421873860852</v>
          </cell>
          <cell r="S1522" t="e">
            <v>#VALUE!</v>
          </cell>
          <cell r="T1522" t="e">
            <v>#VALUE!</v>
          </cell>
        </row>
        <row r="1523">
          <cell r="A1523" t="str">
            <v>G251209BGL</v>
          </cell>
          <cell r="B1523" t="str">
            <v>MKP000631000490</v>
          </cell>
          <cell r="C1523" t="str">
            <v/>
          </cell>
          <cell r="D1523" t="str">
            <v>Armário Aéreo Madesa Glamy 120 cm 2 Portas com Vidro Branco/Rustic</v>
          </cell>
          <cell r="E1523" t="str">
            <v>GLAMY</v>
          </cell>
          <cell r="F1523" t="str">
            <v>MODULAÇÃO</v>
          </cell>
          <cell r="G1523" t="str">
            <v/>
          </cell>
          <cell r="H1523">
            <v>949.99</v>
          </cell>
          <cell r="I1523">
            <v>529.99</v>
          </cell>
          <cell r="J1523">
            <v>346.32569999999998</v>
          </cell>
          <cell r="K1523">
            <v>0</v>
          </cell>
          <cell r="L1523">
            <v>346.32569999999998</v>
          </cell>
          <cell r="M1523">
            <v>0</v>
          </cell>
          <cell r="N1523">
            <v>529.99</v>
          </cell>
          <cell r="O1523" t="str">
            <v/>
          </cell>
          <cell r="P1523">
            <v>0</v>
          </cell>
          <cell r="Q1523">
            <v>0.53032246812754602</v>
          </cell>
          <cell r="R1523">
            <v>0.53032246812754602</v>
          </cell>
          <cell r="S1523" t="e">
            <v>#VALUE!</v>
          </cell>
          <cell r="T1523" t="e">
            <v>#VALUE!</v>
          </cell>
        </row>
        <row r="1524">
          <cell r="A1524" t="str">
            <v>MDJA0401785ZPT</v>
          </cell>
          <cell r="B1524" t="str">
            <v>MKP000631005885</v>
          </cell>
          <cell r="C1524" t="str">
            <v/>
          </cell>
          <cell r="D1524" t="str">
            <v>Conjunto Sala de Jantar Mesa Tampo de Madeira 4 Cadeiras Rustic/Preto Marilyn Madesa</v>
          </cell>
          <cell r="E1524" t="str">
            <v>MARILYN</v>
          </cell>
          <cell r="F1524" t="str">
            <v>SALA DE JANTAR</v>
          </cell>
          <cell r="G1524" t="str">
            <v>4290X</v>
          </cell>
          <cell r="H1524">
            <v>699.99</v>
          </cell>
          <cell r="I1524">
            <v>599.99</v>
          </cell>
          <cell r="J1524">
            <v>465.66980000000001</v>
          </cell>
          <cell r="K1524">
            <v>0</v>
          </cell>
          <cell r="L1524">
            <v>465.66980000000001</v>
          </cell>
          <cell r="M1524">
            <v>0</v>
          </cell>
          <cell r="N1524">
            <v>599.99</v>
          </cell>
          <cell r="O1524" t="str">
            <v/>
          </cell>
          <cell r="P1524">
            <v>0</v>
          </cell>
          <cell r="Q1524">
            <v>0.28844516006835702</v>
          </cell>
          <cell r="R1524">
            <v>0.28844516006835702</v>
          </cell>
          <cell r="S1524" t="e">
            <v>#VALUE!</v>
          </cell>
          <cell r="T1524" t="e">
            <v>#VALUE!</v>
          </cell>
        </row>
        <row r="1525">
          <cell r="A1525" t="str">
            <v>MDFC02000109</v>
          </cell>
          <cell r="B1525" t="str">
            <v>MKP000631002337</v>
          </cell>
          <cell r="C1525" t="str">
            <v/>
          </cell>
          <cell r="D1525" t="str">
            <v>Mesa para Computador Gamer Madesa 9409 e Painel para TV até 50 Polegadas Branco</v>
          </cell>
          <cell r="E1525" t="str">
            <v>GAMER</v>
          </cell>
          <cell r="F1525" t="str">
            <v>ESCRITÓRIO</v>
          </cell>
          <cell r="G1525" t="str">
            <v/>
          </cell>
          <cell r="H1525">
            <v>699.99</v>
          </cell>
          <cell r="I1525">
            <v>469.99</v>
          </cell>
          <cell r="J1525">
            <v>340.625</v>
          </cell>
          <cell r="K1525">
            <v>0</v>
          </cell>
          <cell r="L1525">
            <v>340.625</v>
          </cell>
          <cell r="M1525">
            <v>0</v>
          </cell>
          <cell r="N1525">
            <v>469.99</v>
          </cell>
          <cell r="O1525" t="str">
            <v>LOJA</v>
          </cell>
          <cell r="P1525">
            <v>479.99</v>
          </cell>
          <cell r="Q1525">
            <v>0.37978715596330298</v>
          </cell>
          <cell r="R1525">
            <v>0.37978715596330298</v>
          </cell>
          <cell r="S1525" t="e">
            <v>#VALUE!</v>
          </cell>
          <cell r="T1525" t="e">
            <v>#VALUE!</v>
          </cell>
        </row>
        <row r="1526">
          <cell r="A1526" t="str">
            <v>53255Z2</v>
          </cell>
          <cell r="B1526" t="str">
            <v>MKP000631004566</v>
          </cell>
          <cell r="C1526" t="str">
            <v/>
          </cell>
          <cell r="D1526" t="str">
            <v>Mesa de Jantar Redonda Madesa 5325 com Tampo de Vidro Rustic</v>
          </cell>
          <cell r="E1526">
            <v>5325</v>
          </cell>
          <cell r="F1526" t="str">
            <v>SALA DE JANTAR</v>
          </cell>
          <cell r="G1526" t="str">
            <v/>
          </cell>
          <cell r="H1526">
            <v>569.99</v>
          </cell>
          <cell r="I1526">
            <v>469.99</v>
          </cell>
          <cell r="J1526">
            <v>360.05970000000002</v>
          </cell>
          <cell r="K1526">
            <v>0</v>
          </cell>
          <cell r="L1526">
            <v>360.05970000000002</v>
          </cell>
          <cell r="M1526">
            <v>0</v>
          </cell>
          <cell r="N1526">
            <v>469.99</v>
          </cell>
          <cell r="O1526" t="str">
            <v/>
          </cell>
          <cell r="P1526">
            <v>0</v>
          </cell>
          <cell r="Q1526">
            <v>0.30531131365159703</v>
          </cell>
          <cell r="R1526">
            <v>0.30531131365159703</v>
          </cell>
          <cell r="S1526" t="e">
            <v>#VALUE!</v>
          </cell>
          <cell r="T1526" t="e">
            <v>#VALUE!</v>
          </cell>
        </row>
        <row r="1527">
          <cell r="A1527" t="str">
            <v>G251205ZGL</v>
          </cell>
          <cell r="B1527" t="str">
            <v>MKP000631000364</v>
          </cell>
          <cell r="C1527" t="str">
            <v/>
          </cell>
          <cell r="D1527" t="str">
            <v>Armário Aéreo Madesa Glamy 120 cm 2 Portas com Vidro Rustic</v>
          </cell>
          <cell r="E1527" t="str">
            <v>GLAMY</v>
          </cell>
          <cell r="F1527" t="str">
            <v>MODULAÇÃO</v>
          </cell>
          <cell r="G1527" t="str">
            <v/>
          </cell>
          <cell r="H1527">
            <v>949.99</v>
          </cell>
          <cell r="I1527">
            <v>529.99</v>
          </cell>
          <cell r="J1527">
            <v>346.32569999999998</v>
          </cell>
          <cell r="K1527">
            <v>0</v>
          </cell>
          <cell r="L1527">
            <v>346.32569999999998</v>
          </cell>
          <cell r="M1527">
            <v>0</v>
          </cell>
          <cell r="N1527">
            <v>529.99</v>
          </cell>
          <cell r="O1527" t="str">
            <v/>
          </cell>
          <cell r="P1527">
            <v>0</v>
          </cell>
          <cell r="Q1527">
            <v>0.53032246812754602</v>
          </cell>
          <cell r="R1527">
            <v>0.53032246812754602</v>
          </cell>
          <cell r="S1527" t="e">
            <v>#VALUE!</v>
          </cell>
          <cell r="T1527" t="e">
            <v>#VALUE!</v>
          </cell>
        </row>
        <row r="1528">
          <cell r="A1528" t="str">
            <v>10955Z3E</v>
          </cell>
          <cell r="B1528" t="str">
            <v>MKP000631001951</v>
          </cell>
          <cell r="C1528" t="str">
            <v/>
          </cell>
          <cell r="D1528" t="str">
            <v>Guarda-Roupa Casal Madesa Reno 3 Portas de Correr de Espelho Rustic</v>
          </cell>
          <cell r="E1528" t="str">
            <v>RENO</v>
          </cell>
          <cell r="F1528" t="str">
            <v>QUARTO</v>
          </cell>
          <cell r="G1528" t="str">
            <v/>
          </cell>
          <cell r="H1528">
            <v>2469.9899999999998</v>
          </cell>
          <cell r="I1528">
            <v>1539.92</v>
          </cell>
          <cell r="J1528">
            <v>1277.0876000000001</v>
          </cell>
          <cell r="K1528">
            <v>0</v>
          </cell>
          <cell r="L1528">
            <v>1277.0876000000001</v>
          </cell>
          <cell r="M1528">
            <v>0</v>
          </cell>
          <cell r="N1528">
            <v>1539.92</v>
          </cell>
          <cell r="O1528" t="str">
            <v/>
          </cell>
          <cell r="P1528">
            <v>0</v>
          </cell>
          <cell r="Q1528">
            <v>0.20580608565927699</v>
          </cell>
          <cell r="R1528">
            <v>0.20580608565927699</v>
          </cell>
          <cell r="S1528" t="e">
            <v>#VALUE!</v>
          </cell>
          <cell r="T1528" t="e">
            <v>#VALUE!</v>
          </cell>
        </row>
        <row r="1529">
          <cell r="A1529" t="str">
            <v>1093F92E</v>
          </cell>
          <cell r="B1529" t="str">
            <v>MKP000631004576</v>
          </cell>
          <cell r="C1529" t="str">
            <v/>
          </cell>
          <cell r="D1529" t="str">
            <v>Guarda-Roupa Casal Madesa Mônaco 3 Portas de Correr com Espelhos Rustic/Cinza</v>
          </cell>
          <cell r="E1529" t="str">
            <v>MÔNACO</v>
          </cell>
          <cell r="F1529" t="str">
            <v>QUARTO</v>
          </cell>
          <cell r="G1529" t="str">
            <v/>
          </cell>
          <cell r="H1529">
            <v>1099.99</v>
          </cell>
          <cell r="I1529">
            <v>1079.92</v>
          </cell>
          <cell r="J1529">
            <v>880.70910000000003</v>
          </cell>
          <cell r="K1529">
            <v>0</v>
          </cell>
          <cell r="L1529">
            <v>880.70910000000003</v>
          </cell>
          <cell r="M1529">
            <v>0</v>
          </cell>
          <cell r="N1529">
            <v>1079.92</v>
          </cell>
          <cell r="O1529" t="str">
            <v/>
          </cell>
          <cell r="P1529">
            <v>0</v>
          </cell>
          <cell r="Q1529">
            <v>0.22619375682617601</v>
          </cell>
          <cell r="R1529">
            <v>0.22619375682617601</v>
          </cell>
          <cell r="S1529" t="e">
            <v>#VALUE!</v>
          </cell>
          <cell r="T1529" t="e">
            <v>#VALUE!</v>
          </cell>
        </row>
        <row r="1530">
          <cell r="A1530" t="str">
            <v>MDJA040149F9SM</v>
          </cell>
          <cell r="B1530" t="str">
            <v>MKP000631005299</v>
          </cell>
          <cell r="C1530" t="str">
            <v/>
          </cell>
          <cell r="D1530" t="str">
            <v>Conjunto Sala de Jantar Mesa Tampo de Madeira 4 Cadeiras Rustic/Cinza/Imperial Ashley Madesa</v>
          </cell>
          <cell r="E1530" t="str">
            <v>ASHLEY</v>
          </cell>
          <cell r="F1530" t="str">
            <v>SALA DE JANTAR</v>
          </cell>
          <cell r="G1530">
            <v>4256</v>
          </cell>
          <cell r="H1530">
            <v>1369.99</v>
          </cell>
          <cell r="I1530">
            <v>1169.99</v>
          </cell>
          <cell r="J1530">
            <v>910.24810000000002</v>
          </cell>
          <cell r="K1530">
            <v>0</v>
          </cell>
          <cell r="L1530">
            <v>910.24810000000002</v>
          </cell>
          <cell r="M1530">
            <v>0</v>
          </cell>
          <cell r="N1530">
            <v>1169.99</v>
          </cell>
          <cell r="O1530" t="str">
            <v/>
          </cell>
          <cell r="P1530">
            <v>0</v>
          </cell>
          <cell r="Q1530">
            <v>0.28535286148908201</v>
          </cell>
          <cell r="R1530">
            <v>0.28535286148908201</v>
          </cell>
          <cell r="S1530" t="e">
            <v>#VALUE!</v>
          </cell>
          <cell r="T1530" t="e">
            <v>#VALUE!</v>
          </cell>
        </row>
        <row r="1531">
          <cell r="A1531" t="str">
            <v>G2415309AG</v>
          </cell>
          <cell r="B1531" t="str">
            <v>MKP000631004643</v>
          </cell>
          <cell r="C1531" t="str">
            <v/>
          </cell>
          <cell r="D1531" t="str">
            <v>Balcão de Pia Madesa Agata 150 cm 2 Portas e 2 Gavetas (Sem Tampo e Pia) Branco</v>
          </cell>
          <cell r="E1531" t="str">
            <v>ÁGATA</v>
          </cell>
          <cell r="F1531" t="str">
            <v>MODULAÇÃO</v>
          </cell>
          <cell r="G1531" t="str">
            <v/>
          </cell>
          <cell r="H1531">
            <v>799.99</v>
          </cell>
          <cell r="I1531">
            <v>569.99</v>
          </cell>
          <cell r="J1531">
            <v>424.2389</v>
          </cell>
          <cell r="K1531">
            <v>0</v>
          </cell>
          <cell r="L1531">
            <v>424.2389</v>
          </cell>
          <cell r="M1531">
            <v>0</v>
          </cell>
          <cell r="N1531">
            <v>569.99</v>
          </cell>
          <cell r="O1531" t="str">
            <v/>
          </cell>
          <cell r="P1531">
            <v>0</v>
          </cell>
          <cell r="Q1531">
            <v>0.34355901827955898</v>
          </cell>
          <cell r="R1531">
            <v>0.34355901827955898</v>
          </cell>
          <cell r="S1531" t="e">
            <v>#VALUE!</v>
          </cell>
          <cell r="T1531" t="e">
            <v>#VALUE!</v>
          </cell>
        </row>
        <row r="1532">
          <cell r="A1532" t="str">
            <v>MDJA0400417KSIM</v>
          </cell>
          <cell r="B1532" t="str">
            <v>MKP000631000860</v>
          </cell>
          <cell r="C1532" t="str">
            <v/>
          </cell>
          <cell r="D1532" t="str">
            <v>Conjunto Sala de Jantar Madesa Ingrid Mesa Tampo de Madeira com 4 Cadeiras Rustic/Preto/Imperial</v>
          </cell>
          <cell r="E1532" t="str">
            <v>INGRID</v>
          </cell>
          <cell r="F1532" t="str">
            <v>SALA DE JANTAR</v>
          </cell>
          <cell r="G1532">
            <v>4254</v>
          </cell>
          <cell r="H1532">
            <v>1339.99</v>
          </cell>
          <cell r="I1532">
            <v>1239.99</v>
          </cell>
          <cell r="J1532">
            <v>974.86329999999998</v>
          </cell>
          <cell r="K1532">
            <v>0</v>
          </cell>
          <cell r="L1532">
            <v>974.86329999999998</v>
          </cell>
          <cell r="M1532">
            <v>0</v>
          </cell>
          <cell r="N1532">
            <v>1239.99</v>
          </cell>
          <cell r="O1532" t="str">
            <v/>
          </cell>
          <cell r="P1532">
            <v>0</v>
          </cell>
          <cell r="Q1532">
            <v>0.27196295111324797</v>
          </cell>
          <cell r="R1532">
            <v>0.27196295111324797</v>
          </cell>
          <cell r="S1532" t="e">
            <v>#VALUE!</v>
          </cell>
          <cell r="T1532" t="e">
            <v>#VALUE!</v>
          </cell>
        </row>
        <row r="1533">
          <cell r="A1533" t="str">
            <v>10959B1E</v>
          </cell>
          <cell r="B1533" t="str">
            <v>MKP000631002075</v>
          </cell>
          <cell r="C1533" t="str">
            <v/>
          </cell>
          <cell r="D1533" t="str">
            <v>Guarda-Roupa Casal Madesa Reno 3 Portas de Correr com Espelho Branco/Rustic</v>
          </cell>
          <cell r="E1533" t="str">
            <v>RENO</v>
          </cell>
          <cell r="F1533" t="str">
            <v>QUARTO</v>
          </cell>
          <cell r="G1533" t="str">
            <v/>
          </cell>
          <cell r="H1533">
            <v>2069.9899999999998</v>
          </cell>
          <cell r="I1533">
            <v>1299.99</v>
          </cell>
          <cell r="J1533">
            <v>986.06849999999997</v>
          </cell>
          <cell r="K1533">
            <v>0</v>
          </cell>
          <cell r="L1533">
            <v>986.06849999999997</v>
          </cell>
          <cell r="M1533">
            <v>0</v>
          </cell>
          <cell r="N1533">
            <v>1299.99</v>
          </cell>
          <cell r="O1533" t="str">
            <v>LOJA</v>
          </cell>
          <cell r="P1533">
            <v>1199.99</v>
          </cell>
          <cell r="Q1533">
            <v>0.318356686173425</v>
          </cell>
          <cell r="R1533">
            <v>0.318356686173425</v>
          </cell>
          <cell r="S1533" t="e">
            <v>#VALUE!</v>
          </cell>
          <cell r="T1533" t="e">
            <v>#VALUE!</v>
          </cell>
        </row>
        <row r="1534">
          <cell r="A1534" t="str">
            <v>G266555ZTE</v>
          </cell>
          <cell r="B1534" t="str">
            <v>MKP000631002228</v>
          </cell>
          <cell r="C1534" t="str">
            <v/>
          </cell>
          <cell r="D1534" t="str">
            <v>Torre Quente Madesa Stella 60 cm 1 Porta 3 Gavetas Rustic</v>
          </cell>
          <cell r="E1534" t="str">
            <v>STELLA</v>
          </cell>
          <cell r="F1534" t="str">
            <v>MODULAÇÃO</v>
          </cell>
          <cell r="G1534" t="str">
            <v/>
          </cell>
          <cell r="H1534">
            <v>1339.99</v>
          </cell>
          <cell r="I1534">
            <v>899.99</v>
          </cell>
          <cell r="J1534">
            <v>553.40390000000002</v>
          </cell>
          <cell r="K1534">
            <v>0</v>
          </cell>
          <cell r="L1534">
            <v>553.40390000000002</v>
          </cell>
          <cell r="M1534">
            <v>0</v>
          </cell>
          <cell r="N1534">
            <v>899.99</v>
          </cell>
          <cell r="O1534" t="str">
            <v/>
          </cell>
          <cell r="P1534">
            <v>0</v>
          </cell>
          <cell r="Q1534">
            <v>0.626280552052488</v>
          </cell>
          <cell r="R1534">
            <v>0.626280552052488</v>
          </cell>
          <cell r="S1534" t="e">
            <v>#VALUE!</v>
          </cell>
          <cell r="T1534" t="e">
            <v>#VALUE!</v>
          </cell>
        </row>
        <row r="1535">
          <cell r="A1535" t="str">
            <v>G20091F9</v>
          </cell>
          <cell r="B1535" t="str">
            <v>MKP000631005120</v>
          </cell>
          <cell r="C1535" t="str">
            <v/>
          </cell>
          <cell r="D1535" t="str">
            <v>Kit com Armário Aéreo e Balcão 64cm Rustic/Cinza Emilly Madesa</v>
          </cell>
          <cell r="E1535" t="str">
            <v>EMILLY</v>
          </cell>
          <cell r="F1535" t="str">
            <v>MODULAÇÃO</v>
          </cell>
          <cell r="G1535" t="str">
            <v/>
          </cell>
          <cell r="H1535">
            <v>399.99</v>
          </cell>
          <cell r="I1535">
            <v>389.99</v>
          </cell>
          <cell r="J1535">
            <v>258.0684</v>
          </cell>
          <cell r="K1535">
            <v>0</v>
          </cell>
          <cell r="L1535">
            <v>258.0684</v>
          </cell>
          <cell r="M1535">
            <v>0</v>
          </cell>
          <cell r="N1535">
            <v>389.99</v>
          </cell>
          <cell r="O1535" t="str">
            <v/>
          </cell>
          <cell r="P1535">
            <v>0</v>
          </cell>
          <cell r="Q1535">
            <v>0.51118850661297599</v>
          </cell>
          <cell r="R1535">
            <v>0.51118850661297599</v>
          </cell>
          <cell r="S1535" t="e">
            <v>#VALUE!</v>
          </cell>
          <cell r="T1535" t="e">
            <v>#VALUE!</v>
          </cell>
        </row>
        <row r="1536">
          <cell r="A1536" t="str">
            <v>53637G1</v>
          </cell>
          <cell r="B1536" t="str">
            <v>MKP000631000105</v>
          </cell>
          <cell r="C1536" t="str">
            <v/>
          </cell>
          <cell r="D1536" t="str">
            <v>Mesa de Jantar Madesa Quadrada Tampo de Madeira 5363 Rustic/Crema</v>
          </cell>
          <cell r="E1536">
            <v>5363</v>
          </cell>
          <cell r="F1536" t="str">
            <v>SALA DE JANTAR</v>
          </cell>
          <cell r="G1536" t="str">
            <v/>
          </cell>
          <cell r="H1536">
            <v>469.99</v>
          </cell>
          <cell r="I1536">
            <v>269.99</v>
          </cell>
          <cell r="J1536">
            <v>143.29140000000001</v>
          </cell>
          <cell r="K1536">
            <v>0</v>
          </cell>
          <cell r="L1536">
            <v>143.29140000000001</v>
          </cell>
          <cell r="M1536">
            <v>0</v>
          </cell>
          <cell r="N1536">
            <v>269.99</v>
          </cell>
          <cell r="O1536" t="str">
            <v/>
          </cell>
          <cell r="P1536">
            <v>0</v>
          </cell>
          <cell r="Q1536">
            <v>0.88420240153979901</v>
          </cell>
          <cell r="R1536">
            <v>0.88420240153979901</v>
          </cell>
          <cell r="S1536" t="e">
            <v>#VALUE!</v>
          </cell>
          <cell r="T1536" t="e">
            <v>#VALUE!</v>
          </cell>
        </row>
        <row r="1537">
          <cell r="A1537" t="str">
            <v>GRGM31000109</v>
          </cell>
          <cell r="B1537" t="str">
            <v>MKP000631004539</v>
          </cell>
          <cell r="C1537" t="str">
            <v/>
          </cell>
          <cell r="D1537" t="str">
            <v>Armário de Cozinha Completa 100% MDF 310cm Frentes Branco Brilho Acordes Madesa 01</v>
          </cell>
          <cell r="E1537" t="str">
            <v>ACORDES</v>
          </cell>
          <cell r="F1537" t="str">
            <v>COZINHA</v>
          </cell>
          <cell r="G1537" t="str">
            <v/>
          </cell>
          <cell r="H1537">
            <v>2599.9899999999998</v>
          </cell>
          <cell r="I1537">
            <v>2499.9899999999998</v>
          </cell>
          <cell r="J1537">
            <v>2109.0518999999999</v>
          </cell>
          <cell r="K1537">
            <v>0</v>
          </cell>
          <cell r="L1537">
            <v>2109.0518999999999</v>
          </cell>
          <cell r="M1537">
            <v>0</v>
          </cell>
          <cell r="N1537">
            <v>2499.9899999999998</v>
          </cell>
          <cell r="O1537" t="str">
            <v/>
          </cell>
          <cell r="P1537">
            <v>0</v>
          </cell>
          <cell r="Q1537">
            <v>0.18536201029476801</v>
          </cell>
          <cell r="R1537">
            <v>0.18536201029476801</v>
          </cell>
          <cell r="S1537" t="e">
            <v>#VALUE!</v>
          </cell>
          <cell r="T1537" t="e">
            <v>#VALUE!</v>
          </cell>
        </row>
        <row r="1538">
          <cell r="A1538" t="str">
            <v>XC10639B1ECP</v>
          </cell>
          <cell r="B1538" t="str">
            <v>MKP000631001477</v>
          </cell>
          <cell r="C1538" t="str">
            <v/>
          </cell>
          <cell r="D1538" t="str">
            <v>Guarda-Roupa Casal 100% MDF Madesa Zurique 3 Portas de Correr com Espelho com Pés Branco/Rustic</v>
          </cell>
          <cell r="E1538" t="str">
            <v>ZURIQUE</v>
          </cell>
          <cell r="F1538" t="str">
            <v>QUARTO</v>
          </cell>
          <cell r="G1538" t="str">
            <v/>
          </cell>
          <cell r="H1538">
            <v>2789.99</v>
          </cell>
          <cell r="I1538">
            <v>2119.92</v>
          </cell>
          <cell r="J1538">
            <v>1838.7973</v>
          </cell>
          <cell r="K1538">
            <v>0</v>
          </cell>
          <cell r="L1538">
            <v>1838.7973</v>
          </cell>
          <cell r="M1538">
            <v>0</v>
          </cell>
          <cell r="N1538">
            <v>2119.92</v>
          </cell>
          <cell r="O1538" t="str">
            <v/>
          </cell>
          <cell r="P1538">
            <v>0</v>
          </cell>
          <cell r="Q1538">
            <v>0.15288400738895999</v>
          </cell>
          <cell r="R1538">
            <v>0.15288400738895999</v>
          </cell>
          <cell r="S1538" t="e">
            <v>#VALUE!</v>
          </cell>
          <cell r="T1538" t="e">
            <v>#VALUE!</v>
          </cell>
        </row>
        <row r="1539">
          <cell r="A1539" t="str">
            <v>XAGRGM3300029B</v>
          </cell>
          <cell r="B1539" t="str">
            <v>MKP000631003743</v>
          </cell>
          <cell r="C1539" t="str">
            <v/>
          </cell>
          <cell r="D1539" t="str">
            <v>Armário de Cozinha Completa 100% MDF 330cm Branco/Rustic Acordes Madesa XA02</v>
          </cell>
          <cell r="E1539" t="str">
            <v>ACORDES</v>
          </cell>
          <cell r="F1539" t="str">
            <v>COZINHA</v>
          </cell>
          <cell r="G1539" t="str">
            <v/>
          </cell>
          <cell r="H1539">
            <v>2399.9899999999998</v>
          </cell>
          <cell r="I1539">
            <v>2299.9899999999998</v>
          </cell>
          <cell r="J1539">
            <v>1903.4452000000001</v>
          </cell>
          <cell r="K1539">
            <v>0</v>
          </cell>
          <cell r="L1539">
            <v>1903.4452000000001</v>
          </cell>
          <cell r="M1539">
            <v>0</v>
          </cell>
          <cell r="N1539">
            <v>2299.9899999999998</v>
          </cell>
          <cell r="O1539" t="str">
            <v/>
          </cell>
          <cell r="P1539">
            <v>0</v>
          </cell>
          <cell r="Q1539">
            <v>0.20833003230142899</v>
          </cell>
          <cell r="R1539">
            <v>0.20833003230142899</v>
          </cell>
          <cell r="S1539" t="e">
            <v>#VALUE!</v>
          </cell>
          <cell r="T1539" t="e">
            <v>#VALUE!</v>
          </cell>
        </row>
        <row r="1540">
          <cell r="A1540" t="str">
            <v>21018N1</v>
          </cell>
          <cell r="B1540" t="str">
            <v>MKP000631001680</v>
          </cell>
          <cell r="C1540" t="str">
            <v/>
          </cell>
          <cell r="D1540" t="str">
            <v>Painel para TV até 65 Polegadas Madesa Preto</v>
          </cell>
          <cell r="E1540">
            <v>2101</v>
          </cell>
          <cell r="F1540" t="str">
            <v>SALA DE ESTAR</v>
          </cell>
          <cell r="G1540" t="str">
            <v/>
          </cell>
          <cell r="H1540">
            <v>369.99</v>
          </cell>
          <cell r="I1540">
            <v>269.99</v>
          </cell>
          <cell r="J1540">
            <v>198.82689999999999</v>
          </cell>
          <cell r="K1540">
            <v>0</v>
          </cell>
          <cell r="L1540">
            <v>198.82689999999999</v>
          </cell>
          <cell r="M1540">
            <v>0</v>
          </cell>
          <cell r="N1540">
            <v>269.99</v>
          </cell>
          <cell r="O1540" t="str">
            <v/>
          </cell>
          <cell r="P1540">
            <v>0</v>
          </cell>
          <cell r="Q1540">
            <v>0.357914849550036</v>
          </cell>
          <cell r="R1540">
            <v>0.357914849550036</v>
          </cell>
          <cell r="S1540" t="e">
            <v>#VALUE!</v>
          </cell>
          <cell r="T1540" t="e">
            <v>#VALUE!</v>
          </cell>
        </row>
        <row r="1541">
          <cell r="A1541" t="str">
            <v>MDJA0401457KSIM</v>
          </cell>
          <cell r="B1541" t="str">
            <v>MKP000631004890</v>
          </cell>
          <cell r="C1541" t="str">
            <v/>
          </cell>
          <cell r="D1541" t="str">
            <v>Conjunto Sala de Jantar Mesa Tampo de Vidro 4 Cadeiras Rustic/Preto/Imperial Aryeli Madesa</v>
          </cell>
          <cell r="E1541" t="str">
            <v>ARYELI</v>
          </cell>
          <cell r="F1541" t="str">
            <v>SALA DE JANTAR</v>
          </cell>
          <cell r="G1541">
            <v>4256</v>
          </cell>
          <cell r="H1541">
            <v>1559.99</v>
          </cell>
          <cell r="I1541">
            <v>1459.99</v>
          </cell>
          <cell r="J1541">
            <v>1142.6796999999999</v>
          </cell>
          <cell r="K1541">
            <v>0</v>
          </cell>
          <cell r="L1541">
            <v>1142.6796999999999</v>
          </cell>
          <cell r="M1541">
            <v>0</v>
          </cell>
          <cell r="N1541">
            <v>1459.99</v>
          </cell>
          <cell r="O1541" t="str">
            <v>AMAZON</v>
          </cell>
          <cell r="P1541">
            <v>1459.99</v>
          </cell>
          <cell r="Q1541">
            <v>0.27768962728575702</v>
          </cell>
          <cell r="R1541">
            <v>0.27768962728575702</v>
          </cell>
          <cell r="S1541" t="e">
            <v>#VALUE!</v>
          </cell>
          <cell r="T1541" t="e">
            <v>#VALUE!</v>
          </cell>
        </row>
        <row r="1542">
          <cell r="A1542" t="str">
            <v>1093094GCP</v>
          </cell>
          <cell r="B1542" t="str">
            <v>MKP000631001073</v>
          </cell>
          <cell r="C1542" t="str">
            <v/>
          </cell>
          <cell r="D1542" t="str">
            <v>Guarda-Roupa Casal Madesa Lyon Plus 3 Portas de Correr 4 Gavetas com Pés Branco</v>
          </cell>
          <cell r="E1542" t="str">
            <v>LYON PLUS</v>
          </cell>
          <cell r="F1542" t="str">
            <v>QUARTO</v>
          </cell>
          <cell r="G1542" t="str">
            <v/>
          </cell>
          <cell r="H1542">
            <v>1369.99</v>
          </cell>
          <cell r="I1542">
            <v>1059.92</v>
          </cell>
          <cell r="J1542">
            <v>844.51020000000005</v>
          </cell>
          <cell r="K1542">
            <v>0</v>
          </cell>
          <cell r="L1542">
            <v>844.51020000000005</v>
          </cell>
          <cell r="M1542">
            <v>0</v>
          </cell>
          <cell r="N1542">
            <v>1059.92</v>
          </cell>
          <cell r="O1542" t="str">
            <v/>
          </cell>
          <cell r="P1542">
            <v>0</v>
          </cell>
          <cell r="Q1542">
            <v>0.255070690679639</v>
          </cell>
          <cell r="R1542">
            <v>0.255070690679639</v>
          </cell>
          <cell r="S1542" t="e">
            <v>#VALUE!</v>
          </cell>
          <cell r="T1542" t="e">
            <v>#VALUE!</v>
          </cell>
        </row>
        <row r="1543">
          <cell r="A1543" t="str">
            <v>GCRM45200109</v>
          </cell>
          <cell r="B1543" t="str">
            <v>MKP000631002596</v>
          </cell>
          <cell r="C1543" t="str">
            <v/>
          </cell>
          <cell r="D1543" t="str">
            <v>Armário de Cozinha Completa de Canto 452cm Branco Reims Madesa 01</v>
          </cell>
          <cell r="E1543" t="str">
            <v>REIMS</v>
          </cell>
          <cell r="F1543" t="str">
            <v>COZINHA</v>
          </cell>
          <cell r="G1543" t="str">
            <v/>
          </cell>
          <cell r="H1543">
            <v>3959.99</v>
          </cell>
          <cell r="I1543">
            <v>2559.9899999999998</v>
          </cell>
          <cell r="J1543">
            <v>1923.9590000000001</v>
          </cell>
          <cell r="K1543">
            <v>0</v>
          </cell>
          <cell r="L1543">
            <v>1923.9590000000001</v>
          </cell>
          <cell r="M1543">
            <v>0</v>
          </cell>
          <cell r="N1543">
            <v>2559.9899999999998</v>
          </cell>
          <cell r="O1543" t="str">
            <v>MAGALU</v>
          </cell>
          <cell r="P1543">
            <v>2421.04</v>
          </cell>
          <cell r="Q1543">
            <v>0.33058448750726999</v>
          </cell>
          <cell r="R1543">
            <v>0.33058448750726999</v>
          </cell>
          <cell r="S1543" t="e">
            <v>#VALUE!</v>
          </cell>
          <cell r="T1543" t="e">
            <v>#VALUE!</v>
          </cell>
        </row>
        <row r="1544">
          <cell r="A1544" t="str">
            <v>G2475009GL</v>
          </cell>
          <cell r="B1544" t="str">
            <v>MKP000631000829</v>
          </cell>
          <cell r="C1544" t="str">
            <v/>
          </cell>
          <cell r="D1544" t="str">
            <v>Balcão de Canto Madesa Glamy 1 Porta Branco</v>
          </cell>
          <cell r="E1544" t="str">
            <v>GLAMY</v>
          </cell>
          <cell r="F1544" t="str">
            <v>MODULAÇÃO</v>
          </cell>
          <cell r="G1544" t="str">
            <v/>
          </cell>
          <cell r="H1544">
            <v>1019.99</v>
          </cell>
          <cell r="I1544">
            <v>529.99</v>
          </cell>
          <cell r="J1544">
            <v>318.60700000000003</v>
          </cell>
          <cell r="K1544">
            <v>0</v>
          </cell>
          <cell r="L1544">
            <v>318.60700000000003</v>
          </cell>
          <cell r="M1544">
            <v>0</v>
          </cell>
          <cell r="N1544">
            <v>529.99</v>
          </cell>
          <cell r="O1544" t="str">
            <v/>
          </cell>
          <cell r="P1544">
            <v>0</v>
          </cell>
          <cell r="Q1544">
            <v>0.66345999930949395</v>
          </cell>
          <cell r="R1544">
            <v>0.66345999930949395</v>
          </cell>
          <cell r="S1544" t="e">
            <v>#VALUE!</v>
          </cell>
          <cell r="T1544" t="e">
            <v>#VALUE!</v>
          </cell>
        </row>
        <row r="1545">
          <cell r="A1545" t="str">
            <v>1094D81E2G</v>
          </cell>
          <cell r="B1545" t="str">
            <v>MKP000631002020</v>
          </cell>
          <cell r="C1545" t="str">
            <v/>
          </cell>
          <cell r="D1545" t="str">
            <v>Guarda-Roupa Solteiro Madesa Dallas 2 Portas de Correr com Espelho 2 Gavetas Preto/Rustic</v>
          </cell>
          <cell r="E1545" t="str">
            <v>DALLAS</v>
          </cell>
          <cell r="F1545" t="str">
            <v>QUARTO</v>
          </cell>
          <cell r="G1545" t="str">
            <v/>
          </cell>
          <cell r="H1545">
            <v>969.99</v>
          </cell>
          <cell r="I1545">
            <v>839.92</v>
          </cell>
          <cell r="J1545">
            <v>693.77409999999998</v>
          </cell>
          <cell r="K1545">
            <v>0</v>
          </cell>
          <cell r="L1545">
            <v>693.77409999999998</v>
          </cell>
          <cell r="M1545">
            <v>0</v>
          </cell>
          <cell r="N1545">
            <v>839.92</v>
          </cell>
          <cell r="O1545" t="str">
            <v/>
          </cell>
          <cell r="P1545">
            <v>0</v>
          </cell>
          <cell r="Q1545">
            <v>0.21065343892197699</v>
          </cell>
          <cell r="R1545">
            <v>0.21065343892197699</v>
          </cell>
          <cell r="S1545" t="e">
            <v>#VALUE!</v>
          </cell>
          <cell r="T1545" t="e">
            <v>#VALUE!</v>
          </cell>
        </row>
        <row r="1546">
          <cell r="A1546" t="str">
            <v>G24124F9AG</v>
          </cell>
          <cell r="B1546" t="str">
            <v>MKP000631002619</v>
          </cell>
          <cell r="C1546" t="str">
            <v/>
          </cell>
          <cell r="D1546" t="str">
            <v>Balcão Gabinete de Pia Madesa Agata 2 Portas e 3 Gavetas (Sem Tampo e Pia) Rustic/Cinza</v>
          </cell>
          <cell r="E1546" t="str">
            <v>ÁGATA</v>
          </cell>
          <cell r="F1546" t="str">
            <v>MODULAÇÃO</v>
          </cell>
          <cell r="G1546" t="str">
            <v/>
          </cell>
          <cell r="H1546">
            <v>1269.99</v>
          </cell>
          <cell r="I1546">
            <v>729.99</v>
          </cell>
          <cell r="J1546">
            <v>542.59109999999998</v>
          </cell>
          <cell r="K1546">
            <v>0</v>
          </cell>
          <cell r="L1546">
            <v>542.59109999999998</v>
          </cell>
          <cell r="M1546">
            <v>0</v>
          </cell>
          <cell r="N1546">
            <v>729.99</v>
          </cell>
          <cell r="O1546" t="str">
            <v/>
          </cell>
          <cell r="P1546">
            <v>0</v>
          </cell>
          <cell r="Q1546">
            <v>0.34537776237022699</v>
          </cell>
          <cell r="R1546">
            <v>0.34537776237022699</v>
          </cell>
          <cell r="S1546" t="e">
            <v>#VALUE!</v>
          </cell>
          <cell r="T1546" t="e">
            <v>#VALUE!</v>
          </cell>
        </row>
        <row r="1547">
          <cell r="A1547" t="str">
            <v>G2420009PR</v>
          </cell>
          <cell r="B1547" t="str">
            <v>MKP000631000354</v>
          </cell>
          <cell r="C1547" t="str">
            <v/>
          </cell>
          <cell r="D1547" t="str">
            <v>Balcão Porta-Pano Madesa para Cozinhas Glamy, Agata e Stella 20 cm (Com Tampo) Branco</v>
          </cell>
          <cell r="E1547" t="str">
            <v>PR</v>
          </cell>
          <cell r="F1547" t="str">
            <v>MODULAÇÃO</v>
          </cell>
          <cell r="G1547" t="str">
            <v/>
          </cell>
          <cell r="H1547">
            <v>389.99</v>
          </cell>
          <cell r="I1547">
            <v>249.99</v>
          </cell>
          <cell r="J1547">
            <v>153.47200000000001</v>
          </cell>
          <cell r="K1547">
            <v>0</v>
          </cell>
          <cell r="L1547">
            <v>153.47200000000001</v>
          </cell>
          <cell r="M1547">
            <v>0</v>
          </cell>
          <cell r="N1547">
            <v>249.99</v>
          </cell>
          <cell r="O1547" t="str">
            <v/>
          </cell>
          <cell r="P1547">
            <v>0</v>
          </cell>
          <cell r="Q1547">
            <v>0.62889647623019096</v>
          </cell>
          <cell r="R1547">
            <v>0.62889647623019096</v>
          </cell>
          <cell r="S1547" t="e">
            <v>#VALUE!</v>
          </cell>
          <cell r="T1547" t="e">
            <v>#VALUE!</v>
          </cell>
        </row>
        <row r="1548">
          <cell r="A1548" t="str">
            <v>70089B5ZPP</v>
          </cell>
          <cell r="B1548" t="str">
            <v>MKP000631001668</v>
          </cell>
          <cell r="C1548" t="str">
            <v/>
          </cell>
          <cell r="D1548" t="str">
            <v>Rack para TV até 65 Polegadas Madesa Cancun com Pés Branco/Rustic 9B5Z</v>
          </cell>
          <cell r="E1548" t="str">
            <v>CANCUN</v>
          </cell>
          <cell r="F1548" t="str">
            <v>SALA DE ESTAR</v>
          </cell>
          <cell r="G1548" t="str">
            <v/>
          </cell>
          <cell r="H1548">
            <v>459.99</v>
          </cell>
          <cell r="I1548">
            <v>359.99</v>
          </cell>
          <cell r="J1548">
            <v>271.62799999999999</v>
          </cell>
          <cell r="K1548">
            <v>0</v>
          </cell>
          <cell r="L1548">
            <v>271.62799999999999</v>
          </cell>
          <cell r="M1548">
            <v>0</v>
          </cell>
          <cell r="N1548">
            <v>359.99</v>
          </cell>
          <cell r="O1548" t="str">
            <v/>
          </cell>
          <cell r="P1548">
            <v>0</v>
          </cell>
          <cell r="Q1548">
            <v>0.32530519681328901</v>
          </cell>
          <cell r="R1548">
            <v>0.32530519681328901</v>
          </cell>
          <cell r="S1548" t="e">
            <v>#VALUE!</v>
          </cell>
          <cell r="T1548" t="e">
            <v>#VALUE!</v>
          </cell>
        </row>
        <row r="1549">
          <cell r="A1549" t="str">
            <v>60247709PP</v>
          </cell>
          <cell r="B1549" t="str">
            <v>MKP000631001608</v>
          </cell>
          <cell r="C1549" t="str">
            <v/>
          </cell>
          <cell r="D1549" t="str">
            <v>Rack Madesa Dubai para TV até 65 Polegadas com Pés Preto/Branco 7709</v>
          </cell>
          <cell r="E1549" t="str">
            <v>DUBAI</v>
          </cell>
          <cell r="F1549" t="str">
            <v>SALA DE ESTAR</v>
          </cell>
          <cell r="G1549" t="str">
            <v/>
          </cell>
          <cell r="H1549">
            <v>569.99</v>
          </cell>
          <cell r="I1549">
            <v>299.99</v>
          </cell>
          <cell r="J1549">
            <v>243.82210000000001</v>
          </cell>
          <cell r="K1549">
            <v>0</v>
          </cell>
          <cell r="L1549">
            <v>243.82210000000001</v>
          </cell>
          <cell r="M1549">
            <v>0</v>
          </cell>
          <cell r="N1549">
            <v>299.99</v>
          </cell>
          <cell r="O1549" t="str">
            <v/>
          </cell>
          <cell r="P1549">
            <v>0</v>
          </cell>
          <cell r="Q1549">
            <v>0.23036426968679199</v>
          </cell>
          <cell r="R1549">
            <v>0.23036426968679199</v>
          </cell>
          <cell r="S1549" t="e">
            <v>#VALUE!</v>
          </cell>
          <cell r="T1549" t="e">
            <v>#VALUE!</v>
          </cell>
        </row>
        <row r="1550">
          <cell r="A1550" t="str">
            <v>1095732E</v>
          </cell>
          <cell r="B1550" t="str">
            <v>MKP000631002080</v>
          </cell>
          <cell r="C1550" t="str">
            <v/>
          </cell>
          <cell r="D1550" t="str">
            <v>Guarda-Roupa Casal Madesa Reno 3 Portas de Correr com Espelhos Branco/Preto</v>
          </cell>
          <cell r="E1550" t="str">
            <v>RENO</v>
          </cell>
          <cell r="F1550" t="str">
            <v>QUARTO</v>
          </cell>
          <cell r="G1550" t="str">
            <v/>
          </cell>
          <cell r="H1550">
            <v>2339.9899999999998</v>
          </cell>
          <cell r="I1550">
            <v>1359.92</v>
          </cell>
          <cell r="J1550">
            <v>1157.5255</v>
          </cell>
          <cell r="K1550">
            <v>0</v>
          </cell>
          <cell r="L1550">
            <v>1157.5255</v>
          </cell>
          <cell r="M1550">
            <v>0</v>
          </cell>
          <cell r="N1550">
            <v>1359.92</v>
          </cell>
          <cell r="O1550" t="str">
            <v/>
          </cell>
          <cell r="P1550">
            <v>0</v>
          </cell>
          <cell r="Q1550">
            <v>0.17485100760199199</v>
          </cell>
          <cell r="R1550">
            <v>0.17485100760199199</v>
          </cell>
          <cell r="S1550" t="e">
            <v>#VALUE!</v>
          </cell>
          <cell r="T1550" t="e">
            <v>#VALUE!</v>
          </cell>
        </row>
        <row r="1551">
          <cell r="A1551" t="str">
            <v>XB21058N1</v>
          </cell>
          <cell r="B1551" t="str">
            <v>MKP000631005827</v>
          </cell>
          <cell r="C1551" t="str">
            <v/>
          </cell>
          <cell r="D1551" t="str">
            <v>Painel para TV até 60 Polegadas Madesa Alfa com Prateleiras e Nichos Preto</v>
          </cell>
          <cell r="E1551" t="str">
            <v>ALFA</v>
          </cell>
          <cell r="F1551" t="str">
            <v>SALA DE ESTAR</v>
          </cell>
          <cell r="G1551" t="str">
            <v/>
          </cell>
          <cell r="H1551">
            <v>899.99</v>
          </cell>
          <cell r="I1551">
            <v>429.99</v>
          </cell>
          <cell r="J1551">
            <v>309.11309999999997</v>
          </cell>
          <cell r="K1551">
            <v>0</v>
          </cell>
          <cell r="L1551">
            <v>309.11309999999997</v>
          </cell>
          <cell r="M1551">
            <v>0</v>
          </cell>
          <cell r="N1551">
            <v>429.99</v>
          </cell>
          <cell r="O1551" t="str">
            <v>MAGALU</v>
          </cell>
          <cell r="P1551">
            <v>399.99</v>
          </cell>
          <cell r="Q1551">
            <v>0.39104424885260403</v>
          </cell>
          <cell r="R1551">
            <v>0.39104424885260403</v>
          </cell>
          <cell r="S1551" t="e">
            <v>#VALUE!</v>
          </cell>
          <cell r="T1551" t="e">
            <v>#VALUE!</v>
          </cell>
        </row>
        <row r="1552">
          <cell r="A1552" t="str">
            <v>GCEM5130025Z</v>
          </cell>
          <cell r="B1552" t="str">
            <v>MKP000631000442</v>
          </cell>
          <cell r="C1552" t="str">
            <v/>
          </cell>
          <cell r="D1552" t="str">
            <v>Armário de Cozinha Completa de Canto 513cm Rustic Emilly Big Madesa 02</v>
          </cell>
          <cell r="E1552" t="str">
            <v>BIG/EMILLY</v>
          </cell>
          <cell r="F1552" t="str">
            <v>COZINHA</v>
          </cell>
          <cell r="G1552" t="str">
            <v/>
          </cell>
          <cell r="H1552">
            <v>2099.9899999999998</v>
          </cell>
          <cell r="I1552">
            <v>1999.99</v>
          </cell>
          <cell r="J1552">
            <v>1657.6066000000001</v>
          </cell>
          <cell r="K1552">
            <v>0</v>
          </cell>
          <cell r="L1552">
            <v>1657.6066000000001</v>
          </cell>
          <cell r="M1552">
            <v>0</v>
          </cell>
          <cell r="N1552">
            <v>1999.99</v>
          </cell>
          <cell r="O1552" t="str">
            <v/>
          </cell>
          <cell r="P1552">
            <v>0</v>
          </cell>
          <cell r="Q1552">
            <v>0.206552869661595</v>
          </cell>
          <cell r="R1552">
            <v>0.206552869661595</v>
          </cell>
          <cell r="S1552" t="e">
            <v>#VALUE!</v>
          </cell>
          <cell r="T1552" t="e">
            <v>#VALUE!</v>
          </cell>
        </row>
        <row r="1553">
          <cell r="A1553" t="str">
            <v>10286E4E</v>
          </cell>
          <cell r="B1553" t="str">
            <v>MKP000631003475</v>
          </cell>
          <cell r="C1553" t="str">
            <v/>
          </cell>
          <cell r="D1553" t="str">
            <v>Guarda-Roupa Casal Madesa Austin 4 Portas de Correr de Espelho 3 Gavetas Rustic/Branco</v>
          </cell>
          <cell r="E1553" t="str">
            <v>AUSTIN</v>
          </cell>
          <cell r="F1553" t="str">
            <v>QUARTO</v>
          </cell>
          <cell r="G1553" t="str">
            <v/>
          </cell>
          <cell r="H1553">
            <v>2999.99</v>
          </cell>
          <cell r="I1553">
            <v>1919.92</v>
          </cell>
          <cell r="J1553">
            <v>1632.2095999999999</v>
          </cell>
          <cell r="K1553">
            <v>0</v>
          </cell>
          <cell r="L1553">
            <v>1632.2095999999999</v>
          </cell>
          <cell r="M1553">
            <v>0</v>
          </cell>
          <cell r="N1553">
            <v>1919.92</v>
          </cell>
          <cell r="O1553" t="str">
            <v/>
          </cell>
          <cell r="P1553">
            <v>0</v>
          </cell>
          <cell r="Q1553">
            <v>0.17627049859282801</v>
          </cell>
          <cell r="R1553">
            <v>0.17627049859282801</v>
          </cell>
          <cell r="S1553" t="e">
            <v>#VALUE!</v>
          </cell>
          <cell r="T1553" t="e">
            <v>#VALUE!</v>
          </cell>
        </row>
        <row r="1554">
          <cell r="A1554" t="str">
            <v>G2575209</v>
          </cell>
          <cell r="B1554" t="str">
            <v>MKP000631000911</v>
          </cell>
          <cell r="C1554" t="str">
            <v/>
          </cell>
          <cell r="D1554" t="str">
            <v>Armário Aéreo de Canto Madesa Acordes 100% MDF 1 Porta Branco Brilho</v>
          </cell>
          <cell r="E1554" t="str">
            <v>ACORDES</v>
          </cell>
          <cell r="F1554" t="str">
            <v>MODULAÇÃO</v>
          </cell>
          <cell r="G1554" t="str">
            <v/>
          </cell>
          <cell r="H1554">
            <v>799.99</v>
          </cell>
          <cell r="I1554">
            <v>439.99</v>
          </cell>
          <cell r="J1554">
            <v>253.70840000000001</v>
          </cell>
          <cell r="K1554">
            <v>0</v>
          </cell>
          <cell r="L1554">
            <v>253.70840000000001</v>
          </cell>
          <cell r="M1554">
            <v>0</v>
          </cell>
          <cell r="N1554">
            <v>439.99</v>
          </cell>
          <cell r="O1554" t="str">
            <v/>
          </cell>
          <cell r="P1554">
            <v>0</v>
          </cell>
          <cell r="Q1554">
            <v>0.73423505094825403</v>
          </cell>
          <cell r="R1554">
            <v>0.73423505094825403</v>
          </cell>
          <cell r="S1554" t="e">
            <v>#VALUE!</v>
          </cell>
          <cell r="T1554" t="e">
            <v>#VALUE!</v>
          </cell>
        </row>
        <row r="1555">
          <cell r="A1555" t="str">
            <v>60245Z09PP</v>
          </cell>
          <cell r="B1555" t="str">
            <v>MKP000631001569</v>
          </cell>
          <cell r="C1555" t="str">
            <v/>
          </cell>
          <cell r="D1555" t="str">
            <v>Rack Madesa Dubai para TV até 65 Polegadas com Pés Rustic/Branco 5Z09</v>
          </cell>
          <cell r="E1555" t="str">
            <v>DUBAI</v>
          </cell>
          <cell r="F1555" t="str">
            <v>SALA DE ESTAR</v>
          </cell>
          <cell r="G1555" t="str">
            <v/>
          </cell>
          <cell r="H1555">
            <v>539.99</v>
          </cell>
          <cell r="I1555">
            <v>299.99</v>
          </cell>
          <cell r="J1555">
            <v>243.82210000000001</v>
          </cell>
          <cell r="K1555">
            <v>0</v>
          </cell>
          <cell r="L1555">
            <v>243.82210000000001</v>
          </cell>
          <cell r="M1555">
            <v>0</v>
          </cell>
          <cell r="N1555">
            <v>299.99</v>
          </cell>
          <cell r="O1555" t="str">
            <v/>
          </cell>
          <cell r="P1555">
            <v>0</v>
          </cell>
          <cell r="Q1555">
            <v>0.23036426968679199</v>
          </cell>
          <cell r="R1555">
            <v>0.23036426968679199</v>
          </cell>
          <cell r="S1555" t="e">
            <v>#VALUE!</v>
          </cell>
          <cell r="T1555" t="e">
            <v>#VALUE!</v>
          </cell>
        </row>
        <row r="1556">
          <cell r="A1556" t="str">
            <v>GCEM4170017K</v>
          </cell>
          <cell r="B1556" t="str">
            <v>MKP000631000453</v>
          </cell>
          <cell r="C1556" t="str">
            <v/>
          </cell>
          <cell r="D1556" t="str">
            <v>Armário de Cozinha Completa de Canto 417cm Rustic/Preto Emilly Ice Madesa 01</v>
          </cell>
          <cell r="E1556" t="str">
            <v>ICE/EMILLY</v>
          </cell>
          <cell r="F1556" t="str">
            <v>COZINHA</v>
          </cell>
          <cell r="G1556" t="str">
            <v/>
          </cell>
          <cell r="H1556">
            <v>2199.9899999999998</v>
          </cell>
          <cell r="I1556">
            <v>1499.99</v>
          </cell>
          <cell r="J1556">
            <v>1217.7262000000001</v>
          </cell>
          <cell r="K1556">
            <v>0</v>
          </cell>
          <cell r="L1556">
            <v>1217.7262000000001</v>
          </cell>
          <cell r="M1556">
            <v>0</v>
          </cell>
          <cell r="N1556">
            <v>1499.99</v>
          </cell>
          <cell r="O1556" t="str">
            <v/>
          </cell>
          <cell r="P1556">
            <v>0</v>
          </cell>
          <cell r="Q1556">
            <v>0.23179578463533099</v>
          </cell>
          <cell r="R1556">
            <v>0.23179578463533099</v>
          </cell>
          <cell r="S1556" t="e">
            <v>#VALUE!</v>
          </cell>
          <cell r="T1556" t="e">
            <v>#VALUE!</v>
          </cell>
        </row>
        <row r="1557">
          <cell r="A1557" t="str">
            <v>GRAG180002F8</v>
          </cell>
          <cell r="B1557" t="str">
            <v>MKP000631003788</v>
          </cell>
          <cell r="C1557" t="str">
            <v/>
          </cell>
          <cell r="D1557" t="str">
            <v>Armário de Cozinha Compacta 180cm Branco Cinza Agata Madesa 02</v>
          </cell>
          <cell r="E1557" t="str">
            <v>ÁGATA</v>
          </cell>
          <cell r="F1557" t="str">
            <v>COZINHA</v>
          </cell>
          <cell r="G1557" t="str">
            <v/>
          </cell>
          <cell r="H1557">
            <v>1769.9</v>
          </cell>
          <cell r="I1557">
            <v>1549.99</v>
          </cell>
          <cell r="J1557">
            <v>1269.8608999999999</v>
          </cell>
          <cell r="K1557">
            <v>0</v>
          </cell>
          <cell r="L1557">
            <v>1269.8608999999999</v>
          </cell>
          <cell r="M1557">
            <v>0</v>
          </cell>
          <cell r="N1557">
            <v>1549.99</v>
          </cell>
          <cell r="O1557" t="str">
            <v/>
          </cell>
          <cell r="P1557">
            <v>0</v>
          </cell>
          <cell r="Q1557">
            <v>0.22059825607670899</v>
          </cell>
          <cell r="R1557">
            <v>0.22059825607670899</v>
          </cell>
          <cell r="S1557" t="e">
            <v>#VALUE!</v>
          </cell>
          <cell r="T1557" t="e">
            <v>#VALUE!</v>
          </cell>
        </row>
        <row r="1558">
          <cell r="A1558" t="str">
            <v>G2475009K</v>
          </cell>
          <cell r="B1558" t="str">
            <v>MKP000631000934</v>
          </cell>
          <cell r="C1558" t="str">
            <v/>
          </cell>
          <cell r="D1558" t="str">
            <v>Balcão de Canto Madesa Acordes 100% MDF 1 Porta Branco Brilho</v>
          </cell>
          <cell r="E1558" t="str">
            <v>ACORDES</v>
          </cell>
          <cell r="F1558" t="str">
            <v>MODULAÇÃO</v>
          </cell>
          <cell r="G1558" t="str">
            <v/>
          </cell>
          <cell r="H1558">
            <v>1029.99</v>
          </cell>
          <cell r="I1558">
            <v>579.99</v>
          </cell>
          <cell r="J1558">
            <v>355.3836</v>
          </cell>
          <cell r="K1558">
            <v>0</v>
          </cell>
          <cell r="L1558">
            <v>355.3836</v>
          </cell>
          <cell r="M1558">
            <v>0</v>
          </cell>
          <cell r="N1558">
            <v>579.99</v>
          </cell>
          <cell r="O1558" t="str">
            <v/>
          </cell>
          <cell r="P1558">
            <v>0</v>
          </cell>
          <cell r="Q1558">
            <v>0.63201115639551197</v>
          </cell>
          <cell r="R1558">
            <v>0.63201115639551197</v>
          </cell>
          <cell r="S1558" t="e">
            <v>#VALUE!</v>
          </cell>
          <cell r="T1558" t="e">
            <v>#VALUE!</v>
          </cell>
        </row>
        <row r="1559">
          <cell r="A1559" t="str">
            <v>XC1063771E</v>
          </cell>
          <cell r="B1559" t="str">
            <v>MKP000631003102</v>
          </cell>
          <cell r="C1559" t="str">
            <v/>
          </cell>
          <cell r="D1559" t="str">
            <v>Guarda-Roupa Casal 100% MDF Madesa Zurique 3 Portas de Correr com Espelho Preto/Branco</v>
          </cell>
          <cell r="E1559" t="str">
            <v>ZURIQUE</v>
          </cell>
          <cell r="F1559" t="str">
            <v>QUARTO</v>
          </cell>
          <cell r="G1559" t="str">
            <v/>
          </cell>
          <cell r="H1559">
            <v>3269.99</v>
          </cell>
          <cell r="I1559">
            <v>2049.92</v>
          </cell>
          <cell r="J1559">
            <v>1792.614</v>
          </cell>
          <cell r="K1559">
            <v>0</v>
          </cell>
          <cell r="L1559">
            <v>1792.614</v>
          </cell>
          <cell r="M1559">
            <v>0</v>
          </cell>
          <cell r="N1559">
            <v>2049.92</v>
          </cell>
          <cell r="O1559" t="str">
            <v/>
          </cell>
          <cell r="P1559">
            <v>0</v>
          </cell>
          <cell r="Q1559">
            <v>0.14353675693707599</v>
          </cell>
          <cell r="R1559">
            <v>0.14353675693707599</v>
          </cell>
          <cell r="S1559" t="e">
            <v>#VALUE!</v>
          </cell>
          <cell r="T1559" t="e">
            <v>#VALUE!</v>
          </cell>
        </row>
        <row r="1560">
          <cell r="A1560" t="str">
            <v>1093093E4GCP</v>
          </cell>
          <cell r="B1560" t="str">
            <v>MKP000631001083</v>
          </cell>
          <cell r="C1560" t="str">
            <v/>
          </cell>
          <cell r="D1560" t="str">
            <v>Guarda-Roupa Casal Madesa Lyon Plus 3 Portas de Correr de Espelho 4 Gavetas com Pés Branco</v>
          </cell>
          <cell r="E1560" t="str">
            <v>LYON PLUS</v>
          </cell>
          <cell r="F1560" t="str">
            <v>QUARTO</v>
          </cell>
          <cell r="G1560" t="str">
            <v/>
          </cell>
          <cell r="H1560">
            <v>2069.9899999999998</v>
          </cell>
          <cell r="I1560">
            <v>1539.92</v>
          </cell>
          <cell r="J1560">
            <v>1234.2942</v>
          </cell>
          <cell r="K1560">
            <v>0</v>
          </cell>
          <cell r="L1560">
            <v>1234.2942</v>
          </cell>
          <cell r="M1560">
            <v>0</v>
          </cell>
          <cell r="N1560">
            <v>1539.92</v>
          </cell>
          <cell r="O1560" t="str">
            <v/>
          </cell>
          <cell r="P1560">
            <v>0</v>
          </cell>
          <cell r="Q1560">
            <v>0.24761179303929301</v>
          </cell>
          <cell r="R1560">
            <v>0.24761179303929301</v>
          </cell>
          <cell r="S1560" t="e">
            <v>#VALUE!</v>
          </cell>
          <cell r="T1560" t="e">
            <v>#VALUE!</v>
          </cell>
        </row>
        <row r="1561">
          <cell r="A1561" t="str">
            <v>GRLX3200037K</v>
          </cell>
          <cell r="B1561" t="str">
            <v>MKP000631002733</v>
          </cell>
          <cell r="C1561" t="str">
            <v/>
          </cell>
          <cell r="D1561" t="str">
            <v>Armário de Cozinha Completa 320cm Rustic/Preto Lux Madesa 03</v>
          </cell>
          <cell r="E1561" t="str">
            <v>LUX</v>
          </cell>
          <cell r="F1561" t="str">
            <v>COZINHA</v>
          </cell>
          <cell r="G1561" t="str">
            <v/>
          </cell>
          <cell r="H1561">
            <v>6809.99</v>
          </cell>
          <cell r="I1561">
            <v>6789.99</v>
          </cell>
          <cell r="J1561">
            <v>3848.7136999999998</v>
          </cell>
          <cell r="K1561">
            <v>0</v>
          </cell>
          <cell r="L1561">
            <v>3848.7136999999998</v>
          </cell>
          <cell r="M1561">
            <v>0</v>
          </cell>
          <cell r="N1561">
            <v>6789.99</v>
          </cell>
          <cell r="O1561" t="str">
            <v>LOJA</v>
          </cell>
          <cell r="P1561">
            <v>5969.99</v>
          </cell>
          <cell r="Q1561">
            <v>0.76422320007850897</v>
          </cell>
          <cell r="R1561">
            <v>0.76422320007850897</v>
          </cell>
          <cell r="S1561" t="e">
            <v>#VALUE!</v>
          </cell>
          <cell r="T1561" t="e">
            <v>#VALUE!</v>
          </cell>
        </row>
        <row r="1562">
          <cell r="A1562" t="str">
            <v>G270805ZGL</v>
          </cell>
          <cell r="B1562" t="str">
            <v>MKP000631003165</v>
          </cell>
          <cell r="C1562" t="str">
            <v/>
          </cell>
          <cell r="D1562" t="str">
            <v>Porta-Geladeira Madesa Glamy 1 Porta Basculante Rustic</v>
          </cell>
          <cell r="E1562" t="str">
            <v>GLAMY</v>
          </cell>
          <cell r="F1562" t="str">
            <v>MODULAÇÃO</v>
          </cell>
          <cell r="G1562" t="str">
            <v/>
          </cell>
          <cell r="H1562">
            <v>979.99</v>
          </cell>
          <cell r="I1562">
            <v>629.99</v>
          </cell>
          <cell r="J1562">
            <v>365.48790000000002</v>
          </cell>
          <cell r="K1562">
            <v>0</v>
          </cell>
          <cell r="L1562">
            <v>365.48790000000002</v>
          </cell>
          <cell r="M1562">
            <v>0</v>
          </cell>
          <cell r="N1562">
            <v>629.99</v>
          </cell>
          <cell r="O1562" t="str">
            <v/>
          </cell>
          <cell r="P1562">
            <v>0</v>
          </cell>
          <cell r="Q1562">
            <v>0.72369591442014902</v>
          </cell>
          <cell r="R1562">
            <v>0.72369591442014902</v>
          </cell>
          <cell r="S1562" t="e">
            <v>#VALUE!</v>
          </cell>
          <cell r="T1562" t="e">
            <v>#VALUE!</v>
          </cell>
        </row>
        <row r="1563">
          <cell r="A1563" t="str">
            <v>G241537GAGCTFF</v>
          </cell>
          <cell r="B1563" t="str">
            <v>MKP000631005419</v>
          </cell>
          <cell r="C1563" t="str">
            <v/>
          </cell>
          <cell r="D1563" t="str">
            <v>Balcão Gabinete de Pia 150 cm 2 Gavetas 2 Portas (Com Tampo) Rustic/Crema Agata Madesa</v>
          </cell>
          <cell r="E1563" t="str">
            <v>ÁGATA</v>
          </cell>
          <cell r="F1563" t="str">
            <v>MODULAÇÃO</v>
          </cell>
          <cell r="G1563" t="str">
            <v/>
          </cell>
          <cell r="H1563">
            <v>929.99</v>
          </cell>
          <cell r="I1563">
            <v>829.99</v>
          </cell>
          <cell r="J1563">
            <v>581.08989999999994</v>
          </cell>
          <cell r="K1563">
            <v>0</v>
          </cell>
          <cell r="L1563">
            <v>581.08989999999994</v>
          </cell>
          <cell r="M1563">
            <v>0</v>
          </cell>
          <cell r="N1563">
            <v>829.99</v>
          </cell>
          <cell r="O1563" t="str">
            <v/>
          </cell>
          <cell r="P1563">
            <v>0</v>
          </cell>
          <cell r="Q1563">
            <v>0.428333206273246</v>
          </cell>
          <cell r="R1563">
            <v>0.428333206273246</v>
          </cell>
          <cell r="S1563" t="e">
            <v>#VALUE!</v>
          </cell>
          <cell r="T1563" t="e">
            <v>#VALUE!</v>
          </cell>
        </row>
        <row r="1564">
          <cell r="A1564" t="str">
            <v>10939B</v>
          </cell>
          <cell r="B1564" t="str">
            <v>MKP000631000807</v>
          </cell>
          <cell r="C1564" t="str">
            <v/>
          </cell>
          <cell r="D1564" t="str">
            <v>Guarda-Roupa Casal Madesa Mônaco 3 Portas de Correr Branco/Rustic</v>
          </cell>
          <cell r="E1564" t="str">
            <v>MÔNACO</v>
          </cell>
          <cell r="F1564" t="str">
            <v>QUARTO</v>
          </cell>
          <cell r="G1564" t="str">
            <v/>
          </cell>
          <cell r="H1564">
            <v>1469.99</v>
          </cell>
          <cell r="I1564">
            <v>829.99</v>
          </cell>
          <cell r="J1564">
            <v>620.85310000000004</v>
          </cell>
          <cell r="K1564">
            <v>0</v>
          </cell>
          <cell r="L1564">
            <v>620.85310000000004</v>
          </cell>
          <cell r="M1564">
            <v>0</v>
          </cell>
          <cell r="N1564">
            <v>829.99</v>
          </cell>
          <cell r="O1564" t="str">
            <v>COLOMBO</v>
          </cell>
          <cell r="P1564">
            <v>799.99</v>
          </cell>
          <cell r="Q1564">
            <v>0.33685408029693298</v>
          </cell>
          <cell r="R1564">
            <v>0.33685408029693298</v>
          </cell>
          <cell r="S1564" t="e">
            <v>#VALUE!</v>
          </cell>
          <cell r="T1564" t="e">
            <v>#VALUE!</v>
          </cell>
        </row>
        <row r="1565">
          <cell r="A1565" t="str">
            <v>GRNC2600053B</v>
          </cell>
          <cell r="B1565" t="str">
            <v>MKP000631004804</v>
          </cell>
          <cell r="C1565" t="str">
            <v/>
          </cell>
          <cell r="D1565" t="str">
            <v>Armário de Cozinha Completa 260cm Cinza Nice Madesa 05</v>
          </cell>
          <cell r="E1565" t="str">
            <v>NICE</v>
          </cell>
          <cell r="F1565" t="str">
            <v>COZINHA</v>
          </cell>
          <cell r="G1565" t="str">
            <v/>
          </cell>
          <cell r="H1565">
            <v>2499.9899999999998</v>
          </cell>
          <cell r="I1565">
            <v>2399.9899999999998</v>
          </cell>
          <cell r="J1565">
            <v>1833.7070000000001</v>
          </cell>
          <cell r="K1565">
            <v>0</v>
          </cell>
          <cell r="L1565">
            <v>1833.7070000000001</v>
          </cell>
          <cell r="M1565">
            <v>0</v>
          </cell>
          <cell r="N1565">
            <v>2399.9899999999998</v>
          </cell>
          <cell r="O1565" t="str">
            <v/>
          </cell>
          <cell r="P1565">
            <v>0</v>
          </cell>
          <cell r="Q1565">
            <v>0.30881869349901597</v>
          </cell>
          <cell r="R1565">
            <v>0.30881869349901597</v>
          </cell>
          <cell r="S1565" t="e">
            <v>#VALUE!</v>
          </cell>
          <cell r="T1565" t="e">
            <v>#VALUE!</v>
          </cell>
        </row>
        <row r="1566">
          <cell r="A1566" t="str">
            <v>7008095ZPP</v>
          </cell>
          <cell r="B1566" t="str">
            <v>MKP000631001667</v>
          </cell>
          <cell r="C1566" t="str">
            <v/>
          </cell>
          <cell r="D1566" t="str">
            <v>Rack para TV até 65 Polegadas Madesa Cancun com Pés Branco/Rustic 095Z</v>
          </cell>
          <cell r="E1566" t="str">
            <v>CANCUN</v>
          </cell>
          <cell r="F1566" t="str">
            <v>SALA DE ESTAR</v>
          </cell>
          <cell r="G1566" t="str">
            <v/>
          </cell>
          <cell r="H1566">
            <v>459.99</v>
          </cell>
          <cell r="I1566">
            <v>359.99</v>
          </cell>
          <cell r="J1566">
            <v>271.62799999999999</v>
          </cell>
          <cell r="K1566">
            <v>0</v>
          </cell>
          <cell r="L1566">
            <v>271.62799999999999</v>
          </cell>
          <cell r="M1566">
            <v>0</v>
          </cell>
          <cell r="N1566">
            <v>359.99</v>
          </cell>
          <cell r="O1566" t="str">
            <v/>
          </cell>
          <cell r="P1566">
            <v>0</v>
          </cell>
          <cell r="Q1566">
            <v>0.32530519681328901</v>
          </cell>
          <cell r="R1566">
            <v>0.32530519681328901</v>
          </cell>
          <cell r="S1566" t="e">
            <v>#VALUE!</v>
          </cell>
          <cell r="T1566" t="e">
            <v>#VALUE!</v>
          </cell>
        </row>
        <row r="1567">
          <cell r="A1567" t="str">
            <v>XAGRRM26000809</v>
          </cell>
          <cell r="B1567" t="str">
            <v>MKP000631005054</v>
          </cell>
          <cell r="C1567" t="str">
            <v/>
          </cell>
          <cell r="D1567" t="str">
            <v>Cozinha Completa Madesa Reims 260008 com Armário e Balcão - Branco</v>
          </cell>
          <cell r="E1567" t="str">
            <v>REIMS</v>
          </cell>
          <cell r="F1567" t="str">
            <v>COZINHA</v>
          </cell>
          <cell r="G1567" t="str">
            <v/>
          </cell>
          <cell r="H1567">
            <v>1369.99</v>
          </cell>
          <cell r="I1567">
            <v>1319.92</v>
          </cell>
          <cell r="J1567">
            <v>1022.5944</v>
          </cell>
          <cell r="K1567">
            <v>0</v>
          </cell>
          <cell r="L1567">
            <v>1022.5944</v>
          </cell>
          <cell r="M1567">
            <v>0</v>
          </cell>
          <cell r="N1567">
            <v>1319.92</v>
          </cell>
          <cell r="O1567" t="str">
            <v/>
          </cell>
          <cell r="P1567">
            <v>0</v>
          </cell>
          <cell r="Q1567">
            <v>0.29075613948208601</v>
          </cell>
          <cell r="R1567">
            <v>0.29075613948208601</v>
          </cell>
          <cell r="S1567" t="e">
            <v>#VALUE!</v>
          </cell>
          <cell r="T1567" t="e">
            <v>#VALUE!</v>
          </cell>
        </row>
        <row r="1568">
          <cell r="A1568" t="str">
            <v>G221209RLX</v>
          </cell>
          <cell r="B1568" t="str">
            <v>MKP000631003237</v>
          </cell>
          <cell r="C1568" t="str">
            <v/>
          </cell>
          <cell r="D1568" t="str">
            <v>Balcão Gabinete de Pia Madesa Lux 120 cm 2 Portas (Sem Tampo) Branco/Cinza</v>
          </cell>
          <cell r="E1568" t="str">
            <v>LUX</v>
          </cell>
          <cell r="F1568" t="str">
            <v>MODULAÇÃO</v>
          </cell>
          <cell r="G1568" t="str">
            <v/>
          </cell>
          <cell r="H1568">
            <v>1339.99</v>
          </cell>
          <cell r="I1568">
            <v>1019.99</v>
          </cell>
          <cell r="J1568">
            <v>627.7201</v>
          </cell>
          <cell r="K1568">
            <v>0</v>
          </cell>
          <cell r="L1568">
            <v>627.7201</v>
          </cell>
          <cell r="M1568">
            <v>0</v>
          </cell>
          <cell r="N1568">
            <v>1019.99</v>
          </cell>
          <cell r="O1568" t="str">
            <v>LOJA</v>
          </cell>
          <cell r="P1568">
            <v>999.99</v>
          </cell>
          <cell r="Q1568">
            <v>0.62491212245712702</v>
          </cell>
          <cell r="R1568">
            <v>0.62491212245712702</v>
          </cell>
          <cell r="S1568" t="e">
            <v>#VALUE!</v>
          </cell>
          <cell r="T1568" t="e">
            <v>#VALUE!</v>
          </cell>
        </row>
        <row r="1569">
          <cell r="A1569" t="str">
            <v>MDJA0601376ESM</v>
          </cell>
          <cell r="B1569" t="str">
            <v>MKP000631005311</v>
          </cell>
          <cell r="C1569" t="str">
            <v/>
          </cell>
          <cell r="D1569" t="str">
            <v>Conjunto Sala de Jantar Mesa Tampo de Madeira 6 Cadeiras Rustic/Branco/Imperial Britney Madesa</v>
          </cell>
          <cell r="E1569" t="str">
            <v>BRITNEY</v>
          </cell>
          <cell r="F1569" t="str">
            <v>SALA DE JANTAR</v>
          </cell>
          <cell r="G1569">
            <v>4256</v>
          </cell>
          <cell r="H1569">
            <v>1649.99</v>
          </cell>
          <cell r="I1569">
            <v>1539.92</v>
          </cell>
          <cell r="J1569">
            <v>1208.9081000000001</v>
          </cell>
          <cell r="K1569">
            <v>0</v>
          </cell>
          <cell r="L1569">
            <v>1208.9081000000001</v>
          </cell>
          <cell r="M1569">
            <v>0</v>
          </cell>
          <cell r="N1569">
            <v>1539.92</v>
          </cell>
          <cell r="O1569" t="str">
            <v/>
          </cell>
          <cell r="P1569">
            <v>0</v>
          </cell>
          <cell r="Q1569">
            <v>0.27381063953496598</v>
          </cell>
          <cell r="R1569">
            <v>0.27381063953496598</v>
          </cell>
          <cell r="S1569" t="e">
            <v>#VALUE!</v>
          </cell>
          <cell r="T1569" t="e">
            <v>#VALUE!</v>
          </cell>
        </row>
        <row r="1570">
          <cell r="A1570" t="str">
            <v>11639B1E1B</v>
          </cell>
          <cell r="B1570" t="str">
            <v>MKP000631000987</v>
          </cell>
          <cell r="C1570" t="str">
            <v/>
          </cell>
          <cell r="D1570" t="str">
            <v>Guarda-Roupa Casal 100% MDF Madesa Eros 3 Portas de Correr com Espelho Branco/Rustic/Branco</v>
          </cell>
          <cell r="E1570" t="str">
            <v>EROS</v>
          </cell>
          <cell r="F1570" t="str">
            <v>QUARTO</v>
          </cell>
          <cell r="G1570" t="str">
            <v/>
          </cell>
          <cell r="H1570">
            <v>2689.99</v>
          </cell>
          <cell r="I1570">
            <v>2049.92</v>
          </cell>
          <cell r="J1570">
            <v>1681.2814000000001</v>
          </cell>
          <cell r="K1570">
            <v>0</v>
          </cell>
          <cell r="L1570">
            <v>1681.2814000000001</v>
          </cell>
          <cell r="M1570">
            <v>0</v>
          </cell>
          <cell r="N1570">
            <v>2049.92</v>
          </cell>
          <cell r="O1570" t="str">
            <v/>
          </cell>
          <cell r="P1570">
            <v>0</v>
          </cell>
          <cell r="Q1570">
            <v>0.21926049975929099</v>
          </cell>
          <cell r="R1570">
            <v>0.21926049975929099</v>
          </cell>
          <cell r="S1570" t="e">
            <v>#VALUE!</v>
          </cell>
          <cell r="T1570" t="e">
            <v>#VALUE!</v>
          </cell>
        </row>
        <row r="1571">
          <cell r="A1571" t="str">
            <v>G251275ZPRMB</v>
          </cell>
          <cell r="B1571" t="str">
            <v>MKP000631000932</v>
          </cell>
          <cell r="C1571" t="str">
            <v/>
          </cell>
          <cell r="D1571" t="str">
            <v>Armário Aéreo Madesa Glamy 2 Portas de Correr de Vidro e 1 Nicho Rustic</v>
          </cell>
          <cell r="E1571" t="str">
            <v>GLAMY</v>
          </cell>
          <cell r="F1571" t="str">
            <v>MODULAÇÃO</v>
          </cell>
          <cell r="G1571" t="str">
            <v/>
          </cell>
          <cell r="H1571">
            <v>839.99</v>
          </cell>
          <cell r="I1571">
            <v>449.99</v>
          </cell>
          <cell r="J1571">
            <v>298.58370000000002</v>
          </cell>
          <cell r="K1571">
            <v>0</v>
          </cell>
          <cell r="L1571">
            <v>298.58370000000002</v>
          </cell>
          <cell r="M1571">
            <v>0</v>
          </cell>
          <cell r="N1571">
            <v>449.99</v>
          </cell>
          <cell r="O1571" t="str">
            <v/>
          </cell>
          <cell r="P1571">
            <v>0</v>
          </cell>
          <cell r="Q1571">
            <v>0.50708159889505</v>
          </cell>
          <cell r="R1571">
            <v>0.50708159889505</v>
          </cell>
          <cell r="S1571" t="e">
            <v>#VALUE!</v>
          </cell>
          <cell r="T1571" t="e">
            <v>#VALUE!</v>
          </cell>
        </row>
        <row r="1572">
          <cell r="A1572" t="str">
            <v>10185Z1E</v>
          </cell>
          <cell r="B1572" t="str">
            <v>MKP000631002252</v>
          </cell>
          <cell r="C1572" t="str">
            <v/>
          </cell>
          <cell r="D1572" t="str">
            <v>Guarda-Roupa Casal Madesa Kansas 3 Portas de Correr com Espelho 3 Gavetas Rustic</v>
          </cell>
          <cell r="E1572" t="str">
            <v>KANSAS</v>
          </cell>
          <cell r="F1572" t="str">
            <v>QUARTO</v>
          </cell>
          <cell r="G1572" t="str">
            <v/>
          </cell>
          <cell r="H1572">
            <v>2089.9899999999998</v>
          </cell>
          <cell r="I1572">
            <v>1659.92</v>
          </cell>
          <cell r="J1572">
            <v>1284.2162000000001</v>
          </cell>
          <cell r="K1572">
            <v>0</v>
          </cell>
          <cell r="L1572">
            <v>1284.2162000000001</v>
          </cell>
          <cell r="M1572">
            <v>0</v>
          </cell>
          <cell r="N1572">
            <v>1659.92</v>
          </cell>
          <cell r="O1572" t="str">
            <v/>
          </cell>
          <cell r="P1572">
            <v>0</v>
          </cell>
          <cell r="Q1572">
            <v>0.29255494518757802</v>
          </cell>
          <cell r="R1572">
            <v>0.29255494518757802</v>
          </cell>
          <cell r="S1572" t="e">
            <v>#VALUE!</v>
          </cell>
          <cell r="T1572" t="e">
            <v>#VALUE!</v>
          </cell>
        </row>
        <row r="1573">
          <cell r="A1573" t="str">
            <v>GRNC3200033B</v>
          </cell>
          <cell r="B1573" t="str">
            <v>MKP000631004982</v>
          </cell>
          <cell r="C1573" t="str">
            <v/>
          </cell>
          <cell r="D1573" t="str">
            <v>Armário de Cozinha Completa 320cm Cinza Nice Madesa 03</v>
          </cell>
          <cell r="E1573" t="str">
            <v>NICE</v>
          </cell>
          <cell r="F1573" t="str">
            <v>COZINHA</v>
          </cell>
          <cell r="G1573" t="str">
            <v/>
          </cell>
          <cell r="H1573">
            <v>2589.9899999999998</v>
          </cell>
          <cell r="I1573">
            <v>2299.9899999999998</v>
          </cell>
          <cell r="J1573">
            <v>1669.5748000000001</v>
          </cell>
          <cell r="K1573">
            <v>0</v>
          </cell>
          <cell r="L1573">
            <v>1669.5748000000001</v>
          </cell>
          <cell r="M1573">
            <v>0</v>
          </cell>
          <cell r="N1573">
            <v>2299.9899999999998</v>
          </cell>
          <cell r="O1573" t="str">
            <v/>
          </cell>
          <cell r="P1573">
            <v>0</v>
          </cell>
          <cell r="Q1573">
            <v>0.37759027028917802</v>
          </cell>
          <cell r="R1573">
            <v>0.37759027028917802</v>
          </cell>
          <cell r="S1573" t="e">
            <v>#VALUE!</v>
          </cell>
          <cell r="T1573" t="e">
            <v>#VALUE!</v>
          </cell>
        </row>
        <row r="1574">
          <cell r="A1574" t="str">
            <v>G258047KLX</v>
          </cell>
          <cell r="B1574" t="str">
            <v>MKP000631002755</v>
          </cell>
          <cell r="C1574" t="str">
            <v/>
          </cell>
          <cell r="D1574" t="str">
            <v>Armário Aéreo Madesa Lux 80 cm 1 Porta Basculante Rustic/Preto</v>
          </cell>
          <cell r="E1574" t="str">
            <v>LUX</v>
          </cell>
          <cell r="F1574" t="str">
            <v>MODULAÇÃO</v>
          </cell>
          <cell r="G1574" t="str">
            <v/>
          </cell>
          <cell r="H1574">
            <v>839.99</v>
          </cell>
          <cell r="I1574">
            <v>459.99</v>
          </cell>
          <cell r="J1574">
            <v>259.15839999999997</v>
          </cell>
          <cell r="K1574">
            <v>0</v>
          </cell>
          <cell r="L1574">
            <v>259.15839999999997</v>
          </cell>
          <cell r="M1574">
            <v>0</v>
          </cell>
          <cell r="N1574">
            <v>459.99</v>
          </cell>
          <cell r="O1574" t="str">
            <v>LOJA</v>
          </cell>
          <cell r="P1574">
            <v>449.99</v>
          </cell>
          <cell r="Q1574">
            <v>0.77493764431328505</v>
          </cell>
          <cell r="R1574">
            <v>0.77493764431328505</v>
          </cell>
          <cell r="S1574" t="e">
            <v>#VALUE!</v>
          </cell>
          <cell r="T1574" t="e">
            <v>#VALUE!</v>
          </cell>
        </row>
        <row r="1575">
          <cell r="A1575" t="str">
            <v>GRTP26000273</v>
          </cell>
          <cell r="B1575" t="str">
            <v>MKP000631004962</v>
          </cell>
          <cell r="C1575" t="str">
            <v/>
          </cell>
          <cell r="D1575" t="str">
            <v>Armário de Cozinha Completa 260cm Branco/Preto Diamante Madesa 02</v>
          </cell>
          <cell r="E1575" t="str">
            <v>DIAMANTE</v>
          </cell>
          <cell r="F1575" t="str">
            <v>COZINHA</v>
          </cell>
          <cell r="G1575" t="str">
            <v/>
          </cell>
          <cell r="H1575">
            <v>1299.99</v>
          </cell>
          <cell r="I1575">
            <v>1199.99</v>
          </cell>
          <cell r="J1575">
            <v>987.83429999999998</v>
          </cell>
          <cell r="K1575">
            <v>0</v>
          </cell>
          <cell r="L1575">
            <v>987.83429999999998</v>
          </cell>
          <cell r="M1575">
            <v>0</v>
          </cell>
          <cell r="N1575">
            <v>1199.99</v>
          </cell>
          <cell r="O1575" t="str">
            <v/>
          </cell>
          <cell r="P1575">
            <v>0</v>
          </cell>
          <cell r="Q1575">
            <v>0.21476850925301899</v>
          </cell>
          <cell r="R1575">
            <v>0.21476850925301899</v>
          </cell>
          <cell r="S1575" t="e">
            <v>#VALUE!</v>
          </cell>
          <cell r="T1575" t="e">
            <v>#VALUE!</v>
          </cell>
        </row>
        <row r="1576">
          <cell r="A1576" t="str">
            <v>GCEM4810015Z</v>
          </cell>
          <cell r="B1576" t="str">
            <v>MKP000631000451</v>
          </cell>
          <cell r="C1576" t="str">
            <v/>
          </cell>
          <cell r="D1576" t="str">
            <v>Armário de Cozinha Completa de Canto 481cm Rustic Emilly Moon Madesa 01</v>
          </cell>
          <cell r="E1576" t="str">
            <v>MOON/EMILLY</v>
          </cell>
          <cell r="F1576" t="str">
            <v>COZINHA</v>
          </cell>
          <cell r="G1576" t="str">
            <v/>
          </cell>
          <cell r="H1576">
            <v>2879.99</v>
          </cell>
          <cell r="I1576">
            <v>1499.99</v>
          </cell>
          <cell r="J1576">
            <v>1217.7262000000001</v>
          </cell>
          <cell r="K1576">
            <v>0</v>
          </cell>
          <cell r="L1576">
            <v>1217.7262000000001</v>
          </cell>
          <cell r="M1576">
            <v>0</v>
          </cell>
          <cell r="N1576">
            <v>1499.99</v>
          </cell>
          <cell r="O1576" t="str">
            <v/>
          </cell>
          <cell r="P1576">
            <v>0</v>
          </cell>
          <cell r="Q1576">
            <v>0.23179578463533099</v>
          </cell>
          <cell r="R1576">
            <v>0.23179578463533099</v>
          </cell>
          <cell r="S1576" t="e">
            <v>#VALUE!</v>
          </cell>
          <cell r="T1576" t="e">
            <v>#VALUE!</v>
          </cell>
        </row>
        <row r="1577">
          <cell r="A1577" t="str">
            <v>1093092E2G</v>
          </cell>
          <cell r="B1577" t="str">
            <v>MKP000631001875</v>
          </cell>
          <cell r="C1577" t="str">
            <v/>
          </cell>
          <cell r="D1577" t="str">
            <v>Guarda-Roupa Casal Madesa Lyon 3 Portas de Correr com Espelhos 2 Gavetas Branco</v>
          </cell>
          <cell r="E1577" t="str">
            <v>LYON</v>
          </cell>
          <cell r="F1577" t="str">
            <v>QUARTO</v>
          </cell>
          <cell r="G1577" t="str">
            <v/>
          </cell>
          <cell r="H1577">
            <v>1469.99</v>
          </cell>
          <cell r="I1577">
            <v>1189.92</v>
          </cell>
          <cell r="J1577">
            <v>969.44600000000003</v>
          </cell>
          <cell r="K1577">
            <v>0</v>
          </cell>
          <cell r="L1577">
            <v>969.44600000000003</v>
          </cell>
          <cell r="M1577">
            <v>0</v>
          </cell>
          <cell r="N1577">
            <v>1189.92</v>
          </cell>
          <cell r="O1577" t="str">
            <v/>
          </cell>
          <cell r="P1577">
            <v>0</v>
          </cell>
          <cell r="Q1577">
            <v>0.22742267233038299</v>
          </cell>
          <cell r="R1577">
            <v>0.22742267233038299</v>
          </cell>
          <cell r="S1577" t="e">
            <v>#VALUE!</v>
          </cell>
          <cell r="T1577" t="e">
            <v>#VALUE!</v>
          </cell>
        </row>
        <row r="1578">
          <cell r="A1578" t="str">
            <v>XAGRRM2600088N</v>
          </cell>
          <cell r="B1578" t="str">
            <v>MKP000631005053</v>
          </cell>
          <cell r="C1578" t="str">
            <v/>
          </cell>
          <cell r="D1578" t="str">
            <v>Cozinha Completa Madesa Reims 260008 com Armário e Balcão - Preto</v>
          </cell>
          <cell r="E1578" t="str">
            <v>REIMS</v>
          </cell>
          <cell r="F1578" t="str">
            <v>COZINHA</v>
          </cell>
          <cell r="G1578" t="str">
            <v/>
          </cell>
          <cell r="H1578">
            <v>1369.99</v>
          </cell>
          <cell r="I1578">
            <v>1319.92</v>
          </cell>
          <cell r="J1578">
            <v>1022.5944</v>
          </cell>
          <cell r="K1578">
            <v>0</v>
          </cell>
          <cell r="L1578">
            <v>1022.5944</v>
          </cell>
          <cell r="M1578">
            <v>0</v>
          </cell>
          <cell r="N1578">
            <v>1319.92</v>
          </cell>
          <cell r="O1578" t="str">
            <v/>
          </cell>
          <cell r="P1578">
            <v>0</v>
          </cell>
          <cell r="Q1578">
            <v>0.29075613948208601</v>
          </cell>
          <cell r="R1578">
            <v>0.29075613948208601</v>
          </cell>
          <cell r="S1578" t="e">
            <v>#VALUE!</v>
          </cell>
          <cell r="T1578" t="e">
            <v>#VALUE!</v>
          </cell>
        </row>
        <row r="1579">
          <cell r="A1579" t="str">
            <v>GRGM26000109</v>
          </cell>
          <cell r="B1579" t="str">
            <v>MKP000631003518</v>
          </cell>
          <cell r="C1579" t="str">
            <v/>
          </cell>
          <cell r="D1579" t="str">
            <v>Armário de Cozinha Completa 100% MDF 260cm Frentes Branco Brilho Acordes Madesa 01</v>
          </cell>
          <cell r="E1579" t="str">
            <v>ACORDES</v>
          </cell>
          <cell r="F1579" t="str">
            <v>COZINHA</v>
          </cell>
          <cell r="G1579" t="str">
            <v/>
          </cell>
          <cell r="H1579">
            <v>3179.99</v>
          </cell>
          <cell r="I1579">
            <v>2299.9899999999998</v>
          </cell>
          <cell r="J1579">
            <v>1880.9149</v>
          </cell>
          <cell r="K1579">
            <v>0</v>
          </cell>
          <cell r="L1579">
            <v>1880.9149</v>
          </cell>
          <cell r="M1579">
            <v>0</v>
          </cell>
          <cell r="N1579">
            <v>2299.9899999999998</v>
          </cell>
          <cell r="O1579" t="str">
            <v/>
          </cell>
          <cell r="P1579">
            <v>0</v>
          </cell>
          <cell r="Q1579">
            <v>0.22280385997261201</v>
          </cell>
          <cell r="R1579">
            <v>0.22280385997261201</v>
          </cell>
          <cell r="S1579" t="e">
            <v>#VALUE!</v>
          </cell>
          <cell r="T1579" t="e">
            <v>#VALUE!</v>
          </cell>
        </row>
        <row r="1580">
          <cell r="A1580" t="str">
            <v>MDJA0401067GSIM</v>
          </cell>
          <cell r="B1580" t="str">
            <v>MKP000631003210</v>
          </cell>
          <cell r="C1580" t="str">
            <v/>
          </cell>
          <cell r="D1580" t="str">
            <v>Conjunto Sala de Jantar Madesa Sabrina Mesa Tampo de Vidro com 4 Cadeiras Rustic/Crema/Imperial</v>
          </cell>
          <cell r="E1580" t="str">
            <v>SABRINA</v>
          </cell>
          <cell r="F1580" t="str">
            <v>SALA DE JANTAR</v>
          </cell>
          <cell r="G1580">
            <v>4255</v>
          </cell>
          <cell r="H1580">
            <v>1469.99</v>
          </cell>
          <cell r="I1580">
            <v>1369.99</v>
          </cell>
          <cell r="J1580">
            <v>1066.3361</v>
          </cell>
          <cell r="K1580">
            <v>0</v>
          </cell>
          <cell r="L1580">
            <v>1066.3361</v>
          </cell>
          <cell r="M1580">
            <v>0</v>
          </cell>
          <cell r="N1580">
            <v>1369.99</v>
          </cell>
          <cell r="O1580" t="str">
            <v/>
          </cell>
          <cell r="P1580">
            <v>0</v>
          </cell>
          <cell r="Q1580">
            <v>0.28476378132560698</v>
          </cell>
          <cell r="R1580">
            <v>0.28476378132560698</v>
          </cell>
          <cell r="S1580" t="e">
            <v>#VALUE!</v>
          </cell>
          <cell r="T1580" t="e">
            <v>#VALUE!</v>
          </cell>
        </row>
        <row r="1581">
          <cell r="A1581" t="str">
            <v>XA10945Z2E4G</v>
          </cell>
          <cell r="B1581" t="str">
            <v>MKP000631001605</v>
          </cell>
          <cell r="C1581" t="str">
            <v/>
          </cell>
          <cell r="D1581" t="str">
            <v>Guarda-Roupa Infantil Madesa Theo 2 Portas de Correr de Espelho 4 Gavetas Rustic</v>
          </cell>
          <cell r="E1581" t="str">
            <v>THEO</v>
          </cell>
          <cell r="F1581" t="str">
            <v>QUARTO</v>
          </cell>
          <cell r="G1581" t="str">
            <v/>
          </cell>
          <cell r="H1581">
            <v>1459.99</v>
          </cell>
          <cell r="I1581">
            <v>1199.92</v>
          </cell>
          <cell r="J1581">
            <v>912.43899999999996</v>
          </cell>
          <cell r="K1581">
            <v>0</v>
          </cell>
          <cell r="L1581">
            <v>912.43899999999996</v>
          </cell>
          <cell r="M1581">
            <v>0</v>
          </cell>
          <cell r="N1581">
            <v>1199.92</v>
          </cell>
          <cell r="O1581" t="str">
            <v/>
          </cell>
          <cell r="P1581">
            <v>0</v>
          </cell>
          <cell r="Q1581">
            <v>0.315068733361901</v>
          </cell>
          <cell r="R1581">
            <v>0.315068733361901</v>
          </cell>
          <cell r="S1581" t="e">
            <v>#VALUE!</v>
          </cell>
          <cell r="T1581" t="e">
            <v>#VALUE!</v>
          </cell>
        </row>
        <row r="1582">
          <cell r="A1582" t="str">
            <v>MDJA0400426ESIM</v>
          </cell>
          <cell r="B1582" t="str">
            <v>MKP000631000819</v>
          </cell>
          <cell r="C1582" t="str">
            <v/>
          </cell>
          <cell r="D1582" t="str">
            <v>Conjunto Sala de Jantar Madesa Grazi Mesa Tampo de Vidro com 4 Cadeiras Rustic/Branco/Imperial</v>
          </cell>
          <cell r="E1582" t="str">
            <v>GRAZI</v>
          </cell>
          <cell r="F1582" t="str">
            <v>SALA DE JANTAR</v>
          </cell>
          <cell r="G1582">
            <v>4254</v>
          </cell>
          <cell r="H1582">
            <v>1639.99</v>
          </cell>
          <cell r="I1582">
            <v>1539.99</v>
          </cell>
          <cell r="J1582">
            <v>1207.2949000000001</v>
          </cell>
          <cell r="K1582">
            <v>0</v>
          </cell>
          <cell r="L1582">
            <v>1207.2949000000001</v>
          </cell>
          <cell r="M1582">
            <v>0</v>
          </cell>
          <cell r="N1582">
            <v>1539.99</v>
          </cell>
          <cell r="O1582" t="str">
            <v/>
          </cell>
          <cell r="P1582">
            <v>0</v>
          </cell>
          <cell r="Q1582">
            <v>0.27557069942066398</v>
          </cell>
          <cell r="R1582">
            <v>0.27557069942066398</v>
          </cell>
          <cell r="S1582" t="e">
            <v>#VALUE!</v>
          </cell>
          <cell r="T1582" t="e">
            <v>#VALUE!</v>
          </cell>
        </row>
        <row r="1583">
          <cell r="A1583" t="str">
            <v>G254005ZGL</v>
          </cell>
          <cell r="B1583" t="str">
            <v>MKP000631000368</v>
          </cell>
          <cell r="C1583" t="str">
            <v/>
          </cell>
          <cell r="D1583" t="str">
            <v>Armário Aéreo Madesa Glamy 40 cm 1 Porta Rustic</v>
          </cell>
          <cell r="E1583" t="str">
            <v>GLAMY</v>
          </cell>
          <cell r="F1583" t="str">
            <v>MODULAÇÃO</v>
          </cell>
          <cell r="G1583" t="str">
            <v/>
          </cell>
          <cell r="H1583">
            <v>409.99</v>
          </cell>
          <cell r="I1583">
            <v>289.99</v>
          </cell>
          <cell r="J1583">
            <v>170.5959</v>
          </cell>
          <cell r="K1583">
            <v>0</v>
          </cell>
          <cell r="L1583">
            <v>170.5959</v>
          </cell>
          <cell r="M1583">
            <v>0</v>
          </cell>
          <cell r="N1583">
            <v>289.99</v>
          </cell>
          <cell r="O1583" t="str">
            <v/>
          </cell>
          <cell r="P1583">
            <v>0</v>
          </cell>
          <cell r="Q1583">
            <v>0.69986500261729601</v>
          </cell>
          <cell r="R1583">
            <v>0.69986500261729601</v>
          </cell>
          <cell r="S1583" t="e">
            <v>#VALUE!</v>
          </cell>
          <cell r="T1583" t="e">
            <v>#VALUE!</v>
          </cell>
        </row>
        <row r="1584">
          <cell r="A1584" t="str">
            <v>GCLX54600573</v>
          </cell>
          <cell r="B1584" t="str">
            <v>MKP000631004975</v>
          </cell>
          <cell r="C1584" t="str">
            <v/>
          </cell>
          <cell r="D1584" t="str">
            <v>Armário de Cozinha Completa de Canto 546cm Branco/Preto Lux Madesa 05</v>
          </cell>
          <cell r="E1584" t="str">
            <v>LUX</v>
          </cell>
          <cell r="F1584" t="str">
            <v>COZINHA</v>
          </cell>
          <cell r="G1584" t="str">
            <v/>
          </cell>
          <cell r="H1584">
            <v>10139.99</v>
          </cell>
          <cell r="I1584">
            <v>10039.99</v>
          </cell>
          <cell r="J1584">
            <v>5719.7096000000001</v>
          </cell>
          <cell r="K1584">
            <v>0</v>
          </cell>
          <cell r="L1584">
            <v>5719.7096000000001</v>
          </cell>
          <cell r="M1584">
            <v>0</v>
          </cell>
          <cell r="N1584">
            <v>10039.99</v>
          </cell>
          <cell r="O1584" t="str">
            <v>LOJA</v>
          </cell>
          <cell r="P1584">
            <v>8829.99</v>
          </cell>
          <cell r="Q1584">
            <v>0.75533212385467996</v>
          </cell>
          <cell r="R1584">
            <v>0.75533212385467996</v>
          </cell>
          <cell r="S1584" t="e">
            <v>#VALUE!</v>
          </cell>
          <cell r="T1584" t="e">
            <v>#VALUE!</v>
          </cell>
        </row>
        <row r="1585">
          <cell r="A1585" t="str">
            <v>GRGL1200035Z</v>
          </cell>
          <cell r="B1585" t="str">
            <v>MKP000631004262</v>
          </cell>
          <cell r="C1585" t="str">
            <v/>
          </cell>
          <cell r="D1585" t="str">
            <v>Armário de Cozinha Compacta 120cm Rustic Glamy Madesa 03</v>
          </cell>
          <cell r="E1585" t="str">
            <v>GLAMY</v>
          </cell>
          <cell r="F1585" t="str">
            <v>COZINHA</v>
          </cell>
          <cell r="G1585" t="str">
            <v/>
          </cell>
          <cell r="H1585">
            <v>1139.99</v>
          </cell>
          <cell r="I1585">
            <v>1039.99</v>
          </cell>
          <cell r="J1585">
            <v>886.81309999999996</v>
          </cell>
          <cell r="K1585">
            <v>0</v>
          </cell>
          <cell r="L1585">
            <v>886.81309999999996</v>
          </cell>
          <cell r="M1585">
            <v>0</v>
          </cell>
          <cell r="N1585">
            <v>1039.99</v>
          </cell>
          <cell r="O1585" t="str">
            <v/>
          </cell>
          <cell r="P1585">
            <v>0</v>
          </cell>
          <cell r="Q1585">
            <v>0.17272737626451401</v>
          </cell>
          <cell r="R1585">
            <v>0.17272737626451401</v>
          </cell>
          <cell r="S1585" t="e">
            <v>#VALUE!</v>
          </cell>
          <cell r="T1585" t="e">
            <v>#VALUE!</v>
          </cell>
        </row>
        <row r="1586">
          <cell r="A1586" t="str">
            <v>G24750F9AG</v>
          </cell>
          <cell r="B1586" t="str">
            <v>MKP000631002928</v>
          </cell>
          <cell r="C1586" t="str">
            <v/>
          </cell>
          <cell r="D1586" t="str">
            <v>Balcão de Canto Madesa Agata 1 Porta Rustic/Cinza</v>
          </cell>
          <cell r="E1586" t="str">
            <v>ÁGATA</v>
          </cell>
          <cell r="F1586" t="str">
            <v>MODULAÇÃO</v>
          </cell>
          <cell r="G1586" t="str">
            <v/>
          </cell>
          <cell r="H1586">
            <v>999.99</v>
          </cell>
          <cell r="I1586">
            <v>539.99</v>
          </cell>
          <cell r="J1586">
            <v>314.9228</v>
          </cell>
          <cell r="K1586">
            <v>0</v>
          </cell>
          <cell r="L1586">
            <v>314.9228</v>
          </cell>
          <cell r="M1586">
            <v>0</v>
          </cell>
          <cell r="N1586">
            <v>539.99</v>
          </cell>
          <cell r="O1586" t="str">
            <v/>
          </cell>
          <cell r="P1586">
            <v>0</v>
          </cell>
          <cell r="Q1586">
            <v>0.71467419951810396</v>
          </cell>
          <cell r="R1586">
            <v>0.71467419951810396</v>
          </cell>
          <cell r="S1586" t="e">
            <v>#VALUE!</v>
          </cell>
          <cell r="T1586" t="e">
            <v>#VALUE!</v>
          </cell>
        </row>
        <row r="1587">
          <cell r="A1587" t="str">
            <v>11188N3E</v>
          </cell>
          <cell r="B1587" t="str">
            <v>MKP000631002685</v>
          </cell>
          <cell r="C1587" t="str">
            <v/>
          </cell>
          <cell r="D1587" t="str">
            <v>Guarda-Roupa Casal Madesa Istambul 3 Portas de Correr de Espelho 3 Gavetas Preto</v>
          </cell>
          <cell r="E1587" t="str">
            <v>ISTAMBUL</v>
          </cell>
          <cell r="F1587" t="str">
            <v>QUARTO</v>
          </cell>
          <cell r="G1587" t="str">
            <v/>
          </cell>
          <cell r="H1587">
            <v>2589.9899999999998</v>
          </cell>
          <cell r="I1587">
            <v>2019.92</v>
          </cell>
          <cell r="J1587">
            <v>1766.2687000000001</v>
          </cell>
          <cell r="K1587">
            <v>0</v>
          </cell>
          <cell r="L1587">
            <v>1766.2687000000001</v>
          </cell>
          <cell r="M1587">
            <v>0</v>
          </cell>
          <cell r="N1587">
            <v>2019.92</v>
          </cell>
          <cell r="O1587" t="str">
            <v/>
          </cell>
          <cell r="P1587">
            <v>0</v>
          </cell>
          <cell r="Q1587">
            <v>0.14360855740692199</v>
          </cell>
          <cell r="R1587">
            <v>0.14360855740692199</v>
          </cell>
          <cell r="S1587" t="e">
            <v>#VALUE!</v>
          </cell>
          <cell r="T1587" t="e">
            <v>#VALUE!</v>
          </cell>
        </row>
        <row r="1588">
          <cell r="A1588" t="str">
            <v>MDJA0401456ESIM</v>
          </cell>
          <cell r="B1588" t="str">
            <v>MKP000631004891</v>
          </cell>
          <cell r="C1588" t="str">
            <v/>
          </cell>
          <cell r="D1588" t="str">
            <v>Conjunto Sala de Jantar Mesa Tampo de Vidro 4 Cadeiras Rustic/Branco/Imperial Aryeli Madesa</v>
          </cell>
          <cell r="E1588" t="str">
            <v>ARYELI</v>
          </cell>
          <cell r="F1588" t="str">
            <v>SALA DE JANTAR</v>
          </cell>
          <cell r="G1588">
            <v>4256</v>
          </cell>
          <cell r="H1588">
            <v>1559.99</v>
          </cell>
          <cell r="I1588">
            <v>1459.99</v>
          </cell>
          <cell r="J1588">
            <v>1142.6796999999999</v>
          </cell>
          <cell r="K1588">
            <v>0</v>
          </cell>
          <cell r="L1588">
            <v>1142.6796999999999</v>
          </cell>
          <cell r="M1588">
            <v>0</v>
          </cell>
          <cell r="N1588">
            <v>1459.99</v>
          </cell>
          <cell r="O1588" t="str">
            <v/>
          </cell>
          <cell r="P1588">
            <v>0</v>
          </cell>
          <cell r="Q1588">
            <v>0.27768962728575702</v>
          </cell>
          <cell r="R1588">
            <v>0.27768962728575702</v>
          </cell>
          <cell r="S1588" t="e">
            <v>#VALUE!</v>
          </cell>
          <cell r="T1588" t="e">
            <v>#VALUE!</v>
          </cell>
        </row>
        <row r="1589">
          <cell r="A1589" t="str">
            <v>GRGL2600019Y</v>
          </cell>
          <cell r="B1589" t="str">
            <v>MKP000631003525</v>
          </cell>
          <cell r="C1589" t="str">
            <v/>
          </cell>
          <cell r="D1589" t="str">
            <v>Armário de Cozinha Completa 260cm Rustic/Crema Glamy Madesa 02</v>
          </cell>
          <cell r="E1589" t="str">
            <v>GLAMY</v>
          </cell>
          <cell r="F1589" t="str">
            <v>COZINHA</v>
          </cell>
          <cell r="G1589" t="str">
            <v/>
          </cell>
          <cell r="H1589">
            <v>2099.9899999999998</v>
          </cell>
          <cell r="I1589">
            <v>1999.99</v>
          </cell>
          <cell r="J1589">
            <v>1624.0237</v>
          </cell>
          <cell r="K1589">
            <v>0</v>
          </cell>
          <cell r="L1589">
            <v>1624.0237</v>
          </cell>
          <cell r="M1589">
            <v>0</v>
          </cell>
          <cell r="N1589">
            <v>1999.99</v>
          </cell>
          <cell r="O1589" t="str">
            <v/>
          </cell>
          <cell r="P1589">
            <v>0</v>
          </cell>
          <cell r="Q1589">
            <v>0.23150296390378999</v>
          </cell>
          <cell r="R1589">
            <v>0.23150296390378999</v>
          </cell>
          <cell r="S1589" t="e">
            <v>#VALUE!</v>
          </cell>
          <cell r="T1589" t="e">
            <v>#VALUE!</v>
          </cell>
        </row>
        <row r="1590">
          <cell r="A1590" t="str">
            <v>GRAG1500026E</v>
          </cell>
          <cell r="B1590" t="str">
            <v>MKP000631004665</v>
          </cell>
          <cell r="C1590" t="str">
            <v/>
          </cell>
          <cell r="D1590" t="str">
            <v>Armário de Cozinha Compacta 150cm Rustic/Branco Agata Madesa 02</v>
          </cell>
          <cell r="E1590" t="str">
            <v>ÁGATA</v>
          </cell>
          <cell r="F1590" t="str">
            <v>COZINHA</v>
          </cell>
          <cell r="G1590" t="str">
            <v/>
          </cell>
          <cell r="H1590">
            <v>1099.99</v>
          </cell>
          <cell r="I1590">
            <v>949.92</v>
          </cell>
          <cell r="J1590">
            <v>764.01369999999997</v>
          </cell>
          <cell r="K1590">
            <v>0</v>
          </cell>
          <cell r="L1590">
            <v>764.01369999999997</v>
          </cell>
          <cell r="M1590">
            <v>0</v>
          </cell>
          <cell r="N1590">
            <v>949.92</v>
          </cell>
          <cell r="O1590" t="str">
            <v/>
          </cell>
          <cell r="P1590">
            <v>0</v>
          </cell>
          <cell r="Q1590">
            <v>0.24332849005194501</v>
          </cell>
          <cell r="R1590">
            <v>0.24332849005194501</v>
          </cell>
          <cell r="S1590" t="e">
            <v>#VALUE!</v>
          </cell>
          <cell r="T1590" t="e">
            <v>#VALUE!</v>
          </cell>
        </row>
        <row r="1591">
          <cell r="A1591" t="str">
            <v>G2440109GL</v>
          </cell>
          <cell r="B1591" t="str">
            <v>MKP000631000834</v>
          </cell>
          <cell r="C1591" t="str">
            <v/>
          </cell>
          <cell r="D1591" t="str">
            <v>Balcão Madesa Glamy 40 cm 3 Gavetas Branco</v>
          </cell>
          <cell r="E1591" t="str">
            <v>GLAMY</v>
          </cell>
          <cell r="F1591" t="str">
            <v>MODULAÇÃO</v>
          </cell>
          <cell r="G1591" t="str">
            <v/>
          </cell>
          <cell r="H1591">
            <v>979.99</v>
          </cell>
          <cell r="I1591">
            <v>529.99</v>
          </cell>
          <cell r="J1591">
            <v>348.39670000000001</v>
          </cell>
          <cell r="K1591">
            <v>0</v>
          </cell>
          <cell r="L1591">
            <v>348.39670000000001</v>
          </cell>
          <cell r="M1591">
            <v>0</v>
          </cell>
          <cell r="N1591">
            <v>529.99</v>
          </cell>
          <cell r="O1591" t="str">
            <v/>
          </cell>
          <cell r="P1591">
            <v>0</v>
          </cell>
          <cell r="Q1591">
            <v>0.52122566028897499</v>
          </cell>
          <cell r="R1591">
            <v>0.52122566028897499</v>
          </cell>
          <cell r="S1591" t="e">
            <v>#VALUE!</v>
          </cell>
          <cell r="T1591" t="e">
            <v>#VALUE!</v>
          </cell>
        </row>
        <row r="1592">
          <cell r="A1592" t="str">
            <v>MDES020014096E</v>
          </cell>
          <cell r="B1592" t="str">
            <v>MKP000631002880</v>
          </cell>
          <cell r="C1592" t="str">
            <v/>
          </cell>
          <cell r="D1592" t="str">
            <v>Rack Madesa Dubai e Painel para TV até 65 Polegadas com Pés Branco/Rustic 096E</v>
          </cell>
          <cell r="E1592" t="str">
            <v>DUBAI</v>
          </cell>
          <cell r="F1592" t="str">
            <v>SALA DE ESTAR</v>
          </cell>
          <cell r="G1592" t="str">
            <v/>
          </cell>
          <cell r="H1592">
            <v>1149.99</v>
          </cell>
          <cell r="I1592">
            <v>599.99</v>
          </cell>
          <cell r="J1592">
            <v>442.649</v>
          </cell>
          <cell r="K1592">
            <v>0</v>
          </cell>
          <cell r="L1592">
            <v>442.649</v>
          </cell>
          <cell r="M1592">
            <v>0</v>
          </cell>
          <cell r="N1592">
            <v>599.99</v>
          </cell>
          <cell r="O1592" t="str">
            <v/>
          </cell>
          <cell r="P1592">
            <v>0</v>
          </cell>
          <cell r="Q1592">
            <v>0.35545319203251302</v>
          </cell>
          <cell r="R1592">
            <v>0.35545319203251302</v>
          </cell>
          <cell r="S1592" t="e">
            <v>#VALUE!</v>
          </cell>
          <cell r="T1592" t="e">
            <v>#VALUE!</v>
          </cell>
        </row>
        <row r="1593">
          <cell r="A1593" t="str">
            <v>1097732E</v>
          </cell>
          <cell r="B1593" t="str">
            <v>MKP000631002482</v>
          </cell>
          <cell r="C1593" t="str">
            <v/>
          </cell>
          <cell r="D1593" t="str">
            <v>Guarda-Roupa Solteiro Madesa Tokio 2 Portas de Correr de Espelho 2 Gavetas Branco/Preto</v>
          </cell>
          <cell r="E1593" t="str">
            <v>TOKIO</v>
          </cell>
          <cell r="F1593" t="str">
            <v>QUARTO</v>
          </cell>
          <cell r="G1593" t="str">
            <v/>
          </cell>
          <cell r="H1593">
            <v>1759.99</v>
          </cell>
          <cell r="I1593">
            <v>1049.92</v>
          </cell>
          <cell r="J1593">
            <v>869.96169999999995</v>
          </cell>
          <cell r="K1593">
            <v>0</v>
          </cell>
          <cell r="L1593">
            <v>869.96169999999995</v>
          </cell>
          <cell r="M1593">
            <v>0</v>
          </cell>
          <cell r="N1593">
            <v>1049.92</v>
          </cell>
          <cell r="O1593" t="str">
            <v/>
          </cell>
          <cell r="P1593">
            <v>0</v>
          </cell>
          <cell r="Q1593">
            <v>0.20685772718500101</v>
          </cell>
          <cell r="R1593">
            <v>0.20685772718500101</v>
          </cell>
          <cell r="S1593" t="e">
            <v>#VALUE!</v>
          </cell>
          <cell r="T1593" t="e">
            <v>#VALUE!</v>
          </cell>
        </row>
        <row r="1594">
          <cell r="A1594" t="str">
            <v>GREM2330037K</v>
          </cell>
          <cell r="B1594" t="str">
            <v>MKP000631001817</v>
          </cell>
          <cell r="C1594" t="str">
            <v/>
          </cell>
          <cell r="D1594" t="str">
            <v>Armário de Cozinha Completa 233cm Rustic/Preto Emilly Fire Madesa 03</v>
          </cell>
          <cell r="E1594" t="str">
            <v>FIRE/EMILLY</v>
          </cell>
          <cell r="F1594" t="str">
            <v>COZINHA</v>
          </cell>
          <cell r="G1594" t="str">
            <v/>
          </cell>
          <cell r="H1594">
            <v>1799.99</v>
          </cell>
          <cell r="I1594">
            <v>1249.92</v>
          </cell>
          <cell r="J1594">
            <v>1009.5362</v>
          </cell>
          <cell r="K1594">
            <v>0</v>
          </cell>
          <cell r="L1594">
            <v>1009.5362</v>
          </cell>
          <cell r="M1594">
            <v>0</v>
          </cell>
          <cell r="N1594">
            <v>1249.92</v>
          </cell>
          <cell r="O1594" t="str">
            <v/>
          </cell>
          <cell r="P1594">
            <v>0</v>
          </cell>
          <cell r="Q1594">
            <v>0.23811310580046599</v>
          </cell>
          <cell r="R1594">
            <v>0.23811310580046599</v>
          </cell>
          <cell r="S1594" t="e">
            <v>#VALUE!</v>
          </cell>
          <cell r="T1594" t="e">
            <v>#VALUE!</v>
          </cell>
        </row>
        <row r="1595">
          <cell r="A1595" t="str">
            <v>G221236EGL</v>
          </cell>
          <cell r="B1595" t="str">
            <v>MKP000631004874</v>
          </cell>
          <cell r="C1595" t="str">
            <v/>
          </cell>
          <cell r="D1595" t="str">
            <v>Balcão Gabinete de Pia 120 x 60 cm 1 Porta 2 Gavetas Rustic/Branco (Sem Tampo) Glamy Madesa</v>
          </cell>
          <cell r="E1595" t="str">
            <v>GLAMY</v>
          </cell>
          <cell r="F1595" t="str">
            <v>MODULAÇÃO</v>
          </cell>
          <cell r="G1595" t="str">
            <v/>
          </cell>
          <cell r="H1595">
            <v>819.99</v>
          </cell>
          <cell r="I1595">
            <v>719.99</v>
          </cell>
          <cell r="J1595">
            <v>460.64490000000001</v>
          </cell>
          <cell r="K1595">
            <v>0</v>
          </cell>
          <cell r="L1595">
            <v>460.64490000000001</v>
          </cell>
          <cell r="M1595">
            <v>0</v>
          </cell>
          <cell r="N1595">
            <v>719.99</v>
          </cell>
          <cell r="O1595" t="str">
            <v/>
          </cell>
          <cell r="P1595">
            <v>0</v>
          </cell>
          <cell r="Q1595">
            <v>0.56300438797867902</v>
          </cell>
          <cell r="R1595">
            <v>0.56300438797867902</v>
          </cell>
          <cell r="S1595" t="e">
            <v>#VALUE!</v>
          </cell>
          <cell r="T1595" t="e">
            <v>#VALUE!</v>
          </cell>
        </row>
        <row r="1596">
          <cell r="A1596" t="str">
            <v>MDJA0601447GBE</v>
          </cell>
          <cell r="B1596" t="str">
            <v>MKP000631005519</v>
          </cell>
          <cell r="C1596" t="str">
            <v/>
          </cell>
          <cell r="D1596" t="str">
            <v>Conjunto Sala de Jantar Mesa Tampo de Madeira 6 Cadeiras Rustic/Crema/Bege Bahamas Madesa</v>
          </cell>
          <cell r="E1596" t="str">
            <v>BAHAMAS</v>
          </cell>
          <cell r="F1596" t="str">
            <v>SALA DE JANTAR</v>
          </cell>
          <cell r="G1596">
            <v>4280</v>
          </cell>
          <cell r="H1596">
            <v>829.99</v>
          </cell>
          <cell r="I1596">
            <v>799.99</v>
          </cell>
          <cell r="J1596">
            <v>582.85569999999996</v>
          </cell>
          <cell r="K1596">
            <v>0</v>
          </cell>
          <cell r="L1596">
            <v>582.85569999999996</v>
          </cell>
          <cell r="M1596">
            <v>0</v>
          </cell>
          <cell r="N1596">
            <v>799.99</v>
          </cell>
          <cell r="O1596" t="str">
            <v>LEROY</v>
          </cell>
          <cell r="P1596">
            <v>0</v>
          </cell>
          <cell r="Q1596">
            <v>0.37253526044267898</v>
          </cell>
          <cell r="R1596">
            <v>0.37253526044267898</v>
          </cell>
          <cell r="S1596" t="e">
            <v>#VALUE!</v>
          </cell>
          <cell r="T1596" t="e">
            <v>#VALUE!</v>
          </cell>
        </row>
        <row r="1597">
          <cell r="A1597" t="str">
            <v>G246007KAG</v>
          </cell>
          <cell r="B1597" t="str">
            <v>MKP000631003079</v>
          </cell>
          <cell r="C1597" t="str">
            <v/>
          </cell>
          <cell r="D1597" t="str">
            <v>Balcão Madesa Agata 60 cm 1 Porta Rustic/Preto</v>
          </cell>
          <cell r="E1597" t="str">
            <v>ÁGATA</v>
          </cell>
          <cell r="F1597" t="str">
            <v>MODULAÇÃO</v>
          </cell>
          <cell r="G1597" t="str">
            <v/>
          </cell>
          <cell r="H1597">
            <v>799.99</v>
          </cell>
          <cell r="I1597">
            <v>419.99</v>
          </cell>
          <cell r="J1597">
            <v>251.9753</v>
          </cell>
          <cell r="K1597">
            <v>0</v>
          </cell>
          <cell r="L1597">
            <v>251.9753</v>
          </cell>
          <cell r="M1597">
            <v>0</v>
          </cell>
          <cell r="N1597">
            <v>419.99</v>
          </cell>
          <cell r="O1597" t="str">
            <v/>
          </cell>
          <cell r="P1597">
            <v>0</v>
          </cell>
          <cell r="Q1597">
            <v>0.66679035603886605</v>
          </cell>
          <cell r="R1597">
            <v>0.66679035603886605</v>
          </cell>
          <cell r="S1597" t="e">
            <v>#VALUE!</v>
          </cell>
          <cell r="T1597" t="e">
            <v>#VALUE!</v>
          </cell>
        </row>
        <row r="1598">
          <cell r="A1598" t="str">
            <v>G270405ZPR</v>
          </cell>
          <cell r="B1598" t="str">
            <v>MKP000631002738</v>
          </cell>
          <cell r="C1598" t="str">
            <v/>
          </cell>
          <cell r="D1598" t="str">
            <v>Rodapé para Cozinhas Madesa Glamy, Lux, Agata e Stella Rustic</v>
          </cell>
          <cell r="E1598" t="str">
            <v>PR</v>
          </cell>
          <cell r="F1598" t="str">
            <v>MODULAÇÃO</v>
          </cell>
          <cell r="G1598" t="str">
            <v/>
          </cell>
          <cell r="H1598">
            <v>279.99</v>
          </cell>
          <cell r="I1598">
            <v>119.99</v>
          </cell>
          <cell r="J1598">
            <v>71.798299999999998</v>
          </cell>
          <cell r="K1598">
            <v>0</v>
          </cell>
          <cell r="L1598">
            <v>71.798299999999998</v>
          </cell>
          <cell r="M1598">
            <v>0</v>
          </cell>
          <cell r="N1598">
            <v>119.99</v>
          </cell>
          <cell r="O1598" t="str">
            <v/>
          </cell>
          <cell r="P1598">
            <v>0</v>
          </cell>
          <cell r="Q1598">
            <v>0.67120948546135495</v>
          </cell>
          <cell r="R1598">
            <v>0.67120948546135495</v>
          </cell>
          <cell r="S1598" t="e">
            <v>#VALUE!</v>
          </cell>
          <cell r="T1598" t="e">
            <v>#VALUE!</v>
          </cell>
        </row>
        <row r="1599">
          <cell r="A1599" t="str">
            <v>G256015ZPR</v>
          </cell>
          <cell r="B1599" t="str">
            <v>MKP000631004421</v>
          </cell>
          <cell r="C1599" t="str">
            <v/>
          </cell>
          <cell r="D1599" t="str">
            <v>Armário Aéreo 60 cm com 2 Nichos Abertos para Cozinha Madesa Lux, Glamy, Agata, Stella Rustic</v>
          </cell>
          <cell r="E1599" t="str">
            <v>PR</v>
          </cell>
          <cell r="F1599" t="str">
            <v>MODULAÇÃO</v>
          </cell>
          <cell r="G1599" t="str">
            <v/>
          </cell>
          <cell r="H1599">
            <v>319.89999999999998</v>
          </cell>
          <cell r="I1599">
            <v>199.99</v>
          </cell>
          <cell r="J1599">
            <v>117.70910000000001</v>
          </cell>
          <cell r="K1599">
            <v>0</v>
          </cell>
          <cell r="L1599">
            <v>117.70910000000001</v>
          </cell>
          <cell r="M1599">
            <v>0</v>
          </cell>
          <cell r="N1599">
            <v>199.99</v>
          </cell>
          <cell r="O1599" t="str">
            <v/>
          </cell>
          <cell r="P1599">
            <v>0</v>
          </cell>
          <cell r="Q1599">
            <v>0.69901902231858004</v>
          </cell>
          <cell r="R1599">
            <v>0.69901902231858004</v>
          </cell>
          <cell r="S1599" t="e">
            <v>#VALUE!</v>
          </cell>
          <cell r="T1599" t="e">
            <v>#VALUE!</v>
          </cell>
        </row>
        <row r="1600">
          <cell r="A1600" t="str">
            <v>XAGRRM310001D8</v>
          </cell>
          <cell r="B1600" t="str">
            <v>MKP000631003313</v>
          </cell>
          <cell r="C1600" t="str">
            <v/>
          </cell>
          <cell r="D1600" t="str">
            <v>Armário de Cozinha Completa 310cm Preto/Rustic Reims Madesa XA01</v>
          </cell>
          <cell r="E1600" t="str">
            <v>REIMS</v>
          </cell>
          <cell r="F1600" t="str">
            <v>COZINHA</v>
          </cell>
          <cell r="G1600" t="str">
            <v/>
          </cell>
          <cell r="H1600">
            <v>2549.9899999999998</v>
          </cell>
          <cell r="I1600">
            <v>1769.99</v>
          </cell>
          <cell r="J1600">
            <v>1463.6193000000001</v>
          </cell>
          <cell r="K1600">
            <v>0</v>
          </cell>
          <cell r="L1600">
            <v>1463.6193000000001</v>
          </cell>
          <cell r="M1600">
            <v>0</v>
          </cell>
          <cell r="N1600">
            <v>1769.99</v>
          </cell>
          <cell r="O1600" t="str">
            <v>B2W</v>
          </cell>
          <cell r="P1600">
            <v>1599.99</v>
          </cell>
          <cell r="Q1600">
            <v>0.20932403665352101</v>
          </cell>
          <cell r="R1600">
            <v>0.20932403665352101</v>
          </cell>
          <cell r="S1600" t="e">
            <v>#VALUE!</v>
          </cell>
          <cell r="T1600" t="e">
            <v>#VALUE!</v>
          </cell>
        </row>
        <row r="1601">
          <cell r="A1601" t="str">
            <v>XAGRRM320001D8</v>
          </cell>
          <cell r="B1601" t="str">
            <v>MKP000631003314</v>
          </cell>
          <cell r="C1601" t="str">
            <v/>
          </cell>
          <cell r="D1601" t="str">
            <v>Armário de Cozinha Completa 320cm Preto/Rustic Reims Madesa XA01</v>
          </cell>
          <cell r="E1601" t="str">
            <v>REIMS</v>
          </cell>
          <cell r="F1601" t="str">
            <v>COZINHA</v>
          </cell>
          <cell r="G1601" t="str">
            <v/>
          </cell>
          <cell r="H1601">
            <v>2789.99</v>
          </cell>
          <cell r="I1601">
            <v>1819.99</v>
          </cell>
          <cell r="J1601">
            <v>1443.0509999999999</v>
          </cell>
          <cell r="K1601">
            <v>0</v>
          </cell>
          <cell r="L1601">
            <v>1443.0509999999999</v>
          </cell>
          <cell r="M1601">
            <v>0</v>
          </cell>
          <cell r="N1601">
            <v>1819.99</v>
          </cell>
          <cell r="O1601" t="str">
            <v>IMPÉRIO</v>
          </cell>
          <cell r="P1601">
            <v>1759</v>
          </cell>
          <cell r="Q1601">
            <v>0.26120975627333998</v>
          </cell>
          <cell r="R1601">
            <v>0.26120975627333998</v>
          </cell>
          <cell r="S1601" t="e">
            <v>#VALUE!</v>
          </cell>
          <cell r="T1601" t="e">
            <v>#VALUE!</v>
          </cell>
        </row>
        <row r="1602">
          <cell r="A1602" t="str">
            <v>MDES0200048N</v>
          </cell>
          <cell r="B1602" t="str">
            <v>MKP000631001806</v>
          </cell>
          <cell r="C1602" t="str">
            <v/>
          </cell>
          <cell r="D1602" t="str">
            <v>Rack Madesa Londres e Painel para TV até 55 Polegadas Preto</v>
          </cell>
          <cell r="E1602" t="str">
            <v>LONDRES</v>
          </cell>
          <cell r="F1602" t="str">
            <v>SALA DE ESTAR</v>
          </cell>
          <cell r="G1602" t="str">
            <v/>
          </cell>
          <cell r="H1602">
            <v>649.99</v>
          </cell>
          <cell r="I1602">
            <v>549.99</v>
          </cell>
          <cell r="J1602">
            <v>425.51420000000002</v>
          </cell>
          <cell r="K1602">
            <v>0</v>
          </cell>
          <cell r="L1602">
            <v>425.51420000000002</v>
          </cell>
          <cell r="M1602">
            <v>0</v>
          </cell>
          <cell r="N1602">
            <v>549.99</v>
          </cell>
          <cell r="O1602" t="str">
            <v/>
          </cell>
          <cell r="P1602">
            <v>0</v>
          </cell>
          <cell r="Q1602">
            <v>0.29253030803672397</v>
          </cell>
          <cell r="R1602">
            <v>0.29253030803672397</v>
          </cell>
          <cell r="S1602" t="e">
            <v>#VALUE!</v>
          </cell>
          <cell r="T1602" t="e">
            <v>#VALUE!</v>
          </cell>
        </row>
        <row r="1603">
          <cell r="A1603" t="str">
            <v>G241536EAG</v>
          </cell>
          <cell r="B1603" t="str">
            <v>MKP000631004641</v>
          </cell>
          <cell r="C1603" t="str">
            <v/>
          </cell>
          <cell r="D1603" t="str">
            <v>Balcão de Pia Madesa Agata 150 cm 2 Portas e 2 Gavetas (Sem Tampo e Pia) Rustic/Branco</v>
          </cell>
          <cell r="E1603" t="str">
            <v>ÁGATA</v>
          </cell>
          <cell r="F1603" t="str">
            <v>MODULAÇÃO</v>
          </cell>
          <cell r="G1603" t="str">
            <v/>
          </cell>
          <cell r="H1603">
            <v>799.99</v>
          </cell>
          <cell r="I1603">
            <v>569.99</v>
          </cell>
          <cell r="J1603">
            <v>424.2389</v>
          </cell>
          <cell r="K1603">
            <v>0</v>
          </cell>
          <cell r="L1603">
            <v>424.2389</v>
          </cell>
          <cell r="M1603">
            <v>0</v>
          </cell>
          <cell r="N1603">
            <v>569.99</v>
          </cell>
          <cell r="O1603" t="str">
            <v/>
          </cell>
          <cell r="P1603">
            <v>0</v>
          </cell>
          <cell r="Q1603">
            <v>0.34355901827955898</v>
          </cell>
          <cell r="R1603">
            <v>0.34355901827955898</v>
          </cell>
          <cell r="S1603" t="e">
            <v>#VALUE!</v>
          </cell>
          <cell r="T1603" t="e">
            <v>#VALUE!</v>
          </cell>
        </row>
        <row r="1604">
          <cell r="A1604" t="str">
            <v>MDJA0401577KPT</v>
          </cell>
          <cell r="B1604" t="str">
            <v>MKP000631005536</v>
          </cell>
          <cell r="C1604" t="str">
            <v/>
          </cell>
          <cell r="D1604" t="str">
            <v>Conjunto Sala de Jantar Mesa Tampo de Madeira 4 Cadeiras Rustic/Preto Samara Madesa</v>
          </cell>
          <cell r="E1604" t="str">
            <v>SAMARA</v>
          </cell>
          <cell r="F1604" t="str">
            <v>SALA DE JANTAR</v>
          </cell>
          <cell r="G1604" t="str">
            <v>4290X</v>
          </cell>
          <cell r="H1604">
            <v>599.99</v>
          </cell>
          <cell r="I1604">
            <v>499.99</v>
          </cell>
          <cell r="J1604">
            <v>400.13900000000001</v>
          </cell>
          <cell r="K1604">
            <v>0</v>
          </cell>
          <cell r="L1604">
            <v>400.13900000000001</v>
          </cell>
          <cell r="M1604">
            <v>0</v>
          </cell>
          <cell r="N1604">
            <v>499.99</v>
          </cell>
          <cell r="O1604" t="str">
            <v>MELI</v>
          </cell>
          <cell r="P1604">
            <v>555.54999999999995</v>
          </cell>
          <cell r="Q1604">
            <v>0.24954078457735901</v>
          </cell>
          <cell r="R1604">
            <v>0.24954078457735901</v>
          </cell>
          <cell r="S1604" t="e">
            <v>#VALUE!</v>
          </cell>
          <cell r="T1604" t="e">
            <v>#VALUE!</v>
          </cell>
        </row>
        <row r="1605">
          <cell r="A1605" t="str">
            <v>MDES0200018N</v>
          </cell>
          <cell r="B1605" t="str">
            <v>MKP000631000156</v>
          </cell>
          <cell r="C1605" t="str">
            <v/>
          </cell>
          <cell r="D1605" t="str">
            <v>Rack para TV até 65 Polegadas Madesa Londres e Estante Escada Preto</v>
          </cell>
          <cell r="E1605" t="str">
            <v>LONDRES</v>
          </cell>
          <cell r="F1605" t="str">
            <v>SALA DE ESTAR</v>
          </cell>
          <cell r="G1605" t="str">
            <v/>
          </cell>
          <cell r="H1605">
            <v>699.99</v>
          </cell>
          <cell r="I1605">
            <v>599.99</v>
          </cell>
          <cell r="J1605">
            <v>469.9753</v>
          </cell>
          <cell r="K1605">
            <v>0</v>
          </cell>
          <cell r="L1605">
            <v>469.9753</v>
          </cell>
          <cell r="M1605">
            <v>0</v>
          </cell>
          <cell r="N1605">
            <v>599.99</v>
          </cell>
          <cell r="O1605" t="str">
            <v/>
          </cell>
          <cell r="P1605">
            <v>0</v>
          </cell>
          <cell r="Q1605">
            <v>0.276641559673455</v>
          </cell>
          <cell r="R1605">
            <v>0.276641559673455</v>
          </cell>
          <cell r="S1605" t="e">
            <v>#VALUE!</v>
          </cell>
          <cell r="T1605" t="e">
            <v>#VALUE!</v>
          </cell>
        </row>
        <row r="1606">
          <cell r="A1606" t="str">
            <v>MDFC0200143Z3Z</v>
          </cell>
          <cell r="B1606" t="str">
            <v>MKP000631002777</v>
          </cell>
          <cell r="C1606" t="str">
            <v/>
          </cell>
          <cell r="D1606" t="str">
            <v>Kit Madesa Estante Livreiro 6908 + Estante Livreiro 6907 Cinza</v>
          </cell>
          <cell r="E1606" t="str">
            <v>6908 + 6907</v>
          </cell>
          <cell r="F1606" t="str">
            <v>ESCRITÓRIO</v>
          </cell>
          <cell r="G1606" t="str">
            <v/>
          </cell>
          <cell r="H1606">
            <v>769.99</v>
          </cell>
          <cell r="I1606">
            <v>579.91999999999996</v>
          </cell>
          <cell r="J1606">
            <v>385.53300000000002</v>
          </cell>
          <cell r="K1606">
            <v>0</v>
          </cell>
          <cell r="L1606">
            <v>385.53300000000002</v>
          </cell>
          <cell r="M1606">
            <v>0</v>
          </cell>
          <cell r="N1606">
            <v>579.91999999999996</v>
          </cell>
          <cell r="O1606" t="str">
            <v/>
          </cell>
          <cell r="P1606">
            <v>0</v>
          </cell>
          <cell r="Q1606">
            <v>0.504203271834058</v>
          </cell>
          <cell r="R1606">
            <v>0.504203271834058</v>
          </cell>
          <cell r="S1606" t="e">
            <v>#VALUE!</v>
          </cell>
          <cell r="T1606" t="e">
            <v>#VALUE!</v>
          </cell>
        </row>
        <row r="1607">
          <cell r="A1607" t="str">
            <v>MDFC0200097309</v>
          </cell>
          <cell r="B1607" t="str">
            <v>MKP000631002820</v>
          </cell>
          <cell r="C1607" t="str">
            <v/>
          </cell>
          <cell r="D1607" t="str">
            <v>Escrivaninha Madesa Rubi + Estante Livreiro 6906 Branco</v>
          </cell>
          <cell r="E1607" t="str">
            <v>RUBI + 6906</v>
          </cell>
          <cell r="F1607" t="str">
            <v>ESCRITÓRIO</v>
          </cell>
          <cell r="G1607" t="str">
            <v/>
          </cell>
          <cell r="H1607">
            <v>559.99</v>
          </cell>
          <cell r="I1607">
            <v>449.92</v>
          </cell>
          <cell r="J1607">
            <v>312.11059999999998</v>
          </cell>
          <cell r="K1607">
            <v>0</v>
          </cell>
          <cell r="L1607">
            <v>312.11059999999998</v>
          </cell>
          <cell r="M1607">
            <v>0</v>
          </cell>
          <cell r="N1607">
            <v>449.92</v>
          </cell>
          <cell r="O1607" t="str">
            <v/>
          </cell>
          <cell r="P1607">
            <v>0</v>
          </cell>
          <cell r="Q1607">
            <v>0.44154027450525601</v>
          </cell>
          <cell r="R1607">
            <v>0.44154027450525601</v>
          </cell>
          <cell r="S1607" t="e">
            <v>#VALUE!</v>
          </cell>
          <cell r="T1607" t="e">
            <v>#VALUE!</v>
          </cell>
        </row>
        <row r="1608">
          <cell r="A1608" t="str">
            <v>11639B1E1BCP</v>
          </cell>
          <cell r="B1608" t="str">
            <v>MKP000631000991</v>
          </cell>
          <cell r="C1608" t="str">
            <v/>
          </cell>
          <cell r="D1608" t="str">
            <v>Guarda-Roupa Casal 100% MDF Madesa Eros 3 Portas de Correr com Espelho com Pés Branco/Rustic/Branco</v>
          </cell>
          <cell r="E1608" t="str">
            <v>EROS</v>
          </cell>
          <cell r="F1608" t="str">
            <v>QUARTO</v>
          </cell>
          <cell r="G1608" t="str">
            <v/>
          </cell>
          <cell r="H1608">
            <v>2169.9899999999998</v>
          </cell>
          <cell r="I1608">
            <v>2069.9899999999998</v>
          </cell>
          <cell r="J1608">
            <v>1727.4647</v>
          </cell>
          <cell r="K1608">
            <v>0</v>
          </cell>
          <cell r="L1608">
            <v>1727.4647</v>
          </cell>
          <cell r="M1608">
            <v>0</v>
          </cell>
          <cell r="N1608">
            <v>2069.9899999999998</v>
          </cell>
          <cell r="O1608" t="str">
            <v/>
          </cell>
          <cell r="P1608">
            <v>0</v>
          </cell>
          <cell r="Q1608">
            <v>0.198282083564428</v>
          </cell>
          <cell r="R1608">
            <v>0.198282083564428</v>
          </cell>
          <cell r="S1608" t="e">
            <v>#VALUE!</v>
          </cell>
          <cell r="T1608" t="e">
            <v>#VALUE!</v>
          </cell>
        </row>
        <row r="1609">
          <cell r="A1609" t="str">
            <v>G266557KGL</v>
          </cell>
          <cell r="B1609" t="str">
            <v>MKP000631002855</v>
          </cell>
          <cell r="C1609" t="str">
            <v/>
          </cell>
          <cell r="D1609" t="str">
            <v>Torre Quente Madesa Glamy 60 cm 1 Porta 3 Gavetas Rustic/Preto</v>
          </cell>
          <cell r="E1609" t="str">
            <v>GLAMY</v>
          </cell>
          <cell r="F1609" t="str">
            <v>MODULAÇÃO</v>
          </cell>
          <cell r="G1609" t="str">
            <v/>
          </cell>
          <cell r="H1609">
            <v>1419.99</v>
          </cell>
          <cell r="I1609">
            <v>939.99</v>
          </cell>
          <cell r="J1609">
            <v>578.65920000000006</v>
          </cell>
          <cell r="K1609">
            <v>0</v>
          </cell>
          <cell r="L1609">
            <v>578.65920000000006</v>
          </cell>
          <cell r="M1609">
            <v>0</v>
          </cell>
          <cell r="N1609">
            <v>939.99</v>
          </cell>
          <cell r="O1609" t="str">
            <v/>
          </cell>
          <cell r="P1609">
            <v>0</v>
          </cell>
          <cell r="Q1609">
            <v>0.62442764238432602</v>
          </cell>
          <cell r="R1609">
            <v>0.62442764238432602</v>
          </cell>
          <cell r="S1609" t="e">
            <v>#VALUE!</v>
          </cell>
          <cell r="T1609" t="e">
            <v>#VALUE!</v>
          </cell>
        </row>
        <row r="1610">
          <cell r="A1610" t="str">
            <v>G266006E</v>
          </cell>
          <cell r="B1610" t="str">
            <v>MKP000631000796</v>
          </cell>
          <cell r="C1610" t="str">
            <v/>
          </cell>
          <cell r="D1610" t="str">
            <v>Paneleiro Madesa Acordes 100% MDF 60 cm 2 Portas Branco/Rustic</v>
          </cell>
          <cell r="E1610" t="str">
            <v>ACORDES</v>
          </cell>
          <cell r="F1610" t="str">
            <v>MODULAÇÃO</v>
          </cell>
          <cell r="G1610" t="str">
            <v/>
          </cell>
          <cell r="H1610">
            <v>1219.99</v>
          </cell>
          <cell r="I1610">
            <v>779.99</v>
          </cell>
          <cell r="J1610">
            <v>507.91820000000001</v>
          </cell>
          <cell r="K1610">
            <v>0</v>
          </cell>
          <cell r="L1610">
            <v>507.91820000000001</v>
          </cell>
          <cell r="M1610">
            <v>0</v>
          </cell>
          <cell r="N1610">
            <v>779.99</v>
          </cell>
          <cell r="O1610" t="str">
            <v/>
          </cell>
          <cell r="P1610">
            <v>0</v>
          </cell>
          <cell r="Q1610">
            <v>0.53566066346903896</v>
          </cell>
          <cell r="R1610">
            <v>0.53566066346903896</v>
          </cell>
          <cell r="S1610" t="e">
            <v>#VALUE!</v>
          </cell>
          <cell r="T1610" t="e">
            <v>#VALUE!</v>
          </cell>
        </row>
        <row r="1611">
          <cell r="A1611" t="str">
            <v>1095093E</v>
          </cell>
          <cell r="B1611" t="str">
            <v>MKP000631001949</v>
          </cell>
          <cell r="C1611" t="str">
            <v/>
          </cell>
          <cell r="D1611" t="str">
            <v>Guarda-Roupa Casal Madesa Reno 3 Portas de Correr de Espelho Branco</v>
          </cell>
          <cell r="E1611" t="str">
            <v>RENO</v>
          </cell>
          <cell r="F1611" t="str">
            <v>QUARTO</v>
          </cell>
          <cell r="G1611" t="str">
            <v/>
          </cell>
          <cell r="H1611">
            <v>2469.9899999999998</v>
          </cell>
          <cell r="I1611">
            <v>1569.99</v>
          </cell>
          <cell r="J1611">
            <v>1277.0876000000001</v>
          </cell>
          <cell r="K1611">
            <v>0</v>
          </cell>
          <cell r="L1611">
            <v>1277.0876000000001</v>
          </cell>
          <cell r="M1611">
            <v>0</v>
          </cell>
          <cell r="N1611">
            <v>1569.99</v>
          </cell>
          <cell r="O1611" t="str">
            <v>IMPÉRIO</v>
          </cell>
          <cell r="P1611">
            <v>1599</v>
          </cell>
          <cell r="Q1611">
            <v>0.229351847124661</v>
          </cell>
          <cell r="R1611">
            <v>0.229351847124661</v>
          </cell>
          <cell r="S1611" t="e">
            <v>#VALUE!</v>
          </cell>
          <cell r="T1611" t="e">
            <v>#VALUE!</v>
          </cell>
        </row>
        <row r="1612">
          <cell r="A1612" t="str">
            <v>MDES020014095Z</v>
          </cell>
          <cell r="B1612" t="str">
            <v>MKP000631002879</v>
          </cell>
          <cell r="C1612" t="str">
            <v/>
          </cell>
          <cell r="D1612" t="str">
            <v>Rack Madesa Dubai e Painel para TV até 65 Polegadas com Pés Branco/Rustic 095Z</v>
          </cell>
          <cell r="E1612" t="str">
            <v>DUBAI</v>
          </cell>
          <cell r="F1612" t="str">
            <v>SALA DE ESTAR</v>
          </cell>
          <cell r="G1612" t="str">
            <v/>
          </cell>
          <cell r="H1612">
            <v>1099.99</v>
          </cell>
          <cell r="I1612">
            <v>599.99</v>
          </cell>
          <cell r="J1612">
            <v>442.649</v>
          </cell>
          <cell r="K1612">
            <v>0</v>
          </cell>
          <cell r="L1612">
            <v>442.649</v>
          </cell>
          <cell r="M1612">
            <v>0</v>
          </cell>
          <cell r="N1612">
            <v>599.99</v>
          </cell>
          <cell r="O1612" t="str">
            <v/>
          </cell>
          <cell r="P1612">
            <v>0</v>
          </cell>
          <cell r="Q1612">
            <v>0.35545319203251302</v>
          </cell>
          <cell r="R1612">
            <v>0.35545319203251302</v>
          </cell>
          <cell r="S1612" t="e">
            <v>#VALUE!</v>
          </cell>
          <cell r="T1612" t="e">
            <v>#VALUE!</v>
          </cell>
        </row>
        <row r="1613">
          <cell r="A1613" t="str">
            <v>GRGM3100019B</v>
          </cell>
          <cell r="B1613" t="str">
            <v>MKP000631004339</v>
          </cell>
          <cell r="C1613" t="str">
            <v/>
          </cell>
          <cell r="D1613" t="str">
            <v>Armário de Cozinha Completa 100% MDF 310cm Branco/Rustic Acordes Madesa 01</v>
          </cell>
          <cell r="E1613" t="str">
            <v>ACORDES</v>
          </cell>
          <cell r="F1613" t="str">
            <v>COZINHA</v>
          </cell>
          <cell r="G1613" t="str">
            <v/>
          </cell>
          <cell r="H1613">
            <v>3249.99</v>
          </cell>
          <cell r="I1613">
            <v>2499.9899999999998</v>
          </cell>
          <cell r="J1613">
            <v>2109.0518999999999</v>
          </cell>
          <cell r="K1613">
            <v>0</v>
          </cell>
          <cell r="L1613">
            <v>2109.0518999999999</v>
          </cell>
          <cell r="M1613">
            <v>0</v>
          </cell>
          <cell r="N1613">
            <v>2499.9899999999998</v>
          </cell>
          <cell r="O1613" t="str">
            <v/>
          </cell>
          <cell r="P1613">
            <v>0</v>
          </cell>
          <cell r="Q1613">
            <v>0.18536201029476801</v>
          </cell>
          <cell r="R1613">
            <v>0.18536201029476801</v>
          </cell>
          <cell r="S1613" t="e">
            <v>#VALUE!</v>
          </cell>
          <cell r="T1613" t="e">
            <v>#VALUE!</v>
          </cell>
        </row>
        <row r="1614">
          <cell r="A1614" t="str">
            <v>G270809BTE</v>
          </cell>
          <cell r="B1614" t="str">
            <v>MKP000631003354</v>
          </cell>
          <cell r="C1614" t="str">
            <v/>
          </cell>
          <cell r="D1614" t="str">
            <v>Porta-Geladeira Madesa Stella 1 Porta Basculante Branco/Rustic</v>
          </cell>
          <cell r="E1614" t="str">
            <v>STELLA</v>
          </cell>
          <cell r="F1614" t="str">
            <v>MODULAÇÃO</v>
          </cell>
          <cell r="G1614" t="str">
            <v/>
          </cell>
          <cell r="H1614">
            <v>949.99</v>
          </cell>
          <cell r="I1614">
            <v>619.99</v>
          </cell>
          <cell r="J1614">
            <v>356.32100000000003</v>
          </cell>
          <cell r="K1614">
            <v>0</v>
          </cell>
          <cell r="L1614">
            <v>356.32100000000003</v>
          </cell>
          <cell r="M1614">
            <v>0</v>
          </cell>
          <cell r="N1614">
            <v>619.99</v>
          </cell>
          <cell r="O1614" t="str">
            <v/>
          </cell>
          <cell r="P1614">
            <v>0</v>
          </cell>
          <cell r="Q1614">
            <v>0.73997603284678704</v>
          </cell>
          <cell r="R1614">
            <v>0.73997603284678704</v>
          </cell>
          <cell r="S1614" t="e">
            <v>#VALUE!</v>
          </cell>
          <cell r="T1614" t="e">
            <v>#VALUE!</v>
          </cell>
        </row>
        <row r="1615">
          <cell r="A1615" t="str">
            <v>XC10639BCP</v>
          </cell>
          <cell r="B1615" t="str">
            <v>MKP000631001467</v>
          </cell>
          <cell r="C1615" t="str">
            <v/>
          </cell>
          <cell r="D1615" t="str">
            <v>Guarda-Roupa Casal 100% MDF Madesa Zurique 3 Portas de Correr com Pés Branco/Rustic</v>
          </cell>
          <cell r="E1615" t="str">
            <v>ZURIQUE</v>
          </cell>
          <cell r="F1615" t="str">
            <v>QUARTO</v>
          </cell>
          <cell r="G1615" t="str">
            <v/>
          </cell>
          <cell r="H1615">
            <v>2589.9899999999998</v>
          </cell>
          <cell r="I1615">
            <v>1899.92</v>
          </cell>
          <cell r="J1615">
            <v>1597.5367000000001</v>
          </cell>
          <cell r="K1615">
            <v>0</v>
          </cell>
          <cell r="L1615">
            <v>1597.5367000000001</v>
          </cell>
          <cell r="M1615">
            <v>0</v>
          </cell>
          <cell r="N1615">
            <v>1899.92</v>
          </cell>
          <cell r="O1615" t="str">
            <v/>
          </cell>
          <cell r="P1615">
            <v>0</v>
          </cell>
          <cell r="Q1615">
            <v>0.18928097238704999</v>
          </cell>
          <cell r="R1615">
            <v>0.18928097238704999</v>
          </cell>
          <cell r="S1615" t="e">
            <v>#VALUE!</v>
          </cell>
          <cell r="T1615" t="e">
            <v>#VALUE!</v>
          </cell>
        </row>
        <row r="1616">
          <cell r="A1616" t="str">
            <v>MDES0200117K</v>
          </cell>
          <cell r="B1616" t="str">
            <v>MKP000631001164</v>
          </cell>
          <cell r="C1616" t="str">
            <v/>
          </cell>
          <cell r="D1616" t="str">
            <v>Rack Madesa Reims e Painel para TV até 55 Polegadas 2 Portas e 1 Gaveta Rustic/Preto</v>
          </cell>
          <cell r="E1616" t="str">
            <v>REIMS</v>
          </cell>
          <cell r="F1616" t="str">
            <v>SALA DE ESTAR</v>
          </cell>
          <cell r="G1616" t="str">
            <v/>
          </cell>
          <cell r="H1616">
            <v>699.99</v>
          </cell>
          <cell r="I1616">
            <v>599.99</v>
          </cell>
          <cell r="J1616">
            <v>447.71749999999997</v>
          </cell>
          <cell r="K1616">
            <v>0</v>
          </cell>
          <cell r="L1616">
            <v>447.71749999999997</v>
          </cell>
          <cell r="M1616">
            <v>0</v>
          </cell>
          <cell r="N1616">
            <v>599.99</v>
          </cell>
          <cell r="O1616" t="str">
            <v/>
          </cell>
          <cell r="P1616">
            <v>0</v>
          </cell>
          <cell r="Q1616">
            <v>0.34010843891516401</v>
          </cell>
          <cell r="R1616">
            <v>0.34010843891516401</v>
          </cell>
          <cell r="S1616" t="e">
            <v>#VALUE!</v>
          </cell>
          <cell r="T1616" t="e">
            <v>#VALUE!</v>
          </cell>
        </row>
        <row r="1617">
          <cell r="A1617" t="str">
            <v>GCLX5460057K</v>
          </cell>
          <cell r="B1617" t="str">
            <v>MKP000631004972</v>
          </cell>
          <cell r="C1617" t="str">
            <v/>
          </cell>
          <cell r="D1617" t="str">
            <v>Armário de Cozinha Completa de Canto 546cm Rustic/Preto Lux Madesa 05</v>
          </cell>
          <cell r="E1617" t="str">
            <v>LUX</v>
          </cell>
          <cell r="F1617" t="str">
            <v>COZINHA</v>
          </cell>
          <cell r="G1617" t="str">
            <v/>
          </cell>
          <cell r="H1617">
            <v>10139.99</v>
          </cell>
          <cell r="I1617">
            <v>10039.99</v>
          </cell>
          <cell r="J1617">
            <v>5719.7096000000001</v>
          </cell>
          <cell r="K1617">
            <v>0</v>
          </cell>
          <cell r="L1617">
            <v>5719.7096000000001</v>
          </cell>
          <cell r="M1617">
            <v>0</v>
          </cell>
          <cell r="N1617">
            <v>10039.99</v>
          </cell>
          <cell r="O1617" t="str">
            <v>LOJA</v>
          </cell>
          <cell r="P1617">
            <v>8829.99</v>
          </cell>
          <cell r="Q1617">
            <v>0.75533212385467996</v>
          </cell>
          <cell r="R1617">
            <v>0.75533212385467996</v>
          </cell>
          <cell r="S1617" t="e">
            <v>#VALUE!</v>
          </cell>
          <cell r="T1617" t="e">
            <v>#VALUE!</v>
          </cell>
        </row>
        <row r="1618">
          <cell r="A1618" t="str">
            <v>GRGM2500019B</v>
          </cell>
          <cell r="B1618" t="str">
            <v>MKP000631000342</v>
          </cell>
          <cell r="C1618" t="str">
            <v/>
          </cell>
          <cell r="D1618" t="str">
            <v>Armário de Cozinha Completa 100% MDF 250cm Branco/Rustic Acordes Madesa 01</v>
          </cell>
          <cell r="E1618" t="str">
            <v>ACORDES</v>
          </cell>
          <cell r="F1618" t="str">
            <v>COZINHA</v>
          </cell>
          <cell r="G1618" t="str">
            <v/>
          </cell>
          <cell r="H1618">
            <v>2199.9899999999998</v>
          </cell>
          <cell r="I1618">
            <v>2099.9899999999998</v>
          </cell>
          <cell r="J1618">
            <v>1729.7537</v>
          </cell>
          <cell r="K1618">
            <v>0</v>
          </cell>
          <cell r="L1618">
            <v>1729.7537</v>
          </cell>
          <cell r="M1618">
            <v>0</v>
          </cell>
          <cell r="N1618">
            <v>2099.9899999999998</v>
          </cell>
          <cell r="O1618" t="str">
            <v/>
          </cell>
          <cell r="P1618">
            <v>0</v>
          </cell>
          <cell r="Q1618">
            <v>0.21403989481277</v>
          </cell>
          <cell r="R1618">
            <v>0.21403989481277</v>
          </cell>
          <cell r="S1618" t="e">
            <v>#VALUE!</v>
          </cell>
          <cell r="T1618" t="e">
            <v>#VALUE!</v>
          </cell>
        </row>
        <row r="1619">
          <cell r="A1619" t="str">
            <v>G2415373AG</v>
          </cell>
          <cell r="B1619" t="str">
            <v>MKP000631004474</v>
          </cell>
          <cell r="C1619" t="str">
            <v/>
          </cell>
          <cell r="D1619" t="str">
            <v>Balcão de Pia Madesa Agata 150 cm 2 Portas e 2 Gavetas (Sem Tampo e Pia) Branco/Preto</v>
          </cell>
          <cell r="E1619" t="str">
            <v>ÁGATA</v>
          </cell>
          <cell r="F1619" t="str">
            <v>MODULAÇÃO</v>
          </cell>
          <cell r="G1619" t="str">
            <v/>
          </cell>
          <cell r="H1619">
            <v>949.99</v>
          </cell>
          <cell r="I1619">
            <v>569.99</v>
          </cell>
          <cell r="J1619">
            <v>424.2389</v>
          </cell>
          <cell r="K1619">
            <v>0</v>
          </cell>
          <cell r="L1619">
            <v>424.2389</v>
          </cell>
          <cell r="M1619">
            <v>0</v>
          </cell>
          <cell r="N1619">
            <v>569.99</v>
          </cell>
          <cell r="O1619" t="str">
            <v/>
          </cell>
          <cell r="P1619">
            <v>0</v>
          </cell>
          <cell r="Q1619">
            <v>0.34355901827955898</v>
          </cell>
          <cell r="R1619">
            <v>0.34355901827955898</v>
          </cell>
          <cell r="S1619" t="e">
            <v>#VALUE!</v>
          </cell>
          <cell r="T1619" t="e">
            <v>#VALUE!</v>
          </cell>
        </row>
        <row r="1620">
          <cell r="A1620" t="str">
            <v>1095771E</v>
          </cell>
          <cell r="B1620" t="str">
            <v>MKP000631002076</v>
          </cell>
          <cell r="C1620" t="str">
            <v/>
          </cell>
          <cell r="D1620" t="str">
            <v>Guarda-Roupa Casal Madesa Reno 3 Portas de Correr com Espelho Preto/Branco</v>
          </cell>
          <cell r="E1620" t="str">
            <v>RENO</v>
          </cell>
          <cell r="F1620" t="str">
            <v>QUARTO</v>
          </cell>
          <cell r="G1620" t="str">
            <v/>
          </cell>
          <cell r="H1620">
            <v>1569.99</v>
          </cell>
          <cell r="I1620">
            <v>1239.92</v>
          </cell>
          <cell r="J1620">
            <v>986.06849999999997</v>
          </cell>
          <cell r="K1620">
            <v>0</v>
          </cell>
          <cell r="L1620">
            <v>986.06849999999997</v>
          </cell>
          <cell r="M1620">
            <v>0</v>
          </cell>
          <cell r="N1620">
            <v>1239.92</v>
          </cell>
          <cell r="O1620" t="str">
            <v/>
          </cell>
          <cell r="P1620">
            <v>0</v>
          </cell>
          <cell r="Q1620">
            <v>0.25743799746163698</v>
          </cell>
          <cell r="R1620">
            <v>0.25743799746163698</v>
          </cell>
          <cell r="S1620" t="e">
            <v>#VALUE!</v>
          </cell>
          <cell r="T1620" t="e">
            <v>#VALUE!</v>
          </cell>
        </row>
        <row r="1621">
          <cell r="A1621" t="str">
            <v>1028D82E</v>
          </cell>
          <cell r="B1621" t="str">
            <v>MKP000631003468</v>
          </cell>
          <cell r="C1621" t="str">
            <v/>
          </cell>
          <cell r="D1621" t="str">
            <v>Guarda-Roupa Casal Madesa Austin 4 Portas de Correr com Espelhos 3 Gavetas Preto/Rustic</v>
          </cell>
          <cell r="E1621" t="str">
            <v>AUSTIN</v>
          </cell>
          <cell r="F1621" t="str">
            <v>QUARTO</v>
          </cell>
          <cell r="G1621" t="str">
            <v/>
          </cell>
          <cell r="H1621">
            <v>2069.9899999999998</v>
          </cell>
          <cell r="I1621">
            <v>1639.92</v>
          </cell>
          <cell r="J1621">
            <v>1393.0853999999999</v>
          </cell>
          <cell r="K1621">
            <v>0</v>
          </cell>
          <cell r="L1621">
            <v>1393.0853999999999</v>
          </cell>
          <cell r="M1621">
            <v>0</v>
          </cell>
          <cell r="N1621">
            <v>1639.92</v>
          </cell>
          <cell r="O1621" t="str">
            <v/>
          </cell>
          <cell r="P1621">
            <v>0</v>
          </cell>
          <cell r="Q1621">
            <v>0.17718554799296601</v>
          </cell>
          <cell r="R1621">
            <v>0.17718554799296601</v>
          </cell>
          <cell r="S1621" t="e">
            <v>#VALUE!</v>
          </cell>
          <cell r="T1621" t="e">
            <v>#VALUE!</v>
          </cell>
        </row>
        <row r="1622">
          <cell r="A1622" t="str">
            <v>MDFC0200019B</v>
          </cell>
          <cell r="B1622" t="str">
            <v>MKP000631002339</v>
          </cell>
          <cell r="C1622" t="str">
            <v/>
          </cell>
          <cell r="D1622" t="str">
            <v>Mesa para Computador Gamer Madesa 9409 e Painel para TV até 50 Polegadas Branco/Rustic</v>
          </cell>
          <cell r="E1622" t="str">
            <v>GAMER</v>
          </cell>
          <cell r="F1622" t="str">
            <v>ESCRITÓRIO</v>
          </cell>
          <cell r="G1622" t="str">
            <v/>
          </cell>
          <cell r="H1622">
            <v>699.99</v>
          </cell>
          <cell r="I1622">
            <v>459.92</v>
          </cell>
          <cell r="J1622">
            <v>340.625</v>
          </cell>
          <cell r="K1622">
            <v>0</v>
          </cell>
          <cell r="L1622">
            <v>340.625</v>
          </cell>
          <cell r="M1622">
            <v>0</v>
          </cell>
          <cell r="N1622">
            <v>459.92</v>
          </cell>
          <cell r="O1622" t="str">
            <v/>
          </cell>
          <cell r="P1622">
            <v>0</v>
          </cell>
          <cell r="Q1622">
            <v>0.35022385321100902</v>
          </cell>
          <cell r="R1622">
            <v>0.35022385321100902</v>
          </cell>
          <cell r="S1622" t="e">
            <v>#VALUE!</v>
          </cell>
          <cell r="T1622" t="e">
            <v>#VALUE!</v>
          </cell>
        </row>
        <row r="1623">
          <cell r="A1623" t="str">
            <v>G20057F9</v>
          </cell>
          <cell r="B1623" t="str">
            <v>MKP000631004564</v>
          </cell>
          <cell r="C1623" t="str">
            <v/>
          </cell>
          <cell r="D1623" t="str">
            <v>Armário de Cozinha Completa 261cm Rustic/Cinza Emilly Hit Madesa</v>
          </cell>
          <cell r="E1623" t="str">
            <v>HIT/EMILLY</v>
          </cell>
          <cell r="F1623" t="str">
            <v>COZINHA</v>
          </cell>
          <cell r="G1623" t="str">
            <v/>
          </cell>
          <cell r="H1623">
            <v>1159.99</v>
          </cell>
          <cell r="I1623">
            <v>999.99</v>
          </cell>
          <cell r="J1623">
            <v>834.34050000000002</v>
          </cell>
          <cell r="K1623">
            <v>0</v>
          </cell>
          <cell r="L1623">
            <v>834.34050000000002</v>
          </cell>
          <cell r="M1623">
            <v>0</v>
          </cell>
          <cell r="N1623">
            <v>999.99</v>
          </cell>
          <cell r="O1623" t="str">
            <v/>
          </cell>
          <cell r="P1623">
            <v>0</v>
          </cell>
          <cell r="Q1623">
            <v>0.198539445226499</v>
          </cell>
          <cell r="R1623">
            <v>0.198539445226499</v>
          </cell>
          <cell r="S1623" t="e">
            <v>#VALUE!</v>
          </cell>
          <cell r="T1623" t="e">
            <v>#VALUE!</v>
          </cell>
        </row>
        <row r="1624">
          <cell r="A1624" t="str">
            <v>GREM3250017K</v>
          </cell>
          <cell r="B1624" t="str">
            <v>MKP000631000435</v>
          </cell>
          <cell r="C1624" t="str">
            <v/>
          </cell>
          <cell r="D1624" t="str">
            <v>Armário de Cozinha Completa 325cm Rustic/Preto Emilly Joy Madesa 01</v>
          </cell>
          <cell r="E1624" t="str">
            <v>JOY/EMILLY</v>
          </cell>
          <cell r="F1624" t="str">
            <v>COZINHA</v>
          </cell>
          <cell r="G1624" t="str">
            <v/>
          </cell>
          <cell r="H1624">
            <v>1499.99</v>
          </cell>
          <cell r="I1624">
            <v>1399.99</v>
          </cell>
          <cell r="J1624">
            <v>1092.4088999999999</v>
          </cell>
          <cell r="K1624">
            <v>0</v>
          </cell>
          <cell r="L1624">
            <v>1092.4088999999999</v>
          </cell>
          <cell r="M1624">
            <v>0</v>
          </cell>
          <cell r="N1624">
            <v>1399.99</v>
          </cell>
          <cell r="O1624" t="str">
            <v/>
          </cell>
          <cell r="P1624">
            <v>0</v>
          </cell>
          <cell r="Q1624">
            <v>0.28156224285613202</v>
          </cell>
          <cell r="R1624">
            <v>0.28156224285613202</v>
          </cell>
          <cell r="S1624" t="e">
            <v>#VALUE!</v>
          </cell>
          <cell r="T1624" t="e">
            <v>#VALUE!</v>
          </cell>
        </row>
        <row r="1625">
          <cell r="A1625" t="str">
            <v>GREM2010037K</v>
          </cell>
          <cell r="B1625" t="str">
            <v>MKP000631001830</v>
          </cell>
          <cell r="C1625" t="str">
            <v/>
          </cell>
          <cell r="D1625" t="str">
            <v>Armário de Cozinha Completa 201cm Rustic/Preto Emilly West Madesa 03</v>
          </cell>
          <cell r="E1625" t="str">
            <v>WEST/EMILLY</v>
          </cell>
          <cell r="F1625" t="str">
            <v>COZINHA</v>
          </cell>
          <cell r="G1625" t="str">
            <v/>
          </cell>
          <cell r="H1625">
            <v>2059.9899999999998</v>
          </cell>
          <cell r="I1625">
            <v>1189.92</v>
          </cell>
          <cell r="J1625">
            <v>933.27980000000002</v>
          </cell>
          <cell r="K1625">
            <v>0</v>
          </cell>
          <cell r="L1625">
            <v>933.27980000000002</v>
          </cell>
          <cell r="M1625">
            <v>0</v>
          </cell>
          <cell r="N1625">
            <v>1189.92</v>
          </cell>
          <cell r="O1625" t="str">
            <v/>
          </cell>
          <cell r="P1625">
            <v>0</v>
          </cell>
          <cell r="Q1625">
            <v>0.27498741534960902</v>
          </cell>
          <cell r="R1625">
            <v>0.27498741534960902</v>
          </cell>
          <cell r="S1625" t="e">
            <v>#VALUE!</v>
          </cell>
          <cell r="T1625" t="e">
            <v>#VALUE!</v>
          </cell>
        </row>
        <row r="1626">
          <cell r="A1626" t="str">
            <v>G2220009PR</v>
          </cell>
          <cell r="B1626" t="str">
            <v>MKP000631003266</v>
          </cell>
          <cell r="C1626" t="str">
            <v/>
          </cell>
          <cell r="D1626" t="str">
            <v>Balcão Porta-Pano Madesa para Cozinhas Lux, Glamy e Stella 20 x 60 cm (Sem Tampo) Branco</v>
          </cell>
          <cell r="E1626" t="str">
            <v>PR</v>
          </cell>
          <cell r="F1626" t="str">
            <v>MODULAÇÃO</v>
          </cell>
          <cell r="G1626" t="str">
            <v/>
          </cell>
          <cell r="H1626">
            <v>579.99</v>
          </cell>
          <cell r="I1626">
            <v>239.99</v>
          </cell>
          <cell r="J1626">
            <v>146.33250000000001</v>
          </cell>
          <cell r="K1626">
            <v>0</v>
          </cell>
          <cell r="L1626">
            <v>146.33250000000001</v>
          </cell>
          <cell r="M1626">
            <v>0</v>
          </cell>
          <cell r="N1626">
            <v>239.99</v>
          </cell>
          <cell r="O1626" t="str">
            <v/>
          </cell>
          <cell r="P1626">
            <v>0</v>
          </cell>
          <cell r="Q1626">
            <v>0.64003211863393294</v>
          </cell>
          <cell r="R1626">
            <v>0.64003211863393294</v>
          </cell>
          <cell r="S1626" t="e">
            <v>#VALUE!</v>
          </cell>
          <cell r="T1626" t="e">
            <v>#VALUE!</v>
          </cell>
        </row>
        <row r="1627">
          <cell r="A1627" t="str">
            <v>GRLX2000019R</v>
          </cell>
          <cell r="B1627" t="str">
            <v>MKP000631003339</v>
          </cell>
          <cell r="C1627" t="str">
            <v/>
          </cell>
          <cell r="D1627" t="str">
            <v>Armário de Cozinha Compacta 200cm Branco/Cinza Lux Madesa 01</v>
          </cell>
          <cell r="E1627" t="str">
            <v>LUX</v>
          </cell>
          <cell r="F1627" t="str">
            <v>COZINHA</v>
          </cell>
          <cell r="G1627" t="str">
            <v/>
          </cell>
          <cell r="H1627">
            <v>3039.99</v>
          </cell>
          <cell r="I1627">
            <v>2939.99</v>
          </cell>
          <cell r="J1627">
            <v>1757.2653</v>
          </cell>
          <cell r="K1627">
            <v>0</v>
          </cell>
          <cell r="L1627">
            <v>1757.2653</v>
          </cell>
          <cell r="M1627">
            <v>0</v>
          </cell>
          <cell r="N1627">
            <v>2939.99</v>
          </cell>
          <cell r="O1627" t="str">
            <v>LOJA</v>
          </cell>
          <cell r="P1627">
            <v>2579.9899999999998</v>
          </cell>
          <cell r="Q1627">
            <v>0.67304845773714395</v>
          </cell>
          <cell r="R1627">
            <v>0.67304845773714395</v>
          </cell>
          <cell r="S1627" t="e">
            <v>#VALUE!</v>
          </cell>
          <cell r="T1627" t="e">
            <v>#VALUE!</v>
          </cell>
        </row>
        <row r="1628">
          <cell r="A1628" t="str">
            <v>MDJA0401257GSIM</v>
          </cell>
          <cell r="B1628" t="str">
            <v>MKP000631004156</v>
          </cell>
          <cell r="C1628" t="str">
            <v/>
          </cell>
          <cell r="D1628" t="str">
            <v>Conjunto Sala de Jantar Madesa Deise Mesa Tampo de Madeira 4 Cadeiras Rustic/Crema/Imperial</v>
          </cell>
          <cell r="E1628" t="str">
            <v>DEISE</v>
          </cell>
          <cell r="F1628" t="str">
            <v>SALA DE JANTAR</v>
          </cell>
          <cell r="G1628">
            <v>4255</v>
          </cell>
          <cell r="H1628">
            <v>949.99</v>
          </cell>
          <cell r="I1628">
            <v>839.92</v>
          </cell>
          <cell r="J1628">
            <v>664.26779999999997</v>
          </cell>
          <cell r="K1628">
            <v>0</v>
          </cell>
          <cell r="L1628">
            <v>664.26779999999997</v>
          </cell>
          <cell r="M1628">
            <v>0</v>
          </cell>
          <cell r="N1628">
            <v>839.92</v>
          </cell>
          <cell r="O1628" t="str">
            <v/>
          </cell>
          <cell r="P1628">
            <v>0</v>
          </cell>
          <cell r="Q1628">
            <v>0.264429797741212</v>
          </cell>
          <cell r="R1628">
            <v>0.264429797741212</v>
          </cell>
          <cell r="S1628" t="e">
            <v>#VALUE!</v>
          </cell>
          <cell r="T1628" t="e">
            <v>#VALUE!</v>
          </cell>
        </row>
        <row r="1629">
          <cell r="A1629" t="str">
            <v>GRNC3200023B</v>
          </cell>
          <cell r="B1629" t="str">
            <v>MKP000631004981</v>
          </cell>
          <cell r="C1629" t="str">
            <v/>
          </cell>
          <cell r="D1629" t="str">
            <v>Armário de Cozinha Completa 320cm Cinza Nice Madesa 02</v>
          </cell>
          <cell r="E1629" t="str">
            <v>NICE</v>
          </cell>
          <cell r="F1629" t="str">
            <v>COZINHA</v>
          </cell>
          <cell r="G1629" t="str">
            <v/>
          </cell>
          <cell r="H1629">
            <v>2399.9899999999998</v>
          </cell>
          <cell r="I1629">
            <v>2299.9899999999998</v>
          </cell>
          <cell r="J1629">
            <v>1675.4717000000001</v>
          </cell>
          <cell r="K1629">
            <v>0</v>
          </cell>
          <cell r="L1629">
            <v>1675.4717000000001</v>
          </cell>
          <cell r="M1629">
            <v>0</v>
          </cell>
          <cell r="N1629">
            <v>2299.9899999999998</v>
          </cell>
          <cell r="O1629" t="str">
            <v/>
          </cell>
          <cell r="P1629">
            <v>0</v>
          </cell>
          <cell r="Q1629">
            <v>0.372741777733399</v>
          </cell>
          <cell r="R1629">
            <v>0.372741777733399</v>
          </cell>
          <cell r="S1629" t="e">
            <v>#VALUE!</v>
          </cell>
          <cell r="T1629" t="e">
            <v>#VALUE!</v>
          </cell>
        </row>
        <row r="1630">
          <cell r="A1630" t="str">
            <v>G267506E</v>
          </cell>
          <cell r="B1630" t="str">
            <v>MKP000631000910</v>
          </cell>
          <cell r="C1630" t="str">
            <v/>
          </cell>
          <cell r="D1630" t="str">
            <v>Torre Quente Para 2 Fornos Madesa Acordes 100% MDF Branco/Rustic</v>
          </cell>
          <cell r="E1630" t="str">
            <v>ACORDES</v>
          </cell>
          <cell r="F1630" t="str">
            <v>MODULAÇÃO</v>
          </cell>
          <cell r="G1630" t="str">
            <v/>
          </cell>
          <cell r="H1630">
            <v>1279.99</v>
          </cell>
          <cell r="I1630">
            <v>749.99</v>
          </cell>
          <cell r="J1630">
            <v>462.05099999999999</v>
          </cell>
          <cell r="K1630">
            <v>0</v>
          </cell>
          <cell r="L1630">
            <v>462.05099999999999</v>
          </cell>
          <cell r="M1630">
            <v>0</v>
          </cell>
          <cell r="N1630">
            <v>749.99</v>
          </cell>
          <cell r="O1630" t="str">
            <v/>
          </cell>
          <cell r="P1630">
            <v>0</v>
          </cell>
          <cell r="Q1630">
            <v>0.62317579661119704</v>
          </cell>
          <cell r="R1630">
            <v>0.62317579661119704</v>
          </cell>
          <cell r="S1630" t="e">
            <v>#VALUE!</v>
          </cell>
          <cell r="T1630" t="e">
            <v>#VALUE!</v>
          </cell>
        </row>
        <row r="1631">
          <cell r="A1631" t="str">
            <v>GRGL19000209</v>
          </cell>
          <cell r="B1631" t="str">
            <v>MKP000631000535</v>
          </cell>
          <cell r="C1631" t="str">
            <v/>
          </cell>
          <cell r="D1631" t="str">
            <v>Armário de Cozinha Compacta 190cm Branco Laura Madesa 02</v>
          </cell>
          <cell r="E1631" t="str">
            <v>LAURA/GLAMY</v>
          </cell>
          <cell r="F1631" t="str">
            <v>COZINHA</v>
          </cell>
          <cell r="G1631" t="str">
            <v/>
          </cell>
          <cell r="H1631">
            <v>1799.99</v>
          </cell>
          <cell r="I1631">
            <v>1699.99</v>
          </cell>
          <cell r="J1631">
            <v>1422.232</v>
          </cell>
          <cell r="K1631">
            <v>0</v>
          </cell>
          <cell r="L1631">
            <v>1422.232</v>
          </cell>
          <cell r="M1631">
            <v>0</v>
          </cell>
          <cell r="N1631">
            <v>1699.99</v>
          </cell>
          <cell r="O1631" t="str">
            <v/>
          </cell>
          <cell r="P1631">
            <v>0</v>
          </cell>
          <cell r="Q1631">
            <v>0.195297251081399</v>
          </cell>
          <cell r="R1631">
            <v>0.195297251081399</v>
          </cell>
          <cell r="S1631" t="e">
            <v>#VALUE!</v>
          </cell>
          <cell r="T1631" t="e">
            <v>#VALUE!</v>
          </cell>
        </row>
        <row r="1632">
          <cell r="A1632" t="str">
            <v>GRAG330002F8</v>
          </cell>
          <cell r="B1632" t="str">
            <v>MKP000631005626</v>
          </cell>
          <cell r="C1632" t="str">
            <v/>
          </cell>
          <cell r="D1632" t="str">
            <v>Armário de Cozinha Completa 330cm Branco/Cinza Agata Madesa 02</v>
          </cell>
          <cell r="E1632" t="str">
            <v>ÁGATA</v>
          </cell>
          <cell r="F1632" t="str">
            <v>COZINHA</v>
          </cell>
          <cell r="G1632" t="str">
            <v/>
          </cell>
          <cell r="H1632">
            <v>2699.99</v>
          </cell>
          <cell r="I1632">
            <v>2599.9899999999998</v>
          </cell>
          <cell r="J1632">
            <v>2109.6187</v>
          </cell>
          <cell r="K1632">
            <v>0</v>
          </cell>
          <cell r="L1632">
            <v>2109.6187</v>
          </cell>
          <cell r="M1632">
            <v>0</v>
          </cell>
          <cell r="N1632">
            <v>2599.9899999999998</v>
          </cell>
          <cell r="O1632" t="str">
            <v/>
          </cell>
          <cell r="P1632">
            <v>0</v>
          </cell>
          <cell r="Q1632">
            <v>0.23244546514495701</v>
          </cell>
          <cell r="R1632">
            <v>0.23244546514495701</v>
          </cell>
          <cell r="S1632" t="e">
            <v>#VALUE!</v>
          </cell>
          <cell r="T1632" t="e">
            <v>#VALUE!</v>
          </cell>
        </row>
        <row r="1633">
          <cell r="A1633" t="str">
            <v>10937K4G</v>
          </cell>
          <cell r="B1633" t="str">
            <v>MKP000631002292</v>
          </cell>
          <cell r="C1633" t="str">
            <v/>
          </cell>
          <cell r="D1633" t="str">
            <v>Guarda-Roupa Casal Madesa Lyon Plus 3 Portas de Correr 4 Gavetas Rustic/Preto</v>
          </cell>
          <cell r="E1633" t="str">
            <v>LYON PLUS</v>
          </cell>
          <cell r="F1633" t="str">
            <v>QUARTO</v>
          </cell>
          <cell r="G1633" t="str">
            <v/>
          </cell>
          <cell r="H1633">
            <v>1319.99</v>
          </cell>
          <cell r="I1633">
            <v>989.92</v>
          </cell>
          <cell r="J1633">
            <v>798.32690000000002</v>
          </cell>
          <cell r="K1633">
            <v>0</v>
          </cell>
          <cell r="L1633">
            <v>798.32690000000002</v>
          </cell>
          <cell r="M1633">
            <v>0</v>
          </cell>
          <cell r="N1633">
            <v>989.92</v>
          </cell>
          <cell r="O1633" t="str">
            <v/>
          </cell>
          <cell r="P1633">
            <v>0</v>
          </cell>
          <cell r="Q1633">
            <v>0.23999329096890001</v>
          </cell>
          <cell r="R1633">
            <v>0.23999329096890001</v>
          </cell>
          <cell r="S1633" t="e">
            <v>#VALUE!</v>
          </cell>
          <cell r="T1633" t="e">
            <v>#VALUE!</v>
          </cell>
        </row>
        <row r="1634">
          <cell r="A1634" t="str">
            <v>70088N09PP</v>
          </cell>
          <cell r="B1634" t="str">
            <v>MKP000631001669</v>
          </cell>
          <cell r="C1634" t="str">
            <v/>
          </cell>
          <cell r="D1634" t="str">
            <v>Rack para TV até 65 Polegadas Madesa Cancun com Pés Preto 8N09</v>
          </cell>
          <cell r="E1634" t="str">
            <v>CANCUN</v>
          </cell>
          <cell r="F1634" t="str">
            <v>SALA DE ESTAR</v>
          </cell>
          <cell r="G1634" t="str">
            <v/>
          </cell>
          <cell r="H1634">
            <v>449.99</v>
          </cell>
          <cell r="I1634">
            <v>339.92</v>
          </cell>
          <cell r="J1634">
            <v>235.7561</v>
          </cell>
          <cell r="K1634">
            <v>0</v>
          </cell>
          <cell r="L1634">
            <v>235.7561</v>
          </cell>
          <cell r="M1634">
            <v>0</v>
          </cell>
          <cell r="N1634">
            <v>339.92</v>
          </cell>
          <cell r="O1634" t="str">
            <v/>
          </cell>
          <cell r="P1634">
            <v>0</v>
          </cell>
          <cell r="Q1634">
            <v>0.441829076744992</v>
          </cell>
          <cell r="R1634">
            <v>0.441829076744992</v>
          </cell>
          <cell r="S1634" t="e">
            <v>#VALUE!</v>
          </cell>
          <cell r="T1634" t="e">
            <v>#VALUE!</v>
          </cell>
        </row>
        <row r="1635">
          <cell r="A1635" t="str">
            <v>GRTP24000573</v>
          </cell>
          <cell r="B1635" t="str">
            <v>MKP000631004955</v>
          </cell>
          <cell r="C1635" t="str">
            <v/>
          </cell>
          <cell r="D1635" t="str">
            <v>Armário de Cozinha Completa 240cm Branco/Preto Topazio Madesa 05</v>
          </cell>
          <cell r="E1635" t="str">
            <v>TOPÁZIO</v>
          </cell>
          <cell r="F1635" t="str">
            <v>COZINHA</v>
          </cell>
          <cell r="G1635" t="str">
            <v/>
          </cell>
          <cell r="H1635">
            <v>1499.99</v>
          </cell>
          <cell r="I1635">
            <v>1299.99</v>
          </cell>
          <cell r="J1635">
            <v>1072.4292</v>
          </cell>
          <cell r="K1635">
            <v>0</v>
          </cell>
          <cell r="L1635">
            <v>1072.4292</v>
          </cell>
          <cell r="M1635">
            <v>0</v>
          </cell>
          <cell r="N1635">
            <v>1299.99</v>
          </cell>
          <cell r="O1635" t="str">
            <v/>
          </cell>
          <cell r="P1635">
            <v>0</v>
          </cell>
          <cell r="Q1635">
            <v>0.21219190973166299</v>
          </cell>
          <cell r="R1635">
            <v>0.21219190973166299</v>
          </cell>
          <cell r="S1635" t="e">
            <v>#VALUE!</v>
          </cell>
          <cell r="T1635" t="e">
            <v>#VALUE!</v>
          </cell>
        </row>
        <row r="1636">
          <cell r="A1636" t="str">
            <v>GRGM2600019B</v>
          </cell>
          <cell r="B1636" t="str">
            <v>MKP000631003517</v>
          </cell>
          <cell r="C1636" t="str">
            <v/>
          </cell>
          <cell r="D1636" t="str">
            <v>Armário de Cozinha Completa 100% MDF 260cm Branco/Rustic Acordes Madesa 01</v>
          </cell>
          <cell r="E1636" t="str">
            <v>ACORDES</v>
          </cell>
          <cell r="F1636" t="str">
            <v>COZINHA</v>
          </cell>
          <cell r="G1636" t="str">
            <v/>
          </cell>
          <cell r="H1636">
            <v>2399.9899999999998</v>
          </cell>
          <cell r="I1636">
            <v>2299.9899999999998</v>
          </cell>
          <cell r="J1636">
            <v>1880.9149</v>
          </cell>
          <cell r="K1636">
            <v>0</v>
          </cell>
          <cell r="L1636">
            <v>1880.9149</v>
          </cell>
          <cell r="M1636">
            <v>0</v>
          </cell>
          <cell r="N1636">
            <v>2299.9899999999998</v>
          </cell>
          <cell r="O1636" t="str">
            <v/>
          </cell>
          <cell r="P1636">
            <v>0</v>
          </cell>
          <cell r="Q1636">
            <v>0.22280385997261201</v>
          </cell>
          <cell r="R1636">
            <v>0.22280385997261201</v>
          </cell>
          <cell r="S1636" t="e">
            <v>#VALUE!</v>
          </cell>
          <cell r="T1636" t="e">
            <v>#VALUE!</v>
          </cell>
        </row>
        <row r="1637">
          <cell r="A1637" t="str">
            <v>G246006E</v>
          </cell>
          <cell r="B1637" t="str">
            <v>MKP000631003413</v>
          </cell>
          <cell r="C1637" t="str">
            <v/>
          </cell>
          <cell r="D1637" t="str">
            <v>Balcão Madesa Acordes 100% MDF 60 cm 1 Porta Branco/Rustic</v>
          </cell>
          <cell r="E1637" t="str">
            <v>ACORDES</v>
          </cell>
          <cell r="F1637" t="str">
            <v>MODULAÇÃO</v>
          </cell>
          <cell r="G1637" t="str">
            <v/>
          </cell>
          <cell r="H1637">
            <v>859.99</v>
          </cell>
          <cell r="I1637">
            <v>449.99</v>
          </cell>
          <cell r="J1637">
            <v>290.9973</v>
          </cell>
          <cell r="K1637">
            <v>0</v>
          </cell>
          <cell r="L1637">
            <v>290.9973</v>
          </cell>
          <cell r="M1637">
            <v>0</v>
          </cell>
          <cell r="N1637">
            <v>449.99</v>
          </cell>
          <cell r="O1637" t="str">
            <v/>
          </cell>
          <cell r="P1637">
            <v>0</v>
          </cell>
          <cell r="Q1637">
            <v>0.546371736095146</v>
          </cell>
          <cell r="R1637">
            <v>0.546371736095146</v>
          </cell>
          <cell r="S1637" t="e">
            <v>#VALUE!</v>
          </cell>
          <cell r="T1637" t="e">
            <v>#VALUE!</v>
          </cell>
        </row>
        <row r="1638">
          <cell r="A1638" t="str">
            <v>G257025ZGL</v>
          </cell>
          <cell r="B1638" t="str">
            <v>MKP000631003496</v>
          </cell>
          <cell r="C1638" t="str">
            <v/>
          </cell>
          <cell r="D1638" t="str">
            <v>Armário Aéreo de Cozinha Madesa Glamy 70 cm 1 Porta Basculante Rustic</v>
          </cell>
          <cell r="E1638" t="str">
            <v>GLAMY</v>
          </cell>
          <cell r="F1638" t="str">
            <v>MODULAÇÃO</v>
          </cell>
          <cell r="G1638" t="str">
            <v/>
          </cell>
          <cell r="H1638">
            <v>409.99</v>
          </cell>
          <cell r="I1638">
            <v>259.99</v>
          </cell>
          <cell r="J1638">
            <v>166.5847</v>
          </cell>
          <cell r="K1638">
            <v>0</v>
          </cell>
          <cell r="L1638">
            <v>166.5847</v>
          </cell>
          <cell r="M1638">
            <v>0</v>
          </cell>
          <cell r="N1638">
            <v>259.99</v>
          </cell>
          <cell r="O1638" t="str">
            <v/>
          </cell>
          <cell r="P1638">
            <v>0</v>
          </cell>
          <cell r="Q1638">
            <v>0.56070755597602895</v>
          </cell>
          <cell r="R1638">
            <v>0.56070755597602895</v>
          </cell>
          <cell r="S1638" t="e">
            <v>#VALUE!</v>
          </cell>
          <cell r="T1638" t="e">
            <v>#VALUE!</v>
          </cell>
        </row>
        <row r="1639">
          <cell r="A1639" t="str">
            <v>G20086098NRF</v>
          </cell>
          <cell r="B1639" t="str">
            <v>MKP000631001045</v>
          </cell>
          <cell r="C1639" t="str">
            <v/>
          </cell>
          <cell r="D1639" t="str">
            <v>Armário de Cozinha Compacta 180cm Branco/Preto Diamante Madesa 86</v>
          </cell>
          <cell r="E1639" t="str">
            <v>DIAMANTE</v>
          </cell>
          <cell r="F1639" t="str">
            <v>COZINHA</v>
          </cell>
          <cell r="G1639" t="str">
            <v/>
          </cell>
          <cell r="H1639">
            <v>1519.99</v>
          </cell>
          <cell r="I1639">
            <v>999.99</v>
          </cell>
          <cell r="J1639">
            <v>813.4452</v>
          </cell>
          <cell r="K1639">
            <v>0</v>
          </cell>
          <cell r="L1639">
            <v>813.4452</v>
          </cell>
          <cell r="M1639">
            <v>0</v>
          </cell>
          <cell r="N1639">
            <v>999.99</v>
          </cell>
          <cell r="O1639" t="str">
            <v/>
          </cell>
          <cell r="P1639">
            <v>0</v>
          </cell>
          <cell r="Q1639">
            <v>0.22932681881951</v>
          </cell>
          <cell r="R1639">
            <v>0.22932681881951</v>
          </cell>
          <cell r="S1639" t="e">
            <v>#VALUE!</v>
          </cell>
          <cell r="T1639" t="e">
            <v>#VALUE!</v>
          </cell>
        </row>
        <row r="1640">
          <cell r="A1640" t="str">
            <v>1097D81E</v>
          </cell>
          <cell r="B1640" t="str">
            <v>MKP000631002479</v>
          </cell>
          <cell r="C1640" t="str">
            <v/>
          </cell>
          <cell r="D1640" t="str">
            <v>Guarda-Roupa Solteiro Madesa Tokio 2 Portas de Correr com Espelho 2 Gavetas Preto/Rustic</v>
          </cell>
          <cell r="E1640" t="str">
            <v>TOKIO</v>
          </cell>
          <cell r="F1640" t="str">
            <v>QUARTO</v>
          </cell>
          <cell r="G1640" t="str">
            <v/>
          </cell>
          <cell r="H1640">
            <v>1169.99</v>
          </cell>
          <cell r="I1640">
            <v>929.92</v>
          </cell>
          <cell r="J1640">
            <v>750.39959999999996</v>
          </cell>
          <cell r="K1640">
            <v>0</v>
          </cell>
          <cell r="L1640">
            <v>750.39959999999996</v>
          </cell>
          <cell r="M1640">
            <v>0</v>
          </cell>
          <cell r="N1640">
            <v>929.92</v>
          </cell>
          <cell r="O1640" t="str">
            <v/>
          </cell>
          <cell r="P1640">
            <v>0</v>
          </cell>
          <cell r="Q1640">
            <v>0.239233069953662</v>
          </cell>
          <cell r="R1640">
            <v>0.239233069953662</v>
          </cell>
          <cell r="S1640" t="e">
            <v>#VALUE!</v>
          </cell>
          <cell r="T1640" t="e">
            <v>#VALUE!</v>
          </cell>
        </row>
        <row r="1641">
          <cell r="A1641" t="str">
            <v>G236079RLX</v>
          </cell>
          <cell r="B1641" t="str">
            <v>MKP000631003248</v>
          </cell>
          <cell r="C1641" t="str">
            <v/>
          </cell>
          <cell r="D1641" t="str">
            <v>Paneleiro Madesa Lux 60 cm 3 Portas Branco/Cinza</v>
          </cell>
          <cell r="E1641" t="str">
            <v>LUX</v>
          </cell>
          <cell r="F1641" t="str">
            <v>MODULAÇÃO</v>
          </cell>
          <cell r="G1641" t="str">
            <v/>
          </cell>
          <cell r="H1641">
            <v>2009.99</v>
          </cell>
          <cell r="I1641">
            <v>1629.99</v>
          </cell>
          <cell r="J1641">
            <v>929.62829999999997</v>
          </cell>
          <cell r="K1641">
            <v>0</v>
          </cell>
          <cell r="L1641">
            <v>929.62829999999997</v>
          </cell>
          <cell r="M1641">
            <v>0</v>
          </cell>
          <cell r="N1641">
            <v>1629.99</v>
          </cell>
          <cell r="O1641" t="str">
            <v>LOJA</v>
          </cell>
          <cell r="P1641">
            <v>1619.99</v>
          </cell>
          <cell r="Q1641">
            <v>0.75337820503097797</v>
          </cell>
          <cell r="R1641">
            <v>0.75337820503097797</v>
          </cell>
          <cell r="S1641" t="e">
            <v>#VALUE!</v>
          </cell>
          <cell r="T1641" t="e">
            <v>#VALUE!</v>
          </cell>
        </row>
        <row r="1642">
          <cell r="A1642" t="str">
            <v>G228139RLX</v>
          </cell>
          <cell r="B1642" t="str">
            <v>MKP000631003242</v>
          </cell>
          <cell r="C1642" t="str">
            <v/>
          </cell>
          <cell r="D1642" t="str">
            <v>Balcão Madesa Lux 80 cm 2 Gavetas (Sem Tampo) Branco/Cinza</v>
          </cell>
          <cell r="E1642" t="str">
            <v>LUX</v>
          </cell>
          <cell r="F1642" t="str">
            <v>MODULAÇÃO</v>
          </cell>
          <cell r="G1642" t="str">
            <v/>
          </cell>
          <cell r="H1642">
            <v>1389.99</v>
          </cell>
          <cell r="I1642">
            <v>949.99</v>
          </cell>
          <cell r="J1642">
            <v>527.82159999999999</v>
          </cell>
          <cell r="K1642">
            <v>0</v>
          </cell>
          <cell r="L1642">
            <v>527.82159999999999</v>
          </cell>
          <cell r="M1642">
            <v>0</v>
          </cell>
          <cell r="N1642">
            <v>949.99</v>
          </cell>
          <cell r="O1642" t="str">
            <v>LOJA</v>
          </cell>
          <cell r="P1642">
            <v>939.99</v>
          </cell>
          <cell r="Q1642">
            <v>0.79983160977117995</v>
          </cell>
          <cell r="R1642">
            <v>0.79983160977117995</v>
          </cell>
          <cell r="S1642" t="e">
            <v>#VALUE!</v>
          </cell>
          <cell r="T1642" t="e">
            <v>#VALUE!</v>
          </cell>
        </row>
        <row r="1643">
          <cell r="A1643" t="str">
            <v>11186E1E</v>
          </cell>
          <cell r="B1643" t="str">
            <v>MKP000631002671</v>
          </cell>
          <cell r="C1643" t="str">
            <v/>
          </cell>
          <cell r="D1643" t="str">
            <v>Guarda-Roupa Casal Madesa Istambul 3 Portas de Correr com Espelho 3 Gavetas Rustic/Branco</v>
          </cell>
          <cell r="E1643" t="str">
            <v>ISTAMBUL</v>
          </cell>
          <cell r="F1643" t="str">
            <v>QUARTO</v>
          </cell>
          <cell r="G1643" t="str">
            <v/>
          </cell>
          <cell r="H1643">
            <v>2179.9899999999998</v>
          </cell>
          <cell r="I1643">
            <v>1639.92</v>
          </cell>
          <cell r="J1643">
            <v>1365.1922999999999</v>
          </cell>
          <cell r="K1643">
            <v>0</v>
          </cell>
          <cell r="L1643">
            <v>1365.1922999999999</v>
          </cell>
          <cell r="M1643">
            <v>0</v>
          </cell>
          <cell r="N1643">
            <v>1639.92</v>
          </cell>
          <cell r="O1643" t="str">
            <v/>
          </cell>
          <cell r="P1643">
            <v>0</v>
          </cell>
          <cell r="Q1643">
            <v>0.201237364142766</v>
          </cell>
          <cell r="R1643">
            <v>0.201237364142766</v>
          </cell>
          <cell r="S1643" t="e">
            <v>#VALUE!</v>
          </cell>
          <cell r="T1643" t="e">
            <v>#VALUE!</v>
          </cell>
        </row>
        <row r="1644">
          <cell r="A1644" t="str">
            <v>GCEM3250047K</v>
          </cell>
          <cell r="B1644" t="str">
            <v>MKP000631002205</v>
          </cell>
          <cell r="C1644" t="str">
            <v/>
          </cell>
          <cell r="D1644" t="str">
            <v>Armário de Cozinha Completa de Canto 325cm Rustic/Preto Emilly Wave Madesa 04</v>
          </cell>
          <cell r="E1644" t="str">
            <v>WAVE/EMILLY</v>
          </cell>
          <cell r="F1644" t="str">
            <v>COZINHA</v>
          </cell>
          <cell r="G1644" t="str">
            <v/>
          </cell>
          <cell r="H1644">
            <v>3019.99</v>
          </cell>
          <cell r="I1644">
            <v>1499.99</v>
          </cell>
          <cell r="J1644">
            <v>1240.4091000000001</v>
          </cell>
          <cell r="K1644">
            <v>0</v>
          </cell>
          <cell r="L1644">
            <v>1240.4091000000001</v>
          </cell>
          <cell r="M1644">
            <v>0</v>
          </cell>
          <cell r="N1644">
            <v>1499.99</v>
          </cell>
          <cell r="O1644" t="str">
            <v/>
          </cell>
          <cell r="P1644">
            <v>0</v>
          </cell>
          <cell r="Q1644">
            <v>0.209270393130782</v>
          </cell>
          <cell r="R1644">
            <v>0.209270393130782</v>
          </cell>
          <cell r="S1644" t="e">
            <v>#VALUE!</v>
          </cell>
          <cell r="T1644" t="e">
            <v>#VALUE!</v>
          </cell>
        </row>
        <row r="1645">
          <cell r="A1645" t="str">
            <v>GRGL2200025Z73</v>
          </cell>
          <cell r="B1645" t="str">
            <v>MKP000631002957</v>
          </cell>
          <cell r="C1645" t="str">
            <v/>
          </cell>
          <cell r="D1645" t="str">
            <v>Armário de Cozinha Completa 220cm Rustic/Branco/Preto Parma Madesa 02</v>
          </cell>
          <cell r="E1645" t="str">
            <v>PARMA/GLAMY</v>
          </cell>
          <cell r="F1645" t="str">
            <v>COZINHA</v>
          </cell>
          <cell r="G1645" t="str">
            <v/>
          </cell>
          <cell r="H1645">
            <v>1969.99</v>
          </cell>
          <cell r="I1645">
            <v>1869.99</v>
          </cell>
          <cell r="J1645">
            <v>1558.7654</v>
          </cell>
          <cell r="K1645">
            <v>0</v>
          </cell>
          <cell r="L1645">
            <v>1558.7654</v>
          </cell>
          <cell r="M1645">
            <v>0</v>
          </cell>
          <cell r="N1645">
            <v>1869.99</v>
          </cell>
          <cell r="O1645" t="str">
            <v/>
          </cell>
          <cell r="P1645">
            <v>0</v>
          </cell>
          <cell r="Q1645">
            <v>0.199660962451438</v>
          </cell>
          <cell r="R1645">
            <v>0.199660962451438</v>
          </cell>
          <cell r="S1645" t="e">
            <v>#VALUE!</v>
          </cell>
          <cell r="T1645" t="e">
            <v>#VALUE!</v>
          </cell>
        </row>
        <row r="1646">
          <cell r="A1646" t="str">
            <v>MDDR0200045Z</v>
          </cell>
          <cell r="B1646" t="str">
            <v>MKP000631000846</v>
          </cell>
          <cell r="C1646" t="str">
            <v/>
          </cell>
          <cell r="D1646" t="str">
            <v>Quarto Completo com Guarda-Roupa Luke 2 Portas de Espelho e Cabeceira com 2 Mesas de Cabeceira Madesa Rustic</v>
          </cell>
          <cell r="E1646" t="str">
            <v>LUKE</v>
          </cell>
          <cell r="F1646" t="str">
            <v>QUARTO</v>
          </cell>
          <cell r="G1646" t="str">
            <v/>
          </cell>
          <cell r="H1646">
            <v>1699.99</v>
          </cell>
          <cell r="I1646">
            <v>1599.99</v>
          </cell>
          <cell r="J1646">
            <v>1321.7994000000001</v>
          </cell>
          <cell r="K1646">
            <v>0</v>
          </cell>
          <cell r="L1646">
            <v>1321.7994000000001</v>
          </cell>
          <cell r="M1646">
            <v>0</v>
          </cell>
          <cell r="N1646">
            <v>1599.99</v>
          </cell>
          <cell r="O1646" t="str">
            <v/>
          </cell>
          <cell r="P1646">
            <v>0</v>
          </cell>
          <cell r="Q1646">
            <v>0.210463554454632</v>
          </cell>
          <cell r="R1646">
            <v>0.210463554454632</v>
          </cell>
          <cell r="S1646" t="e">
            <v>#VALUE!</v>
          </cell>
          <cell r="T1646" t="e">
            <v>#VALUE!</v>
          </cell>
        </row>
        <row r="1647">
          <cell r="A1647" t="str">
            <v>10639B1R</v>
          </cell>
          <cell r="B1647" t="str">
            <v>MKP000631000997</v>
          </cell>
          <cell r="C1647" t="str">
            <v/>
          </cell>
          <cell r="D1647" t="str">
            <v>Guarda-Roupa Casal 100% MDF Madesa Royale 3 Portas de Correr Branco/Branco/Rustic</v>
          </cell>
          <cell r="E1647" t="str">
            <v>ROYALE</v>
          </cell>
          <cell r="F1647" t="str">
            <v>QUARTO</v>
          </cell>
          <cell r="G1647" t="str">
            <v/>
          </cell>
          <cell r="H1647">
            <v>2469.9899999999998</v>
          </cell>
          <cell r="I1647">
            <v>1829.92</v>
          </cell>
          <cell r="J1647">
            <v>1551.3534</v>
          </cell>
          <cell r="K1647">
            <v>0</v>
          </cell>
          <cell r="L1647">
            <v>1551.3534</v>
          </cell>
          <cell r="M1647">
            <v>0</v>
          </cell>
          <cell r="N1647">
            <v>1829.92</v>
          </cell>
          <cell r="O1647" t="str">
            <v/>
          </cell>
          <cell r="P1647">
            <v>0</v>
          </cell>
          <cell r="Q1647">
            <v>0.179563599112878</v>
          </cell>
          <cell r="R1647">
            <v>0.179563599112878</v>
          </cell>
          <cell r="S1647" t="e">
            <v>#VALUE!</v>
          </cell>
          <cell r="T1647" t="e">
            <v>#VALUE!</v>
          </cell>
        </row>
        <row r="1648">
          <cell r="A1648" t="str">
            <v>XBGRGM1900019B</v>
          </cell>
          <cell r="B1648" t="str">
            <v>MKP000631003735</v>
          </cell>
          <cell r="C1648" t="str">
            <v/>
          </cell>
          <cell r="D1648" t="str">
            <v>Armário de Cozinha Compacta 100% MDF Madesa Acordes XB190001 com Balcão e Torre  Branco/Rustic</v>
          </cell>
          <cell r="E1648" t="str">
            <v>ACORDES</v>
          </cell>
          <cell r="F1648" t="str">
            <v>COZINHA</v>
          </cell>
          <cell r="G1648" t="str">
            <v/>
          </cell>
          <cell r="H1648">
            <v>2159.9899999999998</v>
          </cell>
          <cell r="I1648">
            <v>1539.92</v>
          </cell>
          <cell r="J1648">
            <v>1218.184</v>
          </cell>
          <cell r="K1648">
            <v>0</v>
          </cell>
          <cell r="L1648">
            <v>1218.184</v>
          </cell>
          <cell r="M1648">
            <v>0</v>
          </cell>
          <cell r="N1648">
            <v>1539.92</v>
          </cell>
          <cell r="O1648" t="str">
            <v/>
          </cell>
          <cell r="P1648">
            <v>0</v>
          </cell>
          <cell r="Q1648">
            <v>0.26411116875611601</v>
          </cell>
          <cell r="R1648">
            <v>0.26411116875611601</v>
          </cell>
          <cell r="S1648" t="e">
            <v>#VALUE!</v>
          </cell>
          <cell r="T1648" t="e">
            <v>#VALUE!</v>
          </cell>
        </row>
        <row r="1649">
          <cell r="A1649" t="str">
            <v>109373</v>
          </cell>
          <cell r="B1649" t="str">
            <v>MKP000631002095</v>
          </cell>
          <cell r="C1649" t="str">
            <v/>
          </cell>
          <cell r="D1649" t="str">
            <v>Guarda-Roupa Casal Madesa Mônaco 3 Portas de Correr Branco/Preto</v>
          </cell>
          <cell r="E1649" t="str">
            <v>MÔNACO</v>
          </cell>
          <cell r="F1649" t="str">
            <v>QUARTO</v>
          </cell>
          <cell r="G1649" t="str">
            <v/>
          </cell>
          <cell r="H1649">
            <v>1469.99</v>
          </cell>
          <cell r="I1649">
            <v>829.99</v>
          </cell>
          <cell r="J1649">
            <v>620.85310000000004</v>
          </cell>
          <cell r="K1649">
            <v>0</v>
          </cell>
          <cell r="L1649">
            <v>620.85310000000004</v>
          </cell>
          <cell r="M1649">
            <v>0</v>
          </cell>
          <cell r="N1649">
            <v>829.99</v>
          </cell>
          <cell r="O1649" t="str">
            <v>COLOMBO</v>
          </cell>
          <cell r="P1649">
            <v>799.99</v>
          </cell>
          <cell r="Q1649">
            <v>0.33685408029693298</v>
          </cell>
          <cell r="R1649">
            <v>0.33685408029693298</v>
          </cell>
          <cell r="S1649" t="e">
            <v>#VALUE!</v>
          </cell>
          <cell r="T1649" t="e">
            <v>#VALUE!</v>
          </cell>
        </row>
        <row r="1650">
          <cell r="A1650" t="str">
            <v>G2480209GL</v>
          </cell>
          <cell r="B1650" t="str">
            <v>MKP000631000850</v>
          </cell>
          <cell r="C1650" t="str">
            <v/>
          </cell>
          <cell r="D1650" t="str">
            <v>Balcão 80 cm 2 Gavetas Branco Glamy Madesa</v>
          </cell>
          <cell r="E1650" t="str">
            <v>GLAMY</v>
          </cell>
          <cell r="F1650" t="str">
            <v>MODULAÇÃO</v>
          </cell>
          <cell r="G1650" t="str">
            <v/>
          </cell>
          <cell r="H1650">
            <v>679.99</v>
          </cell>
          <cell r="I1650">
            <v>599.99</v>
          </cell>
          <cell r="J1650">
            <v>392.3673</v>
          </cell>
          <cell r="K1650">
            <v>0</v>
          </cell>
          <cell r="L1650">
            <v>392.3673</v>
          </cell>
          <cell r="M1650">
            <v>0</v>
          </cell>
          <cell r="N1650">
            <v>599.99</v>
          </cell>
          <cell r="O1650" t="str">
            <v/>
          </cell>
          <cell r="P1650">
            <v>0</v>
          </cell>
          <cell r="Q1650">
            <v>0.52915393306221004</v>
          </cell>
          <cell r="R1650">
            <v>0.52915393306221004</v>
          </cell>
          <cell r="S1650" t="e">
            <v>#VALUE!</v>
          </cell>
          <cell r="T1650" t="e">
            <v>#VALUE!</v>
          </cell>
        </row>
        <row r="1651">
          <cell r="A1651" t="str">
            <v>XAGRRM2500038N</v>
          </cell>
          <cell r="B1651" t="str">
            <v>MKP000631004585</v>
          </cell>
          <cell r="C1651" t="str">
            <v/>
          </cell>
          <cell r="D1651" t="str">
            <v>Armário de Cozinha Completa 250cm Preto Reims Madesa XA03</v>
          </cell>
          <cell r="E1651" t="str">
            <v>REIMS</v>
          </cell>
          <cell r="F1651" t="str">
            <v>COZINHA</v>
          </cell>
          <cell r="G1651" t="str">
            <v/>
          </cell>
          <cell r="H1651">
            <v>1469.99</v>
          </cell>
          <cell r="I1651">
            <v>1319.92</v>
          </cell>
          <cell r="J1651">
            <v>1046.9449999999999</v>
          </cell>
          <cell r="K1651">
            <v>0</v>
          </cell>
          <cell r="L1651">
            <v>1046.9449999999999</v>
          </cell>
          <cell r="M1651">
            <v>0</v>
          </cell>
          <cell r="N1651">
            <v>1319.92</v>
          </cell>
          <cell r="O1651" t="str">
            <v/>
          </cell>
          <cell r="P1651">
            <v>0</v>
          </cell>
          <cell r="Q1651">
            <v>0.26073480459814002</v>
          </cell>
          <cell r="R1651">
            <v>0.26073480459814002</v>
          </cell>
          <cell r="S1651" t="e">
            <v>#VALUE!</v>
          </cell>
          <cell r="T1651" t="e">
            <v>#VALUE!</v>
          </cell>
        </row>
        <row r="1652">
          <cell r="A1652" t="str">
            <v>GREM1370025Z</v>
          </cell>
          <cell r="B1652" t="str">
            <v>MKP000631001533</v>
          </cell>
          <cell r="C1652" t="str">
            <v/>
          </cell>
          <cell r="D1652" t="str">
            <v>Armário de Cozinha Compacta 137cm Rustic Emilly Force Madesa 02</v>
          </cell>
          <cell r="E1652" t="str">
            <v>FORCE/EMILLY</v>
          </cell>
          <cell r="F1652" t="str">
            <v>COZINHA</v>
          </cell>
          <cell r="G1652" t="str">
            <v/>
          </cell>
          <cell r="H1652">
            <v>1299.99</v>
          </cell>
          <cell r="I1652">
            <v>849.99</v>
          </cell>
          <cell r="J1652">
            <v>681.82770000000005</v>
          </cell>
          <cell r="K1652">
            <v>0</v>
          </cell>
          <cell r="L1652">
            <v>681.82770000000005</v>
          </cell>
          <cell r="M1652">
            <v>0</v>
          </cell>
          <cell r="N1652">
            <v>849.99</v>
          </cell>
          <cell r="O1652" t="str">
            <v/>
          </cell>
          <cell r="P1652">
            <v>0</v>
          </cell>
          <cell r="Q1652">
            <v>0.24663459698102599</v>
          </cell>
          <cell r="R1652">
            <v>0.24663459698102599</v>
          </cell>
          <cell r="S1652" t="e">
            <v>#VALUE!</v>
          </cell>
          <cell r="T1652" t="e">
            <v>#VALUE!</v>
          </cell>
        </row>
        <row r="1653">
          <cell r="A1653" t="str">
            <v>GRRM32000109</v>
          </cell>
          <cell r="B1653" t="str">
            <v>MKP000631002234</v>
          </cell>
          <cell r="C1653" t="str">
            <v/>
          </cell>
          <cell r="D1653" t="str">
            <v>Armário de Cozinha Completa 320cm Branco Reims Madesa 01</v>
          </cell>
          <cell r="E1653" t="str">
            <v>REIMS</v>
          </cell>
          <cell r="F1653" t="str">
            <v>COZINHA</v>
          </cell>
          <cell r="G1653" t="str">
            <v/>
          </cell>
          <cell r="H1653">
            <v>2719.99</v>
          </cell>
          <cell r="I1653">
            <v>1819.99</v>
          </cell>
          <cell r="J1653">
            <v>1443.0509999999999</v>
          </cell>
          <cell r="K1653">
            <v>0</v>
          </cell>
          <cell r="L1653">
            <v>1443.0509999999999</v>
          </cell>
          <cell r="M1653">
            <v>0</v>
          </cell>
          <cell r="N1653">
            <v>1819.99</v>
          </cell>
          <cell r="O1653" t="str">
            <v>LOJA</v>
          </cell>
          <cell r="P1653">
            <v>1599.99</v>
          </cell>
          <cell r="Q1653">
            <v>0.26120975627333998</v>
          </cell>
          <cell r="R1653">
            <v>0.26120975627333998</v>
          </cell>
          <cell r="S1653" t="e">
            <v>#VALUE!</v>
          </cell>
          <cell r="T1653" t="e">
            <v>#VALUE!</v>
          </cell>
        </row>
        <row r="1654">
          <cell r="A1654" t="str">
            <v>GRAG290006F8</v>
          </cell>
          <cell r="B1654" t="str">
            <v>MKP000631004549</v>
          </cell>
          <cell r="C1654" t="str">
            <v/>
          </cell>
          <cell r="D1654" t="str">
            <v>Armário de Cozinha Completa 290cm Branco Cinza Agata Madesa 06</v>
          </cell>
          <cell r="E1654" t="str">
            <v>ÁGATA</v>
          </cell>
          <cell r="F1654" t="str">
            <v>COZINHA</v>
          </cell>
          <cell r="G1654" t="str">
            <v/>
          </cell>
          <cell r="H1654">
            <v>2699.99</v>
          </cell>
          <cell r="I1654">
            <v>2599.9899999999998</v>
          </cell>
          <cell r="J1654">
            <v>2080.6356000000001</v>
          </cell>
          <cell r="K1654">
            <v>0</v>
          </cell>
          <cell r="L1654">
            <v>2080.6356000000001</v>
          </cell>
          <cell r="M1654">
            <v>0</v>
          </cell>
          <cell r="N1654">
            <v>2599.9899999999998</v>
          </cell>
          <cell r="O1654" t="str">
            <v/>
          </cell>
          <cell r="P1654">
            <v>0</v>
          </cell>
          <cell r="Q1654">
            <v>0.24961333930842999</v>
          </cell>
          <cell r="R1654">
            <v>0.24961333930842999</v>
          </cell>
          <cell r="S1654" t="e">
            <v>#VALUE!</v>
          </cell>
          <cell r="T1654" t="e">
            <v>#VALUE!</v>
          </cell>
        </row>
        <row r="1655">
          <cell r="A1655" t="str">
            <v>GRAG280001F9</v>
          </cell>
          <cell r="B1655" t="str">
            <v>MKP000631002591</v>
          </cell>
          <cell r="C1655" t="str">
            <v/>
          </cell>
          <cell r="D1655" t="str">
            <v>Armário de Cozinha Compacta 280cm Rustic/Cinza Agata Madesa 01</v>
          </cell>
          <cell r="E1655" t="str">
            <v>ÁGATA</v>
          </cell>
          <cell r="F1655" t="str">
            <v>COZINHA</v>
          </cell>
          <cell r="G1655" t="str">
            <v/>
          </cell>
          <cell r="H1655">
            <v>1299.99</v>
          </cell>
          <cell r="I1655">
            <v>1199.99</v>
          </cell>
          <cell r="J1655">
            <v>1012.2067</v>
          </cell>
          <cell r="K1655">
            <v>0</v>
          </cell>
          <cell r="L1655">
            <v>1012.2067</v>
          </cell>
          <cell r="M1655">
            <v>0</v>
          </cell>
          <cell r="N1655">
            <v>1199.99</v>
          </cell>
          <cell r="O1655" t="str">
            <v/>
          </cell>
          <cell r="P1655">
            <v>0</v>
          </cell>
          <cell r="Q1655">
            <v>0.18551872853637499</v>
          </cell>
          <cell r="R1655">
            <v>0.18551872853637499</v>
          </cell>
          <cell r="S1655" t="e">
            <v>#VALUE!</v>
          </cell>
          <cell r="T1655" t="e">
            <v>#VALUE!</v>
          </cell>
        </row>
        <row r="1656">
          <cell r="A1656" t="str">
            <v>MDJA060136F9SM</v>
          </cell>
          <cell r="B1656" t="str">
            <v>MKP000631005293</v>
          </cell>
          <cell r="C1656" t="str">
            <v/>
          </cell>
          <cell r="D1656" t="str">
            <v>Conjunto Sala de Jantar Mesa Tampo de Vidro 6 Cadeiras Rustic/Cinza/Imperial Alexis Madesa</v>
          </cell>
          <cell r="E1656" t="str">
            <v>ALEXIS</v>
          </cell>
          <cell r="F1656" t="str">
            <v>SALA DE JANTAR</v>
          </cell>
          <cell r="G1656">
            <v>4255</v>
          </cell>
          <cell r="H1656">
            <v>1739.99</v>
          </cell>
          <cell r="I1656">
            <v>1639.99</v>
          </cell>
          <cell r="J1656">
            <v>1296.7293999999999</v>
          </cell>
          <cell r="K1656">
            <v>0</v>
          </cell>
          <cell r="L1656">
            <v>1296.7293999999999</v>
          </cell>
          <cell r="M1656">
            <v>0</v>
          </cell>
          <cell r="N1656">
            <v>1639.99</v>
          </cell>
          <cell r="O1656" t="str">
            <v/>
          </cell>
          <cell r="P1656">
            <v>0</v>
          </cell>
          <cell r="Q1656">
            <v>0.264712591539916</v>
          </cell>
          <cell r="R1656">
            <v>0.264712591539916</v>
          </cell>
          <cell r="S1656" t="e">
            <v>#VALUE!</v>
          </cell>
          <cell r="T1656" t="e">
            <v>#VALUE!</v>
          </cell>
        </row>
        <row r="1657">
          <cell r="A1657" t="str">
            <v>MDES0200160909</v>
          </cell>
          <cell r="B1657" t="str">
            <v>MKP000631005982</v>
          </cell>
          <cell r="C1657" t="str">
            <v/>
          </cell>
          <cell r="D1657" t="str">
            <v>Rack com Painel para TV até 65 Polegadas com Pés Branco Texas Madesa</v>
          </cell>
          <cell r="E1657" t="str">
            <v>TEXAS</v>
          </cell>
          <cell r="F1657" t="str">
            <v>SALA DE ESTAR</v>
          </cell>
          <cell r="G1657" t="str">
            <v/>
          </cell>
          <cell r="H1657">
            <v>549.99</v>
          </cell>
          <cell r="I1657">
            <v>449.99</v>
          </cell>
          <cell r="J1657">
            <v>327.30520000000001</v>
          </cell>
          <cell r="K1657">
            <v>0</v>
          </cell>
          <cell r="L1657">
            <v>327.30520000000001</v>
          </cell>
          <cell r="M1657">
            <v>0</v>
          </cell>
          <cell r="N1657">
            <v>449.99</v>
          </cell>
          <cell r="O1657" t="str">
            <v/>
          </cell>
          <cell r="P1657">
            <v>0</v>
          </cell>
          <cell r="Q1657">
            <v>0.37483303045597799</v>
          </cell>
          <cell r="R1657">
            <v>0.37483303045597799</v>
          </cell>
          <cell r="S1657" t="e">
            <v>#VALUE!</v>
          </cell>
          <cell r="T1657" t="e">
            <v>#VALUE!</v>
          </cell>
        </row>
        <row r="1658">
          <cell r="A1658" t="str">
            <v>GRLX2600019R</v>
          </cell>
          <cell r="B1658" t="str">
            <v>MKP000631003342</v>
          </cell>
          <cell r="C1658" t="str">
            <v/>
          </cell>
          <cell r="D1658" t="str">
            <v>Armário de Cozinha Completa 260cm Branco/Cinza Lux Madesa 01</v>
          </cell>
          <cell r="E1658" t="str">
            <v>LUX</v>
          </cell>
          <cell r="F1658" t="str">
            <v>COZINHA</v>
          </cell>
          <cell r="G1658" t="str">
            <v/>
          </cell>
          <cell r="H1658">
            <v>4709.99</v>
          </cell>
          <cell r="I1658">
            <v>4639.99</v>
          </cell>
          <cell r="J1658">
            <v>2919.0853999999999</v>
          </cell>
          <cell r="K1658">
            <v>0</v>
          </cell>
          <cell r="L1658">
            <v>2919.0853999999999</v>
          </cell>
          <cell r="M1658">
            <v>0</v>
          </cell>
          <cell r="N1658">
            <v>4639.99</v>
          </cell>
          <cell r="O1658" t="str">
            <v>LOJA</v>
          </cell>
          <cell r="P1658">
            <v>4079.99</v>
          </cell>
          <cell r="Q1658">
            <v>0.58953554424957899</v>
          </cell>
          <cell r="R1658">
            <v>0.58953554424957899</v>
          </cell>
          <cell r="S1658" t="e">
            <v>#VALUE!</v>
          </cell>
          <cell r="T1658" t="e">
            <v>#VALUE!</v>
          </cell>
        </row>
        <row r="1659">
          <cell r="A1659" t="str">
            <v>10959B</v>
          </cell>
          <cell r="B1659" t="str">
            <v>MKP000631002069</v>
          </cell>
          <cell r="C1659" t="str">
            <v/>
          </cell>
          <cell r="D1659" t="str">
            <v>Guarda-Roupa Casal Madesa Reno 3 Portas de Correr Branco/Rustic</v>
          </cell>
          <cell r="E1659" t="str">
            <v>RENO</v>
          </cell>
          <cell r="F1659" t="str">
            <v>QUARTO</v>
          </cell>
          <cell r="G1659" t="str">
            <v/>
          </cell>
          <cell r="H1659">
            <v>1469.99</v>
          </cell>
          <cell r="I1659">
            <v>1089.92</v>
          </cell>
          <cell r="J1659">
            <v>918.40129999999999</v>
          </cell>
          <cell r="K1659">
            <v>0</v>
          </cell>
          <cell r="L1659">
            <v>918.40129999999999</v>
          </cell>
          <cell r="M1659">
            <v>0</v>
          </cell>
          <cell r="N1659">
            <v>1089.92</v>
          </cell>
          <cell r="O1659" t="str">
            <v/>
          </cell>
          <cell r="P1659">
            <v>0</v>
          </cell>
          <cell r="Q1659">
            <v>0.18675790201952</v>
          </cell>
          <cell r="R1659">
            <v>0.18675790201952</v>
          </cell>
          <cell r="S1659" t="e">
            <v>#VALUE!</v>
          </cell>
          <cell r="T1659" t="e">
            <v>#VALUE!</v>
          </cell>
        </row>
        <row r="1660">
          <cell r="A1660" t="str">
            <v>10287K2E</v>
          </cell>
          <cell r="B1660" t="str">
            <v>MKP000631003470</v>
          </cell>
          <cell r="C1660" t="str">
            <v/>
          </cell>
          <cell r="D1660" t="str">
            <v>Guarda-Roupa Casal Madesa Austin 4 Portas de Correr com Espelhos 3 Gavetas Rustic/Preto</v>
          </cell>
          <cell r="E1660" t="str">
            <v>AUSTIN</v>
          </cell>
          <cell r="F1660" t="str">
            <v>QUARTO</v>
          </cell>
          <cell r="G1660" t="str">
            <v/>
          </cell>
          <cell r="H1660">
            <v>2069.9899999999998</v>
          </cell>
          <cell r="I1660">
            <v>1749.99</v>
          </cell>
          <cell r="J1660">
            <v>1393.0853999999999</v>
          </cell>
          <cell r="K1660">
            <v>0</v>
          </cell>
          <cell r="L1660">
            <v>1393.0853999999999</v>
          </cell>
          <cell r="M1660">
            <v>0</v>
          </cell>
          <cell r="N1660">
            <v>1749.99</v>
          </cell>
          <cell r="O1660" t="str">
            <v>CARREFOUR</v>
          </cell>
          <cell r="P1660">
            <v>1629.99</v>
          </cell>
          <cell r="Q1660">
            <v>0.256197215188674</v>
          </cell>
          <cell r="R1660">
            <v>0.256197215188674</v>
          </cell>
          <cell r="S1660" t="e">
            <v>#VALUE!</v>
          </cell>
          <cell r="T1660" t="e">
            <v>#VALUE!</v>
          </cell>
        </row>
        <row r="1661">
          <cell r="A1661" t="str">
            <v>GRRM26000609</v>
          </cell>
          <cell r="B1661" t="str">
            <v>MKP000631003246</v>
          </cell>
          <cell r="C1661" t="str">
            <v/>
          </cell>
          <cell r="D1661" t="str">
            <v>Armário de Cozinha Completa 260cm Branco Reims Madesa 06</v>
          </cell>
          <cell r="E1661" t="str">
            <v>REIMS</v>
          </cell>
          <cell r="F1661" t="str">
            <v>COZINHA</v>
          </cell>
          <cell r="G1661" t="str">
            <v/>
          </cell>
          <cell r="H1661">
            <v>2779.99</v>
          </cell>
          <cell r="I1661">
            <v>1789.92</v>
          </cell>
          <cell r="J1661">
            <v>1572.6629</v>
          </cell>
          <cell r="K1661">
            <v>0</v>
          </cell>
          <cell r="L1661">
            <v>1572.6629</v>
          </cell>
          <cell r="M1661">
            <v>0</v>
          </cell>
          <cell r="N1661">
            <v>1789.92</v>
          </cell>
          <cell r="O1661" t="str">
            <v/>
          </cell>
          <cell r="P1661">
            <v>0</v>
          </cell>
          <cell r="Q1661">
            <v>0.13814600700506099</v>
          </cell>
          <cell r="R1661">
            <v>0.13814600700506099</v>
          </cell>
          <cell r="S1661" t="e">
            <v>#VALUE!</v>
          </cell>
          <cell r="T1661" t="e">
            <v>#VALUE!</v>
          </cell>
        </row>
        <row r="1662">
          <cell r="A1662" t="str">
            <v>70038N1-1E</v>
          </cell>
          <cell r="B1662" t="str">
            <v>MKP000631001176</v>
          </cell>
          <cell r="C1662" t="str">
            <v/>
          </cell>
          <cell r="D1662" t="str">
            <v>Rack com Painel para TV até 65 Polegadas Madesa London 1 Porta com Espelho Preto</v>
          </cell>
          <cell r="E1662" t="str">
            <v>LONDON</v>
          </cell>
          <cell r="F1662" t="str">
            <v>SALA DE ESTAR</v>
          </cell>
          <cell r="G1662" t="str">
            <v/>
          </cell>
          <cell r="H1662">
            <v>979.99</v>
          </cell>
          <cell r="I1662">
            <v>519.91999999999996</v>
          </cell>
          <cell r="J1662">
            <v>397.53390000000002</v>
          </cell>
          <cell r="K1662">
            <v>0</v>
          </cell>
          <cell r="L1662">
            <v>397.53390000000002</v>
          </cell>
          <cell r="M1662">
            <v>0</v>
          </cell>
          <cell r="N1662">
            <v>519.91999999999996</v>
          </cell>
          <cell r="O1662" t="str">
            <v/>
          </cell>
          <cell r="P1662" t="e">
            <v>#VALUE!</v>
          </cell>
          <cell r="Q1662">
            <v>0.30786330423644398</v>
          </cell>
          <cell r="R1662">
            <v>0.30786330423644398</v>
          </cell>
          <cell r="S1662" t="e">
            <v>#VALUE!</v>
          </cell>
          <cell r="T1662" t="e">
            <v>#VALUE!</v>
          </cell>
        </row>
        <row r="1663">
          <cell r="A1663" t="str">
            <v>XA1063091ECP</v>
          </cell>
          <cell r="B1663" t="str">
            <v>MKP000631001469</v>
          </cell>
          <cell r="C1663" t="str">
            <v/>
          </cell>
          <cell r="D1663" t="str">
            <v>Guarda-Roupa Infantil Madesa Logan 100% MDF 3 Portas de Correr com Espelho com Pés Branco</v>
          </cell>
          <cell r="E1663" t="str">
            <v>LOGAN</v>
          </cell>
          <cell r="F1663" t="str">
            <v>QUARTO</v>
          </cell>
          <cell r="G1663" t="str">
            <v/>
          </cell>
          <cell r="H1663">
            <v>2789.99</v>
          </cell>
          <cell r="I1663">
            <v>2119.92</v>
          </cell>
          <cell r="J1663">
            <v>1838.7973</v>
          </cell>
          <cell r="K1663">
            <v>0</v>
          </cell>
          <cell r="L1663">
            <v>1838.7973</v>
          </cell>
          <cell r="M1663">
            <v>0</v>
          </cell>
          <cell r="N1663">
            <v>2119.92</v>
          </cell>
          <cell r="O1663" t="str">
            <v/>
          </cell>
          <cell r="P1663">
            <v>0</v>
          </cell>
          <cell r="Q1663">
            <v>0.15288400738895999</v>
          </cell>
          <cell r="R1663">
            <v>0.15288400738895999</v>
          </cell>
          <cell r="S1663" t="e">
            <v>#VALUE!</v>
          </cell>
          <cell r="T1663" t="e">
            <v>#VALUE!</v>
          </cell>
        </row>
        <row r="1664">
          <cell r="A1664" t="str">
            <v>MDJA0401155ZSIM</v>
          </cell>
          <cell r="B1664" t="str">
            <v>MKP000631004165</v>
          </cell>
          <cell r="C1664" t="str">
            <v/>
          </cell>
          <cell r="D1664" t="str">
            <v>Conjunto Sala de Jantar Madesa Iris Mesa Tampo de Vidro Redondo com 4 Cadeiras Rustic/Imperial</v>
          </cell>
          <cell r="E1664" t="str">
            <v>IRIS</v>
          </cell>
          <cell r="F1664" t="str">
            <v>SALA DE JANTAR</v>
          </cell>
          <cell r="G1664">
            <v>4254</v>
          </cell>
          <cell r="H1664">
            <v>1539.9</v>
          </cell>
          <cell r="I1664">
            <v>1289.99</v>
          </cell>
          <cell r="J1664">
            <v>1021.9949</v>
          </cell>
          <cell r="K1664">
            <v>0</v>
          </cell>
          <cell r="L1664">
            <v>1021.9949</v>
          </cell>
          <cell r="M1664">
            <v>0</v>
          </cell>
          <cell r="N1664">
            <v>1289.99</v>
          </cell>
          <cell r="O1664" t="str">
            <v>B2W</v>
          </cell>
          <cell r="P1664">
            <v>1269.99</v>
          </cell>
          <cell r="Q1664">
            <v>0.26222743381596098</v>
          </cell>
          <cell r="R1664">
            <v>0.26222743381596098</v>
          </cell>
          <cell r="S1664" t="e">
            <v>#VALUE!</v>
          </cell>
          <cell r="T1664" t="e">
            <v>#VALUE!</v>
          </cell>
        </row>
        <row r="1665">
          <cell r="A1665" t="str">
            <v>XAG20086095Z</v>
          </cell>
          <cell r="B1665" t="str">
            <v>MKP000631003293</v>
          </cell>
          <cell r="C1665" t="str">
            <v/>
          </cell>
          <cell r="D1665" t="str">
            <v>Armário de Cozinha Compacta Madesa Topazio com Balcão e Tampo Branco/Rustic</v>
          </cell>
          <cell r="E1665" t="str">
            <v>TOPÁZIO</v>
          </cell>
          <cell r="F1665" t="str">
            <v>COZINHA</v>
          </cell>
          <cell r="G1665" t="str">
            <v/>
          </cell>
          <cell r="H1665">
            <v>1419.99</v>
          </cell>
          <cell r="I1665">
            <v>1119.92</v>
          </cell>
          <cell r="J1665">
            <v>820.06150000000002</v>
          </cell>
          <cell r="K1665">
            <v>0</v>
          </cell>
          <cell r="L1665">
            <v>820.06150000000002</v>
          </cell>
          <cell r="M1665">
            <v>0</v>
          </cell>
          <cell r="N1665">
            <v>1119.92</v>
          </cell>
          <cell r="O1665" t="str">
            <v/>
          </cell>
          <cell r="P1665">
            <v>0</v>
          </cell>
          <cell r="Q1665">
            <v>0.36565367353546002</v>
          </cell>
          <cell r="R1665">
            <v>0.36565367353546002</v>
          </cell>
          <cell r="S1665" t="e">
            <v>#VALUE!</v>
          </cell>
          <cell r="T1665" t="e">
            <v>#VALUE!</v>
          </cell>
        </row>
        <row r="1666">
          <cell r="A1666" t="str">
            <v>G27080H8LX</v>
          </cell>
          <cell r="B1666" t="str">
            <v>MKP000631004691</v>
          </cell>
          <cell r="C1666" t="str">
            <v/>
          </cell>
          <cell r="D1666" t="str">
            <v>Porta-Geladeira Madesa Lux 1 Porta Basculante Rustic/Branco Veludo</v>
          </cell>
          <cell r="E1666" t="str">
            <v>LUX</v>
          </cell>
          <cell r="F1666" t="str">
            <v>MODULAÇÃO</v>
          </cell>
          <cell r="G1666" t="str">
            <v/>
          </cell>
          <cell r="H1666">
            <v>1059.99</v>
          </cell>
          <cell r="I1666">
            <v>739.99</v>
          </cell>
          <cell r="J1666">
            <v>378.67689999999999</v>
          </cell>
          <cell r="K1666">
            <v>0</v>
          </cell>
          <cell r="L1666">
            <v>378.67689999999999</v>
          </cell>
          <cell r="M1666">
            <v>0</v>
          </cell>
          <cell r="N1666">
            <v>739.99</v>
          </cell>
          <cell r="O1666" t="str">
            <v>LOJA</v>
          </cell>
          <cell r="P1666">
            <v>729.99</v>
          </cell>
          <cell r="Q1666">
            <v>0.95414613355079203</v>
          </cell>
          <cell r="R1666">
            <v>0.95414613355079203</v>
          </cell>
          <cell r="S1666" t="e">
            <v>#VALUE!</v>
          </cell>
          <cell r="T1666" t="e">
            <v>#VALUE!</v>
          </cell>
        </row>
        <row r="1667">
          <cell r="A1667" t="str">
            <v>MDMU02000149</v>
          </cell>
          <cell r="B1667" t="str">
            <v>MKP000631006061</v>
          </cell>
          <cell r="C1667" t="str">
            <v/>
          </cell>
          <cell r="D1667" t="str">
            <v>Armário Gabinete para Banheiro 140cm 2 Portas 3 Gavetas Branco Madesa</v>
          </cell>
          <cell r="E1667" t="str">
            <v>GLAMY</v>
          </cell>
          <cell r="F1667" t="str">
            <v>COZINHA</v>
          </cell>
          <cell r="G1667" t="str">
            <v/>
          </cell>
          <cell r="H1667">
            <v>1259.99</v>
          </cell>
          <cell r="I1667">
            <v>1059.99</v>
          </cell>
          <cell r="J1667">
            <v>727.37879999999996</v>
          </cell>
          <cell r="K1667">
            <v>0</v>
          </cell>
          <cell r="L1667">
            <v>727.37879999999996</v>
          </cell>
          <cell r="M1667">
            <v>0</v>
          </cell>
          <cell r="N1667">
            <v>1059.99</v>
          </cell>
          <cell r="O1667" t="str">
            <v>MADEIRAMADEIRA</v>
          </cell>
          <cell r="P1667">
            <v>879.99</v>
          </cell>
          <cell r="Q1667">
            <v>0.45727370662988798</v>
          </cell>
          <cell r="R1667">
            <v>0.45727370662988798</v>
          </cell>
          <cell r="S1667" t="e">
            <v>#VALUE!</v>
          </cell>
          <cell r="T1667" t="e">
            <v>#VALUE!</v>
          </cell>
        </row>
        <row r="1668">
          <cell r="A1668" t="str">
            <v>69073Z1</v>
          </cell>
          <cell r="B1668" t="str">
            <v>MKP000631002611</v>
          </cell>
          <cell r="C1668" t="str">
            <v/>
          </cell>
          <cell r="D1668" t="str">
            <v>Estante Livreiro Madesa 6907 com 3 Nichos Cinza</v>
          </cell>
          <cell r="E1668">
            <v>6907</v>
          </cell>
          <cell r="F1668" t="str">
            <v>ESCRITÓRIO</v>
          </cell>
          <cell r="G1668" t="str">
            <v/>
          </cell>
          <cell r="H1668">
            <v>409.99</v>
          </cell>
          <cell r="I1668">
            <v>249.92</v>
          </cell>
          <cell r="J1668">
            <v>154.5402</v>
          </cell>
          <cell r="K1668">
            <v>0</v>
          </cell>
          <cell r="L1668">
            <v>154.5402</v>
          </cell>
          <cell r="M1668">
            <v>0</v>
          </cell>
          <cell r="N1668">
            <v>249.92</v>
          </cell>
          <cell r="O1668" t="str">
            <v/>
          </cell>
          <cell r="P1668">
            <v>0</v>
          </cell>
          <cell r="Q1668">
            <v>0.61718439603417097</v>
          </cell>
          <cell r="R1668">
            <v>0.61718439603417097</v>
          </cell>
          <cell r="S1668" t="e">
            <v>#VALUE!</v>
          </cell>
          <cell r="T1668" t="e">
            <v>#VALUE!</v>
          </cell>
        </row>
        <row r="1669">
          <cell r="A1669" t="str">
            <v>MDJA0401175ZBE</v>
          </cell>
          <cell r="B1669" t="str">
            <v>MKP000631004167</v>
          </cell>
          <cell r="C1669" t="str">
            <v/>
          </cell>
          <cell r="D1669" t="str">
            <v>Conjunto Sala de Jantar Madesa Paula Mesa Tampo de Vidro Redondo 4 Cadeiras Rustic/Bege</v>
          </cell>
          <cell r="E1669" t="str">
            <v>PAULA</v>
          </cell>
          <cell r="F1669" t="str">
            <v>SALA DE JANTAR</v>
          </cell>
          <cell r="G1669" t="str">
            <v>4290X</v>
          </cell>
          <cell r="H1669">
            <v>869.99</v>
          </cell>
          <cell r="I1669">
            <v>769.99</v>
          </cell>
          <cell r="J1669">
            <v>616.90729999999996</v>
          </cell>
          <cell r="K1669">
            <v>0</v>
          </cell>
          <cell r="L1669">
            <v>616.90729999999996</v>
          </cell>
          <cell r="M1669">
            <v>0</v>
          </cell>
          <cell r="N1669">
            <v>769.99</v>
          </cell>
          <cell r="O1669" t="str">
            <v/>
          </cell>
          <cell r="P1669">
            <v>0</v>
          </cell>
          <cell r="Q1669">
            <v>0.24814538586267301</v>
          </cell>
          <cell r="R1669">
            <v>0.24814538586267301</v>
          </cell>
          <cell r="S1669" t="e">
            <v>#VALUE!</v>
          </cell>
          <cell r="T1669" t="e">
            <v>#VALUE!</v>
          </cell>
        </row>
        <row r="1670">
          <cell r="A1670" t="str">
            <v>GCEM3530019B</v>
          </cell>
          <cell r="B1670" t="str">
            <v>MKP000631000449</v>
          </cell>
          <cell r="C1670" t="str">
            <v/>
          </cell>
          <cell r="D1670" t="str">
            <v>Armário de Cozinha Completa de Canto 353cm Rustic/Branco Emilly Sun Madesa 01</v>
          </cell>
          <cell r="E1670" t="str">
            <v>SUN/EMILLY</v>
          </cell>
          <cell r="F1670" t="str">
            <v>COZINHA</v>
          </cell>
          <cell r="G1670" t="str">
            <v/>
          </cell>
          <cell r="H1670">
            <v>2349.9899999999998</v>
          </cell>
          <cell r="I1670">
            <v>1229.92</v>
          </cell>
          <cell r="J1670">
            <v>959.65779999999995</v>
          </cell>
          <cell r="K1670">
            <v>0</v>
          </cell>
          <cell r="L1670">
            <v>959.65779999999995</v>
          </cell>
          <cell r="M1670">
            <v>0</v>
          </cell>
          <cell r="N1670">
            <v>1229.92</v>
          </cell>
          <cell r="O1670" t="str">
            <v/>
          </cell>
          <cell r="P1670">
            <v>0</v>
          </cell>
          <cell r="Q1670">
            <v>0.28162351204773201</v>
          </cell>
          <cell r="R1670">
            <v>0.28162351204773201</v>
          </cell>
          <cell r="S1670" t="e">
            <v>#VALUE!</v>
          </cell>
          <cell r="T1670" t="e">
            <v>#VALUE!</v>
          </cell>
        </row>
        <row r="1671">
          <cell r="A1671" t="str">
            <v>GREM1690047K</v>
          </cell>
          <cell r="B1671" t="str">
            <v>MKP000631001824</v>
          </cell>
          <cell r="C1671" t="str">
            <v/>
          </cell>
          <cell r="D1671" t="str">
            <v>Armário de Cozinha Completa 169cm Rustic/Preto Emilly Drive Madesa 04</v>
          </cell>
          <cell r="E1671" t="str">
            <v>DRIVE/EMILLY</v>
          </cell>
          <cell r="F1671" t="str">
            <v>COZINHA</v>
          </cell>
          <cell r="G1671" t="str">
            <v/>
          </cell>
          <cell r="H1671">
            <v>1819.99</v>
          </cell>
          <cell r="I1671">
            <v>1049.92</v>
          </cell>
          <cell r="J1671">
            <v>751.46780000000001</v>
          </cell>
          <cell r="K1671">
            <v>0</v>
          </cell>
          <cell r="L1671">
            <v>751.46780000000001</v>
          </cell>
          <cell r="M1671">
            <v>0</v>
          </cell>
          <cell r="N1671">
            <v>1049.92</v>
          </cell>
          <cell r="O1671" t="str">
            <v/>
          </cell>
          <cell r="P1671">
            <v>0</v>
          </cell>
          <cell r="Q1671">
            <v>0.39715900002634902</v>
          </cell>
          <cell r="R1671">
            <v>0.39715900002634902</v>
          </cell>
          <cell r="S1671" t="e">
            <v>#VALUE!</v>
          </cell>
          <cell r="T1671" t="e">
            <v>#VALUE!</v>
          </cell>
        </row>
        <row r="1672">
          <cell r="A1672" t="str">
            <v>XAGRRM26000909</v>
          </cell>
          <cell r="B1672" t="str">
            <v>MKP000631004139</v>
          </cell>
          <cell r="C1672" t="str">
            <v/>
          </cell>
          <cell r="D1672" t="str">
            <v>Armário de Cozinha Completa 260cm Branco Reims Madesa 09</v>
          </cell>
          <cell r="E1672" t="str">
            <v>REIMS</v>
          </cell>
          <cell r="F1672" t="str">
            <v>COZINHA</v>
          </cell>
          <cell r="G1672" t="str">
            <v/>
          </cell>
          <cell r="H1672">
            <v>1369.99</v>
          </cell>
          <cell r="I1672">
            <v>1189.99</v>
          </cell>
          <cell r="J1672">
            <v>1022.5944</v>
          </cell>
          <cell r="K1672">
            <v>0</v>
          </cell>
          <cell r="L1672">
            <v>1022.5944</v>
          </cell>
          <cell r="M1672">
            <v>0</v>
          </cell>
          <cell r="N1672">
            <v>1189.99</v>
          </cell>
          <cell r="O1672" t="str">
            <v>AMAZON</v>
          </cell>
          <cell r="P1672">
            <v>1199.99</v>
          </cell>
          <cell r="Q1672">
            <v>0.16369696528750799</v>
          </cell>
          <cell r="R1672">
            <v>0.16369696528750799</v>
          </cell>
          <cell r="S1672" t="e">
            <v>#VALUE!</v>
          </cell>
          <cell r="T1672" t="e">
            <v>#VALUE!</v>
          </cell>
        </row>
        <row r="1673">
          <cell r="A1673" t="str">
            <v>1094731E2G</v>
          </cell>
          <cell r="B1673" t="str">
            <v>MKP000631002018</v>
          </cell>
          <cell r="C1673" t="str">
            <v/>
          </cell>
          <cell r="D1673" t="str">
            <v>Guarda-Roupa Solteiro Madesa Dallas 2 Portas de Correr com Espelho 2 Gavetas Branco/Preto</v>
          </cell>
          <cell r="E1673" t="str">
            <v>DALLAS</v>
          </cell>
          <cell r="F1673" t="str">
            <v>QUARTO</v>
          </cell>
          <cell r="G1673" t="str">
            <v/>
          </cell>
          <cell r="H1673">
            <v>1169.99</v>
          </cell>
          <cell r="I1673">
            <v>839.92</v>
          </cell>
          <cell r="J1673">
            <v>693.77409999999998</v>
          </cell>
          <cell r="K1673">
            <v>0</v>
          </cell>
          <cell r="L1673">
            <v>693.77409999999998</v>
          </cell>
          <cell r="M1673">
            <v>0</v>
          </cell>
          <cell r="N1673">
            <v>839.92</v>
          </cell>
          <cell r="O1673" t="str">
            <v/>
          </cell>
          <cell r="P1673">
            <v>0</v>
          </cell>
          <cell r="Q1673">
            <v>0.21065343892197699</v>
          </cell>
          <cell r="R1673">
            <v>0.21065343892197699</v>
          </cell>
          <cell r="S1673" t="e">
            <v>#VALUE!</v>
          </cell>
          <cell r="T1673" t="e">
            <v>#VALUE!</v>
          </cell>
        </row>
        <row r="1674">
          <cell r="A1674" t="str">
            <v>G248003BNCCT</v>
          </cell>
          <cell r="B1674" t="str">
            <v>MKP000631004829</v>
          </cell>
          <cell r="C1674" t="str">
            <v/>
          </cell>
          <cell r="D1674" t="str">
            <v>Balcão 80 cm 2 Portas Com Pés Cinza Nice Madesa</v>
          </cell>
          <cell r="E1674" t="str">
            <v>NICE</v>
          </cell>
          <cell r="F1674" t="str">
            <v>MODULAÇÃO</v>
          </cell>
          <cell r="G1674" t="str">
            <v/>
          </cell>
          <cell r="H1674">
            <v>699.99</v>
          </cell>
          <cell r="I1674">
            <v>429.99</v>
          </cell>
          <cell r="J1674">
            <v>247.05940000000001</v>
          </cell>
          <cell r="K1674">
            <v>0</v>
          </cell>
          <cell r="L1674">
            <v>247.05940000000001</v>
          </cell>
          <cell r="M1674">
            <v>0</v>
          </cell>
          <cell r="N1674">
            <v>429.99</v>
          </cell>
          <cell r="O1674" t="str">
            <v/>
          </cell>
          <cell r="P1674">
            <v>0</v>
          </cell>
          <cell r="Q1674">
            <v>0.74043165327852301</v>
          </cell>
          <cell r="R1674">
            <v>0.74043165327852301</v>
          </cell>
          <cell r="S1674" t="e">
            <v>#VALUE!</v>
          </cell>
          <cell r="T1674" t="e">
            <v>#VALUE!</v>
          </cell>
        </row>
        <row r="1675">
          <cell r="A1675" t="str">
            <v>GCGM4790039B</v>
          </cell>
          <cell r="B1675" t="str">
            <v>MKP000631004302</v>
          </cell>
          <cell r="C1675" t="str">
            <v/>
          </cell>
          <cell r="D1675" t="str">
            <v>Armário de Cozinha Completa de Canto 100% MDF 479cm Branco/Rustic Acordes Madesa 03</v>
          </cell>
          <cell r="E1675" t="str">
            <v>ACORDES</v>
          </cell>
          <cell r="F1675" t="str">
            <v>COZINHA</v>
          </cell>
          <cell r="G1675" t="str">
            <v/>
          </cell>
          <cell r="H1675">
            <v>4899.99</v>
          </cell>
          <cell r="I1675">
            <v>3499.99</v>
          </cell>
          <cell r="J1675">
            <v>2981.0518999999999</v>
          </cell>
          <cell r="K1675">
            <v>0</v>
          </cell>
          <cell r="L1675">
            <v>2981.0518999999999</v>
          </cell>
          <cell r="M1675">
            <v>0</v>
          </cell>
          <cell r="N1675">
            <v>3499.99</v>
          </cell>
          <cell r="O1675" t="str">
            <v/>
          </cell>
          <cell r="P1675">
            <v>0</v>
          </cell>
          <cell r="Q1675">
            <v>0.17407885451440799</v>
          </cell>
          <cell r="R1675">
            <v>0.17407885451440799</v>
          </cell>
          <cell r="S1675" t="e">
            <v>#VALUE!</v>
          </cell>
          <cell r="T1675" t="e">
            <v>#VALUE!</v>
          </cell>
        </row>
        <row r="1676">
          <cell r="A1676" t="str">
            <v>109577</v>
          </cell>
          <cell r="B1676" t="str">
            <v>MKP000631002070</v>
          </cell>
          <cell r="C1676" t="str">
            <v/>
          </cell>
          <cell r="D1676" t="str">
            <v>Guarda-Roupa Casal Madesa Reno 3 Portas de Correr Preto/Branco</v>
          </cell>
          <cell r="E1676" t="str">
            <v>RENO</v>
          </cell>
          <cell r="F1676" t="str">
            <v>QUARTO</v>
          </cell>
          <cell r="G1676" t="str">
            <v/>
          </cell>
          <cell r="H1676">
            <v>1469.99</v>
          </cell>
          <cell r="I1676">
            <v>1089.92</v>
          </cell>
          <cell r="J1676">
            <v>918.40129999999999</v>
          </cell>
          <cell r="K1676">
            <v>0</v>
          </cell>
          <cell r="L1676">
            <v>918.40129999999999</v>
          </cell>
          <cell r="M1676">
            <v>0</v>
          </cell>
          <cell r="N1676">
            <v>1089.92</v>
          </cell>
          <cell r="O1676" t="str">
            <v/>
          </cell>
          <cell r="P1676">
            <v>0</v>
          </cell>
          <cell r="Q1676">
            <v>0.18675790201952</v>
          </cell>
          <cell r="R1676">
            <v>0.18675790201952</v>
          </cell>
          <cell r="S1676" t="e">
            <v>#VALUE!</v>
          </cell>
          <cell r="T1676" t="e">
            <v>#VALUE!</v>
          </cell>
        </row>
        <row r="1677">
          <cell r="A1677" t="str">
            <v>5329D8</v>
          </cell>
          <cell r="B1677" t="str">
            <v>MKP000631003145</v>
          </cell>
          <cell r="C1677" t="str">
            <v/>
          </cell>
          <cell r="D1677" t="str">
            <v>Mesa de Jantar Madesa Retangular com Tampo de Madeira 5329 Preto/Rustic</v>
          </cell>
          <cell r="E1677">
            <v>5329</v>
          </cell>
          <cell r="F1677" t="str">
            <v>SALA DE JANTAR</v>
          </cell>
          <cell r="G1677" t="str">
            <v/>
          </cell>
          <cell r="H1677">
            <v>469.99</v>
          </cell>
          <cell r="I1677">
            <v>279.99</v>
          </cell>
          <cell r="J1677">
            <v>139.35650000000001</v>
          </cell>
          <cell r="K1677">
            <v>0</v>
          </cell>
          <cell r="L1677">
            <v>139.35650000000001</v>
          </cell>
          <cell r="M1677">
            <v>0</v>
          </cell>
          <cell r="N1677">
            <v>279.99</v>
          </cell>
          <cell r="O1677" t="str">
            <v/>
          </cell>
          <cell r="P1677">
            <v>0</v>
          </cell>
          <cell r="Q1677">
            <v>1.0091635481660299</v>
          </cell>
          <cell r="R1677">
            <v>1.0091635481660299</v>
          </cell>
          <cell r="S1677" t="e">
            <v>#VALUE!</v>
          </cell>
          <cell r="T1677" t="e">
            <v>#VALUE!</v>
          </cell>
        </row>
        <row r="1678">
          <cell r="A1678" t="str">
            <v>GCAG4590015L</v>
          </cell>
          <cell r="B1678" t="str">
            <v>MKP000631005971</v>
          </cell>
          <cell r="C1678" t="str">
            <v/>
          </cell>
          <cell r="D1678" t="str">
            <v>Armário de Cozinha Completa de Canto 459cm Branco/Crema Agata Madesa 01</v>
          </cell>
          <cell r="E1678" t="str">
            <v>ÁGATA</v>
          </cell>
          <cell r="F1678" t="str">
            <v>COZINHA</v>
          </cell>
          <cell r="G1678" t="str">
            <v/>
          </cell>
          <cell r="H1678">
            <v>3479.99</v>
          </cell>
          <cell r="I1678">
            <v>3379.99</v>
          </cell>
          <cell r="J1678">
            <v>2732.2485000000001</v>
          </cell>
          <cell r="K1678">
            <v>0</v>
          </cell>
          <cell r="L1678">
            <v>2732.2485000000001</v>
          </cell>
          <cell r="M1678">
            <v>0</v>
          </cell>
          <cell r="N1678">
            <v>3379.99</v>
          </cell>
          <cell r="O1678" t="str">
            <v/>
          </cell>
          <cell r="P1678">
            <v>0</v>
          </cell>
          <cell r="Q1678">
            <v>0.23707268939849299</v>
          </cell>
          <cell r="R1678">
            <v>0.23707268939849299</v>
          </cell>
          <cell r="S1678" t="e">
            <v>#VALUE!</v>
          </cell>
          <cell r="T1678" t="e">
            <v>#VALUE!</v>
          </cell>
        </row>
        <row r="1679">
          <cell r="A1679" t="str">
            <v>G270809RLX</v>
          </cell>
          <cell r="B1679" t="str">
            <v>MKP000631003351</v>
          </cell>
          <cell r="C1679" t="str">
            <v/>
          </cell>
          <cell r="D1679" t="str">
            <v>Porta-Geladeira Madesa Lux 1 Porta Basculante Branco/Cinza</v>
          </cell>
          <cell r="E1679" t="str">
            <v>LUX</v>
          </cell>
          <cell r="F1679" t="str">
            <v>MODULAÇÃO</v>
          </cell>
          <cell r="G1679" t="str">
            <v/>
          </cell>
          <cell r="H1679">
            <v>1139.99</v>
          </cell>
          <cell r="I1679">
            <v>799.99</v>
          </cell>
          <cell r="J1679">
            <v>450.25720000000001</v>
          </cell>
          <cell r="K1679">
            <v>0</v>
          </cell>
          <cell r="L1679">
            <v>450.25720000000001</v>
          </cell>
          <cell r="M1679">
            <v>0</v>
          </cell>
          <cell r="N1679">
            <v>799.99</v>
          </cell>
          <cell r="O1679" t="str">
            <v>LOJA</v>
          </cell>
          <cell r="P1679">
            <v>789.99</v>
          </cell>
          <cell r="Q1679">
            <v>0.77674004990925205</v>
          </cell>
          <cell r="R1679">
            <v>0.77674004990925205</v>
          </cell>
          <cell r="S1679" t="e">
            <v>#VALUE!</v>
          </cell>
          <cell r="T1679" t="e">
            <v>#VALUE!</v>
          </cell>
        </row>
        <row r="1680">
          <cell r="A1680" t="str">
            <v>G256006EGL</v>
          </cell>
          <cell r="B1680" t="str">
            <v>MKP000631000550</v>
          </cell>
          <cell r="C1680" t="str">
            <v/>
          </cell>
          <cell r="D1680" t="str">
            <v>Armário Aéreo Madesa Glamy 60 cm 1 Porta Rustic/Branco</v>
          </cell>
          <cell r="E1680" t="str">
            <v>GLAMY</v>
          </cell>
          <cell r="F1680" t="str">
            <v>MODULAÇÃO</v>
          </cell>
          <cell r="G1680" t="str">
            <v/>
          </cell>
          <cell r="H1680">
            <v>459.99</v>
          </cell>
          <cell r="I1680">
            <v>329.99</v>
          </cell>
          <cell r="J1680">
            <v>194.02</v>
          </cell>
          <cell r="K1680">
            <v>0</v>
          </cell>
          <cell r="L1680">
            <v>194.02</v>
          </cell>
          <cell r="M1680">
            <v>0</v>
          </cell>
          <cell r="N1680">
            <v>329.99</v>
          </cell>
          <cell r="O1680" t="str">
            <v/>
          </cell>
          <cell r="P1680">
            <v>0</v>
          </cell>
          <cell r="Q1680">
            <v>0.70080404082053405</v>
          </cell>
          <cell r="R1680">
            <v>0.70080404082053405</v>
          </cell>
          <cell r="S1680" t="e">
            <v>#VALUE!</v>
          </cell>
          <cell r="T1680" t="e">
            <v>#VALUE!</v>
          </cell>
        </row>
        <row r="1681">
          <cell r="A1681" t="str">
            <v>GREM1690077K</v>
          </cell>
          <cell r="B1681" t="str">
            <v>MKP000631001812</v>
          </cell>
          <cell r="C1681" t="str">
            <v/>
          </cell>
          <cell r="D1681" t="str">
            <v>Armário de Cozinha Completa 169cm Rustic/Preto Emilly Dance Madesa 07</v>
          </cell>
          <cell r="E1681" t="str">
            <v>DANCE/EMILLY</v>
          </cell>
          <cell r="F1681" t="str">
            <v>COZINHA</v>
          </cell>
          <cell r="G1681" t="str">
            <v/>
          </cell>
          <cell r="H1681">
            <v>1779.99</v>
          </cell>
          <cell r="I1681">
            <v>999.99</v>
          </cell>
          <cell r="J1681">
            <v>734.97609999999997</v>
          </cell>
          <cell r="K1681">
            <v>0</v>
          </cell>
          <cell r="L1681">
            <v>734.97609999999997</v>
          </cell>
          <cell r="M1681">
            <v>0</v>
          </cell>
          <cell r="N1681">
            <v>999.99</v>
          </cell>
          <cell r="O1681" t="str">
            <v>VIA</v>
          </cell>
          <cell r="P1681">
            <v>899.99</v>
          </cell>
          <cell r="Q1681">
            <v>0.36057485406668299</v>
          </cell>
          <cell r="R1681">
            <v>0.36057485406668299</v>
          </cell>
          <cell r="S1681" t="e">
            <v>#VALUE!</v>
          </cell>
          <cell r="T1681" t="e">
            <v>#VALUE!</v>
          </cell>
        </row>
        <row r="1682">
          <cell r="A1682" t="str">
            <v>G256007KAG</v>
          </cell>
          <cell r="B1682" t="str">
            <v>MKP000631003068</v>
          </cell>
          <cell r="C1682" t="str">
            <v/>
          </cell>
          <cell r="D1682" t="str">
            <v>Armário Aéreo Madesa Agata 60 cm 1 Porta Rustic/Preto</v>
          </cell>
          <cell r="E1682" t="str">
            <v>ÁGATA</v>
          </cell>
          <cell r="F1682" t="str">
            <v>MODULAÇÃO</v>
          </cell>
          <cell r="G1682" t="str">
            <v/>
          </cell>
          <cell r="H1682">
            <v>619.99</v>
          </cell>
          <cell r="I1682">
            <v>319.99</v>
          </cell>
          <cell r="J1682">
            <v>183.3271</v>
          </cell>
          <cell r="K1682">
            <v>0</v>
          </cell>
          <cell r="L1682">
            <v>183.3271</v>
          </cell>
          <cell r="M1682">
            <v>0</v>
          </cell>
          <cell r="N1682">
            <v>319.99</v>
          </cell>
          <cell r="O1682" t="str">
            <v/>
          </cell>
          <cell r="P1682">
            <v>0</v>
          </cell>
          <cell r="Q1682">
            <v>0.74545934561775096</v>
          </cell>
          <cell r="R1682">
            <v>0.74545934561775096</v>
          </cell>
          <cell r="S1682" t="e">
            <v>#VALUE!</v>
          </cell>
          <cell r="T1682" t="e">
            <v>#VALUE!</v>
          </cell>
        </row>
        <row r="1683">
          <cell r="A1683" t="str">
            <v>GRAG2900017K</v>
          </cell>
          <cell r="B1683" t="str">
            <v>MKP000631003090</v>
          </cell>
          <cell r="C1683" t="str">
            <v/>
          </cell>
          <cell r="D1683" t="str">
            <v>Armário de Cozinha Completa 290cm Rustic/Preto Agata Madesa 01</v>
          </cell>
          <cell r="E1683" t="str">
            <v>ÁGATA</v>
          </cell>
          <cell r="F1683" t="str">
            <v>COZINHA</v>
          </cell>
          <cell r="G1683" t="str">
            <v/>
          </cell>
          <cell r="H1683">
            <v>3519.99</v>
          </cell>
          <cell r="I1683">
            <v>2689.92</v>
          </cell>
          <cell r="J1683">
            <v>1998.4713999999999</v>
          </cell>
          <cell r="K1683">
            <v>0</v>
          </cell>
          <cell r="L1683">
            <v>1998.4713999999999</v>
          </cell>
          <cell r="M1683">
            <v>0</v>
          </cell>
          <cell r="N1683">
            <v>2689.92</v>
          </cell>
          <cell r="O1683" t="str">
            <v/>
          </cell>
          <cell r="P1683">
            <v>0</v>
          </cell>
          <cell r="Q1683">
            <v>0.34598873919336498</v>
          </cell>
          <cell r="R1683">
            <v>0.34598873919336498</v>
          </cell>
          <cell r="S1683" t="e">
            <v>#VALUE!</v>
          </cell>
          <cell r="T1683" t="e">
            <v>#VALUE!</v>
          </cell>
        </row>
        <row r="1684">
          <cell r="A1684" t="str">
            <v>G222015ZPRPT</v>
          </cell>
          <cell r="B1684" t="str">
            <v>MKP000631003566</v>
          </cell>
          <cell r="C1684" t="str">
            <v/>
          </cell>
          <cell r="D1684" t="str">
            <v>Balcão Porta-Temperos Madesa para Cozinha Lux, Glamy e Stella 20 x 60 cm (Sem Tampo) Rustic</v>
          </cell>
          <cell r="E1684" t="str">
            <v>PR</v>
          </cell>
          <cell r="F1684" t="str">
            <v>MODULAÇÃO</v>
          </cell>
          <cell r="G1684" t="str">
            <v/>
          </cell>
          <cell r="H1684">
            <v>759.99</v>
          </cell>
          <cell r="I1684">
            <v>419.99</v>
          </cell>
          <cell r="J1684">
            <v>261.81799999999998</v>
          </cell>
          <cell r="K1684">
            <v>0</v>
          </cell>
          <cell r="L1684">
            <v>261.81799999999998</v>
          </cell>
          <cell r="M1684">
            <v>0</v>
          </cell>
          <cell r="N1684">
            <v>419.99</v>
          </cell>
          <cell r="O1684" t="str">
            <v/>
          </cell>
          <cell r="P1684">
            <v>0</v>
          </cell>
          <cell r="Q1684">
            <v>0.60412958620110202</v>
          </cell>
          <cell r="R1684">
            <v>0.60412958620110202</v>
          </cell>
          <cell r="S1684" t="e">
            <v>#VALUE!</v>
          </cell>
          <cell r="T1684" t="e">
            <v>#VALUE!</v>
          </cell>
        </row>
        <row r="1685">
          <cell r="A1685" t="str">
            <v>GRGL2400015Z</v>
          </cell>
          <cell r="B1685" t="str">
            <v>MKP000631001287</v>
          </cell>
          <cell r="C1685" t="str">
            <v/>
          </cell>
          <cell r="D1685" t="str">
            <v>Armário de Cozinha Completa 240cm Rustic Bari Madesa 01</v>
          </cell>
          <cell r="E1685" t="str">
            <v>BARI/GLAMY</v>
          </cell>
          <cell r="F1685" t="str">
            <v>COZINHA</v>
          </cell>
          <cell r="G1685" t="str">
            <v/>
          </cell>
          <cell r="H1685">
            <v>2459.9899999999998</v>
          </cell>
          <cell r="I1685">
            <v>1899.99</v>
          </cell>
          <cell r="J1685">
            <v>1584.4675999999999</v>
          </cell>
          <cell r="K1685">
            <v>0</v>
          </cell>
          <cell r="L1685">
            <v>1584.4675999999999</v>
          </cell>
          <cell r="M1685">
            <v>0</v>
          </cell>
          <cell r="N1685">
            <v>1899.99</v>
          </cell>
          <cell r="O1685" t="str">
            <v/>
          </cell>
          <cell r="P1685">
            <v>0</v>
          </cell>
          <cell r="Q1685">
            <v>0.199134649392641</v>
          </cell>
          <cell r="R1685">
            <v>0.199134649392641</v>
          </cell>
          <cell r="S1685" t="e">
            <v>#VALUE!</v>
          </cell>
          <cell r="T1685" t="e">
            <v>#VALUE!</v>
          </cell>
        </row>
        <row r="1686">
          <cell r="A1686" t="str">
            <v>MDJA0601356ESIL</v>
          </cell>
          <cell r="B1686" t="str">
            <v>MKP000631004928</v>
          </cell>
          <cell r="C1686" t="str">
            <v/>
          </cell>
          <cell r="D1686" t="str">
            <v>Conjunto Sala de Jantar Mesa Tampo de Madeira 6 Cadeiras Rustic/Branco/Silver Hanna Madesa</v>
          </cell>
          <cell r="E1686" t="str">
            <v>HANNA</v>
          </cell>
          <cell r="F1686" t="str">
            <v>SALA DE JANTAR</v>
          </cell>
          <cell r="G1686">
            <v>4256</v>
          </cell>
          <cell r="H1686">
            <v>1599.99</v>
          </cell>
          <cell r="I1686">
            <v>1499.99</v>
          </cell>
          <cell r="J1686">
            <v>1178.8132000000001</v>
          </cell>
          <cell r="K1686">
            <v>0</v>
          </cell>
          <cell r="L1686">
            <v>1178.8132000000001</v>
          </cell>
          <cell r="M1686">
            <v>0</v>
          </cell>
          <cell r="N1686">
            <v>1499.99</v>
          </cell>
          <cell r="O1686" t="str">
            <v/>
          </cell>
          <cell r="P1686">
            <v>0</v>
          </cell>
          <cell r="Q1686">
            <v>0.27245775666577199</v>
          </cell>
          <cell r="R1686">
            <v>0.27245775666577199</v>
          </cell>
          <cell r="S1686" t="e">
            <v>#VALUE!</v>
          </cell>
          <cell r="T1686" t="e">
            <v>#VALUE!</v>
          </cell>
        </row>
        <row r="1687">
          <cell r="A1687" t="str">
            <v>GCGL47900173</v>
          </cell>
          <cell r="B1687" t="str">
            <v>MKP000631004313</v>
          </cell>
          <cell r="C1687" t="str">
            <v/>
          </cell>
          <cell r="D1687" t="str">
            <v>Armário de Cozinha Completa de Canto 479cm Branco Preto Glamy Madesa 01</v>
          </cell>
          <cell r="E1687" t="str">
            <v>GLAMY</v>
          </cell>
          <cell r="F1687" t="str">
            <v>COZINHA</v>
          </cell>
          <cell r="G1687" t="str">
            <v/>
          </cell>
          <cell r="H1687">
            <v>3799.99</v>
          </cell>
          <cell r="I1687">
            <v>3699.99</v>
          </cell>
          <cell r="J1687">
            <v>3004.9774000000002</v>
          </cell>
          <cell r="K1687">
            <v>0</v>
          </cell>
          <cell r="L1687">
            <v>3004.9774000000002</v>
          </cell>
          <cell r="M1687">
            <v>0</v>
          </cell>
          <cell r="N1687">
            <v>3699.99</v>
          </cell>
          <cell r="O1687" t="str">
            <v/>
          </cell>
          <cell r="P1687">
            <v>0</v>
          </cell>
          <cell r="Q1687">
            <v>0.231287130478918</v>
          </cell>
          <cell r="R1687">
            <v>0.231287130478918</v>
          </cell>
          <cell r="S1687" t="e">
            <v>#VALUE!</v>
          </cell>
          <cell r="T1687" t="e">
            <v>#VALUE!</v>
          </cell>
        </row>
        <row r="1688">
          <cell r="A1688" t="str">
            <v>11639B2ECP</v>
          </cell>
          <cell r="B1688" t="str">
            <v>MKP000631001198</v>
          </cell>
          <cell r="C1688" t="str">
            <v/>
          </cell>
          <cell r="D1688" t="str">
            <v>Guarda-Roupa Casal 100% MDF Madesa Eros 3 Portas de Correr com Espelhos com Pés Branco/Rustic</v>
          </cell>
          <cell r="E1688" t="str">
            <v>EROS</v>
          </cell>
          <cell r="F1688" t="str">
            <v>QUARTO</v>
          </cell>
          <cell r="G1688" t="str">
            <v/>
          </cell>
          <cell r="H1688">
            <v>3049.99</v>
          </cell>
          <cell r="I1688">
            <v>2259.92</v>
          </cell>
          <cell r="J1688">
            <v>1857.3927000000001</v>
          </cell>
          <cell r="K1688">
            <v>0</v>
          </cell>
          <cell r="L1688">
            <v>1857.3927000000001</v>
          </cell>
          <cell r="M1688">
            <v>0</v>
          </cell>
          <cell r="N1688">
            <v>2259.92</v>
          </cell>
          <cell r="O1688" t="str">
            <v/>
          </cell>
          <cell r="P1688">
            <v>0</v>
          </cell>
          <cell r="Q1688">
            <v>0.216716314218313</v>
          </cell>
          <cell r="R1688">
            <v>0.216716314218313</v>
          </cell>
          <cell r="S1688" t="e">
            <v>#VALUE!</v>
          </cell>
          <cell r="T1688" t="e">
            <v>#VALUE!</v>
          </cell>
        </row>
        <row r="1689">
          <cell r="A1689" t="str">
            <v>GRAG1800017K</v>
          </cell>
          <cell r="B1689" t="str">
            <v>MKP000631004275</v>
          </cell>
          <cell r="C1689" t="str">
            <v/>
          </cell>
          <cell r="D1689" t="str">
            <v>Armário de Cozinha Compacta 180cm Rustic Preto Agata Madesa 01</v>
          </cell>
          <cell r="E1689" t="str">
            <v>ÁGATA</v>
          </cell>
          <cell r="F1689" t="str">
            <v>COZINHA</v>
          </cell>
          <cell r="G1689" t="str">
            <v/>
          </cell>
          <cell r="H1689">
            <v>1999.99</v>
          </cell>
          <cell r="I1689">
            <v>1549.92</v>
          </cell>
          <cell r="J1689">
            <v>1285.3607</v>
          </cell>
          <cell r="K1689">
            <v>0</v>
          </cell>
          <cell r="L1689">
            <v>1285.3607</v>
          </cell>
          <cell r="M1689">
            <v>0</v>
          </cell>
          <cell r="N1689">
            <v>1549.92</v>
          </cell>
          <cell r="O1689" t="str">
            <v/>
          </cell>
          <cell r="P1689">
            <v>0</v>
          </cell>
          <cell r="Q1689">
            <v>0.20582494859225101</v>
          </cell>
          <cell r="R1689">
            <v>0.20582494859225101</v>
          </cell>
          <cell r="S1689" t="e">
            <v>#VALUE!</v>
          </cell>
          <cell r="T1689" t="e">
            <v>#VALUE!</v>
          </cell>
        </row>
        <row r="1690">
          <cell r="A1690" t="str">
            <v>G2480009TE</v>
          </cell>
          <cell r="B1690" t="str">
            <v>MKP000631001917</v>
          </cell>
          <cell r="C1690" t="str">
            <v/>
          </cell>
          <cell r="D1690" t="str">
            <v>Balcão Madesa Stella 80 cm 2 Portas Branco</v>
          </cell>
          <cell r="E1690" t="str">
            <v>STELLA</v>
          </cell>
          <cell r="F1690" t="str">
            <v>MODULAÇÃO</v>
          </cell>
          <cell r="G1690" t="str">
            <v/>
          </cell>
          <cell r="H1690">
            <v>879.99</v>
          </cell>
          <cell r="I1690">
            <v>519.99</v>
          </cell>
          <cell r="J1690">
            <v>332.10120000000001</v>
          </cell>
          <cell r="K1690">
            <v>0</v>
          </cell>
          <cell r="L1690">
            <v>332.10120000000001</v>
          </cell>
          <cell r="M1690">
            <v>0</v>
          </cell>
          <cell r="N1690">
            <v>519.99</v>
          </cell>
          <cell r="O1690" t="str">
            <v/>
          </cell>
          <cell r="P1690">
            <v>0</v>
          </cell>
          <cell r="Q1690">
            <v>0.56575766663896399</v>
          </cell>
          <cell r="R1690">
            <v>0.56575766663896399</v>
          </cell>
          <cell r="S1690" t="e">
            <v>#VALUE!</v>
          </cell>
          <cell r="T1690" t="e">
            <v>#VALUE!</v>
          </cell>
        </row>
        <row r="1691">
          <cell r="A1691" t="str">
            <v>GRAG150001F8</v>
          </cell>
          <cell r="B1691" t="str">
            <v>MKP000631004668</v>
          </cell>
          <cell r="C1691" t="str">
            <v/>
          </cell>
          <cell r="D1691" t="str">
            <v>Armário de Cozinha Compacta 150cm Branco/Cinza Agata Madesa 01</v>
          </cell>
          <cell r="E1691" t="str">
            <v>ÁGATA</v>
          </cell>
          <cell r="F1691" t="str">
            <v>COZINHA</v>
          </cell>
          <cell r="G1691" t="str">
            <v/>
          </cell>
          <cell r="H1691">
            <v>1269.99</v>
          </cell>
          <cell r="I1691">
            <v>1069.99</v>
          </cell>
          <cell r="J1691">
            <v>867.71630000000005</v>
          </cell>
          <cell r="K1691">
            <v>0</v>
          </cell>
          <cell r="L1691">
            <v>867.71630000000005</v>
          </cell>
          <cell r="M1691">
            <v>0</v>
          </cell>
          <cell r="N1691">
            <v>1069.99</v>
          </cell>
          <cell r="O1691" t="str">
            <v/>
          </cell>
          <cell r="P1691">
            <v>0</v>
          </cell>
          <cell r="Q1691">
            <v>0.233110407168794</v>
          </cell>
          <cell r="R1691">
            <v>0.233110407168794</v>
          </cell>
          <cell r="S1691" t="e">
            <v>#VALUE!</v>
          </cell>
          <cell r="T1691" t="e">
            <v>#VALUE!</v>
          </cell>
        </row>
        <row r="1692">
          <cell r="A1692" t="str">
            <v>G256009NLX</v>
          </cell>
          <cell r="B1692" t="str">
            <v>MKP000631002699</v>
          </cell>
          <cell r="C1692" t="str">
            <v/>
          </cell>
          <cell r="D1692" t="str">
            <v>Armário Aéreo Madesa Lux 60 cm 1 Porta Rustic/Cinza</v>
          </cell>
          <cell r="E1692" t="str">
            <v>LUX</v>
          </cell>
          <cell r="F1692" t="str">
            <v>MODULAÇÃO</v>
          </cell>
          <cell r="G1692" t="str">
            <v/>
          </cell>
          <cell r="H1692">
            <v>829.99</v>
          </cell>
          <cell r="I1692">
            <v>529.99</v>
          </cell>
          <cell r="J1692">
            <v>311.33670000000001</v>
          </cell>
          <cell r="K1692">
            <v>0</v>
          </cell>
          <cell r="L1692">
            <v>311.33670000000001</v>
          </cell>
          <cell r="M1692">
            <v>0</v>
          </cell>
          <cell r="N1692">
            <v>529.99</v>
          </cell>
          <cell r="O1692" t="str">
            <v>LOJA</v>
          </cell>
          <cell r="P1692">
            <v>519.99</v>
          </cell>
          <cell r="Q1692">
            <v>0.70230493224859103</v>
          </cell>
          <cell r="R1692">
            <v>0.70230493224859103</v>
          </cell>
          <cell r="S1692" t="e">
            <v>#VALUE!</v>
          </cell>
          <cell r="T1692" t="e">
            <v>#VALUE!</v>
          </cell>
        </row>
        <row r="1693">
          <cell r="A1693" t="str">
            <v>G25700H7LX</v>
          </cell>
          <cell r="B1693" t="str">
            <v>MKP000631005455</v>
          </cell>
          <cell r="C1693" t="str">
            <v/>
          </cell>
          <cell r="D1693" t="str">
            <v>Armário Aéreo 70 cm 2 Portas Branco/Branco Veludo Lux Madesa</v>
          </cell>
          <cell r="E1693" t="str">
            <v>LUX</v>
          </cell>
          <cell r="F1693" t="str">
            <v>MODULAÇÃO</v>
          </cell>
          <cell r="G1693" t="str">
            <v/>
          </cell>
          <cell r="H1693">
            <v>649.99</v>
          </cell>
          <cell r="I1693">
            <v>519.99</v>
          </cell>
          <cell r="J1693">
            <v>267.9547</v>
          </cell>
          <cell r="K1693">
            <v>0</v>
          </cell>
          <cell r="L1693">
            <v>267.9547</v>
          </cell>
          <cell r="M1693">
            <v>0</v>
          </cell>
          <cell r="N1693">
            <v>519.99</v>
          </cell>
          <cell r="O1693" t="str">
            <v>LOJA</v>
          </cell>
          <cell r="P1693">
            <v>499.99</v>
          </cell>
          <cell r="Q1693">
            <v>0.94058921153463604</v>
          </cell>
          <cell r="R1693">
            <v>0.94058921153463604</v>
          </cell>
          <cell r="S1693" t="e">
            <v>#VALUE!</v>
          </cell>
          <cell r="T1693" t="e">
            <v>#VALUE!</v>
          </cell>
        </row>
        <row r="1694">
          <cell r="A1694" t="str">
            <v>G2460109GL</v>
          </cell>
          <cell r="B1694" t="str">
            <v>MKP000631000019</v>
          </cell>
          <cell r="C1694" t="str">
            <v/>
          </cell>
          <cell r="D1694" t="str">
            <v>Balcão Madesa Glamy 60 cm 3 Gavetas Branco</v>
          </cell>
          <cell r="E1694" t="str">
            <v>GLAMY</v>
          </cell>
          <cell r="F1694" t="str">
            <v>MODULAÇÃO</v>
          </cell>
          <cell r="G1694" t="str">
            <v/>
          </cell>
          <cell r="H1694">
            <v>989.99</v>
          </cell>
          <cell r="I1694">
            <v>589.99</v>
          </cell>
          <cell r="J1694">
            <v>394.18759999999997</v>
          </cell>
          <cell r="K1694">
            <v>0</v>
          </cell>
          <cell r="L1694">
            <v>394.18759999999997</v>
          </cell>
          <cell r="M1694">
            <v>0</v>
          </cell>
          <cell r="N1694">
            <v>589.99</v>
          </cell>
          <cell r="O1694" t="str">
            <v/>
          </cell>
          <cell r="P1694">
            <v>0</v>
          </cell>
          <cell r="Q1694">
            <v>0.496723894917039</v>
          </cell>
          <cell r="R1694">
            <v>0.496723894917039</v>
          </cell>
          <cell r="S1694" t="e">
            <v>#VALUE!</v>
          </cell>
          <cell r="T1694" t="e">
            <v>#VALUE!</v>
          </cell>
        </row>
        <row r="1695">
          <cell r="A1695" t="str">
            <v>GCRM3820028N</v>
          </cell>
          <cell r="B1695" t="str">
            <v>MKP000631002537</v>
          </cell>
          <cell r="C1695" t="str">
            <v/>
          </cell>
          <cell r="D1695" t="str">
            <v>Armário de Cozinha Completa de Canto 382cm Preto Reims Madesa 02</v>
          </cell>
          <cell r="E1695" t="str">
            <v>REIMS</v>
          </cell>
          <cell r="F1695" t="str">
            <v>COZINHA</v>
          </cell>
          <cell r="G1695" t="str">
            <v/>
          </cell>
          <cell r="H1695">
            <v>4269.99</v>
          </cell>
          <cell r="I1695">
            <v>2149.92</v>
          </cell>
          <cell r="J1695">
            <v>1841.4786999999999</v>
          </cell>
          <cell r="K1695">
            <v>0</v>
          </cell>
          <cell r="L1695">
            <v>1841.4786999999999</v>
          </cell>
          <cell r="M1695">
            <v>0</v>
          </cell>
          <cell r="N1695">
            <v>2149.92</v>
          </cell>
          <cell r="O1695" t="str">
            <v/>
          </cell>
          <cell r="P1695">
            <v>0</v>
          </cell>
          <cell r="Q1695">
            <v>0.16749653417115301</v>
          </cell>
          <cell r="R1695">
            <v>0.16749653417115301</v>
          </cell>
          <cell r="S1695" t="e">
            <v>#VALUE!</v>
          </cell>
          <cell r="T1695" t="e">
            <v>#VALUE!</v>
          </cell>
        </row>
        <row r="1696">
          <cell r="A1696" t="str">
            <v>GRAG120002F9</v>
          </cell>
          <cell r="B1696" t="str">
            <v>MKP000631004674</v>
          </cell>
          <cell r="C1696" t="str">
            <v/>
          </cell>
          <cell r="D1696" t="str">
            <v>Armário de Cozinha Compacta 120cm Rustic/Cinza Agata Madesa 02</v>
          </cell>
          <cell r="E1696" t="str">
            <v>ÁGATA</v>
          </cell>
          <cell r="F1696" t="str">
            <v>COZINHA</v>
          </cell>
          <cell r="G1696" t="str">
            <v/>
          </cell>
          <cell r="H1696">
            <v>1369.99</v>
          </cell>
          <cell r="I1696">
            <v>1059.99</v>
          </cell>
          <cell r="J1696">
            <v>834.55849999999998</v>
          </cell>
          <cell r="K1696">
            <v>0</v>
          </cell>
          <cell r="L1696">
            <v>834.55849999999998</v>
          </cell>
          <cell r="M1696">
            <v>0</v>
          </cell>
          <cell r="N1696">
            <v>1059.99</v>
          </cell>
          <cell r="O1696" t="str">
            <v>LOJA</v>
          </cell>
          <cell r="P1696">
            <v>1069.99</v>
          </cell>
          <cell r="Q1696">
            <v>0.27012066859303502</v>
          </cell>
          <cell r="R1696">
            <v>0.27012066859303502</v>
          </cell>
          <cell r="S1696" t="e">
            <v>#VALUE!</v>
          </cell>
          <cell r="T1696" t="e">
            <v>#VALUE!</v>
          </cell>
        </row>
        <row r="1697">
          <cell r="A1697" t="str">
            <v>10946E4G</v>
          </cell>
          <cell r="B1697" t="str">
            <v>MKP000631000760</v>
          </cell>
          <cell r="C1697" t="str">
            <v/>
          </cell>
          <cell r="D1697" t="str">
            <v>Guarda-Roupa Solteiro Madesa Dallas Plus 2 Portas de Correr 4 Gavetas Rustic/Branco</v>
          </cell>
          <cell r="E1697" t="str">
            <v>DALLAS PLUS</v>
          </cell>
          <cell r="F1697" t="str">
            <v>QUARTO</v>
          </cell>
          <cell r="G1697" t="str">
            <v/>
          </cell>
          <cell r="H1697">
            <v>1069.99</v>
          </cell>
          <cell r="I1697">
            <v>819.92</v>
          </cell>
          <cell r="J1697">
            <v>652.58299999999997</v>
          </cell>
          <cell r="K1697">
            <v>0</v>
          </cell>
          <cell r="L1697">
            <v>652.58299999999997</v>
          </cell>
          <cell r="M1697">
            <v>0</v>
          </cell>
          <cell r="N1697">
            <v>819.92</v>
          </cell>
          <cell r="O1697" t="str">
            <v/>
          </cell>
          <cell r="P1697">
            <v>0</v>
          </cell>
          <cell r="Q1697">
            <v>0.25642255467886799</v>
          </cell>
          <cell r="R1697">
            <v>0.25642255467886799</v>
          </cell>
          <cell r="S1697" t="e">
            <v>#VALUE!</v>
          </cell>
          <cell r="T1697" t="e">
            <v>#VALUE!</v>
          </cell>
        </row>
        <row r="1698">
          <cell r="A1698" t="str">
            <v>XAGRGM33000209</v>
          </cell>
          <cell r="B1698" t="str">
            <v>MKP000631003742</v>
          </cell>
          <cell r="C1698" t="str">
            <v/>
          </cell>
          <cell r="D1698" t="str">
            <v>Armário de Cozinha Completa 100% MDF 330cm Frentes Branco Brilho Acordes Madesa XA02</v>
          </cell>
          <cell r="E1698" t="str">
            <v>ACORDES</v>
          </cell>
          <cell r="F1698" t="str">
            <v>COZINHA</v>
          </cell>
          <cell r="G1698" t="str">
            <v/>
          </cell>
          <cell r="H1698">
            <v>3189.99</v>
          </cell>
          <cell r="I1698">
            <v>2349.92</v>
          </cell>
          <cell r="J1698">
            <v>1903.4452000000001</v>
          </cell>
          <cell r="K1698">
            <v>0</v>
          </cell>
          <cell r="L1698">
            <v>1903.4452000000001</v>
          </cell>
          <cell r="M1698">
            <v>0</v>
          </cell>
          <cell r="N1698">
            <v>2349.92</v>
          </cell>
          <cell r="O1698" t="str">
            <v/>
          </cell>
          <cell r="P1698">
            <v>0</v>
          </cell>
          <cell r="Q1698">
            <v>0.234561415269533</v>
          </cell>
          <cell r="R1698">
            <v>0.234561415269533</v>
          </cell>
          <cell r="S1698" t="e">
            <v>#VALUE!</v>
          </cell>
          <cell r="T1698" t="e">
            <v>#VALUE!</v>
          </cell>
        </row>
        <row r="1699">
          <cell r="A1699" t="str">
            <v>G278005ZPR</v>
          </cell>
          <cell r="B1699" t="str">
            <v>MKP000631002745</v>
          </cell>
          <cell r="C1699" t="str">
            <v/>
          </cell>
          <cell r="D1699" t="str">
            <v>Tampo para Balcão de 80 x 60 cm para Cozinhas Madesa Glamy, Lux e Stella Rustic</v>
          </cell>
          <cell r="E1699" t="str">
            <v>PR</v>
          </cell>
          <cell r="F1699" t="str">
            <v>MODULAÇÃO</v>
          </cell>
          <cell r="G1699" t="str">
            <v/>
          </cell>
          <cell r="H1699">
            <v>309.99</v>
          </cell>
          <cell r="I1699">
            <v>139.99</v>
          </cell>
          <cell r="J1699">
            <v>80.431100000000001</v>
          </cell>
          <cell r="K1699">
            <v>0</v>
          </cell>
          <cell r="L1699">
            <v>80.431100000000001</v>
          </cell>
          <cell r="M1699">
            <v>0</v>
          </cell>
          <cell r="N1699">
            <v>139.99</v>
          </cell>
          <cell r="O1699" t="str">
            <v/>
          </cell>
          <cell r="P1699">
            <v>0</v>
          </cell>
          <cell r="Q1699">
            <v>0.74049590270430199</v>
          </cell>
          <cell r="R1699">
            <v>0.74049590270430199</v>
          </cell>
          <cell r="S1699" t="e">
            <v>#VALUE!</v>
          </cell>
          <cell r="T1699" t="e">
            <v>#VALUE!</v>
          </cell>
        </row>
        <row r="1700">
          <cell r="A1700" t="str">
            <v>1095D83E</v>
          </cell>
          <cell r="B1700" t="str">
            <v>MKP000631002089</v>
          </cell>
          <cell r="C1700" t="str">
            <v/>
          </cell>
          <cell r="D1700" t="str">
            <v>Guarda-Roupa Casal Madesa Reno 3 Portas de Correr de Espelho Preto/Rustic</v>
          </cell>
          <cell r="E1700" t="str">
            <v>RENO</v>
          </cell>
          <cell r="F1700" t="str">
            <v>QUARTO</v>
          </cell>
          <cell r="G1700" t="str">
            <v/>
          </cell>
          <cell r="H1700">
            <v>1869.99</v>
          </cell>
          <cell r="I1700">
            <v>1539.92</v>
          </cell>
          <cell r="J1700">
            <v>1277.0876000000001</v>
          </cell>
          <cell r="K1700">
            <v>0</v>
          </cell>
          <cell r="L1700">
            <v>1277.0876000000001</v>
          </cell>
          <cell r="M1700">
            <v>0</v>
          </cell>
          <cell r="N1700">
            <v>1539.92</v>
          </cell>
          <cell r="O1700" t="str">
            <v/>
          </cell>
          <cell r="P1700">
            <v>0</v>
          </cell>
          <cell r="Q1700">
            <v>0.20580608565927699</v>
          </cell>
          <cell r="R1700">
            <v>0.20580608565927699</v>
          </cell>
          <cell r="S1700" t="e">
            <v>#VALUE!</v>
          </cell>
          <cell r="T1700" t="e">
            <v>#VALUE!</v>
          </cell>
        </row>
        <row r="1701">
          <cell r="A1701" t="str">
            <v>GRAG2800027K</v>
          </cell>
          <cell r="B1701" t="str">
            <v>MKP000631003088</v>
          </cell>
          <cell r="C1701" t="str">
            <v/>
          </cell>
          <cell r="D1701" t="str">
            <v>Armário de Cozinha Compacta 280cm Rustic/Preto Agata Madesa 02</v>
          </cell>
          <cell r="E1701" t="str">
            <v>ÁGATA</v>
          </cell>
          <cell r="F1701" t="str">
            <v>COZINHA</v>
          </cell>
          <cell r="G1701" t="str">
            <v/>
          </cell>
          <cell r="H1701">
            <v>2299.9899999999998</v>
          </cell>
          <cell r="I1701">
            <v>1529.92</v>
          </cell>
          <cell r="J1701">
            <v>1174.7692999999999</v>
          </cell>
          <cell r="K1701">
            <v>0</v>
          </cell>
          <cell r="L1701">
            <v>1174.7692999999999</v>
          </cell>
          <cell r="M1701">
            <v>0</v>
          </cell>
          <cell r="N1701">
            <v>1529.92</v>
          </cell>
          <cell r="O1701" t="str">
            <v/>
          </cell>
          <cell r="P1701">
            <v>0</v>
          </cell>
          <cell r="Q1701">
            <v>0.30231527160268801</v>
          </cell>
          <cell r="R1701">
            <v>0.30231527160268801</v>
          </cell>
          <cell r="S1701" t="e">
            <v>#VALUE!</v>
          </cell>
          <cell r="T1701" t="e">
            <v>#VALUE!</v>
          </cell>
        </row>
        <row r="1702">
          <cell r="A1702" t="str">
            <v>G266077KGL</v>
          </cell>
          <cell r="B1702" t="str">
            <v>MKP000631002853</v>
          </cell>
          <cell r="C1702" t="str">
            <v/>
          </cell>
          <cell r="D1702" t="str">
            <v>Paneleiro Madesa Glamy 60 cm 3 Portas Rustic/Preto</v>
          </cell>
          <cell r="E1702" t="str">
            <v>GLAMY</v>
          </cell>
          <cell r="F1702" t="str">
            <v>MODULAÇÃO</v>
          </cell>
          <cell r="G1702" t="str">
            <v/>
          </cell>
          <cell r="H1702">
            <v>1279.99</v>
          </cell>
          <cell r="I1702">
            <v>849.99</v>
          </cell>
          <cell r="J1702">
            <v>545.34879999999998</v>
          </cell>
          <cell r="K1702">
            <v>0</v>
          </cell>
          <cell r="L1702">
            <v>545.34879999999998</v>
          </cell>
          <cell r="M1702">
            <v>0</v>
          </cell>
          <cell r="N1702">
            <v>849.99</v>
          </cell>
          <cell r="O1702" t="str">
            <v/>
          </cell>
          <cell r="P1702">
            <v>0</v>
          </cell>
          <cell r="Q1702">
            <v>0.55861716391417804</v>
          </cell>
          <cell r="R1702">
            <v>0.55861716391417804</v>
          </cell>
          <cell r="S1702" t="e">
            <v>#VALUE!</v>
          </cell>
          <cell r="T1702" t="e">
            <v>#VALUE!</v>
          </cell>
        </row>
        <row r="1703">
          <cell r="A1703" t="str">
            <v>G257027KAG</v>
          </cell>
          <cell r="B1703" t="str">
            <v>MKP000631003439</v>
          </cell>
          <cell r="C1703" t="str">
            <v/>
          </cell>
          <cell r="D1703" t="str">
            <v>Armário Aéreo de Cozinha Madesa Agata 70 cm 1 Porta Basculante Rustic/Preto</v>
          </cell>
          <cell r="E1703" t="str">
            <v>ÁGATA</v>
          </cell>
          <cell r="F1703" t="str">
            <v>MODULAÇÃO</v>
          </cell>
          <cell r="G1703" t="str">
            <v/>
          </cell>
          <cell r="H1703">
            <v>549.99</v>
          </cell>
          <cell r="I1703">
            <v>259.99</v>
          </cell>
          <cell r="J1703">
            <v>156.62209999999999</v>
          </cell>
          <cell r="K1703">
            <v>0</v>
          </cell>
          <cell r="L1703">
            <v>156.62209999999999</v>
          </cell>
          <cell r="M1703">
            <v>0</v>
          </cell>
          <cell r="N1703">
            <v>259.99</v>
          </cell>
          <cell r="O1703" t="str">
            <v/>
          </cell>
          <cell r="P1703">
            <v>0</v>
          </cell>
          <cell r="Q1703">
            <v>0.65998285044064597</v>
          </cell>
          <cell r="R1703">
            <v>0.65998285044064597</v>
          </cell>
          <cell r="S1703" t="e">
            <v>#VALUE!</v>
          </cell>
          <cell r="T1703" t="e">
            <v>#VALUE!</v>
          </cell>
        </row>
        <row r="1704">
          <cell r="A1704" t="str">
            <v>GCEM2610015Z</v>
          </cell>
          <cell r="B1704" t="str">
            <v>MKP000631001963</v>
          </cell>
          <cell r="C1704" t="str">
            <v/>
          </cell>
          <cell r="D1704" t="str">
            <v>Armário de Cozinha Completa de Canto 261cm Rustic Emilly Song Madesa 01</v>
          </cell>
          <cell r="E1704" t="str">
            <v>SONG/EMILLY</v>
          </cell>
          <cell r="F1704" t="str">
            <v>COZINHA</v>
          </cell>
          <cell r="G1704" t="str">
            <v/>
          </cell>
          <cell r="H1704">
            <v>1449.99</v>
          </cell>
          <cell r="I1704">
            <v>939.99</v>
          </cell>
          <cell r="J1704">
            <v>760.86360000000002</v>
          </cell>
          <cell r="K1704">
            <v>0</v>
          </cell>
          <cell r="L1704">
            <v>760.86360000000002</v>
          </cell>
          <cell r="M1704">
            <v>0</v>
          </cell>
          <cell r="N1704">
            <v>939.99</v>
          </cell>
          <cell r="O1704" t="str">
            <v/>
          </cell>
          <cell r="P1704">
            <v>0</v>
          </cell>
          <cell r="Q1704">
            <v>0.235425114304325</v>
          </cell>
          <cell r="R1704">
            <v>0.235425114304325</v>
          </cell>
          <cell r="S1704" t="e">
            <v>#VALUE!</v>
          </cell>
          <cell r="T1704" t="e">
            <v>#VALUE!</v>
          </cell>
        </row>
        <row r="1705">
          <cell r="A1705" t="str">
            <v>G248006EK</v>
          </cell>
          <cell r="B1705" t="str">
            <v>MKP000631000804</v>
          </cell>
          <cell r="C1705" t="str">
            <v/>
          </cell>
          <cell r="D1705" t="str">
            <v>Balcão Madesa Acordes 100% MDF 80 cm 2 Portas Branco/Rustic</v>
          </cell>
          <cell r="E1705" t="str">
            <v>ACORDES</v>
          </cell>
          <cell r="F1705" t="str">
            <v>MODULAÇÃO</v>
          </cell>
          <cell r="G1705" t="str">
            <v/>
          </cell>
          <cell r="H1705">
            <v>899.99</v>
          </cell>
          <cell r="I1705">
            <v>519.99</v>
          </cell>
          <cell r="J1705">
            <v>339.69850000000002</v>
          </cell>
          <cell r="K1705">
            <v>0</v>
          </cell>
          <cell r="L1705">
            <v>339.69850000000002</v>
          </cell>
          <cell r="M1705">
            <v>0</v>
          </cell>
          <cell r="N1705">
            <v>519.99</v>
          </cell>
          <cell r="O1705" t="str">
            <v/>
          </cell>
          <cell r="P1705">
            <v>0</v>
          </cell>
          <cell r="Q1705">
            <v>0.53073975893328895</v>
          </cell>
          <cell r="R1705">
            <v>0.53073975893328895</v>
          </cell>
          <cell r="S1705" t="e">
            <v>#VALUE!</v>
          </cell>
          <cell r="T1705" t="e">
            <v>#VALUE!</v>
          </cell>
        </row>
        <row r="1706">
          <cell r="A1706" t="str">
            <v>GCEM3570015Z</v>
          </cell>
          <cell r="B1706" t="str">
            <v>MKP000631002042</v>
          </cell>
          <cell r="C1706" t="str">
            <v/>
          </cell>
          <cell r="D1706" t="str">
            <v>Armário de Cozinha Completa de Canto 357cm Rustic Emilly Rock Madesa 01</v>
          </cell>
          <cell r="E1706" t="str">
            <v>ROCK/EMILLY</v>
          </cell>
          <cell r="F1706" t="str">
            <v>COZINHA</v>
          </cell>
          <cell r="G1706" t="str">
            <v/>
          </cell>
          <cell r="H1706">
            <v>1469.99</v>
          </cell>
          <cell r="I1706">
            <v>1369.99</v>
          </cell>
          <cell r="J1706">
            <v>1095.1884</v>
          </cell>
          <cell r="K1706">
            <v>0</v>
          </cell>
          <cell r="L1706">
            <v>1095.1884</v>
          </cell>
          <cell r="M1706">
            <v>0</v>
          </cell>
          <cell r="N1706">
            <v>1369.99</v>
          </cell>
          <cell r="O1706" t="str">
            <v/>
          </cell>
          <cell r="P1706">
            <v>0</v>
          </cell>
          <cell r="Q1706">
            <v>0.25091719379058403</v>
          </cell>
          <cell r="R1706">
            <v>0.25091719379058403</v>
          </cell>
          <cell r="S1706" t="e">
            <v>#VALUE!</v>
          </cell>
          <cell r="T1706" t="e">
            <v>#VALUE!</v>
          </cell>
        </row>
        <row r="1707">
          <cell r="A1707" t="str">
            <v>MDFC0200058N8N</v>
          </cell>
          <cell r="B1707" t="str">
            <v>MKP000631003414</v>
          </cell>
          <cell r="C1707" t="str">
            <v/>
          </cell>
          <cell r="D1707" t="str">
            <v>Escrivaninha Madesa Alaska + Estante Livreiro 6906 Preto</v>
          </cell>
          <cell r="E1707" t="str">
            <v>ALASKA + 6906</v>
          </cell>
          <cell r="F1707" t="str">
            <v>ESCRITÓRIO</v>
          </cell>
          <cell r="G1707" t="str">
            <v/>
          </cell>
          <cell r="H1707">
            <v>789.99</v>
          </cell>
          <cell r="I1707">
            <v>669.92</v>
          </cell>
          <cell r="J1707">
            <v>515.37379999999996</v>
          </cell>
          <cell r="K1707">
            <v>0</v>
          </cell>
          <cell r="L1707">
            <v>515.37379999999996</v>
          </cell>
          <cell r="M1707">
            <v>0</v>
          </cell>
          <cell r="N1707">
            <v>669.92</v>
          </cell>
          <cell r="O1707" t="str">
            <v/>
          </cell>
          <cell r="P1707">
            <v>0</v>
          </cell>
          <cell r="Q1707">
            <v>0.299872054031462</v>
          </cell>
          <cell r="R1707">
            <v>0.299872054031462</v>
          </cell>
          <cell r="S1707" t="e">
            <v>#VALUE!</v>
          </cell>
          <cell r="T1707" t="e">
            <v>#VALUE!</v>
          </cell>
        </row>
        <row r="1708">
          <cell r="A1708" t="str">
            <v>1095D8</v>
          </cell>
          <cell r="B1708" t="str">
            <v>MKP000631002071</v>
          </cell>
          <cell r="C1708" t="str">
            <v/>
          </cell>
          <cell r="D1708" t="str">
            <v>Guarda-Roupa Casal Madesa Reno 3 Portas de Correr  Preto/Rustic</v>
          </cell>
          <cell r="E1708" t="str">
            <v>RENO</v>
          </cell>
          <cell r="F1708" t="str">
            <v>QUARTO</v>
          </cell>
          <cell r="G1708" t="str">
            <v/>
          </cell>
          <cell r="H1708">
            <v>1469.99</v>
          </cell>
          <cell r="I1708">
            <v>1089.92</v>
          </cell>
          <cell r="J1708">
            <v>918.40129999999999</v>
          </cell>
          <cell r="K1708">
            <v>0</v>
          </cell>
          <cell r="L1708">
            <v>918.40129999999999</v>
          </cell>
          <cell r="M1708">
            <v>0</v>
          </cell>
          <cell r="N1708">
            <v>1089.92</v>
          </cell>
          <cell r="O1708" t="str">
            <v/>
          </cell>
          <cell r="P1708">
            <v>0</v>
          </cell>
          <cell r="Q1708">
            <v>0.18675790201952</v>
          </cell>
          <cell r="R1708">
            <v>0.18675790201952</v>
          </cell>
          <cell r="S1708" t="e">
            <v>#VALUE!</v>
          </cell>
          <cell r="T1708" t="e">
            <v>#VALUE!</v>
          </cell>
        </row>
        <row r="1709">
          <cell r="A1709" t="str">
            <v>MDMU01000109</v>
          </cell>
          <cell r="B1709" t="str">
            <v>MKP000631005034</v>
          </cell>
          <cell r="C1709" t="str">
            <v/>
          </cell>
          <cell r="D1709" t="str">
            <v>Armário Multiuso 60 cm 1 porta Branco Madesa</v>
          </cell>
          <cell r="E1709">
            <v>1104</v>
          </cell>
          <cell r="F1709" t="str">
            <v>COZINHA</v>
          </cell>
          <cell r="G1709" t="str">
            <v/>
          </cell>
          <cell r="H1709">
            <v>499.99</v>
          </cell>
          <cell r="I1709">
            <v>453.99</v>
          </cell>
          <cell r="J1709">
            <v>292.4579</v>
          </cell>
          <cell r="K1709">
            <v>0</v>
          </cell>
          <cell r="L1709">
            <v>292.4579</v>
          </cell>
          <cell r="M1709">
            <v>0</v>
          </cell>
          <cell r="N1709">
            <v>453.99</v>
          </cell>
          <cell r="O1709" t="str">
            <v>RIACHUELO</v>
          </cell>
          <cell r="P1709">
            <v>389.99</v>
          </cell>
          <cell r="Q1709">
            <v>0.55232599290359397</v>
          </cell>
          <cell r="R1709">
            <v>0.55232599290359397</v>
          </cell>
          <cell r="S1709" t="e">
            <v>#VALUE!</v>
          </cell>
          <cell r="T1709" t="e">
            <v>#VALUE!</v>
          </cell>
        </row>
        <row r="1710">
          <cell r="A1710" t="str">
            <v>G258006E</v>
          </cell>
          <cell r="B1710" t="str">
            <v>MKP000631000922</v>
          </cell>
          <cell r="C1710" t="str">
            <v/>
          </cell>
          <cell r="D1710" t="str">
            <v>Armário Aéreo Madesa Acordes 100% MDF 80 cm 2 Portas Branco/Rustic</v>
          </cell>
          <cell r="E1710" t="str">
            <v>ACORDES</v>
          </cell>
          <cell r="F1710" t="str">
            <v>MODULAÇÃO</v>
          </cell>
          <cell r="G1710" t="str">
            <v/>
          </cell>
          <cell r="H1710">
            <v>719.99</v>
          </cell>
          <cell r="I1710">
            <v>379.99</v>
          </cell>
          <cell r="J1710">
            <v>229.3905</v>
          </cell>
          <cell r="K1710">
            <v>0</v>
          </cell>
          <cell r="L1710">
            <v>229.3905</v>
          </cell>
          <cell r="M1710">
            <v>0</v>
          </cell>
          <cell r="N1710">
            <v>379.99</v>
          </cell>
          <cell r="O1710" t="str">
            <v/>
          </cell>
          <cell r="P1710">
            <v>0</v>
          </cell>
          <cell r="Q1710">
            <v>0.65652021334798105</v>
          </cell>
          <cell r="R1710">
            <v>0.65652021334798105</v>
          </cell>
          <cell r="S1710" t="e">
            <v>#VALUE!</v>
          </cell>
          <cell r="T1710" t="e">
            <v>#VALUE!</v>
          </cell>
        </row>
        <row r="1711">
          <cell r="A1711" t="str">
            <v>1095001</v>
          </cell>
          <cell r="B1711" t="str">
            <v>MKP000631002830</v>
          </cell>
          <cell r="C1711" t="str">
            <v/>
          </cell>
          <cell r="D1711" t="str">
            <v>Kit Madesa com 3 Espelhos de 59,5 x 45 cm para Guarda-Roupa</v>
          </cell>
          <cell r="E1711" t="str">
            <v>KIT ESPELHO</v>
          </cell>
          <cell r="F1711" t="str">
            <v>QUARTO</v>
          </cell>
          <cell r="G1711" t="str">
            <v/>
          </cell>
          <cell r="H1711">
            <v>369.99</v>
          </cell>
          <cell r="I1711">
            <v>199.99</v>
          </cell>
          <cell r="J1711">
            <v>119.5621</v>
          </cell>
          <cell r="K1711">
            <v>0</v>
          </cell>
          <cell r="L1711">
            <v>119.5621</v>
          </cell>
          <cell r="M1711">
            <v>0</v>
          </cell>
          <cell r="N1711">
            <v>199.99</v>
          </cell>
          <cell r="O1711" t="str">
            <v/>
          </cell>
          <cell r="P1711">
            <v>0</v>
          </cell>
          <cell r="Q1711">
            <v>0.67268724788206302</v>
          </cell>
          <cell r="R1711">
            <v>0.67268724788206302</v>
          </cell>
          <cell r="S1711" t="e">
            <v>#VALUE!</v>
          </cell>
          <cell r="T1711" t="e">
            <v>#VALUE!</v>
          </cell>
        </row>
        <row r="1712">
          <cell r="A1712" t="str">
            <v>G23607H7LX</v>
          </cell>
          <cell r="B1712" t="str">
            <v>MKP000631004648</v>
          </cell>
          <cell r="C1712" t="str">
            <v/>
          </cell>
          <cell r="D1712" t="str">
            <v>Paneleiro Madesa Lux 60 cm 3 Portas Branco/Branco Veludo</v>
          </cell>
          <cell r="E1712" t="str">
            <v>LUX</v>
          </cell>
          <cell r="F1712" t="str">
            <v>MODULAÇÃO</v>
          </cell>
          <cell r="G1712" t="str">
            <v/>
          </cell>
          <cell r="H1712">
            <v>1749.99</v>
          </cell>
          <cell r="I1712">
            <v>1169.99</v>
          </cell>
          <cell r="J1712">
            <v>596.68780000000004</v>
          </cell>
          <cell r="K1712">
            <v>0</v>
          </cell>
          <cell r="L1712">
            <v>596.68780000000004</v>
          </cell>
          <cell r="M1712">
            <v>0</v>
          </cell>
          <cell r="N1712">
            <v>1169.99</v>
          </cell>
          <cell r="O1712" t="str">
            <v>LOJA</v>
          </cell>
          <cell r="P1712">
            <v>1159.99</v>
          </cell>
          <cell r="Q1712">
            <v>0.96080764513703798</v>
          </cell>
          <cell r="R1712">
            <v>0.96080764513703798</v>
          </cell>
          <cell r="S1712" t="e">
            <v>#VALUE!</v>
          </cell>
          <cell r="T1712" t="e">
            <v>#VALUE!</v>
          </cell>
        </row>
        <row r="1713">
          <cell r="A1713" t="str">
            <v>1063731E</v>
          </cell>
          <cell r="B1713" t="str">
            <v>MKP000631003123</v>
          </cell>
          <cell r="C1713" t="str">
            <v/>
          </cell>
          <cell r="D1713" t="str">
            <v>Guarda-Roupa Casal 100% MDF Madesa Royale 3 Portas de Correr com Espelho Branco/Preto</v>
          </cell>
          <cell r="E1713" t="str">
            <v>ROYALE</v>
          </cell>
          <cell r="F1713" t="str">
            <v>QUARTO</v>
          </cell>
          <cell r="G1713" t="str">
            <v/>
          </cell>
          <cell r="H1713">
            <v>2489.9899999999998</v>
          </cell>
          <cell r="I1713">
            <v>2049.92</v>
          </cell>
          <cell r="J1713">
            <v>1792.614</v>
          </cell>
          <cell r="K1713">
            <v>0</v>
          </cell>
          <cell r="L1713">
            <v>1792.614</v>
          </cell>
          <cell r="M1713">
            <v>0</v>
          </cell>
          <cell r="N1713">
            <v>2049.92</v>
          </cell>
          <cell r="O1713" t="str">
            <v/>
          </cell>
          <cell r="P1713">
            <v>0</v>
          </cell>
          <cell r="Q1713">
            <v>0.14353675693707599</v>
          </cell>
          <cell r="R1713">
            <v>0.14353675693707599</v>
          </cell>
          <cell r="S1713" t="e">
            <v>#VALUE!</v>
          </cell>
          <cell r="T1713" t="e">
            <v>#VALUE!</v>
          </cell>
        </row>
        <row r="1714">
          <cell r="A1714" t="str">
            <v>1093091E4GCP</v>
          </cell>
          <cell r="B1714" t="str">
            <v>MKP000631001061</v>
          </cell>
          <cell r="C1714" t="str">
            <v/>
          </cell>
          <cell r="D1714" t="str">
            <v>Guarda-Roupa Casal Madesa Lyon Plus 3 Portas de Correr com Espelho 4 Gavetas com Pés Branco</v>
          </cell>
          <cell r="E1714" t="str">
            <v>LYON PLUS</v>
          </cell>
          <cell r="F1714" t="str">
            <v>QUARTO</v>
          </cell>
          <cell r="G1714" t="str">
            <v/>
          </cell>
          <cell r="H1714">
            <v>1539.99</v>
          </cell>
          <cell r="I1714">
            <v>1219.92</v>
          </cell>
          <cell r="J1714">
            <v>974.43820000000005</v>
          </cell>
          <cell r="K1714">
            <v>0</v>
          </cell>
          <cell r="L1714">
            <v>974.43820000000005</v>
          </cell>
          <cell r="M1714">
            <v>0</v>
          </cell>
          <cell r="N1714">
            <v>1219.92</v>
          </cell>
          <cell r="O1714" t="str">
            <v/>
          </cell>
          <cell r="P1714">
            <v>0</v>
          </cell>
          <cell r="Q1714">
            <v>0.25192136350976402</v>
          </cell>
          <cell r="R1714">
            <v>0.25192136350976402</v>
          </cell>
          <cell r="S1714" t="e">
            <v>#VALUE!</v>
          </cell>
          <cell r="T1714" t="e">
            <v>#VALUE!</v>
          </cell>
        </row>
        <row r="1715">
          <cell r="A1715" t="str">
            <v>1118092E</v>
          </cell>
          <cell r="B1715" t="str">
            <v>MKP000631002673</v>
          </cell>
          <cell r="C1715" t="str">
            <v/>
          </cell>
          <cell r="D1715" t="str">
            <v>Guarda-Roupa Casal Madesa Istambul 3 Portas de Correr com Espelhos 3 Gavetas Branco</v>
          </cell>
          <cell r="E1715" t="str">
            <v>ISTAMBUL</v>
          </cell>
          <cell r="F1715" t="str">
            <v>QUARTO</v>
          </cell>
          <cell r="G1715" t="str">
            <v/>
          </cell>
          <cell r="H1715">
            <v>2389.9899999999998</v>
          </cell>
          <cell r="I1715">
            <v>1839.92</v>
          </cell>
          <cell r="J1715">
            <v>1565.7304999999999</v>
          </cell>
          <cell r="K1715">
            <v>0</v>
          </cell>
          <cell r="L1715">
            <v>1565.7304999999999</v>
          </cell>
          <cell r="M1715">
            <v>0</v>
          </cell>
          <cell r="N1715">
            <v>1839.92</v>
          </cell>
          <cell r="O1715" t="str">
            <v/>
          </cell>
          <cell r="P1715">
            <v>0</v>
          </cell>
          <cell r="Q1715">
            <v>0.17511921751540299</v>
          </cell>
          <cell r="R1715">
            <v>0.17511921751540299</v>
          </cell>
          <cell r="S1715" t="e">
            <v>#VALUE!</v>
          </cell>
          <cell r="T1715" t="e">
            <v>#VALUE!</v>
          </cell>
        </row>
        <row r="1716">
          <cell r="A1716" t="str">
            <v>10936E2GCP</v>
          </cell>
          <cell r="B1716" t="str">
            <v>MKP000631001137</v>
          </cell>
          <cell r="C1716" t="str">
            <v/>
          </cell>
          <cell r="D1716" t="str">
            <v>Guarda-Roupa Casal Madesa Lyon 3 Portas de Correr 2 Gavetas com Pés Rustic/Branco</v>
          </cell>
          <cell r="E1716" t="str">
            <v>LYON</v>
          </cell>
          <cell r="F1716" t="str">
            <v>QUARTO</v>
          </cell>
          <cell r="G1716" t="str">
            <v/>
          </cell>
          <cell r="H1716">
            <v>1169.99</v>
          </cell>
          <cell r="I1716">
            <v>929.92</v>
          </cell>
          <cell r="J1716">
            <v>755.77329999999995</v>
          </cell>
          <cell r="K1716">
            <v>0</v>
          </cell>
          <cell r="L1716">
            <v>755.77329999999995</v>
          </cell>
          <cell r="M1716">
            <v>0</v>
          </cell>
          <cell r="N1716">
            <v>929.92</v>
          </cell>
          <cell r="O1716" t="str">
            <v/>
          </cell>
          <cell r="P1716">
            <v>0</v>
          </cell>
          <cell r="Q1716">
            <v>0.230421873860852</v>
          </cell>
          <cell r="R1716">
            <v>0.230421873860852</v>
          </cell>
          <cell r="S1716" t="e">
            <v>#VALUE!</v>
          </cell>
          <cell r="T1716" t="e">
            <v>#VALUE!</v>
          </cell>
        </row>
        <row r="1717">
          <cell r="A1717" t="str">
            <v>GRRM1800018N</v>
          </cell>
          <cell r="B1717" t="str">
            <v>MKP000631003171</v>
          </cell>
          <cell r="C1717" t="str">
            <v/>
          </cell>
          <cell r="D1717" t="str">
            <v>Armário de Cozinha Compacta 180cm Preto Reims Madesa 01</v>
          </cell>
          <cell r="E1717" t="str">
            <v>REIMS</v>
          </cell>
          <cell r="F1717" t="str">
            <v>COZINHA</v>
          </cell>
          <cell r="G1717" t="str">
            <v/>
          </cell>
          <cell r="H1717">
            <v>1719.99</v>
          </cell>
          <cell r="I1717">
            <v>1069.99</v>
          </cell>
          <cell r="J1717">
            <v>933.87929999999994</v>
          </cell>
          <cell r="K1717">
            <v>0</v>
          </cell>
          <cell r="L1717">
            <v>933.87929999999994</v>
          </cell>
          <cell r="M1717">
            <v>0</v>
          </cell>
          <cell r="N1717">
            <v>1069.99</v>
          </cell>
          <cell r="O1717" t="str">
            <v/>
          </cell>
          <cell r="P1717">
            <v>0</v>
          </cell>
          <cell r="Q1717">
            <v>0.14574763569553401</v>
          </cell>
          <cell r="R1717">
            <v>0.14574763569553401</v>
          </cell>
          <cell r="S1717" t="e">
            <v>#VALUE!</v>
          </cell>
          <cell r="T1717" t="e">
            <v>#VALUE!</v>
          </cell>
        </row>
        <row r="1718">
          <cell r="A1718" t="str">
            <v>G241245ZTE</v>
          </cell>
          <cell r="B1718" t="str">
            <v>MKP000631002171</v>
          </cell>
          <cell r="C1718" t="str">
            <v/>
          </cell>
          <cell r="D1718" t="str">
            <v>Balcão Gabinete de Pia Madesa Stella 2 Portas e 3 Gavetas (Sem Tampo e Pia) Rustic</v>
          </cell>
          <cell r="E1718" t="str">
            <v>STELLA</v>
          </cell>
          <cell r="F1718" t="str">
            <v>MODULAÇÃO</v>
          </cell>
          <cell r="G1718" t="str">
            <v/>
          </cell>
          <cell r="H1718">
            <v>1239.99</v>
          </cell>
          <cell r="I1718">
            <v>719.99</v>
          </cell>
          <cell r="J1718">
            <v>553.34939999999995</v>
          </cell>
          <cell r="K1718">
            <v>0</v>
          </cell>
          <cell r="L1718">
            <v>553.34939999999995</v>
          </cell>
          <cell r="M1718">
            <v>0</v>
          </cell>
          <cell r="N1718">
            <v>719.99</v>
          </cell>
          <cell r="O1718" t="str">
            <v/>
          </cell>
          <cell r="P1718">
            <v>0</v>
          </cell>
          <cell r="Q1718">
            <v>0.30114896663843799</v>
          </cell>
          <cell r="R1718">
            <v>0.30114896663843799</v>
          </cell>
          <cell r="S1718" t="e">
            <v>#VALUE!</v>
          </cell>
          <cell r="T1718" t="e">
            <v>#VALUE!</v>
          </cell>
        </row>
        <row r="1719">
          <cell r="A1719" t="str">
            <v>G2570209TE</v>
          </cell>
          <cell r="B1719" t="str">
            <v>MKP000631003485</v>
          </cell>
          <cell r="C1719" t="str">
            <v/>
          </cell>
          <cell r="D1719" t="str">
            <v>Armário Aéreo de Cozinha Madesa Stella 70 cm 1 Porta Basculante Branco</v>
          </cell>
          <cell r="E1719" t="str">
            <v>STELLA</v>
          </cell>
          <cell r="F1719" t="str">
            <v>MODULAÇÃO</v>
          </cell>
          <cell r="G1719" t="str">
            <v/>
          </cell>
          <cell r="H1719">
            <v>399.99</v>
          </cell>
          <cell r="I1719">
            <v>249.99</v>
          </cell>
          <cell r="J1719">
            <v>159.66319999999999</v>
          </cell>
          <cell r="K1719">
            <v>0</v>
          </cell>
          <cell r="L1719">
            <v>159.66319999999999</v>
          </cell>
          <cell r="M1719">
            <v>0</v>
          </cell>
          <cell r="N1719">
            <v>249.99</v>
          </cell>
          <cell r="O1719" t="str">
            <v/>
          </cell>
          <cell r="P1719">
            <v>0</v>
          </cell>
          <cell r="Q1719">
            <v>0.56573336874119995</v>
          </cell>
          <cell r="R1719">
            <v>0.56573336874119995</v>
          </cell>
          <cell r="S1719" t="e">
            <v>#VALUE!</v>
          </cell>
          <cell r="T1719" t="e">
            <v>#VALUE!</v>
          </cell>
        </row>
        <row r="1720">
          <cell r="A1720" t="str">
            <v>G266557KAG</v>
          </cell>
          <cell r="B1720" t="str">
            <v>MKP000631003083</v>
          </cell>
          <cell r="C1720" t="str">
            <v/>
          </cell>
          <cell r="D1720" t="str">
            <v>Torre Quente Madesa Agata 60 cm 1 Porta 3 Gavetas Rustic/Preto</v>
          </cell>
          <cell r="E1720" t="str">
            <v>ÁGATA</v>
          </cell>
          <cell r="F1720" t="str">
            <v>MODULAÇÃO</v>
          </cell>
          <cell r="G1720" t="str">
            <v/>
          </cell>
          <cell r="H1720">
            <v>1359.99</v>
          </cell>
          <cell r="I1720">
            <v>919.99</v>
          </cell>
          <cell r="J1720">
            <v>547.2672</v>
          </cell>
          <cell r="K1720">
            <v>0</v>
          </cell>
          <cell r="L1720">
            <v>547.2672</v>
          </cell>
          <cell r="M1720">
            <v>0</v>
          </cell>
          <cell r="N1720">
            <v>919.99</v>
          </cell>
          <cell r="O1720" t="str">
            <v/>
          </cell>
          <cell r="P1720">
            <v>0</v>
          </cell>
          <cell r="Q1720">
            <v>0.68106182866431597</v>
          </cell>
          <cell r="R1720">
            <v>0.68106182866431597</v>
          </cell>
          <cell r="S1720" t="e">
            <v>#VALUE!</v>
          </cell>
          <cell r="T1720" t="e">
            <v>#VALUE!</v>
          </cell>
        </row>
        <row r="1721">
          <cell r="A1721" t="str">
            <v>GCEM3250045Z</v>
          </cell>
          <cell r="B1721" t="str">
            <v>MKP000631002043</v>
          </cell>
          <cell r="C1721" t="str">
            <v/>
          </cell>
          <cell r="D1721" t="str">
            <v>Armário de Cozinha Completa de Canto 325cm Rustic Emilly Wave Madesa 04</v>
          </cell>
          <cell r="E1721" t="str">
            <v>WAVE/EMILLY</v>
          </cell>
          <cell r="F1721" t="str">
            <v>COZINHA</v>
          </cell>
          <cell r="G1721" t="str">
            <v/>
          </cell>
          <cell r="H1721">
            <v>2299.9899999999998</v>
          </cell>
          <cell r="I1721">
            <v>1499.99</v>
          </cell>
          <cell r="J1721">
            <v>1240.4091000000001</v>
          </cell>
          <cell r="K1721">
            <v>0</v>
          </cell>
          <cell r="L1721">
            <v>1240.4091000000001</v>
          </cell>
          <cell r="M1721">
            <v>0</v>
          </cell>
          <cell r="N1721">
            <v>1499.99</v>
          </cell>
          <cell r="O1721" t="str">
            <v/>
          </cell>
          <cell r="P1721">
            <v>0</v>
          </cell>
          <cell r="Q1721">
            <v>0.209270393130782</v>
          </cell>
          <cell r="R1721">
            <v>0.209270393130782</v>
          </cell>
          <cell r="S1721" t="e">
            <v>#VALUE!</v>
          </cell>
          <cell r="T1721" t="e">
            <v>#VALUE!</v>
          </cell>
        </row>
        <row r="1722">
          <cell r="A1722" t="str">
            <v>MDJA0601407GSIL</v>
          </cell>
          <cell r="B1722" t="str">
            <v>MKP000631005353</v>
          </cell>
          <cell r="C1722" t="str">
            <v/>
          </cell>
          <cell r="D1722" t="str">
            <v>Conjunto Sala de Jantar Mesa Tampo de Madeira 6 Cadeiras Rustic/Crema/Silver Renata Madesa</v>
          </cell>
          <cell r="E1722" t="str">
            <v>RENATA</v>
          </cell>
          <cell r="F1722" t="str">
            <v>SALA DE JANTAR</v>
          </cell>
          <cell r="G1722">
            <v>4255</v>
          </cell>
          <cell r="H1722">
            <v>1469.99</v>
          </cell>
          <cell r="I1722">
            <v>1369.99</v>
          </cell>
          <cell r="J1722">
            <v>1064.2978000000001</v>
          </cell>
          <cell r="K1722">
            <v>0</v>
          </cell>
          <cell r="L1722">
            <v>1064.2978000000001</v>
          </cell>
          <cell r="M1722">
            <v>0</v>
          </cell>
          <cell r="N1722">
            <v>1369.99</v>
          </cell>
          <cell r="O1722" t="str">
            <v/>
          </cell>
          <cell r="P1722">
            <v>0</v>
          </cell>
          <cell r="Q1722">
            <v>0.28722430883536498</v>
          </cell>
          <cell r="R1722">
            <v>0.28722430883536498</v>
          </cell>
          <cell r="S1722" t="e">
            <v>#VALUE!</v>
          </cell>
          <cell r="T1722" t="e">
            <v>#VALUE!</v>
          </cell>
        </row>
        <row r="1723">
          <cell r="A1723" t="str">
            <v>GREM1370017K</v>
          </cell>
          <cell r="B1723" t="str">
            <v>MKP000631001816</v>
          </cell>
          <cell r="C1723" t="str">
            <v/>
          </cell>
          <cell r="D1723" t="str">
            <v>Armário de Cozinha Compacta 137cm Rustic/Preto Emilly Silver Madesa 01</v>
          </cell>
          <cell r="E1723" t="str">
            <v>SILVER/EMILLY</v>
          </cell>
          <cell r="F1723" t="str">
            <v>COZINHA</v>
          </cell>
          <cell r="G1723" t="str">
            <v/>
          </cell>
          <cell r="H1723">
            <v>679.99</v>
          </cell>
          <cell r="I1723">
            <v>579.99</v>
          </cell>
          <cell r="J1723">
            <v>453.73430000000002</v>
          </cell>
          <cell r="K1723">
            <v>0</v>
          </cell>
          <cell r="L1723">
            <v>453.73430000000002</v>
          </cell>
          <cell r="M1723">
            <v>0</v>
          </cell>
          <cell r="N1723">
            <v>579.99</v>
          </cell>
          <cell r="O1723" t="str">
            <v/>
          </cell>
          <cell r="P1723">
            <v>0</v>
          </cell>
          <cell r="Q1723">
            <v>0.27825910450234898</v>
          </cell>
          <cell r="R1723">
            <v>0.27825910450234898</v>
          </cell>
          <cell r="S1723" t="e">
            <v>#VALUE!</v>
          </cell>
          <cell r="T1723" t="e">
            <v>#VALUE!</v>
          </cell>
        </row>
        <row r="1724">
          <cell r="A1724" t="str">
            <v>10939B2ECP</v>
          </cell>
          <cell r="B1724" t="str">
            <v>MKP000631001858</v>
          </cell>
          <cell r="C1724" t="str">
            <v/>
          </cell>
          <cell r="D1724" t="str">
            <v>Guarda-Roupa Casal Madesa Mônaco 3 Portas de Correr com Espelhos com Pés Branco/Rustic</v>
          </cell>
          <cell r="E1724" t="str">
            <v>MÔNACO</v>
          </cell>
          <cell r="F1724" t="str">
            <v>QUARTO</v>
          </cell>
          <cell r="G1724" t="str">
            <v/>
          </cell>
          <cell r="H1724">
            <v>1469.99</v>
          </cell>
          <cell r="I1724">
            <v>1149.92</v>
          </cell>
          <cell r="J1724">
            <v>926.89239999999995</v>
          </cell>
          <cell r="K1724">
            <v>0</v>
          </cell>
          <cell r="L1724">
            <v>926.89239999999995</v>
          </cell>
          <cell r="M1724">
            <v>0</v>
          </cell>
          <cell r="N1724">
            <v>1149.92</v>
          </cell>
          <cell r="O1724" t="str">
            <v/>
          </cell>
          <cell r="P1724">
            <v>0</v>
          </cell>
          <cell r="Q1724">
            <v>0.240618652175808</v>
          </cell>
          <cell r="R1724">
            <v>0.240618652175808</v>
          </cell>
          <cell r="S1724" t="e">
            <v>#VALUE!</v>
          </cell>
          <cell r="T1724" t="e">
            <v>#VALUE!</v>
          </cell>
        </row>
        <row r="1725">
          <cell r="A1725" t="str">
            <v>G241205ZGL</v>
          </cell>
          <cell r="B1725" t="str">
            <v>MKP000631000012</v>
          </cell>
          <cell r="C1725" t="str">
            <v/>
          </cell>
          <cell r="D1725" t="str">
            <v>Balcão Gabinete de Pia Madesa Glamy 120 cm 2 Portas (Sem Tampo e Pia) Rustic</v>
          </cell>
          <cell r="E1725" t="str">
            <v>GLAMY</v>
          </cell>
          <cell r="F1725" t="str">
            <v>MODULAÇÃO</v>
          </cell>
          <cell r="G1725" t="str">
            <v/>
          </cell>
          <cell r="H1725">
            <v>769.99</v>
          </cell>
          <cell r="I1725">
            <v>499.99</v>
          </cell>
          <cell r="J1725">
            <v>377.00920000000002</v>
          </cell>
          <cell r="K1725">
            <v>0</v>
          </cell>
          <cell r="L1725">
            <v>377.00920000000002</v>
          </cell>
          <cell r="M1725">
            <v>0</v>
          </cell>
          <cell r="N1725">
            <v>499.99</v>
          </cell>
          <cell r="O1725" t="str">
            <v/>
          </cell>
          <cell r="P1725">
            <v>0</v>
          </cell>
          <cell r="Q1725">
            <v>0.32620105822351297</v>
          </cell>
          <cell r="R1725">
            <v>0.32620105822351297</v>
          </cell>
          <cell r="S1725" t="e">
            <v>#VALUE!</v>
          </cell>
          <cell r="T1725" t="e">
            <v>#VALUE!</v>
          </cell>
        </row>
        <row r="1726">
          <cell r="A1726" t="str">
            <v>MDJA0601407KSIL</v>
          </cell>
          <cell r="B1726" t="str">
            <v>MKP000631005352</v>
          </cell>
          <cell r="C1726" t="str">
            <v/>
          </cell>
          <cell r="D1726" t="str">
            <v>Conjunto Sala de Jantar Mesa Tampo de Madeira 6 Cadeiras Rustic/Preto/Silver Renata Madesa</v>
          </cell>
          <cell r="E1726" t="str">
            <v>RENATA</v>
          </cell>
          <cell r="F1726" t="str">
            <v>SALA DE JANTAR</v>
          </cell>
          <cell r="G1726">
            <v>4255</v>
          </cell>
          <cell r="H1726">
            <v>1459.99</v>
          </cell>
          <cell r="I1726">
            <v>1359.99</v>
          </cell>
          <cell r="J1726">
            <v>1064.2978000000001</v>
          </cell>
          <cell r="K1726">
            <v>0</v>
          </cell>
          <cell r="L1726">
            <v>1064.2978000000001</v>
          </cell>
          <cell r="M1726">
            <v>0</v>
          </cell>
          <cell r="N1726">
            <v>1359.99</v>
          </cell>
          <cell r="O1726" t="str">
            <v/>
          </cell>
          <cell r="P1726">
            <v>0</v>
          </cell>
          <cell r="Q1726">
            <v>0.277828442377688</v>
          </cell>
          <cell r="R1726">
            <v>0.277828442377688</v>
          </cell>
          <cell r="S1726" t="e">
            <v>#VALUE!</v>
          </cell>
          <cell r="T1726" t="e">
            <v>#VALUE!</v>
          </cell>
        </row>
        <row r="1727">
          <cell r="A1727" t="str">
            <v>GRAG2700047K</v>
          </cell>
          <cell r="B1727" t="str">
            <v>MKP000631004468</v>
          </cell>
          <cell r="C1727" t="str">
            <v/>
          </cell>
          <cell r="D1727" t="str">
            <v>Armário de Cozinha Completa 270cm Rustic Preto Agata Madesa 04</v>
          </cell>
          <cell r="E1727" t="str">
            <v>ÁGATA</v>
          </cell>
          <cell r="F1727" t="str">
            <v>COZINHA</v>
          </cell>
          <cell r="G1727" t="str">
            <v/>
          </cell>
          <cell r="H1727">
            <v>1799.99</v>
          </cell>
          <cell r="I1727">
            <v>1699.99</v>
          </cell>
          <cell r="J1727">
            <v>1370.0536999999999</v>
          </cell>
          <cell r="K1727">
            <v>0</v>
          </cell>
          <cell r="L1727">
            <v>1370.0536999999999</v>
          </cell>
          <cell r="M1727">
            <v>0</v>
          </cell>
          <cell r="N1727">
            <v>1699.99</v>
          </cell>
          <cell r="O1727" t="str">
            <v/>
          </cell>
          <cell r="P1727">
            <v>0</v>
          </cell>
          <cell r="Q1727">
            <v>0.24081997661843499</v>
          </cell>
          <cell r="R1727">
            <v>0.24081997661843499</v>
          </cell>
          <cell r="S1727" t="e">
            <v>#VALUE!</v>
          </cell>
          <cell r="T1727" t="e">
            <v>#VALUE!</v>
          </cell>
        </row>
        <row r="1728">
          <cell r="A1728" t="str">
            <v>MDJA0401085ZFBM</v>
          </cell>
          <cell r="B1728" t="str">
            <v>MKP000631004176</v>
          </cell>
          <cell r="C1728" t="str">
            <v/>
          </cell>
          <cell r="D1728" t="str">
            <v>Conjunto Sala de Jantar Madesa Débora Mesa Tampo de Vidro Redondo 4 Cadeiras Rustic/Bege Marrom</v>
          </cell>
          <cell r="E1728" t="str">
            <v>DÉBORA</v>
          </cell>
          <cell r="F1728" t="str">
            <v>SALA DE JANTAR</v>
          </cell>
          <cell r="G1728" t="str">
            <v>4290X</v>
          </cell>
          <cell r="H1728">
            <v>779.99</v>
          </cell>
          <cell r="I1728">
            <v>679.99</v>
          </cell>
          <cell r="J1728">
            <v>531.88729999999998</v>
          </cell>
          <cell r="K1728">
            <v>0</v>
          </cell>
          <cell r="L1728">
            <v>531.88729999999998</v>
          </cell>
          <cell r="M1728">
            <v>0</v>
          </cell>
          <cell r="N1728">
            <v>679.99</v>
          </cell>
          <cell r="O1728" t="str">
            <v/>
          </cell>
          <cell r="P1728">
            <v>0</v>
          </cell>
          <cell r="Q1728">
            <v>0.27844752074358597</v>
          </cell>
          <cell r="R1728">
            <v>0.27844752074358597</v>
          </cell>
          <cell r="S1728" t="e">
            <v>#VALUE!</v>
          </cell>
          <cell r="T1728" t="e">
            <v>#VALUE!</v>
          </cell>
        </row>
        <row r="1729">
          <cell r="A1729" t="str">
            <v>GRLX240002H8</v>
          </cell>
          <cell r="B1729" t="str">
            <v>MKP000631003750</v>
          </cell>
          <cell r="C1729" t="str">
            <v/>
          </cell>
          <cell r="D1729" t="str">
            <v>Armário de Cozinha Completa 240cm Rustic Branco Veludo Lux Madesa 02</v>
          </cell>
          <cell r="E1729" t="str">
            <v>LUX</v>
          </cell>
          <cell r="F1729" t="str">
            <v>COZINHA</v>
          </cell>
          <cell r="G1729" t="str">
            <v/>
          </cell>
          <cell r="H1729">
            <v>3819.99</v>
          </cell>
          <cell r="I1729">
            <v>3729.99</v>
          </cell>
          <cell r="J1729">
            <v>1994.7872</v>
          </cell>
          <cell r="K1729">
            <v>0</v>
          </cell>
          <cell r="L1729">
            <v>1994.7872</v>
          </cell>
          <cell r="M1729">
            <v>0</v>
          </cell>
          <cell r="N1729">
            <v>3729.99</v>
          </cell>
          <cell r="O1729" t="str">
            <v>LOJA</v>
          </cell>
          <cell r="P1729">
            <v>3279.99</v>
          </cell>
          <cell r="Q1729">
            <v>0.86986862558572697</v>
          </cell>
          <cell r="R1729">
            <v>0.86986862558572697</v>
          </cell>
          <cell r="S1729" t="e">
            <v>#VALUE!</v>
          </cell>
          <cell r="T1729" t="e">
            <v>#VALUE!</v>
          </cell>
        </row>
        <row r="1730">
          <cell r="A1730" t="str">
            <v>G251215ZTE</v>
          </cell>
          <cell r="B1730" t="str">
            <v>MKP000631002964</v>
          </cell>
          <cell r="C1730" t="str">
            <v/>
          </cell>
          <cell r="D1730" t="str">
            <v>Armário Aéreo Madesa Stella 120 cm 2 Portas Rustic</v>
          </cell>
          <cell r="E1730" t="str">
            <v>STELLA</v>
          </cell>
          <cell r="F1730" t="str">
            <v>MODULAÇÃO</v>
          </cell>
          <cell r="G1730" t="str">
            <v/>
          </cell>
          <cell r="H1730">
            <v>819.99</v>
          </cell>
          <cell r="I1730">
            <v>479.99</v>
          </cell>
          <cell r="J1730">
            <v>310.49740000000003</v>
          </cell>
          <cell r="K1730">
            <v>0</v>
          </cell>
          <cell r="L1730">
            <v>310.49740000000003</v>
          </cell>
          <cell r="M1730">
            <v>0</v>
          </cell>
          <cell r="N1730">
            <v>479.99</v>
          </cell>
          <cell r="O1730" t="str">
            <v/>
          </cell>
          <cell r="P1730">
            <v>0</v>
          </cell>
          <cell r="Q1730">
            <v>0.54587445820802405</v>
          </cell>
          <cell r="R1730">
            <v>0.54587445820802405</v>
          </cell>
          <cell r="S1730" t="e">
            <v>#VALUE!</v>
          </cell>
          <cell r="T1730" t="e">
            <v>#VALUE!</v>
          </cell>
        </row>
        <row r="1731">
          <cell r="A1731" t="str">
            <v>GRRM27000209</v>
          </cell>
          <cell r="B1731" t="str">
            <v>MKP000631003404</v>
          </cell>
          <cell r="C1731" t="str">
            <v/>
          </cell>
          <cell r="D1731" t="str">
            <v>Armário de Cozinha Completa 270cm Branco Reims Madesa 02</v>
          </cell>
          <cell r="E1731" t="str">
            <v>REIMS</v>
          </cell>
          <cell r="F1731" t="str">
            <v>COZINHA</v>
          </cell>
          <cell r="G1731" t="str">
            <v/>
          </cell>
          <cell r="H1731">
            <v>2819.99</v>
          </cell>
          <cell r="I1731">
            <v>1819.92</v>
          </cell>
          <cell r="J1731">
            <v>1597.6784</v>
          </cell>
          <cell r="K1731">
            <v>0</v>
          </cell>
          <cell r="L1731">
            <v>1597.6784</v>
          </cell>
          <cell r="M1731">
            <v>0</v>
          </cell>
          <cell r="N1731">
            <v>1819.92</v>
          </cell>
          <cell r="O1731" t="str">
            <v/>
          </cell>
          <cell r="P1731">
            <v>0</v>
          </cell>
          <cell r="Q1731">
            <v>0.139102838218255</v>
          </cell>
          <cell r="R1731">
            <v>0.139102838218255</v>
          </cell>
          <cell r="S1731" t="e">
            <v>#VALUE!</v>
          </cell>
          <cell r="T1731" t="e">
            <v>#VALUE!</v>
          </cell>
        </row>
        <row r="1732">
          <cell r="A1732" t="str">
            <v>10289B</v>
          </cell>
          <cell r="B1732" t="str">
            <v>MKP000631003460</v>
          </cell>
          <cell r="C1732" t="str">
            <v/>
          </cell>
          <cell r="D1732" t="str">
            <v>Guarda-Roupa Casal Madesa Austin 4 Portas de Correr 3 Gavetas Branco/Rustic</v>
          </cell>
          <cell r="E1732" t="str">
            <v>AUSTIN</v>
          </cell>
          <cell r="F1732" t="str">
            <v>QUARTO</v>
          </cell>
          <cell r="G1732" t="str">
            <v/>
          </cell>
          <cell r="H1732">
            <v>1769.99</v>
          </cell>
          <cell r="I1732">
            <v>1399.99</v>
          </cell>
          <cell r="J1732">
            <v>1153.9612</v>
          </cell>
          <cell r="K1732">
            <v>0</v>
          </cell>
          <cell r="L1732">
            <v>1153.9612</v>
          </cell>
          <cell r="M1732">
            <v>0</v>
          </cell>
          <cell r="N1732">
            <v>1399.99</v>
          </cell>
          <cell r="O1732" t="str">
            <v/>
          </cell>
          <cell r="P1732">
            <v>0</v>
          </cell>
          <cell r="Q1732">
            <v>0.21320370216953499</v>
          </cell>
          <cell r="R1732">
            <v>0.21320370216953499</v>
          </cell>
          <cell r="S1732" t="e">
            <v>#VALUE!</v>
          </cell>
          <cell r="T1732" t="e">
            <v>#VALUE!</v>
          </cell>
        </row>
        <row r="1733">
          <cell r="A1733" t="str">
            <v>1093731E2G</v>
          </cell>
          <cell r="B1733" t="str">
            <v>MKP000631002218</v>
          </cell>
          <cell r="C1733" t="str">
            <v/>
          </cell>
          <cell r="D1733" t="str">
            <v>Guarda-Roupa Casal Madesa Lyon 3 Portas de Correr com Espelho 2 Gavetas Branco/Preto</v>
          </cell>
          <cell r="E1733" t="str">
            <v>LYON</v>
          </cell>
          <cell r="F1733" t="str">
            <v>QUARTO</v>
          </cell>
          <cell r="G1733" t="str">
            <v/>
          </cell>
          <cell r="H1733">
            <v>1799.99</v>
          </cell>
          <cell r="I1733">
            <v>1129.99</v>
          </cell>
          <cell r="J1733">
            <v>839.51800000000003</v>
          </cell>
          <cell r="K1733">
            <v>0</v>
          </cell>
          <cell r="L1733">
            <v>839.51800000000003</v>
          </cell>
          <cell r="M1733">
            <v>0</v>
          </cell>
          <cell r="N1733">
            <v>1129.99</v>
          </cell>
          <cell r="O1733" t="str">
            <v>IMPÉRIO</v>
          </cell>
          <cell r="P1733">
            <v>1099</v>
          </cell>
          <cell r="Q1733">
            <v>0.34599853725590102</v>
          </cell>
          <cell r="R1733">
            <v>0.34599853725590102</v>
          </cell>
          <cell r="S1733" t="e">
            <v>#VALUE!</v>
          </cell>
          <cell r="T1733" t="e">
            <v>#VALUE!</v>
          </cell>
        </row>
        <row r="1734">
          <cell r="A1734" t="str">
            <v>42545Z2TSIMK</v>
          </cell>
          <cell r="B1734" t="str">
            <v>MKP000631000942</v>
          </cell>
          <cell r="C1734" t="str">
            <v/>
          </cell>
          <cell r="D1734" t="str">
            <v>Kit 2 Cadeiras 4254 Madesa Rustic/Imperial</v>
          </cell>
          <cell r="E1734">
            <v>4254</v>
          </cell>
          <cell r="F1734" t="str">
            <v>SALA DE JANTAR</v>
          </cell>
          <cell r="G1734">
            <v>4254</v>
          </cell>
          <cell r="H1734">
            <v>809.99</v>
          </cell>
          <cell r="I1734">
            <v>509.99</v>
          </cell>
          <cell r="J1734">
            <v>330.9676</v>
          </cell>
          <cell r="K1734">
            <v>0</v>
          </cell>
          <cell r="L1734">
            <v>330.9676</v>
          </cell>
          <cell r="M1734">
            <v>0</v>
          </cell>
          <cell r="N1734">
            <v>509.99</v>
          </cell>
          <cell r="O1734" t="str">
            <v>WEB (MELI)</v>
          </cell>
          <cell r="P1734">
            <v>509.99</v>
          </cell>
          <cell r="Q1734">
            <v>0.54090611890710805</v>
          </cell>
          <cell r="R1734">
            <v>0.54090611890710805</v>
          </cell>
          <cell r="S1734" t="e">
            <v>#VALUE!</v>
          </cell>
          <cell r="T1734" t="e">
            <v>#VALUE!</v>
          </cell>
        </row>
        <row r="1735">
          <cell r="A1735" t="str">
            <v>10936E2ECP</v>
          </cell>
          <cell r="B1735" t="str">
            <v>MKP000631001864</v>
          </cell>
          <cell r="C1735" t="str">
            <v/>
          </cell>
          <cell r="D1735" t="str">
            <v>Guarda-Roupa Casal Madesa Mônaco 3 Portas de Correr com Espelhos com Pés Rustic/Branco</v>
          </cell>
          <cell r="E1735" t="str">
            <v>MÔNACO</v>
          </cell>
          <cell r="F1735" t="str">
            <v>QUARTO</v>
          </cell>
          <cell r="G1735" t="str">
            <v/>
          </cell>
          <cell r="H1735">
            <v>1469.99</v>
          </cell>
          <cell r="I1735">
            <v>1149.92</v>
          </cell>
          <cell r="J1735">
            <v>926.89239999999995</v>
          </cell>
          <cell r="K1735">
            <v>0</v>
          </cell>
          <cell r="L1735">
            <v>926.89239999999995</v>
          </cell>
          <cell r="M1735">
            <v>0</v>
          </cell>
          <cell r="N1735">
            <v>1149.92</v>
          </cell>
          <cell r="O1735" t="str">
            <v/>
          </cell>
          <cell r="P1735">
            <v>0</v>
          </cell>
          <cell r="Q1735">
            <v>0.240618652175808</v>
          </cell>
          <cell r="R1735">
            <v>0.240618652175808</v>
          </cell>
          <cell r="S1735" t="e">
            <v>#VALUE!</v>
          </cell>
          <cell r="T1735" t="e">
            <v>#VALUE!</v>
          </cell>
        </row>
        <row r="1736">
          <cell r="A1736" t="str">
            <v>GRAG1800047K</v>
          </cell>
          <cell r="B1736" t="str">
            <v>MKP000631004269</v>
          </cell>
          <cell r="C1736" t="str">
            <v/>
          </cell>
          <cell r="D1736" t="str">
            <v>Armário de Cozinha Compacta 180cm Rustic Preto Agata Madesa 04</v>
          </cell>
          <cell r="E1736" t="str">
            <v>ÁGATA</v>
          </cell>
          <cell r="F1736" t="str">
            <v>COZINHA</v>
          </cell>
          <cell r="G1736" t="str">
            <v/>
          </cell>
          <cell r="H1736">
            <v>1599.99</v>
          </cell>
          <cell r="I1736">
            <v>1499.99</v>
          </cell>
          <cell r="J1736">
            <v>1236.3869999999999</v>
          </cell>
          <cell r="K1736">
            <v>0</v>
          </cell>
          <cell r="L1736">
            <v>1236.3869999999999</v>
          </cell>
          <cell r="M1736">
            <v>0</v>
          </cell>
          <cell r="N1736">
            <v>1499.99</v>
          </cell>
          <cell r="O1736" t="str">
            <v/>
          </cell>
          <cell r="P1736">
            <v>0</v>
          </cell>
          <cell r="Q1736">
            <v>0.213204279889711</v>
          </cell>
          <cell r="R1736">
            <v>0.213204279889711</v>
          </cell>
          <cell r="S1736" t="e">
            <v>#VALUE!</v>
          </cell>
          <cell r="T1736" t="e">
            <v>#VALUE!</v>
          </cell>
        </row>
        <row r="1737">
          <cell r="A1737" t="str">
            <v>GCSM138001C9</v>
          </cell>
          <cell r="B1737" t="str">
            <v>MKP000631002992</v>
          </cell>
          <cell r="C1737" t="str">
            <v/>
          </cell>
          <cell r="D1737" t="str">
            <v>Kit Canto Madesa Smart 100% MDF 2 Portas e Nicho Frentes Branco Brilho</v>
          </cell>
          <cell r="E1737" t="str">
            <v>SMART</v>
          </cell>
          <cell r="F1737" t="str">
            <v>MODULAÇÃO</v>
          </cell>
          <cell r="G1737" t="str">
            <v/>
          </cell>
          <cell r="H1737">
            <v>939.99</v>
          </cell>
          <cell r="I1737">
            <v>729.99</v>
          </cell>
          <cell r="J1737">
            <v>449.66860000000003</v>
          </cell>
          <cell r="K1737">
            <v>0</v>
          </cell>
          <cell r="L1737">
            <v>449.66860000000003</v>
          </cell>
          <cell r="M1737">
            <v>0</v>
          </cell>
          <cell r="N1737">
            <v>729.99</v>
          </cell>
          <cell r="O1737" t="str">
            <v/>
          </cell>
          <cell r="P1737">
            <v>0</v>
          </cell>
          <cell r="Q1737">
            <v>0.62339554062702995</v>
          </cell>
          <cell r="R1737">
            <v>0.62339554062702995</v>
          </cell>
          <cell r="S1737" t="e">
            <v>#VALUE!</v>
          </cell>
          <cell r="T1737" t="e">
            <v>#VALUE!</v>
          </cell>
        </row>
        <row r="1738">
          <cell r="A1738" t="str">
            <v>XAGRRM26000109</v>
          </cell>
          <cell r="B1738" t="str">
            <v>MKP000631002183</v>
          </cell>
          <cell r="C1738" t="str">
            <v/>
          </cell>
          <cell r="D1738" t="str">
            <v>Armário de Cozinha Completa 250cm Branco Reims Madesa XA01</v>
          </cell>
          <cell r="E1738" t="str">
            <v>REIMS</v>
          </cell>
          <cell r="F1738" t="str">
            <v>COZINHA</v>
          </cell>
          <cell r="G1738" t="str">
            <v/>
          </cell>
          <cell r="H1738">
            <v>1439.99</v>
          </cell>
          <cell r="I1738">
            <v>1289.92</v>
          </cell>
          <cell r="J1738">
            <v>1068.8104000000001</v>
          </cell>
          <cell r="K1738">
            <v>0</v>
          </cell>
          <cell r="L1738">
            <v>1068.8104000000001</v>
          </cell>
          <cell r="M1738">
            <v>0</v>
          </cell>
          <cell r="N1738">
            <v>1289.92</v>
          </cell>
          <cell r="O1738" t="str">
            <v/>
          </cell>
          <cell r="P1738">
            <v>0</v>
          </cell>
          <cell r="Q1738">
            <v>0.20687448400576899</v>
          </cell>
          <cell r="R1738">
            <v>0.20687448400576899</v>
          </cell>
          <cell r="S1738" t="e">
            <v>#VALUE!</v>
          </cell>
          <cell r="T1738" t="e">
            <v>#VALUE!</v>
          </cell>
        </row>
        <row r="1739">
          <cell r="A1739" t="str">
            <v>XB106309</v>
          </cell>
          <cell r="B1739" t="str">
            <v>MKP000631001438</v>
          </cell>
          <cell r="C1739" t="str">
            <v/>
          </cell>
          <cell r="D1739" t="str">
            <v>Guarda-Roupa Juvenil 100% MDF Madesa Kevin 3 Portas de Correr Branco</v>
          </cell>
          <cell r="E1739" t="str">
            <v>KEVIN</v>
          </cell>
          <cell r="F1739" t="str">
            <v>QUARTO</v>
          </cell>
          <cell r="G1739" t="str">
            <v/>
          </cell>
          <cell r="H1739">
            <v>3019.99</v>
          </cell>
          <cell r="I1739">
            <v>1899.99</v>
          </cell>
          <cell r="J1739">
            <v>1551.3534</v>
          </cell>
          <cell r="K1739">
            <v>0</v>
          </cell>
          <cell r="L1739">
            <v>1551.3534</v>
          </cell>
          <cell r="M1739">
            <v>0</v>
          </cell>
          <cell r="N1739">
            <v>1899.99</v>
          </cell>
          <cell r="O1739" t="str">
            <v>MADEIRAMADEIRA</v>
          </cell>
          <cell r="P1739">
            <v>1879.99</v>
          </cell>
          <cell r="Q1739">
            <v>0.22473061263797101</v>
          </cell>
          <cell r="R1739">
            <v>0.22473061263797101</v>
          </cell>
          <cell r="S1739" t="e">
            <v>#VALUE!</v>
          </cell>
          <cell r="T1739" t="e">
            <v>#VALUE!</v>
          </cell>
        </row>
        <row r="1740">
          <cell r="A1740" t="str">
            <v>GCEM4170015Z</v>
          </cell>
          <cell r="B1740" t="str">
            <v>MKP000631000447</v>
          </cell>
          <cell r="C1740" t="str">
            <v/>
          </cell>
          <cell r="D1740" t="str">
            <v>Armário de Cozinha Completa de Canto 417cm Rustic Emilly Ice Madesa 01</v>
          </cell>
          <cell r="E1740" t="str">
            <v>ICE/EMILLY</v>
          </cell>
          <cell r="F1740" t="str">
            <v>COZINHA</v>
          </cell>
          <cell r="G1740" t="str">
            <v/>
          </cell>
          <cell r="H1740">
            <v>2879.99</v>
          </cell>
          <cell r="I1740">
            <v>1499.99</v>
          </cell>
          <cell r="J1740">
            <v>1217.7262000000001</v>
          </cell>
          <cell r="K1740">
            <v>0</v>
          </cell>
          <cell r="L1740">
            <v>1217.7262000000001</v>
          </cell>
          <cell r="M1740">
            <v>0</v>
          </cell>
          <cell r="N1740">
            <v>1499.99</v>
          </cell>
          <cell r="O1740" t="str">
            <v/>
          </cell>
          <cell r="P1740">
            <v>0</v>
          </cell>
          <cell r="Q1740">
            <v>0.23179578463533099</v>
          </cell>
          <cell r="R1740">
            <v>0.23179578463533099</v>
          </cell>
          <cell r="S1740" t="e">
            <v>#VALUE!</v>
          </cell>
          <cell r="T1740" t="e">
            <v>#VALUE!</v>
          </cell>
        </row>
        <row r="1741">
          <cell r="A1741" t="str">
            <v>10949B4G</v>
          </cell>
          <cell r="B1741" t="str">
            <v>MKP000631000779</v>
          </cell>
          <cell r="C1741" t="str">
            <v/>
          </cell>
          <cell r="D1741" t="str">
            <v>Guarda-Roupa Solteiro Madesa Dallas Plus 2 Portas de Correr 4 Gavetas Branco/Rustic</v>
          </cell>
          <cell r="E1741" t="str">
            <v>DALLAS PLUS</v>
          </cell>
          <cell r="F1741" t="str">
            <v>QUARTO</v>
          </cell>
          <cell r="G1741" t="str">
            <v/>
          </cell>
          <cell r="H1741">
            <v>1069.99</v>
          </cell>
          <cell r="I1741">
            <v>819.92</v>
          </cell>
          <cell r="J1741">
            <v>652.58299999999997</v>
          </cell>
          <cell r="K1741">
            <v>0</v>
          </cell>
          <cell r="L1741">
            <v>652.58299999999997</v>
          </cell>
          <cell r="M1741">
            <v>0</v>
          </cell>
          <cell r="N1741">
            <v>819.92</v>
          </cell>
          <cell r="O1741" t="str">
            <v/>
          </cell>
          <cell r="P1741">
            <v>0</v>
          </cell>
          <cell r="Q1741">
            <v>0.25642255467886799</v>
          </cell>
          <cell r="R1741">
            <v>0.25642255467886799</v>
          </cell>
          <cell r="S1741" t="e">
            <v>#VALUE!</v>
          </cell>
          <cell r="T1741" t="e">
            <v>#VALUE!</v>
          </cell>
        </row>
        <row r="1742">
          <cell r="A1742" t="str">
            <v>XC1063D82E</v>
          </cell>
          <cell r="B1742" t="str">
            <v>MKP000631003112</v>
          </cell>
          <cell r="C1742" t="str">
            <v/>
          </cell>
          <cell r="D1742" t="str">
            <v>Guarda-Roupa Casal 100% MDF Madesa Zurique 3 Portas de Correr com Espelhos Preto/Rustic</v>
          </cell>
          <cell r="E1742" t="str">
            <v>ZURIQUE</v>
          </cell>
          <cell r="F1742" t="str">
            <v>QUARTO</v>
          </cell>
          <cell r="G1742" t="str">
            <v/>
          </cell>
          <cell r="H1742">
            <v>3189.99</v>
          </cell>
          <cell r="I1742">
            <v>2359.92</v>
          </cell>
          <cell r="J1742">
            <v>2033.8746000000001</v>
          </cell>
          <cell r="K1742">
            <v>0</v>
          </cell>
          <cell r="L1742">
            <v>2033.8746000000001</v>
          </cell>
          <cell r="M1742">
            <v>0</v>
          </cell>
          <cell r="N1742">
            <v>2359.92</v>
          </cell>
          <cell r="O1742" t="str">
            <v/>
          </cell>
          <cell r="P1742">
            <v>0</v>
          </cell>
          <cell r="Q1742">
            <v>0.160307523384185</v>
          </cell>
          <cell r="R1742">
            <v>0.160307523384185</v>
          </cell>
          <cell r="S1742" t="e">
            <v>#VALUE!</v>
          </cell>
          <cell r="T1742" t="e">
            <v>#VALUE!</v>
          </cell>
        </row>
        <row r="1743">
          <cell r="A1743" t="str">
            <v>GRTP18000273</v>
          </cell>
          <cell r="B1743" t="str">
            <v>MKP000631003568</v>
          </cell>
          <cell r="C1743" t="str">
            <v/>
          </cell>
          <cell r="D1743" t="str">
            <v>Cozinha Compacta Madesa Diamante Pop com Armário, Balcão e Tampo Branco/Preto</v>
          </cell>
          <cell r="E1743" t="str">
            <v>DIAMANTE</v>
          </cell>
          <cell r="F1743" t="str">
            <v>COZINHA</v>
          </cell>
          <cell r="G1743" t="str">
            <v/>
          </cell>
          <cell r="H1743">
            <v>1099.99</v>
          </cell>
          <cell r="I1743">
            <v>999.99</v>
          </cell>
          <cell r="J1743">
            <v>813.4452</v>
          </cell>
          <cell r="K1743">
            <v>0</v>
          </cell>
          <cell r="L1743">
            <v>813.4452</v>
          </cell>
          <cell r="M1743">
            <v>0</v>
          </cell>
          <cell r="N1743">
            <v>999.99</v>
          </cell>
          <cell r="O1743" t="str">
            <v/>
          </cell>
          <cell r="P1743">
            <v>0</v>
          </cell>
          <cell r="Q1743">
            <v>0.22932681881951</v>
          </cell>
          <cell r="R1743">
            <v>0.22932681881951</v>
          </cell>
          <cell r="S1743" t="e">
            <v>#VALUE!</v>
          </cell>
          <cell r="T1743" t="e">
            <v>#VALUE!</v>
          </cell>
        </row>
        <row r="1744">
          <cell r="A1744" t="str">
            <v>GCAG45900173</v>
          </cell>
          <cell r="B1744" t="str">
            <v>MKP000631004529</v>
          </cell>
          <cell r="C1744" t="str">
            <v/>
          </cell>
          <cell r="D1744" t="str">
            <v>Armário de Cozinha Completa de Canto 459cm Branco Preto Agata Madesa 01</v>
          </cell>
          <cell r="E1744" t="str">
            <v>ÁGATA</v>
          </cell>
          <cell r="F1744" t="str">
            <v>COZINHA</v>
          </cell>
          <cell r="G1744" t="str">
            <v/>
          </cell>
          <cell r="H1744">
            <v>3449.99</v>
          </cell>
          <cell r="I1744">
            <v>3349.99</v>
          </cell>
          <cell r="J1744">
            <v>2732.2485000000001</v>
          </cell>
          <cell r="K1744">
            <v>0</v>
          </cell>
          <cell r="L1744">
            <v>2732.2485000000001</v>
          </cell>
          <cell r="M1744">
            <v>0</v>
          </cell>
          <cell r="N1744">
            <v>3349.99</v>
          </cell>
          <cell r="O1744" t="str">
            <v/>
          </cell>
          <cell r="P1744">
            <v>0</v>
          </cell>
          <cell r="Q1744">
            <v>0.22609272180037801</v>
          </cell>
          <cell r="R1744">
            <v>0.22609272180037801</v>
          </cell>
          <cell r="S1744" t="e">
            <v>#VALUE!</v>
          </cell>
          <cell r="T1744" t="e">
            <v>#VALUE!</v>
          </cell>
        </row>
        <row r="1745">
          <cell r="A1745" t="str">
            <v>XA1094094G</v>
          </cell>
          <cell r="B1745" t="str">
            <v>MKP000631001599</v>
          </cell>
          <cell r="C1745" t="str">
            <v/>
          </cell>
          <cell r="D1745" t="str">
            <v>Guarda-Roupa Infantil Madesa Theo 2 Portas de Correr 4 Gavetas Branco</v>
          </cell>
          <cell r="E1745" t="str">
            <v>THEO</v>
          </cell>
          <cell r="F1745" t="str">
            <v>QUARTO</v>
          </cell>
          <cell r="G1745" t="str">
            <v/>
          </cell>
          <cell r="H1745">
            <v>899.99</v>
          </cell>
          <cell r="I1745">
            <v>799.99</v>
          </cell>
          <cell r="J1745">
            <v>652.58299999999997</v>
          </cell>
          <cell r="K1745">
            <v>0</v>
          </cell>
          <cell r="L1745">
            <v>652.58299999999997</v>
          </cell>
          <cell r="M1745">
            <v>0</v>
          </cell>
          <cell r="N1745">
            <v>799.99</v>
          </cell>
          <cell r="O1745" t="str">
            <v/>
          </cell>
          <cell r="P1745">
            <v>0</v>
          </cell>
          <cell r="Q1745">
            <v>0.22588237818024701</v>
          </cell>
          <cell r="R1745">
            <v>0.22588237818024701</v>
          </cell>
          <cell r="S1745" t="e">
            <v>#VALUE!</v>
          </cell>
          <cell r="T1745" t="e">
            <v>#VALUE!</v>
          </cell>
        </row>
        <row r="1746">
          <cell r="A1746" t="str">
            <v>10935Z4G</v>
          </cell>
          <cell r="B1746" t="str">
            <v>MKP000631000466</v>
          </cell>
          <cell r="C1746" t="str">
            <v/>
          </cell>
          <cell r="D1746" t="str">
            <v>Guarda-Roupa Casal Madesa Lyon Plus 3 Portas de Correr 4 Gavetas Rustic</v>
          </cell>
          <cell r="E1746" t="str">
            <v>LYON PLUS</v>
          </cell>
          <cell r="F1746" t="str">
            <v>QUARTO</v>
          </cell>
          <cell r="G1746" t="str">
            <v/>
          </cell>
          <cell r="H1746">
            <v>1129.99</v>
          </cell>
          <cell r="I1746">
            <v>989.92</v>
          </cell>
          <cell r="J1746">
            <v>798.32690000000002</v>
          </cell>
          <cell r="K1746">
            <v>0</v>
          </cell>
          <cell r="L1746">
            <v>798.32690000000002</v>
          </cell>
          <cell r="M1746">
            <v>0</v>
          </cell>
          <cell r="N1746">
            <v>989.92</v>
          </cell>
          <cell r="O1746" t="str">
            <v/>
          </cell>
          <cell r="P1746">
            <v>0</v>
          </cell>
          <cell r="Q1746">
            <v>0.23999329096890001</v>
          </cell>
          <cell r="R1746">
            <v>0.23999329096890001</v>
          </cell>
          <cell r="S1746" t="e">
            <v>#VALUE!</v>
          </cell>
          <cell r="T1746" t="e">
            <v>#VALUE!</v>
          </cell>
        </row>
        <row r="1747">
          <cell r="A1747" t="str">
            <v>GCGM45900109</v>
          </cell>
          <cell r="B1747" t="str">
            <v>MKP000631004678</v>
          </cell>
          <cell r="C1747" t="str">
            <v/>
          </cell>
          <cell r="D1747" t="str">
            <v>Armário de Cozinha Completa de Canto 100% MDF 459cm Frentes Branco Brilho Acordes Madesa 01</v>
          </cell>
          <cell r="E1747" t="str">
            <v>ACORDES</v>
          </cell>
          <cell r="F1747" t="str">
            <v>COZINHA</v>
          </cell>
          <cell r="G1747" t="str">
            <v/>
          </cell>
          <cell r="H1747">
            <v>4309.99</v>
          </cell>
          <cell r="I1747">
            <v>3199.99</v>
          </cell>
          <cell r="J1747">
            <v>2709.4238999999998</v>
          </cell>
          <cell r="K1747">
            <v>0</v>
          </cell>
          <cell r="L1747">
            <v>2709.4238999999998</v>
          </cell>
          <cell r="M1747">
            <v>0</v>
          </cell>
          <cell r="N1747">
            <v>3199.99</v>
          </cell>
          <cell r="O1747" t="str">
            <v/>
          </cell>
          <cell r="P1747">
            <v>0</v>
          </cell>
          <cell r="Q1747">
            <v>0.18105919121773401</v>
          </cell>
          <cell r="R1747">
            <v>0.18105919121773401</v>
          </cell>
          <cell r="S1747" t="e">
            <v>#VALUE!</v>
          </cell>
          <cell r="T1747" t="e">
            <v>#VALUE!</v>
          </cell>
        </row>
        <row r="1748">
          <cell r="A1748" t="str">
            <v>10445ZA2ECP</v>
          </cell>
          <cell r="B1748" t="str">
            <v>MKP000631000137</v>
          </cell>
          <cell r="C1748" t="str">
            <v/>
          </cell>
          <cell r="D1748" t="str">
            <v>Guarda-Roupa Solteiro Madesa Luke 2 Portas de Correr de Espelho com Pés Rustic</v>
          </cell>
          <cell r="E1748" t="str">
            <v>LUKE</v>
          </cell>
          <cell r="F1748" t="str">
            <v>QUARTO</v>
          </cell>
          <cell r="G1748" t="str">
            <v/>
          </cell>
          <cell r="H1748">
            <v>1409.99</v>
          </cell>
          <cell r="I1748">
            <v>1119.92</v>
          </cell>
          <cell r="J1748">
            <v>882.32230000000004</v>
          </cell>
          <cell r="K1748">
            <v>0</v>
          </cell>
          <cell r="L1748">
            <v>882.32230000000004</v>
          </cell>
          <cell r="M1748">
            <v>0</v>
          </cell>
          <cell r="N1748">
            <v>1119.92</v>
          </cell>
          <cell r="O1748" t="str">
            <v/>
          </cell>
          <cell r="P1748">
            <v>0</v>
          </cell>
          <cell r="Q1748">
            <v>0.26928674476435699</v>
          </cell>
          <cell r="R1748">
            <v>0.26928674476435699</v>
          </cell>
          <cell r="S1748" t="e">
            <v>#VALUE!</v>
          </cell>
          <cell r="T1748" t="e">
            <v>#VALUE!</v>
          </cell>
        </row>
        <row r="1749">
          <cell r="A1749" t="str">
            <v>MDES0200217KD8</v>
          </cell>
          <cell r="B1749" t="str">
            <v>MKP000631001881</v>
          </cell>
          <cell r="C1749" t="str">
            <v/>
          </cell>
          <cell r="D1749" t="str">
            <v>Rack Madesa Cancun com Pés e Painel para TV até 58 Polegadas Preto/Rustic 7KD8</v>
          </cell>
          <cell r="E1749" t="str">
            <v>CANCUN</v>
          </cell>
          <cell r="F1749" t="str">
            <v>SALA DE ESTAR</v>
          </cell>
          <cell r="G1749" t="str">
            <v/>
          </cell>
          <cell r="H1749">
            <v>979.99</v>
          </cell>
          <cell r="I1749">
            <v>469.99</v>
          </cell>
          <cell r="J1749">
            <v>382.90609999999998</v>
          </cell>
          <cell r="K1749">
            <v>0</v>
          </cell>
          <cell r="L1749">
            <v>382.90609999999998</v>
          </cell>
          <cell r="M1749">
            <v>0</v>
          </cell>
          <cell r="N1749">
            <v>469.99</v>
          </cell>
          <cell r="O1749" t="str">
            <v/>
          </cell>
          <cell r="P1749">
            <v>0</v>
          </cell>
          <cell r="Q1749">
            <v>0.22742886571929799</v>
          </cell>
          <cell r="R1749">
            <v>0.22742886571929799</v>
          </cell>
          <cell r="S1749" t="e">
            <v>#VALUE!</v>
          </cell>
          <cell r="T1749" t="e">
            <v>#VALUE!</v>
          </cell>
        </row>
        <row r="1750">
          <cell r="A1750" t="str">
            <v>109773</v>
          </cell>
          <cell r="B1750" t="str">
            <v>MKP000631002470</v>
          </cell>
          <cell r="C1750" t="str">
            <v/>
          </cell>
          <cell r="D1750" t="str">
            <v>Guarda-Roupa Solteiro Madesa Tokio 2 Portas de Correr 2 Gavetas Branco/Preto</v>
          </cell>
          <cell r="E1750" t="str">
            <v>TOKIO</v>
          </cell>
          <cell r="F1750" t="str">
            <v>QUARTO</v>
          </cell>
          <cell r="G1750" t="str">
            <v/>
          </cell>
          <cell r="H1750">
            <v>1399.99</v>
          </cell>
          <cell r="I1750">
            <v>769.92</v>
          </cell>
          <cell r="J1750">
            <v>630.83749999999998</v>
          </cell>
          <cell r="K1750">
            <v>0</v>
          </cell>
          <cell r="L1750">
            <v>630.83749999999998</v>
          </cell>
          <cell r="M1750">
            <v>0</v>
          </cell>
          <cell r="N1750">
            <v>769.92</v>
          </cell>
          <cell r="O1750" t="str">
            <v/>
          </cell>
          <cell r="P1750">
            <v>0</v>
          </cell>
          <cell r="Q1750">
            <v>0.220472784195613</v>
          </cell>
          <cell r="R1750">
            <v>0.220472784195613</v>
          </cell>
          <cell r="S1750" t="e">
            <v>#VALUE!</v>
          </cell>
          <cell r="T1750" t="e">
            <v>#VALUE!</v>
          </cell>
        </row>
        <row r="1751">
          <cell r="A1751" t="str">
            <v>700873</v>
          </cell>
          <cell r="B1751" t="str">
            <v>MKP000631001631</v>
          </cell>
          <cell r="C1751" t="str">
            <v/>
          </cell>
          <cell r="D1751" t="str">
            <v>Rack para TV até 65 Polegadas Madesa Cancun Branco/Preto</v>
          </cell>
          <cell r="E1751" t="str">
            <v>CANCUN</v>
          </cell>
          <cell r="F1751" t="str">
            <v>SALA DE ESTAR</v>
          </cell>
          <cell r="G1751" t="str">
            <v/>
          </cell>
          <cell r="H1751">
            <v>719.99</v>
          </cell>
          <cell r="I1751">
            <v>299.99</v>
          </cell>
          <cell r="J1751">
            <v>250.32939999999999</v>
          </cell>
          <cell r="K1751">
            <v>0</v>
          </cell>
          <cell r="L1751">
            <v>250.32939999999999</v>
          </cell>
          <cell r="M1751">
            <v>0</v>
          </cell>
          <cell r="N1751">
            <v>299.99</v>
          </cell>
          <cell r="O1751" t="str">
            <v/>
          </cell>
          <cell r="P1751">
            <v>0</v>
          </cell>
          <cell r="Q1751">
            <v>0.19838101317703799</v>
          </cell>
          <cell r="R1751">
            <v>0.19838101317703799</v>
          </cell>
          <cell r="S1751" t="e">
            <v>#VALUE!</v>
          </cell>
          <cell r="T1751" t="e">
            <v>#VALUE!</v>
          </cell>
        </row>
        <row r="1752">
          <cell r="A1752" t="str">
            <v>102877</v>
          </cell>
          <cell r="B1752" t="str">
            <v>MKP000631003461</v>
          </cell>
          <cell r="C1752" t="str">
            <v/>
          </cell>
          <cell r="D1752" t="str">
            <v>Guarda-Roupa Casal Madesa Austin 4 Portas de Correr 3 Gavetas Preto/Branco</v>
          </cell>
          <cell r="E1752" t="str">
            <v>AUSTIN</v>
          </cell>
          <cell r="F1752" t="str">
            <v>QUARTO</v>
          </cell>
          <cell r="G1752" t="str">
            <v/>
          </cell>
          <cell r="H1752">
            <v>2429.9899999999998</v>
          </cell>
          <cell r="I1752">
            <v>1399.99</v>
          </cell>
          <cell r="J1752">
            <v>1153.9612</v>
          </cell>
          <cell r="K1752">
            <v>0</v>
          </cell>
          <cell r="L1752">
            <v>1153.9612</v>
          </cell>
          <cell r="M1752">
            <v>0</v>
          </cell>
          <cell r="N1752">
            <v>1399.99</v>
          </cell>
          <cell r="O1752" t="str">
            <v/>
          </cell>
          <cell r="P1752">
            <v>0</v>
          </cell>
          <cell r="Q1752">
            <v>0.21320370216953499</v>
          </cell>
          <cell r="R1752">
            <v>0.21320370216953499</v>
          </cell>
          <cell r="S1752" t="e">
            <v>#VALUE!</v>
          </cell>
          <cell r="T1752" t="e">
            <v>#VALUE!</v>
          </cell>
        </row>
        <row r="1753">
          <cell r="A1753" t="str">
            <v>G256026ETE</v>
          </cell>
          <cell r="B1753" t="str">
            <v>MKP000631002148</v>
          </cell>
          <cell r="C1753" t="str">
            <v/>
          </cell>
          <cell r="D1753" t="str">
            <v>Armário Aéreo Madesa Stella 60 cm 1 Porta Basculante Rustic/Branco</v>
          </cell>
          <cell r="E1753" t="str">
            <v>STELLA</v>
          </cell>
          <cell r="F1753" t="str">
            <v>MODULAÇÃO</v>
          </cell>
          <cell r="G1753" t="str">
            <v/>
          </cell>
          <cell r="H1753">
            <v>389.99</v>
          </cell>
          <cell r="I1753">
            <v>239.99</v>
          </cell>
          <cell r="J1753">
            <v>153.41749999999999</v>
          </cell>
          <cell r="K1753">
            <v>0</v>
          </cell>
          <cell r="L1753">
            <v>153.41749999999999</v>
          </cell>
          <cell r="M1753">
            <v>0</v>
          </cell>
          <cell r="N1753">
            <v>239.99</v>
          </cell>
          <cell r="O1753" t="str">
            <v/>
          </cell>
          <cell r="P1753">
            <v>0</v>
          </cell>
          <cell r="Q1753">
            <v>0.56429351280003903</v>
          </cell>
          <cell r="R1753">
            <v>0.56429351280003903</v>
          </cell>
          <cell r="S1753" t="e">
            <v>#VALUE!</v>
          </cell>
          <cell r="T1753" t="e">
            <v>#VALUE!</v>
          </cell>
        </row>
        <row r="1754">
          <cell r="A1754" t="str">
            <v>GRGL280004A8</v>
          </cell>
          <cell r="B1754" t="str">
            <v>MKP000631001498</v>
          </cell>
          <cell r="C1754" t="str">
            <v/>
          </cell>
          <cell r="D1754" t="str">
            <v>Armário de Cozinha Completa 280cm Branco/Rustic/Branco Genova Madesa 04</v>
          </cell>
          <cell r="E1754" t="str">
            <v>GENOVA/GLAMY</v>
          </cell>
          <cell r="F1754" t="str">
            <v>COZINHA</v>
          </cell>
          <cell r="G1754" t="str">
            <v/>
          </cell>
          <cell r="H1754">
            <v>2599.9899999999998</v>
          </cell>
          <cell r="I1754">
            <v>2499.9899999999998</v>
          </cell>
          <cell r="J1754">
            <v>2050.3009000000002</v>
          </cell>
          <cell r="K1754">
            <v>0</v>
          </cell>
          <cell r="L1754">
            <v>2050.3009000000002</v>
          </cell>
          <cell r="M1754">
            <v>0</v>
          </cell>
          <cell r="N1754">
            <v>2499.9899999999998</v>
          </cell>
          <cell r="O1754" t="str">
            <v/>
          </cell>
          <cell r="P1754">
            <v>0</v>
          </cell>
          <cell r="Q1754">
            <v>0.219328343464122</v>
          </cell>
          <cell r="R1754">
            <v>0.219328343464122</v>
          </cell>
          <cell r="S1754" t="e">
            <v>#VALUE!</v>
          </cell>
          <cell r="T1754" t="e">
            <v>#VALUE!</v>
          </cell>
        </row>
        <row r="1755">
          <cell r="A1755" t="str">
            <v>GCGL26900109</v>
          </cell>
          <cell r="B1755" t="str">
            <v>MKP000631004519</v>
          </cell>
          <cell r="C1755" t="str">
            <v/>
          </cell>
          <cell r="D1755" t="str">
            <v>Armário de Cozinha Compacta de Canto 269cm Branco Glamy Madesa 01</v>
          </cell>
          <cell r="E1755" t="str">
            <v>GLAMY</v>
          </cell>
          <cell r="F1755" t="str">
            <v>COZINHA</v>
          </cell>
          <cell r="G1755" t="str">
            <v/>
          </cell>
          <cell r="H1755">
            <v>1999.99</v>
          </cell>
          <cell r="I1755">
            <v>1899.99</v>
          </cell>
          <cell r="J1755">
            <v>1554.7215000000001</v>
          </cell>
          <cell r="K1755">
            <v>0</v>
          </cell>
          <cell r="L1755">
            <v>1554.7215000000001</v>
          </cell>
          <cell r="M1755">
            <v>0</v>
          </cell>
          <cell r="N1755">
            <v>1899.99</v>
          </cell>
          <cell r="O1755" t="str">
            <v/>
          </cell>
          <cell r="P1755">
            <v>0</v>
          </cell>
          <cell r="Q1755">
            <v>0.22207739456873801</v>
          </cell>
          <cell r="R1755">
            <v>0.22207739456873801</v>
          </cell>
          <cell r="S1755" t="e">
            <v>#VALUE!</v>
          </cell>
          <cell r="T1755" t="e">
            <v>#VALUE!</v>
          </cell>
        </row>
        <row r="1756">
          <cell r="A1756" t="str">
            <v>GREM3250015Z</v>
          </cell>
          <cell r="B1756" t="str">
            <v>MKP000631000439</v>
          </cell>
          <cell r="C1756" t="str">
            <v/>
          </cell>
          <cell r="D1756" t="str">
            <v>Armário de Cozinha Completa 325cm Rustic Emilly Joy Madesa 01</v>
          </cell>
          <cell r="E1756" t="str">
            <v>JOY/EMILLY</v>
          </cell>
          <cell r="F1756" t="str">
            <v>COZINHA</v>
          </cell>
          <cell r="G1756" t="str">
            <v/>
          </cell>
          <cell r="H1756">
            <v>2419.9899999999998</v>
          </cell>
          <cell r="I1756">
            <v>1499.99</v>
          </cell>
          <cell r="J1756">
            <v>1092.4088999999999</v>
          </cell>
          <cell r="K1756">
            <v>0</v>
          </cell>
          <cell r="L1756">
            <v>1092.4088999999999</v>
          </cell>
          <cell r="M1756">
            <v>0</v>
          </cell>
          <cell r="N1756">
            <v>1499.99</v>
          </cell>
          <cell r="O1756" t="str">
            <v>VIA</v>
          </cell>
          <cell r="P1756">
            <v>1399.99</v>
          </cell>
          <cell r="Q1756">
            <v>0.37310305692309897</v>
          </cell>
          <cell r="R1756">
            <v>0.37310305692309897</v>
          </cell>
          <cell r="S1756" t="e">
            <v>#VALUE!</v>
          </cell>
          <cell r="T1756" t="e">
            <v>#VALUE!</v>
          </cell>
        </row>
        <row r="1757">
          <cell r="A1757" t="str">
            <v>MDFC020017096W</v>
          </cell>
          <cell r="B1757" t="str">
            <v>MKP000631005433</v>
          </cell>
          <cell r="C1757" t="str">
            <v/>
          </cell>
          <cell r="D1757" t="str">
            <v>Conjunto Escritório Home Office com Mesa Industrial + Gaveteiro Branco/Cinza Madesa</v>
          </cell>
          <cell r="E1757" t="str">
            <v>9423+ 3322</v>
          </cell>
          <cell r="F1757" t="str">
            <v>ESCRITÓRIO</v>
          </cell>
          <cell r="G1757" t="str">
            <v/>
          </cell>
          <cell r="H1757">
            <v>699.99</v>
          </cell>
          <cell r="I1757">
            <v>699.99</v>
          </cell>
          <cell r="J1757">
            <v>567.95540000000005</v>
          </cell>
          <cell r="K1757">
            <v>0</v>
          </cell>
          <cell r="L1757">
            <v>567.95540000000005</v>
          </cell>
          <cell r="M1757">
            <v>0</v>
          </cell>
          <cell r="N1757">
            <v>699.99</v>
          </cell>
          <cell r="O1757" t="str">
            <v/>
          </cell>
          <cell r="P1757">
            <v>0</v>
          </cell>
          <cell r="Q1757">
            <v>0.23247353577411201</v>
          </cell>
          <cell r="R1757">
            <v>0.23247353577411201</v>
          </cell>
          <cell r="S1757" t="e">
            <v>#VALUE!</v>
          </cell>
          <cell r="T1757" t="e">
            <v>#VALUE!</v>
          </cell>
        </row>
        <row r="1758">
          <cell r="A1758" t="str">
            <v>G248007KAG</v>
          </cell>
          <cell r="B1758" t="str">
            <v>MKP000631003081</v>
          </cell>
          <cell r="C1758" t="str">
            <v/>
          </cell>
          <cell r="D1758" t="str">
            <v>Balcão Madesa Agata 80 cm 2 Portas Rustic/Preto</v>
          </cell>
          <cell r="E1758" t="str">
            <v>ÁGATA</v>
          </cell>
          <cell r="F1758" t="str">
            <v>MODULAÇÃO</v>
          </cell>
          <cell r="G1758" t="str">
            <v/>
          </cell>
          <cell r="H1758">
            <v>919.99</v>
          </cell>
          <cell r="I1758">
            <v>529.99</v>
          </cell>
          <cell r="J1758">
            <v>325.82279999999997</v>
          </cell>
          <cell r="K1758">
            <v>0</v>
          </cell>
          <cell r="L1758">
            <v>325.82279999999997</v>
          </cell>
          <cell r="M1758">
            <v>0</v>
          </cell>
          <cell r="N1758">
            <v>529.99</v>
          </cell>
          <cell r="O1758" t="str">
            <v/>
          </cell>
          <cell r="P1758">
            <v>0</v>
          </cell>
          <cell r="Q1758">
            <v>0.62662035928731796</v>
          </cell>
          <cell r="R1758">
            <v>0.62662035928731796</v>
          </cell>
          <cell r="S1758" t="e">
            <v>#VALUE!</v>
          </cell>
          <cell r="T1758" t="e">
            <v>#VALUE!</v>
          </cell>
        </row>
        <row r="1759">
          <cell r="A1759" t="str">
            <v>G247007KAG</v>
          </cell>
          <cell r="B1759" t="str">
            <v>MKP000631003447</v>
          </cell>
          <cell r="C1759" t="str">
            <v/>
          </cell>
          <cell r="D1759" t="str">
            <v>Balcão de Cozinha Madesa Agata 70 cm 2 Portas Rustic/Preto</v>
          </cell>
          <cell r="E1759" t="str">
            <v>ÁGATA</v>
          </cell>
          <cell r="F1759" t="str">
            <v>MODULAÇÃO</v>
          </cell>
          <cell r="G1759" t="str">
            <v/>
          </cell>
          <cell r="H1759">
            <v>869.99</v>
          </cell>
          <cell r="I1759">
            <v>519.99</v>
          </cell>
          <cell r="J1759">
            <v>316.08909999999997</v>
          </cell>
          <cell r="K1759">
            <v>0</v>
          </cell>
          <cell r="L1759">
            <v>316.08909999999997</v>
          </cell>
          <cell r="M1759">
            <v>0</v>
          </cell>
          <cell r="N1759">
            <v>519.99</v>
          </cell>
          <cell r="O1759" t="str">
            <v/>
          </cell>
          <cell r="P1759">
            <v>0</v>
          </cell>
          <cell r="Q1759">
            <v>0.64507412625111105</v>
          </cell>
          <cell r="R1759">
            <v>0.64507412625111105</v>
          </cell>
          <cell r="S1759" t="e">
            <v>#VALUE!</v>
          </cell>
          <cell r="T1759" t="e">
            <v>#VALUE!</v>
          </cell>
        </row>
        <row r="1760">
          <cell r="A1760" t="str">
            <v>10945Z1E2GCP</v>
          </cell>
          <cell r="B1760" t="str">
            <v>MKP000631001012</v>
          </cell>
          <cell r="C1760" t="str">
            <v/>
          </cell>
          <cell r="D1760" t="str">
            <v>Guarda-Roupa Solteiro Madesa Dallas 2 Portas de Correr com Espelho 2 Gavetas com Pés Rustic</v>
          </cell>
          <cell r="E1760" t="str">
            <v>DALLAS</v>
          </cell>
          <cell r="F1760" t="str">
            <v>QUARTO</v>
          </cell>
          <cell r="G1760" t="str">
            <v/>
          </cell>
          <cell r="H1760">
            <v>1209.99</v>
          </cell>
          <cell r="I1760">
            <v>939.92</v>
          </cell>
          <cell r="J1760">
            <v>730.36540000000002</v>
          </cell>
          <cell r="K1760">
            <v>0</v>
          </cell>
          <cell r="L1760">
            <v>730.36540000000002</v>
          </cell>
          <cell r="M1760">
            <v>0</v>
          </cell>
          <cell r="N1760">
            <v>939.92</v>
          </cell>
          <cell r="O1760" t="str">
            <v/>
          </cell>
          <cell r="P1760">
            <v>0</v>
          </cell>
          <cell r="Q1760">
            <v>0.28691747993538602</v>
          </cell>
          <cell r="R1760">
            <v>0.28691747993538602</v>
          </cell>
          <cell r="S1760" t="e">
            <v>#VALUE!</v>
          </cell>
          <cell r="T1760" t="e">
            <v>#VALUE!</v>
          </cell>
        </row>
        <row r="1761">
          <cell r="A1761" t="str">
            <v>MDDR0200035Z</v>
          </cell>
          <cell r="B1761" t="str">
            <v>MKP000631000845</v>
          </cell>
          <cell r="C1761" t="str">
            <v/>
          </cell>
          <cell r="D1761" t="str">
            <v>Quarto Completo com Guarda-Roupa Luke 2 Portas com Espelho e Cabeceira com 2 Mesas de Cabeceira Madesa Rustic</v>
          </cell>
          <cell r="E1761" t="str">
            <v>LUKE</v>
          </cell>
          <cell r="F1761" t="str">
            <v>QUARTO</v>
          </cell>
          <cell r="G1761" t="str">
            <v/>
          </cell>
          <cell r="H1761">
            <v>1869.99</v>
          </cell>
          <cell r="I1761">
            <v>1399.99</v>
          </cell>
          <cell r="J1761">
            <v>1183.3912</v>
          </cell>
          <cell r="K1761">
            <v>0</v>
          </cell>
          <cell r="L1761">
            <v>1183.3912</v>
          </cell>
          <cell r="M1761">
            <v>0</v>
          </cell>
          <cell r="N1761">
            <v>1399.99</v>
          </cell>
          <cell r="O1761" t="str">
            <v/>
          </cell>
          <cell r="P1761">
            <v>0</v>
          </cell>
          <cell r="Q1761">
            <v>0.1830322888999</v>
          </cell>
          <cell r="R1761">
            <v>0.1830322888999</v>
          </cell>
          <cell r="S1761" t="e">
            <v>#VALUE!</v>
          </cell>
          <cell r="T1761" t="e">
            <v>#VALUE!</v>
          </cell>
        </row>
        <row r="1762">
          <cell r="A1762" t="str">
            <v>XC1063731E</v>
          </cell>
          <cell r="B1762" t="str">
            <v>MKP000631003128</v>
          </cell>
          <cell r="C1762" t="str">
            <v/>
          </cell>
          <cell r="D1762" t="str">
            <v>Guarda-Roupa Casal 100% MDF Madesa Zurique 3 Portas de Correr com Espelho Branco/Preto</v>
          </cell>
          <cell r="E1762" t="str">
            <v>ZURIQUE</v>
          </cell>
          <cell r="F1762" t="str">
            <v>QUARTO</v>
          </cell>
          <cell r="G1762" t="str">
            <v/>
          </cell>
          <cell r="H1762">
            <v>2489.9899999999998</v>
          </cell>
          <cell r="I1762">
            <v>2049.92</v>
          </cell>
          <cell r="J1762">
            <v>1792.614</v>
          </cell>
          <cell r="K1762">
            <v>0</v>
          </cell>
          <cell r="L1762">
            <v>1792.614</v>
          </cell>
          <cell r="M1762">
            <v>0</v>
          </cell>
          <cell r="N1762">
            <v>2049.92</v>
          </cell>
          <cell r="O1762" t="str">
            <v/>
          </cell>
          <cell r="P1762">
            <v>0</v>
          </cell>
          <cell r="Q1762">
            <v>0.14353675693707599</v>
          </cell>
          <cell r="R1762">
            <v>0.14353675693707599</v>
          </cell>
          <cell r="S1762" t="e">
            <v>#VALUE!</v>
          </cell>
          <cell r="T1762" t="e">
            <v>#VALUE!</v>
          </cell>
        </row>
        <row r="1763">
          <cell r="A1763" t="str">
            <v>GCGL4190015Z</v>
          </cell>
          <cell r="B1763" t="str">
            <v>MKP000631004382</v>
          </cell>
          <cell r="C1763" t="str">
            <v/>
          </cell>
          <cell r="D1763" t="str">
            <v>Armário de Cozinha Completa de Canto 419cm Rustic Glamy Madesa 01</v>
          </cell>
          <cell r="E1763" t="str">
            <v>GLAMY</v>
          </cell>
          <cell r="F1763" t="str">
            <v>COZINHA</v>
          </cell>
          <cell r="G1763" t="str">
            <v/>
          </cell>
          <cell r="H1763">
            <v>3299.99</v>
          </cell>
          <cell r="I1763">
            <v>3199.99</v>
          </cell>
          <cell r="J1763">
            <v>2615.1934000000001</v>
          </cell>
          <cell r="K1763">
            <v>0</v>
          </cell>
          <cell r="L1763">
            <v>2615.1934000000001</v>
          </cell>
          <cell r="M1763">
            <v>0</v>
          </cell>
          <cell r="N1763">
            <v>3199.99</v>
          </cell>
          <cell r="O1763" t="str">
            <v/>
          </cell>
          <cell r="P1763">
            <v>0</v>
          </cell>
          <cell r="Q1763">
            <v>0.223615048890839</v>
          </cell>
          <cell r="R1763">
            <v>0.223615048890839</v>
          </cell>
          <cell r="S1763" t="e">
            <v>#VALUE!</v>
          </cell>
          <cell r="T1763" t="e">
            <v>#VALUE!</v>
          </cell>
        </row>
        <row r="1764">
          <cell r="A1764" t="str">
            <v>MDES02000109</v>
          </cell>
          <cell r="B1764" t="str">
            <v>MKP000631003181</v>
          </cell>
          <cell r="C1764" t="str">
            <v/>
          </cell>
          <cell r="D1764" t="str">
            <v>Rack para TV até 65 Polegadas Madesa Londres e Estante Escada Branco</v>
          </cell>
          <cell r="E1764" t="str">
            <v>LONDRES</v>
          </cell>
          <cell r="F1764" t="str">
            <v>SALA DE ESTAR</v>
          </cell>
          <cell r="G1764" t="str">
            <v/>
          </cell>
          <cell r="H1764">
            <v>699.99</v>
          </cell>
          <cell r="I1764">
            <v>599.99</v>
          </cell>
          <cell r="J1764">
            <v>469.9753</v>
          </cell>
          <cell r="K1764">
            <v>0</v>
          </cell>
          <cell r="L1764">
            <v>469.9753</v>
          </cell>
          <cell r="M1764">
            <v>0</v>
          </cell>
          <cell r="N1764">
            <v>599.99</v>
          </cell>
          <cell r="O1764" t="str">
            <v/>
          </cell>
          <cell r="P1764">
            <v>0</v>
          </cell>
          <cell r="Q1764">
            <v>0.276641559673455</v>
          </cell>
          <cell r="R1764">
            <v>0.276641559673455</v>
          </cell>
          <cell r="S1764" t="e">
            <v>#VALUE!</v>
          </cell>
          <cell r="T1764" t="e">
            <v>#VALUE!</v>
          </cell>
        </row>
        <row r="1765">
          <cell r="A1765" t="str">
            <v>GRRM190002D8</v>
          </cell>
          <cell r="B1765" t="str">
            <v>MKP000631001840</v>
          </cell>
          <cell r="C1765" t="str">
            <v/>
          </cell>
          <cell r="D1765" t="str">
            <v>Armário de Cozinha Compacta 190cm Preto/Rustic Reims Madesa 02</v>
          </cell>
          <cell r="E1765" t="str">
            <v>REIMS</v>
          </cell>
          <cell r="F1765" t="str">
            <v>COZINHA</v>
          </cell>
          <cell r="G1765" t="str">
            <v/>
          </cell>
          <cell r="H1765">
            <v>1899.99</v>
          </cell>
          <cell r="I1765">
            <v>1199.92</v>
          </cell>
          <cell r="J1765">
            <v>958.89480000000003</v>
          </cell>
          <cell r="K1765">
            <v>0</v>
          </cell>
          <cell r="L1765">
            <v>958.89480000000003</v>
          </cell>
          <cell r="M1765">
            <v>0</v>
          </cell>
          <cell r="N1765">
            <v>1199.92</v>
          </cell>
          <cell r="O1765" t="str">
            <v/>
          </cell>
          <cell r="P1765">
            <v>0</v>
          </cell>
          <cell r="Q1765">
            <v>0.25135729174879201</v>
          </cell>
          <cell r="R1765">
            <v>0.25135729174879201</v>
          </cell>
          <cell r="S1765" t="e">
            <v>#VALUE!</v>
          </cell>
          <cell r="T1765" t="e">
            <v>#VALUE!</v>
          </cell>
        </row>
        <row r="1766">
          <cell r="A1766" t="str">
            <v>G24153F9AG</v>
          </cell>
          <cell r="B1766" t="str">
            <v>MKP000631004637</v>
          </cell>
          <cell r="C1766" t="str">
            <v/>
          </cell>
          <cell r="D1766" t="str">
            <v>Balcão de Pia Madesa Agata 150 cm 2 Portas e 2 Gavetas (Sem Tampo e Pia) Rustic/Cinza</v>
          </cell>
          <cell r="E1766" t="str">
            <v>ÁGATA</v>
          </cell>
          <cell r="F1766" t="str">
            <v>MODULAÇÃO</v>
          </cell>
          <cell r="G1766" t="str">
            <v/>
          </cell>
          <cell r="H1766">
            <v>1099.99</v>
          </cell>
          <cell r="I1766">
            <v>569.99</v>
          </cell>
          <cell r="J1766">
            <v>424.2389</v>
          </cell>
          <cell r="K1766">
            <v>0</v>
          </cell>
          <cell r="L1766">
            <v>424.2389</v>
          </cell>
          <cell r="M1766">
            <v>0</v>
          </cell>
          <cell r="N1766">
            <v>569.99</v>
          </cell>
          <cell r="O1766" t="str">
            <v/>
          </cell>
          <cell r="P1766">
            <v>0</v>
          </cell>
          <cell r="Q1766">
            <v>0.34355901827955898</v>
          </cell>
          <cell r="R1766">
            <v>0.34355901827955898</v>
          </cell>
          <cell r="S1766" t="e">
            <v>#VALUE!</v>
          </cell>
          <cell r="T1766" t="e">
            <v>#VALUE!</v>
          </cell>
        </row>
        <row r="1767">
          <cell r="A1767" t="str">
            <v>70085Z5ZPP</v>
          </cell>
          <cell r="B1767" t="str">
            <v>MKP000631001673</v>
          </cell>
          <cell r="C1767" t="str">
            <v/>
          </cell>
          <cell r="D1767" t="str">
            <v>Rack para TV até 65 Polegadas Madesa Cancun com Pés Rustic</v>
          </cell>
          <cell r="E1767" t="str">
            <v>CANCUN</v>
          </cell>
          <cell r="F1767" t="str">
            <v>SALA DE ESTAR</v>
          </cell>
          <cell r="G1767" t="str">
            <v/>
          </cell>
          <cell r="H1767">
            <v>609.99</v>
          </cell>
          <cell r="I1767">
            <v>389.92</v>
          </cell>
          <cell r="J1767">
            <v>271.62799999999999</v>
          </cell>
          <cell r="K1767">
            <v>0</v>
          </cell>
          <cell r="L1767">
            <v>271.62799999999999</v>
          </cell>
          <cell r="M1767">
            <v>0</v>
          </cell>
          <cell r="N1767">
            <v>389.92</v>
          </cell>
          <cell r="O1767" t="str">
            <v/>
          </cell>
          <cell r="P1767">
            <v>0</v>
          </cell>
          <cell r="Q1767">
            <v>0.435492659077857</v>
          </cell>
          <cell r="R1767">
            <v>0.435492659077857</v>
          </cell>
          <cell r="S1767" t="e">
            <v>#VALUE!</v>
          </cell>
          <cell r="T1767" t="e">
            <v>#VALUE!</v>
          </cell>
        </row>
        <row r="1768">
          <cell r="A1768" t="str">
            <v>10976E1E</v>
          </cell>
          <cell r="B1768" t="str">
            <v>MKP000631002480</v>
          </cell>
          <cell r="C1768" t="str">
            <v/>
          </cell>
          <cell r="D1768" t="str">
            <v>Guarda-Roupa Solteiro Madesa Tokio 2 Portas de Correr com Espelho 2 Gavetas Rustic/Branco</v>
          </cell>
          <cell r="E1768" t="str">
            <v>TOKIO</v>
          </cell>
          <cell r="F1768" t="str">
            <v>QUARTO</v>
          </cell>
          <cell r="G1768" t="str">
            <v/>
          </cell>
          <cell r="H1768">
            <v>1539.99</v>
          </cell>
          <cell r="I1768">
            <v>929.92</v>
          </cell>
          <cell r="J1768">
            <v>750.39959999999996</v>
          </cell>
          <cell r="K1768">
            <v>0</v>
          </cell>
          <cell r="L1768">
            <v>750.39959999999996</v>
          </cell>
          <cell r="M1768">
            <v>0</v>
          </cell>
          <cell r="N1768">
            <v>929.92</v>
          </cell>
          <cell r="O1768" t="str">
            <v/>
          </cell>
          <cell r="P1768">
            <v>0</v>
          </cell>
          <cell r="Q1768">
            <v>0.239233069953662</v>
          </cell>
          <cell r="R1768">
            <v>0.239233069953662</v>
          </cell>
          <cell r="S1768" t="e">
            <v>#VALUE!</v>
          </cell>
          <cell r="T1768" t="e">
            <v>#VALUE!</v>
          </cell>
        </row>
        <row r="1769">
          <cell r="A1769" t="str">
            <v>GRGM3500019B</v>
          </cell>
          <cell r="B1769" t="str">
            <v>MKP000631000206</v>
          </cell>
          <cell r="C1769" t="str">
            <v/>
          </cell>
          <cell r="D1769" t="str">
            <v>Armário de Cozinha Completa 100% MDF 350cm Rustic/Branco Acordes Madesa 01</v>
          </cell>
          <cell r="E1769" t="str">
            <v>ACORDES</v>
          </cell>
          <cell r="F1769" t="str">
            <v>COZINHA</v>
          </cell>
          <cell r="G1769" t="str">
            <v/>
          </cell>
          <cell r="H1769">
            <v>2979.99</v>
          </cell>
          <cell r="I1769">
            <v>1899.99</v>
          </cell>
          <cell r="J1769">
            <v>1572.87</v>
          </cell>
          <cell r="K1769">
            <v>0</v>
          </cell>
          <cell r="L1769">
            <v>1572.87</v>
          </cell>
          <cell r="M1769">
            <v>0</v>
          </cell>
          <cell r="N1769">
            <v>1899.99</v>
          </cell>
          <cell r="O1769" t="str">
            <v/>
          </cell>
          <cell r="P1769">
            <v>0</v>
          </cell>
          <cell r="Q1769">
            <v>0.207976501554483</v>
          </cell>
          <cell r="R1769">
            <v>0.207976501554483</v>
          </cell>
          <cell r="S1769" t="e">
            <v>#VALUE!</v>
          </cell>
          <cell r="T1769" t="e">
            <v>#VALUE!</v>
          </cell>
        </row>
        <row r="1770">
          <cell r="A1770" t="str">
            <v>G241205ZTE</v>
          </cell>
          <cell r="B1770" t="str">
            <v>MKP000631002170</v>
          </cell>
          <cell r="C1770" t="str">
            <v/>
          </cell>
          <cell r="D1770" t="str">
            <v>Balcão Gabinete de Pia Madesa Stella 2 Portas (Sem Tampo e Pia) Rustic</v>
          </cell>
          <cell r="E1770" t="str">
            <v>STELLA</v>
          </cell>
          <cell r="F1770" t="str">
            <v>MODULAÇÃO</v>
          </cell>
          <cell r="G1770" t="str">
            <v/>
          </cell>
          <cell r="H1770">
            <v>919.99</v>
          </cell>
          <cell r="I1770">
            <v>469.99</v>
          </cell>
          <cell r="J1770">
            <v>358.65359999999998</v>
          </cell>
          <cell r="K1770">
            <v>0</v>
          </cell>
          <cell r="L1770">
            <v>358.65359999999998</v>
          </cell>
          <cell r="M1770">
            <v>0</v>
          </cell>
          <cell r="N1770">
            <v>469.99</v>
          </cell>
          <cell r="O1770" t="str">
            <v/>
          </cell>
          <cell r="P1770">
            <v>0</v>
          </cell>
          <cell r="Q1770">
            <v>0.31042878142029001</v>
          </cell>
          <cell r="R1770">
            <v>0.31042878142029001</v>
          </cell>
          <cell r="S1770" t="e">
            <v>#VALUE!</v>
          </cell>
          <cell r="T1770" t="e">
            <v>#VALUE!</v>
          </cell>
        </row>
        <row r="1771">
          <cell r="A1771" t="str">
            <v>MDMU0100018N</v>
          </cell>
          <cell r="B1771" t="str">
            <v>MKP000631005033</v>
          </cell>
          <cell r="C1771" t="str">
            <v/>
          </cell>
          <cell r="D1771" t="str">
            <v>Armário Multiuso 60 cm 1 porta Preto Madesa</v>
          </cell>
          <cell r="E1771">
            <v>1104</v>
          </cell>
          <cell r="F1771" t="str">
            <v>COZINHA</v>
          </cell>
          <cell r="G1771" t="str">
            <v/>
          </cell>
          <cell r="H1771">
            <v>459.99</v>
          </cell>
          <cell r="I1771">
            <v>419.99</v>
          </cell>
          <cell r="J1771">
            <v>292.4579</v>
          </cell>
          <cell r="K1771">
            <v>0</v>
          </cell>
          <cell r="L1771">
            <v>292.4579</v>
          </cell>
          <cell r="M1771">
            <v>0</v>
          </cell>
          <cell r="N1771">
            <v>419.99</v>
          </cell>
          <cell r="O1771" t="str">
            <v>LEROY</v>
          </cell>
          <cell r="P1771">
            <v>399.99</v>
          </cell>
          <cell r="Q1771">
            <v>0.43606994374232999</v>
          </cell>
          <cell r="R1771">
            <v>0.43606994374232999</v>
          </cell>
          <cell r="S1771" t="e">
            <v>#VALUE!</v>
          </cell>
          <cell r="T1771" t="e">
            <v>#VALUE!</v>
          </cell>
        </row>
        <row r="1772">
          <cell r="A1772" t="str">
            <v>MDES0200168N5Z</v>
          </cell>
          <cell r="B1772" t="str">
            <v>MKP000631005981</v>
          </cell>
          <cell r="C1772" t="str">
            <v/>
          </cell>
          <cell r="D1772" t="str">
            <v>Rack com Painel para TV até 65 Polegadas com Pés Preto Texas Madesa</v>
          </cell>
          <cell r="E1772" t="str">
            <v>TEXAS</v>
          </cell>
          <cell r="F1772" t="str">
            <v>SALA DE ESTAR</v>
          </cell>
          <cell r="G1772" t="str">
            <v/>
          </cell>
          <cell r="H1772">
            <v>539.99</v>
          </cell>
          <cell r="I1772">
            <v>439.99</v>
          </cell>
          <cell r="J1772">
            <v>327.30520000000001</v>
          </cell>
          <cell r="K1772">
            <v>0</v>
          </cell>
          <cell r="L1772">
            <v>327.30520000000001</v>
          </cell>
          <cell r="M1772">
            <v>0</v>
          </cell>
          <cell r="N1772">
            <v>439.99</v>
          </cell>
          <cell r="O1772" t="str">
            <v/>
          </cell>
          <cell r="P1772">
            <v>0</v>
          </cell>
          <cell r="Q1772">
            <v>0.34428050638975499</v>
          </cell>
          <cell r="R1772">
            <v>0.34428050638975499</v>
          </cell>
          <cell r="S1772" t="e">
            <v>#VALUE!</v>
          </cell>
          <cell r="T1772" t="e">
            <v>#VALUE!</v>
          </cell>
        </row>
        <row r="1773">
          <cell r="A1773" t="str">
            <v>GREM1690027K</v>
          </cell>
          <cell r="B1773" t="str">
            <v>MKP000631001814</v>
          </cell>
          <cell r="C1773" t="str">
            <v/>
          </cell>
          <cell r="D1773" t="str">
            <v>Armário de Cozinha Compacta 169cm Rustic/Preto Emilly Front Madesa 02</v>
          </cell>
          <cell r="E1773" t="str">
            <v>FRONT/EMILLY</v>
          </cell>
          <cell r="F1773" t="str">
            <v>COZINHA</v>
          </cell>
          <cell r="G1773" t="str">
            <v/>
          </cell>
          <cell r="H1773">
            <v>899.99</v>
          </cell>
          <cell r="I1773">
            <v>799.99</v>
          </cell>
          <cell r="J1773">
            <v>635.54629999999997</v>
          </cell>
          <cell r="K1773">
            <v>0</v>
          </cell>
          <cell r="L1773">
            <v>635.54629999999997</v>
          </cell>
          <cell r="M1773">
            <v>0</v>
          </cell>
          <cell r="N1773">
            <v>799.99</v>
          </cell>
          <cell r="O1773" t="str">
            <v/>
          </cell>
          <cell r="P1773">
            <v>0</v>
          </cell>
          <cell r="Q1773">
            <v>0.25874385548307</v>
          </cell>
          <cell r="R1773">
            <v>0.25874385548307</v>
          </cell>
          <cell r="S1773" t="e">
            <v>#VALUE!</v>
          </cell>
          <cell r="T1773" t="e">
            <v>#VALUE!</v>
          </cell>
        </row>
        <row r="1774">
          <cell r="A1774" t="str">
            <v>GRGM2700069B</v>
          </cell>
          <cell r="B1774" t="str">
            <v>MKP000631003519</v>
          </cell>
          <cell r="C1774" t="str">
            <v/>
          </cell>
          <cell r="D1774" t="str">
            <v>Armário de Cozinha Completa 100% MDF 270cm Branco/Rustic Acordes Madesa 06</v>
          </cell>
          <cell r="E1774" t="str">
            <v>ACORDES</v>
          </cell>
          <cell r="F1774" t="str">
            <v>COZINHA</v>
          </cell>
          <cell r="G1774" t="str">
            <v/>
          </cell>
          <cell r="H1774">
            <v>2399.9899999999998</v>
          </cell>
          <cell r="I1774">
            <v>2299.9899999999998</v>
          </cell>
          <cell r="J1774">
            <v>1835.0477000000001</v>
          </cell>
          <cell r="K1774">
            <v>0</v>
          </cell>
          <cell r="L1774">
            <v>1835.0477000000001</v>
          </cell>
          <cell r="M1774">
            <v>0</v>
          </cell>
          <cell r="N1774">
            <v>2299.9899999999998</v>
          </cell>
          <cell r="O1774" t="str">
            <v/>
          </cell>
          <cell r="P1774">
            <v>0</v>
          </cell>
          <cell r="Q1774">
            <v>0.25336796422240099</v>
          </cell>
          <cell r="R1774">
            <v>0.25336796422240099</v>
          </cell>
          <cell r="S1774" t="e">
            <v>#VALUE!</v>
          </cell>
          <cell r="T1774" t="e">
            <v>#VALUE!</v>
          </cell>
        </row>
        <row r="1775">
          <cell r="A1775" t="str">
            <v>GCGL4690015Z</v>
          </cell>
          <cell r="B1775" t="str">
            <v>MKP000631005057</v>
          </cell>
          <cell r="C1775" t="str">
            <v/>
          </cell>
          <cell r="D1775" t="str">
            <v>Armário de Cozinha Completa de Canto 469cm Rustic Glamy Madesa 01</v>
          </cell>
          <cell r="E1775" t="str">
            <v>GLAMY</v>
          </cell>
          <cell r="F1775" t="str">
            <v>COZINHA</v>
          </cell>
          <cell r="G1775" t="str">
            <v/>
          </cell>
          <cell r="H1775">
            <v>3399.99</v>
          </cell>
          <cell r="I1775">
            <v>3259.92</v>
          </cell>
          <cell r="J1775">
            <v>2599.2467000000001</v>
          </cell>
          <cell r="K1775">
            <v>0</v>
          </cell>
          <cell r="L1775">
            <v>2599.2467000000001</v>
          </cell>
          <cell r="M1775">
            <v>0</v>
          </cell>
          <cell r="N1775">
            <v>3259.92</v>
          </cell>
          <cell r="O1775" t="str">
            <v/>
          </cell>
          <cell r="P1775">
            <v>0</v>
          </cell>
          <cell r="Q1775">
            <v>0.25417875879192198</v>
          </cell>
          <cell r="R1775">
            <v>0.25417875879192198</v>
          </cell>
          <cell r="S1775" t="e">
            <v>#VALUE!</v>
          </cell>
          <cell r="T1775" t="e">
            <v>#VALUE!</v>
          </cell>
        </row>
        <row r="1776">
          <cell r="A1776" t="str">
            <v>1094D84G</v>
          </cell>
          <cell r="B1776" t="str">
            <v>MKP000631002024</v>
          </cell>
          <cell r="C1776" t="str">
            <v/>
          </cell>
          <cell r="D1776" t="str">
            <v>Guarda-Roupa Solteiro Madesa Dallas Plus 2 Portas de Correr 4 Gavetas Preto/Rustic</v>
          </cell>
          <cell r="E1776" t="str">
            <v>DALLAS PLUS</v>
          </cell>
          <cell r="F1776" t="str">
            <v>QUARTO</v>
          </cell>
          <cell r="G1776" t="str">
            <v/>
          </cell>
          <cell r="H1776">
            <v>1069.99</v>
          </cell>
          <cell r="I1776">
            <v>819.92</v>
          </cell>
          <cell r="J1776">
            <v>652.58299999999997</v>
          </cell>
          <cell r="K1776">
            <v>0</v>
          </cell>
          <cell r="L1776">
            <v>652.58299999999997</v>
          </cell>
          <cell r="M1776">
            <v>0</v>
          </cell>
          <cell r="N1776">
            <v>819.92</v>
          </cell>
          <cell r="O1776" t="str">
            <v/>
          </cell>
          <cell r="P1776">
            <v>0</v>
          </cell>
          <cell r="Q1776">
            <v>0.25642255467886799</v>
          </cell>
          <cell r="R1776">
            <v>0.25642255467886799</v>
          </cell>
          <cell r="S1776" t="e">
            <v>#VALUE!</v>
          </cell>
          <cell r="T1776" t="e">
            <v>#VALUE!</v>
          </cell>
        </row>
        <row r="1777">
          <cell r="A1777" t="str">
            <v>GCGM38900209</v>
          </cell>
          <cell r="B1777" t="str">
            <v>MKP000631004305</v>
          </cell>
          <cell r="C1777" t="str">
            <v/>
          </cell>
          <cell r="D1777" t="str">
            <v>Armário de Cozinha Completa de Canto 100% MDF 389cm Frentes Branco Brilho Acordes Madesa 02</v>
          </cell>
          <cell r="E1777" t="str">
            <v>ACORDES</v>
          </cell>
          <cell r="F1777" t="str">
            <v>COZINHA</v>
          </cell>
          <cell r="G1777" t="str">
            <v/>
          </cell>
          <cell r="H1777">
            <v>3489.99</v>
          </cell>
          <cell r="I1777">
            <v>2619.92</v>
          </cell>
          <cell r="J1777">
            <v>2247.3728999999998</v>
          </cell>
          <cell r="K1777">
            <v>0</v>
          </cell>
          <cell r="L1777">
            <v>2247.3728999999998</v>
          </cell>
          <cell r="M1777">
            <v>0</v>
          </cell>
          <cell r="N1777">
            <v>2619.92</v>
          </cell>
          <cell r="O1777" t="str">
            <v/>
          </cell>
          <cell r="P1777">
            <v>0</v>
          </cell>
          <cell r="Q1777">
            <v>0.16577004198991599</v>
          </cell>
          <cell r="R1777">
            <v>0.16577004198991599</v>
          </cell>
          <cell r="S1777" t="e">
            <v>#VALUE!</v>
          </cell>
          <cell r="T1777" t="e">
            <v>#VALUE!</v>
          </cell>
        </row>
        <row r="1778">
          <cell r="A1778" t="str">
            <v>XC10639B</v>
          </cell>
          <cell r="B1778" t="str">
            <v>MKP000631001427</v>
          </cell>
          <cell r="C1778" t="str">
            <v/>
          </cell>
          <cell r="D1778" t="str">
            <v>Guarda-Roupa Casal 100% MDF Madesa Zurique 3 Portas de Correr Branco/Rustic</v>
          </cell>
          <cell r="E1778" t="str">
            <v>ZURIQUE</v>
          </cell>
          <cell r="F1778" t="str">
            <v>QUARTO</v>
          </cell>
          <cell r="G1778" t="str">
            <v/>
          </cell>
          <cell r="H1778">
            <v>2999.99</v>
          </cell>
          <cell r="I1778">
            <v>1829.92</v>
          </cell>
          <cell r="J1778">
            <v>1551.3534</v>
          </cell>
          <cell r="K1778">
            <v>0</v>
          </cell>
          <cell r="L1778">
            <v>1551.3534</v>
          </cell>
          <cell r="M1778">
            <v>0</v>
          </cell>
          <cell r="N1778">
            <v>1829.92</v>
          </cell>
          <cell r="O1778" t="str">
            <v/>
          </cell>
          <cell r="P1778">
            <v>0</v>
          </cell>
          <cell r="Q1778">
            <v>0.179563599112878</v>
          </cell>
          <cell r="R1778">
            <v>0.179563599112878</v>
          </cell>
          <cell r="S1778" t="e">
            <v>#VALUE!</v>
          </cell>
          <cell r="T1778" t="e">
            <v>#VALUE!</v>
          </cell>
        </row>
        <row r="1779">
          <cell r="A1779" t="str">
            <v>MDES020014D85Z</v>
          </cell>
          <cell r="B1779" t="str">
            <v>MKP000631002888</v>
          </cell>
          <cell r="C1779" t="str">
            <v/>
          </cell>
          <cell r="D1779" t="str">
            <v>Rack Madesa Dubai e Painel para TV até 65 Polegadas com Pés Preto/Rustic D85Z</v>
          </cell>
          <cell r="E1779" t="str">
            <v>DUBAI</v>
          </cell>
          <cell r="F1779" t="str">
            <v>SALA DE ESTAR</v>
          </cell>
          <cell r="G1779" t="str">
            <v/>
          </cell>
          <cell r="H1779">
            <v>1099.99</v>
          </cell>
          <cell r="I1779">
            <v>599.99</v>
          </cell>
          <cell r="J1779">
            <v>442.649</v>
          </cell>
          <cell r="K1779">
            <v>0</v>
          </cell>
          <cell r="L1779">
            <v>442.649</v>
          </cell>
          <cell r="M1779">
            <v>0</v>
          </cell>
          <cell r="N1779">
            <v>599.99</v>
          </cell>
          <cell r="O1779" t="str">
            <v/>
          </cell>
          <cell r="P1779">
            <v>0</v>
          </cell>
          <cell r="Q1779">
            <v>0.35545319203251302</v>
          </cell>
          <cell r="R1779">
            <v>0.35545319203251302</v>
          </cell>
          <cell r="S1779" t="e">
            <v>#VALUE!</v>
          </cell>
          <cell r="T1779" t="e">
            <v>#VALUE!</v>
          </cell>
        </row>
        <row r="1780">
          <cell r="A1780" t="str">
            <v>G241237KAG</v>
          </cell>
          <cell r="B1780" t="str">
            <v>MKP000631003073</v>
          </cell>
          <cell r="C1780" t="str">
            <v/>
          </cell>
          <cell r="D1780" t="str">
            <v>Balcão Gabinete de Pia Madesa Agata 1 Porta e 2 Gavetas (Sem Tampo e Pia) Rustic/Preto</v>
          </cell>
          <cell r="E1780" t="str">
            <v>ÁGATA</v>
          </cell>
          <cell r="F1780" t="str">
            <v>MODULAÇÃO</v>
          </cell>
          <cell r="G1780" t="str">
            <v/>
          </cell>
          <cell r="H1780">
            <v>1139.99</v>
          </cell>
          <cell r="I1780">
            <v>579.99</v>
          </cell>
          <cell r="J1780">
            <v>425.36160000000001</v>
          </cell>
          <cell r="K1780">
            <v>0</v>
          </cell>
          <cell r="L1780">
            <v>425.36160000000001</v>
          </cell>
          <cell r="M1780">
            <v>0</v>
          </cell>
          <cell r="N1780">
            <v>579.99</v>
          </cell>
          <cell r="O1780" t="str">
            <v/>
          </cell>
          <cell r="P1780">
            <v>0</v>
          </cell>
          <cell r="Q1780">
            <v>0.36352223613979201</v>
          </cell>
          <cell r="R1780">
            <v>0.36352223613979201</v>
          </cell>
          <cell r="S1780" t="e">
            <v>#VALUE!</v>
          </cell>
          <cell r="T1780" t="e">
            <v>#VALUE!</v>
          </cell>
        </row>
        <row r="1781">
          <cell r="A1781" t="str">
            <v>GRGL1200027K</v>
          </cell>
          <cell r="B1781" t="str">
            <v>MKP000631004543</v>
          </cell>
          <cell r="C1781" t="str">
            <v/>
          </cell>
          <cell r="D1781" t="str">
            <v>Armário de Cozinha Compacta 120cm Rustic/Preto Glamy Madesa 02</v>
          </cell>
          <cell r="E1781" t="str">
            <v>GLAMY</v>
          </cell>
          <cell r="F1781" t="str">
            <v>COZINHA</v>
          </cell>
          <cell r="G1781" t="str">
            <v/>
          </cell>
          <cell r="H1781">
            <v>1099.99</v>
          </cell>
          <cell r="I1781">
            <v>999.99</v>
          </cell>
          <cell r="J1781">
            <v>849.92750000000001</v>
          </cell>
          <cell r="K1781">
            <v>0</v>
          </cell>
          <cell r="L1781">
            <v>849.92750000000001</v>
          </cell>
          <cell r="M1781">
            <v>0</v>
          </cell>
          <cell r="N1781">
            <v>999.99</v>
          </cell>
          <cell r="O1781" t="str">
            <v/>
          </cell>
          <cell r="P1781">
            <v>0</v>
          </cell>
          <cell r="Q1781">
            <v>0.17655917710628299</v>
          </cell>
          <cell r="R1781">
            <v>0.17655917710628299</v>
          </cell>
          <cell r="S1781" t="e">
            <v>#VALUE!</v>
          </cell>
          <cell r="T1781" t="e">
            <v>#VALUE!</v>
          </cell>
        </row>
        <row r="1782">
          <cell r="A1782" t="str">
            <v>G20086095Z</v>
          </cell>
          <cell r="B1782" t="str">
            <v>MKP000631000378</v>
          </cell>
          <cell r="C1782" t="str">
            <v/>
          </cell>
          <cell r="D1782" t="str">
            <v>Armário de Cozinha Compacta 180cm Branco/Rustic Topazio Madesa 86</v>
          </cell>
          <cell r="E1782" t="str">
            <v>TOPÁZIO</v>
          </cell>
          <cell r="F1782" t="str">
            <v>COZINHA</v>
          </cell>
          <cell r="G1782" t="str">
            <v/>
          </cell>
          <cell r="H1782">
            <v>1099.99</v>
          </cell>
          <cell r="I1782">
            <v>999.99</v>
          </cell>
          <cell r="J1782">
            <v>820.06150000000002</v>
          </cell>
          <cell r="K1782">
            <v>0</v>
          </cell>
          <cell r="L1782">
            <v>820.06150000000002</v>
          </cell>
          <cell r="M1782">
            <v>0</v>
          </cell>
          <cell r="N1782">
            <v>999.99</v>
          </cell>
          <cell r="O1782" t="str">
            <v/>
          </cell>
          <cell r="P1782">
            <v>0</v>
          </cell>
          <cell r="Q1782">
            <v>0.21940854435917301</v>
          </cell>
          <cell r="R1782">
            <v>0.21940854435917301</v>
          </cell>
          <cell r="S1782" t="e">
            <v>#VALUE!</v>
          </cell>
          <cell r="T1782" t="e">
            <v>#VALUE!</v>
          </cell>
        </row>
        <row r="1783">
          <cell r="A1783" t="str">
            <v>GRRM26000509</v>
          </cell>
          <cell r="B1783" t="str">
            <v>MKP000631003213</v>
          </cell>
          <cell r="C1783" t="str">
            <v/>
          </cell>
          <cell r="D1783" t="str">
            <v>Armário de Cozinha Completa 260cm Branco Reims Madesa 05</v>
          </cell>
          <cell r="E1783" t="str">
            <v>REIMS</v>
          </cell>
          <cell r="F1783" t="str">
            <v>COZINHA</v>
          </cell>
          <cell r="G1783" t="str">
            <v/>
          </cell>
          <cell r="H1783">
            <v>3429.99</v>
          </cell>
          <cell r="I1783">
            <v>1789.92</v>
          </cell>
          <cell r="J1783">
            <v>1575.8130000000001</v>
          </cell>
          <cell r="K1783">
            <v>0</v>
          </cell>
          <cell r="L1783">
            <v>1575.8130000000001</v>
          </cell>
          <cell r="M1783">
            <v>0</v>
          </cell>
          <cell r="N1783">
            <v>1789.92</v>
          </cell>
          <cell r="O1783" t="str">
            <v/>
          </cell>
          <cell r="P1783">
            <v>0</v>
          </cell>
          <cell r="Q1783">
            <v>0.13587081715914301</v>
          </cell>
          <cell r="R1783">
            <v>0.13587081715914301</v>
          </cell>
          <cell r="S1783" t="e">
            <v>#VALUE!</v>
          </cell>
          <cell r="T1783" t="e">
            <v>#VALUE!</v>
          </cell>
        </row>
        <row r="1784">
          <cell r="A1784" t="str">
            <v>11639B2E1B</v>
          </cell>
          <cell r="B1784" t="str">
            <v>MKP000631001185</v>
          </cell>
          <cell r="C1784" t="str">
            <v/>
          </cell>
          <cell r="D1784" t="str">
            <v>Guarda-Roupa Casal 100% MDF Madesa Eros 3 Portas de Correr com Espelhos Branco/Rustic/Branco</v>
          </cell>
          <cell r="E1784" t="str">
            <v>EROS</v>
          </cell>
          <cell r="F1784" t="str">
            <v>QUARTO</v>
          </cell>
          <cell r="G1784" t="str">
            <v/>
          </cell>
          <cell r="H1784">
            <v>2989.99</v>
          </cell>
          <cell r="I1784">
            <v>2139.92</v>
          </cell>
          <cell r="J1784">
            <v>1811.2094</v>
          </cell>
          <cell r="K1784">
            <v>0</v>
          </cell>
          <cell r="L1784">
            <v>1811.2094</v>
          </cell>
          <cell r="M1784">
            <v>0</v>
          </cell>
          <cell r="N1784">
            <v>2139.92</v>
          </cell>
          <cell r="O1784" t="str">
            <v/>
          </cell>
          <cell r="P1784">
            <v>0</v>
          </cell>
          <cell r="Q1784">
            <v>0.18148680102919101</v>
          </cell>
          <cell r="R1784">
            <v>0.18148680102919101</v>
          </cell>
          <cell r="S1784" t="e">
            <v>#VALUE!</v>
          </cell>
          <cell r="T1784" t="e">
            <v>#VALUE!</v>
          </cell>
        </row>
        <row r="1785">
          <cell r="A1785" t="str">
            <v>10188N2E</v>
          </cell>
          <cell r="B1785" t="str">
            <v>MKP000631002254</v>
          </cell>
          <cell r="C1785" t="str">
            <v/>
          </cell>
          <cell r="D1785" t="str">
            <v>Guarda-Roupa Casal Madesa Kansas 3 Portas de Correr com Espelhos 3 Gavetas Preto</v>
          </cell>
          <cell r="E1785" t="str">
            <v>KANSAS</v>
          </cell>
          <cell r="F1785" t="str">
            <v>QUARTO</v>
          </cell>
          <cell r="G1785" t="str">
            <v/>
          </cell>
          <cell r="H1785">
            <v>2739.99</v>
          </cell>
          <cell r="I1785">
            <v>1679.92</v>
          </cell>
          <cell r="J1785">
            <v>1403.7782999999999</v>
          </cell>
          <cell r="K1785">
            <v>0</v>
          </cell>
          <cell r="L1785">
            <v>1403.7782999999999</v>
          </cell>
          <cell r="M1785">
            <v>0</v>
          </cell>
          <cell r="N1785">
            <v>1679.92</v>
          </cell>
          <cell r="O1785" t="str">
            <v/>
          </cell>
          <cell r="P1785">
            <v>0</v>
          </cell>
          <cell r="Q1785">
            <v>0.19671318469590299</v>
          </cell>
          <cell r="R1785">
            <v>0.19671318469590299</v>
          </cell>
          <cell r="S1785" t="e">
            <v>#VALUE!</v>
          </cell>
          <cell r="T1785" t="e">
            <v>#VALUE!</v>
          </cell>
        </row>
        <row r="1786">
          <cell r="A1786" t="str">
            <v>10957K3E</v>
          </cell>
          <cell r="B1786" t="str">
            <v>MKP000631002091</v>
          </cell>
          <cell r="C1786" t="str">
            <v/>
          </cell>
          <cell r="D1786" t="str">
            <v>Guarda-Roupa Casal Madesa Reno 3 Portas de Correr de Espelho Rustic/Preto</v>
          </cell>
          <cell r="E1786" t="str">
            <v>RENO</v>
          </cell>
          <cell r="F1786" t="str">
            <v>QUARTO</v>
          </cell>
          <cell r="G1786" t="str">
            <v/>
          </cell>
          <cell r="H1786">
            <v>1869.99</v>
          </cell>
          <cell r="I1786">
            <v>1539.92</v>
          </cell>
          <cell r="J1786">
            <v>1277.0876000000001</v>
          </cell>
          <cell r="K1786">
            <v>0</v>
          </cell>
          <cell r="L1786">
            <v>1277.0876000000001</v>
          </cell>
          <cell r="M1786">
            <v>0</v>
          </cell>
          <cell r="N1786">
            <v>1539.92</v>
          </cell>
          <cell r="O1786" t="str">
            <v/>
          </cell>
          <cell r="P1786">
            <v>0</v>
          </cell>
          <cell r="Q1786">
            <v>0.20580608565927699</v>
          </cell>
          <cell r="R1786">
            <v>0.20580608565927699</v>
          </cell>
          <cell r="S1786" t="e">
            <v>#VALUE!</v>
          </cell>
          <cell r="T1786" t="e">
            <v>#VALUE!</v>
          </cell>
        </row>
        <row r="1787">
          <cell r="A1787" t="str">
            <v>G221237KGLCT</v>
          </cell>
          <cell r="B1787" t="str">
            <v>MKP000631004864</v>
          </cell>
          <cell r="C1787" t="str">
            <v/>
          </cell>
          <cell r="D1787" t="str">
            <v>Balcão Gabinete de Pia 120 x 60 cm 1 Porta 2 Gavetas Rustic/Preto (Com Tampo) Glamy Madesa</v>
          </cell>
          <cell r="E1787" t="str">
            <v>GLAMY</v>
          </cell>
          <cell r="F1787" t="str">
            <v>MODULAÇÃO</v>
          </cell>
          <cell r="G1787" t="str">
            <v/>
          </cell>
          <cell r="H1787">
            <v>959.99</v>
          </cell>
          <cell r="I1787">
            <v>859.99</v>
          </cell>
          <cell r="J1787">
            <v>559.35530000000006</v>
          </cell>
          <cell r="K1787">
            <v>0</v>
          </cell>
          <cell r="L1787">
            <v>559.35530000000006</v>
          </cell>
          <cell r="M1787">
            <v>0</v>
          </cell>
          <cell r="N1787">
            <v>859.99</v>
          </cell>
          <cell r="O1787" t="str">
            <v/>
          </cell>
          <cell r="P1787">
            <v>0</v>
          </cell>
          <cell r="Q1787">
            <v>0.53746643680680295</v>
          </cell>
          <cell r="R1787">
            <v>0.53746643680680295</v>
          </cell>
          <cell r="S1787" t="e">
            <v>#VALUE!</v>
          </cell>
          <cell r="T1787" t="e">
            <v>#VALUE!</v>
          </cell>
        </row>
        <row r="1788">
          <cell r="A1788" t="str">
            <v>G251205LGL</v>
          </cell>
          <cell r="B1788" t="str">
            <v>MKP000631001303</v>
          </cell>
          <cell r="C1788" t="str">
            <v/>
          </cell>
          <cell r="D1788" t="str">
            <v>Armário Aéreo Madesa Glamy 120 cm 2 Portas com Vidro Branco/Crema</v>
          </cell>
          <cell r="E1788" t="str">
            <v>GLAMY</v>
          </cell>
          <cell r="F1788" t="str">
            <v>MODULAÇÃO</v>
          </cell>
          <cell r="G1788" t="str">
            <v/>
          </cell>
          <cell r="H1788">
            <v>949.99</v>
          </cell>
          <cell r="I1788">
            <v>549.99</v>
          </cell>
          <cell r="J1788">
            <v>346.32569999999998</v>
          </cell>
          <cell r="K1788">
            <v>0</v>
          </cell>
          <cell r="L1788">
            <v>346.32569999999998</v>
          </cell>
          <cell r="M1788">
            <v>0</v>
          </cell>
          <cell r="N1788">
            <v>549.99</v>
          </cell>
          <cell r="O1788" t="str">
            <v/>
          </cell>
          <cell r="P1788">
            <v>0</v>
          </cell>
          <cell r="Q1788">
            <v>0.58807157539853405</v>
          </cell>
          <cell r="R1788">
            <v>0.58807157539853405</v>
          </cell>
          <cell r="S1788" t="e">
            <v>#VALUE!</v>
          </cell>
          <cell r="T1788" t="e">
            <v>#VALUE!</v>
          </cell>
        </row>
        <row r="1789">
          <cell r="A1789" t="str">
            <v>10935Z1E4G</v>
          </cell>
          <cell r="B1789" t="str">
            <v>MKP000631000463</v>
          </cell>
          <cell r="C1789" t="str">
            <v/>
          </cell>
          <cell r="D1789" t="str">
            <v>Guarda-Roupa Casal Madesa Lyon Plus 3 Portas de Correr com Espelho 4 Gavetas Rustic</v>
          </cell>
          <cell r="E1789" t="str">
            <v>LYON PLUS</v>
          </cell>
          <cell r="F1789" t="str">
            <v>QUARTO</v>
          </cell>
          <cell r="G1789" t="str">
            <v/>
          </cell>
          <cell r="H1789">
            <v>2069.9899999999998</v>
          </cell>
          <cell r="I1789">
            <v>1159.92</v>
          </cell>
          <cell r="J1789">
            <v>928.25490000000002</v>
          </cell>
          <cell r="K1789">
            <v>0</v>
          </cell>
          <cell r="L1789">
            <v>928.25490000000002</v>
          </cell>
          <cell r="M1789">
            <v>0</v>
          </cell>
          <cell r="N1789">
            <v>1159.92</v>
          </cell>
          <cell r="O1789" t="str">
            <v/>
          </cell>
          <cell r="P1789">
            <v>0</v>
          </cell>
          <cell r="Q1789">
            <v>0.249570565154033</v>
          </cell>
          <cell r="R1789">
            <v>0.249570565154033</v>
          </cell>
          <cell r="S1789" t="e">
            <v>#VALUE!</v>
          </cell>
          <cell r="T1789" t="e">
            <v>#VALUE!</v>
          </cell>
        </row>
        <row r="1790">
          <cell r="A1790" t="str">
            <v>GRGL290006C3</v>
          </cell>
          <cell r="B1790" t="str">
            <v>MKP000631000227</v>
          </cell>
          <cell r="C1790" t="str">
            <v/>
          </cell>
          <cell r="D1790" t="str">
            <v>Armário de Cozinha Completa 290cm Rustic/Preto/Crema Vicenza Madesa 06</v>
          </cell>
          <cell r="E1790" t="str">
            <v>VICENZA/GLAMY</v>
          </cell>
          <cell r="F1790" t="str">
            <v>COZINHA</v>
          </cell>
          <cell r="G1790" t="str">
            <v/>
          </cell>
          <cell r="H1790">
            <v>2599.9899999999998</v>
          </cell>
          <cell r="I1790">
            <v>2499.9899999999998</v>
          </cell>
          <cell r="J1790">
            <v>2094.1842999999999</v>
          </cell>
          <cell r="K1790">
            <v>0</v>
          </cell>
          <cell r="L1790">
            <v>2094.1842999999999</v>
          </cell>
          <cell r="M1790">
            <v>0</v>
          </cell>
          <cell r="N1790">
            <v>2499.9899999999998</v>
          </cell>
          <cell r="O1790" t="str">
            <v/>
          </cell>
          <cell r="P1790">
            <v>0</v>
          </cell>
          <cell r="Q1790">
            <v>0.193777453111457</v>
          </cell>
          <cell r="R1790">
            <v>0.193777453111457</v>
          </cell>
          <cell r="S1790" t="e">
            <v>#VALUE!</v>
          </cell>
          <cell r="T1790" t="e">
            <v>#VALUE!</v>
          </cell>
        </row>
        <row r="1791">
          <cell r="A1791" t="str">
            <v>G2435009GL</v>
          </cell>
          <cell r="B1791" t="str">
            <v>MKP000631000555</v>
          </cell>
          <cell r="C1791" t="str">
            <v/>
          </cell>
          <cell r="D1791" t="str">
            <v>Balcão Madesa Glamy 35 cm 1 Porta Branco</v>
          </cell>
          <cell r="E1791" t="str">
            <v>GLAMY</v>
          </cell>
          <cell r="F1791" t="str">
            <v>MODULAÇÃO</v>
          </cell>
          <cell r="G1791" t="str">
            <v/>
          </cell>
          <cell r="H1791">
            <v>539.99</v>
          </cell>
          <cell r="I1791">
            <v>339.99</v>
          </cell>
          <cell r="J1791">
            <v>217.0735</v>
          </cell>
          <cell r="K1791">
            <v>0</v>
          </cell>
          <cell r="L1791">
            <v>217.0735</v>
          </cell>
          <cell r="M1791">
            <v>0</v>
          </cell>
          <cell r="N1791">
            <v>339.99</v>
          </cell>
          <cell r="O1791" t="str">
            <v/>
          </cell>
          <cell r="P1791">
            <v>0</v>
          </cell>
          <cell r="Q1791">
            <v>0.56624369165282695</v>
          </cell>
          <cell r="R1791">
            <v>0.56624369165282695</v>
          </cell>
          <cell r="S1791" t="e">
            <v>#VALUE!</v>
          </cell>
          <cell r="T1791" t="e">
            <v>#VALUE!</v>
          </cell>
        </row>
        <row r="1792">
          <cell r="A1792" t="str">
            <v>G227509NLX</v>
          </cell>
          <cell r="B1792" t="str">
            <v>MKP000631002702</v>
          </cell>
          <cell r="C1792" t="str">
            <v/>
          </cell>
          <cell r="D1792" t="str">
            <v>Balcão de Canto Madesa Lux 1 Porta (Sem Tampo) Rustic/Cinza</v>
          </cell>
          <cell r="E1792" t="str">
            <v>LUX</v>
          </cell>
          <cell r="F1792" t="str">
            <v>MODULAÇÃO</v>
          </cell>
          <cell r="G1792" t="str">
            <v/>
          </cell>
          <cell r="H1792">
            <v>999.99</v>
          </cell>
          <cell r="I1792">
            <v>719.99</v>
          </cell>
          <cell r="J1792">
            <v>368.99770000000001</v>
          </cell>
          <cell r="K1792">
            <v>0</v>
          </cell>
          <cell r="L1792">
            <v>368.99770000000001</v>
          </cell>
          <cell r="M1792">
            <v>0</v>
          </cell>
          <cell r="N1792">
            <v>719.99</v>
          </cell>
          <cell r="O1792" t="str">
            <v>LOJA</v>
          </cell>
          <cell r="P1792">
            <v>699.99</v>
          </cell>
          <cell r="Q1792">
            <v>0.95120457390384805</v>
          </cell>
          <cell r="R1792">
            <v>0.95120457390384805</v>
          </cell>
          <cell r="S1792" t="e">
            <v>#VALUE!</v>
          </cell>
          <cell r="T1792" t="e">
            <v>#VALUE!</v>
          </cell>
        </row>
        <row r="1793">
          <cell r="A1793" t="str">
            <v>GCEM2610035Z</v>
          </cell>
          <cell r="B1793" t="str">
            <v>MKP000631001959</v>
          </cell>
          <cell r="C1793" t="str">
            <v/>
          </cell>
          <cell r="D1793" t="str">
            <v>Armário de Cozinha Completa de Canto 261cm Rustic Emilly River Madesa 03</v>
          </cell>
          <cell r="E1793" t="str">
            <v>RIVER/EMILLY</v>
          </cell>
          <cell r="F1793" t="str">
            <v>COZINHA</v>
          </cell>
          <cell r="G1793" t="str">
            <v/>
          </cell>
          <cell r="H1793">
            <v>1859.99</v>
          </cell>
          <cell r="I1793">
            <v>1199.99</v>
          </cell>
          <cell r="J1793">
            <v>982.34069999999997</v>
          </cell>
          <cell r="K1793">
            <v>0</v>
          </cell>
          <cell r="L1793">
            <v>982.34069999999997</v>
          </cell>
          <cell r="M1793">
            <v>0</v>
          </cell>
          <cell r="N1793">
            <v>1199.99</v>
          </cell>
          <cell r="O1793" t="str">
            <v/>
          </cell>
          <cell r="P1793">
            <v>0</v>
          </cell>
          <cell r="Q1793">
            <v>0.22156192856511001</v>
          </cell>
          <cell r="R1793">
            <v>0.22156192856511001</v>
          </cell>
          <cell r="S1793" t="e">
            <v>#VALUE!</v>
          </cell>
          <cell r="T1793" t="e">
            <v>#VALUE!</v>
          </cell>
        </row>
        <row r="1794">
          <cell r="A1794" t="str">
            <v>G27080F8AG</v>
          </cell>
          <cell r="B1794" t="str">
            <v>MKP000631003345</v>
          </cell>
          <cell r="C1794" t="str">
            <v/>
          </cell>
          <cell r="D1794" t="str">
            <v>Porta-Geladeira Madesa Agata 1 Porta Basculante Branco/Cinza</v>
          </cell>
          <cell r="E1794" t="str">
            <v>ÁGATA</v>
          </cell>
          <cell r="F1794" t="str">
            <v>MODULAÇÃO</v>
          </cell>
          <cell r="G1794" t="str">
            <v/>
          </cell>
          <cell r="H1794">
            <v>959.99</v>
          </cell>
          <cell r="I1794">
            <v>629.99</v>
          </cell>
          <cell r="J1794">
            <v>353.45429999999999</v>
          </cell>
          <cell r="K1794">
            <v>0</v>
          </cell>
          <cell r="L1794">
            <v>353.45429999999999</v>
          </cell>
          <cell r="M1794">
            <v>0</v>
          </cell>
          <cell r="N1794">
            <v>629.99</v>
          </cell>
          <cell r="O1794" t="str">
            <v/>
          </cell>
          <cell r="P1794">
            <v>0</v>
          </cell>
          <cell r="Q1794">
            <v>0.78238035299047204</v>
          </cell>
          <cell r="R1794">
            <v>0.78238035299047204</v>
          </cell>
          <cell r="S1794" t="e">
            <v>#VALUE!</v>
          </cell>
          <cell r="T1794" t="e">
            <v>#VALUE!</v>
          </cell>
        </row>
        <row r="1795">
          <cell r="A1795" t="str">
            <v>XC10639B1E</v>
          </cell>
          <cell r="B1795" t="str">
            <v>MKP000631001435</v>
          </cell>
          <cell r="C1795" t="str">
            <v/>
          </cell>
          <cell r="D1795" t="str">
            <v>Guarda-Roupa Casal 100% MDF Madesa Zurique 3 Portas de Correr com Espelho Branco/Rustic</v>
          </cell>
          <cell r="E1795" t="str">
            <v>ZURIQUE</v>
          </cell>
          <cell r="F1795" t="str">
            <v>QUARTO</v>
          </cell>
          <cell r="G1795" t="str">
            <v/>
          </cell>
          <cell r="H1795">
            <v>3269.99</v>
          </cell>
          <cell r="I1795">
            <v>2049.92</v>
          </cell>
          <cell r="J1795">
            <v>1792.614</v>
          </cell>
          <cell r="K1795">
            <v>0</v>
          </cell>
          <cell r="L1795">
            <v>1792.614</v>
          </cell>
          <cell r="M1795">
            <v>0</v>
          </cell>
          <cell r="N1795">
            <v>2049.92</v>
          </cell>
          <cell r="O1795" t="str">
            <v/>
          </cell>
          <cell r="P1795">
            <v>0</v>
          </cell>
          <cell r="Q1795">
            <v>0.14353675693707599</v>
          </cell>
          <cell r="R1795">
            <v>0.14353675693707599</v>
          </cell>
          <cell r="S1795" t="e">
            <v>#VALUE!</v>
          </cell>
          <cell r="T1795" t="e">
            <v>#VALUE!</v>
          </cell>
        </row>
        <row r="1796">
          <cell r="A1796" t="str">
            <v>GRAG310001F8</v>
          </cell>
          <cell r="B1796" t="str">
            <v>MKP000631002603</v>
          </cell>
          <cell r="C1796" t="str">
            <v/>
          </cell>
          <cell r="D1796" t="str">
            <v>Armário de Cozinha Completa 310cm Branco/Cinza Agata Madesa 01</v>
          </cell>
          <cell r="E1796" t="str">
            <v>ÁGATA</v>
          </cell>
          <cell r="F1796" t="str">
            <v>COZINHA</v>
          </cell>
          <cell r="G1796" t="str">
            <v/>
          </cell>
          <cell r="H1796">
            <v>2499.9899999999998</v>
          </cell>
          <cell r="I1796">
            <v>2399.9899999999998</v>
          </cell>
          <cell r="J1796">
            <v>1961.4876999999999</v>
          </cell>
          <cell r="K1796">
            <v>0</v>
          </cell>
          <cell r="L1796">
            <v>1961.4876999999999</v>
          </cell>
          <cell r="M1796">
            <v>0</v>
          </cell>
          <cell r="N1796">
            <v>2399.9899999999998</v>
          </cell>
          <cell r="O1796" t="str">
            <v/>
          </cell>
          <cell r="P1796">
            <v>0</v>
          </cell>
          <cell r="Q1796">
            <v>0.22355597743488301</v>
          </cell>
          <cell r="R1796">
            <v>0.22355597743488301</v>
          </cell>
          <cell r="S1796" t="e">
            <v>#VALUE!</v>
          </cell>
          <cell r="T1796" t="e">
            <v>#VALUE!</v>
          </cell>
        </row>
        <row r="1797">
          <cell r="A1797" t="str">
            <v>1063771B</v>
          </cell>
          <cell r="B1797" t="str">
            <v>MKP000631003029</v>
          </cell>
          <cell r="C1797" t="str">
            <v/>
          </cell>
          <cell r="D1797" t="str">
            <v>Guarda-Roupa Casal 100% MDF Madesa Royale 3 Portas de Correr Preto/Preto/Branco</v>
          </cell>
          <cell r="E1797" t="str">
            <v>ROYALE</v>
          </cell>
          <cell r="F1797" t="str">
            <v>QUARTO</v>
          </cell>
          <cell r="G1797" t="str">
            <v/>
          </cell>
          <cell r="H1797">
            <v>2469.9899999999998</v>
          </cell>
          <cell r="I1797">
            <v>1829.92</v>
          </cell>
          <cell r="J1797">
            <v>1551.3534</v>
          </cell>
          <cell r="K1797">
            <v>0</v>
          </cell>
          <cell r="L1797">
            <v>1551.3534</v>
          </cell>
          <cell r="M1797">
            <v>0</v>
          </cell>
          <cell r="N1797">
            <v>1829.92</v>
          </cell>
          <cell r="O1797" t="str">
            <v/>
          </cell>
          <cell r="P1797">
            <v>0</v>
          </cell>
          <cell r="Q1797">
            <v>0.179563599112878</v>
          </cell>
          <cell r="R1797">
            <v>0.179563599112878</v>
          </cell>
          <cell r="S1797" t="e">
            <v>#VALUE!</v>
          </cell>
          <cell r="T1797" t="e">
            <v>#VALUE!</v>
          </cell>
        </row>
        <row r="1798">
          <cell r="A1798" t="str">
            <v>XC10639B2E</v>
          </cell>
          <cell r="B1798" t="str">
            <v>MKP000631001441</v>
          </cell>
          <cell r="C1798" t="str">
            <v/>
          </cell>
          <cell r="D1798" t="str">
            <v>Guarda-Roupa Casal 100% MDF Madesa Zurique 3 Portas de Correr com Espelhos Branco/Rustic</v>
          </cell>
          <cell r="E1798" t="str">
            <v>ZURIQUE</v>
          </cell>
          <cell r="F1798" t="str">
            <v>QUARTO</v>
          </cell>
          <cell r="G1798" t="str">
            <v/>
          </cell>
          <cell r="H1798">
            <v>3189.99</v>
          </cell>
          <cell r="I1798">
            <v>2359.92</v>
          </cell>
          <cell r="J1798">
            <v>2033.8746000000001</v>
          </cell>
          <cell r="K1798">
            <v>0</v>
          </cell>
          <cell r="L1798">
            <v>2033.8746000000001</v>
          </cell>
          <cell r="M1798">
            <v>0</v>
          </cell>
          <cell r="N1798">
            <v>2359.92</v>
          </cell>
          <cell r="O1798" t="str">
            <v/>
          </cell>
          <cell r="P1798">
            <v>0</v>
          </cell>
          <cell r="Q1798">
            <v>0.160307523384185</v>
          </cell>
          <cell r="R1798">
            <v>0.160307523384185</v>
          </cell>
          <cell r="S1798" t="e">
            <v>#VALUE!</v>
          </cell>
          <cell r="T1798" t="e">
            <v>#VALUE!</v>
          </cell>
        </row>
        <row r="1799">
          <cell r="A1799" t="str">
            <v>1097731E</v>
          </cell>
          <cell r="B1799" t="str">
            <v>MKP000631002476</v>
          </cell>
          <cell r="C1799" t="str">
            <v/>
          </cell>
          <cell r="D1799" t="str">
            <v>Guarda-Roupa Solteiro Madesa Tokio 2 Portas de Correr com Espelho 2 Gavetas Branco/Preto</v>
          </cell>
          <cell r="E1799" t="str">
            <v>TOKIO</v>
          </cell>
          <cell r="F1799" t="str">
            <v>QUARTO</v>
          </cell>
          <cell r="G1799" t="str">
            <v/>
          </cell>
          <cell r="H1799">
            <v>1539.99</v>
          </cell>
          <cell r="I1799">
            <v>929.92</v>
          </cell>
          <cell r="J1799">
            <v>750.39959999999996</v>
          </cell>
          <cell r="K1799">
            <v>0</v>
          </cell>
          <cell r="L1799">
            <v>750.39959999999996</v>
          </cell>
          <cell r="M1799">
            <v>0</v>
          </cell>
          <cell r="N1799">
            <v>929.92</v>
          </cell>
          <cell r="O1799" t="str">
            <v/>
          </cell>
          <cell r="P1799">
            <v>0</v>
          </cell>
          <cell r="Q1799">
            <v>0.239233069953662</v>
          </cell>
          <cell r="R1799">
            <v>0.239233069953662</v>
          </cell>
          <cell r="S1799" t="e">
            <v>#VALUE!</v>
          </cell>
          <cell r="T1799" t="e">
            <v>#VALUE!</v>
          </cell>
        </row>
        <row r="1800">
          <cell r="A1800" t="str">
            <v>GRGL28000109</v>
          </cell>
          <cell r="B1800" t="str">
            <v>MKP000631000186</v>
          </cell>
          <cell r="C1800" t="str">
            <v/>
          </cell>
          <cell r="D1800" t="str">
            <v>Armário de Cozinha Compacta 280cm Branco Marina Madesa 01</v>
          </cell>
          <cell r="E1800" t="str">
            <v>MARINA/GLAMY</v>
          </cell>
          <cell r="F1800" t="str">
            <v>COZINHA</v>
          </cell>
          <cell r="G1800" t="str">
            <v/>
          </cell>
          <cell r="H1800">
            <v>1599.99</v>
          </cell>
          <cell r="I1800">
            <v>1499.99</v>
          </cell>
          <cell r="J1800">
            <v>1253.0640000000001</v>
          </cell>
          <cell r="K1800">
            <v>0</v>
          </cell>
          <cell r="L1800">
            <v>1253.0640000000001</v>
          </cell>
          <cell r="M1800">
            <v>0</v>
          </cell>
          <cell r="N1800">
            <v>1499.99</v>
          </cell>
          <cell r="O1800" t="str">
            <v/>
          </cell>
          <cell r="P1800">
            <v>0</v>
          </cell>
          <cell r="Q1800">
            <v>0.1970577719893</v>
          </cell>
          <cell r="R1800">
            <v>0.1970577719893</v>
          </cell>
          <cell r="S1800" t="e">
            <v>#VALUE!</v>
          </cell>
          <cell r="T1800" t="e">
            <v>#VALUE!</v>
          </cell>
        </row>
        <row r="1801">
          <cell r="A1801" t="str">
            <v>60249B5ZPP</v>
          </cell>
          <cell r="B1801" t="str">
            <v>MKP000631001610</v>
          </cell>
          <cell r="C1801" t="str">
            <v/>
          </cell>
          <cell r="D1801" t="str">
            <v>Rack Madesa Dubai para TV até 65 Polegadas com Pés Branco/Rustic 9B5Z</v>
          </cell>
          <cell r="E1801" t="str">
            <v>DUBAI</v>
          </cell>
          <cell r="F1801" t="str">
            <v>SALA DE ESTAR</v>
          </cell>
          <cell r="G1801" t="str">
            <v/>
          </cell>
          <cell r="H1801">
            <v>569.99</v>
          </cell>
          <cell r="I1801">
            <v>319.92</v>
          </cell>
          <cell r="J1801">
            <v>243.82210000000001</v>
          </cell>
          <cell r="K1801">
            <v>0</v>
          </cell>
          <cell r="L1801">
            <v>243.82210000000001</v>
          </cell>
          <cell r="M1801">
            <v>0</v>
          </cell>
          <cell r="N1801">
            <v>319.92</v>
          </cell>
          <cell r="O1801" t="str">
            <v/>
          </cell>
          <cell r="P1801">
            <v>0</v>
          </cell>
          <cell r="Q1801">
            <v>0.31210419400046202</v>
          </cell>
          <cell r="R1801">
            <v>0.31210419400046202</v>
          </cell>
          <cell r="S1801" t="e">
            <v>#VALUE!</v>
          </cell>
          <cell r="T1801" t="e">
            <v>#VALUE!</v>
          </cell>
        </row>
        <row r="1802">
          <cell r="A1802" t="str">
            <v>MDFC0200028N</v>
          </cell>
          <cell r="B1802" t="str">
            <v>MKP000631002650</v>
          </cell>
          <cell r="C1802" t="str">
            <v/>
          </cell>
          <cell r="D1802" t="str">
            <v>Mesa para Computador Gamer Madesa 9409 e Painel para TV até 65 Polegadas Preto</v>
          </cell>
          <cell r="E1802" t="str">
            <v>GAMER</v>
          </cell>
          <cell r="F1802" t="str">
            <v>ESCRITÓRIO</v>
          </cell>
          <cell r="G1802" t="str">
            <v/>
          </cell>
          <cell r="H1802">
            <v>1139.99</v>
          </cell>
          <cell r="I1802">
            <v>649.99</v>
          </cell>
          <cell r="J1802">
            <v>434.67020000000002</v>
          </cell>
          <cell r="K1802">
            <v>0</v>
          </cell>
          <cell r="L1802">
            <v>434.67020000000002</v>
          </cell>
          <cell r="M1802">
            <v>0</v>
          </cell>
          <cell r="N1802">
            <v>649.99</v>
          </cell>
          <cell r="O1802" t="str">
            <v>LOJA</v>
          </cell>
          <cell r="P1802">
            <v>579.99</v>
          </cell>
          <cell r="Q1802">
            <v>0.495363611308068</v>
          </cell>
          <cell r="R1802">
            <v>0.495363611308068</v>
          </cell>
          <cell r="S1802" t="e">
            <v>#VALUE!</v>
          </cell>
          <cell r="T1802" t="e">
            <v>#VALUE!</v>
          </cell>
        </row>
        <row r="1803">
          <cell r="A1803" t="str">
            <v>G2212309GL</v>
          </cell>
          <cell r="B1803" t="str">
            <v>MKP000631004882</v>
          </cell>
          <cell r="C1803" t="str">
            <v/>
          </cell>
          <cell r="D1803" t="str">
            <v>Balcão Gabinete de Pia 120 x 60 cm 1 Porta 2 Gavetas Branco (Sem Tampo) Glamy Madesa</v>
          </cell>
          <cell r="E1803" t="str">
            <v>GLAMY</v>
          </cell>
          <cell r="F1803" t="str">
            <v>MODULAÇÃO</v>
          </cell>
          <cell r="G1803" t="str">
            <v/>
          </cell>
          <cell r="H1803">
            <v>759.99</v>
          </cell>
          <cell r="I1803">
            <v>719.99</v>
          </cell>
          <cell r="J1803">
            <v>460.64490000000001</v>
          </cell>
          <cell r="K1803">
            <v>0</v>
          </cell>
          <cell r="L1803">
            <v>460.64490000000001</v>
          </cell>
          <cell r="M1803">
            <v>0</v>
          </cell>
          <cell r="N1803">
            <v>719.99</v>
          </cell>
          <cell r="O1803" t="str">
            <v/>
          </cell>
          <cell r="P1803">
            <v>0</v>
          </cell>
          <cell r="Q1803">
            <v>0.56300438797867902</v>
          </cell>
          <cell r="R1803">
            <v>0.56300438797867902</v>
          </cell>
          <cell r="S1803" t="e">
            <v>#VALUE!</v>
          </cell>
          <cell r="T1803" t="e">
            <v>#VALUE!</v>
          </cell>
        </row>
        <row r="1804">
          <cell r="A1804" t="str">
            <v>G256027KLX</v>
          </cell>
          <cell r="B1804" t="str">
            <v>MKP000631003096</v>
          </cell>
          <cell r="C1804" t="str">
            <v/>
          </cell>
          <cell r="D1804" t="str">
            <v>Armário Aéreo Madesa Lux 60 cm 1 Porta Basculante Rustic/Preto</v>
          </cell>
          <cell r="E1804" t="str">
            <v>LUX</v>
          </cell>
          <cell r="F1804" t="str">
            <v>MODULAÇÃO</v>
          </cell>
          <cell r="G1804" t="str">
            <v/>
          </cell>
          <cell r="H1804">
            <v>779.99</v>
          </cell>
          <cell r="I1804">
            <v>389.99</v>
          </cell>
          <cell r="J1804">
            <v>224.06039999999999</v>
          </cell>
          <cell r="K1804">
            <v>0</v>
          </cell>
          <cell r="L1804">
            <v>224.06039999999999</v>
          </cell>
          <cell r="M1804">
            <v>0</v>
          </cell>
          <cell r="N1804">
            <v>389.99</v>
          </cell>
          <cell r="O1804" t="str">
            <v>LOJA</v>
          </cell>
          <cell r="P1804">
            <v>379.99</v>
          </cell>
          <cell r="Q1804">
            <v>0.74055745682860497</v>
          </cell>
          <cell r="R1804">
            <v>0.74055745682860497</v>
          </cell>
          <cell r="S1804" t="e">
            <v>#VALUE!</v>
          </cell>
          <cell r="T1804" t="e">
            <v>#VALUE!</v>
          </cell>
        </row>
        <row r="1805">
          <cell r="A1805" t="str">
            <v>G228139NLX</v>
          </cell>
          <cell r="B1805" t="str">
            <v>MKP000631002708</v>
          </cell>
          <cell r="C1805" t="str">
            <v/>
          </cell>
          <cell r="D1805" t="str">
            <v>Balcão Madesa Lux 80 cm 2 Gavetas (Sem Tampo) Rustic/Cinza</v>
          </cell>
          <cell r="E1805" t="str">
            <v>LUX</v>
          </cell>
          <cell r="F1805" t="str">
            <v>MODULAÇÃO</v>
          </cell>
          <cell r="G1805" t="str">
            <v/>
          </cell>
          <cell r="H1805">
            <v>1359.99</v>
          </cell>
          <cell r="I1805">
            <v>949.99</v>
          </cell>
          <cell r="J1805">
            <v>527.82159999999999</v>
          </cell>
          <cell r="K1805">
            <v>0</v>
          </cell>
          <cell r="L1805">
            <v>527.82159999999999</v>
          </cell>
          <cell r="M1805">
            <v>0</v>
          </cell>
          <cell r="N1805">
            <v>949.99</v>
          </cell>
          <cell r="O1805" t="str">
            <v>LOJA</v>
          </cell>
          <cell r="P1805">
            <v>939.99</v>
          </cell>
          <cell r="Q1805">
            <v>0.79983160977117995</v>
          </cell>
          <cell r="R1805">
            <v>0.79983160977117995</v>
          </cell>
          <cell r="S1805" t="e">
            <v>#VALUE!</v>
          </cell>
          <cell r="T1805" t="e">
            <v>#VALUE!</v>
          </cell>
        </row>
        <row r="1806">
          <cell r="A1806" t="str">
            <v>GRAG1200017K</v>
          </cell>
          <cell r="B1806" t="str">
            <v>MKP000631004280</v>
          </cell>
          <cell r="C1806" t="str">
            <v/>
          </cell>
          <cell r="D1806" t="str">
            <v>Armário de Cozinha Compacta 120cm Rustic/Preto Agata Madesa 01</v>
          </cell>
          <cell r="E1806" t="str">
            <v>ÁGATA</v>
          </cell>
          <cell r="F1806" t="str">
            <v>COZINHA</v>
          </cell>
          <cell r="G1806" t="str">
            <v/>
          </cell>
          <cell r="H1806">
            <v>1389.99</v>
          </cell>
          <cell r="I1806">
            <v>1019.92</v>
          </cell>
          <cell r="J1806">
            <v>850.05830000000003</v>
          </cell>
          <cell r="K1806">
            <v>0</v>
          </cell>
          <cell r="L1806">
            <v>850.05830000000003</v>
          </cell>
          <cell r="M1806">
            <v>0</v>
          </cell>
          <cell r="N1806">
            <v>1019.92</v>
          </cell>
          <cell r="O1806" t="str">
            <v/>
          </cell>
          <cell r="P1806">
            <v>0</v>
          </cell>
          <cell r="Q1806">
            <v>0.199823588570337</v>
          </cell>
          <cell r="R1806">
            <v>0.199823588570337</v>
          </cell>
          <cell r="S1806" t="e">
            <v>#VALUE!</v>
          </cell>
          <cell r="T1806" t="e">
            <v>#VALUE!</v>
          </cell>
        </row>
        <row r="1807">
          <cell r="A1807" t="str">
            <v>1093732E4G</v>
          </cell>
          <cell r="B1807" t="str">
            <v>MKP000631002297</v>
          </cell>
          <cell r="C1807" t="str">
            <v/>
          </cell>
          <cell r="D1807" t="str">
            <v>Guarda-Roupa Casal Madesa Lyon Plus 3 Portas de Correr com Espelhos 4 Gavetas Branco/Preto</v>
          </cell>
          <cell r="E1807" t="str">
            <v>LYON PLUS</v>
          </cell>
          <cell r="F1807" t="str">
            <v>QUARTO</v>
          </cell>
          <cell r="G1807" t="str">
            <v/>
          </cell>
          <cell r="H1807">
            <v>1569.99</v>
          </cell>
          <cell r="I1807">
            <v>1299.92</v>
          </cell>
          <cell r="J1807">
            <v>1058.1829</v>
          </cell>
          <cell r="K1807">
            <v>0</v>
          </cell>
          <cell r="L1807">
            <v>1058.1829</v>
          </cell>
          <cell r="M1807">
            <v>0</v>
          </cell>
          <cell r="N1807">
            <v>1299.92</v>
          </cell>
          <cell r="O1807" t="str">
            <v/>
          </cell>
          <cell r="P1807">
            <v>0</v>
          </cell>
          <cell r="Q1807">
            <v>0.228445479510206</v>
          </cell>
          <cell r="R1807">
            <v>0.228445479510206</v>
          </cell>
          <cell r="S1807" t="e">
            <v>#VALUE!</v>
          </cell>
          <cell r="T1807" t="e">
            <v>#VALUE!</v>
          </cell>
        </row>
        <row r="1808">
          <cell r="A1808" t="str">
            <v>10935Z2E2GCP</v>
          </cell>
          <cell r="B1808" t="str">
            <v>MKP000631001853</v>
          </cell>
          <cell r="C1808" t="str">
            <v/>
          </cell>
          <cell r="D1808" t="str">
            <v>Guarda-Roupa Casal Madesa Lyon 3 Portas de Correr com Espelhos 2 Gavetas com Pés Rustic</v>
          </cell>
          <cell r="E1808" t="str">
            <v>LYON</v>
          </cell>
          <cell r="F1808" t="str">
            <v>QUARTO</v>
          </cell>
          <cell r="G1808" t="str">
            <v/>
          </cell>
          <cell r="H1808">
            <v>1519.99</v>
          </cell>
          <cell r="I1808">
            <v>1219.92</v>
          </cell>
          <cell r="J1808">
            <v>1015.6292999999999</v>
          </cell>
          <cell r="K1808">
            <v>0</v>
          </cell>
          <cell r="L1808">
            <v>1015.6292999999999</v>
          </cell>
          <cell r="M1808">
            <v>0</v>
          </cell>
          <cell r="N1808">
            <v>1219.92</v>
          </cell>
          <cell r="O1808" t="str">
            <v/>
          </cell>
          <cell r="P1808">
            <v>0</v>
          </cell>
          <cell r="Q1808">
            <v>0.20114691452875599</v>
          </cell>
          <cell r="R1808">
            <v>0.20114691452875599</v>
          </cell>
          <cell r="S1808" t="e">
            <v>#VALUE!</v>
          </cell>
          <cell r="T1808" t="e">
            <v>#VALUE!</v>
          </cell>
        </row>
        <row r="1809">
          <cell r="A1809" t="str">
            <v>GRGL24000809</v>
          </cell>
          <cell r="B1809" t="str">
            <v>MKP000631005044</v>
          </cell>
          <cell r="C1809" t="str">
            <v/>
          </cell>
          <cell r="D1809" t="str">
            <v>Armário de Cozinha Completa 240cm Branco Glamy Madesa 08</v>
          </cell>
          <cell r="E1809" t="str">
            <v>GLAMY</v>
          </cell>
          <cell r="F1809" t="str">
            <v>COZINHA</v>
          </cell>
          <cell r="G1809" t="str">
            <v/>
          </cell>
          <cell r="H1809">
            <v>1799.99</v>
          </cell>
          <cell r="I1809">
            <v>1729.92</v>
          </cell>
          <cell r="J1809">
            <v>1391.3414</v>
          </cell>
          <cell r="K1809">
            <v>0</v>
          </cell>
          <cell r="L1809">
            <v>1391.3414</v>
          </cell>
          <cell r="M1809">
            <v>0</v>
          </cell>
          <cell r="N1809">
            <v>1729.92</v>
          </cell>
          <cell r="O1809" t="str">
            <v/>
          </cell>
          <cell r="P1809">
            <v>0</v>
          </cell>
          <cell r="Q1809">
            <v>0.243346888118186</v>
          </cell>
          <cell r="R1809">
            <v>0.243346888118186</v>
          </cell>
          <cell r="S1809" t="e">
            <v>#VALUE!</v>
          </cell>
          <cell r="T1809" t="e">
            <v>#VALUE!</v>
          </cell>
        </row>
        <row r="1810">
          <cell r="A1810" t="str">
            <v>52312C</v>
          </cell>
          <cell r="B1810" t="str">
            <v>MKP000631003161</v>
          </cell>
          <cell r="C1810" t="str">
            <v/>
          </cell>
          <cell r="D1810" t="str">
            <v>Mesa de Jantar Madesa Retangular Tampo de Madeira 5231 Preto</v>
          </cell>
          <cell r="E1810">
            <v>5231</v>
          </cell>
          <cell r="F1810" t="str">
            <v>SALA DE JANTAR</v>
          </cell>
          <cell r="G1810" t="str">
            <v/>
          </cell>
          <cell r="H1810">
            <v>689.99</v>
          </cell>
          <cell r="I1810">
            <v>329.99</v>
          </cell>
          <cell r="J1810">
            <v>183.06549999999999</v>
          </cell>
          <cell r="K1810">
            <v>0</v>
          </cell>
          <cell r="L1810">
            <v>183.06549999999999</v>
          </cell>
          <cell r="M1810">
            <v>0</v>
          </cell>
          <cell r="N1810">
            <v>329.99</v>
          </cell>
          <cell r="O1810" t="str">
            <v/>
          </cell>
          <cell r="P1810">
            <v>0</v>
          </cell>
          <cell r="Q1810">
            <v>0.80257885838675203</v>
          </cell>
          <cell r="R1810">
            <v>0.80257885838675203</v>
          </cell>
          <cell r="S1810" t="e">
            <v>#VALUE!</v>
          </cell>
          <cell r="T1810" t="e">
            <v>#VALUE!</v>
          </cell>
        </row>
        <row r="1811">
          <cell r="A1811" t="str">
            <v>G2212373AG</v>
          </cell>
          <cell r="B1811" t="str">
            <v>MKP000631004878</v>
          </cell>
          <cell r="C1811" t="str">
            <v/>
          </cell>
          <cell r="D1811" t="str">
            <v>Balcão Gabinete de Pia 120 x 60 cm 1 Porta 2 Gavetas Branco/Preto (Sem Tampo) Agata Madesa</v>
          </cell>
          <cell r="E1811" t="str">
            <v>ÁGATA</v>
          </cell>
          <cell r="F1811" t="str">
            <v>MODULAÇÃO</v>
          </cell>
          <cell r="G1811" t="str">
            <v/>
          </cell>
          <cell r="H1811">
            <v>799.99</v>
          </cell>
          <cell r="I1811">
            <v>699.99</v>
          </cell>
          <cell r="J1811">
            <v>438.40890000000002</v>
          </cell>
          <cell r="K1811">
            <v>0</v>
          </cell>
          <cell r="L1811">
            <v>438.40890000000002</v>
          </cell>
          <cell r="M1811">
            <v>0</v>
          </cell>
          <cell r="N1811">
            <v>699.99</v>
          </cell>
          <cell r="O1811" t="str">
            <v/>
          </cell>
          <cell r="P1811">
            <v>0</v>
          </cell>
          <cell r="Q1811">
            <v>0.59666010429989003</v>
          </cell>
          <cell r="R1811">
            <v>0.59666010429989003</v>
          </cell>
          <cell r="S1811" t="e">
            <v>#VALUE!</v>
          </cell>
          <cell r="T1811" t="e">
            <v>#VALUE!</v>
          </cell>
        </row>
        <row r="1812">
          <cell r="A1812" t="str">
            <v>G22123F9AGCT</v>
          </cell>
          <cell r="B1812" t="str">
            <v>MKP000631004860</v>
          </cell>
          <cell r="C1812" t="str">
            <v/>
          </cell>
          <cell r="D1812" t="str">
            <v>Balcão Gabinete de Pia 120 x 60 cm 1 Porta 2 Gavetas Rustic/Cinza (Com Tampo) Agata Madesa</v>
          </cell>
          <cell r="E1812" t="str">
            <v>ÁGATA</v>
          </cell>
          <cell r="F1812" t="str">
            <v>MODULAÇÃO</v>
          </cell>
          <cell r="G1812" t="str">
            <v/>
          </cell>
          <cell r="H1812">
            <v>959.99</v>
          </cell>
          <cell r="I1812">
            <v>859.99</v>
          </cell>
          <cell r="J1812">
            <v>537.11929999999995</v>
          </cell>
          <cell r="K1812">
            <v>0</v>
          </cell>
          <cell r="L1812">
            <v>537.11929999999995</v>
          </cell>
          <cell r="M1812">
            <v>0</v>
          </cell>
          <cell r="N1812">
            <v>859.99</v>
          </cell>
          <cell r="O1812" t="str">
            <v/>
          </cell>
          <cell r="P1812">
            <v>0</v>
          </cell>
          <cell r="Q1812">
            <v>0.60111543189753203</v>
          </cell>
          <cell r="R1812">
            <v>0.60111543189753203</v>
          </cell>
          <cell r="S1812" t="e">
            <v>#VALUE!</v>
          </cell>
          <cell r="T1812" t="e">
            <v>#VALUE!</v>
          </cell>
        </row>
        <row r="1813">
          <cell r="A1813" t="str">
            <v>MDFC0200060909</v>
          </cell>
          <cell r="B1813" t="str">
            <v>MKP000631002659</v>
          </cell>
          <cell r="C1813" t="str">
            <v/>
          </cell>
          <cell r="D1813" t="str">
            <v>Escrivaninha Madesa Alaska + Estante Livreiro 6907 Branco</v>
          </cell>
          <cell r="E1813" t="str">
            <v>ALASKA + 6907</v>
          </cell>
          <cell r="F1813" t="str">
            <v>ESCRITÓRIO</v>
          </cell>
          <cell r="G1813" t="str">
            <v/>
          </cell>
          <cell r="H1813">
            <v>799.99</v>
          </cell>
          <cell r="I1813">
            <v>679.92</v>
          </cell>
          <cell r="J1813">
            <v>487.11009999999999</v>
          </cell>
          <cell r="K1813">
            <v>0</v>
          </cell>
          <cell r="L1813">
            <v>487.11009999999999</v>
          </cell>
          <cell r="M1813">
            <v>0</v>
          </cell>
          <cell r="N1813">
            <v>679.92</v>
          </cell>
          <cell r="O1813" t="str">
            <v/>
          </cell>
          <cell r="P1813">
            <v>0</v>
          </cell>
          <cell r="Q1813">
            <v>0.39582406523699598</v>
          </cell>
          <cell r="R1813">
            <v>0.39582406523699598</v>
          </cell>
          <cell r="S1813" t="e">
            <v>#VALUE!</v>
          </cell>
          <cell r="T1813" t="e">
            <v>#VALUE!</v>
          </cell>
        </row>
        <row r="1814">
          <cell r="A1814" t="str">
            <v>10939B2GCP</v>
          </cell>
          <cell r="B1814" t="str">
            <v>MKP000631001077</v>
          </cell>
          <cell r="C1814" t="str">
            <v/>
          </cell>
          <cell r="D1814" t="str">
            <v>Guarda-Roupa Casal Madesa Lyon 3 Portas de Correr 2 Gavetas com Pés Branco/Rustic</v>
          </cell>
          <cell r="E1814" t="str">
            <v>LYON</v>
          </cell>
          <cell r="F1814" t="str">
            <v>QUARTO</v>
          </cell>
          <cell r="G1814" t="str">
            <v/>
          </cell>
          <cell r="H1814">
            <v>1059.99</v>
          </cell>
          <cell r="I1814">
            <v>929.92</v>
          </cell>
          <cell r="J1814">
            <v>755.77329999999995</v>
          </cell>
          <cell r="K1814">
            <v>0</v>
          </cell>
          <cell r="L1814">
            <v>755.77329999999995</v>
          </cell>
          <cell r="M1814">
            <v>0</v>
          </cell>
          <cell r="N1814">
            <v>929.92</v>
          </cell>
          <cell r="O1814" t="str">
            <v/>
          </cell>
          <cell r="P1814">
            <v>0</v>
          </cell>
          <cell r="Q1814">
            <v>0.230421873860852</v>
          </cell>
          <cell r="R1814">
            <v>0.230421873860852</v>
          </cell>
          <cell r="S1814" t="e">
            <v>#VALUE!</v>
          </cell>
          <cell r="T1814" t="e">
            <v>#VALUE!</v>
          </cell>
        </row>
        <row r="1815">
          <cell r="A1815" t="str">
            <v>GRRM2350028N</v>
          </cell>
          <cell r="B1815" t="str">
            <v>MKP000631003196</v>
          </cell>
          <cell r="C1815" t="str">
            <v/>
          </cell>
          <cell r="D1815" t="str">
            <v>Armário de Cozinha Completa 235cm Preto Reims Madesa 02</v>
          </cell>
          <cell r="E1815" t="str">
            <v>REIMS</v>
          </cell>
          <cell r="F1815" t="str">
            <v>COZINHA</v>
          </cell>
          <cell r="G1815" t="str">
            <v/>
          </cell>
          <cell r="H1815">
            <v>3179.99</v>
          </cell>
          <cell r="I1815">
            <v>1639.92</v>
          </cell>
          <cell r="J1815">
            <v>1430.5051000000001</v>
          </cell>
          <cell r="K1815">
            <v>0</v>
          </cell>
          <cell r="L1815">
            <v>1430.5051000000001</v>
          </cell>
          <cell r="M1815">
            <v>0</v>
          </cell>
          <cell r="N1815">
            <v>1639.92</v>
          </cell>
          <cell r="O1815" t="str">
            <v/>
          </cell>
          <cell r="P1815">
            <v>0</v>
          </cell>
          <cell r="Q1815">
            <v>0.14639227780453201</v>
          </cell>
          <cell r="R1815">
            <v>0.14639227780453201</v>
          </cell>
          <cell r="S1815" t="e">
            <v>#VALUE!</v>
          </cell>
          <cell r="T1815" t="e">
            <v>#VALUE!</v>
          </cell>
        </row>
        <row r="1816">
          <cell r="A1816" t="str">
            <v>GRGL27000209</v>
          </cell>
          <cell r="B1816" t="str">
            <v>MKP000631000543</v>
          </cell>
          <cell r="C1816" t="str">
            <v/>
          </cell>
          <cell r="D1816" t="str">
            <v>Armário de Cozinha Completa 270cm Branco Viena Madesa 02</v>
          </cell>
          <cell r="E1816" t="str">
            <v>VIENA/GLAMY</v>
          </cell>
          <cell r="F1816" t="str">
            <v>COZINHA</v>
          </cell>
          <cell r="G1816" t="str">
            <v/>
          </cell>
          <cell r="H1816">
            <v>2999.99</v>
          </cell>
          <cell r="I1816">
            <v>2299.9899999999998</v>
          </cell>
          <cell r="J1816">
            <v>1929.8123000000001</v>
          </cell>
          <cell r="K1816">
            <v>0</v>
          </cell>
          <cell r="L1816">
            <v>1929.8123000000001</v>
          </cell>
          <cell r="M1816">
            <v>0</v>
          </cell>
          <cell r="N1816">
            <v>2299.9899999999998</v>
          </cell>
          <cell r="O1816" t="str">
            <v/>
          </cell>
          <cell r="P1816">
            <v>0</v>
          </cell>
          <cell r="Q1816">
            <v>0.19182057239452699</v>
          </cell>
          <cell r="R1816">
            <v>0.19182057239452699</v>
          </cell>
          <cell r="S1816" t="e">
            <v>#VALUE!</v>
          </cell>
          <cell r="T1816" t="e">
            <v>#VALUE!</v>
          </cell>
        </row>
        <row r="1817">
          <cell r="A1817" t="str">
            <v>GRGL2900025Z</v>
          </cell>
          <cell r="B1817" t="str">
            <v>MKP000631000221</v>
          </cell>
          <cell r="C1817" t="str">
            <v/>
          </cell>
          <cell r="D1817" t="str">
            <v>Armário de Cozinha Completa 290cm Rustic/Rustic Vicenza Madesa 02</v>
          </cell>
          <cell r="E1817" t="str">
            <v>VICENZA/GLAMY</v>
          </cell>
          <cell r="F1817" t="str">
            <v>COZINHA</v>
          </cell>
          <cell r="G1817" t="str">
            <v/>
          </cell>
          <cell r="H1817">
            <v>2599.9899999999998</v>
          </cell>
          <cell r="I1817">
            <v>2499.9899999999998</v>
          </cell>
          <cell r="J1817">
            <v>2076.7116000000001</v>
          </cell>
          <cell r="K1817">
            <v>0</v>
          </cell>
          <cell r="L1817">
            <v>2076.7116000000001</v>
          </cell>
          <cell r="M1817">
            <v>0</v>
          </cell>
          <cell r="N1817">
            <v>2499.9899999999998</v>
          </cell>
          <cell r="O1817" t="str">
            <v/>
          </cell>
          <cell r="P1817">
            <v>0</v>
          </cell>
          <cell r="Q1817">
            <v>0.20382146466557999</v>
          </cell>
          <cell r="R1817">
            <v>0.20382146466557999</v>
          </cell>
          <cell r="S1817" t="e">
            <v>#VALUE!</v>
          </cell>
          <cell r="T1817" t="e">
            <v>#VALUE!</v>
          </cell>
        </row>
        <row r="1818">
          <cell r="A1818" t="str">
            <v>10187K2E</v>
          </cell>
          <cell r="B1818" t="str">
            <v>MKP000631002384</v>
          </cell>
          <cell r="C1818" t="str">
            <v/>
          </cell>
          <cell r="D1818" t="str">
            <v>Guarda-Roupa Casal Madesa Kansas 3 Portas de Correr com Espelhos 3 Gavetas Rustic/Preto</v>
          </cell>
          <cell r="E1818" t="str">
            <v>KANSAS</v>
          </cell>
          <cell r="F1818" t="str">
            <v>QUARTO</v>
          </cell>
          <cell r="G1818" t="str">
            <v/>
          </cell>
          <cell r="H1818">
            <v>2009.99</v>
          </cell>
          <cell r="I1818">
            <v>1679.92</v>
          </cell>
          <cell r="J1818">
            <v>1403.7782999999999</v>
          </cell>
          <cell r="K1818">
            <v>0</v>
          </cell>
          <cell r="L1818">
            <v>1403.7782999999999</v>
          </cell>
          <cell r="M1818">
            <v>0</v>
          </cell>
          <cell r="N1818">
            <v>1679.92</v>
          </cell>
          <cell r="O1818" t="str">
            <v/>
          </cell>
          <cell r="P1818">
            <v>0</v>
          </cell>
          <cell r="Q1818">
            <v>0.19671318469590299</v>
          </cell>
          <cell r="R1818">
            <v>0.19671318469590299</v>
          </cell>
          <cell r="S1818" t="e">
            <v>#VALUE!</v>
          </cell>
          <cell r="T1818" t="e">
            <v>#VALUE!</v>
          </cell>
        </row>
        <row r="1819">
          <cell r="A1819" t="str">
            <v>1063092ECP</v>
          </cell>
          <cell r="B1819" t="str">
            <v>MKP000631001189</v>
          </cell>
          <cell r="C1819" t="str">
            <v/>
          </cell>
          <cell r="D1819" t="str">
            <v>Guarda-Roupa Casal 100% MDF Madesa Royale 3 Portas de Correr com Espelhos com Pés Branco</v>
          </cell>
          <cell r="E1819" t="str">
            <v>ROYALE</v>
          </cell>
          <cell r="F1819" t="str">
            <v>QUARTO</v>
          </cell>
          <cell r="G1819" t="str">
            <v/>
          </cell>
          <cell r="H1819">
            <v>3349.99</v>
          </cell>
          <cell r="I1819">
            <v>2459.92</v>
          </cell>
          <cell r="J1819">
            <v>2080.0578999999998</v>
          </cell>
          <cell r="K1819">
            <v>0</v>
          </cell>
          <cell r="L1819">
            <v>2080.0578999999998</v>
          </cell>
          <cell r="M1819">
            <v>0</v>
          </cell>
          <cell r="N1819">
            <v>2459.92</v>
          </cell>
          <cell r="O1819" t="str">
            <v/>
          </cell>
          <cell r="P1819">
            <v>0</v>
          </cell>
          <cell r="Q1819">
            <v>0.18262092608095201</v>
          </cell>
          <cell r="R1819">
            <v>0.18262092608095201</v>
          </cell>
          <cell r="S1819" t="e">
            <v>#VALUE!</v>
          </cell>
          <cell r="T1819" t="e">
            <v>#VALUE!</v>
          </cell>
        </row>
        <row r="1820">
          <cell r="A1820" t="str">
            <v>MDJA040148F9SM</v>
          </cell>
          <cell r="B1820" t="str">
            <v>MKP000631005285</v>
          </cell>
          <cell r="C1820" t="str">
            <v/>
          </cell>
          <cell r="D1820" t="str">
            <v>Conjunto Sala de Jantar Mesa Tampo de Vidro 4 Cadeiras Rustic/Cinza/Imperial Avril Madesa</v>
          </cell>
          <cell r="E1820" t="str">
            <v>AVRIL</v>
          </cell>
          <cell r="F1820" t="str">
            <v>SALA DE JANTAR</v>
          </cell>
          <cell r="G1820">
            <v>4255</v>
          </cell>
          <cell r="H1820">
            <v>1459.99</v>
          </cell>
          <cell r="I1820">
            <v>1359.99</v>
          </cell>
          <cell r="J1820">
            <v>1036.2411999999999</v>
          </cell>
          <cell r="K1820">
            <v>0</v>
          </cell>
          <cell r="L1820">
            <v>1036.2411999999999</v>
          </cell>
          <cell r="M1820">
            <v>0</v>
          </cell>
          <cell r="N1820">
            <v>1359.99</v>
          </cell>
          <cell r="O1820" t="str">
            <v/>
          </cell>
          <cell r="P1820">
            <v>0</v>
          </cell>
          <cell r="Q1820">
            <v>0.312426103111901</v>
          </cell>
          <cell r="R1820">
            <v>0.312426103111901</v>
          </cell>
          <cell r="S1820" t="e">
            <v>#VALUE!</v>
          </cell>
          <cell r="T1820" t="e">
            <v>#VALUE!</v>
          </cell>
        </row>
        <row r="1821">
          <cell r="A1821" t="str">
            <v>G256029BGL</v>
          </cell>
          <cell r="B1821" t="str">
            <v>MKP000631000488</v>
          </cell>
          <cell r="C1821" t="str">
            <v/>
          </cell>
          <cell r="D1821" t="str">
            <v>Armário Aéreo Madesa Glamy 60 cm 1 Porta Basculante Branco/Rustic</v>
          </cell>
          <cell r="E1821" t="str">
            <v>GLAMY</v>
          </cell>
          <cell r="F1821" t="str">
            <v>MODULAÇÃO</v>
          </cell>
          <cell r="G1821" t="str">
            <v/>
          </cell>
          <cell r="H1821">
            <v>369.99</v>
          </cell>
          <cell r="I1821">
            <v>249.99</v>
          </cell>
          <cell r="J1821">
            <v>158.20259999999999</v>
          </cell>
          <cell r="K1821">
            <v>0</v>
          </cell>
          <cell r="L1821">
            <v>158.20259999999999</v>
          </cell>
          <cell r="M1821">
            <v>0</v>
          </cell>
          <cell r="N1821">
            <v>249.99</v>
          </cell>
          <cell r="O1821" t="str">
            <v/>
          </cell>
          <cell r="P1821">
            <v>0</v>
          </cell>
          <cell r="Q1821">
            <v>0.58018894758998896</v>
          </cell>
          <cell r="R1821">
            <v>0.58018894758998896</v>
          </cell>
          <cell r="S1821" t="e">
            <v>#VALUE!</v>
          </cell>
          <cell r="T1821" t="e">
            <v>#VALUE!</v>
          </cell>
        </row>
        <row r="1822">
          <cell r="A1822" t="str">
            <v>G2212309AG</v>
          </cell>
          <cell r="B1822" t="str">
            <v>MKP000631004883</v>
          </cell>
          <cell r="C1822" t="str">
            <v/>
          </cell>
          <cell r="D1822" t="str">
            <v>Balcão Gabinete de Pia 120 x 60 cm 1 Porta 2 Gavetas Branco (Sem Tampo) Agata Madesa</v>
          </cell>
          <cell r="E1822" t="str">
            <v>ÁGATA</v>
          </cell>
          <cell r="F1822" t="str">
            <v>MODULAÇÃO</v>
          </cell>
          <cell r="G1822" t="str">
            <v/>
          </cell>
          <cell r="H1822">
            <v>799.99</v>
          </cell>
          <cell r="I1822">
            <v>699.99</v>
          </cell>
          <cell r="J1822">
            <v>438.40890000000002</v>
          </cell>
          <cell r="K1822">
            <v>0</v>
          </cell>
          <cell r="L1822">
            <v>438.40890000000002</v>
          </cell>
          <cell r="M1822">
            <v>0</v>
          </cell>
          <cell r="N1822">
            <v>699.99</v>
          </cell>
          <cell r="O1822" t="str">
            <v/>
          </cell>
          <cell r="P1822">
            <v>0</v>
          </cell>
          <cell r="Q1822">
            <v>0.59666010429989003</v>
          </cell>
          <cell r="R1822">
            <v>0.59666010429989003</v>
          </cell>
          <cell r="S1822" t="e">
            <v>#VALUE!</v>
          </cell>
          <cell r="T1822" t="e">
            <v>#VALUE!</v>
          </cell>
        </row>
        <row r="1823">
          <cell r="A1823" t="str">
            <v>GRAG1500017K</v>
          </cell>
          <cell r="B1823" t="str">
            <v>MKP000631004279</v>
          </cell>
          <cell r="C1823" t="str">
            <v/>
          </cell>
          <cell r="D1823" t="str">
            <v>Armário de Cozinha Compacta 150cm Rustic/Preto Agata Madesa 01</v>
          </cell>
          <cell r="E1823" t="str">
            <v>ÁGATA</v>
          </cell>
          <cell r="F1823" t="str">
            <v>COZINHA</v>
          </cell>
          <cell r="G1823" t="str">
            <v/>
          </cell>
          <cell r="H1823">
            <v>1169.99</v>
          </cell>
          <cell r="I1823">
            <v>1069.99</v>
          </cell>
          <cell r="J1823">
            <v>867.71630000000005</v>
          </cell>
          <cell r="K1823">
            <v>0</v>
          </cell>
          <cell r="L1823">
            <v>867.71630000000005</v>
          </cell>
          <cell r="M1823">
            <v>0</v>
          </cell>
          <cell r="N1823">
            <v>1069.99</v>
          </cell>
          <cell r="O1823" t="str">
            <v/>
          </cell>
          <cell r="P1823">
            <v>0</v>
          </cell>
          <cell r="Q1823">
            <v>0.233110407168794</v>
          </cell>
          <cell r="R1823">
            <v>0.233110407168794</v>
          </cell>
          <cell r="S1823" t="e">
            <v>#VALUE!</v>
          </cell>
          <cell r="T1823" t="e">
            <v>#VALUE!</v>
          </cell>
        </row>
        <row r="1824">
          <cell r="A1824" t="str">
            <v>1095D81E</v>
          </cell>
          <cell r="B1824" t="str">
            <v>MKP000631002077</v>
          </cell>
          <cell r="C1824" t="str">
            <v/>
          </cell>
          <cell r="D1824" t="str">
            <v>Guarda-Roupa Casal Madesa Reno 3 Portas de Correr com Espelho Preto/Rustic</v>
          </cell>
          <cell r="E1824" t="str">
            <v>RENO</v>
          </cell>
          <cell r="F1824" t="str">
            <v>QUARTO</v>
          </cell>
          <cell r="G1824" t="str">
            <v/>
          </cell>
          <cell r="H1824">
            <v>2069.9899999999998</v>
          </cell>
          <cell r="I1824">
            <v>1289.99</v>
          </cell>
          <cell r="J1824">
            <v>986.06849999999997</v>
          </cell>
          <cell r="K1824">
            <v>0</v>
          </cell>
          <cell r="L1824">
            <v>986.06849999999997</v>
          </cell>
          <cell r="M1824">
            <v>0</v>
          </cell>
          <cell r="N1824">
            <v>1289.99</v>
          </cell>
          <cell r="O1824" t="str">
            <v>LEROY</v>
          </cell>
          <cell r="P1824">
            <v>0</v>
          </cell>
          <cell r="Q1824">
            <v>0.30821540288529597</v>
          </cell>
          <cell r="R1824">
            <v>0.30821540288529597</v>
          </cell>
          <cell r="S1824" t="e">
            <v>#VALUE!</v>
          </cell>
          <cell r="T1824" t="e">
            <v>#VALUE!</v>
          </cell>
        </row>
        <row r="1825">
          <cell r="A1825" t="str">
            <v>GRSM060001C9</v>
          </cell>
          <cell r="B1825" t="str">
            <v>MKP000631002991</v>
          </cell>
          <cell r="C1825" t="str">
            <v/>
          </cell>
          <cell r="D1825" t="str">
            <v>Kit 60 cm Madesa Smart 100% MDF 2 Portas e 1 Suspensa Portas Branco Brilho</v>
          </cell>
          <cell r="E1825" t="str">
            <v>SMART</v>
          </cell>
          <cell r="F1825" t="str">
            <v>MODULAÇÃO</v>
          </cell>
          <cell r="G1825" t="str">
            <v/>
          </cell>
          <cell r="H1825">
            <v>569.99</v>
          </cell>
          <cell r="I1825">
            <v>449.99</v>
          </cell>
          <cell r="J1825">
            <v>280.06459999999998</v>
          </cell>
          <cell r="K1825">
            <v>0</v>
          </cell>
          <cell r="L1825">
            <v>280.06459999999998</v>
          </cell>
          <cell r="M1825">
            <v>0</v>
          </cell>
          <cell r="N1825">
            <v>449.99</v>
          </cell>
          <cell r="O1825" t="str">
            <v/>
          </cell>
          <cell r="P1825">
            <v>0</v>
          </cell>
          <cell r="Q1825">
            <v>0.60673644580571695</v>
          </cell>
          <cell r="R1825">
            <v>0.60673644580571695</v>
          </cell>
          <cell r="S1825" t="e">
            <v>#VALUE!</v>
          </cell>
          <cell r="T1825" t="e">
            <v>#VALUE!</v>
          </cell>
        </row>
        <row r="1826">
          <cell r="A1826" t="str">
            <v>G2460009AG</v>
          </cell>
          <cell r="B1826" t="str">
            <v>MKP000631004450</v>
          </cell>
          <cell r="C1826" t="str">
            <v/>
          </cell>
          <cell r="D1826" t="str">
            <v>Balcão Madesa Agata 60 cm 1 Porta Branco</v>
          </cell>
          <cell r="E1826" t="str">
            <v>ÁGATA</v>
          </cell>
          <cell r="F1826" t="str">
            <v>MODULAÇÃO</v>
          </cell>
          <cell r="G1826" t="str">
            <v/>
          </cell>
          <cell r="H1826">
            <v>539.99</v>
          </cell>
          <cell r="I1826">
            <v>419.99</v>
          </cell>
          <cell r="J1826">
            <v>251.9753</v>
          </cell>
          <cell r="K1826">
            <v>0</v>
          </cell>
          <cell r="L1826">
            <v>251.9753</v>
          </cell>
          <cell r="M1826">
            <v>0</v>
          </cell>
          <cell r="N1826">
            <v>419.99</v>
          </cell>
          <cell r="O1826" t="str">
            <v/>
          </cell>
          <cell r="P1826">
            <v>0</v>
          </cell>
          <cell r="Q1826">
            <v>0.66679035603886605</v>
          </cell>
          <cell r="R1826">
            <v>0.66679035603886605</v>
          </cell>
          <cell r="S1826" t="e">
            <v>#VALUE!</v>
          </cell>
          <cell r="T1826" t="e">
            <v>#VALUE!</v>
          </cell>
        </row>
        <row r="1827">
          <cell r="A1827" t="str">
            <v>G25752F9AG</v>
          </cell>
          <cell r="B1827" t="str">
            <v>MKP000631002914</v>
          </cell>
          <cell r="C1827" t="str">
            <v/>
          </cell>
          <cell r="D1827" t="str">
            <v>Armário Aéreo de Canto Madesa Agata 1 Porta Rustic/Cinza</v>
          </cell>
          <cell r="E1827" t="str">
            <v>ÁGATA</v>
          </cell>
          <cell r="F1827" t="str">
            <v>MODULAÇÃO</v>
          </cell>
          <cell r="G1827" t="str">
            <v/>
          </cell>
          <cell r="H1827">
            <v>749.99</v>
          </cell>
          <cell r="I1827">
            <v>429.99</v>
          </cell>
          <cell r="J1827">
            <v>234.81870000000001</v>
          </cell>
          <cell r="K1827">
            <v>0</v>
          </cell>
          <cell r="L1827">
            <v>234.81870000000001</v>
          </cell>
          <cell r="M1827">
            <v>0</v>
          </cell>
          <cell r="N1827">
            <v>429.99</v>
          </cell>
          <cell r="O1827" t="str">
            <v/>
          </cell>
          <cell r="P1827">
            <v>0</v>
          </cell>
          <cell r="Q1827">
            <v>0.83115739930422905</v>
          </cell>
          <cell r="R1827">
            <v>0.83115739930422905</v>
          </cell>
          <cell r="S1827" t="e">
            <v>#VALUE!</v>
          </cell>
          <cell r="T1827" t="e">
            <v>#VALUE!</v>
          </cell>
        </row>
        <row r="1828">
          <cell r="A1828" t="str">
            <v>GCEM4810019B</v>
          </cell>
          <cell r="B1828" t="str">
            <v>MKP000631000444</v>
          </cell>
          <cell r="C1828" t="str">
            <v/>
          </cell>
          <cell r="D1828" t="str">
            <v>Armário de Cozinha Completa de Canto 481cm Rustic/Branco Emilly Moon Madesa 01</v>
          </cell>
          <cell r="E1828" t="str">
            <v>MOON/EMILLY</v>
          </cell>
          <cell r="F1828" t="str">
            <v>COZINHA</v>
          </cell>
          <cell r="G1828" t="str">
            <v/>
          </cell>
          <cell r="H1828">
            <v>2879.99</v>
          </cell>
          <cell r="I1828">
            <v>1499.99</v>
          </cell>
          <cell r="J1828">
            <v>1217.7262000000001</v>
          </cell>
          <cell r="K1828">
            <v>0</v>
          </cell>
          <cell r="L1828">
            <v>1217.7262000000001</v>
          </cell>
          <cell r="M1828">
            <v>0</v>
          </cell>
          <cell r="N1828">
            <v>1499.99</v>
          </cell>
          <cell r="O1828" t="str">
            <v/>
          </cell>
          <cell r="P1828">
            <v>0</v>
          </cell>
          <cell r="Q1828">
            <v>0.23179578463533099</v>
          </cell>
          <cell r="R1828">
            <v>0.23179578463533099</v>
          </cell>
          <cell r="S1828" t="e">
            <v>#VALUE!</v>
          </cell>
          <cell r="T1828" t="e">
            <v>#VALUE!</v>
          </cell>
        </row>
        <row r="1829">
          <cell r="A1829" t="str">
            <v>GRTE2900026E</v>
          </cell>
          <cell r="B1829" t="str">
            <v>MKP000631002006</v>
          </cell>
          <cell r="C1829" t="str">
            <v/>
          </cell>
          <cell r="D1829" t="str">
            <v>Armário de Cozinha Completa 290cm Rustic/Branco Stella Madesa 02</v>
          </cell>
          <cell r="E1829" t="str">
            <v>STELLA</v>
          </cell>
          <cell r="F1829" t="str">
            <v>COZINHA</v>
          </cell>
          <cell r="G1829" t="str">
            <v/>
          </cell>
          <cell r="H1829">
            <v>2299.9899999999998</v>
          </cell>
          <cell r="I1829">
            <v>2199.9899999999998</v>
          </cell>
          <cell r="J1829">
            <v>1815.6566</v>
          </cell>
          <cell r="K1829">
            <v>0</v>
          </cell>
          <cell r="L1829">
            <v>1815.6566</v>
          </cell>
          <cell r="M1829">
            <v>0</v>
          </cell>
          <cell r="N1829">
            <v>2199.9899999999998</v>
          </cell>
          <cell r="O1829" t="str">
            <v/>
          </cell>
          <cell r="P1829">
            <v>0</v>
          </cell>
          <cell r="Q1829">
            <v>0.21167736233823001</v>
          </cell>
          <cell r="R1829">
            <v>0.21167736233823001</v>
          </cell>
          <cell r="S1829" t="e">
            <v>#VALUE!</v>
          </cell>
          <cell r="T1829" t="e">
            <v>#VALUE!</v>
          </cell>
        </row>
        <row r="1830">
          <cell r="A1830" t="str">
            <v>1095773E</v>
          </cell>
          <cell r="B1830" t="str">
            <v>MKP000631002088</v>
          </cell>
          <cell r="C1830" t="str">
            <v/>
          </cell>
          <cell r="D1830" t="str">
            <v>Guarda-Roupa Casal Madesa Reno 3 Portas de Correr de Espelho Preto/Branco</v>
          </cell>
          <cell r="E1830" t="str">
            <v>RENO</v>
          </cell>
          <cell r="F1830" t="str">
            <v>QUARTO</v>
          </cell>
          <cell r="G1830" t="str">
            <v/>
          </cell>
          <cell r="H1830">
            <v>1869.99</v>
          </cell>
          <cell r="I1830">
            <v>1569.99</v>
          </cell>
          <cell r="J1830">
            <v>1277.0876000000001</v>
          </cell>
          <cell r="K1830">
            <v>0</v>
          </cell>
          <cell r="L1830">
            <v>1277.0876000000001</v>
          </cell>
          <cell r="M1830">
            <v>0</v>
          </cell>
          <cell r="N1830">
            <v>1569.99</v>
          </cell>
          <cell r="O1830" t="str">
            <v/>
          </cell>
          <cell r="P1830">
            <v>0</v>
          </cell>
          <cell r="Q1830">
            <v>0.229351847124661</v>
          </cell>
          <cell r="R1830">
            <v>0.229351847124661</v>
          </cell>
          <cell r="S1830" t="e">
            <v>#VALUE!</v>
          </cell>
          <cell r="T1830" t="e">
            <v>#VALUE!</v>
          </cell>
        </row>
        <row r="1831">
          <cell r="A1831" t="str">
            <v>GITE1200015Z</v>
          </cell>
          <cell r="B1831" t="str">
            <v>MKP000631006007</v>
          </cell>
          <cell r="C1831" t="str">
            <v/>
          </cell>
          <cell r="D1831" t="str">
            <v>Ilha de Cozinha com Bancada e Balcão 120 cm Rustic Stella Madesa</v>
          </cell>
          <cell r="E1831" t="str">
            <v>STELLA</v>
          </cell>
          <cell r="F1831" t="str">
            <v>MODULAÇÃO</v>
          </cell>
          <cell r="G1831" t="str">
            <v/>
          </cell>
          <cell r="H1831">
            <v>979.99</v>
          </cell>
          <cell r="I1831">
            <v>979.99</v>
          </cell>
          <cell r="J1831">
            <v>768.17750000000001</v>
          </cell>
          <cell r="K1831">
            <v>0</v>
          </cell>
          <cell r="L1831">
            <v>768.17750000000001</v>
          </cell>
          <cell r="M1831">
            <v>0</v>
          </cell>
          <cell r="N1831">
            <v>979.99</v>
          </cell>
          <cell r="O1831" t="str">
            <v/>
          </cell>
          <cell r="P1831">
            <v>0</v>
          </cell>
          <cell r="Q1831">
            <v>0.27573379850360102</v>
          </cell>
          <cell r="R1831">
            <v>0.27573379850360102</v>
          </cell>
          <cell r="S1831" t="e">
            <v>#VALUE!</v>
          </cell>
          <cell r="T1831" t="e">
            <v>#VALUE!</v>
          </cell>
        </row>
        <row r="1832">
          <cell r="A1832" t="str">
            <v>10945Z2GCP</v>
          </cell>
          <cell r="B1832" t="str">
            <v>MKP000631001002</v>
          </cell>
          <cell r="C1832" t="str">
            <v/>
          </cell>
          <cell r="D1832" t="str">
            <v>Guarda-Roupa Solteiro Madesa Dallas 2 Portas de Correr 2 Gavetas com Pés Rustic</v>
          </cell>
          <cell r="E1832" t="str">
            <v>DALLAS</v>
          </cell>
          <cell r="F1832" t="str">
            <v>QUARTO</v>
          </cell>
          <cell r="G1832" t="str">
            <v/>
          </cell>
          <cell r="H1832">
            <v>1009.99</v>
          </cell>
          <cell r="I1832">
            <v>799.99</v>
          </cell>
          <cell r="J1832">
            <v>600.43740000000003</v>
          </cell>
          <cell r="K1832">
            <v>0</v>
          </cell>
          <cell r="L1832">
            <v>600.43740000000003</v>
          </cell>
          <cell r="M1832">
            <v>0</v>
          </cell>
          <cell r="N1832">
            <v>799.99</v>
          </cell>
          <cell r="O1832" t="str">
            <v/>
          </cell>
          <cell r="P1832">
            <v>0</v>
          </cell>
          <cell r="Q1832">
            <v>0.332345386879631</v>
          </cell>
          <cell r="R1832">
            <v>0.332345386879631</v>
          </cell>
          <cell r="S1832" t="e">
            <v>#VALUE!</v>
          </cell>
          <cell r="T1832" t="e">
            <v>#VALUE!</v>
          </cell>
        </row>
        <row r="1833">
          <cell r="A1833" t="str">
            <v>XAGCGM4190019B</v>
          </cell>
          <cell r="B1833" t="str">
            <v>MKP000631003738</v>
          </cell>
          <cell r="C1833" t="str">
            <v/>
          </cell>
          <cell r="D1833" t="str">
            <v>Armário de Cozinha Completa de Canto 100% MDF 419cm Branco/Rustic Acordes Madesa XA01</v>
          </cell>
          <cell r="E1833" t="str">
            <v>ACORDES</v>
          </cell>
          <cell r="F1833" t="str">
            <v>COZINHA</v>
          </cell>
          <cell r="G1833" t="str">
            <v/>
          </cell>
          <cell r="H1833">
            <v>3679.99</v>
          </cell>
          <cell r="I1833">
            <v>2769.99</v>
          </cell>
          <cell r="J1833">
            <v>2108.4088000000002</v>
          </cell>
          <cell r="K1833">
            <v>0</v>
          </cell>
          <cell r="L1833">
            <v>2108.4088000000002</v>
          </cell>
          <cell r="M1833">
            <v>0</v>
          </cell>
          <cell r="N1833">
            <v>2769.99</v>
          </cell>
          <cell r="O1833" t="str">
            <v/>
          </cell>
          <cell r="P1833">
            <v>0</v>
          </cell>
          <cell r="Q1833">
            <v>0.31378222287822</v>
          </cell>
          <cell r="R1833">
            <v>0.31378222287822</v>
          </cell>
          <cell r="S1833" t="e">
            <v>#VALUE!</v>
          </cell>
          <cell r="T1833" t="e">
            <v>#VALUE!</v>
          </cell>
        </row>
        <row r="1834">
          <cell r="A1834" t="str">
            <v>GREM1050017K</v>
          </cell>
          <cell r="B1834" t="str">
            <v>MKP000631003779</v>
          </cell>
          <cell r="C1834" t="str">
            <v/>
          </cell>
          <cell r="D1834" t="str">
            <v>Armário de Cozinha Compacta Emilly 105cm com Armário e Balcão Rustic/Preto Emilly Madesa 01</v>
          </cell>
          <cell r="E1834" t="str">
            <v>EMILLY</v>
          </cell>
          <cell r="F1834" t="str">
            <v>COZINHA</v>
          </cell>
          <cell r="G1834" t="str">
            <v/>
          </cell>
          <cell r="H1834">
            <v>789.9</v>
          </cell>
          <cell r="I1834">
            <v>689.99</v>
          </cell>
          <cell r="J1834">
            <v>500.01569999999998</v>
          </cell>
          <cell r="K1834">
            <v>0</v>
          </cell>
          <cell r="L1834">
            <v>500.01569999999998</v>
          </cell>
          <cell r="M1834">
            <v>0</v>
          </cell>
          <cell r="N1834">
            <v>689.99</v>
          </cell>
          <cell r="O1834" t="str">
            <v/>
          </cell>
          <cell r="P1834">
            <v>0</v>
          </cell>
          <cell r="Q1834">
            <v>0.37993666998856201</v>
          </cell>
          <cell r="R1834">
            <v>0.37993666998856201</v>
          </cell>
          <cell r="S1834" t="e">
            <v>#VALUE!</v>
          </cell>
          <cell r="T1834" t="e">
            <v>#VALUE!</v>
          </cell>
        </row>
        <row r="1835">
          <cell r="A1835" t="str">
            <v>GRGL2900119Y</v>
          </cell>
          <cell r="B1835" t="str">
            <v>MKP000631001237</v>
          </cell>
          <cell r="C1835" t="str">
            <v/>
          </cell>
          <cell r="D1835" t="str">
            <v>Armário de Cozinha Completa 290cm Rustic/Crema Vicenza Madesa 11</v>
          </cell>
          <cell r="E1835" t="str">
            <v>VICENZA/GLAMY</v>
          </cell>
          <cell r="F1835" t="str">
            <v>COZINHA</v>
          </cell>
          <cell r="G1835" t="str">
            <v/>
          </cell>
          <cell r="H1835">
            <v>2799.99</v>
          </cell>
          <cell r="I1835">
            <v>2699.99</v>
          </cell>
          <cell r="J1835">
            <v>2184.8832000000002</v>
          </cell>
          <cell r="K1835">
            <v>0</v>
          </cell>
          <cell r="L1835">
            <v>2184.8832000000002</v>
          </cell>
          <cell r="M1835">
            <v>0</v>
          </cell>
          <cell r="N1835">
            <v>2699.99</v>
          </cell>
          <cell r="O1835" t="str">
            <v/>
          </cell>
          <cell r="P1835">
            <v>0</v>
          </cell>
          <cell r="Q1835">
            <v>0.235759421830879</v>
          </cell>
          <cell r="R1835">
            <v>0.235759421830879</v>
          </cell>
          <cell r="S1835" t="e">
            <v>#VALUE!</v>
          </cell>
          <cell r="T1835" t="e">
            <v>#VALUE!</v>
          </cell>
        </row>
        <row r="1836">
          <cell r="A1836" t="str">
            <v>GRAG280002F8</v>
          </cell>
          <cell r="B1836" t="str">
            <v>MKP000631002857</v>
          </cell>
          <cell r="C1836" t="str">
            <v/>
          </cell>
          <cell r="D1836" t="str">
            <v>Armário de Cozinha Compacta 280cm Branco/Cinza Agata Madesa 02</v>
          </cell>
          <cell r="E1836" t="str">
            <v>ÁGATA</v>
          </cell>
          <cell r="F1836" t="str">
            <v>COZINHA</v>
          </cell>
          <cell r="G1836" t="str">
            <v/>
          </cell>
          <cell r="H1836">
            <v>1499.99</v>
          </cell>
          <cell r="I1836">
            <v>1399.99</v>
          </cell>
          <cell r="J1836">
            <v>1174.7692999999999</v>
          </cell>
          <cell r="K1836">
            <v>0</v>
          </cell>
          <cell r="L1836">
            <v>1174.7692999999999</v>
          </cell>
          <cell r="M1836">
            <v>0</v>
          </cell>
          <cell r="N1836">
            <v>1399.99</v>
          </cell>
          <cell r="O1836" t="str">
            <v/>
          </cell>
          <cell r="P1836">
            <v>0</v>
          </cell>
          <cell r="Q1836">
            <v>0.19171483286122601</v>
          </cell>
          <cell r="R1836">
            <v>0.19171483286122601</v>
          </cell>
          <cell r="S1836" t="e">
            <v>#VALUE!</v>
          </cell>
          <cell r="T1836" t="e">
            <v>#VALUE!</v>
          </cell>
        </row>
        <row r="1837">
          <cell r="A1837" t="str">
            <v>GCLX5260017K</v>
          </cell>
          <cell r="B1837" t="str">
            <v>MKP000631003748</v>
          </cell>
          <cell r="C1837" t="str">
            <v/>
          </cell>
          <cell r="D1837" t="str">
            <v>Armário de Cozinha Completa de Canto 526cm Rustic/Preto Lux Madesa 01</v>
          </cell>
          <cell r="E1837" t="str">
            <v>LUX</v>
          </cell>
          <cell r="F1837" t="str">
            <v>COZINHA</v>
          </cell>
          <cell r="G1837" t="str">
            <v/>
          </cell>
          <cell r="H1837">
            <v>8919.99</v>
          </cell>
          <cell r="I1837">
            <v>8819.99</v>
          </cell>
          <cell r="J1837">
            <v>5048.3023000000003</v>
          </cell>
          <cell r="K1837">
            <v>0</v>
          </cell>
          <cell r="L1837">
            <v>5048.3023000000003</v>
          </cell>
          <cell r="M1837">
            <v>0</v>
          </cell>
          <cell r="N1837">
            <v>8819.99</v>
          </cell>
          <cell r="O1837" t="str">
            <v>LOJA</v>
          </cell>
          <cell r="P1837">
            <v>7759.99</v>
          </cell>
          <cell r="Q1837">
            <v>0.74712001696094898</v>
          </cell>
          <cell r="R1837">
            <v>0.74712001696094898</v>
          </cell>
          <cell r="S1837" t="e">
            <v>#VALUE!</v>
          </cell>
          <cell r="T1837" t="e">
            <v>#VALUE!</v>
          </cell>
        </row>
        <row r="1838">
          <cell r="A1838" t="str">
            <v>GCRM46200309</v>
          </cell>
          <cell r="B1838" t="str">
            <v>MKP000631004288</v>
          </cell>
          <cell r="C1838" t="str">
            <v/>
          </cell>
          <cell r="D1838" t="str">
            <v>Armário de Cozinha Completa de Canto 462cm Branco Reims Madesa 03</v>
          </cell>
          <cell r="E1838" t="str">
            <v>REIMS</v>
          </cell>
          <cell r="F1838" t="str">
            <v>COZINHA</v>
          </cell>
          <cell r="G1838" t="str">
            <v/>
          </cell>
          <cell r="H1838">
            <v>1989.99</v>
          </cell>
          <cell r="I1838">
            <v>1949.99</v>
          </cell>
          <cell r="J1838">
            <v>1655.6010000000001</v>
          </cell>
          <cell r="K1838">
            <v>0</v>
          </cell>
          <cell r="L1838">
            <v>1655.6010000000001</v>
          </cell>
          <cell r="M1838">
            <v>0</v>
          </cell>
          <cell r="N1838">
            <v>1949.99</v>
          </cell>
          <cell r="O1838" t="str">
            <v/>
          </cell>
          <cell r="P1838">
            <v>0</v>
          </cell>
          <cell r="Q1838">
            <v>0.17781397812637201</v>
          </cell>
          <cell r="R1838">
            <v>0.17781397812637201</v>
          </cell>
          <cell r="S1838" t="e">
            <v>#VALUE!</v>
          </cell>
          <cell r="T1838" t="e">
            <v>#VALUE!</v>
          </cell>
        </row>
        <row r="1839">
          <cell r="A1839" t="str">
            <v>GRGM2600049B</v>
          </cell>
          <cell r="B1839" t="str">
            <v>MKP000631004348</v>
          </cell>
          <cell r="C1839" t="str">
            <v/>
          </cell>
          <cell r="D1839" t="str">
            <v>Armário de Cozinha Completa 260cm 100% MDF Branco/Rustic Acordes Madesa 04</v>
          </cell>
          <cell r="E1839" t="str">
            <v>ACORDES</v>
          </cell>
          <cell r="F1839" t="str">
            <v>COZINHA</v>
          </cell>
          <cell r="G1839" t="str">
            <v/>
          </cell>
          <cell r="H1839">
            <v>1699.99</v>
          </cell>
          <cell r="I1839">
            <v>1599.99</v>
          </cell>
          <cell r="J1839">
            <v>1266.8089</v>
          </cell>
          <cell r="K1839">
            <v>0</v>
          </cell>
          <cell r="L1839">
            <v>1266.8089</v>
          </cell>
          <cell r="M1839">
            <v>0</v>
          </cell>
          <cell r="N1839">
            <v>1599.99</v>
          </cell>
          <cell r="O1839" t="str">
            <v/>
          </cell>
          <cell r="P1839">
            <v>0</v>
          </cell>
          <cell r="Q1839">
            <v>0.26300817747649202</v>
          </cell>
          <cell r="R1839">
            <v>0.26300817747649202</v>
          </cell>
          <cell r="S1839" t="e">
            <v>#VALUE!</v>
          </cell>
          <cell r="T1839" t="e">
            <v>#VALUE!</v>
          </cell>
        </row>
        <row r="1840">
          <cell r="A1840" t="str">
            <v>GREM2330027K</v>
          </cell>
          <cell r="B1840" t="str">
            <v>MKP000631001822</v>
          </cell>
          <cell r="C1840" t="str">
            <v/>
          </cell>
          <cell r="D1840" t="str">
            <v>Armário de Cozinha Completa 233cm Rustic/Preto Emilly Wind Madesa 02</v>
          </cell>
          <cell r="E1840" t="str">
            <v>WIND/EMILLY</v>
          </cell>
          <cell r="F1840" t="str">
            <v>COZINHA</v>
          </cell>
          <cell r="G1840" t="str">
            <v/>
          </cell>
          <cell r="H1840">
            <v>2319.9899999999998</v>
          </cell>
          <cell r="I1840">
            <v>1339.99</v>
          </cell>
          <cell r="J1840">
            <v>1016.1525</v>
          </cell>
          <cell r="K1840">
            <v>0</v>
          </cell>
          <cell r="L1840">
            <v>1016.1525</v>
          </cell>
          <cell r="M1840">
            <v>0</v>
          </cell>
          <cell r="N1840">
            <v>1339.99</v>
          </cell>
          <cell r="O1840" t="str">
            <v/>
          </cell>
          <cell r="P1840">
            <v>0</v>
          </cell>
          <cell r="Q1840">
            <v>0.31868986200398097</v>
          </cell>
          <cell r="R1840">
            <v>0.31868986200398097</v>
          </cell>
          <cell r="S1840" t="e">
            <v>#VALUE!</v>
          </cell>
          <cell r="T1840" t="e">
            <v>#VALUE!</v>
          </cell>
        </row>
        <row r="1841">
          <cell r="A1841" t="str">
            <v>MDES0200218ND8</v>
          </cell>
          <cell r="B1841" t="str">
            <v>MKP000631001880</v>
          </cell>
          <cell r="C1841" t="str">
            <v/>
          </cell>
          <cell r="D1841" t="str">
            <v>Rack Madesa Cancun com Pés e Painel para TV até 58 Polegadas Preto 8ND8</v>
          </cell>
          <cell r="E1841" t="str">
            <v>CANCUN</v>
          </cell>
          <cell r="F1841" t="str">
            <v>SALA DE ESTAR</v>
          </cell>
          <cell r="G1841" t="str">
            <v/>
          </cell>
          <cell r="H1841">
            <v>979.99</v>
          </cell>
          <cell r="I1841">
            <v>469.99</v>
          </cell>
          <cell r="J1841">
            <v>347.0342</v>
          </cell>
          <cell r="K1841">
            <v>0</v>
          </cell>
          <cell r="L1841">
            <v>347.0342</v>
          </cell>
          <cell r="M1841">
            <v>0</v>
          </cell>
          <cell r="N1841">
            <v>469.99</v>
          </cell>
          <cell r="O1841" t="str">
            <v/>
          </cell>
          <cell r="P1841">
            <v>0</v>
          </cell>
          <cell r="Q1841">
            <v>0.35430456133718202</v>
          </cell>
          <cell r="R1841">
            <v>0.35430456133718202</v>
          </cell>
          <cell r="S1841" t="e">
            <v>#VALUE!</v>
          </cell>
          <cell r="T1841" t="e">
            <v>#VALUE!</v>
          </cell>
        </row>
        <row r="1842">
          <cell r="A1842" t="str">
            <v>1093772E4G</v>
          </cell>
          <cell r="B1842" t="str">
            <v>MKP000631002298</v>
          </cell>
          <cell r="C1842" t="str">
            <v/>
          </cell>
          <cell r="D1842" t="str">
            <v>Guarda-Roupa Casal Madesa Lyon Plus 3 Portas de Correr com Espelhos 4 Gavetas Preto/Branco</v>
          </cell>
          <cell r="E1842" t="str">
            <v>LYON PLUS</v>
          </cell>
          <cell r="F1842" t="str">
            <v>QUARTO</v>
          </cell>
          <cell r="G1842" t="str">
            <v/>
          </cell>
          <cell r="H1842">
            <v>1569.99</v>
          </cell>
          <cell r="I1842">
            <v>1349.99</v>
          </cell>
          <cell r="J1842">
            <v>1058.1829</v>
          </cell>
          <cell r="K1842">
            <v>0</v>
          </cell>
          <cell r="L1842">
            <v>1058.1829</v>
          </cell>
          <cell r="M1842">
            <v>0</v>
          </cell>
          <cell r="N1842">
            <v>1349.99</v>
          </cell>
          <cell r="O1842" t="str">
            <v/>
          </cell>
          <cell r="P1842">
            <v>0</v>
          </cell>
          <cell r="Q1842">
            <v>0.27576244144561401</v>
          </cell>
          <cell r="R1842">
            <v>0.27576244144561401</v>
          </cell>
          <cell r="S1842" t="e">
            <v>#VALUE!</v>
          </cell>
          <cell r="T1842" t="e">
            <v>#VALUE!</v>
          </cell>
        </row>
        <row r="1843">
          <cell r="A1843" t="str">
            <v>XA10949B2G</v>
          </cell>
          <cell r="B1843" t="str">
            <v>MKP000631001602</v>
          </cell>
          <cell r="C1843" t="str">
            <v/>
          </cell>
          <cell r="D1843" t="str">
            <v>Guarda-Roupa Infantil Madesa Bento 2 Portas de Correr 2 Gavetas Branco/Rustic</v>
          </cell>
          <cell r="E1843" t="str">
            <v>BENTO</v>
          </cell>
          <cell r="F1843" t="str">
            <v>QUARTO</v>
          </cell>
          <cell r="G1843" t="str">
            <v/>
          </cell>
          <cell r="H1843">
            <v>969.99</v>
          </cell>
          <cell r="I1843">
            <v>729.99</v>
          </cell>
          <cell r="J1843">
            <v>563.84609999999998</v>
          </cell>
          <cell r="K1843">
            <v>0</v>
          </cell>
          <cell r="L1843">
            <v>563.84609999999998</v>
          </cell>
          <cell r="M1843">
            <v>0</v>
          </cell>
          <cell r="N1843">
            <v>729.99</v>
          </cell>
          <cell r="O1843" t="str">
            <v/>
          </cell>
          <cell r="P1843">
            <v>0</v>
          </cell>
          <cell r="Q1843">
            <v>0.29466178803045701</v>
          </cell>
          <cell r="R1843">
            <v>0.29466178803045701</v>
          </cell>
          <cell r="S1843" t="e">
            <v>#VALUE!</v>
          </cell>
          <cell r="T1843" t="e">
            <v>#VALUE!</v>
          </cell>
        </row>
        <row r="1844">
          <cell r="A1844" t="str">
            <v>G246015ZGL</v>
          </cell>
          <cell r="B1844" t="str">
            <v>MKP000631000351</v>
          </cell>
          <cell r="C1844" t="str">
            <v/>
          </cell>
          <cell r="D1844" t="str">
            <v>Balcão Madesa Glamy 60 cm 3 Gavetas Rustic</v>
          </cell>
          <cell r="E1844" t="str">
            <v>GLAMY</v>
          </cell>
          <cell r="F1844" t="str">
            <v>MODULAÇÃO</v>
          </cell>
          <cell r="G1844" t="str">
            <v/>
          </cell>
          <cell r="H1844">
            <v>989.99</v>
          </cell>
          <cell r="I1844">
            <v>589.99</v>
          </cell>
          <cell r="J1844">
            <v>394.18759999999997</v>
          </cell>
          <cell r="K1844">
            <v>0</v>
          </cell>
          <cell r="L1844">
            <v>394.18759999999997</v>
          </cell>
          <cell r="M1844">
            <v>0</v>
          </cell>
          <cell r="N1844">
            <v>589.99</v>
          </cell>
          <cell r="O1844" t="str">
            <v/>
          </cell>
          <cell r="P1844">
            <v>0</v>
          </cell>
          <cell r="Q1844">
            <v>0.496723894917039</v>
          </cell>
          <cell r="R1844">
            <v>0.496723894917039</v>
          </cell>
          <cell r="S1844" t="e">
            <v>#VALUE!</v>
          </cell>
          <cell r="T1844" t="e">
            <v>#VALUE!</v>
          </cell>
        </row>
        <row r="1845">
          <cell r="A1845" t="str">
            <v>G25153F8AG</v>
          </cell>
          <cell r="B1845" t="str">
            <v>MKP000631004705</v>
          </cell>
          <cell r="C1845" t="str">
            <v/>
          </cell>
          <cell r="D1845" t="str">
            <v>Armário Aéreo Madesa Agata 150 cm 2 Portas e 2 Nichos Branco/Cinza</v>
          </cell>
          <cell r="E1845" t="str">
            <v>ÁGATA</v>
          </cell>
          <cell r="F1845" t="str">
            <v>MODULAÇÃO</v>
          </cell>
          <cell r="G1845" t="str">
            <v/>
          </cell>
          <cell r="H1845">
            <v>939.99</v>
          </cell>
          <cell r="I1845">
            <v>579.99</v>
          </cell>
          <cell r="J1845">
            <v>339.77480000000003</v>
          </cell>
          <cell r="K1845">
            <v>0</v>
          </cell>
          <cell r="L1845">
            <v>339.77480000000003</v>
          </cell>
          <cell r="M1845">
            <v>0</v>
          </cell>
          <cell r="N1845">
            <v>579.99</v>
          </cell>
          <cell r="O1845" t="str">
            <v/>
          </cell>
          <cell r="P1845">
            <v>0</v>
          </cell>
          <cell r="Q1845">
            <v>0.70698356676245599</v>
          </cell>
          <cell r="R1845">
            <v>0.70698356676245599</v>
          </cell>
          <cell r="S1845" t="e">
            <v>#VALUE!</v>
          </cell>
          <cell r="T1845" t="e">
            <v>#VALUE!</v>
          </cell>
        </row>
        <row r="1846">
          <cell r="A1846" t="str">
            <v>G25400F9AG</v>
          </cell>
          <cell r="B1846" t="str">
            <v>MKP000631002692</v>
          </cell>
          <cell r="C1846" t="str">
            <v/>
          </cell>
          <cell r="D1846" t="str">
            <v>Armário Aéreo Madesa Agata 40 cm 1 Porta Rustic/Cinza</v>
          </cell>
          <cell r="E1846" t="str">
            <v>ÁGATA</v>
          </cell>
          <cell r="F1846" t="str">
            <v>MODULAÇÃO</v>
          </cell>
          <cell r="G1846" t="str">
            <v/>
          </cell>
          <cell r="H1846">
            <v>399.99</v>
          </cell>
          <cell r="I1846">
            <v>289.99</v>
          </cell>
          <cell r="J1846">
            <v>166.9117</v>
          </cell>
          <cell r="K1846">
            <v>0</v>
          </cell>
          <cell r="L1846">
            <v>166.9117</v>
          </cell>
          <cell r="M1846">
            <v>0</v>
          </cell>
          <cell r="N1846">
            <v>289.99</v>
          </cell>
          <cell r="O1846" t="str">
            <v/>
          </cell>
          <cell r="P1846">
            <v>0</v>
          </cell>
          <cell r="Q1846">
            <v>0.73738569555040201</v>
          </cell>
          <cell r="R1846">
            <v>0.73738569555040201</v>
          </cell>
          <cell r="S1846" t="e">
            <v>#VALUE!</v>
          </cell>
          <cell r="T1846" t="e">
            <v>#VALUE!</v>
          </cell>
        </row>
        <row r="1847">
          <cell r="A1847" t="str">
            <v>G226009RLX</v>
          </cell>
          <cell r="B1847" t="str">
            <v>MKP000631003240</v>
          </cell>
          <cell r="C1847" t="str">
            <v/>
          </cell>
          <cell r="D1847" t="str">
            <v>Balcão Madesa Lux 60 cm 1 Porta (Sem Tampo) Branco/Cinza</v>
          </cell>
          <cell r="E1847" t="str">
            <v>LUX</v>
          </cell>
          <cell r="F1847" t="str">
            <v>MODULAÇÃO</v>
          </cell>
          <cell r="G1847" t="str">
            <v/>
          </cell>
          <cell r="H1847">
            <v>919.99</v>
          </cell>
          <cell r="I1847">
            <v>659.99</v>
          </cell>
          <cell r="J1847">
            <v>361.89089999999999</v>
          </cell>
          <cell r="K1847">
            <v>0</v>
          </cell>
          <cell r="L1847">
            <v>361.89089999999999</v>
          </cell>
          <cell r="M1847">
            <v>0</v>
          </cell>
          <cell r="N1847">
            <v>659.99</v>
          </cell>
          <cell r="O1847" t="str">
            <v>LOJA</v>
          </cell>
          <cell r="P1847">
            <v>649.99</v>
          </cell>
          <cell r="Q1847">
            <v>0.823726432469012</v>
          </cell>
          <cell r="R1847">
            <v>0.823726432469012</v>
          </cell>
          <cell r="S1847" t="e">
            <v>#VALUE!</v>
          </cell>
          <cell r="T1847" t="e">
            <v>#VALUE!</v>
          </cell>
        </row>
        <row r="1848">
          <cell r="A1848" t="str">
            <v>1093772E</v>
          </cell>
          <cell r="B1848" t="str">
            <v>MKP000631002104</v>
          </cell>
          <cell r="C1848" t="str">
            <v/>
          </cell>
          <cell r="D1848" t="str">
            <v>Guarda-Roupa Casal Madesa Mônaco 3 Portas de Correr com Espelhos Preto/Branco</v>
          </cell>
          <cell r="E1848" t="str">
            <v>MÔNACO</v>
          </cell>
          <cell r="F1848" t="str">
            <v>QUARTO</v>
          </cell>
          <cell r="G1848" t="str">
            <v/>
          </cell>
          <cell r="H1848">
            <v>1369.99</v>
          </cell>
          <cell r="I1848">
            <v>1089.99</v>
          </cell>
          <cell r="J1848">
            <v>880.70910000000003</v>
          </cell>
          <cell r="K1848">
            <v>0</v>
          </cell>
          <cell r="L1848">
            <v>880.70910000000003</v>
          </cell>
          <cell r="M1848">
            <v>0</v>
          </cell>
          <cell r="N1848">
            <v>1089.99</v>
          </cell>
          <cell r="O1848" t="str">
            <v/>
          </cell>
          <cell r="P1848">
            <v>0</v>
          </cell>
          <cell r="Q1848">
            <v>0.23762772520461101</v>
          </cell>
          <cell r="R1848">
            <v>0.23762772520461101</v>
          </cell>
          <cell r="S1848" t="e">
            <v>#VALUE!</v>
          </cell>
          <cell r="T1848" t="e">
            <v>#VALUE!</v>
          </cell>
        </row>
        <row r="1849">
          <cell r="A1849" t="str">
            <v>1063772E</v>
          </cell>
          <cell r="B1849" t="str">
            <v>MKP000631003036</v>
          </cell>
          <cell r="C1849" t="str">
            <v/>
          </cell>
          <cell r="D1849" t="str">
            <v>Guarda-Roupa Casal 100% MDF Madesa Royale 3 Portas de Correr com Espelhos Preto/Branco</v>
          </cell>
          <cell r="E1849" t="str">
            <v>ROYALE</v>
          </cell>
          <cell r="F1849" t="str">
            <v>QUARTO</v>
          </cell>
          <cell r="G1849" t="str">
            <v/>
          </cell>
          <cell r="H1849">
            <v>3189.99</v>
          </cell>
          <cell r="I1849">
            <v>2399.9899999999998</v>
          </cell>
          <cell r="J1849">
            <v>2033.8746000000001</v>
          </cell>
          <cell r="K1849">
            <v>0</v>
          </cell>
          <cell r="L1849">
            <v>2033.8746000000001</v>
          </cell>
          <cell r="M1849">
            <v>0</v>
          </cell>
          <cell r="N1849">
            <v>2399.9899999999998</v>
          </cell>
          <cell r="O1849" t="str">
            <v/>
          </cell>
          <cell r="P1849">
            <v>0</v>
          </cell>
          <cell r="Q1849">
            <v>0.180008836336321</v>
          </cell>
          <cell r="R1849">
            <v>0.180008836336321</v>
          </cell>
          <cell r="S1849" t="e">
            <v>#VALUE!</v>
          </cell>
          <cell r="T1849" t="e">
            <v>#VALUE!</v>
          </cell>
        </row>
        <row r="1850">
          <cell r="A1850" t="str">
            <v>GRNC2200043B</v>
          </cell>
          <cell r="B1850" t="str">
            <v>MKP000631005923</v>
          </cell>
          <cell r="C1850" t="str">
            <v/>
          </cell>
          <cell r="D1850" t="str">
            <v>Armário de Cozinha Completa Suspenso 220cm Cinza Nice Madesa 04</v>
          </cell>
          <cell r="E1850" t="str">
            <v>NICE</v>
          </cell>
          <cell r="F1850" t="str">
            <v>COZINHA</v>
          </cell>
          <cell r="G1850" t="str">
            <v/>
          </cell>
          <cell r="H1850">
            <v>1199.99</v>
          </cell>
          <cell r="I1850">
            <v>1199.99</v>
          </cell>
          <cell r="J1850">
            <v>972.33450000000005</v>
          </cell>
          <cell r="K1850">
            <v>0</v>
          </cell>
          <cell r="L1850">
            <v>972.33450000000005</v>
          </cell>
          <cell r="M1850">
            <v>0</v>
          </cell>
          <cell r="N1850">
            <v>1199.99</v>
          </cell>
          <cell r="O1850" t="str">
            <v/>
          </cell>
          <cell r="P1850">
            <v>0</v>
          </cell>
          <cell r="Q1850">
            <v>0.23413290385150401</v>
          </cell>
          <cell r="R1850">
            <v>0.23413290385150401</v>
          </cell>
          <cell r="S1850" t="e">
            <v>#VALUE!</v>
          </cell>
          <cell r="T1850" t="e">
            <v>#VALUE!</v>
          </cell>
        </row>
        <row r="1851">
          <cell r="A1851" t="str">
            <v>GCGL2690015Z</v>
          </cell>
          <cell r="B1851" t="str">
            <v>MKP000631004520</v>
          </cell>
          <cell r="C1851" t="str">
            <v/>
          </cell>
          <cell r="D1851" t="str">
            <v>Armário de Cozinha Compacta de Canto 269cm Rustic Glamy Madesa 01</v>
          </cell>
          <cell r="E1851" t="str">
            <v>GLAMY</v>
          </cell>
          <cell r="F1851" t="str">
            <v>COZINHA</v>
          </cell>
          <cell r="G1851" t="str">
            <v/>
          </cell>
          <cell r="H1851">
            <v>1999.99</v>
          </cell>
          <cell r="I1851">
            <v>1899.99</v>
          </cell>
          <cell r="J1851">
            <v>1554.7215000000001</v>
          </cell>
          <cell r="K1851">
            <v>0</v>
          </cell>
          <cell r="L1851">
            <v>1554.7215000000001</v>
          </cell>
          <cell r="M1851">
            <v>0</v>
          </cell>
          <cell r="N1851">
            <v>1899.99</v>
          </cell>
          <cell r="O1851" t="str">
            <v/>
          </cell>
          <cell r="P1851">
            <v>0</v>
          </cell>
          <cell r="Q1851">
            <v>0.22207739456873801</v>
          </cell>
          <cell r="R1851">
            <v>0.22207739456873801</v>
          </cell>
          <cell r="S1851" t="e">
            <v>#VALUE!</v>
          </cell>
          <cell r="T1851" t="e">
            <v>#VALUE!</v>
          </cell>
        </row>
        <row r="1852">
          <cell r="A1852" t="str">
            <v>MDFC0200170995</v>
          </cell>
          <cell r="B1852" t="str">
            <v>MKP000631005435</v>
          </cell>
          <cell r="C1852" t="str">
            <v/>
          </cell>
          <cell r="D1852" t="str">
            <v>Conjunto Escritório Home Office com Mesa Industrial + Gaveteiro Branco/Preto Madesa</v>
          </cell>
          <cell r="E1852" t="str">
            <v>9423 + 3322</v>
          </cell>
          <cell r="F1852" t="str">
            <v>ESCRITÓRIO</v>
          </cell>
          <cell r="G1852" t="str">
            <v/>
          </cell>
          <cell r="H1852">
            <v>799.99</v>
          </cell>
          <cell r="I1852">
            <v>699.99</v>
          </cell>
          <cell r="J1852">
            <v>567.95540000000005</v>
          </cell>
          <cell r="K1852">
            <v>0</v>
          </cell>
          <cell r="L1852">
            <v>567.95540000000005</v>
          </cell>
          <cell r="M1852">
            <v>0</v>
          </cell>
          <cell r="N1852">
            <v>699.99</v>
          </cell>
          <cell r="O1852" t="str">
            <v/>
          </cell>
          <cell r="P1852">
            <v>0</v>
          </cell>
          <cell r="Q1852">
            <v>0.23247353577411201</v>
          </cell>
          <cell r="R1852">
            <v>0.23247353577411201</v>
          </cell>
          <cell r="S1852" t="e">
            <v>#VALUE!</v>
          </cell>
          <cell r="T1852" t="e">
            <v>#VALUE!</v>
          </cell>
        </row>
        <row r="1853">
          <cell r="A1853" t="str">
            <v>GCEM3570027K</v>
          </cell>
          <cell r="B1853" t="str">
            <v>MKP000631002192</v>
          </cell>
          <cell r="C1853" t="str">
            <v/>
          </cell>
          <cell r="D1853" t="str">
            <v>Armário de Cozinha Completa de Canto 357cm Rustic/Preto Emilly Jazz Madesa 02</v>
          </cell>
          <cell r="E1853" t="str">
            <v>JAZZ/EMILLY</v>
          </cell>
          <cell r="F1853" t="str">
            <v>COZINHA</v>
          </cell>
          <cell r="G1853" t="str">
            <v/>
          </cell>
          <cell r="H1853">
            <v>1699.99</v>
          </cell>
          <cell r="I1853">
            <v>1599.99</v>
          </cell>
          <cell r="J1853">
            <v>1323.2818</v>
          </cell>
          <cell r="K1853">
            <v>0</v>
          </cell>
          <cell r="L1853">
            <v>1323.2818</v>
          </cell>
          <cell r="M1853">
            <v>0</v>
          </cell>
          <cell r="N1853">
            <v>1599.99</v>
          </cell>
          <cell r="O1853" t="str">
            <v/>
          </cell>
          <cell r="P1853">
            <v>0</v>
          </cell>
          <cell r="Q1853">
            <v>0.209107538545456</v>
          </cell>
          <cell r="R1853">
            <v>0.209107538545456</v>
          </cell>
          <cell r="S1853" t="e">
            <v>#VALUE!</v>
          </cell>
          <cell r="T1853" t="e">
            <v>#VALUE!</v>
          </cell>
        </row>
        <row r="1854">
          <cell r="A1854" t="str">
            <v>GRTE290002A8</v>
          </cell>
          <cell r="B1854" t="str">
            <v>MKP000631002000</v>
          </cell>
          <cell r="C1854" t="str">
            <v/>
          </cell>
          <cell r="D1854" t="str">
            <v>Armário de Cozinha Completa 290cm Branco/Rustic/Branco Stella Madesa 02</v>
          </cell>
          <cell r="E1854" t="str">
            <v>STELLA</v>
          </cell>
          <cell r="F1854" t="str">
            <v>COZINHA</v>
          </cell>
          <cell r="G1854" t="str">
            <v/>
          </cell>
          <cell r="H1854">
            <v>2299.9899999999998</v>
          </cell>
          <cell r="I1854">
            <v>2199.9899999999998</v>
          </cell>
          <cell r="J1854">
            <v>1815.6566</v>
          </cell>
          <cell r="K1854">
            <v>0</v>
          </cell>
          <cell r="L1854">
            <v>1815.6566</v>
          </cell>
          <cell r="M1854">
            <v>0</v>
          </cell>
          <cell r="N1854">
            <v>2199.9899999999998</v>
          </cell>
          <cell r="O1854" t="str">
            <v/>
          </cell>
          <cell r="P1854">
            <v>0</v>
          </cell>
          <cell r="Q1854">
            <v>0.21167736233823001</v>
          </cell>
          <cell r="R1854">
            <v>0.21167736233823001</v>
          </cell>
          <cell r="S1854" t="e">
            <v>#VALUE!</v>
          </cell>
          <cell r="T1854" t="e">
            <v>#VALUE!</v>
          </cell>
        </row>
        <row r="1855">
          <cell r="A1855" t="str">
            <v>1097772E</v>
          </cell>
          <cell r="B1855" t="str">
            <v>MKP000631002484</v>
          </cell>
          <cell r="C1855" t="str">
            <v/>
          </cell>
          <cell r="D1855" t="str">
            <v>Guarda-Roupa Solteiro Madesa Tokio 2 Portas de Correr de Espelho 2 Gavetas Preto/Branco</v>
          </cell>
          <cell r="E1855" t="str">
            <v>TOKIO</v>
          </cell>
          <cell r="F1855" t="str">
            <v>QUARTO</v>
          </cell>
          <cell r="G1855" t="str">
            <v/>
          </cell>
          <cell r="H1855">
            <v>1759.99</v>
          </cell>
          <cell r="I1855">
            <v>1089.99</v>
          </cell>
          <cell r="J1855">
            <v>869.96169999999995</v>
          </cell>
          <cell r="K1855">
            <v>0</v>
          </cell>
          <cell r="L1855">
            <v>869.96169999999995</v>
          </cell>
          <cell r="M1855">
            <v>0</v>
          </cell>
          <cell r="N1855">
            <v>1089.99</v>
          </cell>
          <cell r="O1855" t="str">
            <v/>
          </cell>
          <cell r="P1855">
            <v>0</v>
          </cell>
          <cell r="Q1855">
            <v>0.25291722612616202</v>
          </cell>
          <cell r="R1855">
            <v>0.25291722612616202</v>
          </cell>
          <cell r="S1855" t="e">
            <v>#VALUE!</v>
          </cell>
          <cell r="T1855" t="e">
            <v>#VALUE!</v>
          </cell>
        </row>
        <row r="1856">
          <cell r="A1856" t="str">
            <v>XAGRGM2600029B</v>
          </cell>
          <cell r="B1856" t="str">
            <v>MKP000631003741</v>
          </cell>
          <cell r="C1856" t="str">
            <v/>
          </cell>
          <cell r="D1856" t="str">
            <v>Armário de Cozinha Completa 100% MDF 260cm Branco/Rustic Acordes Madesa XA02</v>
          </cell>
          <cell r="E1856" t="str">
            <v>ACORDES</v>
          </cell>
          <cell r="F1856" t="str">
            <v>COZINHA</v>
          </cell>
          <cell r="G1856" t="str">
            <v/>
          </cell>
          <cell r="H1856">
            <v>1899.99</v>
          </cell>
          <cell r="I1856">
            <v>1799.99</v>
          </cell>
          <cell r="J1856">
            <v>1441.3942</v>
          </cell>
          <cell r="K1856">
            <v>0</v>
          </cell>
          <cell r="L1856">
            <v>1441.3942</v>
          </cell>
          <cell r="M1856">
            <v>0</v>
          </cell>
          <cell r="N1856">
            <v>1799.99</v>
          </cell>
          <cell r="O1856" t="str">
            <v/>
          </cell>
          <cell r="P1856">
            <v>0</v>
          </cell>
          <cell r="Q1856">
            <v>0.24878398983428701</v>
          </cell>
          <cell r="R1856">
            <v>0.24878398983428701</v>
          </cell>
          <cell r="S1856" t="e">
            <v>#VALUE!</v>
          </cell>
          <cell r="T1856" t="e">
            <v>#VALUE!</v>
          </cell>
        </row>
        <row r="1857">
          <cell r="A1857" t="str">
            <v>10946E1E4GCP</v>
          </cell>
          <cell r="B1857" t="str">
            <v>MKP000631001005</v>
          </cell>
          <cell r="C1857" t="str">
            <v/>
          </cell>
          <cell r="D1857" t="str">
            <v>Guarda-Roupa Solteiro Madesa Dallas Plus 2 Portas de Correr com Espelho 4 Gavetas com Pés Rustic/Branco</v>
          </cell>
          <cell r="E1857" t="str">
            <v>DALLAS PLUS</v>
          </cell>
          <cell r="F1857" t="str">
            <v>QUARTO</v>
          </cell>
          <cell r="G1857" t="str">
            <v/>
          </cell>
          <cell r="H1857">
            <v>1299.99</v>
          </cell>
          <cell r="I1857">
            <v>1079.99</v>
          </cell>
          <cell r="J1857">
            <v>819.10230000000001</v>
          </cell>
          <cell r="K1857">
            <v>0</v>
          </cell>
          <cell r="L1857">
            <v>819.10230000000001</v>
          </cell>
          <cell r="M1857">
            <v>0</v>
          </cell>
          <cell r="N1857">
            <v>1079.99</v>
          </cell>
          <cell r="O1857" t="str">
            <v/>
          </cell>
          <cell r="P1857">
            <v>0</v>
          </cell>
          <cell r="Q1857">
            <v>0.31850441635922599</v>
          </cell>
          <cell r="R1857">
            <v>0.31850441635922599</v>
          </cell>
          <cell r="S1857" t="e">
            <v>#VALUE!</v>
          </cell>
          <cell r="T1857" t="e">
            <v>#VALUE!</v>
          </cell>
        </row>
        <row r="1858">
          <cell r="A1858" t="str">
            <v>XA10945Z</v>
          </cell>
          <cell r="B1858" t="str">
            <v>MKP000631001622</v>
          </cell>
          <cell r="C1858" t="str">
            <v/>
          </cell>
          <cell r="D1858" t="str">
            <v>Guarda-Roupa Infantil Madesa Enzo 2 Portas de Correr Rustic</v>
          </cell>
          <cell r="E1858" t="str">
            <v>ENZO</v>
          </cell>
          <cell r="F1858" t="str">
            <v>QUARTO</v>
          </cell>
          <cell r="G1858" t="str">
            <v/>
          </cell>
          <cell r="H1858">
            <v>869.99</v>
          </cell>
          <cell r="I1858">
            <v>639.99</v>
          </cell>
          <cell r="J1858">
            <v>475.10919999999999</v>
          </cell>
          <cell r="K1858">
            <v>0</v>
          </cell>
          <cell r="L1858">
            <v>475.10919999999999</v>
          </cell>
          <cell r="M1858">
            <v>0</v>
          </cell>
          <cell r="N1858">
            <v>639.99</v>
          </cell>
          <cell r="O1858" t="str">
            <v/>
          </cell>
          <cell r="P1858">
            <v>0</v>
          </cell>
          <cell r="Q1858">
            <v>0.34703769154543801</v>
          </cell>
          <cell r="R1858">
            <v>0.34703769154543801</v>
          </cell>
          <cell r="S1858" t="e">
            <v>#VALUE!</v>
          </cell>
          <cell r="T1858" t="e">
            <v>#VALUE!</v>
          </cell>
        </row>
        <row r="1859">
          <cell r="A1859" t="str">
            <v>G22813H7LX</v>
          </cell>
          <cell r="B1859" t="str">
            <v>MKP000631004652</v>
          </cell>
          <cell r="C1859" t="str">
            <v/>
          </cell>
          <cell r="D1859" t="str">
            <v>Balcão Madesa Lux 80 cm 2 Gavetas (Sem Tampo) Branco/Branco Veludo</v>
          </cell>
          <cell r="E1859" t="str">
            <v>LUX</v>
          </cell>
          <cell r="F1859" t="str">
            <v>MODULAÇÃO</v>
          </cell>
          <cell r="G1859" t="str">
            <v/>
          </cell>
          <cell r="H1859">
            <v>1259.99</v>
          </cell>
          <cell r="I1859">
            <v>779.99</v>
          </cell>
          <cell r="J1859">
            <v>392.50900000000001</v>
          </cell>
          <cell r="K1859">
            <v>0</v>
          </cell>
          <cell r="L1859">
            <v>392.50900000000001</v>
          </cell>
          <cell r="M1859">
            <v>0</v>
          </cell>
          <cell r="N1859">
            <v>779.99</v>
          </cell>
          <cell r="O1859" t="str">
            <v>LOJA</v>
          </cell>
          <cell r="P1859">
            <v>769.99</v>
          </cell>
          <cell r="Q1859">
            <v>0.98719010264732798</v>
          </cell>
          <cell r="R1859">
            <v>0.98719010264732798</v>
          </cell>
          <cell r="S1859" t="e">
            <v>#VALUE!</v>
          </cell>
          <cell r="T1859" t="e">
            <v>#VALUE!</v>
          </cell>
        </row>
        <row r="1860">
          <cell r="A1860" t="str">
            <v>GCEM2930065Z</v>
          </cell>
          <cell r="B1860" t="str">
            <v>MKP000631002039</v>
          </cell>
          <cell r="C1860" t="str">
            <v/>
          </cell>
          <cell r="D1860" t="str">
            <v>Armário de Cozinha Completa de Canto 293cm Rustic Emilly Line Madesa 06</v>
          </cell>
          <cell r="E1860" t="str">
            <v>LINE/EMILLY</v>
          </cell>
          <cell r="F1860" t="str">
            <v>COZINHA</v>
          </cell>
          <cell r="G1860" t="str">
            <v/>
          </cell>
          <cell r="H1860">
            <v>2179.9899999999998</v>
          </cell>
          <cell r="I1860">
            <v>1399.99</v>
          </cell>
          <cell r="J1860">
            <v>1164.1527000000001</v>
          </cell>
          <cell r="K1860">
            <v>0</v>
          </cell>
          <cell r="L1860">
            <v>1164.1527000000001</v>
          </cell>
          <cell r="M1860">
            <v>0</v>
          </cell>
          <cell r="N1860">
            <v>1399.99</v>
          </cell>
          <cell r="O1860" t="str">
            <v/>
          </cell>
          <cell r="P1860">
            <v>0</v>
          </cell>
          <cell r="Q1860">
            <v>0.202582788323216</v>
          </cell>
          <cell r="R1860">
            <v>0.202582788323216</v>
          </cell>
          <cell r="S1860" t="e">
            <v>#VALUE!</v>
          </cell>
          <cell r="T1860" t="e">
            <v>#VALUE!</v>
          </cell>
        </row>
        <row r="1861">
          <cell r="A1861" t="str">
            <v>GCRM33200309</v>
          </cell>
          <cell r="B1861" t="str">
            <v>MKP000631004299</v>
          </cell>
          <cell r="C1861" t="str">
            <v/>
          </cell>
          <cell r="D1861" t="str">
            <v>Armário de Cozinha Completa de Canto 332cm Branco Reims Madesa 03</v>
          </cell>
          <cell r="E1861" t="str">
            <v>REIMS</v>
          </cell>
          <cell r="F1861" t="str">
            <v>COZINHA</v>
          </cell>
          <cell r="G1861" t="str">
            <v/>
          </cell>
          <cell r="H1861">
            <v>1449.99</v>
          </cell>
          <cell r="I1861">
            <v>1349.99</v>
          </cell>
          <cell r="J1861">
            <v>1138.9628</v>
          </cell>
          <cell r="K1861">
            <v>0</v>
          </cell>
          <cell r="L1861">
            <v>1138.9628</v>
          </cell>
          <cell r="M1861">
            <v>0</v>
          </cell>
          <cell r="N1861">
            <v>1349.99</v>
          </cell>
          <cell r="O1861" t="str">
            <v/>
          </cell>
          <cell r="P1861">
            <v>0</v>
          </cell>
          <cell r="Q1861">
            <v>0.185280151379834</v>
          </cell>
          <cell r="R1861">
            <v>0.185280151379834</v>
          </cell>
          <cell r="S1861" t="e">
            <v>#VALUE!</v>
          </cell>
          <cell r="T1861" t="e">
            <v>#VALUE!</v>
          </cell>
        </row>
        <row r="1862">
          <cell r="A1862" t="str">
            <v>GREM1370035Z</v>
          </cell>
          <cell r="B1862" t="str">
            <v>MKP000631001517</v>
          </cell>
          <cell r="C1862" t="str">
            <v/>
          </cell>
          <cell r="D1862" t="str">
            <v>Armário de Cozinha Compacta 137cm Rustic Emilly Gold Madesa 03</v>
          </cell>
          <cell r="E1862" t="str">
            <v>GOLD/EMILLY</v>
          </cell>
          <cell r="F1862" t="str">
            <v>COZINHA</v>
          </cell>
          <cell r="G1862" t="str">
            <v/>
          </cell>
          <cell r="H1862">
            <v>969.99</v>
          </cell>
          <cell r="I1862">
            <v>869.99</v>
          </cell>
          <cell r="J1862">
            <v>675.21140000000003</v>
          </cell>
          <cell r="K1862">
            <v>0</v>
          </cell>
          <cell r="L1862">
            <v>675.21140000000003</v>
          </cell>
          <cell r="M1862">
            <v>0</v>
          </cell>
          <cell r="N1862">
            <v>869.99</v>
          </cell>
          <cell r="O1862" t="str">
            <v/>
          </cell>
          <cell r="P1862">
            <v>0</v>
          </cell>
          <cell r="Q1862">
            <v>0.28847054418808699</v>
          </cell>
          <cell r="R1862">
            <v>0.28847054418808699</v>
          </cell>
          <cell r="S1862" t="e">
            <v>#VALUE!</v>
          </cell>
          <cell r="T1862" t="e">
            <v>#VALUE!</v>
          </cell>
        </row>
        <row r="1863">
          <cell r="A1863" t="str">
            <v>G254006E</v>
          </cell>
          <cell r="B1863" t="str">
            <v>MKP000631000918</v>
          </cell>
          <cell r="C1863" t="str">
            <v/>
          </cell>
          <cell r="D1863" t="str">
            <v>Armário Aéreo Madesa Acordes 100% MDF 40 cm 1 Porta Branco/Rustic</v>
          </cell>
          <cell r="E1863" t="str">
            <v>ACORDES</v>
          </cell>
          <cell r="F1863" t="str">
            <v>MODULAÇÃO</v>
          </cell>
          <cell r="G1863" t="str">
            <v/>
          </cell>
          <cell r="H1863">
            <v>419.99</v>
          </cell>
          <cell r="I1863">
            <v>289.99</v>
          </cell>
          <cell r="J1863">
            <v>168.98269999999999</v>
          </cell>
          <cell r="K1863">
            <v>0</v>
          </cell>
          <cell r="L1863">
            <v>168.98269999999999</v>
          </cell>
          <cell r="M1863">
            <v>0</v>
          </cell>
          <cell r="N1863">
            <v>289.99</v>
          </cell>
          <cell r="O1863" t="str">
            <v/>
          </cell>
          <cell r="P1863">
            <v>0</v>
          </cell>
          <cell r="Q1863">
            <v>0.71609283080457298</v>
          </cell>
          <cell r="R1863">
            <v>0.71609283080457298</v>
          </cell>
          <cell r="S1863" t="e">
            <v>#VALUE!</v>
          </cell>
          <cell r="T1863" t="e">
            <v>#VALUE!</v>
          </cell>
        </row>
        <row r="1864">
          <cell r="A1864" t="str">
            <v>GCLX546005H7</v>
          </cell>
          <cell r="B1864" t="str">
            <v>MKP000631004977</v>
          </cell>
          <cell r="C1864" t="str">
            <v/>
          </cell>
          <cell r="D1864" t="str">
            <v>Armário de Cozinha Completa de Canto 546cm Branco Veludo Lux Madesa 05</v>
          </cell>
          <cell r="E1864" t="str">
            <v>LUX</v>
          </cell>
          <cell r="F1864" t="str">
            <v>COZINHA</v>
          </cell>
          <cell r="G1864" t="str">
            <v/>
          </cell>
          <cell r="H1864">
            <v>7489.99</v>
          </cell>
          <cell r="I1864">
            <v>7479.99</v>
          </cell>
          <cell r="J1864">
            <v>4135.6234999999997</v>
          </cell>
          <cell r="K1864">
            <v>0</v>
          </cell>
          <cell r="L1864">
            <v>4135.6234999999997</v>
          </cell>
          <cell r="M1864">
            <v>0</v>
          </cell>
          <cell r="N1864">
            <v>7479.99</v>
          </cell>
          <cell r="O1864" t="str">
            <v>LOJA</v>
          </cell>
          <cell r="P1864">
            <v>6579.99</v>
          </cell>
          <cell r="Q1864">
            <v>0.80867286395872295</v>
          </cell>
          <cell r="R1864">
            <v>0.80867286395872295</v>
          </cell>
          <cell r="S1864" t="e">
            <v>#VALUE!</v>
          </cell>
          <cell r="T1864" t="e">
            <v>#VALUE!</v>
          </cell>
        </row>
        <row r="1865">
          <cell r="A1865" t="str">
            <v>G257579NLX</v>
          </cell>
          <cell r="B1865" t="str">
            <v>MKP000631002691</v>
          </cell>
          <cell r="C1865" t="str">
            <v/>
          </cell>
          <cell r="D1865" t="str">
            <v>Armário Aéreo de Canto com Adega Acoplada Madesa Lux 1 Porta Rustic/Cinza</v>
          </cell>
          <cell r="E1865" t="str">
            <v>LUX</v>
          </cell>
          <cell r="F1865" t="str">
            <v>MODULAÇÃO</v>
          </cell>
          <cell r="G1865" t="str">
            <v/>
          </cell>
          <cell r="H1865">
            <v>1059.99</v>
          </cell>
          <cell r="I1865">
            <v>779.99</v>
          </cell>
          <cell r="J1865">
            <v>412.87020000000001</v>
          </cell>
          <cell r="K1865">
            <v>0</v>
          </cell>
          <cell r="L1865">
            <v>412.87020000000001</v>
          </cell>
          <cell r="M1865">
            <v>0</v>
          </cell>
          <cell r="N1865">
            <v>779.99</v>
          </cell>
          <cell r="O1865" t="str">
            <v>LOJA</v>
          </cell>
          <cell r="P1865">
            <v>769.99</v>
          </cell>
          <cell r="Q1865">
            <v>0.88918938688236604</v>
          </cell>
          <cell r="R1865">
            <v>0.88918938688236604</v>
          </cell>
          <cell r="S1865" t="e">
            <v>#VALUE!</v>
          </cell>
          <cell r="T1865" t="e">
            <v>#VALUE!</v>
          </cell>
        </row>
        <row r="1866">
          <cell r="A1866" t="str">
            <v>GRLX2400029N</v>
          </cell>
          <cell r="B1866" t="str">
            <v>MKP000631002714</v>
          </cell>
          <cell r="C1866" t="str">
            <v/>
          </cell>
          <cell r="D1866" t="str">
            <v>Armário de Cozinha Completa 240cm Rustic/Cinza Lux Madesa 02</v>
          </cell>
          <cell r="E1866" t="str">
            <v>LUX</v>
          </cell>
          <cell r="F1866" t="str">
            <v>COZINHA</v>
          </cell>
          <cell r="G1866" t="str">
            <v/>
          </cell>
          <cell r="H1866">
            <v>4489.99</v>
          </cell>
          <cell r="I1866">
            <v>4419.99</v>
          </cell>
          <cell r="J1866">
            <v>2641.7676000000001</v>
          </cell>
          <cell r="K1866">
            <v>0</v>
          </cell>
          <cell r="L1866">
            <v>2641.7676000000001</v>
          </cell>
          <cell r="M1866">
            <v>0</v>
          </cell>
          <cell r="N1866">
            <v>4419.99</v>
          </cell>
          <cell r="O1866" t="str">
            <v>LOJA</v>
          </cell>
          <cell r="P1866">
            <v>3879.99</v>
          </cell>
          <cell r="Q1866">
            <v>0.67311840753895202</v>
          </cell>
          <cell r="R1866">
            <v>0.67311840753895202</v>
          </cell>
          <cell r="S1866" t="e">
            <v>#VALUE!</v>
          </cell>
          <cell r="T1866" t="e">
            <v>#VALUE!</v>
          </cell>
        </row>
        <row r="1867">
          <cell r="A1867" t="str">
            <v>G227509RLX</v>
          </cell>
          <cell r="B1867" t="str">
            <v>MKP000631003236</v>
          </cell>
          <cell r="C1867" t="str">
            <v/>
          </cell>
          <cell r="D1867" t="str">
            <v>Balcão de Canto Madesa Lux 1 Porta (Sem Tampo) Branco/Cinza</v>
          </cell>
          <cell r="E1867" t="str">
            <v>LUX</v>
          </cell>
          <cell r="F1867" t="str">
            <v>MODULAÇÃO</v>
          </cell>
          <cell r="G1867" t="str">
            <v/>
          </cell>
          <cell r="H1867">
            <v>999.99</v>
          </cell>
          <cell r="I1867">
            <v>719.99</v>
          </cell>
          <cell r="J1867">
            <v>368.99770000000001</v>
          </cell>
          <cell r="K1867">
            <v>0</v>
          </cell>
          <cell r="L1867">
            <v>368.99770000000001</v>
          </cell>
          <cell r="M1867">
            <v>0</v>
          </cell>
          <cell r="N1867">
            <v>719.99</v>
          </cell>
          <cell r="O1867" t="str">
            <v>LOJA</v>
          </cell>
          <cell r="P1867">
            <v>699.99</v>
          </cell>
          <cell r="Q1867">
            <v>0.95120457390384805</v>
          </cell>
          <cell r="R1867">
            <v>0.95120457390384805</v>
          </cell>
          <cell r="S1867" t="e">
            <v>#VALUE!</v>
          </cell>
          <cell r="T1867" t="e">
            <v>#VALUE!</v>
          </cell>
        </row>
        <row r="1868">
          <cell r="A1868" t="str">
            <v>MDJA0401647GPT</v>
          </cell>
          <cell r="B1868" t="str">
            <v>MKP000631005574</v>
          </cell>
          <cell r="C1868" t="str">
            <v/>
          </cell>
          <cell r="D1868" t="str">
            <v>Conjunto Sala de Jantar Mesa Tampo de Vidro 4 Cadeiras Rustic/Crema/Preto Perla Madesa</v>
          </cell>
          <cell r="E1868" t="str">
            <v>PERLA</v>
          </cell>
          <cell r="F1868" t="str">
            <v>SALA DE JANTAR</v>
          </cell>
          <cell r="G1868" t="str">
            <v>4290X</v>
          </cell>
          <cell r="H1868">
            <v>759.99</v>
          </cell>
          <cell r="I1868">
            <v>659.99</v>
          </cell>
          <cell r="J1868">
            <v>512.16920000000005</v>
          </cell>
          <cell r="K1868">
            <v>0</v>
          </cell>
          <cell r="L1868">
            <v>512.16920000000005</v>
          </cell>
          <cell r="M1868">
            <v>0</v>
          </cell>
          <cell r="N1868">
            <v>659.99</v>
          </cell>
          <cell r="O1868" t="str">
            <v/>
          </cell>
          <cell r="P1868">
            <v>0</v>
          </cell>
          <cell r="Q1868">
            <v>0.28861712106077397</v>
          </cell>
          <cell r="R1868">
            <v>0.28861712106077397</v>
          </cell>
          <cell r="S1868" t="e">
            <v>#VALUE!</v>
          </cell>
          <cell r="T1868" t="e">
            <v>#VALUE!</v>
          </cell>
        </row>
        <row r="1869">
          <cell r="A1869" t="str">
            <v>GCSM44800209</v>
          </cell>
          <cell r="B1869" t="str">
            <v>MKP000631005727</v>
          </cell>
          <cell r="C1869" t="str">
            <v/>
          </cell>
          <cell r="D1869" t="str">
            <v>Armário de Cozinha Completa de Canto 100% MDF 447cm Frentes Branco Smart Madesa 02</v>
          </cell>
          <cell r="E1869" t="str">
            <v>SMART</v>
          </cell>
          <cell r="F1869" t="str">
            <v>COZINHA</v>
          </cell>
          <cell r="G1869" t="str">
            <v/>
          </cell>
          <cell r="H1869">
            <v>2699.99</v>
          </cell>
          <cell r="I1869">
            <v>2599.9899999999998</v>
          </cell>
          <cell r="J1869">
            <v>2058.8791999999999</v>
          </cell>
          <cell r="K1869">
            <v>0</v>
          </cell>
          <cell r="L1869">
            <v>2058.8791999999999</v>
          </cell>
          <cell r="M1869">
            <v>0</v>
          </cell>
          <cell r="N1869">
            <v>2599.9899999999998</v>
          </cell>
          <cell r="O1869" t="str">
            <v/>
          </cell>
          <cell r="P1869">
            <v>0</v>
          </cell>
          <cell r="Q1869">
            <v>0.26281813911180402</v>
          </cell>
          <cell r="R1869">
            <v>0.26281813911180402</v>
          </cell>
          <cell r="S1869" t="e">
            <v>#VALUE!</v>
          </cell>
          <cell r="T1869" t="e">
            <v>#VALUE!</v>
          </cell>
        </row>
        <row r="1870">
          <cell r="A1870" t="str">
            <v>GCGL3490019Y</v>
          </cell>
          <cell r="B1870" t="str">
            <v>MKP000631004499</v>
          </cell>
          <cell r="C1870" t="str">
            <v/>
          </cell>
          <cell r="D1870" t="str">
            <v>Armário de Cozinha Completa de Canto 349cm Rustic/Rustic/Crema Glamy Madesa 01</v>
          </cell>
          <cell r="E1870" t="str">
            <v>GLAMY</v>
          </cell>
          <cell r="F1870" t="str">
            <v>COZINHA</v>
          </cell>
          <cell r="G1870" t="str">
            <v/>
          </cell>
          <cell r="H1870">
            <v>2639.99</v>
          </cell>
          <cell r="I1870">
            <v>2539.9899999999998</v>
          </cell>
          <cell r="J1870">
            <v>2079.7745</v>
          </cell>
          <cell r="K1870">
            <v>0</v>
          </cell>
          <cell r="L1870">
            <v>2079.7745</v>
          </cell>
          <cell r="M1870">
            <v>0</v>
          </cell>
          <cell r="N1870">
            <v>2539.9899999999998</v>
          </cell>
          <cell r="O1870" t="str">
            <v/>
          </cell>
          <cell r="P1870">
            <v>0</v>
          </cell>
          <cell r="Q1870">
            <v>0.22128144181015799</v>
          </cell>
          <cell r="R1870">
            <v>0.22128144181015799</v>
          </cell>
          <cell r="S1870" t="e">
            <v>#VALUE!</v>
          </cell>
          <cell r="T1870" t="e">
            <v>#VALUE!</v>
          </cell>
        </row>
        <row r="1871">
          <cell r="A1871" t="str">
            <v>GRAG18000273</v>
          </cell>
          <cell r="B1871" t="str">
            <v>MKP000631003789</v>
          </cell>
          <cell r="C1871" t="str">
            <v/>
          </cell>
          <cell r="D1871" t="str">
            <v>Armário de Cozinha Compacta 180cm Branco Preto Agata Madesa 02</v>
          </cell>
          <cell r="E1871" t="str">
            <v>ÁGATA</v>
          </cell>
          <cell r="F1871" t="str">
            <v>COZINHA</v>
          </cell>
          <cell r="G1871" t="str">
            <v/>
          </cell>
          <cell r="H1871">
            <v>1769.9</v>
          </cell>
          <cell r="I1871">
            <v>1549.99</v>
          </cell>
          <cell r="J1871">
            <v>1269.8608999999999</v>
          </cell>
          <cell r="K1871">
            <v>0</v>
          </cell>
          <cell r="L1871">
            <v>1269.8608999999999</v>
          </cell>
          <cell r="M1871">
            <v>0</v>
          </cell>
          <cell r="N1871">
            <v>1549.99</v>
          </cell>
          <cell r="O1871" t="str">
            <v/>
          </cell>
          <cell r="P1871">
            <v>0</v>
          </cell>
          <cell r="Q1871">
            <v>0.22059825607670899</v>
          </cell>
          <cell r="R1871">
            <v>0.22059825607670899</v>
          </cell>
          <cell r="S1871" t="e">
            <v>#VALUE!</v>
          </cell>
          <cell r="T1871" t="e">
            <v>#VALUE!</v>
          </cell>
        </row>
        <row r="1872">
          <cell r="A1872" t="str">
            <v>60247309PP</v>
          </cell>
          <cell r="B1872" t="str">
            <v>MKP000631001614</v>
          </cell>
          <cell r="C1872" t="str">
            <v/>
          </cell>
          <cell r="D1872" t="str">
            <v>Rack Madesa Dubai para TV até 65 Polegadas com Pés Branco/Preto 7309</v>
          </cell>
          <cell r="E1872" t="str">
            <v>DUBAI</v>
          </cell>
          <cell r="F1872" t="str">
            <v>SALA DE ESTAR</v>
          </cell>
          <cell r="G1872" t="str">
            <v/>
          </cell>
          <cell r="H1872">
            <v>539.99</v>
          </cell>
          <cell r="I1872">
            <v>299.99</v>
          </cell>
          <cell r="J1872">
            <v>243.82210000000001</v>
          </cell>
          <cell r="K1872">
            <v>0</v>
          </cell>
          <cell r="L1872">
            <v>243.82210000000001</v>
          </cell>
          <cell r="M1872">
            <v>0</v>
          </cell>
          <cell r="N1872">
            <v>299.99</v>
          </cell>
          <cell r="O1872" t="str">
            <v/>
          </cell>
          <cell r="P1872">
            <v>0</v>
          </cell>
          <cell r="Q1872">
            <v>0.23036426968679199</v>
          </cell>
          <cell r="R1872">
            <v>0.23036426968679199</v>
          </cell>
          <cell r="S1872" t="e">
            <v>#VALUE!</v>
          </cell>
          <cell r="T1872" t="e">
            <v>#VALUE!</v>
          </cell>
        </row>
        <row r="1873">
          <cell r="A1873" t="str">
            <v>700877</v>
          </cell>
          <cell r="B1873" t="str">
            <v>MKP000631001632</v>
          </cell>
          <cell r="C1873" t="str">
            <v/>
          </cell>
          <cell r="D1873" t="str">
            <v>Rack para TV até 65 Polegadas Madesa Cancun Preto/Branco</v>
          </cell>
          <cell r="E1873" t="str">
            <v>CANCUN</v>
          </cell>
          <cell r="F1873" t="str">
            <v>SALA DE ESTAR</v>
          </cell>
          <cell r="G1873" t="str">
            <v/>
          </cell>
          <cell r="H1873">
            <v>719.99</v>
          </cell>
          <cell r="I1873">
            <v>299.99</v>
          </cell>
          <cell r="J1873">
            <v>250.32939999999999</v>
          </cell>
          <cell r="K1873">
            <v>0</v>
          </cell>
          <cell r="L1873">
            <v>250.32939999999999</v>
          </cell>
          <cell r="M1873">
            <v>0</v>
          </cell>
          <cell r="N1873">
            <v>299.99</v>
          </cell>
          <cell r="O1873" t="str">
            <v/>
          </cell>
          <cell r="P1873">
            <v>0</v>
          </cell>
          <cell r="Q1873">
            <v>0.19838101317703799</v>
          </cell>
          <cell r="R1873">
            <v>0.19838101317703799</v>
          </cell>
          <cell r="S1873" t="e">
            <v>#VALUE!</v>
          </cell>
          <cell r="T1873" t="e">
            <v>#VALUE!</v>
          </cell>
        </row>
        <row r="1874">
          <cell r="A1874" t="str">
            <v>G2675073</v>
          </cell>
          <cell r="B1874" t="str">
            <v>MKP000631004953</v>
          </cell>
          <cell r="C1874" t="str">
            <v/>
          </cell>
          <cell r="D1874" t="str">
            <v>Torre Quente 100% MDF 70 cm para 2 Fornos Branco/Preto Acordes Madesa</v>
          </cell>
          <cell r="E1874" t="str">
            <v>ACORDES</v>
          </cell>
          <cell r="F1874" t="str">
            <v>MODULAÇÃO</v>
          </cell>
          <cell r="G1874" t="str">
            <v/>
          </cell>
          <cell r="H1874">
            <v>849.99</v>
          </cell>
          <cell r="I1874">
            <v>749.99</v>
          </cell>
          <cell r="J1874">
            <v>462.05099999999999</v>
          </cell>
          <cell r="K1874">
            <v>0</v>
          </cell>
          <cell r="L1874">
            <v>462.05099999999999</v>
          </cell>
          <cell r="M1874">
            <v>0</v>
          </cell>
          <cell r="N1874">
            <v>749.99</v>
          </cell>
          <cell r="O1874" t="str">
            <v/>
          </cell>
          <cell r="P1874">
            <v>0</v>
          </cell>
          <cell r="Q1874">
            <v>0.62317579661119704</v>
          </cell>
          <cell r="R1874">
            <v>0.62317579661119704</v>
          </cell>
          <cell r="S1874" t="e">
            <v>#VALUE!</v>
          </cell>
          <cell r="T1874" t="e">
            <v>#VALUE!</v>
          </cell>
        </row>
        <row r="1875">
          <cell r="A1875" t="str">
            <v>GRGL29000273</v>
          </cell>
          <cell r="B1875" t="str">
            <v>MKP000631001809</v>
          </cell>
          <cell r="C1875" t="str">
            <v/>
          </cell>
          <cell r="D1875" t="str">
            <v>Armário de Cozinha Completa 290cm Branco/Preto Vicenza Madesa 02</v>
          </cell>
          <cell r="E1875" t="str">
            <v>VICENZA/GLAMY</v>
          </cell>
          <cell r="F1875" t="str">
            <v>COZINHA</v>
          </cell>
          <cell r="G1875" t="str">
            <v/>
          </cell>
          <cell r="H1875">
            <v>2599.9899999999998</v>
          </cell>
          <cell r="I1875">
            <v>2499.9899999999998</v>
          </cell>
          <cell r="J1875">
            <v>2076.7116000000001</v>
          </cell>
          <cell r="K1875">
            <v>0</v>
          </cell>
          <cell r="L1875">
            <v>2076.7116000000001</v>
          </cell>
          <cell r="M1875">
            <v>0</v>
          </cell>
          <cell r="N1875">
            <v>2499.9899999999998</v>
          </cell>
          <cell r="O1875" t="str">
            <v/>
          </cell>
          <cell r="P1875">
            <v>0</v>
          </cell>
          <cell r="Q1875">
            <v>0.20382146466557999</v>
          </cell>
          <cell r="R1875">
            <v>0.20382146466557999</v>
          </cell>
          <cell r="S1875" t="e">
            <v>#VALUE!</v>
          </cell>
          <cell r="T1875" t="e">
            <v>#VALUE!</v>
          </cell>
        </row>
        <row r="1876">
          <cell r="A1876" t="str">
            <v>1085092ECP</v>
          </cell>
          <cell r="B1876" t="str">
            <v>MKP000631000268</v>
          </cell>
          <cell r="C1876" t="str">
            <v/>
          </cell>
          <cell r="D1876" t="str">
            <v>Guarda-Roupa Casal Madesa Veneza 3 Portas de Correr 2 Portas com Espelho com Pés Branco</v>
          </cell>
          <cell r="E1876" t="str">
            <v>VENEZA</v>
          </cell>
          <cell r="F1876" t="str">
            <v>QUARTO</v>
          </cell>
          <cell r="G1876" t="str">
            <v/>
          </cell>
          <cell r="H1876">
            <v>2069.9899999999998</v>
          </cell>
          <cell r="I1876">
            <v>1669.99</v>
          </cell>
          <cell r="J1876">
            <v>1370.4351999999999</v>
          </cell>
          <cell r="K1876">
            <v>0</v>
          </cell>
          <cell r="L1876">
            <v>1370.4351999999999</v>
          </cell>
          <cell r="M1876">
            <v>0</v>
          </cell>
          <cell r="N1876">
            <v>1669.99</v>
          </cell>
          <cell r="O1876" t="str">
            <v/>
          </cell>
          <cell r="P1876">
            <v>0</v>
          </cell>
          <cell r="Q1876">
            <v>0.21858370246181599</v>
          </cell>
          <cell r="R1876">
            <v>0.21858370246181599</v>
          </cell>
          <cell r="S1876" t="e">
            <v>#VALUE!</v>
          </cell>
          <cell r="T1876" t="e">
            <v>#VALUE!</v>
          </cell>
        </row>
        <row r="1877">
          <cell r="A1877" t="str">
            <v>G251217KLX</v>
          </cell>
          <cell r="B1877" t="str">
            <v>MKP000631002749</v>
          </cell>
          <cell r="C1877" t="str">
            <v/>
          </cell>
          <cell r="D1877" t="str">
            <v>Armário Aéreo Madesa Lux 120 cm 2 Portas Rustic/Preto</v>
          </cell>
          <cell r="E1877" t="str">
            <v>LUX</v>
          </cell>
          <cell r="F1877" t="str">
            <v>MODULAÇÃO</v>
          </cell>
          <cell r="G1877" t="str">
            <v/>
          </cell>
          <cell r="H1877">
            <v>1259.99</v>
          </cell>
          <cell r="I1877">
            <v>919.99</v>
          </cell>
          <cell r="J1877">
            <v>563.4864</v>
          </cell>
          <cell r="K1877">
            <v>0</v>
          </cell>
          <cell r="L1877">
            <v>563.4864</v>
          </cell>
          <cell r="M1877">
            <v>0</v>
          </cell>
          <cell r="N1877">
            <v>919.99</v>
          </cell>
          <cell r="O1877" t="str">
            <v>LOJA</v>
          </cell>
          <cell r="P1877">
            <v>899.99</v>
          </cell>
          <cell r="Q1877">
            <v>0.63267471938985498</v>
          </cell>
          <cell r="R1877">
            <v>0.63267471938985498</v>
          </cell>
          <cell r="S1877" t="e">
            <v>#VALUE!</v>
          </cell>
          <cell r="T1877" t="e">
            <v>#VALUE!</v>
          </cell>
        </row>
        <row r="1878">
          <cell r="A1878" t="str">
            <v>044705ZXTFBM</v>
          </cell>
          <cell r="B1878" t="str">
            <v>MKP000631000290</v>
          </cell>
          <cell r="C1878" t="str">
            <v/>
          </cell>
          <cell r="D1878" t="str">
            <v>Conjunto Sala de Jantar Rosie Madesa Mesa Tampo de Madeira com 4 Cadeiras Rustic/Floral Bege Marrom</v>
          </cell>
          <cell r="E1878" t="str">
            <v>ROSIE</v>
          </cell>
          <cell r="F1878" t="str">
            <v>SALA DE JANTAR</v>
          </cell>
          <cell r="G1878" t="str">
            <v>4290X</v>
          </cell>
          <cell r="H1878">
            <v>1349.99</v>
          </cell>
          <cell r="I1878">
            <v>559.99</v>
          </cell>
          <cell r="J1878">
            <v>439.91309999999999</v>
          </cell>
          <cell r="K1878">
            <v>0</v>
          </cell>
          <cell r="L1878">
            <v>439.91309999999999</v>
          </cell>
          <cell r="M1878">
            <v>0</v>
          </cell>
          <cell r="N1878">
            <v>559.99</v>
          </cell>
          <cell r="O1878" t="str">
            <v>COLOMBO</v>
          </cell>
          <cell r="P1878">
            <v>549.99</v>
          </cell>
          <cell r="Q1878">
            <v>0.272955954255511</v>
          </cell>
          <cell r="R1878">
            <v>0.272955954255511</v>
          </cell>
          <cell r="S1878" t="e">
            <v>#VALUE!</v>
          </cell>
          <cell r="T1878" t="e">
            <v>#VALUE!</v>
          </cell>
        </row>
        <row r="1879">
          <cell r="A1879" t="str">
            <v>XAG2711509PR</v>
          </cell>
          <cell r="B1879" t="str">
            <v>MKP000631003199</v>
          </cell>
          <cell r="C1879" t="str">
            <v/>
          </cell>
          <cell r="D1879" t="str">
            <v>Bancada para Cozinha Lux Madesa 115 cm Branco</v>
          </cell>
          <cell r="E1879" t="str">
            <v>LUX</v>
          </cell>
          <cell r="F1879" t="str">
            <v>MODULAÇÃO</v>
          </cell>
          <cell r="G1879" t="str">
            <v/>
          </cell>
          <cell r="H1879">
            <v>619.99</v>
          </cell>
          <cell r="I1879">
            <v>289.99</v>
          </cell>
          <cell r="J1879">
            <v>178.71639999999999</v>
          </cell>
          <cell r="K1879">
            <v>0</v>
          </cell>
          <cell r="L1879">
            <v>178.71639999999999</v>
          </cell>
          <cell r="M1879">
            <v>0</v>
          </cell>
          <cell r="N1879">
            <v>289.99</v>
          </cell>
          <cell r="O1879" t="str">
            <v/>
          </cell>
          <cell r="P1879">
            <v>0</v>
          </cell>
          <cell r="Q1879">
            <v>0.62262668675062804</v>
          </cell>
          <cell r="R1879">
            <v>0.62262668675062804</v>
          </cell>
          <cell r="S1879" t="e">
            <v>#VALUE!</v>
          </cell>
          <cell r="T1879" t="e">
            <v>#VALUE!</v>
          </cell>
        </row>
        <row r="1880">
          <cell r="A1880" t="str">
            <v>GCEM2930015Z</v>
          </cell>
          <cell r="B1880" t="str">
            <v>MKP000631001953</v>
          </cell>
          <cell r="C1880" t="str">
            <v/>
          </cell>
          <cell r="D1880" t="str">
            <v>Armário de Cozinha Completa de Canto 293cm Rustic Emilly Open Madesa 01</v>
          </cell>
          <cell r="E1880" t="str">
            <v>OPEN/EMILLY</v>
          </cell>
          <cell r="F1880" t="str">
            <v>COZINHA</v>
          </cell>
          <cell r="G1880" t="str">
            <v/>
          </cell>
          <cell r="H1880">
            <v>1599.99</v>
          </cell>
          <cell r="I1880">
            <v>999.99</v>
          </cell>
          <cell r="J1880">
            <v>837.12</v>
          </cell>
          <cell r="K1880">
            <v>0</v>
          </cell>
          <cell r="L1880">
            <v>837.12</v>
          </cell>
          <cell r="M1880">
            <v>0</v>
          </cell>
          <cell r="N1880">
            <v>999.99</v>
          </cell>
          <cell r="O1880" t="str">
            <v/>
          </cell>
          <cell r="P1880">
            <v>0</v>
          </cell>
          <cell r="Q1880">
            <v>0.19455991972477099</v>
          </cell>
          <cell r="R1880">
            <v>0.19455991972477099</v>
          </cell>
          <cell r="S1880" t="e">
            <v>#VALUE!</v>
          </cell>
          <cell r="T1880" t="e">
            <v>#VALUE!</v>
          </cell>
        </row>
        <row r="1881">
          <cell r="A1881" t="str">
            <v>MDES0200198N5Z</v>
          </cell>
          <cell r="B1881" t="str">
            <v>MKP000631005984</v>
          </cell>
          <cell r="C1881" t="str">
            <v/>
          </cell>
          <cell r="D1881" t="str">
            <v>Rack com Painel para TV até 65 Polegadas com Pés Preto Detroit Madesa</v>
          </cell>
          <cell r="E1881" t="str">
            <v>DETROIT</v>
          </cell>
          <cell r="F1881" t="str">
            <v>SALA DE ESTAR</v>
          </cell>
          <cell r="G1881" t="str">
            <v/>
          </cell>
          <cell r="H1881">
            <v>539.99</v>
          </cell>
          <cell r="I1881">
            <v>439.99</v>
          </cell>
          <cell r="J1881">
            <v>327.30520000000001</v>
          </cell>
          <cell r="K1881">
            <v>0</v>
          </cell>
          <cell r="L1881">
            <v>327.30520000000001</v>
          </cell>
          <cell r="M1881">
            <v>0</v>
          </cell>
          <cell r="N1881">
            <v>439.99</v>
          </cell>
          <cell r="O1881" t="str">
            <v>MAGALU</v>
          </cell>
          <cell r="P1881">
            <v>439.99</v>
          </cell>
          <cell r="Q1881">
            <v>0.34428050638975499</v>
          </cell>
          <cell r="R1881">
            <v>0.34428050638975499</v>
          </cell>
          <cell r="S1881" t="e">
            <v>#VALUE!</v>
          </cell>
          <cell r="T1881" t="e">
            <v>#VALUE!</v>
          </cell>
        </row>
        <row r="1882">
          <cell r="A1882" t="str">
            <v>G2460109TE</v>
          </cell>
          <cell r="B1882" t="str">
            <v>MKP000631001916</v>
          </cell>
          <cell r="C1882" t="str">
            <v/>
          </cell>
          <cell r="D1882" t="str">
            <v>Balcão Madesa Stella 60 cm 3 Gavetas Branco</v>
          </cell>
          <cell r="E1882" t="str">
            <v>STELLA</v>
          </cell>
          <cell r="F1882" t="str">
            <v>MODULAÇÃO</v>
          </cell>
          <cell r="G1882" t="str">
            <v/>
          </cell>
          <cell r="H1882">
            <v>989.99</v>
          </cell>
          <cell r="I1882">
            <v>569.99</v>
          </cell>
          <cell r="J1882">
            <v>378.11009999999999</v>
          </cell>
          <cell r="K1882">
            <v>0</v>
          </cell>
          <cell r="L1882">
            <v>378.11009999999999</v>
          </cell>
          <cell r="M1882">
            <v>0</v>
          </cell>
          <cell r="N1882">
            <v>569.99</v>
          </cell>
          <cell r="O1882" t="str">
            <v/>
          </cell>
          <cell r="P1882">
            <v>0</v>
          </cell>
          <cell r="Q1882">
            <v>0.50747097207929703</v>
          </cell>
          <cell r="R1882">
            <v>0.50747097207929703</v>
          </cell>
          <cell r="S1882" t="e">
            <v>#VALUE!</v>
          </cell>
          <cell r="T1882" t="e">
            <v>#VALUE!</v>
          </cell>
        </row>
        <row r="1883">
          <cell r="A1883" t="str">
            <v>G276018N</v>
          </cell>
          <cell r="B1883" t="str">
            <v>MKP000631004801</v>
          </cell>
          <cell r="C1883" t="str">
            <v/>
          </cell>
          <cell r="D1883" t="str">
            <v>Kit 2 Prateleiras Suspensas para Cozinha Madesa 60 cm com Mão Francesa Preto</v>
          </cell>
          <cell r="E1883" t="str">
            <v>PR</v>
          </cell>
          <cell r="F1883" t="str">
            <v>MODULAÇÃO</v>
          </cell>
          <cell r="G1883" t="str">
            <v/>
          </cell>
          <cell r="H1883">
            <v>399.99</v>
          </cell>
          <cell r="I1883">
            <v>189.99</v>
          </cell>
          <cell r="J1883">
            <v>118.6247</v>
          </cell>
          <cell r="K1883">
            <v>0</v>
          </cell>
          <cell r="L1883">
            <v>118.6247</v>
          </cell>
          <cell r="M1883">
            <v>0</v>
          </cell>
          <cell r="N1883">
            <v>189.99</v>
          </cell>
          <cell r="O1883" t="str">
            <v/>
          </cell>
          <cell r="P1883">
            <v>0</v>
          </cell>
          <cell r="Q1883">
            <v>0.60160573641071402</v>
          </cell>
          <cell r="R1883">
            <v>0.60160573641071402</v>
          </cell>
          <cell r="S1883" t="e">
            <v>#VALUE!</v>
          </cell>
          <cell r="T1883" t="e">
            <v>#VALUE!</v>
          </cell>
        </row>
        <row r="1884">
          <cell r="A1884" t="str">
            <v>G258009NLX</v>
          </cell>
          <cell r="B1884" t="str">
            <v>MKP000631002701</v>
          </cell>
          <cell r="C1884" t="str">
            <v/>
          </cell>
          <cell r="D1884" t="str">
            <v>Armário Aéreo Madesa Lux 80 cm 2 Portas Rustic/Cinza</v>
          </cell>
          <cell r="E1884" t="str">
            <v>LUX</v>
          </cell>
          <cell r="F1884" t="str">
            <v>MODULAÇÃO</v>
          </cell>
          <cell r="G1884" t="str">
            <v/>
          </cell>
          <cell r="H1884">
            <v>1039.99</v>
          </cell>
          <cell r="I1884">
            <v>729.99</v>
          </cell>
          <cell r="J1884">
            <v>431.73809999999997</v>
          </cell>
          <cell r="K1884">
            <v>0</v>
          </cell>
          <cell r="L1884">
            <v>431.73809999999997</v>
          </cell>
          <cell r="M1884">
            <v>0</v>
          </cell>
          <cell r="N1884">
            <v>729.99</v>
          </cell>
          <cell r="O1884" t="str">
            <v>LOJA</v>
          </cell>
          <cell r="P1884">
            <v>719.99</v>
          </cell>
          <cell r="Q1884">
            <v>0.69081672430577701</v>
          </cell>
          <cell r="R1884">
            <v>0.69081672430577701</v>
          </cell>
          <cell r="S1884" t="e">
            <v>#VALUE!</v>
          </cell>
          <cell r="T1884" t="e">
            <v>#VALUE!</v>
          </cell>
        </row>
        <row r="1885">
          <cell r="A1885" t="str">
            <v>GRGL2900039Y</v>
          </cell>
          <cell r="B1885" t="str">
            <v>MKP000631000216</v>
          </cell>
          <cell r="C1885" t="str">
            <v/>
          </cell>
          <cell r="D1885" t="str">
            <v>Armário de Cozinha Completa 290cm Rustic/Crema Safira Madesa 03</v>
          </cell>
          <cell r="E1885" t="str">
            <v>SAFIRA/GLAMY</v>
          </cell>
          <cell r="F1885" t="str">
            <v>COZINHA</v>
          </cell>
          <cell r="G1885" t="str">
            <v/>
          </cell>
          <cell r="H1885">
            <v>2799.99</v>
          </cell>
          <cell r="I1885">
            <v>2099.9899999999998</v>
          </cell>
          <cell r="J1885">
            <v>1760.9930999999999</v>
          </cell>
          <cell r="K1885">
            <v>0</v>
          </cell>
          <cell r="L1885">
            <v>1760.9930999999999</v>
          </cell>
          <cell r="M1885">
            <v>0</v>
          </cell>
          <cell r="N1885">
            <v>2099.9899999999998</v>
          </cell>
          <cell r="O1885" t="str">
            <v/>
          </cell>
          <cell r="P1885">
            <v>0</v>
          </cell>
          <cell r="Q1885">
            <v>0.19250325285204101</v>
          </cell>
          <cell r="R1885">
            <v>0.19250325285204101</v>
          </cell>
          <cell r="S1885" t="e">
            <v>#VALUE!</v>
          </cell>
          <cell r="T1885" t="e">
            <v>#VALUE!</v>
          </cell>
        </row>
        <row r="1886">
          <cell r="A1886" t="str">
            <v>GRLX2400029R</v>
          </cell>
          <cell r="B1886" t="str">
            <v>MKP000631003336</v>
          </cell>
          <cell r="C1886" t="str">
            <v/>
          </cell>
          <cell r="D1886" t="str">
            <v>Armário de Cozinha Completa 240cm Branco/Cinza Lux Madesa 02</v>
          </cell>
          <cell r="E1886" t="str">
            <v>LUX</v>
          </cell>
          <cell r="F1886" t="str">
            <v>COZINHA</v>
          </cell>
          <cell r="G1886" t="str">
            <v/>
          </cell>
          <cell r="H1886">
            <v>4489.99</v>
          </cell>
          <cell r="I1886">
            <v>4419.99</v>
          </cell>
          <cell r="J1886">
            <v>2641.7676000000001</v>
          </cell>
          <cell r="K1886">
            <v>0</v>
          </cell>
          <cell r="L1886">
            <v>2641.7676000000001</v>
          </cell>
          <cell r="M1886">
            <v>0</v>
          </cell>
          <cell r="N1886">
            <v>4419.99</v>
          </cell>
          <cell r="O1886" t="str">
            <v>LOJA</v>
          </cell>
          <cell r="P1886">
            <v>3879.99</v>
          </cell>
          <cell r="Q1886">
            <v>0.67311840753895202</v>
          </cell>
          <cell r="R1886">
            <v>0.67311840753895202</v>
          </cell>
          <cell r="S1886" t="e">
            <v>#VALUE!</v>
          </cell>
          <cell r="T1886" t="e">
            <v>#VALUE!</v>
          </cell>
        </row>
        <row r="1887">
          <cell r="A1887" t="str">
            <v>10976E2E</v>
          </cell>
          <cell r="B1887" t="str">
            <v>MKP000631002486</v>
          </cell>
          <cell r="C1887" t="str">
            <v/>
          </cell>
          <cell r="D1887" t="str">
            <v>Guarda-Roupa Solteiro Madesa Tokio 2 Portas de Correr de Espelho 2 Gavetas Rustic/Branco</v>
          </cell>
          <cell r="E1887" t="str">
            <v>TOKIO</v>
          </cell>
          <cell r="F1887" t="str">
            <v>QUARTO</v>
          </cell>
          <cell r="G1887" t="str">
            <v/>
          </cell>
          <cell r="H1887">
            <v>1369.99</v>
          </cell>
          <cell r="I1887">
            <v>1089.99</v>
          </cell>
          <cell r="J1887">
            <v>869.96169999999995</v>
          </cell>
          <cell r="K1887">
            <v>0</v>
          </cell>
          <cell r="L1887">
            <v>869.96169999999995</v>
          </cell>
          <cell r="M1887">
            <v>0</v>
          </cell>
          <cell r="N1887">
            <v>1089.99</v>
          </cell>
          <cell r="O1887" t="str">
            <v/>
          </cell>
          <cell r="P1887">
            <v>0</v>
          </cell>
          <cell r="Q1887">
            <v>0.25291722612616202</v>
          </cell>
          <cell r="R1887">
            <v>0.25291722612616202</v>
          </cell>
          <cell r="S1887" t="e">
            <v>#VALUE!</v>
          </cell>
          <cell r="T1887" t="e">
            <v>#VALUE!</v>
          </cell>
        </row>
        <row r="1888">
          <cell r="A1888" t="str">
            <v>G222005ZPR</v>
          </cell>
          <cell r="B1888" t="str">
            <v>MKP000631002710</v>
          </cell>
          <cell r="C1888" t="str">
            <v/>
          </cell>
          <cell r="D1888" t="str">
            <v>Balcão Porta-Pano Madesa para Cozinhas Lux, Glamy e Stella 20 x 60 cm (Sem Tampo) Rustic</v>
          </cell>
          <cell r="E1888" t="str">
            <v>PR</v>
          </cell>
          <cell r="F1888" t="str">
            <v>MODULAÇÃO</v>
          </cell>
          <cell r="G1888" t="str">
            <v/>
          </cell>
          <cell r="H1888">
            <v>419.99</v>
          </cell>
          <cell r="I1888">
            <v>239.99</v>
          </cell>
          <cell r="J1888">
            <v>146.33250000000001</v>
          </cell>
          <cell r="K1888">
            <v>0</v>
          </cell>
          <cell r="L1888">
            <v>146.33250000000001</v>
          </cell>
          <cell r="M1888">
            <v>0</v>
          </cell>
          <cell r="N1888">
            <v>239.99</v>
          </cell>
          <cell r="O1888" t="str">
            <v/>
          </cell>
          <cell r="P1888">
            <v>0</v>
          </cell>
          <cell r="Q1888">
            <v>0.64003211863393294</v>
          </cell>
          <cell r="R1888">
            <v>0.64003211863393294</v>
          </cell>
          <cell r="S1888" t="e">
            <v>#VALUE!</v>
          </cell>
          <cell r="T1888" t="e">
            <v>#VALUE!</v>
          </cell>
        </row>
        <row r="1889">
          <cell r="A1889" t="str">
            <v>XA52585Z1B</v>
          </cell>
          <cell r="B1889" t="str">
            <v>MKP000631001761</v>
          </cell>
          <cell r="C1889" t="str">
            <v/>
          </cell>
          <cell r="D1889" t="str">
            <v>Mesa Madesa Retangular para Escritório com Tampo de Madeira 5258B Rustic</v>
          </cell>
          <cell r="E1889" t="str">
            <v>5258B</v>
          </cell>
          <cell r="F1889" t="str">
            <v>ESCRITÓRIO</v>
          </cell>
          <cell r="G1889" t="str">
            <v/>
          </cell>
          <cell r="H1889">
            <v>349.99</v>
          </cell>
          <cell r="I1889">
            <v>249.99</v>
          </cell>
          <cell r="J1889">
            <v>170.93379999999999</v>
          </cell>
          <cell r="K1889">
            <v>0</v>
          </cell>
          <cell r="L1889">
            <v>170.93379999999999</v>
          </cell>
          <cell r="M1889">
            <v>0</v>
          </cell>
          <cell r="N1889">
            <v>249.99</v>
          </cell>
          <cell r="O1889" t="str">
            <v/>
          </cell>
          <cell r="P1889">
            <v>0</v>
          </cell>
          <cell r="Q1889">
            <v>0.462496007226189</v>
          </cell>
          <cell r="R1889">
            <v>0.462496007226189</v>
          </cell>
          <cell r="S1889" t="e">
            <v>#VALUE!</v>
          </cell>
          <cell r="T1889" t="e">
            <v>#VALUE!</v>
          </cell>
        </row>
        <row r="1890">
          <cell r="A1890" t="str">
            <v>10947K4G</v>
          </cell>
          <cell r="B1890" t="str">
            <v>MKP000631002025</v>
          </cell>
          <cell r="C1890" t="str">
            <v/>
          </cell>
          <cell r="D1890" t="str">
            <v>Guarda-Roupa Solteiro Madesa Dallas Plus 2 Portas de Correr 4 Gavetas Rustic/Preto</v>
          </cell>
          <cell r="E1890" t="str">
            <v>DALLAS PLUS</v>
          </cell>
          <cell r="F1890" t="str">
            <v>QUARTO</v>
          </cell>
          <cell r="G1890" t="str">
            <v/>
          </cell>
          <cell r="H1890">
            <v>1069.99</v>
          </cell>
          <cell r="I1890">
            <v>829.99</v>
          </cell>
          <cell r="J1890">
            <v>652.58299999999997</v>
          </cell>
          <cell r="K1890">
            <v>0</v>
          </cell>
          <cell r="L1890">
            <v>652.58299999999997</v>
          </cell>
          <cell r="M1890">
            <v>0</v>
          </cell>
          <cell r="N1890">
            <v>829.99</v>
          </cell>
          <cell r="O1890" t="str">
            <v/>
          </cell>
          <cell r="P1890">
            <v>0</v>
          </cell>
          <cell r="Q1890">
            <v>0.27185354200155398</v>
          </cell>
          <cell r="R1890">
            <v>0.27185354200155398</v>
          </cell>
          <cell r="S1890" t="e">
            <v>#VALUE!</v>
          </cell>
          <cell r="T1890" t="e">
            <v>#VALUE!</v>
          </cell>
        </row>
        <row r="1891">
          <cell r="A1891" t="str">
            <v>G200575Z</v>
          </cell>
          <cell r="B1891" t="str">
            <v>MKP000631000210</v>
          </cell>
          <cell r="C1891" t="str">
            <v/>
          </cell>
          <cell r="D1891" t="str">
            <v>Armário de Cozinha Completa 261cm Rustic Emilly Hit Madesa</v>
          </cell>
          <cell r="E1891" t="str">
            <v>HIT/EMILLY</v>
          </cell>
          <cell r="F1891" t="str">
            <v>COZINHA</v>
          </cell>
          <cell r="G1891" t="str">
            <v/>
          </cell>
          <cell r="H1891">
            <v>1659.99</v>
          </cell>
          <cell r="I1891">
            <v>1119.99</v>
          </cell>
          <cell r="J1891">
            <v>834.34050000000002</v>
          </cell>
          <cell r="K1891">
            <v>0</v>
          </cell>
          <cell r="L1891">
            <v>834.34050000000002</v>
          </cell>
          <cell r="M1891">
            <v>0</v>
          </cell>
          <cell r="N1891">
            <v>1119.99</v>
          </cell>
          <cell r="O1891" t="str">
            <v>CARREFOUR</v>
          </cell>
          <cell r="P1891">
            <v>999.99</v>
          </cell>
          <cell r="Q1891">
            <v>0.34236561691539602</v>
          </cell>
          <cell r="R1891">
            <v>0.34236561691539602</v>
          </cell>
          <cell r="S1891" t="e">
            <v>#VALUE!</v>
          </cell>
          <cell r="T1891" t="e">
            <v>#VALUE!</v>
          </cell>
        </row>
        <row r="1892">
          <cell r="A1892" t="str">
            <v>GRAG2700035L</v>
          </cell>
          <cell r="B1892" t="str">
            <v>MKP000631005427</v>
          </cell>
          <cell r="C1892" t="str">
            <v/>
          </cell>
          <cell r="D1892" t="str">
            <v>Armário de Cozinha Completa 270cm Branco/Crema Agata Madesa 03</v>
          </cell>
          <cell r="E1892" t="str">
            <v>ÁGATA</v>
          </cell>
          <cell r="F1892" t="str">
            <v>COZINHA</v>
          </cell>
          <cell r="G1892" t="str">
            <v/>
          </cell>
          <cell r="H1892">
            <v>2139.9899999999998</v>
          </cell>
          <cell r="I1892">
            <v>2139.9899999999998</v>
          </cell>
          <cell r="J1892">
            <v>1695.8765000000001</v>
          </cell>
          <cell r="K1892">
            <v>0</v>
          </cell>
          <cell r="L1892">
            <v>1695.8765000000001</v>
          </cell>
          <cell r="M1892">
            <v>0</v>
          </cell>
          <cell r="N1892">
            <v>2139.9899999999998</v>
          </cell>
          <cell r="O1892" t="str">
            <v/>
          </cell>
          <cell r="P1892">
            <v>0</v>
          </cell>
          <cell r="Q1892">
            <v>0.26187844456833997</v>
          </cell>
          <cell r="R1892">
            <v>0.26187844456833997</v>
          </cell>
          <cell r="S1892" t="e">
            <v>#VALUE!</v>
          </cell>
          <cell r="T1892" t="e">
            <v>#VALUE!</v>
          </cell>
        </row>
        <row r="1893">
          <cell r="A1893" t="str">
            <v>GRTP0600019B</v>
          </cell>
          <cell r="B1893" t="str">
            <v>MKP000631001058</v>
          </cell>
          <cell r="C1893" t="str">
            <v/>
          </cell>
          <cell r="D1893" t="str">
            <v>Kit Madesa Topazio 60 cm 2 Portas com Armário Aéreo e Balcão Branco/Rustic</v>
          </cell>
          <cell r="E1893" t="str">
            <v>TOPÁZIO</v>
          </cell>
          <cell r="F1893" t="str">
            <v>MODULAÇÃO</v>
          </cell>
          <cell r="G1893" t="str">
            <v/>
          </cell>
          <cell r="H1893">
            <v>569.99</v>
          </cell>
          <cell r="I1893">
            <v>389.99</v>
          </cell>
          <cell r="J1893">
            <v>252.36770000000001</v>
          </cell>
          <cell r="K1893">
            <v>0</v>
          </cell>
          <cell r="L1893">
            <v>252.36770000000001</v>
          </cell>
          <cell r="M1893">
            <v>0</v>
          </cell>
          <cell r="N1893">
            <v>389.99</v>
          </cell>
          <cell r="O1893" t="str">
            <v/>
          </cell>
          <cell r="P1893">
            <v>0</v>
          </cell>
          <cell r="Q1893">
            <v>0.54532454034331701</v>
          </cell>
          <cell r="R1893">
            <v>0.54532454034331701</v>
          </cell>
          <cell r="S1893" t="e">
            <v>#VALUE!</v>
          </cell>
          <cell r="T1893" t="e">
            <v>#VALUE!</v>
          </cell>
        </row>
        <row r="1894">
          <cell r="A1894" t="str">
            <v>GRTE2400016E</v>
          </cell>
          <cell r="B1894" t="str">
            <v>MKP000631005489</v>
          </cell>
          <cell r="C1894" t="str">
            <v/>
          </cell>
          <cell r="D1894" t="str">
            <v>Armário de Cozinha Compacta 240cm Rustic/Branco Stella Madesa 01</v>
          </cell>
          <cell r="E1894" t="str">
            <v>STELLA</v>
          </cell>
          <cell r="F1894" t="str">
            <v>COZINHA</v>
          </cell>
          <cell r="G1894" t="str">
            <v/>
          </cell>
          <cell r="H1894">
            <v>1299.99</v>
          </cell>
          <cell r="I1894">
            <v>1199.99</v>
          </cell>
          <cell r="J1894">
            <v>990.25409999999999</v>
          </cell>
          <cell r="K1894">
            <v>0</v>
          </cell>
          <cell r="L1894">
            <v>990.25409999999999</v>
          </cell>
          <cell r="M1894">
            <v>0</v>
          </cell>
          <cell r="N1894">
            <v>1199.99</v>
          </cell>
          <cell r="O1894" t="str">
            <v/>
          </cell>
          <cell r="P1894">
            <v>0</v>
          </cell>
          <cell r="Q1894">
            <v>0.21180008242328899</v>
          </cell>
          <cell r="R1894">
            <v>0.21180008242328899</v>
          </cell>
          <cell r="S1894" t="e">
            <v>#VALUE!</v>
          </cell>
          <cell r="T1894" t="e">
            <v>#VALUE!</v>
          </cell>
        </row>
        <row r="1895">
          <cell r="A1895" t="str">
            <v>MDJA040149F9SL</v>
          </cell>
          <cell r="B1895" t="str">
            <v>MKP000631005301</v>
          </cell>
          <cell r="C1895" t="str">
            <v/>
          </cell>
          <cell r="D1895" t="str">
            <v>Conjunto Sala de Jantar Mesa Tampo de Madeira 4 Cadeiras Rustic/Cinza/Silver Ashley Madesa</v>
          </cell>
          <cell r="E1895" t="str">
            <v>ASHLEY</v>
          </cell>
          <cell r="F1895" t="str">
            <v>SALA DE JANTAR</v>
          </cell>
          <cell r="G1895">
            <v>4256</v>
          </cell>
          <cell r="H1895">
            <v>1279.99</v>
          </cell>
          <cell r="I1895">
            <v>1169.99</v>
          </cell>
          <cell r="J1895">
            <v>910.24810000000002</v>
          </cell>
          <cell r="K1895">
            <v>0</v>
          </cell>
          <cell r="L1895">
            <v>910.24810000000002</v>
          </cell>
          <cell r="M1895">
            <v>0</v>
          </cell>
          <cell r="N1895">
            <v>1169.99</v>
          </cell>
          <cell r="O1895" t="str">
            <v>MADEIRAMADEIRA</v>
          </cell>
          <cell r="P1895">
            <v>1159.99</v>
          </cell>
          <cell r="Q1895">
            <v>0.28535286148908201</v>
          </cell>
          <cell r="R1895">
            <v>0.28535286148908201</v>
          </cell>
          <cell r="S1895" t="e">
            <v>#VALUE!</v>
          </cell>
          <cell r="T1895" t="e">
            <v>#VALUE!</v>
          </cell>
        </row>
        <row r="1896">
          <cell r="A1896" t="str">
            <v>MDJA0401715ZSIM</v>
          </cell>
          <cell r="B1896" t="str">
            <v>MKP000631005898</v>
          </cell>
          <cell r="C1896" t="str">
            <v/>
          </cell>
          <cell r="D1896" t="str">
            <v>Conjunto Sala de Jantar Mesa Tampo de Vidro 4 Cadeiras Rustic/Imperial Noemi Madesa</v>
          </cell>
          <cell r="E1896" t="str">
            <v>NOEMI</v>
          </cell>
          <cell r="F1896" t="str">
            <v>SALA DE JANTAR</v>
          </cell>
          <cell r="G1896">
            <v>4256</v>
          </cell>
          <cell r="H1896">
            <v>1159.99</v>
          </cell>
          <cell r="I1896">
            <v>1069.99</v>
          </cell>
          <cell r="J1896">
            <v>833.99170000000004</v>
          </cell>
          <cell r="K1896">
            <v>0</v>
          </cell>
          <cell r="L1896">
            <v>833.99170000000004</v>
          </cell>
          <cell r="M1896">
            <v>0</v>
          </cell>
          <cell r="N1896">
            <v>1069.99</v>
          </cell>
          <cell r="O1896" t="str">
            <v>MADEIRAMADEIRA</v>
          </cell>
          <cell r="P1896">
            <v>1049.99</v>
          </cell>
          <cell r="Q1896">
            <v>0.28297439890588799</v>
          </cell>
          <cell r="R1896">
            <v>0.28297439890588799</v>
          </cell>
          <cell r="S1896" t="e">
            <v>#VALUE!</v>
          </cell>
          <cell r="T1896" t="e">
            <v>#VALUE!</v>
          </cell>
        </row>
        <row r="1897">
          <cell r="A1897" t="str">
            <v>10936E4G</v>
          </cell>
          <cell r="B1897" t="str">
            <v>MKP000631000812</v>
          </cell>
          <cell r="C1897" t="str">
            <v/>
          </cell>
          <cell r="D1897" t="str">
            <v>Guarda-Roupa Casal Madesa Lyon Plus 3 Portas de Correr 4 Gavetas Rustic/Branco</v>
          </cell>
          <cell r="E1897" t="str">
            <v>LYON PLUS</v>
          </cell>
          <cell r="F1897" t="str">
            <v>QUARTO</v>
          </cell>
          <cell r="G1897" t="str">
            <v/>
          </cell>
          <cell r="H1897">
            <v>1319.99</v>
          </cell>
          <cell r="I1897">
            <v>1029.99</v>
          </cell>
          <cell r="J1897">
            <v>798.32690000000002</v>
          </cell>
          <cell r="K1897">
            <v>0</v>
          </cell>
          <cell r="L1897">
            <v>798.32690000000002</v>
          </cell>
          <cell r="M1897">
            <v>0</v>
          </cell>
          <cell r="N1897">
            <v>1029.99</v>
          </cell>
          <cell r="O1897" t="str">
            <v/>
          </cell>
          <cell r="P1897">
            <v>0</v>
          </cell>
          <cell r="Q1897">
            <v>0.29018576224852199</v>
          </cell>
          <cell r="R1897">
            <v>0.29018576224852199</v>
          </cell>
          <cell r="S1897" t="e">
            <v>#VALUE!</v>
          </cell>
          <cell r="T1897" t="e">
            <v>#VALUE!</v>
          </cell>
        </row>
        <row r="1898">
          <cell r="A1898" t="str">
            <v>G2660709AG</v>
          </cell>
          <cell r="B1898" t="str">
            <v>MKP000631004773</v>
          </cell>
          <cell r="C1898" t="str">
            <v/>
          </cell>
          <cell r="D1898" t="str">
            <v>Paneleiro Madesa Agata 60 cm 3 Portas Branco</v>
          </cell>
          <cell r="E1898" t="str">
            <v>ÁGATA</v>
          </cell>
          <cell r="F1898" t="str">
            <v>MODULAÇÃO</v>
          </cell>
          <cell r="G1898" t="str">
            <v/>
          </cell>
          <cell r="H1898">
            <v>939.99</v>
          </cell>
          <cell r="I1898">
            <v>829.99</v>
          </cell>
          <cell r="J1898">
            <v>513.92409999999995</v>
          </cell>
          <cell r="K1898">
            <v>0</v>
          </cell>
          <cell r="L1898">
            <v>513.92409999999995</v>
          </cell>
          <cell r="M1898">
            <v>0</v>
          </cell>
          <cell r="N1898">
            <v>829.99</v>
          </cell>
          <cell r="O1898" t="str">
            <v/>
          </cell>
          <cell r="P1898">
            <v>0</v>
          </cell>
          <cell r="Q1898">
            <v>0.61500501727784296</v>
          </cell>
          <cell r="R1898">
            <v>0.61500501727784296</v>
          </cell>
          <cell r="S1898" t="e">
            <v>#VALUE!</v>
          </cell>
          <cell r="T1898" t="e">
            <v>#VALUE!</v>
          </cell>
        </row>
        <row r="1899">
          <cell r="A1899" t="str">
            <v>G247506ETE</v>
          </cell>
          <cell r="B1899" t="str">
            <v>MKP000631002151</v>
          </cell>
          <cell r="C1899" t="str">
            <v/>
          </cell>
          <cell r="D1899" t="str">
            <v>Balcão de Canto Madesa Stella 1 Porta Rustic/Branco</v>
          </cell>
          <cell r="E1899" t="str">
            <v>STELLA</v>
          </cell>
          <cell r="F1899" t="str">
            <v>MODULAÇÃO</v>
          </cell>
          <cell r="G1899" t="str">
            <v/>
          </cell>
          <cell r="H1899">
            <v>989.99</v>
          </cell>
          <cell r="I1899">
            <v>529.99</v>
          </cell>
          <cell r="J1899">
            <v>318.06200000000001</v>
          </cell>
          <cell r="K1899">
            <v>0</v>
          </cell>
          <cell r="L1899">
            <v>318.06200000000001</v>
          </cell>
          <cell r="M1899">
            <v>0</v>
          </cell>
          <cell r="N1899">
            <v>529.99</v>
          </cell>
          <cell r="O1899" t="str">
            <v/>
          </cell>
          <cell r="P1899">
            <v>0</v>
          </cell>
          <cell r="Q1899">
            <v>0.66631034200879102</v>
          </cell>
          <cell r="R1899">
            <v>0.66631034200879102</v>
          </cell>
          <cell r="S1899" t="e">
            <v>#VALUE!</v>
          </cell>
          <cell r="T1899" t="e">
            <v>#VALUE!</v>
          </cell>
        </row>
        <row r="1900">
          <cell r="A1900" t="str">
            <v>10949B1E4G</v>
          </cell>
          <cell r="B1900" t="str">
            <v>MKP000631000769</v>
          </cell>
          <cell r="C1900" t="str">
            <v/>
          </cell>
          <cell r="D1900" t="str">
            <v>Guarda-Roupa Solteiro Madesa Dallas Plus 2 Portas de Correr com Espelho 4 Gavetas Branco/Rustic</v>
          </cell>
          <cell r="E1900" t="str">
            <v>DALLAS PLUS</v>
          </cell>
          <cell r="F1900" t="str">
            <v>QUARTO</v>
          </cell>
          <cell r="G1900" t="str">
            <v/>
          </cell>
          <cell r="H1900">
            <v>1259.99</v>
          </cell>
          <cell r="I1900">
            <v>969.99</v>
          </cell>
          <cell r="J1900">
            <v>782.51099999999997</v>
          </cell>
          <cell r="K1900">
            <v>0</v>
          </cell>
          <cell r="L1900">
            <v>782.51099999999997</v>
          </cell>
          <cell r="M1900">
            <v>0</v>
          </cell>
          <cell r="N1900">
            <v>969.99</v>
          </cell>
          <cell r="O1900" t="str">
            <v/>
          </cell>
          <cell r="P1900">
            <v>0</v>
          </cell>
          <cell r="Q1900">
            <v>0.23958640836997799</v>
          </cell>
          <cell r="R1900">
            <v>0.23958640836997799</v>
          </cell>
          <cell r="S1900" t="e">
            <v>#VALUE!</v>
          </cell>
          <cell r="T1900" t="e">
            <v>#VALUE!</v>
          </cell>
        </row>
        <row r="1901">
          <cell r="A1901" t="str">
            <v>XA106309CP</v>
          </cell>
          <cell r="B1901" t="str">
            <v>MKP000631001468</v>
          </cell>
          <cell r="C1901" t="str">
            <v/>
          </cell>
          <cell r="D1901" t="str">
            <v>Guarda-Roupa Infantil Madesa Logan 100% MDF 3 Portas de Correr com Pés Branco</v>
          </cell>
          <cell r="E1901" t="str">
            <v>LOGAN</v>
          </cell>
          <cell r="F1901" t="str">
            <v>QUARTO</v>
          </cell>
          <cell r="G1901" t="str">
            <v/>
          </cell>
          <cell r="H1901">
            <v>2589.9899999999998</v>
          </cell>
          <cell r="I1901">
            <v>1969.99</v>
          </cell>
          <cell r="J1901">
            <v>1597.5367000000001</v>
          </cell>
          <cell r="K1901">
            <v>0</v>
          </cell>
          <cell r="L1901">
            <v>1597.5367000000001</v>
          </cell>
          <cell r="M1901">
            <v>0</v>
          </cell>
          <cell r="N1901">
            <v>1969.99</v>
          </cell>
          <cell r="O1901" t="str">
            <v/>
          </cell>
          <cell r="P1901">
            <v>0</v>
          </cell>
          <cell r="Q1901">
            <v>0.23314224956459501</v>
          </cell>
          <cell r="R1901">
            <v>0.23314224956459501</v>
          </cell>
          <cell r="S1901" t="e">
            <v>#VALUE!</v>
          </cell>
          <cell r="T1901" t="e">
            <v>#VALUE!</v>
          </cell>
        </row>
        <row r="1902">
          <cell r="A1902" t="str">
            <v>1094771E2G</v>
          </cell>
          <cell r="B1902" t="str">
            <v>MKP000631002019</v>
          </cell>
          <cell r="C1902" t="str">
            <v/>
          </cell>
          <cell r="D1902" t="str">
            <v>Guarda-Roupa Solteiro Madesa Dallas 2 Portas de Correr com Espelho 2 Gavetas Preto/Branco</v>
          </cell>
          <cell r="E1902" t="str">
            <v>DALLAS</v>
          </cell>
          <cell r="F1902" t="str">
            <v>QUARTO</v>
          </cell>
          <cell r="G1902" t="str">
            <v/>
          </cell>
          <cell r="H1902">
            <v>1169.99</v>
          </cell>
          <cell r="I1902">
            <v>869.99</v>
          </cell>
          <cell r="J1902">
            <v>693.77409999999998</v>
          </cell>
          <cell r="K1902">
            <v>0</v>
          </cell>
          <cell r="L1902">
            <v>693.77409999999998</v>
          </cell>
          <cell r="M1902">
            <v>0</v>
          </cell>
          <cell r="N1902">
            <v>869.99</v>
          </cell>
          <cell r="O1902" t="str">
            <v/>
          </cell>
          <cell r="P1902">
            <v>0</v>
          </cell>
          <cell r="Q1902">
            <v>0.253996077397527</v>
          </cell>
          <cell r="R1902">
            <v>0.253996077397527</v>
          </cell>
          <cell r="S1902" t="e">
            <v>#VALUE!</v>
          </cell>
          <cell r="T1902" t="e">
            <v>#VALUE!</v>
          </cell>
        </row>
        <row r="1903">
          <cell r="A1903" t="str">
            <v>G241206EGL</v>
          </cell>
          <cell r="B1903" t="str">
            <v>MKP000631000554</v>
          </cell>
          <cell r="C1903" t="str">
            <v/>
          </cell>
          <cell r="D1903" t="str">
            <v>Balcão Gabinete de Pia Madesa Glamy 120 cm 2 Portas (Sem Tampo e Pia) Rustic/Branco</v>
          </cell>
          <cell r="E1903" t="str">
            <v>GLAMY</v>
          </cell>
          <cell r="F1903" t="str">
            <v>MODULAÇÃO</v>
          </cell>
          <cell r="G1903" t="str">
            <v/>
          </cell>
          <cell r="H1903">
            <v>949.99</v>
          </cell>
          <cell r="I1903">
            <v>499.99</v>
          </cell>
          <cell r="J1903">
            <v>377.00920000000002</v>
          </cell>
          <cell r="K1903">
            <v>0</v>
          </cell>
          <cell r="L1903">
            <v>377.00920000000002</v>
          </cell>
          <cell r="M1903">
            <v>0</v>
          </cell>
          <cell r="N1903">
            <v>499.99</v>
          </cell>
          <cell r="O1903" t="str">
            <v/>
          </cell>
          <cell r="P1903">
            <v>0</v>
          </cell>
          <cell r="Q1903">
            <v>0.32620105822351297</v>
          </cell>
          <cell r="R1903">
            <v>0.32620105822351297</v>
          </cell>
          <cell r="S1903" t="e">
            <v>#VALUE!</v>
          </cell>
          <cell r="T1903" t="e">
            <v>#VALUE!</v>
          </cell>
        </row>
        <row r="1904">
          <cell r="A1904" t="str">
            <v>GRGM33000209</v>
          </cell>
          <cell r="B1904" t="str">
            <v>MKP000631000204</v>
          </cell>
          <cell r="C1904" t="str">
            <v/>
          </cell>
          <cell r="D1904" t="str">
            <v>Armário de Cozinha Completa 100% MDF 330cm Frentes Branco Brilho Acordes Madesa 02</v>
          </cell>
          <cell r="E1904" t="str">
            <v>ACORDES</v>
          </cell>
          <cell r="F1904" t="str">
            <v>COZINHA</v>
          </cell>
          <cell r="G1904" t="str">
            <v/>
          </cell>
          <cell r="H1904">
            <v>3899.99</v>
          </cell>
          <cell r="I1904">
            <v>2619.9899999999998</v>
          </cell>
          <cell r="J1904">
            <v>1903.4452000000001</v>
          </cell>
          <cell r="K1904">
            <v>0</v>
          </cell>
          <cell r="L1904">
            <v>1903.4452000000001</v>
          </cell>
          <cell r="M1904">
            <v>0</v>
          </cell>
          <cell r="N1904">
            <v>2619.9899999999998</v>
          </cell>
          <cell r="O1904" t="str">
            <v/>
          </cell>
          <cell r="P1904">
            <v>0</v>
          </cell>
          <cell r="Q1904">
            <v>0.37644624599646997</v>
          </cell>
          <cell r="R1904">
            <v>0.37644624599646997</v>
          </cell>
          <cell r="S1904" t="e">
            <v>#VALUE!</v>
          </cell>
          <cell r="T1904" t="e">
            <v>#VALUE!</v>
          </cell>
        </row>
        <row r="1905">
          <cell r="A1905" t="str">
            <v>G254029NLX</v>
          </cell>
          <cell r="B1905" t="str">
            <v>MKP000631002698</v>
          </cell>
          <cell r="C1905" t="str">
            <v/>
          </cell>
          <cell r="D1905" t="str">
            <v>Armário Aéreo Madesa Lux 40 x 83 cm 1 Porta Rustic/Cinza</v>
          </cell>
          <cell r="E1905" t="str">
            <v>LUX</v>
          </cell>
          <cell r="F1905" t="str">
            <v>MODULAÇÃO</v>
          </cell>
          <cell r="G1905" t="str">
            <v/>
          </cell>
          <cell r="H1905">
            <v>609.99</v>
          </cell>
          <cell r="I1905">
            <v>489.99</v>
          </cell>
          <cell r="J1905">
            <v>286.779</v>
          </cell>
          <cell r="K1905">
            <v>0</v>
          </cell>
          <cell r="L1905">
            <v>286.779</v>
          </cell>
          <cell r="M1905">
            <v>0</v>
          </cell>
          <cell r="N1905">
            <v>489.99</v>
          </cell>
          <cell r="O1905" t="str">
            <v>LOJA</v>
          </cell>
          <cell r="P1905">
            <v>479.99</v>
          </cell>
          <cell r="Q1905">
            <v>0.708597909888799</v>
          </cell>
          <cell r="R1905">
            <v>0.708597909888799</v>
          </cell>
          <cell r="S1905" t="e">
            <v>#VALUE!</v>
          </cell>
          <cell r="T1905" t="e">
            <v>#VALUE!</v>
          </cell>
        </row>
        <row r="1906">
          <cell r="A1906" t="str">
            <v>GRGL1900039Y</v>
          </cell>
          <cell r="B1906" t="str">
            <v>MKP000631000533</v>
          </cell>
          <cell r="C1906" t="str">
            <v/>
          </cell>
          <cell r="D1906" t="str">
            <v>Armário de Cozinha Compacta 190cm Rustic/Rustic/Crema Helen Madesa 02</v>
          </cell>
          <cell r="E1906" t="str">
            <v>HELEN/GLAMY</v>
          </cell>
          <cell r="F1906" t="str">
            <v>COZINHA</v>
          </cell>
          <cell r="G1906" t="str">
            <v/>
          </cell>
          <cell r="H1906">
            <v>1699.99</v>
          </cell>
          <cell r="I1906">
            <v>1599.99</v>
          </cell>
          <cell r="J1906">
            <v>1329.3422</v>
          </cell>
          <cell r="K1906">
            <v>0</v>
          </cell>
          <cell r="L1906">
            <v>1329.3422</v>
          </cell>
          <cell r="M1906">
            <v>0</v>
          </cell>
          <cell r="N1906">
            <v>1599.99</v>
          </cell>
          <cell r="O1906" t="str">
            <v/>
          </cell>
          <cell r="P1906">
            <v>0</v>
          </cell>
          <cell r="Q1906">
            <v>0.20359528193718701</v>
          </cell>
          <cell r="R1906">
            <v>0.20359528193718701</v>
          </cell>
          <cell r="S1906" t="e">
            <v>#VALUE!</v>
          </cell>
          <cell r="T1906" t="e">
            <v>#VALUE!</v>
          </cell>
        </row>
        <row r="1907">
          <cell r="A1907" t="str">
            <v>1093D81E4G</v>
          </cell>
          <cell r="B1907" t="str">
            <v>MKP000631002295</v>
          </cell>
          <cell r="C1907" t="str">
            <v/>
          </cell>
          <cell r="D1907" t="str">
            <v>Guarda-Roupa Casal Madesa Lyon Plus 3 Portas de Correr com Espelho 4 Gavetas Preto/Rustic</v>
          </cell>
          <cell r="E1907" t="str">
            <v>LYON PLUS</v>
          </cell>
          <cell r="F1907" t="str">
            <v>QUARTO</v>
          </cell>
          <cell r="G1907" t="str">
            <v/>
          </cell>
          <cell r="H1907">
            <v>1509.99</v>
          </cell>
          <cell r="I1907">
            <v>1169.99</v>
          </cell>
          <cell r="J1907">
            <v>928.25490000000002</v>
          </cell>
          <cell r="K1907">
            <v>0</v>
          </cell>
          <cell r="L1907">
            <v>928.25490000000002</v>
          </cell>
          <cell r="M1907">
            <v>0</v>
          </cell>
          <cell r="N1907">
            <v>1169.99</v>
          </cell>
          <cell r="O1907" t="str">
            <v/>
          </cell>
          <cell r="P1907">
            <v>0</v>
          </cell>
          <cell r="Q1907">
            <v>0.26041887847831402</v>
          </cell>
          <cell r="R1907">
            <v>0.26041887847831402</v>
          </cell>
          <cell r="S1907" t="e">
            <v>#VALUE!</v>
          </cell>
          <cell r="T1907" t="e">
            <v>#VALUE!</v>
          </cell>
        </row>
        <row r="1908">
          <cell r="A1908" t="str">
            <v>10936E1E4GCP</v>
          </cell>
          <cell r="B1908" t="str">
            <v>MKP000631001120</v>
          </cell>
          <cell r="C1908" t="str">
            <v/>
          </cell>
          <cell r="D1908" t="str">
            <v>Guarda-Roupa Casal Madesa Lyon Plus 3 Portas de Correr com Espelho 4 Gavetas com Pés Rustic/Branco</v>
          </cell>
          <cell r="E1908" t="str">
            <v>LYON PLUS</v>
          </cell>
          <cell r="F1908" t="str">
            <v>QUARTO</v>
          </cell>
          <cell r="G1908" t="str">
            <v/>
          </cell>
          <cell r="H1908">
            <v>1539.99</v>
          </cell>
          <cell r="I1908">
            <v>1239.99</v>
          </cell>
          <cell r="J1908">
            <v>974.43820000000005</v>
          </cell>
          <cell r="K1908">
            <v>0</v>
          </cell>
          <cell r="L1908">
            <v>974.43820000000005</v>
          </cell>
          <cell r="M1908">
            <v>0</v>
          </cell>
          <cell r="N1908">
            <v>1239.99</v>
          </cell>
          <cell r="O1908" t="str">
            <v/>
          </cell>
          <cell r="P1908">
            <v>0</v>
          </cell>
          <cell r="Q1908">
            <v>0.27251784669361301</v>
          </cell>
          <cell r="R1908">
            <v>0.27251784669361301</v>
          </cell>
          <cell r="S1908" t="e">
            <v>#VALUE!</v>
          </cell>
          <cell r="T1908" t="e">
            <v>#VALUE!</v>
          </cell>
        </row>
        <row r="1909">
          <cell r="A1909" t="str">
            <v>GCGL4790016E</v>
          </cell>
          <cell r="B1909" t="str">
            <v>MKP000631004594</v>
          </cell>
          <cell r="C1909" t="str">
            <v/>
          </cell>
          <cell r="D1909" t="str">
            <v>Armário de Cozinha Completa de Canto 479cm Rustic Branco Glamy Madesa 01</v>
          </cell>
          <cell r="E1909" t="str">
            <v>GLAMY</v>
          </cell>
          <cell r="F1909" t="str">
            <v>COZINHA</v>
          </cell>
          <cell r="G1909" t="str">
            <v/>
          </cell>
          <cell r="H1909">
            <v>3799.99</v>
          </cell>
          <cell r="I1909">
            <v>3699.99</v>
          </cell>
          <cell r="J1909">
            <v>3004.9774000000002</v>
          </cell>
          <cell r="K1909">
            <v>0</v>
          </cell>
          <cell r="L1909">
            <v>3004.9774000000002</v>
          </cell>
          <cell r="M1909">
            <v>0</v>
          </cell>
          <cell r="N1909">
            <v>3699.99</v>
          </cell>
          <cell r="O1909" t="str">
            <v/>
          </cell>
          <cell r="P1909">
            <v>0</v>
          </cell>
          <cell r="Q1909">
            <v>0.231287130478918</v>
          </cell>
          <cell r="R1909">
            <v>0.231287130478918</v>
          </cell>
          <cell r="S1909" t="e">
            <v>#VALUE!</v>
          </cell>
          <cell r="T1909" t="e">
            <v>#VALUE!</v>
          </cell>
        </row>
        <row r="1910">
          <cell r="A1910" t="str">
            <v>10639B2ECP</v>
          </cell>
          <cell r="B1910" t="str">
            <v>MKP000631001188</v>
          </cell>
          <cell r="C1910" t="str">
            <v/>
          </cell>
          <cell r="D1910" t="str">
            <v>Guarda-Roupa Casal 100% MDF Madesa Royale 3 Portas de Correr com Espelhos com Pés Branco/Rustic</v>
          </cell>
          <cell r="E1910" t="str">
            <v>ROYALE</v>
          </cell>
          <cell r="F1910" t="str">
            <v>QUARTO</v>
          </cell>
          <cell r="G1910" t="str">
            <v/>
          </cell>
          <cell r="H1910">
            <v>3349.99</v>
          </cell>
          <cell r="I1910">
            <v>2559.9899999999998</v>
          </cell>
          <cell r="J1910">
            <v>2080.0578999999998</v>
          </cell>
          <cell r="K1910">
            <v>0</v>
          </cell>
          <cell r="L1910">
            <v>2080.0578999999998</v>
          </cell>
          <cell r="M1910">
            <v>0</v>
          </cell>
          <cell r="N1910">
            <v>2559.9899999999998</v>
          </cell>
          <cell r="O1910" t="str">
            <v/>
          </cell>
          <cell r="P1910">
            <v>0</v>
          </cell>
          <cell r="Q1910">
            <v>0.23073016380938199</v>
          </cell>
          <cell r="R1910">
            <v>0.23073016380938199</v>
          </cell>
          <cell r="S1910" t="e">
            <v>#VALUE!</v>
          </cell>
          <cell r="T1910" t="e">
            <v>#VALUE!</v>
          </cell>
        </row>
        <row r="1911">
          <cell r="A1911" t="str">
            <v>G241246ETE</v>
          </cell>
          <cell r="B1911" t="str">
            <v>MKP000631002154</v>
          </cell>
          <cell r="C1911" t="str">
            <v/>
          </cell>
          <cell r="D1911" t="str">
            <v>Balcão Gabinete de Pia Madesa Stella 2 Portas e 3 Gavetas (Sem Tampo e Pia) Rustic/Branco</v>
          </cell>
          <cell r="E1911" t="str">
            <v>STELLA</v>
          </cell>
          <cell r="F1911" t="str">
            <v>MODULAÇÃO</v>
          </cell>
          <cell r="G1911" t="str">
            <v/>
          </cell>
          <cell r="H1911">
            <v>1239.99</v>
          </cell>
          <cell r="I1911">
            <v>719.99</v>
          </cell>
          <cell r="J1911">
            <v>553.34939999999995</v>
          </cell>
          <cell r="K1911">
            <v>0</v>
          </cell>
          <cell r="L1911">
            <v>553.34939999999995</v>
          </cell>
          <cell r="M1911">
            <v>0</v>
          </cell>
          <cell r="N1911">
            <v>719.99</v>
          </cell>
          <cell r="O1911" t="str">
            <v/>
          </cell>
          <cell r="P1911">
            <v>0</v>
          </cell>
          <cell r="Q1911">
            <v>0.30114896663843799</v>
          </cell>
          <cell r="R1911">
            <v>0.30114896663843799</v>
          </cell>
          <cell r="S1911" t="e">
            <v>#VALUE!</v>
          </cell>
          <cell r="T1911" t="e">
            <v>#VALUE!</v>
          </cell>
        </row>
        <row r="1912">
          <cell r="A1912" t="str">
            <v>G20027F9</v>
          </cell>
          <cell r="B1912" t="str">
            <v>MKP000631005582</v>
          </cell>
          <cell r="C1912" t="str">
            <v/>
          </cell>
          <cell r="D1912" t="str">
            <v>Armário de Cozinha Compacta 120cm Rustic/Cinza Life Madesa</v>
          </cell>
          <cell r="E1912" t="str">
            <v>LIFE</v>
          </cell>
          <cell r="F1912" t="str">
            <v>COZINHA</v>
          </cell>
          <cell r="G1912" t="str">
            <v/>
          </cell>
          <cell r="H1912">
            <v>469.99</v>
          </cell>
          <cell r="I1912">
            <v>469.99</v>
          </cell>
          <cell r="J1912">
            <v>338.08530000000002</v>
          </cell>
          <cell r="K1912">
            <v>0</v>
          </cell>
          <cell r="L1912">
            <v>338.08530000000002</v>
          </cell>
          <cell r="M1912">
            <v>0</v>
          </cell>
          <cell r="N1912">
            <v>469.99</v>
          </cell>
          <cell r="O1912" t="str">
            <v>MELI</v>
          </cell>
          <cell r="P1912">
            <v>533.33000000000004</v>
          </cell>
          <cell r="Q1912">
            <v>0.39015213024641998</v>
          </cell>
          <cell r="R1912">
            <v>0.39015213024641998</v>
          </cell>
          <cell r="S1912" t="e">
            <v>#VALUE!</v>
          </cell>
          <cell r="T1912" t="e">
            <v>#VALUE!</v>
          </cell>
        </row>
        <row r="1913">
          <cell r="A1913" t="str">
            <v>GRLX2600087K</v>
          </cell>
          <cell r="B1913" t="str">
            <v>MKP000631004853</v>
          </cell>
          <cell r="C1913" t="str">
            <v/>
          </cell>
          <cell r="D1913" t="str">
            <v>Armário de Cozinha Completa 260cm Rustic/Preto Lux Madesa 08</v>
          </cell>
          <cell r="E1913" t="str">
            <v>LUX</v>
          </cell>
          <cell r="F1913" t="str">
            <v>COZINHA</v>
          </cell>
          <cell r="G1913" t="str">
            <v/>
          </cell>
          <cell r="H1913">
            <v>4839.99</v>
          </cell>
          <cell r="I1913">
            <v>4769.99</v>
          </cell>
          <cell r="J1913">
            <v>3061.5374999999999</v>
          </cell>
          <cell r="K1913">
            <v>0</v>
          </cell>
          <cell r="L1913">
            <v>3061.5374999999999</v>
          </cell>
          <cell r="M1913">
            <v>0</v>
          </cell>
          <cell r="N1913">
            <v>4769.99</v>
          </cell>
          <cell r="O1913" t="str">
            <v>LOJA</v>
          </cell>
          <cell r="P1913">
            <v>4189.99</v>
          </cell>
          <cell r="Q1913">
            <v>0.55803742400672796</v>
          </cell>
          <cell r="R1913">
            <v>0.55803742400672796</v>
          </cell>
          <cell r="S1913" t="e">
            <v>#VALUE!</v>
          </cell>
          <cell r="T1913" t="e">
            <v>#VALUE!</v>
          </cell>
        </row>
        <row r="1914">
          <cell r="A1914" t="str">
            <v>G26607F8AG</v>
          </cell>
          <cell r="B1914" t="str">
            <v>MKP000631002653</v>
          </cell>
          <cell r="C1914" t="str">
            <v/>
          </cell>
          <cell r="D1914" t="str">
            <v>Paneleiro Madesa Agata 60 cm 3 Portas Branco/Cinza</v>
          </cell>
          <cell r="E1914" t="str">
            <v>ÁGATA</v>
          </cell>
          <cell r="F1914" t="str">
            <v>MODULAÇÃO</v>
          </cell>
          <cell r="G1914" t="str">
            <v/>
          </cell>
          <cell r="H1914">
            <v>1229.99</v>
          </cell>
          <cell r="I1914">
            <v>829.99</v>
          </cell>
          <cell r="J1914">
            <v>513.92409999999995</v>
          </cell>
          <cell r="K1914">
            <v>0</v>
          </cell>
          <cell r="L1914">
            <v>513.92409999999995</v>
          </cell>
          <cell r="M1914">
            <v>0</v>
          </cell>
          <cell r="N1914">
            <v>829.99</v>
          </cell>
          <cell r="O1914" t="str">
            <v/>
          </cell>
          <cell r="P1914">
            <v>0</v>
          </cell>
          <cell r="Q1914">
            <v>0.61500501727784296</v>
          </cell>
          <cell r="R1914">
            <v>0.61500501727784296</v>
          </cell>
          <cell r="S1914" t="e">
            <v>#VALUE!</v>
          </cell>
          <cell r="T1914" t="e">
            <v>#VALUE!</v>
          </cell>
        </row>
        <row r="1915">
          <cell r="A1915" t="str">
            <v>G241235ZGL</v>
          </cell>
          <cell r="B1915" t="str">
            <v>MKP000631000009</v>
          </cell>
          <cell r="C1915" t="str">
            <v/>
          </cell>
          <cell r="D1915" t="str">
            <v>Balcão Gabinete de Pia Madesa Glamy 120 cm 1 Porta 2 Gavetas (Sem Tampo e Pia) Rustic</v>
          </cell>
          <cell r="E1915" t="str">
            <v>GLAMY</v>
          </cell>
          <cell r="F1915" t="str">
            <v>MODULAÇÃO</v>
          </cell>
          <cell r="G1915" t="str">
            <v/>
          </cell>
          <cell r="H1915">
            <v>1149.99</v>
          </cell>
          <cell r="I1915">
            <v>579.99</v>
          </cell>
          <cell r="J1915">
            <v>447.5976</v>
          </cell>
          <cell r="K1915">
            <v>0</v>
          </cell>
          <cell r="L1915">
            <v>447.5976</v>
          </cell>
          <cell r="M1915">
            <v>0</v>
          </cell>
          <cell r="N1915">
            <v>579.99</v>
          </cell>
          <cell r="O1915" t="str">
            <v/>
          </cell>
          <cell r="P1915">
            <v>0</v>
          </cell>
          <cell r="Q1915">
            <v>0.29578442779853997</v>
          </cell>
          <cell r="R1915">
            <v>0.29578442779853997</v>
          </cell>
          <cell r="S1915" t="e">
            <v>#VALUE!</v>
          </cell>
          <cell r="T1915" t="e">
            <v>#VALUE!</v>
          </cell>
        </row>
        <row r="1916">
          <cell r="A1916" t="str">
            <v>GRRM2700028N</v>
          </cell>
          <cell r="B1916" t="str">
            <v>MKP000631003405</v>
          </cell>
          <cell r="C1916" t="str">
            <v/>
          </cell>
          <cell r="D1916" t="str">
            <v>Armário de Cozinha Completa 270cm Preto Reims Madesa 02</v>
          </cell>
          <cell r="E1916" t="str">
            <v>REIMS</v>
          </cell>
          <cell r="F1916" t="str">
            <v>COZINHA</v>
          </cell>
          <cell r="G1916" t="str">
            <v/>
          </cell>
          <cell r="H1916">
            <v>2819.99</v>
          </cell>
          <cell r="I1916">
            <v>1829.99</v>
          </cell>
          <cell r="J1916">
            <v>1597.6784</v>
          </cell>
          <cell r="K1916">
            <v>0</v>
          </cell>
          <cell r="L1916">
            <v>1597.6784</v>
          </cell>
          <cell r="M1916">
            <v>0</v>
          </cell>
          <cell r="N1916">
            <v>1829.99</v>
          </cell>
          <cell r="O1916" t="str">
            <v/>
          </cell>
          <cell r="P1916">
            <v>0</v>
          </cell>
          <cell r="Q1916">
            <v>0.14540573371962701</v>
          </cell>
          <cell r="R1916">
            <v>0.14540573371962701</v>
          </cell>
          <cell r="S1916" t="e">
            <v>#VALUE!</v>
          </cell>
          <cell r="T1916" t="e">
            <v>#VALUE!</v>
          </cell>
        </row>
        <row r="1917">
          <cell r="A1917" t="str">
            <v>GRGL1200037K</v>
          </cell>
          <cell r="B1917" t="str">
            <v>MKP000631004230</v>
          </cell>
          <cell r="C1917" t="str">
            <v/>
          </cell>
          <cell r="D1917" t="str">
            <v>Armário de Cozinha Compacta 120cm Rustic/Preto Glamy Madesa 03</v>
          </cell>
          <cell r="E1917" t="str">
            <v>GLAMY</v>
          </cell>
          <cell r="F1917" t="str">
            <v>COZINHA</v>
          </cell>
          <cell r="G1917" t="str">
            <v/>
          </cell>
          <cell r="H1917">
            <v>1139.99</v>
          </cell>
          <cell r="I1917">
            <v>1039.99</v>
          </cell>
          <cell r="J1917">
            <v>886.81309999999996</v>
          </cell>
          <cell r="K1917">
            <v>0</v>
          </cell>
          <cell r="L1917">
            <v>886.81309999999996</v>
          </cell>
          <cell r="M1917">
            <v>0</v>
          </cell>
          <cell r="N1917">
            <v>1039.99</v>
          </cell>
          <cell r="O1917" t="str">
            <v/>
          </cell>
          <cell r="P1917">
            <v>0</v>
          </cell>
          <cell r="Q1917">
            <v>0.17272737626451401</v>
          </cell>
          <cell r="R1917">
            <v>0.17272737626451401</v>
          </cell>
          <cell r="S1917" t="e">
            <v>#VALUE!</v>
          </cell>
          <cell r="T1917" t="e">
            <v>#VALUE!</v>
          </cell>
        </row>
        <row r="1918">
          <cell r="A1918" t="str">
            <v>MDFC0200140909</v>
          </cell>
          <cell r="B1918" t="str">
            <v>MKP000631002775</v>
          </cell>
          <cell r="C1918" t="str">
            <v/>
          </cell>
          <cell r="D1918" t="str">
            <v>Kit Madesa Estante Livreiro 6908 + Estante Livreiro 6907 Branco</v>
          </cell>
          <cell r="E1918" t="str">
            <v>6908 + 6907</v>
          </cell>
          <cell r="F1918" t="str">
            <v>ESCRITÓRIO</v>
          </cell>
          <cell r="G1918" t="str">
            <v/>
          </cell>
          <cell r="H1918">
            <v>1189.99</v>
          </cell>
          <cell r="I1918">
            <v>599.99</v>
          </cell>
          <cell r="J1918">
            <v>385.53300000000002</v>
          </cell>
          <cell r="K1918">
            <v>0</v>
          </cell>
          <cell r="L1918">
            <v>385.53300000000002</v>
          </cell>
          <cell r="M1918">
            <v>0</v>
          </cell>
          <cell r="N1918">
            <v>599.99</v>
          </cell>
          <cell r="O1918" t="str">
            <v/>
          </cell>
          <cell r="P1918">
            <v>0</v>
          </cell>
          <cell r="Q1918">
            <v>0.55626107233362598</v>
          </cell>
          <cell r="R1918">
            <v>0.55626107233362598</v>
          </cell>
          <cell r="S1918" t="e">
            <v>#VALUE!</v>
          </cell>
          <cell r="T1918" t="e">
            <v>#VALUE!</v>
          </cell>
        </row>
        <row r="1919">
          <cell r="A1919" t="str">
            <v>GRLX3200019N</v>
          </cell>
          <cell r="B1919" t="str">
            <v>MKP000631002722</v>
          </cell>
          <cell r="C1919" t="str">
            <v/>
          </cell>
          <cell r="D1919" t="str">
            <v>Armário de Cozinha Completa 320cm Rustic/Cinza Lux Madesa 01</v>
          </cell>
          <cell r="E1919" t="str">
            <v>LUX</v>
          </cell>
          <cell r="F1919" t="str">
            <v>COZINHA</v>
          </cell>
          <cell r="G1919" t="str">
            <v/>
          </cell>
          <cell r="H1919">
            <v>5729.99</v>
          </cell>
          <cell r="I1919">
            <v>5679.99</v>
          </cell>
          <cell r="J1919">
            <v>3547.3613999999998</v>
          </cell>
          <cell r="K1919">
            <v>0</v>
          </cell>
          <cell r="L1919">
            <v>3547.3613999999998</v>
          </cell>
          <cell r="M1919">
            <v>0</v>
          </cell>
          <cell r="N1919">
            <v>5679.99</v>
          </cell>
          <cell r="O1919" t="str">
            <v>LOJA</v>
          </cell>
          <cell r="P1919">
            <v>4989.99</v>
          </cell>
          <cell r="Q1919">
            <v>0.60118729374458402</v>
          </cell>
          <cell r="R1919">
            <v>0.60118729374458402</v>
          </cell>
          <cell r="S1919" t="e">
            <v>#VALUE!</v>
          </cell>
          <cell r="T1919" t="e">
            <v>#VALUE!</v>
          </cell>
        </row>
        <row r="1920">
          <cell r="A1920" t="str">
            <v>G258049RLX</v>
          </cell>
          <cell r="B1920" t="str">
            <v>MKP000631003234</v>
          </cell>
          <cell r="C1920" t="str">
            <v/>
          </cell>
          <cell r="D1920" t="str">
            <v>Armário Aéreo Madesa Lux 80 cm 1 Porta Basculante Branco/Cinza</v>
          </cell>
          <cell r="E1920" t="str">
            <v>LUX</v>
          </cell>
          <cell r="F1920" t="str">
            <v>MODULAÇÃO</v>
          </cell>
          <cell r="G1920" t="str">
            <v/>
          </cell>
          <cell r="H1920">
            <v>779.99</v>
          </cell>
          <cell r="I1920">
            <v>449.99</v>
          </cell>
          <cell r="J1920">
            <v>259.15839999999997</v>
          </cell>
          <cell r="K1920">
            <v>0</v>
          </cell>
          <cell r="L1920">
            <v>259.15839999999997</v>
          </cell>
          <cell r="M1920">
            <v>0</v>
          </cell>
          <cell r="N1920">
            <v>449.99</v>
          </cell>
          <cell r="O1920" t="str">
            <v>LOJA</v>
          </cell>
          <cell r="P1920">
            <v>439.99</v>
          </cell>
          <cell r="Q1920">
            <v>0.73635120451430502</v>
          </cell>
          <cell r="R1920">
            <v>0.73635120451430502</v>
          </cell>
          <cell r="S1920" t="e">
            <v>#VALUE!</v>
          </cell>
          <cell r="T1920" t="e">
            <v>#VALUE!</v>
          </cell>
        </row>
        <row r="1921">
          <cell r="A1921" t="str">
            <v>G27080F9AG</v>
          </cell>
          <cell r="B1921" t="str">
            <v>MKP000631003163</v>
          </cell>
          <cell r="C1921" t="str">
            <v/>
          </cell>
          <cell r="D1921" t="str">
            <v>Porta-Geladeira Madesa Agata 1 Porta Basculante Rustic/Cinza</v>
          </cell>
          <cell r="E1921" t="str">
            <v>ÁGATA</v>
          </cell>
          <cell r="F1921" t="str">
            <v>MODULAÇÃO</v>
          </cell>
          <cell r="G1921" t="str">
            <v/>
          </cell>
          <cell r="H1921">
            <v>959.99</v>
          </cell>
          <cell r="I1921">
            <v>629.99</v>
          </cell>
          <cell r="J1921">
            <v>353.45429999999999</v>
          </cell>
          <cell r="K1921">
            <v>0</v>
          </cell>
          <cell r="L1921">
            <v>353.45429999999999</v>
          </cell>
          <cell r="M1921">
            <v>0</v>
          </cell>
          <cell r="N1921">
            <v>629.99</v>
          </cell>
          <cell r="O1921" t="str">
            <v/>
          </cell>
          <cell r="P1921">
            <v>0</v>
          </cell>
          <cell r="Q1921">
            <v>0.78238035299047204</v>
          </cell>
          <cell r="R1921">
            <v>0.78238035299047204</v>
          </cell>
          <cell r="S1921" t="e">
            <v>#VALUE!</v>
          </cell>
          <cell r="T1921" t="e">
            <v>#VALUE!</v>
          </cell>
        </row>
        <row r="1922">
          <cell r="A1922" t="str">
            <v>70089B09PP</v>
          </cell>
          <cell r="B1922" t="str">
            <v>MKP000631001666</v>
          </cell>
          <cell r="C1922" t="str">
            <v/>
          </cell>
          <cell r="D1922" t="str">
            <v>Rack para TV até 65 Polegadas Madesa Cancun com Pés Branco/Rustic 9B09</v>
          </cell>
          <cell r="E1922" t="str">
            <v>CANCUN</v>
          </cell>
          <cell r="F1922" t="str">
            <v>SALA DE ESTAR</v>
          </cell>
          <cell r="G1922" t="str">
            <v/>
          </cell>
          <cell r="H1922">
            <v>459.99</v>
          </cell>
          <cell r="I1922">
            <v>359.99</v>
          </cell>
          <cell r="J1922">
            <v>271.62799999999999</v>
          </cell>
          <cell r="K1922">
            <v>0</v>
          </cell>
          <cell r="L1922">
            <v>271.62799999999999</v>
          </cell>
          <cell r="M1922">
            <v>0</v>
          </cell>
          <cell r="N1922">
            <v>359.99</v>
          </cell>
          <cell r="O1922" t="str">
            <v/>
          </cell>
          <cell r="P1922">
            <v>0</v>
          </cell>
          <cell r="Q1922">
            <v>0.32530519681328901</v>
          </cell>
          <cell r="R1922">
            <v>0.32530519681328901</v>
          </cell>
          <cell r="S1922" t="e">
            <v>#VALUE!</v>
          </cell>
          <cell r="T1922" t="e">
            <v>#VALUE!</v>
          </cell>
        </row>
        <row r="1923">
          <cell r="A1923" t="str">
            <v>GRGL2200016E</v>
          </cell>
          <cell r="B1923" t="str">
            <v>MKP000631000816</v>
          </cell>
          <cell r="C1923" t="str">
            <v/>
          </cell>
          <cell r="D1923" t="str">
            <v>Armário de Cozinha Completa 220cm Rustic/Branco Glamy Madesa 01</v>
          </cell>
          <cell r="E1923" t="str">
            <v>KAREN/GLAMY</v>
          </cell>
          <cell r="F1923" t="str">
            <v>COZINHA</v>
          </cell>
          <cell r="G1923" t="str">
            <v/>
          </cell>
          <cell r="H1923">
            <v>2199.9899999999998</v>
          </cell>
          <cell r="I1923">
            <v>2099.9899999999998</v>
          </cell>
          <cell r="J1923">
            <v>1736.7951</v>
          </cell>
          <cell r="K1923">
            <v>0</v>
          </cell>
          <cell r="L1923">
            <v>1736.7951</v>
          </cell>
          <cell r="M1923">
            <v>0</v>
          </cell>
          <cell r="N1923">
            <v>2099.9899999999998</v>
          </cell>
          <cell r="O1923" t="str">
            <v/>
          </cell>
          <cell r="P1923">
            <v>0</v>
          </cell>
          <cell r="Q1923">
            <v>0.20911787464163101</v>
          </cell>
          <cell r="R1923">
            <v>0.20911787464163101</v>
          </cell>
          <cell r="S1923" t="e">
            <v>#VALUE!</v>
          </cell>
          <cell r="T1923" t="e">
            <v>#VALUE!</v>
          </cell>
        </row>
        <row r="1924">
          <cell r="A1924" t="str">
            <v>GREM2010017K</v>
          </cell>
          <cell r="B1924" t="str">
            <v>MKP000631001831</v>
          </cell>
          <cell r="C1924" t="str">
            <v/>
          </cell>
          <cell r="D1924" t="str">
            <v>Armário de Cozinha Completa 201cm Rustic/Preto Emilly Sing Madesa 01</v>
          </cell>
          <cell r="E1924" t="str">
            <v>SING/EMILLY</v>
          </cell>
          <cell r="F1924" t="str">
            <v>COZINHA</v>
          </cell>
          <cell r="G1924" t="str">
            <v/>
          </cell>
          <cell r="H1924">
            <v>979.99</v>
          </cell>
          <cell r="I1924">
            <v>879.99</v>
          </cell>
          <cell r="J1924">
            <v>711.80269999999996</v>
          </cell>
          <cell r="K1924">
            <v>0</v>
          </cell>
          <cell r="L1924">
            <v>711.80269999999996</v>
          </cell>
          <cell r="M1924">
            <v>0</v>
          </cell>
          <cell r="N1924">
            <v>879.99</v>
          </cell>
          <cell r="O1924" t="str">
            <v/>
          </cell>
          <cell r="P1924">
            <v>0</v>
          </cell>
          <cell r="Q1924">
            <v>0.23628359375428001</v>
          </cell>
          <cell r="R1924">
            <v>0.23628359375428001</v>
          </cell>
          <cell r="S1924" t="e">
            <v>#VALUE!</v>
          </cell>
          <cell r="T1924" t="e">
            <v>#VALUE!</v>
          </cell>
        </row>
        <row r="1925">
          <cell r="A1925" t="str">
            <v>MDJA040171D8SIL</v>
          </cell>
          <cell r="B1925" t="str">
            <v>MKP000631005896</v>
          </cell>
          <cell r="C1925" t="str">
            <v/>
          </cell>
          <cell r="D1925" t="str">
            <v>Conjunto Sala de Jantar Mesa Tampo de Vidro 4 Cadeiras Rustic/Preto/Silver Noemi Madesa</v>
          </cell>
          <cell r="E1925" t="str">
            <v>NOEMI</v>
          </cell>
          <cell r="F1925" t="str">
            <v>SALA DE JANTAR</v>
          </cell>
          <cell r="G1925">
            <v>4256</v>
          </cell>
          <cell r="H1925">
            <v>1159.99</v>
          </cell>
          <cell r="I1925">
            <v>1059.99</v>
          </cell>
          <cell r="J1925">
            <v>833.99170000000004</v>
          </cell>
          <cell r="K1925">
            <v>0</v>
          </cell>
          <cell r="L1925">
            <v>833.99170000000004</v>
          </cell>
          <cell r="M1925">
            <v>0</v>
          </cell>
          <cell r="N1925">
            <v>1059.99</v>
          </cell>
          <cell r="O1925" t="str">
            <v/>
          </cell>
          <cell r="P1925">
            <v>0</v>
          </cell>
          <cell r="Q1925">
            <v>0.27098387190184298</v>
          </cell>
          <cell r="R1925">
            <v>0.27098387190184298</v>
          </cell>
          <cell r="S1925" t="e">
            <v>#VALUE!</v>
          </cell>
          <cell r="T1925" t="e">
            <v>#VALUE!</v>
          </cell>
        </row>
        <row r="1926">
          <cell r="A1926" t="str">
            <v>GRGL1800025Z</v>
          </cell>
          <cell r="B1926" t="str">
            <v>MKP000631001286</v>
          </cell>
          <cell r="C1926" t="str">
            <v/>
          </cell>
          <cell r="D1926" t="str">
            <v>Armário de Cozinha Compacta 180cm Rustic Milão Madesa 02</v>
          </cell>
          <cell r="E1926" t="str">
            <v>MILÃO/GLAMY</v>
          </cell>
          <cell r="F1926" t="str">
            <v>COZINHA</v>
          </cell>
          <cell r="G1926" t="str">
            <v/>
          </cell>
          <cell r="H1926">
            <v>1499.99</v>
          </cell>
          <cell r="I1926">
            <v>1399.99</v>
          </cell>
          <cell r="J1926">
            <v>1166.954</v>
          </cell>
          <cell r="K1926">
            <v>0</v>
          </cell>
          <cell r="L1926">
            <v>1166.954</v>
          </cell>
          <cell r="M1926">
            <v>0</v>
          </cell>
          <cell r="N1926">
            <v>1399.99</v>
          </cell>
          <cell r="O1926" t="str">
            <v/>
          </cell>
          <cell r="P1926">
            <v>0</v>
          </cell>
          <cell r="Q1926">
            <v>0.19969596059484801</v>
          </cell>
          <cell r="R1926">
            <v>0.19969596059484801</v>
          </cell>
          <cell r="S1926" t="e">
            <v>#VALUE!</v>
          </cell>
          <cell r="T1926" t="e">
            <v>#VALUE!</v>
          </cell>
        </row>
        <row r="1927">
          <cell r="A1927" t="str">
            <v>GCAG4590016E</v>
          </cell>
          <cell r="B1927" t="str">
            <v>MKP000631004627</v>
          </cell>
          <cell r="C1927" t="str">
            <v/>
          </cell>
          <cell r="D1927" t="str">
            <v>Armário de Cozinha Completa de Canto 459cm Rustic Branco Agata Madesa 01</v>
          </cell>
          <cell r="E1927" t="str">
            <v>ÁGATA</v>
          </cell>
          <cell r="F1927" t="str">
            <v>COZINHA</v>
          </cell>
          <cell r="G1927" t="str">
            <v/>
          </cell>
          <cell r="H1927">
            <v>3449.99</v>
          </cell>
          <cell r="I1927">
            <v>3349.99</v>
          </cell>
          <cell r="J1927">
            <v>2732.2485000000001</v>
          </cell>
          <cell r="K1927">
            <v>0</v>
          </cell>
          <cell r="L1927">
            <v>2732.2485000000001</v>
          </cell>
          <cell r="M1927">
            <v>0</v>
          </cell>
          <cell r="N1927">
            <v>3349.99</v>
          </cell>
          <cell r="O1927" t="str">
            <v/>
          </cell>
          <cell r="P1927">
            <v>0</v>
          </cell>
          <cell r="Q1927">
            <v>0.22609272180037801</v>
          </cell>
          <cell r="R1927">
            <v>0.22609272180037801</v>
          </cell>
          <cell r="S1927" t="e">
            <v>#VALUE!</v>
          </cell>
          <cell r="T1927" t="e">
            <v>#VALUE!</v>
          </cell>
        </row>
        <row r="1928">
          <cell r="A1928" t="str">
            <v>XB1063092ECP</v>
          </cell>
          <cell r="B1928" t="str">
            <v>MKP000631001490</v>
          </cell>
          <cell r="C1928" t="str">
            <v/>
          </cell>
          <cell r="D1928" t="str">
            <v>Guarda-Roupa Juvenil 100% MDF Madesa Kevin 3 Portas de Correr com Espelhos com Pés Branco</v>
          </cell>
          <cell r="E1928" t="str">
            <v>KEVIN</v>
          </cell>
          <cell r="F1928" t="str">
            <v>QUARTO</v>
          </cell>
          <cell r="G1928" t="str">
            <v/>
          </cell>
          <cell r="H1928">
            <v>4119.99</v>
          </cell>
          <cell r="I1928">
            <v>2559.9899999999998</v>
          </cell>
          <cell r="J1928">
            <v>2080.0578999999998</v>
          </cell>
          <cell r="K1928">
            <v>0</v>
          </cell>
          <cell r="L1928">
            <v>2080.0578999999998</v>
          </cell>
          <cell r="M1928">
            <v>0</v>
          </cell>
          <cell r="N1928">
            <v>2559.9899999999998</v>
          </cell>
          <cell r="O1928" t="str">
            <v/>
          </cell>
          <cell r="P1928">
            <v>0</v>
          </cell>
          <cell r="Q1928">
            <v>0.23073016380938199</v>
          </cell>
          <cell r="R1928">
            <v>0.23073016380938199</v>
          </cell>
          <cell r="S1928" t="e">
            <v>#VALUE!</v>
          </cell>
          <cell r="T1928" t="e">
            <v>#VALUE!</v>
          </cell>
        </row>
        <row r="1929">
          <cell r="A1929" t="str">
            <v>GRGM2600029B</v>
          </cell>
          <cell r="B1929" t="str">
            <v>MKP000631000181</v>
          </cell>
          <cell r="C1929" t="str">
            <v/>
          </cell>
          <cell r="D1929" t="str">
            <v>Armário de Cozinha Compacta 100% MDF 260cm Portas Branco/Rustic Acordes Madesa 02</v>
          </cell>
          <cell r="E1929" t="str">
            <v>ACORDES</v>
          </cell>
          <cell r="F1929" t="str">
            <v>COZINHA</v>
          </cell>
          <cell r="G1929" t="str">
            <v/>
          </cell>
          <cell r="H1929">
            <v>1899.99</v>
          </cell>
          <cell r="I1929">
            <v>1799.99</v>
          </cell>
          <cell r="J1929">
            <v>1441.3942</v>
          </cell>
          <cell r="K1929">
            <v>0</v>
          </cell>
          <cell r="L1929">
            <v>1441.3942</v>
          </cell>
          <cell r="M1929">
            <v>0</v>
          </cell>
          <cell r="N1929">
            <v>1799.99</v>
          </cell>
          <cell r="O1929" t="str">
            <v/>
          </cell>
          <cell r="P1929">
            <v>0</v>
          </cell>
          <cell r="Q1929">
            <v>0.24878398983428701</v>
          </cell>
          <cell r="R1929">
            <v>0.24878398983428701</v>
          </cell>
          <cell r="S1929" t="e">
            <v>#VALUE!</v>
          </cell>
          <cell r="T1929" t="e">
            <v>#VALUE!</v>
          </cell>
        </row>
        <row r="1930">
          <cell r="A1930" t="str">
            <v>G226019NLX</v>
          </cell>
          <cell r="B1930" t="str">
            <v>MKP000631002707</v>
          </cell>
          <cell r="C1930" t="str">
            <v/>
          </cell>
          <cell r="D1930" t="str">
            <v>Balcão Madesa Lux 60 cm 3 Gavetas (Sem Tampo) Rustic/Cinza</v>
          </cell>
          <cell r="E1930" t="str">
            <v>LUX</v>
          </cell>
          <cell r="F1930" t="str">
            <v>MODULAÇÃO</v>
          </cell>
          <cell r="G1930" t="str">
            <v/>
          </cell>
          <cell r="H1930">
            <v>1259.99</v>
          </cell>
          <cell r="I1930">
            <v>919.99</v>
          </cell>
          <cell r="J1930">
            <v>509.37880000000001</v>
          </cell>
          <cell r="K1930">
            <v>0</v>
          </cell>
          <cell r="L1930">
            <v>509.37880000000001</v>
          </cell>
          <cell r="M1930">
            <v>0</v>
          </cell>
          <cell r="N1930">
            <v>919.99</v>
          </cell>
          <cell r="O1930" t="str">
            <v>LOJA</v>
          </cell>
          <cell r="P1930">
            <v>899.99</v>
          </cell>
          <cell r="Q1930">
            <v>0.80610186368180203</v>
          </cell>
          <cell r="R1930">
            <v>0.80610186368180203</v>
          </cell>
          <cell r="S1930" t="e">
            <v>#VALUE!</v>
          </cell>
          <cell r="T1930" t="e">
            <v>#VALUE!</v>
          </cell>
        </row>
        <row r="1931">
          <cell r="A1931" t="str">
            <v>XA69073Z1</v>
          </cell>
          <cell r="B1931" t="str">
            <v>MKP000631003527</v>
          </cell>
          <cell r="C1931" t="str">
            <v/>
          </cell>
          <cell r="D1931" t="str">
            <v>Estante para Livros Home Sala Madesa 6907 com 3 Nichos Cinza</v>
          </cell>
          <cell r="E1931">
            <v>6907</v>
          </cell>
          <cell r="F1931" t="str">
            <v>ESCRITÓRIO</v>
          </cell>
          <cell r="G1931" t="str">
            <v/>
          </cell>
          <cell r="H1931">
            <v>409.99</v>
          </cell>
          <cell r="I1931">
            <v>259.99</v>
          </cell>
          <cell r="J1931">
            <v>154.5402</v>
          </cell>
          <cell r="K1931">
            <v>0</v>
          </cell>
          <cell r="L1931">
            <v>154.5402</v>
          </cell>
          <cell r="M1931">
            <v>0</v>
          </cell>
          <cell r="N1931">
            <v>259.99</v>
          </cell>
          <cell r="O1931" t="str">
            <v/>
          </cell>
          <cell r="P1931">
            <v>0</v>
          </cell>
          <cell r="Q1931">
            <v>0.68234543503890899</v>
          </cell>
          <cell r="R1931">
            <v>0.68234543503890899</v>
          </cell>
          <cell r="S1931" t="e">
            <v>#VALUE!</v>
          </cell>
          <cell r="T1931" t="e">
            <v>#VALUE!</v>
          </cell>
        </row>
        <row r="1932">
          <cell r="A1932" t="str">
            <v>GRLX400001H8</v>
          </cell>
          <cell r="B1932" t="str">
            <v>MKP000631005009</v>
          </cell>
          <cell r="C1932" t="str">
            <v/>
          </cell>
          <cell r="D1932" t="str">
            <v>Armário de Cozinha Completa 400cm Rustic/Branco Veludo Lux da Thauane Madesa</v>
          </cell>
          <cell r="E1932" t="str">
            <v>LUX</v>
          </cell>
          <cell r="F1932" t="str">
            <v>COZINHA</v>
          </cell>
          <cell r="G1932" t="str">
            <v/>
          </cell>
          <cell r="H1932">
            <v>5709.99</v>
          </cell>
          <cell r="I1932">
            <v>5669.99</v>
          </cell>
          <cell r="J1932">
            <v>3009.5880999999999</v>
          </cell>
          <cell r="K1932">
            <v>0</v>
          </cell>
          <cell r="L1932">
            <v>3009.5880999999999</v>
          </cell>
          <cell r="M1932">
            <v>0</v>
          </cell>
          <cell r="N1932">
            <v>5669.99</v>
          </cell>
          <cell r="O1932" t="str">
            <v>LOJA</v>
          </cell>
          <cell r="P1932">
            <v>4979.99</v>
          </cell>
          <cell r="Q1932">
            <v>0.88397541843018301</v>
          </cell>
          <cell r="R1932">
            <v>0.88397541843018301</v>
          </cell>
          <cell r="S1932" t="e">
            <v>#VALUE!</v>
          </cell>
          <cell r="T1932" t="e">
            <v>#VALUE!</v>
          </cell>
        </row>
        <row r="1933">
          <cell r="A1933" t="str">
            <v>XAGRTP06000173</v>
          </cell>
          <cell r="B1933" t="str">
            <v>MKP000631001771</v>
          </cell>
          <cell r="C1933" t="str">
            <v/>
          </cell>
          <cell r="D1933" t="str">
            <v>Kit Área de Serviço Madesa Topazio 60 cm com Armário e Balcão Branco/Preto</v>
          </cell>
          <cell r="E1933" t="str">
            <v>TOPÁZIO</v>
          </cell>
          <cell r="F1933" t="str">
            <v>COZINHA</v>
          </cell>
          <cell r="G1933" t="str">
            <v/>
          </cell>
          <cell r="H1933">
            <v>499.99</v>
          </cell>
          <cell r="I1933">
            <v>399.99</v>
          </cell>
          <cell r="J1933">
            <v>252.36770000000001</v>
          </cell>
          <cell r="K1933">
            <v>0</v>
          </cell>
          <cell r="L1933">
            <v>252.36770000000001</v>
          </cell>
          <cell r="M1933">
            <v>0</v>
          </cell>
          <cell r="N1933">
            <v>399.99</v>
          </cell>
          <cell r="O1933" t="str">
            <v/>
          </cell>
          <cell r="P1933">
            <v>0</v>
          </cell>
          <cell r="Q1933">
            <v>0.58494926252448298</v>
          </cell>
          <cell r="R1933">
            <v>0.58494926252448298</v>
          </cell>
          <cell r="S1933" t="e">
            <v>#VALUE!</v>
          </cell>
          <cell r="T1933" t="e">
            <v>#VALUE!</v>
          </cell>
        </row>
        <row r="1934">
          <cell r="A1934" t="str">
            <v>GRRM23500109</v>
          </cell>
          <cell r="B1934" t="str">
            <v>MKP000631003193</v>
          </cell>
          <cell r="C1934" t="str">
            <v/>
          </cell>
          <cell r="D1934" t="str">
            <v>Armário de Cozinha Completa 235cm Branco Reims Madesa 01</v>
          </cell>
          <cell r="E1934" t="str">
            <v>REIMS</v>
          </cell>
          <cell r="F1934" t="str">
            <v>COZINHA</v>
          </cell>
          <cell r="G1934" t="str">
            <v/>
          </cell>
          <cell r="H1934">
            <v>2619.9899999999998</v>
          </cell>
          <cell r="I1934">
            <v>1659.99</v>
          </cell>
          <cell r="J1934">
            <v>1458.8451</v>
          </cell>
          <cell r="K1934">
            <v>0</v>
          </cell>
          <cell r="L1934">
            <v>1458.8451</v>
          </cell>
          <cell r="M1934">
            <v>0</v>
          </cell>
          <cell r="N1934">
            <v>1659.99</v>
          </cell>
          <cell r="O1934" t="str">
            <v/>
          </cell>
          <cell r="P1934">
            <v>0</v>
          </cell>
          <cell r="Q1934">
            <v>0.13787954595042301</v>
          </cell>
          <cell r="R1934">
            <v>0.13787954595042301</v>
          </cell>
          <cell r="S1934" t="e">
            <v>#VALUE!</v>
          </cell>
          <cell r="T1934" t="e">
            <v>#VALUE!</v>
          </cell>
        </row>
        <row r="1935">
          <cell r="A1935" t="str">
            <v>1063732E</v>
          </cell>
          <cell r="B1935" t="str">
            <v>MKP000631003124</v>
          </cell>
          <cell r="C1935" t="str">
            <v/>
          </cell>
          <cell r="D1935" t="str">
            <v>Guarda-Roupa Casal 100% MDF Madesa Royale 3 Portas de Correr com Espelhos Branco/Preto</v>
          </cell>
          <cell r="E1935" t="str">
            <v>ROYALE</v>
          </cell>
          <cell r="F1935" t="str">
            <v>QUARTO</v>
          </cell>
          <cell r="G1935" t="str">
            <v/>
          </cell>
          <cell r="H1935">
            <v>3189.99</v>
          </cell>
          <cell r="I1935">
            <v>2399.9899999999998</v>
          </cell>
          <cell r="J1935">
            <v>2033.8746000000001</v>
          </cell>
          <cell r="K1935">
            <v>0</v>
          </cell>
          <cell r="L1935">
            <v>2033.8746000000001</v>
          </cell>
          <cell r="M1935">
            <v>0</v>
          </cell>
          <cell r="N1935">
            <v>2399.9899999999998</v>
          </cell>
          <cell r="O1935" t="str">
            <v/>
          </cell>
          <cell r="P1935">
            <v>0</v>
          </cell>
          <cell r="Q1935">
            <v>0.180008836336321</v>
          </cell>
          <cell r="R1935">
            <v>0.180008836336321</v>
          </cell>
          <cell r="S1935" t="e">
            <v>#VALUE!</v>
          </cell>
          <cell r="T1935" t="e">
            <v>#VALUE!</v>
          </cell>
        </row>
        <row r="1936">
          <cell r="A1936" t="str">
            <v>1095F93E</v>
          </cell>
          <cell r="B1936" t="str">
            <v>MKP000631003540</v>
          </cell>
          <cell r="C1936" t="str">
            <v/>
          </cell>
          <cell r="D1936" t="str">
            <v>Guarda-Roupa Casal Madesa Reno 3 Portas de Correr de Espelho Rustic/Cinza</v>
          </cell>
          <cell r="E1936" t="str">
            <v>RENO</v>
          </cell>
          <cell r="F1936" t="str">
            <v>QUARTO</v>
          </cell>
          <cell r="G1936" t="str">
            <v/>
          </cell>
          <cell r="H1936">
            <v>2199.9899999999998</v>
          </cell>
          <cell r="I1936">
            <v>1569.99</v>
          </cell>
          <cell r="J1936">
            <v>1277.0876000000001</v>
          </cell>
          <cell r="K1936">
            <v>0</v>
          </cell>
          <cell r="L1936">
            <v>1277.0876000000001</v>
          </cell>
          <cell r="M1936">
            <v>0</v>
          </cell>
          <cell r="N1936">
            <v>1569.99</v>
          </cell>
          <cell r="O1936" t="str">
            <v/>
          </cell>
          <cell r="P1936">
            <v>0</v>
          </cell>
          <cell r="Q1936">
            <v>0.229351847124661</v>
          </cell>
          <cell r="R1936">
            <v>0.229351847124661</v>
          </cell>
          <cell r="S1936" t="e">
            <v>#VALUE!</v>
          </cell>
          <cell r="T1936" t="e">
            <v>#VALUE!</v>
          </cell>
        </row>
        <row r="1937">
          <cell r="A1937" t="str">
            <v>MDDR02000209</v>
          </cell>
          <cell r="B1937" t="str">
            <v>MKP000631000841</v>
          </cell>
          <cell r="C1937" t="str">
            <v/>
          </cell>
          <cell r="D1937" t="str">
            <v>Quarto Completo com Guarda-Roupa Luke e Cabeceira com 2 Mesas de Cabeceira Madesa Branco</v>
          </cell>
          <cell r="E1937" t="str">
            <v>LUKE</v>
          </cell>
          <cell r="F1937" t="str">
            <v>QUARTO</v>
          </cell>
          <cell r="G1937" t="str">
            <v/>
          </cell>
          <cell r="H1937">
            <v>1399.99</v>
          </cell>
          <cell r="I1937">
            <v>1299.99</v>
          </cell>
          <cell r="J1937">
            <v>1044.9829999999999</v>
          </cell>
          <cell r="K1937">
            <v>0</v>
          </cell>
          <cell r="L1937">
            <v>1044.9829999999999</v>
          </cell>
          <cell r="M1937">
            <v>0</v>
          </cell>
          <cell r="N1937">
            <v>1299.99</v>
          </cell>
          <cell r="O1937" t="str">
            <v/>
          </cell>
          <cell r="P1937">
            <v>0</v>
          </cell>
          <cell r="Q1937">
            <v>0.24402980718346601</v>
          </cell>
          <cell r="R1937">
            <v>0.24402980718346601</v>
          </cell>
          <cell r="S1937" t="e">
            <v>#VALUE!</v>
          </cell>
          <cell r="T1937" t="e">
            <v>#VALUE!</v>
          </cell>
        </row>
        <row r="1938">
          <cell r="A1938" t="str">
            <v>GCEM3850015Z</v>
          </cell>
          <cell r="B1938" t="str">
            <v>MKP000631000440</v>
          </cell>
          <cell r="C1938" t="str">
            <v/>
          </cell>
          <cell r="D1938" t="str">
            <v>Armário de Cozinha Completa 385cm Rustic Emilly Love Madesa 01</v>
          </cell>
          <cell r="E1938" t="str">
            <v>LOVE/EMILLY</v>
          </cell>
          <cell r="F1938" t="str">
            <v>COZINHA</v>
          </cell>
          <cell r="G1938" t="str">
            <v/>
          </cell>
          <cell r="H1938">
            <v>2079.9899999999998</v>
          </cell>
          <cell r="I1938">
            <v>1449.99</v>
          </cell>
          <cell r="J1938">
            <v>1141.4698000000001</v>
          </cell>
          <cell r="K1938">
            <v>0</v>
          </cell>
          <cell r="L1938">
            <v>1141.4698000000001</v>
          </cell>
          <cell r="M1938">
            <v>0</v>
          </cell>
          <cell r="N1938">
            <v>1449.99</v>
          </cell>
          <cell r="O1938" t="str">
            <v/>
          </cell>
          <cell r="P1938">
            <v>0</v>
          </cell>
          <cell r="Q1938">
            <v>0.27028327862901003</v>
          </cell>
          <cell r="R1938">
            <v>0.27028327862901003</v>
          </cell>
          <cell r="S1938" t="e">
            <v>#VALUE!</v>
          </cell>
          <cell r="T1938" t="e">
            <v>#VALUE!</v>
          </cell>
        </row>
        <row r="1939">
          <cell r="A1939" t="str">
            <v>MDJA0401557GBE</v>
          </cell>
          <cell r="B1939" t="str">
            <v>MKP000631005350</v>
          </cell>
          <cell r="C1939" t="str">
            <v/>
          </cell>
          <cell r="D1939" t="str">
            <v>Conjunto Sala de Jantar Mesa Tampo de Madeira 4 Cadeiras Crema/Rustic/Bege Elisa Madesa</v>
          </cell>
          <cell r="E1939" t="str">
            <v>ELISA</v>
          </cell>
          <cell r="F1939" t="str">
            <v>SALA DE JANTAR</v>
          </cell>
          <cell r="G1939">
            <v>4280</v>
          </cell>
          <cell r="H1939">
            <v>869.99</v>
          </cell>
          <cell r="I1939">
            <v>769.99</v>
          </cell>
          <cell r="J1939">
            <v>565.57920000000001</v>
          </cell>
          <cell r="K1939">
            <v>0</v>
          </cell>
          <cell r="L1939">
            <v>565.57920000000001</v>
          </cell>
          <cell r="M1939">
            <v>0</v>
          </cell>
          <cell r="N1939">
            <v>769.99</v>
          </cell>
          <cell r="O1939" t="str">
            <v>IMPÉRIO</v>
          </cell>
          <cell r="P1939">
            <v>799</v>
          </cell>
          <cell r="Q1939">
            <v>0.36141852458506302</v>
          </cell>
          <cell r="R1939">
            <v>0.36141852458506302</v>
          </cell>
          <cell r="S1939" t="e">
            <v>#VALUE!</v>
          </cell>
          <cell r="T1939" t="e">
            <v>#VALUE!</v>
          </cell>
        </row>
        <row r="1940">
          <cell r="A1940" t="str">
            <v>11639B3E</v>
          </cell>
          <cell r="B1940" t="str">
            <v>MKP000631001115</v>
          </cell>
          <cell r="C1940" t="str">
            <v/>
          </cell>
          <cell r="D1940" t="str">
            <v>Guarda-Roupa Casal 100% MDF Madesa Eros 3 Portas de Correr de Espelho Branco/Rustic</v>
          </cell>
          <cell r="E1940" t="str">
            <v>EROS</v>
          </cell>
          <cell r="F1940" t="str">
            <v>QUARTO</v>
          </cell>
          <cell r="G1940" t="str">
            <v/>
          </cell>
          <cell r="H1940">
            <v>3349.99</v>
          </cell>
          <cell r="I1940">
            <v>2389.9899999999998</v>
          </cell>
          <cell r="J1940">
            <v>1941.1374000000001</v>
          </cell>
          <cell r="K1940">
            <v>0</v>
          </cell>
          <cell r="L1940">
            <v>1941.1374000000001</v>
          </cell>
          <cell r="M1940">
            <v>0</v>
          </cell>
          <cell r="N1940">
            <v>2389.9899999999998</v>
          </cell>
          <cell r="O1940" t="str">
            <v/>
          </cell>
          <cell r="P1940">
            <v>0</v>
          </cell>
          <cell r="Q1940">
            <v>0.23123175103421301</v>
          </cell>
          <cell r="R1940">
            <v>0.23123175103421301</v>
          </cell>
          <cell r="S1940" t="e">
            <v>#VALUE!</v>
          </cell>
          <cell r="T1940" t="e">
            <v>#VALUE!</v>
          </cell>
        </row>
        <row r="1941">
          <cell r="A1941" t="str">
            <v>G256009RLX</v>
          </cell>
          <cell r="B1941" t="str">
            <v>MKP000631003232</v>
          </cell>
          <cell r="C1941" t="str">
            <v/>
          </cell>
          <cell r="D1941" t="str">
            <v>Armário Aéreo Madesa Lux 60 cm 1 Porta Branco/Cinza</v>
          </cell>
          <cell r="E1941" t="str">
            <v>LUX</v>
          </cell>
          <cell r="F1941" t="str">
            <v>MODULAÇÃO</v>
          </cell>
          <cell r="G1941" t="str">
            <v/>
          </cell>
          <cell r="H1941">
            <v>829.99</v>
          </cell>
          <cell r="I1941">
            <v>529.99</v>
          </cell>
          <cell r="J1941">
            <v>311.33670000000001</v>
          </cell>
          <cell r="K1941">
            <v>0</v>
          </cell>
          <cell r="L1941">
            <v>311.33670000000001</v>
          </cell>
          <cell r="M1941">
            <v>0</v>
          </cell>
          <cell r="N1941">
            <v>529.99</v>
          </cell>
          <cell r="O1941" t="str">
            <v>LOJA</v>
          </cell>
          <cell r="P1941">
            <v>519.99</v>
          </cell>
          <cell r="Q1941">
            <v>0.70230493224859103</v>
          </cell>
          <cell r="R1941">
            <v>0.70230493224859103</v>
          </cell>
          <cell r="S1941" t="e">
            <v>#VALUE!</v>
          </cell>
          <cell r="T1941" t="e">
            <v>#VALUE!</v>
          </cell>
        </row>
        <row r="1942">
          <cell r="A1942" t="str">
            <v>G258046EAG</v>
          </cell>
          <cell r="B1942" t="str">
            <v>MKP000631004719</v>
          </cell>
          <cell r="C1942" t="str">
            <v/>
          </cell>
          <cell r="D1942" t="str">
            <v>Armário Aéreo Madesa Agata 80 cm 1 Porta Basculante Rustic/Branco</v>
          </cell>
          <cell r="E1942" t="str">
            <v>ÁGATA</v>
          </cell>
          <cell r="F1942" t="str">
            <v>MODULAÇÃO</v>
          </cell>
          <cell r="G1942" t="str">
            <v/>
          </cell>
          <cell r="H1942">
            <v>389.99</v>
          </cell>
          <cell r="I1942">
            <v>279.99</v>
          </cell>
          <cell r="J1942">
            <v>162.35550000000001</v>
          </cell>
          <cell r="K1942">
            <v>0</v>
          </cell>
          <cell r="L1942">
            <v>162.35550000000001</v>
          </cell>
          <cell r="M1942">
            <v>0</v>
          </cell>
          <cell r="N1942">
            <v>279.99</v>
          </cell>
          <cell r="O1942" t="str">
            <v/>
          </cell>
          <cell r="P1942">
            <v>0</v>
          </cell>
          <cell r="Q1942">
            <v>0.72454890656614701</v>
          </cell>
          <cell r="R1942">
            <v>0.72454890656614701</v>
          </cell>
          <cell r="S1942" t="e">
            <v>#VALUE!</v>
          </cell>
          <cell r="T1942" t="e">
            <v>#VALUE!</v>
          </cell>
        </row>
        <row r="1943">
          <cell r="A1943" t="str">
            <v>1093732E2G</v>
          </cell>
          <cell r="B1943" t="str">
            <v>MKP000631002222</v>
          </cell>
          <cell r="C1943" t="str">
            <v/>
          </cell>
          <cell r="D1943" t="str">
            <v>Guarda-Roupa Casal Madesa Lyon 3 Portas de Correr com Espelhos 2 Gavetas Branco/Preto</v>
          </cell>
          <cell r="E1943" t="str">
            <v>LYON</v>
          </cell>
          <cell r="F1943" t="str">
            <v>QUARTO</v>
          </cell>
          <cell r="G1943" t="str">
            <v/>
          </cell>
          <cell r="H1943">
            <v>1469.99</v>
          </cell>
          <cell r="I1943">
            <v>1199.99</v>
          </cell>
          <cell r="J1943">
            <v>969.44600000000003</v>
          </cell>
          <cell r="K1943">
            <v>0</v>
          </cell>
          <cell r="L1943">
            <v>969.44600000000003</v>
          </cell>
          <cell r="M1943">
            <v>0</v>
          </cell>
          <cell r="N1943">
            <v>1199.99</v>
          </cell>
          <cell r="O1943" t="str">
            <v/>
          </cell>
          <cell r="P1943">
            <v>0</v>
          </cell>
          <cell r="Q1943">
            <v>0.237810048213103</v>
          </cell>
          <cell r="R1943">
            <v>0.237810048213103</v>
          </cell>
          <cell r="S1943" t="e">
            <v>#VALUE!</v>
          </cell>
          <cell r="T1943" t="e">
            <v>#VALUE!</v>
          </cell>
        </row>
        <row r="1944">
          <cell r="A1944" t="str">
            <v>GRGL2800015Z</v>
          </cell>
          <cell r="B1944" t="str">
            <v>MKP000631000188</v>
          </cell>
          <cell r="C1944" t="str">
            <v/>
          </cell>
          <cell r="D1944" t="str">
            <v>Armário de Cozinha Compacta 280cm Rustic Marina Madesa 01</v>
          </cell>
          <cell r="E1944" t="str">
            <v>MARINA/GLAMY</v>
          </cell>
          <cell r="F1944" t="str">
            <v>COZINHA</v>
          </cell>
          <cell r="G1944" t="str">
            <v/>
          </cell>
          <cell r="H1944">
            <v>1599.99</v>
          </cell>
          <cell r="I1944">
            <v>1499.99</v>
          </cell>
          <cell r="J1944">
            <v>1253.0640000000001</v>
          </cell>
          <cell r="K1944">
            <v>0</v>
          </cell>
          <cell r="L1944">
            <v>1253.0640000000001</v>
          </cell>
          <cell r="M1944">
            <v>0</v>
          </cell>
          <cell r="N1944">
            <v>1499.99</v>
          </cell>
          <cell r="O1944" t="str">
            <v/>
          </cell>
          <cell r="P1944">
            <v>0</v>
          </cell>
          <cell r="Q1944">
            <v>0.1970577719893</v>
          </cell>
          <cell r="R1944">
            <v>0.1970577719893</v>
          </cell>
          <cell r="S1944" t="e">
            <v>#VALUE!</v>
          </cell>
          <cell r="T1944" t="e">
            <v>#VALUE!</v>
          </cell>
        </row>
        <row r="1945">
          <cell r="A1945" t="str">
            <v>G236079NLX</v>
          </cell>
          <cell r="B1945" t="str">
            <v>MKP000631002736</v>
          </cell>
          <cell r="C1945" t="str">
            <v/>
          </cell>
          <cell r="D1945" t="str">
            <v>Paneleiro Madesa Lux 60 cm 3 Portas Rustic/Cinza</v>
          </cell>
          <cell r="E1945" t="str">
            <v>LUX</v>
          </cell>
          <cell r="F1945" t="str">
            <v>MODULAÇÃO</v>
          </cell>
          <cell r="G1945" t="str">
            <v/>
          </cell>
          <cell r="H1945">
            <v>2009.99</v>
          </cell>
          <cell r="I1945">
            <v>1629.99</v>
          </cell>
          <cell r="J1945">
            <v>929.62829999999997</v>
          </cell>
          <cell r="K1945">
            <v>0</v>
          </cell>
          <cell r="L1945">
            <v>929.62829999999997</v>
          </cell>
          <cell r="M1945">
            <v>0</v>
          </cell>
          <cell r="N1945">
            <v>1629.99</v>
          </cell>
          <cell r="O1945" t="str">
            <v>LOJA</v>
          </cell>
          <cell r="P1945">
            <v>1619.99</v>
          </cell>
          <cell r="Q1945">
            <v>0.75337820503097797</v>
          </cell>
          <cell r="R1945">
            <v>0.75337820503097797</v>
          </cell>
          <cell r="S1945" t="e">
            <v>#VALUE!</v>
          </cell>
          <cell r="T1945" t="e">
            <v>#VALUE!</v>
          </cell>
        </row>
        <row r="1946">
          <cell r="A1946" t="str">
            <v>G236559RLX</v>
          </cell>
          <cell r="B1946" t="str">
            <v>MKP000631003276</v>
          </cell>
          <cell r="C1946" t="str">
            <v/>
          </cell>
          <cell r="D1946" t="str">
            <v>Torre Quente Madesa Lux 60 cm 1 Porta 3 Gavetas Branco/Cinza</v>
          </cell>
          <cell r="E1946" t="str">
            <v>LUX</v>
          </cell>
          <cell r="F1946" t="str">
            <v>MODULAÇÃO</v>
          </cell>
          <cell r="G1946" t="str">
            <v/>
          </cell>
          <cell r="H1946">
            <v>2009.99</v>
          </cell>
          <cell r="I1946">
            <v>1519.99</v>
          </cell>
          <cell r="J1946">
            <v>860.46780000000001</v>
          </cell>
          <cell r="K1946">
            <v>0</v>
          </cell>
          <cell r="L1946">
            <v>860.46780000000001</v>
          </cell>
          <cell r="M1946">
            <v>0</v>
          </cell>
          <cell r="N1946">
            <v>1519.99</v>
          </cell>
          <cell r="O1946" t="str">
            <v>LOJA</v>
          </cell>
          <cell r="P1946">
            <v>1499.99</v>
          </cell>
          <cell r="Q1946">
            <v>0.76646935539017302</v>
          </cell>
          <cell r="R1946">
            <v>0.76646935539017302</v>
          </cell>
          <cell r="S1946" t="e">
            <v>#VALUE!</v>
          </cell>
          <cell r="T1946" t="e">
            <v>#VALUE!</v>
          </cell>
        </row>
        <row r="1947">
          <cell r="A1947" t="str">
            <v>GRLX240003H7</v>
          </cell>
          <cell r="B1947" t="str">
            <v>MKP000631003774</v>
          </cell>
          <cell r="C1947" t="str">
            <v/>
          </cell>
          <cell r="D1947" t="str">
            <v>Armário de Cozinha Completa 240cm Branco Branco Veludo Lux Madesa 03</v>
          </cell>
          <cell r="E1947" t="str">
            <v>LUX</v>
          </cell>
          <cell r="F1947" t="str">
            <v>COZINHA</v>
          </cell>
          <cell r="G1947" t="str">
            <v/>
          </cell>
          <cell r="H1947">
            <v>3819.99</v>
          </cell>
          <cell r="I1947">
            <v>3729.99</v>
          </cell>
          <cell r="J1947">
            <v>1934.6628000000001</v>
          </cell>
          <cell r="K1947">
            <v>0</v>
          </cell>
          <cell r="L1947">
            <v>1934.6628000000001</v>
          </cell>
          <cell r="M1947">
            <v>0</v>
          </cell>
          <cell r="N1947">
            <v>3729.99</v>
          </cell>
          <cell r="O1947" t="str">
            <v>LOJA</v>
          </cell>
          <cell r="P1947">
            <v>3279.99</v>
          </cell>
          <cell r="Q1947">
            <v>0.92797938741572905</v>
          </cell>
          <cell r="R1947">
            <v>0.92797938741572905</v>
          </cell>
          <cell r="S1947" t="e">
            <v>#VALUE!</v>
          </cell>
          <cell r="T1947" t="e">
            <v>#VALUE!</v>
          </cell>
        </row>
        <row r="1948">
          <cell r="A1948" t="str">
            <v>GCEM2930057K</v>
          </cell>
          <cell r="B1948" t="str">
            <v>MKP000631002201</v>
          </cell>
          <cell r="C1948" t="str">
            <v/>
          </cell>
          <cell r="D1948" t="str">
            <v>Armário de Cozinha Completa de Canto 293cm Rustic/Preto Emilly Self Madesa 05</v>
          </cell>
          <cell r="E1948" t="str">
            <v>SELF/EMILLY</v>
          </cell>
          <cell r="F1948" t="str">
            <v>COZINHA</v>
          </cell>
          <cell r="G1948" t="str">
            <v/>
          </cell>
          <cell r="H1948">
            <v>1539.99</v>
          </cell>
          <cell r="I1948">
            <v>1439.99</v>
          </cell>
          <cell r="J1948">
            <v>1170.769</v>
          </cell>
          <cell r="K1948">
            <v>0</v>
          </cell>
          <cell r="L1948">
            <v>1170.769</v>
          </cell>
          <cell r="M1948">
            <v>0</v>
          </cell>
          <cell r="N1948">
            <v>1439.99</v>
          </cell>
          <cell r="O1948" t="str">
            <v/>
          </cell>
          <cell r="P1948">
            <v>0</v>
          </cell>
          <cell r="Q1948">
            <v>0.229952279228439</v>
          </cell>
          <cell r="R1948">
            <v>0.229952279228439</v>
          </cell>
          <cell r="S1948" t="e">
            <v>#VALUE!</v>
          </cell>
          <cell r="T1948" t="e">
            <v>#VALUE!</v>
          </cell>
        </row>
        <row r="1949">
          <cell r="A1949" t="str">
            <v>G26655F9AG</v>
          </cell>
          <cell r="B1949" t="str">
            <v>MKP000631002951</v>
          </cell>
          <cell r="C1949" t="str">
            <v/>
          </cell>
          <cell r="D1949" t="str">
            <v>Torre Quente Madesa Agata 60 cm 1 Porta 3 Gavetas Rustic/Cinza</v>
          </cell>
          <cell r="E1949" t="str">
            <v>ÁGATA</v>
          </cell>
          <cell r="F1949" t="str">
            <v>MODULAÇÃO</v>
          </cell>
          <cell r="G1949" t="str">
            <v/>
          </cell>
          <cell r="H1949">
            <v>1359.99</v>
          </cell>
          <cell r="I1949">
            <v>919.99</v>
          </cell>
          <cell r="J1949">
            <v>547.2672</v>
          </cell>
          <cell r="K1949">
            <v>0</v>
          </cell>
          <cell r="L1949">
            <v>547.2672</v>
          </cell>
          <cell r="M1949">
            <v>0</v>
          </cell>
          <cell r="N1949">
            <v>919.99</v>
          </cell>
          <cell r="O1949" t="str">
            <v/>
          </cell>
          <cell r="P1949">
            <v>0</v>
          </cell>
          <cell r="Q1949">
            <v>0.68106182866431597</v>
          </cell>
          <cell r="R1949">
            <v>0.68106182866431597</v>
          </cell>
          <cell r="S1949" t="e">
            <v>#VALUE!</v>
          </cell>
          <cell r="T1949" t="e">
            <v>#VALUE!</v>
          </cell>
        </row>
        <row r="1950">
          <cell r="A1950" t="str">
            <v>GCEM3250037K</v>
          </cell>
          <cell r="B1950" t="str">
            <v>MKP000631002203</v>
          </cell>
          <cell r="C1950" t="str">
            <v/>
          </cell>
          <cell r="D1950" t="str">
            <v>Armário de Cozinha Completa de Canto 325cm Rustic/Preto Emilly Space Madesa 03</v>
          </cell>
          <cell r="E1950" t="str">
            <v>SPACE/EMILLY</v>
          </cell>
          <cell r="F1950" t="str">
            <v>COZINHA</v>
          </cell>
          <cell r="G1950" t="str">
            <v/>
          </cell>
          <cell r="H1950">
            <v>3019.99</v>
          </cell>
          <cell r="I1950">
            <v>1499.99</v>
          </cell>
          <cell r="J1950">
            <v>1247.0254</v>
          </cell>
          <cell r="K1950">
            <v>0</v>
          </cell>
          <cell r="L1950">
            <v>1247.0254</v>
          </cell>
          <cell r="M1950">
            <v>0</v>
          </cell>
          <cell r="N1950">
            <v>1499.99</v>
          </cell>
          <cell r="O1950" t="str">
            <v/>
          </cell>
          <cell r="P1950">
            <v>0</v>
          </cell>
          <cell r="Q1950">
            <v>0.202854408579007</v>
          </cell>
          <cell r="R1950">
            <v>0.202854408579007</v>
          </cell>
          <cell r="S1950" t="e">
            <v>#VALUE!</v>
          </cell>
          <cell r="T1950" t="e">
            <v>#VALUE!</v>
          </cell>
        </row>
        <row r="1951">
          <cell r="A1951" t="str">
            <v>MDJA0401657GFBM</v>
          </cell>
          <cell r="B1951" t="str">
            <v>MKP000631005569</v>
          </cell>
          <cell r="C1951" t="str">
            <v/>
          </cell>
          <cell r="D1951" t="str">
            <v>Conjunto Sala de Jantar Mesa Tampo de Vidro 4 Cadeiras Rustic/Crema/Bege Marrom Tifani Madesa</v>
          </cell>
          <cell r="E1951" t="str">
            <v>TIFANI</v>
          </cell>
          <cell r="F1951" t="str">
            <v>SALA DE JANTAR</v>
          </cell>
          <cell r="G1951" t="str">
            <v>4291X</v>
          </cell>
          <cell r="H1951">
            <v>759.99</v>
          </cell>
          <cell r="I1951">
            <v>659.99</v>
          </cell>
          <cell r="J1951">
            <v>512.69240000000002</v>
          </cell>
          <cell r="K1951">
            <v>0</v>
          </cell>
          <cell r="L1951">
            <v>512.69240000000002</v>
          </cell>
          <cell r="M1951">
            <v>0</v>
          </cell>
          <cell r="N1951">
            <v>659.99</v>
          </cell>
          <cell r="O1951" t="str">
            <v/>
          </cell>
          <cell r="P1951">
            <v>0</v>
          </cell>
          <cell r="Q1951">
            <v>0.28730209380907501</v>
          </cell>
          <cell r="R1951">
            <v>0.28730209380907501</v>
          </cell>
          <cell r="S1951" t="e">
            <v>#VALUE!</v>
          </cell>
          <cell r="T1951" t="e">
            <v>#VALUE!</v>
          </cell>
        </row>
        <row r="1952">
          <cell r="A1952" t="str">
            <v>GRAG2900027K</v>
          </cell>
          <cell r="B1952" t="str">
            <v>MKP000631003113</v>
          </cell>
          <cell r="C1952" t="str">
            <v/>
          </cell>
          <cell r="D1952" t="str">
            <v>Armário de Cozinha Completa 290cm Rustic/Preto Agata Madesa 02</v>
          </cell>
          <cell r="E1952" t="str">
            <v>ÁGATA</v>
          </cell>
          <cell r="F1952" t="str">
            <v>COZINHA</v>
          </cell>
          <cell r="G1952" t="str">
            <v/>
          </cell>
          <cell r="H1952">
            <v>2999.99</v>
          </cell>
          <cell r="I1952">
            <v>2099.9899999999998</v>
          </cell>
          <cell r="J1952">
            <v>1672.6486</v>
          </cell>
          <cell r="K1952">
            <v>0</v>
          </cell>
          <cell r="L1952">
            <v>1672.6486</v>
          </cell>
          <cell r="M1952">
            <v>0</v>
          </cell>
          <cell r="N1952">
            <v>2099.9899999999998</v>
          </cell>
          <cell r="O1952" t="str">
            <v/>
          </cell>
          <cell r="P1952">
            <v>0</v>
          </cell>
          <cell r="Q1952">
            <v>0.255487853216748</v>
          </cell>
          <cell r="R1952">
            <v>0.255487853216748</v>
          </cell>
          <cell r="S1952" t="e">
            <v>#VALUE!</v>
          </cell>
          <cell r="T1952" t="e">
            <v>#VALUE!</v>
          </cell>
        </row>
        <row r="1953">
          <cell r="A1953" t="str">
            <v>10935Z1E2GCP</v>
          </cell>
          <cell r="B1953" t="str">
            <v>MKP000631001081</v>
          </cell>
          <cell r="C1953" t="str">
            <v/>
          </cell>
          <cell r="D1953" t="str">
            <v>Guarda-Roupa Casal Madesa Lyon 3 Portas de Correr com Espelho 2 Gavetas com Pés Rustic</v>
          </cell>
          <cell r="E1953" t="str">
            <v>LYON</v>
          </cell>
          <cell r="F1953" t="str">
            <v>QUARTO</v>
          </cell>
          <cell r="G1953" t="str">
            <v/>
          </cell>
          <cell r="H1953">
            <v>1369.99</v>
          </cell>
          <cell r="I1953">
            <v>1149.99</v>
          </cell>
          <cell r="J1953">
            <v>885.70129999999995</v>
          </cell>
          <cell r="K1953">
            <v>0</v>
          </cell>
          <cell r="L1953">
            <v>885.70129999999995</v>
          </cell>
          <cell r="M1953">
            <v>0</v>
          </cell>
          <cell r="N1953">
            <v>1149.99</v>
          </cell>
          <cell r="O1953" t="str">
            <v/>
          </cell>
          <cell r="P1953">
            <v>0</v>
          </cell>
          <cell r="Q1953">
            <v>0.29839484259535298</v>
          </cell>
          <cell r="R1953">
            <v>0.29839484259535298</v>
          </cell>
          <cell r="S1953" t="e">
            <v>#VALUE!</v>
          </cell>
          <cell r="T1953" t="e">
            <v>#VALUE!</v>
          </cell>
        </row>
        <row r="1954">
          <cell r="A1954" t="str">
            <v>G251207KGL</v>
          </cell>
          <cell r="B1954" t="str">
            <v>MKP000631002839</v>
          </cell>
          <cell r="C1954" t="str">
            <v/>
          </cell>
          <cell r="D1954" t="str">
            <v>Armário Aéreo Madesa Glamy 120 cm 2 Portas com Vidro Rustic/Preto</v>
          </cell>
          <cell r="E1954" t="str">
            <v>GLAMY</v>
          </cell>
          <cell r="F1954" t="str">
            <v>MODULAÇÃO</v>
          </cell>
          <cell r="G1954" t="str">
            <v/>
          </cell>
          <cell r="H1954">
            <v>949.99</v>
          </cell>
          <cell r="I1954">
            <v>529.99</v>
          </cell>
          <cell r="J1954">
            <v>346.32569999999998</v>
          </cell>
          <cell r="K1954">
            <v>0</v>
          </cell>
          <cell r="L1954">
            <v>346.32569999999998</v>
          </cell>
          <cell r="M1954">
            <v>0</v>
          </cell>
          <cell r="N1954">
            <v>529.99</v>
          </cell>
          <cell r="O1954" t="str">
            <v/>
          </cell>
          <cell r="P1954">
            <v>0</v>
          </cell>
          <cell r="Q1954">
            <v>0.53032246812754602</v>
          </cell>
          <cell r="R1954">
            <v>0.53032246812754602</v>
          </cell>
          <cell r="S1954" t="e">
            <v>#VALUE!</v>
          </cell>
          <cell r="T1954" t="e">
            <v>#VALUE!</v>
          </cell>
        </row>
        <row r="1955">
          <cell r="A1955" t="str">
            <v>XA940909</v>
          </cell>
          <cell r="B1955" t="str">
            <v>MKP000631003369</v>
          </cell>
          <cell r="C1955" t="str">
            <v/>
          </cell>
          <cell r="D1955" t="str">
            <v>Escrivaninha Mesa para Computador Gamer 9409 Madesa Branco</v>
          </cell>
          <cell r="E1955" t="str">
            <v>GAMER</v>
          </cell>
          <cell r="F1955" t="str">
            <v>ESCRITÓRIO</v>
          </cell>
          <cell r="G1955" t="str">
            <v/>
          </cell>
          <cell r="H1955">
            <v>499.99</v>
          </cell>
          <cell r="I1955">
            <v>349.99</v>
          </cell>
          <cell r="J1955">
            <v>224.06039999999999</v>
          </cell>
          <cell r="K1955">
            <v>0</v>
          </cell>
          <cell r="L1955">
            <v>224.06039999999999</v>
          </cell>
          <cell r="M1955">
            <v>0</v>
          </cell>
          <cell r="N1955">
            <v>349.99</v>
          </cell>
          <cell r="O1955" t="str">
            <v>KABUM</v>
          </cell>
          <cell r="P1955">
            <v>343.15</v>
          </cell>
          <cell r="Q1955">
            <v>0.56203416578744003</v>
          </cell>
          <cell r="R1955">
            <v>0.56203416578744003</v>
          </cell>
          <cell r="S1955" t="e">
            <v>#VALUE!</v>
          </cell>
          <cell r="T1955" t="e">
            <v>#VALUE!</v>
          </cell>
        </row>
        <row r="1956">
          <cell r="A1956" t="str">
            <v>G256026EGL</v>
          </cell>
          <cell r="B1956" t="str">
            <v>MKP000631000551</v>
          </cell>
          <cell r="C1956" t="str">
            <v/>
          </cell>
          <cell r="D1956" t="str">
            <v>Armário Aéreo Madesa Glamy 60 cm 1 Porta Basculante Rustic/Branco</v>
          </cell>
          <cell r="E1956" t="str">
            <v>GLAMY</v>
          </cell>
          <cell r="F1956" t="str">
            <v>MODULAÇÃO</v>
          </cell>
          <cell r="G1956" t="str">
            <v/>
          </cell>
          <cell r="H1956">
            <v>369.99</v>
          </cell>
          <cell r="I1956">
            <v>249.99</v>
          </cell>
          <cell r="J1956">
            <v>158.20259999999999</v>
          </cell>
          <cell r="K1956">
            <v>0</v>
          </cell>
          <cell r="L1956">
            <v>158.20259999999999</v>
          </cell>
          <cell r="M1956">
            <v>0</v>
          </cell>
          <cell r="N1956">
            <v>249.99</v>
          </cell>
          <cell r="O1956" t="str">
            <v/>
          </cell>
          <cell r="P1956">
            <v>0</v>
          </cell>
          <cell r="Q1956">
            <v>0.58018894758998896</v>
          </cell>
          <cell r="R1956">
            <v>0.58018894758998896</v>
          </cell>
          <cell r="S1956" t="e">
            <v>#VALUE!</v>
          </cell>
          <cell r="T1956" t="e">
            <v>#VALUE!</v>
          </cell>
        </row>
        <row r="1957">
          <cell r="A1957" t="str">
            <v>G2440109AG</v>
          </cell>
          <cell r="B1957" t="str">
            <v>MKP000631004633</v>
          </cell>
          <cell r="C1957" t="str">
            <v/>
          </cell>
          <cell r="D1957" t="str">
            <v>Balcão Madesa Agata 40 cm 3 Gavetas Branco</v>
          </cell>
          <cell r="E1957" t="str">
            <v>ÁGATA</v>
          </cell>
          <cell r="F1957" t="str">
            <v>MODULAÇÃO</v>
          </cell>
          <cell r="G1957" t="str">
            <v/>
          </cell>
          <cell r="H1957">
            <v>679.99</v>
          </cell>
          <cell r="I1957">
            <v>539.99</v>
          </cell>
          <cell r="J1957">
            <v>340.39609999999999</v>
          </cell>
          <cell r="K1957">
            <v>0</v>
          </cell>
          <cell r="L1957">
            <v>340.39609999999999</v>
          </cell>
          <cell r="M1957">
            <v>0</v>
          </cell>
          <cell r="N1957">
            <v>539.99</v>
          </cell>
          <cell r="O1957" t="str">
            <v/>
          </cell>
          <cell r="P1957">
            <v>0</v>
          </cell>
          <cell r="Q1957">
            <v>0.58635777554443202</v>
          </cell>
          <cell r="R1957">
            <v>0.58635777554443202</v>
          </cell>
          <cell r="S1957" t="e">
            <v>#VALUE!</v>
          </cell>
          <cell r="T1957" t="e">
            <v>#VALUE!</v>
          </cell>
        </row>
        <row r="1958">
          <cell r="A1958" t="str">
            <v>G221247KLX</v>
          </cell>
          <cell r="B1958" t="str">
            <v>MKP000631003555</v>
          </cell>
          <cell r="C1958" t="str">
            <v/>
          </cell>
          <cell r="D1958" t="str">
            <v>Balcão Gabinete de Pia Madesa Lux 120 cm 2 Portas 3 Gavetas (Sem Tampo) Rustic/Preto</v>
          </cell>
          <cell r="E1958" t="str">
            <v>LUX</v>
          </cell>
          <cell r="F1958" t="str">
            <v>MODULAÇÃO</v>
          </cell>
          <cell r="G1958" t="str">
            <v/>
          </cell>
          <cell r="H1958">
            <v>1889.99</v>
          </cell>
          <cell r="I1958">
            <v>1389.99</v>
          </cell>
          <cell r="J1958">
            <v>831.67</v>
          </cell>
          <cell r="K1958">
            <v>0</v>
          </cell>
          <cell r="L1958">
            <v>831.67</v>
          </cell>
          <cell r="M1958">
            <v>0</v>
          </cell>
          <cell r="N1958">
            <v>1389.99</v>
          </cell>
          <cell r="O1958" t="str">
            <v>LOJA</v>
          </cell>
          <cell r="P1958">
            <v>1379.99</v>
          </cell>
          <cell r="Q1958">
            <v>0.67132396262940797</v>
          </cell>
          <cell r="R1958">
            <v>0.67132396262940797</v>
          </cell>
          <cell r="S1958" t="e">
            <v>#VALUE!</v>
          </cell>
          <cell r="T1958" t="e">
            <v>#VALUE!</v>
          </cell>
        </row>
        <row r="1959">
          <cell r="A1959" t="str">
            <v>10185Z2E</v>
          </cell>
          <cell r="B1959" t="str">
            <v>MKP000631002255</v>
          </cell>
          <cell r="C1959" t="str">
            <v/>
          </cell>
          <cell r="D1959" t="str">
            <v>Guarda-Roupa Casal Madesa Kansas 3 Portas de Correr com Espelhos 3 Gavetas Rustic</v>
          </cell>
          <cell r="E1959" t="str">
            <v>KANSAS</v>
          </cell>
          <cell r="F1959" t="str">
            <v>QUARTO</v>
          </cell>
          <cell r="G1959" t="str">
            <v/>
          </cell>
          <cell r="H1959">
            <v>2009.99</v>
          </cell>
          <cell r="I1959">
            <v>1689.99</v>
          </cell>
          <cell r="J1959">
            <v>1403.7782999999999</v>
          </cell>
          <cell r="K1959">
            <v>0</v>
          </cell>
          <cell r="L1959">
            <v>1403.7782999999999</v>
          </cell>
          <cell r="M1959">
            <v>0</v>
          </cell>
          <cell r="N1959">
            <v>1689.99</v>
          </cell>
          <cell r="O1959" t="str">
            <v/>
          </cell>
          <cell r="P1959">
            <v>0</v>
          </cell>
          <cell r="Q1959">
            <v>0.20388668210642699</v>
          </cell>
          <cell r="R1959">
            <v>0.20388668210642699</v>
          </cell>
          <cell r="S1959" t="e">
            <v>#VALUE!</v>
          </cell>
          <cell r="T1959" t="e">
            <v>#VALUE!</v>
          </cell>
        </row>
        <row r="1960">
          <cell r="A1960" t="str">
            <v>GRAG29000273</v>
          </cell>
          <cell r="B1960" t="str">
            <v>MKP000631003091</v>
          </cell>
          <cell r="C1960" t="str">
            <v/>
          </cell>
          <cell r="D1960" t="str">
            <v>Armário de Cozinha Completa 290cm Branco/Preto Agata Madesa 02</v>
          </cell>
          <cell r="E1960" t="str">
            <v>ÁGATA</v>
          </cell>
          <cell r="F1960" t="str">
            <v>COZINHA</v>
          </cell>
          <cell r="G1960" t="str">
            <v/>
          </cell>
          <cell r="H1960">
            <v>2789.99</v>
          </cell>
          <cell r="I1960">
            <v>2099.9899999999998</v>
          </cell>
          <cell r="J1960">
            <v>1672.6486</v>
          </cell>
          <cell r="K1960">
            <v>0</v>
          </cell>
          <cell r="L1960">
            <v>1672.6486</v>
          </cell>
          <cell r="M1960">
            <v>0</v>
          </cell>
          <cell r="N1960">
            <v>2099.9899999999998</v>
          </cell>
          <cell r="O1960" t="str">
            <v/>
          </cell>
          <cell r="P1960">
            <v>0</v>
          </cell>
          <cell r="Q1960">
            <v>0.255487853216748</v>
          </cell>
          <cell r="R1960">
            <v>0.255487853216748</v>
          </cell>
          <cell r="S1960" t="e">
            <v>#VALUE!</v>
          </cell>
          <cell r="T1960" t="e">
            <v>#VALUE!</v>
          </cell>
        </row>
        <row r="1961">
          <cell r="A1961" t="str">
            <v>G251217KGL</v>
          </cell>
          <cell r="B1961" t="str">
            <v>MKP000631001166</v>
          </cell>
          <cell r="C1961" t="str">
            <v/>
          </cell>
          <cell r="D1961" t="str">
            <v>Armário Aéreo Madesa Glamy 120 cm 2 Portas Rustic/Preto</v>
          </cell>
          <cell r="E1961" t="str">
            <v>GLAMY</v>
          </cell>
          <cell r="F1961" t="str">
            <v>MODULAÇÃO</v>
          </cell>
          <cell r="G1961" t="str">
            <v/>
          </cell>
          <cell r="H1961">
            <v>839.99</v>
          </cell>
          <cell r="I1961">
            <v>519.99</v>
          </cell>
          <cell r="J1961">
            <v>328.85300000000001</v>
          </cell>
          <cell r="K1961">
            <v>0</v>
          </cell>
          <cell r="L1961">
            <v>328.85300000000001</v>
          </cell>
          <cell r="M1961">
            <v>0</v>
          </cell>
          <cell r="N1961">
            <v>519.99</v>
          </cell>
          <cell r="O1961" t="str">
            <v/>
          </cell>
          <cell r="P1961">
            <v>0</v>
          </cell>
          <cell r="Q1961">
            <v>0.58122322131773196</v>
          </cell>
          <cell r="R1961">
            <v>0.58122322131773196</v>
          </cell>
          <cell r="S1961" t="e">
            <v>#VALUE!</v>
          </cell>
          <cell r="T1961" t="e">
            <v>#VALUE!</v>
          </cell>
        </row>
        <row r="1962">
          <cell r="A1962" t="str">
            <v>G27080H7LX</v>
          </cell>
          <cell r="B1962" t="str">
            <v>MKP000631004745</v>
          </cell>
          <cell r="C1962" t="str">
            <v/>
          </cell>
          <cell r="D1962" t="str">
            <v>Porta-Geladeira Madesa Lux 1 Porta Basculante Branco/Branco Veludo</v>
          </cell>
          <cell r="E1962" t="str">
            <v>LUX</v>
          </cell>
          <cell r="F1962" t="str">
            <v>MODULAÇÃO</v>
          </cell>
          <cell r="G1962" t="str">
            <v/>
          </cell>
          <cell r="H1962">
            <v>1059.99</v>
          </cell>
          <cell r="I1962">
            <v>739.99</v>
          </cell>
          <cell r="J1962">
            <v>378.67689999999999</v>
          </cell>
          <cell r="K1962">
            <v>0</v>
          </cell>
          <cell r="L1962">
            <v>378.67689999999999</v>
          </cell>
          <cell r="M1962">
            <v>0</v>
          </cell>
          <cell r="N1962">
            <v>739.99</v>
          </cell>
          <cell r="O1962" t="str">
            <v>LOJA</v>
          </cell>
          <cell r="P1962">
            <v>729.99</v>
          </cell>
          <cell r="Q1962">
            <v>0.95414613355079203</v>
          </cell>
          <cell r="R1962">
            <v>0.95414613355079203</v>
          </cell>
          <cell r="S1962" t="e">
            <v>#VALUE!</v>
          </cell>
          <cell r="T1962" t="e">
            <v>#VALUE!</v>
          </cell>
        </row>
        <row r="1963">
          <cell r="A1963" t="str">
            <v>GRGL290013A7</v>
          </cell>
          <cell r="B1963" t="str">
            <v>MKP000631001267</v>
          </cell>
          <cell r="C1963" t="str">
            <v/>
          </cell>
          <cell r="D1963" t="str">
            <v>Armário de Cozinha Completa 290cm Rustic/Branco/Crema Safira Madesa 13</v>
          </cell>
          <cell r="E1963" t="str">
            <v>SAFIRA/GLAMY</v>
          </cell>
          <cell r="F1963" t="str">
            <v>COZINHA</v>
          </cell>
          <cell r="G1963" t="str">
            <v/>
          </cell>
          <cell r="H1963">
            <v>2299.9899999999998</v>
          </cell>
          <cell r="I1963">
            <v>2199.9899999999998</v>
          </cell>
          <cell r="J1963">
            <v>1851.692</v>
          </cell>
          <cell r="K1963">
            <v>0</v>
          </cell>
          <cell r="L1963">
            <v>1851.692</v>
          </cell>
          <cell r="M1963">
            <v>0</v>
          </cell>
          <cell r="N1963">
            <v>2199.9899999999998</v>
          </cell>
          <cell r="O1963" t="str">
            <v/>
          </cell>
          <cell r="P1963">
            <v>0</v>
          </cell>
          <cell r="Q1963">
            <v>0.18809715654655301</v>
          </cell>
          <cell r="R1963">
            <v>0.18809715654655301</v>
          </cell>
          <cell r="S1963" t="e">
            <v>#VALUE!</v>
          </cell>
          <cell r="T1963" t="e">
            <v>#VALUE!</v>
          </cell>
        </row>
        <row r="1964">
          <cell r="A1964" t="str">
            <v>GREM325002C1</v>
          </cell>
          <cell r="B1964" t="str">
            <v>MKP000631005024</v>
          </cell>
          <cell r="C1964" t="str">
            <v/>
          </cell>
          <cell r="D1964" t="str">
            <v>Armário de Cozinha Completa 325cm Rustic/Preto/Rustic Emilly Madesa 02</v>
          </cell>
          <cell r="E1964" t="str">
            <v>EMILLY</v>
          </cell>
          <cell r="F1964" t="str">
            <v>COZINHA</v>
          </cell>
          <cell r="G1964" t="str">
            <v/>
          </cell>
          <cell r="H1964">
            <v>1479.99</v>
          </cell>
          <cell r="I1964">
            <v>1379.99</v>
          </cell>
          <cell r="J1964">
            <v>1092.4088999999999</v>
          </cell>
          <cell r="K1964">
            <v>0</v>
          </cell>
          <cell r="L1964">
            <v>1092.4088999999999</v>
          </cell>
          <cell r="M1964">
            <v>0</v>
          </cell>
          <cell r="N1964">
            <v>1379.99</v>
          </cell>
          <cell r="O1964" t="str">
            <v/>
          </cell>
          <cell r="P1964">
            <v>0</v>
          </cell>
          <cell r="Q1964">
            <v>0.26325408004273898</v>
          </cell>
          <cell r="R1964">
            <v>0.26325408004273898</v>
          </cell>
          <cell r="S1964" t="e">
            <v>#VALUE!</v>
          </cell>
          <cell r="T1964" t="e">
            <v>#VALUE!</v>
          </cell>
        </row>
        <row r="1965">
          <cell r="A1965" t="str">
            <v>GRAG2600027K</v>
          </cell>
          <cell r="B1965" t="str">
            <v>MKP000631004560</v>
          </cell>
          <cell r="C1965" t="str">
            <v/>
          </cell>
          <cell r="D1965" t="str">
            <v>Armário de Cozinha Completa 260cm Rustic Preto Agata Madesa 02</v>
          </cell>
          <cell r="E1965" t="str">
            <v>ÁGATA</v>
          </cell>
          <cell r="F1965" t="str">
            <v>COZINHA</v>
          </cell>
          <cell r="G1965" t="str">
            <v/>
          </cell>
          <cell r="H1965">
            <v>1799.99</v>
          </cell>
          <cell r="I1965">
            <v>1699.99</v>
          </cell>
          <cell r="J1965">
            <v>1382.2617</v>
          </cell>
          <cell r="K1965">
            <v>0</v>
          </cell>
          <cell r="L1965">
            <v>1382.2617</v>
          </cell>
          <cell r="M1965">
            <v>0</v>
          </cell>
          <cell r="N1965">
            <v>1699.99</v>
          </cell>
          <cell r="O1965" t="str">
            <v/>
          </cell>
          <cell r="P1965">
            <v>0</v>
          </cell>
          <cell r="Q1965">
            <v>0.22986117607107201</v>
          </cell>
          <cell r="R1965">
            <v>0.22986117607107201</v>
          </cell>
          <cell r="S1965" t="e">
            <v>#VALUE!</v>
          </cell>
          <cell r="T1965" t="e">
            <v>#VALUE!</v>
          </cell>
        </row>
        <row r="1966">
          <cell r="A1966" t="str">
            <v>10939B1E4G</v>
          </cell>
          <cell r="B1966" t="str">
            <v>MKP000631000809</v>
          </cell>
          <cell r="C1966" t="str">
            <v/>
          </cell>
          <cell r="D1966" t="str">
            <v>Guarda-Roupa Casal Madesa Lyon Plus 3 Portas de Correr com Espelho 4 Gavetas Branco/Rustic</v>
          </cell>
          <cell r="E1966" t="str">
            <v>LYON PLUS</v>
          </cell>
          <cell r="F1966" t="str">
            <v>QUARTO</v>
          </cell>
          <cell r="G1966" t="str">
            <v/>
          </cell>
          <cell r="H1966">
            <v>1509.99</v>
          </cell>
          <cell r="I1966">
            <v>1169.99</v>
          </cell>
          <cell r="J1966">
            <v>928.25490000000002</v>
          </cell>
          <cell r="K1966">
            <v>0</v>
          </cell>
          <cell r="L1966">
            <v>928.25490000000002</v>
          </cell>
          <cell r="M1966">
            <v>0</v>
          </cell>
          <cell r="N1966">
            <v>1169.99</v>
          </cell>
          <cell r="O1966" t="str">
            <v/>
          </cell>
          <cell r="P1966">
            <v>0</v>
          </cell>
          <cell r="Q1966">
            <v>0.26041887847831402</v>
          </cell>
          <cell r="R1966">
            <v>0.26041887847831402</v>
          </cell>
          <cell r="S1966" t="e">
            <v>#VALUE!</v>
          </cell>
          <cell r="T1966" t="e">
            <v>#VALUE!</v>
          </cell>
        </row>
        <row r="1967">
          <cell r="A1967" t="str">
            <v>GRGM33000609</v>
          </cell>
          <cell r="B1967" t="str">
            <v>MKP000631004344</v>
          </cell>
          <cell r="C1967" t="str">
            <v/>
          </cell>
          <cell r="D1967" t="str">
            <v>Armário de Cozinha Completa 100% MDF 330cm Frentes Branco Brilho Acordes Madesa 06</v>
          </cell>
          <cell r="E1967" t="str">
            <v>ACORDES</v>
          </cell>
          <cell r="F1967" t="str">
            <v>COZINHA</v>
          </cell>
          <cell r="G1967" t="str">
            <v/>
          </cell>
          <cell r="H1967">
            <v>2399.9899999999998</v>
          </cell>
          <cell r="I1967">
            <v>2299.9899999999998</v>
          </cell>
          <cell r="J1967">
            <v>1928.4716000000001</v>
          </cell>
          <cell r="K1967">
            <v>0</v>
          </cell>
          <cell r="L1967">
            <v>1928.4716000000001</v>
          </cell>
          <cell r="M1967">
            <v>0</v>
          </cell>
          <cell r="N1967">
            <v>2299.9899999999998</v>
          </cell>
          <cell r="O1967" t="str">
            <v/>
          </cell>
          <cell r="P1967">
            <v>0</v>
          </cell>
          <cell r="Q1967">
            <v>0.19264914246079601</v>
          </cell>
          <cell r="R1967">
            <v>0.19264914246079601</v>
          </cell>
          <cell r="S1967" t="e">
            <v>#VALUE!</v>
          </cell>
          <cell r="T1967" t="e">
            <v>#VALUE!</v>
          </cell>
        </row>
        <row r="1968">
          <cell r="A1968" t="str">
            <v>GRGL2900049B</v>
          </cell>
          <cell r="B1968" t="str">
            <v>MKP000631000215</v>
          </cell>
          <cell r="C1968" t="str">
            <v/>
          </cell>
          <cell r="D1968" t="str">
            <v>Armário de Cozinha Completa 290cm Branco/Rustic Safira Madesa 04</v>
          </cell>
          <cell r="E1968" t="str">
            <v>SAFIRA/GLAMY</v>
          </cell>
          <cell r="F1968" t="str">
            <v>COZINHA</v>
          </cell>
          <cell r="G1968" t="str">
            <v/>
          </cell>
          <cell r="H1968">
            <v>2199.9899999999998</v>
          </cell>
          <cell r="I1968">
            <v>2099.9899999999998</v>
          </cell>
          <cell r="J1968">
            <v>1743.5204000000001</v>
          </cell>
          <cell r="K1968">
            <v>0</v>
          </cell>
          <cell r="L1968">
            <v>1743.5204000000001</v>
          </cell>
          <cell r="M1968">
            <v>0</v>
          </cell>
          <cell r="N1968">
            <v>2099.9899999999998</v>
          </cell>
          <cell r="O1968" t="str">
            <v/>
          </cell>
          <cell r="P1968">
            <v>0</v>
          </cell>
          <cell r="Q1968">
            <v>0.20445393125311301</v>
          </cell>
          <cell r="R1968">
            <v>0.20445393125311301</v>
          </cell>
          <cell r="S1968" t="e">
            <v>#VALUE!</v>
          </cell>
          <cell r="T1968" t="e">
            <v>#VALUE!</v>
          </cell>
        </row>
        <row r="1969">
          <cell r="A1969" t="str">
            <v>1018733E</v>
          </cell>
          <cell r="B1969" t="str">
            <v>MKP000631002385</v>
          </cell>
          <cell r="C1969" t="str">
            <v/>
          </cell>
          <cell r="D1969" t="str">
            <v>Guarda-Roupa Casal Madesa Kansas 3 Portas de Correr de Espelho 3 Gavetas Branco/Preto</v>
          </cell>
          <cell r="E1969" t="str">
            <v>KANSAS</v>
          </cell>
          <cell r="F1969" t="str">
            <v>QUARTO</v>
          </cell>
          <cell r="G1969" t="str">
            <v/>
          </cell>
          <cell r="H1969">
            <v>2389.9899999999998</v>
          </cell>
          <cell r="I1969">
            <v>1849.99</v>
          </cell>
          <cell r="J1969">
            <v>1523.3404</v>
          </cell>
          <cell r="K1969">
            <v>0</v>
          </cell>
          <cell r="L1969">
            <v>1523.3404</v>
          </cell>
          <cell r="M1969">
            <v>0</v>
          </cell>
          <cell r="N1969">
            <v>1849.99</v>
          </cell>
          <cell r="O1969" t="str">
            <v/>
          </cell>
          <cell r="P1969">
            <v>0</v>
          </cell>
          <cell r="Q1969">
            <v>0.21442981489888899</v>
          </cell>
          <cell r="R1969">
            <v>0.21442981489888899</v>
          </cell>
          <cell r="S1969" t="e">
            <v>#VALUE!</v>
          </cell>
          <cell r="T1969" t="e">
            <v>#VALUE!</v>
          </cell>
        </row>
        <row r="1970">
          <cell r="A1970" t="str">
            <v>G22601H7LX</v>
          </cell>
          <cell r="B1970" t="str">
            <v>MKP000631004679</v>
          </cell>
          <cell r="C1970" t="str">
            <v/>
          </cell>
          <cell r="D1970" t="str">
            <v>Balcão Madesa Lux 60 cm 3 Gavetas (Sem Tampo) Branco/Branco Veludo</v>
          </cell>
          <cell r="E1970" t="str">
            <v>LUX</v>
          </cell>
          <cell r="F1970" t="str">
            <v>MODULAÇÃO</v>
          </cell>
          <cell r="G1970" t="str">
            <v/>
          </cell>
          <cell r="H1970">
            <v>1179.99</v>
          </cell>
          <cell r="I1970">
            <v>779.99</v>
          </cell>
          <cell r="J1970">
            <v>400.8802</v>
          </cell>
          <cell r="K1970">
            <v>0</v>
          </cell>
          <cell r="L1970">
            <v>400.8802</v>
          </cell>
          <cell r="M1970">
            <v>0</v>
          </cell>
          <cell r="N1970">
            <v>779.99</v>
          </cell>
          <cell r="O1970" t="str">
            <v>LOJA</v>
          </cell>
          <cell r="P1970">
            <v>769.99</v>
          </cell>
          <cell r="Q1970">
            <v>0.94569350145005904</v>
          </cell>
          <cell r="R1970">
            <v>0.94569350145005904</v>
          </cell>
          <cell r="S1970" t="e">
            <v>#VALUE!</v>
          </cell>
          <cell r="T1970" t="e">
            <v>#VALUE!</v>
          </cell>
        </row>
        <row r="1971">
          <cell r="A1971" t="str">
            <v>70045Z</v>
          </cell>
          <cell r="B1971" t="str">
            <v>MKP000631005986</v>
          </cell>
          <cell r="C1971" t="str">
            <v/>
          </cell>
          <cell r="D1971" t="str">
            <v>Rack com Painel para TV até 65 Polegadas Rustic Orlando Madesa</v>
          </cell>
          <cell r="E1971" t="str">
            <v>ORLANDO</v>
          </cell>
          <cell r="F1971" t="str">
            <v>SALA DE ESTAR</v>
          </cell>
          <cell r="G1971" t="str">
            <v/>
          </cell>
          <cell r="H1971">
            <v>479.99</v>
          </cell>
          <cell r="I1971">
            <v>379.99</v>
          </cell>
          <cell r="J1971">
            <v>304.98200000000003</v>
          </cell>
          <cell r="K1971">
            <v>0</v>
          </cell>
          <cell r="L1971">
            <v>304.98200000000003</v>
          </cell>
          <cell r="M1971">
            <v>0</v>
          </cell>
          <cell r="N1971">
            <v>379.99</v>
          </cell>
          <cell r="O1971" t="str">
            <v/>
          </cell>
          <cell r="P1971">
            <v>0</v>
          </cell>
          <cell r="Q1971">
            <v>0.245942383484927</v>
          </cell>
          <cell r="R1971">
            <v>0.245942383484927</v>
          </cell>
          <cell r="S1971" t="e">
            <v>#VALUE!</v>
          </cell>
          <cell r="T1971" t="e">
            <v>#VALUE!</v>
          </cell>
        </row>
        <row r="1972">
          <cell r="A1972" t="str">
            <v>GRTE290001D9</v>
          </cell>
          <cell r="B1972" t="str">
            <v>MKP000631001991</v>
          </cell>
          <cell r="C1972" t="str">
            <v/>
          </cell>
          <cell r="D1972" t="str">
            <v>Armário de Cozinha Completa 290cm Rustic/Rustic/Branco Stella Madesa 01</v>
          </cell>
          <cell r="E1972" t="str">
            <v>STELLA</v>
          </cell>
          <cell r="F1972" t="str">
            <v>COZINHA</v>
          </cell>
          <cell r="G1972" t="str">
            <v/>
          </cell>
          <cell r="H1972">
            <v>3069.99</v>
          </cell>
          <cell r="I1972">
            <v>2499.9899999999998</v>
          </cell>
          <cell r="J1972">
            <v>2147.7577999999999</v>
          </cell>
          <cell r="K1972">
            <v>0</v>
          </cell>
          <cell r="L1972">
            <v>2147.7577999999999</v>
          </cell>
          <cell r="M1972">
            <v>0</v>
          </cell>
          <cell r="N1972">
            <v>2499.9899999999998</v>
          </cell>
          <cell r="O1972" t="str">
            <v/>
          </cell>
          <cell r="P1972">
            <v>0</v>
          </cell>
          <cell r="Q1972">
            <v>0.16399996312433299</v>
          </cell>
          <cell r="R1972">
            <v>0.16399996312433299</v>
          </cell>
          <cell r="S1972" t="e">
            <v>#VALUE!</v>
          </cell>
          <cell r="T1972" t="e">
            <v>#VALUE!</v>
          </cell>
        </row>
        <row r="1973">
          <cell r="A1973" t="str">
            <v>MDES02000477</v>
          </cell>
          <cell r="B1973" t="str">
            <v>MKP000631000157</v>
          </cell>
          <cell r="C1973" t="str">
            <v/>
          </cell>
          <cell r="D1973" t="str">
            <v>Rack Madesa Londres e Painel para TV até 55 Polegadas Preto/Branco</v>
          </cell>
          <cell r="E1973" t="str">
            <v>LONDRES</v>
          </cell>
          <cell r="F1973" t="str">
            <v>SALA DE ESTAR</v>
          </cell>
          <cell r="G1973" t="str">
            <v/>
          </cell>
          <cell r="H1973">
            <v>649.99</v>
          </cell>
          <cell r="I1973">
            <v>549.99</v>
          </cell>
          <cell r="J1973">
            <v>425.51420000000002</v>
          </cell>
          <cell r="K1973">
            <v>0</v>
          </cell>
          <cell r="L1973">
            <v>425.51420000000002</v>
          </cell>
          <cell r="M1973">
            <v>0</v>
          </cell>
          <cell r="N1973">
            <v>549.99</v>
          </cell>
          <cell r="O1973" t="str">
            <v/>
          </cell>
          <cell r="P1973">
            <v>0</v>
          </cell>
          <cell r="Q1973">
            <v>0.29253030803672397</v>
          </cell>
          <cell r="R1973">
            <v>0.29253030803672397</v>
          </cell>
          <cell r="S1973" t="e">
            <v>#VALUE!</v>
          </cell>
          <cell r="T1973" t="e">
            <v>#VALUE!</v>
          </cell>
        </row>
        <row r="1974">
          <cell r="A1974" t="str">
            <v>1093731E4G</v>
          </cell>
          <cell r="B1974" t="str">
            <v>MKP000631002293</v>
          </cell>
          <cell r="C1974" t="str">
            <v/>
          </cell>
          <cell r="D1974" t="str">
            <v>Guarda-Roupa Casal Madesa Lyon Plus 3 Portas de Correr com Espelho 4 Gavetas Branco/Preto</v>
          </cell>
          <cell r="E1974" t="str">
            <v>LYON PLUS</v>
          </cell>
          <cell r="F1974" t="str">
            <v>QUARTO</v>
          </cell>
          <cell r="G1974" t="str">
            <v/>
          </cell>
          <cell r="H1974">
            <v>1509.99</v>
          </cell>
          <cell r="I1974">
            <v>1169.99</v>
          </cell>
          <cell r="J1974">
            <v>928.25490000000002</v>
          </cell>
          <cell r="K1974">
            <v>0</v>
          </cell>
          <cell r="L1974">
            <v>928.25490000000002</v>
          </cell>
          <cell r="M1974">
            <v>0</v>
          </cell>
          <cell r="N1974">
            <v>1169.99</v>
          </cell>
          <cell r="O1974" t="str">
            <v/>
          </cell>
          <cell r="P1974">
            <v>0</v>
          </cell>
          <cell r="Q1974">
            <v>0.26041887847831402</v>
          </cell>
          <cell r="R1974">
            <v>0.26041887847831402</v>
          </cell>
          <cell r="S1974" t="e">
            <v>#VALUE!</v>
          </cell>
          <cell r="T1974" t="e">
            <v>#VALUE!</v>
          </cell>
        </row>
        <row r="1975">
          <cell r="A1975" t="str">
            <v>10935Z4GCP</v>
          </cell>
          <cell r="B1975" t="str">
            <v>MKP000631001079</v>
          </cell>
          <cell r="C1975" t="str">
            <v/>
          </cell>
          <cell r="D1975" t="str">
            <v>Guarda-Roupa Casal Madesa Lyon Plus 3 Portas de Correr 4 Gavetas com Pés Rustic</v>
          </cell>
          <cell r="E1975" t="str">
            <v>LYON PLUS</v>
          </cell>
          <cell r="F1975" t="str">
            <v>QUARTO</v>
          </cell>
          <cell r="G1975" t="str">
            <v/>
          </cell>
          <cell r="H1975">
            <v>1369.99</v>
          </cell>
          <cell r="I1975">
            <v>1069.99</v>
          </cell>
          <cell r="J1975">
            <v>844.51020000000005</v>
          </cell>
          <cell r="K1975">
            <v>0</v>
          </cell>
          <cell r="L1975">
            <v>844.51020000000005</v>
          </cell>
          <cell r="M1975">
            <v>0</v>
          </cell>
          <cell r="N1975">
            <v>1069.99</v>
          </cell>
          <cell r="O1975" t="str">
            <v/>
          </cell>
          <cell r="P1975">
            <v>0</v>
          </cell>
          <cell r="Q1975">
            <v>0.26699476217101897</v>
          </cell>
          <cell r="R1975">
            <v>0.26699476217101897</v>
          </cell>
          <cell r="S1975" t="e">
            <v>#VALUE!</v>
          </cell>
          <cell r="T1975" t="e">
            <v>#VALUE!</v>
          </cell>
        </row>
        <row r="1976">
          <cell r="A1976" t="str">
            <v>10935Z2ECP</v>
          </cell>
          <cell r="B1976" t="str">
            <v>MKP000631001856</v>
          </cell>
          <cell r="C1976" t="str">
            <v/>
          </cell>
          <cell r="D1976" t="str">
            <v>Guarda-Roupa Casal Madesa Mônaco 3 Portas de Correr com Espelhos com Pés Rustic</v>
          </cell>
          <cell r="E1976" t="str">
            <v>MÔNACO</v>
          </cell>
          <cell r="F1976" t="str">
            <v>QUARTO</v>
          </cell>
          <cell r="G1976" t="str">
            <v/>
          </cell>
          <cell r="H1976">
            <v>2019.99</v>
          </cell>
          <cell r="I1976">
            <v>1189.99</v>
          </cell>
          <cell r="J1976">
            <v>926.89239999999995</v>
          </cell>
          <cell r="K1976">
            <v>0</v>
          </cell>
          <cell r="L1976">
            <v>926.89239999999995</v>
          </cell>
          <cell r="M1976">
            <v>0</v>
          </cell>
          <cell r="N1976">
            <v>1189.99</v>
          </cell>
          <cell r="O1976" t="str">
            <v/>
          </cell>
          <cell r="P1976">
            <v>0</v>
          </cell>
          <cell r="Q1976">
            <v>0.283849128550412</v>
          </cell>
          <cell r="R1976">
            <v>0.283849128550412</v>
          </cell>
          <cell r="S1976" t="e">
            <v>#VALUE!</v>
          </cell>
          <cell r="T1976" t="e">
            <v>#VALUE!</v>
          </cell>
        </row>
        <row r="1977">
          <cell r="A1977" t="str">
            <v>XA10946E2G</v>
          </cell>
          <cell r="B1977" t="str">
            <v>MKP000631001609</v>
          </cell>
          <cell r="C1977" t="str">
            <v/>
          </cell>
          <cell r="D1977" t="str">
            <v>Guarda-Roupa Infantil Madesa Bento 2 Portas de Correr 2 Gavetas Rustic/Branco</v>
          </cell>
          <cell r="E1977" t="str">
            <v>BENTO</v>
          </cell>
          <cell r="F1977" t="str">
            <v>QUARTO</v>
          </cell>
          <cell r="G1977" t="str">
            <v/>
          </cell>
          <cell r="H1977">
            <v>1169.99</v>
          </cell>
          <cell r="I1977">
            <v>729.99</v>
          </cell>
          <cell r="J1977">
            <v>563.84609999999998</v>
          </cell>
          <cell r="K1977">
            <v>0</v>
          </cell>
          <cell r="L1977">
            <v>563.84609999999998</v>
          </cell>
          <cell r="M1977">
            <v>0</v>
          </cell>
          <cell r="N1977">
            <v>729.99</v>
          </cell>
          <cell r="O1977" t="str">
            <v/>
          </cell>
          <cell r="P1977">
            <v>0</v>
          </cell>
          <cell r="Q1977">
            <v>0.29466178803045701</v>
          </cell>
          <cell r="R1977">
            <v>0.29466178803045701</v>
          </cell>
          <cell r="S1977" t="e">
            <v>#VALUE!</v>
          </cell>
          <cell r="T1977" t="e">
            <v>#VALUE!</v>
          </cell>
        </row>
        <row r="1978">
          <cell r="A1978" t="str">
            <v>G2415373GL</v>
          </cell>
          <cell r="B1978" t="str">
            <v>MKP000631003511</v>
          </cell>
          <cell r="C1978" t="str">
            <v/>
          </cell>
          <cell r="D1978" t="str">
            <v>Balcão de Pia Madesa Glamy 150 cm 2 Portas e 2 Gavetas (Sem Tampo e Pia) Branco/Preto</v>
          </cell>
          <cell r="E1978" t="str">
            <v>GLAMY</v>
          </cell>
          <cell r="F1978" t="str">
            <v>MODULAÇÃO</v>
          </cell>
          <cell r="G1978" t="str">
            <v/>
          </cell>
          <cell r="H1978">
            <v>1119.99</v>
          </cell>
          <cell r="I1978">
            <v>559.99</v>
          </cell>
          <cell r="J1978">
            <v>436.25069999999999</v>
          </cell>
          <cell r="K1978">
            <v>0</v>
          </cell>
          <cell r="L1978">
            <v>436.25069999999999</v>
          </cell>
          <cell r="M1978">
            <v>0</v>
          </cell>
          <cell r="N1978">
            <v>559.99</v>
          </cell>
          <cell r="O1978" t="str">
            <v/>
          </cell>
          <cell r="P1978">
            <v>0</v>
          </cell>
          <cell r="Q1978">
            <v>0.28364263942728302</v>
          </cell>
          <cell r="R1978">
            <v>0.28364263942728302</v>
          </cell>
          <cell r="S1978" t="e">
            <v>#VALUE!</v>
          </cell>
          <cell r="T1978" t="e">
            <v>#VALUE!</v>
          </cell>
        </row>
        <row r="1979">
          <cell r="A1979" t="str">
            <v>G241237KGL</v>
          </cell>
          <cell r="B1979" t="str">
            <v>MKP000631001133</v>
          </cell>
          <cell r="C1979" t="str">
            <v/>
          </cell>
          <cell r="D1979" t="str">
            <v>Balcão Gabinete de Pia Madesa Glamy 120 cm 1 Porta 2 Gavetas (Sem Tampo e Pia) Rustic/Preto</v>
          </cell>
          <cell r="E1979" t="str">
            <v>GLAMY</v>
          </cell>
          <cell r="F1979" t="str">
            <v>MODULAÇÃO</v>
          </cell>
          <cell r="G1979" t="str">
            <v/>
          </cell>
          <cell r="H1979">
            <v>1149.99</v>
          </cell>
          <cell r="I1979">
            <v>579.99</v>
          </cell>
          <cell r="J1979">
            <v>447.5976</v>
          </cell>
          <cell r="K1979">
            <v>0</v>
          </cell>
          <cell r="L1979">
            <v>447.5976</v>
          </cell>
          <cell r="M1979">
            <v>0</v>
          </cell>
          <cell r="N1979">
            <v>579.99</v>
          </cell>
          <cell r="O1979" t="str">
            <v/>
          </cell>
          <cell r="P1979">
            <v>0</v>
          </cell>
          <cell r="Q1979">
            <v>0.29578442779853997</v>
          </cell>
          <cell r="R1979">
            <v>0.29578442779853997</v>
          </cell>
          <cell r="S1979" t="e">
            <v>#VALUE!</v>
          </cell>
          <cell r="T1979" t="e">
            <v>#VALUE!</v>
          </cell>
        </row>
        <row r="1980">
          <cell r="A1980" t="str">
            <v>GRTE290001A8</v>
          </cell>
          <cell r="B1980" t="str">
            <v>MKP000631001982</v>
          </cell>
          <cell r="C1980" t="str">
            <v/>
          </cell>
          <cell r="D1980" t="str">
            <v>Armário de Cozinha Completa 290cm Branco/Rustic/Branco Stella Madesa 01</v>
          </cell>
          <cell r="E1980" t="str">
            <v>STELLA</v>
          </cell>
          <cell r="F1980" t="str">
            <v>COZINHA</v>
          </cell>
          <cell r="G1980" t="str">
            <v/>
          </cell>
          <cell r="H1980">
            <v>3069.99</v>
          </cell>
          <cell r="I1980">
            <v>2499.9899999999998</v>
          </cell>
          <cell r="J1980">
            <v>2147.7577999999999</v>
          </cell>
          <cell r="K1980">
            <v>0</v>
          </cell>
          <cell r="L1980">
            <v>2147.7577999999999</v>
          </cell>
          <cell r="M1980">
            <v>0</v>
          </cell>
          <cell r="N1980">
            <v>2499.9899999999998</v>
          </cell>
          <cell r="O1980" t="str">
            <v/>
          </cell>
          <cell r="P1980">
            <v>0</v>
          </cell>
          <cell r="Q1980">
            <v>0.16399996312433299</v>
          </cell>
          <cell r="R1980">
            <v>0.16399996312433299</v>
          </cell>
          <cell r="S1980" t="e">
            <v>#VALUE!</v>
          </cell>
          <cell r="T1980" t="e">
            <v>#VALUE!</v>
          </cell>
        </row>
        <row r="1981">
          <cell r="A1981" t="str">
            <v>10287K</v>
          </cell>
          <cell r="B1981" t="str">
            <v>MKP000631003464</v>
          </cell>
          <cell r="C1981" t="str">
            <v/>
          </cell>
          <cell r="D1981" t="str">
            <v>Guarda-Roupa Casal Madesa Austin 4 Portas de Correr 3 Gavetas Rustic/Preto</v>
          </cell>
          <cell r="E1981" t="str">
            <v>AUSTIN</v>
          </cell>
          <cell r="F1981" t="str">
            <v>QUARTO</v>
          </cell>
          <cell r="G1981" t="str">
            <v/>
          </cell>
          <cell r="H1981">
            <v>1769.99</v>
          </cell>
          <cell r="I1981">
            <v>1399.99</v>
          </cell>
          <cell r="J1981">
            <v>1153.9612</v>
          </cell>
          <cell r="K1981">
            <v>0</v>
          </cell>
          <cell r="L1981">
            <v>1153.9612</v>
          </cell>
          <cell r="M1981">
            <v>0</v>
          </cell>
          <cell r="N1981">
            <v>1399.99</v>
          </cell>
          <cell r="O1981" t="str">
            <v/>
          </cell>
          <cell r="P1981">
            <v>0</v>
          </cell>
          <cell r="Q1981">
            <v>0.21320370216953499</v>
          </cell>
          <cell r="R1981">
            <v>0.21320370216953499</v>
          </cell>
          <cell r="S1981" t="e">
            <v>#VALUE!</v>
          </cell>
          <cell r="T1981" t="e">
            <v>#VALUE!</v>
          </cell>
        </row>
        <row r="1982">
          <cell r="A1982" t="str">
            <v>GRGL280004C7</v>
          </cell>
          <cell r="B1982" t="str">
            <v>MKP000631002845</v>
          </cell>
          <cell r="C1982" t="str">
            <v/>
          </cell>
          <cell r="D1982" t="str">
            <v>Armário de Cozinha Completa 280cm Branco/Preto/Branco Genova Madesa 04</v>
          </cell>
          <cell r="E1982" t="str">
            <v>GENOVA/GLAMY</v>
          </cell>
          <cell r="F1982" t="str">
            <v>COZINHA</v>
          </cell>
          <cell r="G1982" t="str">
            <v/>
          </cell>
          <cell r="H1982">
            <v>2599.9899999999998</v>
          </cell>
          <cell r="I1982">
            <v>2499.9899999999998</v>
          </cell>
          <cell r="J1982">
            <v>2050.3009000000002</v>
          </cell>
          <cell r="K1982">
            <v>0</v>
          </cell>
          <cell r="L1982">
            <v>2050.3009000000002</v>
          </cell>
          <cell r="M1982">
            <v>0</v>
          </cell>
          <cell r="N1982">
            <v>2499.9899999999998</v>
          </cell>
          <cell r="O1982" t="str">
            <v/>
          </cell>
          <cell r="P1982">
            <v>0</v>
          </cell>
          <cell r="Q1982">
            <v>0.219328343464122</v>
          </cell>
          <cell r="R1982">
            <v>0.219328343464122</v>
          </cell>
          <cell r="S1982" t="e">
            <v>#VALUE!</v>
          </cell>
          <cell r="T1982" t="e">
            <v>#VALUE!</v>
          </cell>
        </row>
        <row r="1983">
          <cell r="A1983" t="str">
            <v>1094D81E4G</v>
          </cell>
          <cell r="B1983" t="str">
            <v>MKP000631002028</v>
          </cell>
          <cell r="C1983" t="str">
            <v/>
          </cell>
          <cell r="D1983" t="str">
            <v>Guarda-Roupa Solteiro Madesa Dallas Plus 2 Portas de Correr com Espelho 4 Gavetas Preto/Rustic</v>
          </cell>
          <cell r="E1983" t="str">
            <v>DALLAS PLUS</v>
          </cell>
          <cell r="F1983" t="str">
            <v>QUARTO</v>
          </cell>
          <cell r="G1983" t="str">
            <v/>
          </cell>
          <cell r="H1983">
            <v>1259.99</v>
          </cell>
          <cell r="I1983">
            <v>969.99</v>
          </cell>
          <cell r="J1983">
            <v>782.51099999999997</v>
          </cell>
          <cell r="K1983">
            <v>0</v>
          </cell>
          <cell r="L1983">
            <v>782.51099999999997</v>
          </cell>
          <cell r="M1983">
            <v>0</v>
          </cell>
          <cell r="N1983">
            <v>969.99</v>
          </cell>
          <cell r="O1983" t="str">
            <v/>
          </cell>
          <cell r="P1983">
            <v>0</v>
          </cell>
          <cell r="Q1983">
            <v>0.23958640836997799</v>
          </cell>
          <cell r="R1983">
            <v>0.23958640836997799</v>
          </cell>
          <cell r="S1983" t="e">
            <v>#VALUE!</v>
          </cell>
          <cell r="T1983" t="e">
            <v>#VALUE!</v>
          </cell>
        </row>
        <row r="1984">
          <cell r="A1984" t="str">
            <v>GREM2330045Z</v>
          </cell>
          <cell r="B1984" t="str">
            <v>MKP000631001695</v>
          </cell>
          <cell r="C1984" t="str">
            <v/>
          </cell>
          <cell r="D1984" t="str">
            <v>Armário de Cozinha Completa 233cm Rustic Emilly Smile Madesa 04</v>
          </cell>
          <cell r="E1984" t="str">
            <v>SMILE/EMILLY</v>
          </cell>
          <cell r="F1984" t="str">
            <v>COZINHA</v>
          </cell>
          <cell r="G1984" t="str">
            <v/>
          </cell>
          <cell r="H1984">
            <v>2239.9899999999998</v>
          </cell>
          <cell r="I1984">
            <v>1259.99</v>
          </cell>
          <cell r="J1984">
            <v>993.04449999999997</v>
          </cell>
          <cell r="K1984">
            <v>0</v>
          </cell>
          <cell r="L1984">
            <v>993.04449999999997</v>
          </cell>
          <cell r="M1984">
            <v>0</v>
          </cell>
          <cell r="N1984">
            <v>1259.99</v>
          </cell>
          <cell r="O1984" t="str">
            <v/>
          </cell>
          <cell r="P1984">
            <v>0</v>
          </cell>
          <cell r="Q1984">
            <v>0.26881524443265098</v>
          </cell>
          <cell r="R1984">
            <v>0.26881524443265098</v>
          </cell>
          <cell r="S1984" t="e">
            <v>#VALUE!</v>
          </cell>
          <cell r="T1984" t="e">
            <v>#VALUE!</v>
          </cell>
        </row>
        <row r="1985">
          <cell r="A1985" t="str">
            <v>MDJA0401085ZPT</v>
          </cell>
          <cell r="B1985" t="str">
            <v>MKP000631004181</v>
          </cell>
          <cell r="C1985" t="str">
            <v/>
          </cell>
          <cell r="D1985" t="str">
            <v>Conjunto Sala de Jantar Madesa Débora Mesa Tampo de Vidro Redondo 4 Cadeiras Rustic/Preto</v>
          </cell>
          <cell r="E1985" t="str">
            <v>DÉBORA</v>
          </cell>
          <cell r="F1985" t="str">
            <v>SALA DE JANTAR</v>
          </cell>
          <cell r="G1985" t="str">
            <v>4290X</v>
          </cell>
          <cell r="H1985">
            <v>1039.99</v>
          </cell>
          <cell r="I1985">
            <v>719.99</v>
          </cell>
          <cell r="J1985">
            <v>531.88729999999998</v>
          </cell>
          <cell r="K1985">
            <v>0</v>
          </cell>
          <cell r="L1985">
            <v>531.88729999999998</v>
          </cell>
          <cell r="M1985">
            <v>0</v>
          </cell>
          <cell r="N1985">
            <v>719.99</v>
          </cell>
          <cell r="O1985" t="str">
            <v>VIA</v>
          </cell>
          <cell r="P1985">
            <v>688.99</v>
          </cell>
          <cell r="Q1985">
            <v>0.353651422021169</v>
          </cell>
          <cell r="R1985">
            <v>0.353651422021169</v>
          </cell>
          <cell r="S1985" t="e">
            <v>#VALUE!</v>
          </cell>
          <cell r="T1985" t="e">
            <v>#VALUE!</v>
          </cell>
        </row>
        <row r="1986">
          <cell r="A1986" t="str">
            <v>GRLX3200017K</v>
          </cell>
          <cell r="B1986" t="str">
            <v>MKP000631002723</v>
          </cell>
          <cell r="C1986" t="str">
            <v/>
          </cell>
          <cell r="D1986" t="str">
            <v>Armário de Cozinha Completa 320cm Rustic/Preto Lux Madesa 01</v>
          </cell>
          <cell r="E1986" t="str">
            <v>LUX</v>
          </cell>
          <cell r="F1986" t="str">
            <v>COZINHA</v>
          </cell>
          <cell r="G1986" t="str">
            <v/>
          </cell>
          <cell r="H1986">
            <v>6229.99</v>
          </cell>
          <cell r="I1986">
            <v>6199.99</v>
          </cell>
          <cell r="J1986">
            <v>3547.3613999999998</v>
          </cell>
          <cell r="K1986">
            <v>0</v>
          </cell>
          <cell r="L1986">
            <v>3547.3613999999998</v>
          </cell>
          <cell r="M1986">
            <v>0</v>
          </cell>
          <cell r="N1986">
            <v>6199.99</v>
          </cell>
          <cell r="O1986" t="str">
            <v>LOJA</v>
          </cell>
          <cell r="P1986">
            <v>5449.99</v>
          </cell>
          <cell r="Q1986">
            <v>0.74777512096737597</v>
          </cell>
          <cell r="R1986">
            <v>0.74777512096737597</v>
          </cell>
          <cell r="S1986" t="e">
            <v>#VALUE!</v>
          </cell>
          <cell r="T1986" t="e">
            <v>#VALUE!</v>
          </cell>
        </row>
        <row r="1987">
          <cell r="A1987" t="str">
            <v>GRGL290011A7</v>
          </cell>
          <cell r="B1987" t="str">
            <v>MKP000631001273</v>
          </cell>
          <cell r="C1987" t="str">
            <v/>
          </cell>
          <cell r="D1987" t="str">
            <v>Armário de Cozinha Completa 290cm Rustic/Branco/Crema Vicenza Madesa 11</v>
          </cell>
          <cell r="E1987" t="str">
            <v>VICENZA/GLAMY</v>
          </cell>
          <cell r="F1987" t="str">
            <v>COZINHA</v>
          </cell>
          <cell r="G1987" t="str">
            <v/>
          </cell>
          <cell r="H1987">
            <v>2799.99</v>
          </cell>
          <cell r="I1987">
            <v>2699.99</v>
          </cell>
          <cell r="J1987">
            <v>2184.8832000000002</v>
          </cell>
          <cell r="K1987">
            <v>0</v>
          </cell>
          <cell r="L1987">
            <v>2184.8832000000002</v>
          </cell>
          <cell r="M1987">
            <v>0</v>
          </cell>
          <cell r="N1987">
            <v>2699.99</v>
          </cell>
          <cell r="O1987" t="str">
            <v/>
          </cell>
          <cell r="P1987">
            <v>0</v>
          </cell>
          <cell r="Q1987">
            <v>0.235759421830879</v>
          </cell>
          <cell r="R1987">
            <v>0.235759421830879</v>
          </cell>
          <cell r="S1987" t="e">
            <v>#VALUE!</v>
          </cell>
          <cell r="T1987" t="e">
            <v>#VALUE!</v>
          </cell>
        </row>
        <row r="1988">
          <cell r="A1988" t="str">
            <v>GRGL3100019B</v>
          </cell>
          <cell r="B1988" t="str">
            <v>MKP000631004743</v>
          </cell>
          <cell r="C1988" t="str">
            <v/>
          </cell>
          <cell r="D1988" t="str">
            <v>Armário de Cozinha Completa 310cm Branco Rustic Glamy Madesa 01</v>
          </cell>
          <cell r="E1988" t="str">
            <v>GLAMY</v>
          </cell>
          <cell r="F1988" t="str">
            <v>COZINHA</v>
          </cell>
          <cell r="G1988" t="str">
            <v/>
          </cell>
          <cell r="H1988">
            <v>2579.9</v>
          </cell>
          <cell r="I1988">
            <v>2469.9899999999998</v>
          </cell>
          <cell r="J1988">
            <v>2041.7117000000001</v>
          </cell>
          <cell r="K1988">
            <v>0</v>
          </cell>
          <cell r="L1988">
            <v>2041.7117000000001</v>
          </cell>
          <cell r="M1988">
            <v>0</v>
          </cell>
          <cell r="N1988">
            <v>2469.9899999999998</v>
          </cell>
          <cell r="O1988" t="str">
            <v/>
          </cell>
          <cell r="P1988">
            <v>0</v>
          </cell>
          <cell r="Q1988">
            <v>0.20976433646337</v>
          </cell>
          <cell r="R1988">
            <v>0.20976433646337</v>
          </cell>
          <cell r="S1988" t="e">
            <v>#VALUE!</v>
          </cell>
          <cell r="T1988" t="e">
            <v>#VALUE!</v>
          </cell>
        </row>
        <row r="1989">
          <cell r="A1989" t="str">
            <v>1095733E</v>
          </cell>
          <cell r="B1989" t="str">
            <v>MKP000631002086</v>
          </cell>
          <cell r="C1989" t="str">
            <v/>
          </cell>
          <cell r="D1989" t="str">
            <v>Guarda-Roupa Casal Madesa Reno 3 Portas de Correr de Espelho Branco/Preto</v>
          </cell>
          <cell r="E1989" t="str">
            <v>RENO</v>
          </cell>
          <cell r="F1989" t="str">
            <v>QUARTO</v>
          </cell>
          <cell r="G1989" t="str">
            <v/>
          </cell>
          <cell r="H1989">
            <v>1869.99</v>
          </cell>
          <cell r="I1989">
            <v>1569.99</v>
          </cell>
          <cell r="J1989">
            <v>1277.0876000000001</v>
          </cell>
          <cell r="K1989">
            <v>0</v>
          </cell>
          <cell r="L1989">
            <v>1277.0876000000001</v>
          </cell>
          <cell r="M1989">
            <v>0</v>
          </cell>
          <cell r="N1989">
            <v>1569.99</v>
          </cell>
          <cell r="O1989" t="str">
            <v/>
          </cell>
          <cell r="P1989">
            <v>0</v>
          </cell>
          <cell r="Q1989">
            <v>0.229351847124661</v>
          </cell>
          <cell r="R1989">
            <v>0.229351847124661</v>
          </cell>
          <cell r="S1989" t="e">
            <v>#VALUE!</v>
          </cell>
          <cell r="T1989" t="e">
            <v>#VALUE!</v>
          </cell>
        </row>
        <row r="1990">
          <cell r="A1990" t="str">
            <v>GRRM3550018N</v>
          </cell>
          <cell r="B1990" t="str">
            <v>MKP000631004189</v>
          </cell>
          <cell r="C1990" t="str">
            <v/>
          </cell>
          <cell r="D1990" t="str">
            <v>Armário de Cozinha Completa 355cm Preto Reims da Sabrina Madesa</v>
          </cell>
          <cell r="E1990" t="str">
            <v>REIMS</v>
          </cell>
          <cell r="F1990" t="str">
            <v>COZINHA</v>
          </cell>
          <cell r="G1990" t="str">
            <v/>
          </cell>
          <cell r="H1990">
            <v>3659.99</v>
          </cell>
          <cell r="I1990">
            <v>2729.99</v>
          </cell>
          <cell r="J1990">
            <v>2078.1176999999998</v>
          </cell>
          <cell r="K1990">
            <v>0</v>
          </cell>
          <cell r="L1990">
            <v>2078.1176999999998</v>
          </cell>
          <cell r="M1990">
            <v>0</v>
          </cell>
          <cell r="N1990">
            <v>2729.99</v>
          </cell>
          <cell r="O1990" t="str">
            <v>IMPÉRIO</v>
          </cell>
          <cell r="P1990">
            <v>2559</v>
          </cell>
          <cell r="Q1990">
            <v>0.313684013181736</v>
          </cell>
          <cell r="R1990">
            <v>0.313684013181736</v>
          </cell>
          <cell r="S1990" t="e">
            <v>#VALUE!</v>
          </cell>
          <cell r="T1990" t="e">
            <v>#VALUE!</v>
          </cell>
        </row>
        <row r="1991">
          <cell r="A1991" t="str">
            <v>G20150075BST</v>
          </cell>
          <cell r="B1991" t="str">
            <v>MKP000631000223</v>
          </cell>
          <cell r="C1991" t="str">
            <v/>
          </cell>
          <cell r="D1991" t="str">
            <v>Armário de Cozinha Completa 290cm Rustic/Crema Vicenza Madesa</v>
          </cell>
          <cell r="E1991" t="str">
            <v>VICENZA/GLAMY</v>
          </cell>
          <cell r="F1991" t="str">
            <v>COZINHA</v>
          </cell>
          <cell r="G1991" t="str">
            <v/>
          </cell>
          <cell r="H1991">
            <v>3529.99</v>
          </cell>
          <cell r="I1991">
            <v>2929.99</v>
          </cell>
          <cell r="J1991">
            <v>2089.7044000000001</v>
          </cell>
          <cell r="K1991">
            <v>0</v>
          </cell>
          <cell r="L1991">
            <v>2089.7044000000001</v>
          </cell>
          <cell r="M1991">
            <v>0</v>
          </cell>
          <cell r="N1991">
            <v>2929.99</v>
          </cell>
          <cell r="O1991" t="str">
            <v/>
          </cell>
          <cell r="P1991">
            <v>0</v>
          </cell>
          <cell r="Q1991">
            <v>0.40210739853923799</v>
          </cell>
          <cell r="R1991">
            <v>0.40210739853923799</v>
          </cell>
          <cell r="S1991" t="e">
            <v>#VALUE!</v>
          </cell>
          <cell r="T1991" t="e">
            <v>#VALUE!</v>
          </cell>
        </row>
        <row r="1992">
          <cell r="A1992" t="str">
            <v>G241535LAGCTFF</v>
          </cell>
          <cell r="B1992" t="str">
            <v>MKP000631005416</v>
          </cell>
          <cell r="C1992" t="str">
            <v/>
          </cell>
          <cell r="D1992" t="str">
            <v>Balcão Gabinete de Pia 150 cm 2 Gavetas 2 Portas (Com Tampo) Branco/Crema Agata Madesa</v>
          </cell>
          <cell r="E1992" t="str">
            <v>ÁGATA</v>
          </cell>
          <cell r="F1992" t="str">
            <v>MODULAÇÃO</v>
          </cell>
          <cell r="G1992" t="str">
            <v/>
          </cell>
          <cell r="H1992">
            <v>929.99</v>
          </cell>
          <cell r="I1992">
            <v>829.99</v>
          </cell>
          <cell r="J1992">
            <v>581.08989999999994</v>
          </cell>
          <cell r="K1992">
            <v>0</v>
          </cell>
          <cell r="L1992">
            <v>581.08989999999994</v>
          </cell>
          <cell r="M1992">
            <v>0</v>
          </cell>
          <cell r="N1992">
            <v>829.99</v>
          </cell>
          <cell r="O1992" t="str">
            <v/>
          </cell>
          <cell r="P1992">
            <v>0</v>
          </cell>
          <cell r="Q1992">
            <v>0.428333206273246</v>
          </cell>
          <cell r="R1992">
            <v>0.428333206273246</v>
          </cell>
          <cell r="S1992" t="e">
            <v>#VALUE!</v>
          </cell>
          <cell r="T1992" t="e">
            <v>#VALUE!</v>
          </cell>
        </row>
        <row r="1993">
          <cell r="A1993" t="str">
            <v>5324D82</v>
          </cell>
          <cell r="B1993" t="str">
            <v>MKP000631004565</v>
          </cell>
          <cell r="C1993" t="str">
            <v/>
          </cell>
          <cell r="D1993" t="str">
            <v>Mesa de Jantar Redonda Madesa 5324 com Tampo de Vidro Preto/Rustic</v>
          </cell>
          <cell r="E1993">
            <v>5324</v>
          </cell>
          <cell r="F1993" t="str">
            <v>SALA DE JANTAR</v>
          </cell>
          <cell r="G1993" t="str">
            <v/>
          </cell>
          <cell r="H1993">
            <v>599.99</v>
          </cell>
          <cell r="I1993">
            <v>359.99</v>
          </cell>
          <cell r="J1993">
            <v>275.03969999999998</v>
          </cell>
          <cell r="K1993">
            <v>0</v>
          </cell>
          <cell r="L1993">
            <v>275.03969999999998</v>
          </cell>
          <cell r="M1993">
            <v>0</v>
          </cell>
          <cell r="N1993">
            <v>359.99</v>
          </cell>
          <cell r="O1993" t="str">
            <v/>
          </cell>
          <cell r="P1993">
            <v>0</v>
          </cell>
          <cell r="Q1993">
            <v>0.30886559285804899</v>
          </cell>
          <cell r="R1993">
            <v>0.30886559285804899</v>
          </cell>
          <cell r="S1993" t="e">
            <v>#VALUE!</v>
          </cell>
          <cell r="T1993" t="e">
            <v>#VALUE!</v>
          </cell>
        </row>
        <row r="1994">
          <cell r="A1994" t="str">
            <v>GRLX2600059R</v>
          </cell>
          <cell r="B1994" t="str">
            <v>MKP000631003399</v>
          </cell>
          <cell r="C1994" t="str">
            <v/>
          </cell>
          <cell r="D1994" t="str">
            <v>Armário de Cozinha Completa 260cm Branco/Cinza Lux Madesa 05</v>
          </cell>
          <cell r="E1994" t="str">
            <v>LUX</v>
          </cell>
          <cell r="F1994" t="str">
            <v>COZINHA</v>
          </cell>
          <cell r="G1994" t="str">
            <v/>
          </cell>
          <cell r="H1994">
            <v>3699.99</v>
          </cell>
          <cell r="I1994">
            <v>3619.99</v>
          </cell>
          <cell r="J1994">
            <v>2310.8326999999999</v>
          </cell>
          <cell r="K1994">
            <v>0</v>
          </cell>
          <cell r="L1994">
            <v>2310.8326999999999</v>
          </cell>
          <cell r="M1994">
            <v>0</v>
          </cell>
          <cell r="N1994">
            <v>3619.99</v>
          </cell>
          <cell r="O1994" t="str">
            <v>LOJA</v>
          </cell>
          <cell r="P1994">
            <v>3169.99</v>
          </cell>
          <cell r="Q1994">
            <v>0.56653054113350498</v>
          </cell>
          <cell r="R1994">
            <v>0.56653054113350498</v>
          </cell>
          <cell r="S1994" t="e">
            <v>#VALUE!</v>
          </cell>
          <cell r="T1994" t="e">
            <v>#VALUE!</v>
          </cell>
        </row>
        <row r="1995">
          <cell r="A1995" t="str">
            <v>G271506SPR</v>
          </cell>
          <cell r="B1995" t="str">
            <v>MKP000631004689</v>
          </cell>
          <cell r="C1995" t="str">
            <v/>
          </cell>
          <cell r="D1995" t="str">
            <v>Tampo para Balcão de Pia 150 cm Madesa Mood</v>
          </cell>
          <cell r="E1995" t="str">
            <v>PR</v>
          </cell>
          <cell r="F1995" t="str">
            <v>MODULAÇÃO</v>
          </cell>
          <cell r="G1995" t="str">
            <v/>
          </cell>
          <cell r="H1995">
            <v>369.99</v>
          </cell>
          <cell r="I1995">
            <v>169.99</v>
          </cell>
          <cell r="J1995">
            <v>103.7026</v>
          </cell>
          <cell r="K1995">
            <v>0</v>
          </cell>
          <cell r="L1995">
            <v>103.7026</v>
          </cell>
          <cell r="M1995">
            <v>0</v>
          </cell>
          <cell r="N1995">
            <v>169.99</v>
          </cell>
          <cell r="O1995" t="str">
            <v/>
          </cell>
          <cell r="P1995">
            <v>0</v>
          </cell>
          <cell r="Q1995">
            <v>0.63920673155735697</v>
          </cell>
          <cell r="R1995">
            <v>0.63920673155735697</v>
          </cell>
          <cell r="S1995" t="e">
            <v>#VALUE!</v>
          </cell>
          <cell r="T1995" t="e">
            <v>#VALUE!</v>
          </cell>
        </row>
        <row r="1996">
          <cell r="A1996" t="str">
            <v>11187K1E</v>
          </cell>
          <cell r="B1996" t="str">
            <v>MKP000631002672</v>
          </cell>
          <cell r="C1996" t="str">
            <v/>
          </cell>
          <cell r="D1996" t="str">
            <v>Guarda-Roupa Casal Madesa Istambul 3 Portas de Correr com Espelho 3 Gavetas Rustic/Preto</v>
          </cell>
          <cell r="E1996" t="str">
            <v>ISTAMBUL</v>
          </cell>
          <cell r="F1996" t="str">
            <v>QUARTO</v>
          </cell>
          <cell r="G1996" t="str">
            <v/>
          </cell>
          <cell r="H1996">
            <v>2179.9899999999998</v>
          </cell>
          <cell r="I1996">
            <v>1659.99</v>
          </cell>
          <cell r="J1996">
            <v>1365.1922999999999</v>
          </cell>
          <cell r="K1996">
            <v>0</v>
          </cell>
          <cell r="L1996">
            <v>1365.1922999999999</v>
          </cell>
          <cell r="M1996">
            <v>0</v>
          </cell>
          <cell r="N1996">
            <v>1659.99</v>
          </cell>
          <cell r="O1996" t="str">
            <v/>
          </cell>
          <cell r="P1996">
            <v>0</v>
          </cell>
          <cell r="Q1996">
            <v>0.21593858975032301</v>
          </cell>
          <cell r="R1996">
            <v>0.21593858975032301</v>
          </cell>
          <cell r="S1996" t="e">
            <v>#VALUE!</v>
          </cell>
          <cell r="T1996" t="e">
            <v>#VALUE!</v>
          </cell>
        </row>
        <row r="1997">
          <cell r="A1997" t="str">
            <v>GRRM26000109</v>
          </cell>
          <cell r="B1997" t="str">
            <v>MKP000631002180</v>
          </cell>
          <cell r="C1997" t="str">
            <v/>
          </cell>
          <cell r="D1997" t="str">
            <v>Armário de Cozinha Completa 260cm Branco Reims Madesa 01</v>
          </cell>
          <cell r="E1997" t="str">
            <v>REIMS</v>
          </cell>
          <cell r="F1997" t="str">
            <v>COZINHA</v>
          </cell>
          <cell r="G1997" t="str">
            <v/>
          </cell>
          <cell r="H1997">
            <v>1889.99</v>
          </cell>
          <cell r="I1997">
            <v>1399.99</v>
          </cell>
          <cell r="J1997">
            <v>1068.8104000000001</v>
          </cell>
          <cell r="K1997">
            <v>0</v>
          </cell>
          <cell r="L1997">
            <v>1068.8104000000001</v>
          </cell>
          <cell r="M1997">
            <v>0</v>
          </cell>
          <cell r="N1997">
            <v>1399.99</v>
          </cell>
          <cell r="O1997" t="str">
            <v>VIA</v>
          </cell>
          <cell r="P1997">
            <v>1199.99</v>
          </cell>
          <cell r="Q1997">
            <v>0.30985813760794201</v>
          </cell>
          <cell r="R1997">
            <v>0.30985813760794201</v>
          </cell>
          <cell r="S1997" t="e">
            <v>#VALUE!</v>
          </cell>
          <cell r="T1997" t="e">
            <v>#VALUE!</v>
          </cell>
        </row>
        <row r="1998">
          <cell r="A1998" t="str">
            <v>XC10639B2ECP</v>
          </cell>
          <cell r="B1998" t="str">
            <v>MKP000631001474</v>
          </cell>
          <cell r="C1998" t="str">
            <v/>
          </cell>
          <cell r="D1998" t="str">
            <v>Guarda-Roupa Casal 100% MDF Madesa Zurique 3 Portas de Correr com Espelhos com Pés Branco/Rustic</v>
          </cell>
          <cell r="E1998" t="str">
            <v>ZURIQUE</v>
          </cell>
          <cell r="F1998" t="str">
            <v>QUARTO</v>
          </cell>
          <cell r="G1998" t="str">
            <v/>
          </cell>
          <cell r="H1998">
            <v>3349.99</v>
          </cell>
          <cell r="I1998">
            <v>2559.9899999999998</v>
          </cell>
          <cell r="J1998">
            <v>2080.0578999999998</v>
          </cell>
          <cell r="K1998">
            <v>0</v>
          </cell>
          <cell r="L1998">
            <v>2080.0578999999998</v>
          </cell>
          <cell r="M1998">
            <v>0</v>
          </cell>
          <cell r="N1998">
            <v>2559.9899999999998</v>
          </cell>
          <cell r="O1998" t="str">
            <v/>
          </cell>
          <cell r="P1998">
            <v>0</v>
          </cell>
          <cell r="Q1998">
            <v>0.23073016380938199</v>
          </cell>
          <cell r="R1998">
            <v>0.23073016380938199</v>
          </cell>
          <cell r="S1998" t="e">
            <v>#VALUE!</v>
          </cell>
          <cell r="T1998" t="e">
            <v>#VALUE!</v>
          </cell>
        </row>
        <row r="1999">
          <cell r="A1999" t="str">
            <v>GCGL5040019B</v>
          </cell>
          <cell r="B1999" t="str">
            <v>MKP000631004309</v>
          </cell>
          <cell r="C1999" t="str">
            <v/>
          </cell>
          <cell r="D1999" t="str">
            <v>Armário de Cozinha Completa de Canto 504cm Branco/Rustic Glamy Madesa 01</v>
          </cell>
          <cell r="E1999" t="str">
            <v>GLAMY</v>
          </cell>
          <cell r="F1999" t="str">
            <v>COZINHA</v>
          </cell>
          <cell r="G1999" t="str">
            <v/>
          </cell>
          <cell r="H1999">
            <v>3799.99</v>
          </cell>
          <cell r="I1999">
            <v>3699.99</v>
          </cell>
          <cell r="J1999">
            <v>3104.1565000000001</v>
          </cell>
          <cell r="K1999">
            <v>0</v>
          </cell>
          <cell r="L1999">
            <v>3104.1565000000001</v>
          </cell>
          <cell r="M1999">
            <v>0</v>
          </cell>
          <cell r="N1999">
            <v>3699.99</v>
          </cell>
          <cell r="O1999" t="str">
            <v/>
          </cell>
          <cell r="P1999">
            <v>0</v>
          </cell>
          <cell r="Q1999">
            <v>0.191946991074709</v>
          </cell>
          <cell r="R1999">
            <v>0.191946991074709</v>
          </cell>
          <cell r="S1999" t="e">
            <v>#VALUE!</v>
          </cell>
          <cell r="T1999" t="e">
            <v>#VALUE!</v>
          </cell>
        </row>
        <row r="2000">
          <cell r="A2000" t="str">
            <v>1028732E</v>
          </cell>
          <cell r="B2000" t="str">
            <v>MKP000631003465</v>
          </cell>
          <cell r="C2000" t="str">
            <v/>
          </cell>
          <cell r="D2000" t="str">
            <v>Guarda-Roupa Casal Madesa Austin 4 Portas de Correr com Espelhos 3 Gavetas Branco/Preto</v>
          </cell>
          <cell r="E2000" t="str">
            <v>AUSTIN</v>
          </cell>
          <cell r="F2000" t="str">
            <v>QUARTO</v>
          </cell>
          <cell r="G2000" t="str">
            <v/>
          </cell>
          <cell r="H2000">
            <v>2069.9899999999998</v>
          </cell>
          <cell r="I2000">
            <v>1699.99</v>
          </cell>
          <cell r="J2000">
            <v>1393.0853999999999</v>
          </cell>
          <cell r="K2000">
            <v>0</v>
          </cell>
          <cell r="L2000">
            <v>1393.0853999999999</v>
          </cell>
          <cell r="M2000">
            <v>0</v>
          </cell>
          <cell r="N2000">
            <v>1699.99</v>
          </cell>
          <cell r="O2000" t="str">
            <v/>
          </cell>
          <cell r="P2000">
            <v>0</v>
          </cell>
          <cell r="Q2000">
            <v>0.22030566108868799</v>
          </cell>
          <cell r="R2000">
            <v>0.22030566108868799</v>
          </cell>
          <cell r="S2000" t="e">
            <v>#VALUE!</v>
          </cell>
          <cell r="T2000" t="e">
            <v>#VALUE!</v>
          </cell>
        </row>
        <row r="2001">
          <cell r="A2001" t="str">
            <v>10935Z1E4GCP</v>
          </cell>
          <cell r="B2001" t="str">
            <v>MKP000631001063</v>
          </cell>
          <cell r="C2001" t="str">
            <v/>
          </cell>
          <cell r="D2001" t="str">
            <v>Guarda-Roupa Casal Madesa Lyon Plus 3 Portas de Correr com Espelho 4 Gavetas com Pés Rustic</v>
          </cell>
          <cell r="E2001" t="str">
            <v>LYON PLUS</v>
          </cell>
          <cell r="F2001" t="str">
            <v>QUARTO</v>
          </cell>
          <cell r="G2001" t="str">
            <v/>
          </cell>
          <cell r="H2001">
            <v>1539.99</v>
          </cell>
          <cell r="I2001">
            <v>1239.99</v>
          </cell>
          <cell r="J2001">
            <v>974.43820000000005</v>
          </cell>
          <cell r="K2001">
            <v>0</v>
          </cell>
          <cell r="L2001">
            <v>974.43820000000005</v>
          </cell>
          <cell r="M2001">
            <v>0</v>
          </cell>
          <cell r="N2001">
            <v>1239.99</v>
          </cell>
          <cell r="O2001" t="str">
            <v/>
          </cell>
          <cell r="P2001">
            <v>0</v>
          </cell>
          <cell r="Q2001">
            <v>0.27251784669361301</v>
          </cell>
          <cell r="R2001">
            <v>0.27251784669361301</v>
          </cell>
          <cell r="S2001" t="e">
            <v>#VALUE!</v>
          </cell>
          <cell r="T2001" t="e">
            <v>#VALUE!</v>
          </cell>
        </row>
        <row r="2002">
          <cell r="A2002" t="str">
            <v>GREM2330047K</v>
          </cell>
          <cell r="B2002" t="str">
            <v>MKP000631001828</v>
          </cell>
          <cell r="C2002" t="str">
            <v/>
          </cell>
          <cell r="D2002" t="str">
            <v>Armário de Cozinha Completa 233cm Rustic/Preto Emilly Smile Madesa 04</v>
          </cell>
          <cell r="E2002" t="str">
            <v>SMILE/EMILLY</v>
          </cell>
          <cell r="F2002" t="str">
            <v>COZINHA</v>
          </cell>
          <cell r="G2002" t="str">
            <v/>
          </cell>
          <cell r="H2002">
            <v>2319.9899999999998</v>
          </cell>
          <cell r="I2002">
            <v>1369.99</v>
          </cell>
          <cell r="J2002">
            <v>993.04449999999997</v>
          </cell>
          <cell r="K2002">
            <v>0</v>
          </cell>
          <cell r="L2002">
            <v>993.04449999999997</v>
          </cell>
          <cell r="M2002">
            <v>0</v>
          </cell>
          <cell r="N2002">
            <v>1369.99</v>
          </cell>
          <cell r="O2002" t="str">
            <v/>
          </cell>
          <cell r="P2002">
            <v>0</v>
          </cell>
          <cell r="Q2002">
            <v>0.37958570839473998</v>
          </cell>
          <cell r="R2002">
            <v>0.37958570839473998</v>
          </cell>
          <cell r="S2002" t="e">
            <v>#VALUE!</v>
          </cell>
          <cell r="T2002" t="e">
            <v>#VALUE!</v>
          </cell>
        </row>
        <row r="2003">
          <cell r="A2003" t="str">
            <v>GRGM35000109</v>
          </cell>
          <cell r="B2003" t="str">
            <v>MKP000631000205</v>
          </cell>
          <cell r="C2003" t="str">
            <v/>
          </cell>
          <cell r="D2003" t="str">
            <v>Armário de Cozinha Completa 100% MDF 350cm Frentes Branco Brilho Acordes Madesa 01</v>
          </cell>
          <cell r="E2003" t="str">
            <v>ACORDES</v>
          </cell>
          <cell r="F2003" t="str">
            <v>COZINHA</v>
          </cell>
          <cell r="G2003" t="str">
            <v/>
          </cell>
          <cell r="H2003">
            <v>2979.99</v>
          </cell>
          <cell r="I2003">
            <v>2149.9899999999998</v>
          </cell>
          <cell r="J2003">
            <v>1572.87</v>
          </cell>
          <cell r="K2003">
            <v>0</v>
          </cell>
          <cell r="L2003">
            <v>1572.87</v>
          </cell>
          <cell r="M2003">
            <v>0</v>
          </cell>
          <cell r="N2003">
            <v>2149.9899999999998</v>
          </cell>
          <cell r="O2003" t="str">
            <v/>
          </cell>
          <cell r="P2003">
            <v>0</v>
          </cell>
          <cell r="Q2003">
            <v>0.36692161462803602</v>
          </cell>
          <cell r="R2003">
            <v>0.36692161462803602</v>
          </cell>
          <cell r="S2003" t="e">
            <v>#VALUE!</v>
          </cell>
          <cell r="T2003" t="e">
            <v>#VALUE!</v>
          </cell>
        </row>
        <row r="2004">
          <cell r="A2004" t="str">
            <v>G266075ZTE</v>
          </cell>
          <cell r="B2004" t="str">
            <v>MKP000631002226</v>
          </cell>
          <cell r="C2004" t="str">
            <v/>
          </cell>
          <cell r="D2004" t="str">
            <v>Paneleiro Madesa Stella 60 cm 3 Portas Rustic</v>
          </cell>
          <cell r="E2004" t="str">
            <v>STELLA</v>
          </cell>
          <cell r="F2004" t="str">
            <v>MODULAÇÃO</v>
          </cell>
          <cell r="G2004" t="str">
            <v/>
          </cell>
          <cell r="H2004">
            <v>1219.99</v>
          </cell>
          <cell r="I2004">
            <v>819.99</v>
          </cell>
          <cell r="J2004">
            <v>520.87829999999997</v>
          </cell>
          <cell r="K2004">
            <v>0</v>
          </cell>
          <cell r="L2004">
            <v>520.87829999999997</v>
          </cell>
          <cell r="M2004">
            <v>0</v>
          </cell>
          <cell r="N2004">
            <v>819.99</v>
          </cell>
          <cell r="O2004" t="str">
            <v/>
          </cell>
          <cell r="P2004">
            <v>0</v>
          </cell>
          <cell r="Q2004">
            <v>0.57424488599352297</v>
          </cell>
          <cell r="R2004">
            <v>0.57424488599352297</v>
          </cell>
          <cell r="S2004" t="e">
            <v>#VALUE!</v>
          </cell>
          <cell r="T2004" t="e">
            <v>#VALUE!</v>
          </cell>
        </row>
        <row r="2005">
          <cell r="A2005" t="str">
            <v>G266559BGL</v>
          </cell>
          <cell r="B2005" t="str">
            <v>MKP000631000496</v>
          </cell>
          <cell r="C2005" t="str">
            <v/>
          </cell>
          <cell r="D2005" t="str">
            <v>Torre Quente Madesa Glamy 60 cm 1 Porta 3 Gavetas Branco/Rustic</v>
          </cell>
          <cell r="E2005" t="str">
            <v>GLAMY</v>
          </cell>
          <cell r="F2005" t="str">
            <v>MODULAÇÃO</v>
          </cell>
          <cell r="G2005" t="str">
            <v/>
          </cell>
          <cell r="H2005">
            <v>1419.99</v>
          </cell>
          <cell r="I2005">
            <v>939.99</v>
          </cell>
          <cell r="J2005">
            <v>578.65920000000006</v>
          </cell>
          <cell r="K2005">
            <v>0</v>
          </cell>
          <cell r="L2005">
            <v>578.65920000000006</v>
          </cell>
          <cell r="M2005">
            <v>0</v>
          </cell>
          <cell r="N2005">
            <v>939.99</v>
          </cell>
          <cell r="O2005" t="str">
            <v/>
          </cell>
          <cell r="P2005">
            <v>0</v>
          </cell>
          <cell r="Q2005">
            <v>0.62442764238432602</v>
          </cell>
          <cell r="R2005">
            <v>0.62442764238432602</v>
          </cell>
          <cell r="S2005" t="e">
            <v>#VALUE!</v>
          </cell>
          <cell r="T2005" t="e">
            <v>#VALUE!</v>
          </cell>
        </row>
        <row r="2006">
          <cell r="A2006" t="str">
            <v>G2580473</v>
          </cell>
          <cell r="B2006" t="str">
            <v>MKP000631004906</v>
          </cell>
          <cell r="C2006" t="str">
            <v/>
          </cell>
          <cell r="D2006" t="str">
            <v>Armário Aéreo 100% MDF 80 cm 1 Porta Basculante Branco/Preto Acordes Madesa</v>
          </cell>
          <cell r="E2006" t="str">
            <v>ACORDES</v>
          </cell>
          <cell r="F2006" t="str">
            <v>MODULAÇÃO</v>
          </cell>
          <cell r="G2006" t="str">
            <v/>
          </cell>
          <cell r="H2006">
            <v>399.99</v>
          </cell>
          <cell r="I2006">
            <v>299.99</v>
          </cell>
          <cell r="J2006">
            <v>177.34299999999999</v>
          </cell>
          <cell r="K2006">
            <v>0</v>
          </cell>
          <cell r="L2006">
            <v>177.34299999999999</v>
          </cell>
          <cell r="M2006">
            <v>0</v>
          </cell>
          <cell r="N2006">
            <v>299.99</v>
          </cell>
          <cell r="O2006" t="str">
            <v/>
          </cell>
          <cell r="P2006">
            <v>0</v>
          </cell>
          <cell r="Q2006">
            <v>0.69158072210349397</v>
          </cell>
          <cell r="R2006">
            <v>0.69158072210349397</v>
          </cell>
          <cell r="S2006" t="e">
            <v>#VALUE!</v>
          </cell>
          <cell r="T2006" t="e">
            <v>#VALUE!</v>
          </cell>
        </row>
        <row r="2007">
          <cell r="A2007" t="str">
            <v>GRGL2700106E</v>
          </cell>
          <cell r="B2007" t="str">
            <v>MKP000631004373</v>
          </cell>
          <cell r="C2007" t="str">
            <v/>
          </cell>
          <cell r="D2007" t="str">
            <v>Armário de Cozinha Completa 270cm Rustic Branco Glamy Madesa 10</v>
          </cell>
          <cell r="E2007" t="str">
            <v>GLAMY</v>
          </cell>
          <cell r="F2007" t="str">
            <v>COZINHA</v>
          </cell>
          <cell r="G2007" t="str">
            <v/>
          </cell>
          <cell r="H2007">
            <v>2199.9899999999998</v>
          </cell>
          <cell r="I2007">
            <v>2099.9899999999998</v>
          </cell>
          <cell r="J2007">
            <v>1752.7309</v>
          </cell>
          <cell r="K2007">
            <v>0</v>
          </cell>
          <cell r="L2007">
            <v>1752.7309</v>
          </cell>
          <cell r="M2007">
            <v>0</v>
          </cell>
          <cell r="N2007">
            <v>2099.9899999999998</v>
          </cell>
          <cell r="O2007" t="str">
            <v/>
          </cell>
          <cell r="P2007">
            <v>0</v>
          </cell>
          <cell r="Q2007">
            <v>0.198124595167461</v>
          </cell>
          <cell r="R2007">
            <v>0.198124595167461</v>
          </cell>
          <cell r="S2007" t="e">
            <v>#VALUE!</v>
          </cell>
          <cell r="T2007" t="e">
            <v>#VALUE!</v>
          </cell>
        </row>
        <row r="2008">
          <cell r="A2008" t="str">
            <v>GRGL2200039B</v>
          </cell>
          <cell r="B2008" t="str">
            <v>MKP000631001230</v>
          </cell>
          <cell r="C2008" t="str">
            <v/>
          </cell>
          <cell r="D2008" t="str">
            <v>Armário de Cozinha Completa 220cm Branco/Rustic Parma Madesa 03</v>
          </cell>
          <cell r="E2008" t="str">
            <v>PARMA/GLAMY</v>
          </cell>
          <cell r="F2008" t="str">
            <v>COZINHA</v>
          </cell>
          <cell r="G2008" t="str">
            <v/>
          </cell>
          <cell r="H2008">
            <v>1899.99</v>
          </cell>
          <cell r="I2008">
            <v>1799.99</v>
          </cell>
          <cell r="J2008">
            <v>1541.2927</v>
          </cell>
          <cell r="K2008">
            <v>0</v>
          </cell>
          <cell r="L2008">
            <v>1541.2927</v>
          </cell>
          <cell r="M2008">
            <v>0</v>
          </cell>
          <cell r="N2008">
            <v>1799.99</v>
          </cell>
          <cell r="O2008" t="str">
            <v/>
          </cell>
          <cell r="P2008">
            <v>0</v>
          </cell>
          <cell r="Q2008">
            <v>0.16784436856153301</v>
          </cell>
          <cell r="R2008">
            <v>0.16784436856153301</v>
          </cell>
          <cell r="S2008" t="e">
            <v>#VALUE!</v>
          </cell>
          <cell r="T2008" t="e">
            <v>#VALUE!</v>
          </cell>
        </row>
        <row r="2009">
          <cell r="A2009" t="str">
            <v>1094D82G</v>
          </cell>
          <cell r="B2009" t="str">
            <v>MKP000631002016</v>
          </cell>
          <cell r="C2009" t="str">
            <v/>
          </cell>
          <cell r="D2009" t="str">
            <v>Guarda-Roupa Solteiro Madesa Dallas 2 Portas de Correr 2 Gavetas Preto/Rustic</v>
          </cell>
          <cell r="E2009" t="str">
            <v>DALLAS</v>
          </cell>
          <cell r="F2009" t="str">
            <v>QUARTO</v>
          </cell>
          <cell r="G2009" t="str">
            <v/>
          </cell>
          <cell r="H2009">
            <v>969.99</v>
          </cell>
          <cell r="I2009">
            <v>729.99</v>
          </cell>
          <cell r="J2009">
            <v>563.84609999999998</v>
          </cell>
          <cell r="K2009">
            <v>0</v>
          </cell>
          <cell r="L2009">
            <v>563.84609999999998</v>
          </cell>
          <cell r="M2009">
            <v>0</v>
          </cell>
          <cell r="N2009">
            <v>729.99</v>
          </cell>
          <cell r="O2009" t="str">
            <v/>
          </cell>
          <cell r="P2009">
            <v>0</v>
          </cell>
          <cell r="Q2009">
            <v>0.29466178803045701</v>
          </cell>
          <cell r="R2009">
            <v>0.29466178803045701</v>
          </cell>
          <cell r="S2009" t="e">
            <v>#VALUE!</v>
          </cell>
          <cell r="T2009" t="e">
            <v>#VALUE!</v>
          </cell>
        </row>
        <row r="2010">
          <cell r="A2010" t="str">
            <v>G20086098N</v>
          </cell>
          <cell r="B2010" t="str">
            <v>MKP000631001047</v>
          </cell>
          <cell r="C2010" t="str">
            <v/>
          </cell>
          <cell r="D2010" t="str">
            <v>Armário de Cozinha Compacta 180cm Branco/Preto Topazio Madesa 86</v>
          </cell>
          <cell r="E2010" t="str">
            <v>TOPÁZIO</v>
          </cell>
          <cell r="F2010" t="str">
            <v>COZINHA</v>
          </cell>
          <cell r="G2010" t="str">
            <v/>
          </cell>
          <cell r="H2010">
            <v>1369.99</v>
          </cell>
          <cell r="I2010">
            <v>1099.99</v>
          </cell>
          <cell r="J2010">
            <v>820.06150000000002</v>
          </cell>
          <cell r="K2010">
            <v>0</v>
          </cell>
          <cell r="L2010">
            <v>820.06150000000002</v>
          </cell>
          <cell r="M2010">
            <v>0</v>
          </cell>
          <cell r="N2010">
            <v>1099.99</v>
          </cell>
          <cell r="O2010" t="str">
            <v/>
          </cell>
          <cell r="P2010">
            <v>0</v>
          </cell>
          <cell r="Q2010">
            <v>0.34135061821582902</v>
          </cell>
          <cell r="R2010">
            <v>0.34135061821582902</v>
          </cell>
          <cell r="S2010" t="e">
            <v>#VALUE!</v>
          </cell>
          <cell r="T2010" t="e">
            <v>#VALUE!</v>
          </cell>
        </row>
        <row r="2011">
          <cell r="A2011" t="str">
            <v>GRLX20000373</v>
          </cell>
          <cell r="B2011" t="str">
            <v>MKP000631004330</v>
          </cell>
          <cell r="C2011" t="str">
            <v/>
          </cell>
          <cell r="D2011" t="str">
            <v>Kit com 2 Balcões de Cozinha Madesa Lux 4 Portas 3 Gavetas (Sem Tampo e Pia) Branco/Preto</v>
          </cell>
          <cell r="E2011" t="str">
            <v>LUX</v>
          </cell>
          <cell r="F2011" t="str">
            <v>COZINHA</v>
          </cell>
          <cell r="G2011" t="str">
            <v/>
          </cell>
          <cell r="H2011">
            <v>2489.9899999999998</v>
          </cell>
          <cell r="I2011">
            <v>2369.9899999999998</v>
          </cell>
          <cell r="J2011">
            <v>1400.7263</v>
          </cell>
          <cell r="K2011">
            <v>0</v>
          </cell>
          <cell r="L2011">
            <v>1400.7263</v>
          </cell>
          <cell r="M2011">
            <v>0</v>
          </cell>
          <cell r="N2011">
            <v>2369.9899999999998</v>
          </cell>
          <cell r="O2011" t="str">
            <v>LOJA</v>
          </cell>
          <cell r="P2011">
            <v>2079.9899999999998</v>
          </cell>
          <cell r="Q2011">
            <v>0.69197222897863697</v>
          </cell>
          <cell r="R2011">
            <v>0.69197222897863697</v>
          </cell>
          <cell r="S2011" t="e">
            <v>#VALUE!</v>
          </cell>
          <cell r="T2011" t="e">
            <v>#VALUE!</v>
          </cell>
        </row>
        <row r="2012">
          <cell r="A2012" t="str">
            <v>MDJA0401707GBE</v>
          </cell>
          <cell r="B2012" t="str">
            <v>MKP000631005737</v>
          </cell>
          <cell r="C2012" t="str">
            <v/>
          </cell>
          <cell r="D2012" t="str">
            <v>Conjunto Sala de Jantar Mesa Tampo de Madeira 4 Cadeiras Rustic/Crema/Bege Sophie Madesa</v>
          </cell>
          <cell r="E2012" t="str">
            <v>SOPHIE</v>
          </cell>
          <cell r="F2012" t="str">
            <v>SALA DE JANTAR</v>
          </cell>
          <cell r="G2012" t="str">
            <v>4291X</v>
          </cell>
          <cell r="H2012">
            <v>699.99</v>
          </cell>
          <cell r="I2012">
            <v>599.99</v>
          </cell>
          <cell r="J2012">
            <v>466.19299999999998</v>
          </cell>
          <cell r="K2012">
            <v>0</v>
          </cell>
          <cell r="L2012">
            <v>466.19299999999998</v>
          </cell>
          <cell r="M2012">
            <v>0</v>
          </cell>
          <cell r="N2012">
            <v>599.99</v>
          </cell>
          <cell r="O2012" t="str">
            <v/>
          </cell>
          <cell r="P2012">
            <v>0</v>
          </cell>
          <cell r="Q2012">
            <v>0.28699916129156799</v>
          </cell>
          <cell r="R2012">
            <v>0.28699916129156799</v>
          </cell>
          <cell r="S2012" t="e">
            <v>#VALUE!</v>
          </cell>
          <cell r="T2012" t="e">
            <v>#VALUE!</v>
          </cell>
        </row>
        <row r="2013">
          <cell r="A2013" t="str">
            <v>MDFC02000177</v>
          </cell>
          <cell r="B2013" t="str">
            <v>MKP000631002341</v>
          </cell>
          <cell r="C2013" t="str">
            <v/>
          </cell>
          <cell r="D2013" t="str">
            <v>Mesa para Computador Gamer Madesa 9409 e Painel para TV até 50 Polegadas Preto/Branco</v>
          </cell>
          <cell r="E2013" t="str">
            <v>GAMER</v>
          </cell>
          <cell r="F2013" t="str">
            <v>ESCRITÓRIO</v>
          </cell>
          <cell r="G2013" t="str">
            <v/>
          </cell>
          <cell r="H2013">
            <v>699.99</v>
          </cell>
          <cell r="I2013">
            <v>469.99</v>
          </cell>
          <cell r="J2013">
            <v>340.625</v>
          </cell>
          <cell r="K2013">
            <v>0</v>
          </cell>
          <cell r="L2013">
            <v>340.625</v>
          </cell>
          <cell r="M2013">
            <v>0</v>
          </cell>
          <cell r="N2013">
            <v>469.99</v>
          </cell>
          <cell r="O2013" t="str">
            <v/>
          </cell>
          <cell r="P2013">
            <v>0</v>
          </cell>
          <cell r="Q2013">
            <v>0.37978715596330298</v>
          </cell>
          <cell r="R2013">
            <v>0.37978715596330298</v>
          </cell>
          <cell r="S2013" t="e">
            <v>#VALUE!</v>
          </cell>
          <cell r="T2013" t="e">
            <v>#VALUE!</v>
          </cell>
        </row>
        <row r="2014">
          <cell r="A2014" t="str">
            <v>GRRM250001D8</v>
          </cell>
          <cell r="B2014" t="str">
            <v>MKP000631001838</v>
          </cell>
          <cell r="C2014" t="str">
            <v/>
          </cell>
          <cell r="D2014" t="str">
            <v>Armário de Cozinha Completa 250cm Preto Reims Madesa 01</v>
          </cell>
          <cell r="E2014" t="str">
            <v>REIMS</v>
          </cell>
          <cell r="F2014" t="str">
            <v>COZINHA</v>
          </cell>
          <cell r="G2014" t="str">
            <v/>
          </cell>
          <cell r="H2014">
            <v>2859.99</v>
          </cell>
          <cell r="I2014">
            <v>1559.99</v>
          </cell>
          <cell r="J2014">
            <v>1285.1099999999999</v>
          </cell>
          <cell r="K2014">
            <v>0</v>
          </cell>
          <cell r="L2014">
            <v>1285.1099999999999</v>
          </cell>
          <cell r="M2014">
            <v>0</v>
          </cell>
          <cell r="N2014">
            <v>1559.99</v>
          </cell>
          <cell r="O2014" t="str">
            <v/>
          </cell>
          <cell r="P2014">
            <v>0</v>
          </cell>
          <cell r="Q2014">
            <v>0.21389608671631199</v>
          </cell>
          <cell r="R2014">
            <v>0.21389608671631199</v>
          </cell>
          <cell r="S2014" t="e">
            <v>#VALUE!</v>
          </cell>
          <cell r="T2014" t="e">
            <v>#VALUE!</v>
          </cell>
        </row>
        <row r="2015">
          <cell r="A2015" t="str">
            <v>XAG2412309RM</v>
          </cell>
          <cell r="B2015" t="str">
            <v>MKP000631005977</v>
          </cell>
          <cell r="C2015" t="str">
            <v/>
          </cell>
          <cell r="D2015" t="str">
            <v>Balcão Gabinete de Pia Reims Madesa 2 Portas e 1 Gaveta Branco</v>
          </cell>
          <cell r="E2015" t="str">
            <v>REIMS</v>
          </cell>
          <cell r="F2015" t="str">
            <v>MODULAÇÃO</v>
          </cell>
          <cell r="G2015" t="str">
            <v/>
          </cell>
          <cell r="H2015">
            <v>499.99</v>
          </cell>
          <cell r="I2015">
            <v>449.99</v>
          </cell>
          <cell r="J2015">
            <v>369.74979999999999</v>
          </cell>
          <cell r="K2015">
            <v>0</v>
          </cell>
          <cell r="L2015">
            <v>369.74979999999999</v>
          </cell>
          <cell r="M2015">
            <v>0</v>
          </cell>
          <cell r="N2015">
            <v>449.99</v>
          </cell>
          <cell r="O2015" t="str">
            <v/>
          </cell>
          <cell r="P2015">
            <v>0</v>
          </cell>
          <cell r="Q2015">
            <v>0.21701215254207001</v>
          </cell>
          <cell r="R2015">
            <v>0.21701215254207001</v>
          </cell>
          <cell r="S2015" t="e">
            <v>#VALUE!</v>
          </cell>
          <cell r="T2015" t="e">
            <v>#VALUE!</v>
          </cell>
        </row>
        <row r="2016">
          <cell r="A2016" t="str">
            <v>5332D82A</v>
          </cell>
          <cell r="B2016" t="str">
            <v>MKP000631003143</v>
          </cell>
          <cell r="C2016" t="str">
            <v/>
          </cell>
          <cell r="D2016" t="str">
            <v>Mesa de Jantar Madesa Quadrada com Tampo de Vidro 5332A Preto/Rustic</v>
          </cell>
          <cell r="E2016" t="str">
            <v>5332A</v>
          </cell>
          <cell r="F2016" t="str">
            <v>SALA DE JANTAR</v>
          </cell>
          <cell r="G2016" t="str">
            <v/>
          </cell>
          <cell r="H2016">
            <v>509.99</v>
          </cell>
          <cell r="I2016">
            <v>359.99</v>
          </cell>
          <cell r="J2016">
            <v>236.67169999999999</v>
          </cell>
          <cell r="K2016">
            <v>0</v>
          </cell>
          <cell r="L2016">
            <v>236.67169999999999</v>
          </cell>
          <cell r="M2016">
            <v>0</v>
          </cell>
          <cell r="N2016">
            <v>359.99</v>
          </cell>
          <cell r="O2016" t="str">
            <v/>
          </cell>
          <cell r="P2016">
            <v>0</v>
          </cell>
          <cell r="Q2016">
            <v>0.52105215790481096</v>
          </cell>
          <cell r="R2016">
            <v>0.52105215790481096</v>
          </cell>
          <cell r="S2016" t="e">
            <v>#VALUE!</v>
          </cell>
          <cell r="T2016" t="e">
            <v>#VALUE!</v>
          </cell>
        </row>
        <row r="2017">
          <cell r="A2017" t="str">
            <v>G257029BTE</v>
          </cell>
          <cell r="B2017" t="str">
            <v>MKP000631003486</v>
          </cell>
          <cell r="C2017" t="str">
            <v/>
          </cell>
          <cell r="D2017" t="str">
            <v>Armário Aéreo de Cozinha Madesa Stella 70 cm 1 Porta Basculante Branco/Rustic</v>
          </cell>
          <cell r="E2017" t="str">
            <v>STELLA</v>
          </cell>
          <cell r="F2017" t="str">
            <v>MODULAÇÃO</v>
          </cell>
          <cell r="G2017" t="str">
            <v/>
          </cell>
          <cell r="H2017">
            <v>399.99</v>
          </cell>
          <cell r="I2017">
            <v>249.99</v>
          </cell>
          <cell r="J2017">
            <v>159.66319999999999</v>
          </cell>
          <cell r="K2017">
            <v>0</v>
          </cell>
          <cell r="L2017">
            <v>159.66319999999999</v>
          </cell>
          <cell r="M2017">
            <v>0</v>
          </cell>
          <cell r="N2017">
            <v>249.99</v>
          </cell>
          <cell r="O2017" t="str">
            <v/>
          </cell>
          <cell r="P2017">
            <v>0</v>
          </cell>
          <cell r="Q2017">
            <v>0.56573336874119995</v>
          </cell>
          <cell r="R2017">
            <v>0.56573336874119995</v>
          </cell>
          <cell r="S2017" t="e">
            <v>#VALUE!</v>
          </cell>
          <cell r="T2017" t="e">
            <v>#VALUE!</v>
          </cell>
        </row>
        <row r="2018">
          <cell r="A2018" t="str">
            <v>G258009RLX</v>
          </cell>
          <cell r="B2018" t="str">
            <v>MKP000631003235</v>
          </cell>
          <cell r="C2018" t="str">
            <v/>
          </cell>
          <cell r="D2018" t="str">
            <v>Armário Aéreo Madesa Lux 80 cm 2 Portas Branco/Cinza</v>
          </cell>
          <cell r="E2018" t="str">
            <v>LUX</v>
          </cell>
          <cell r="F2018" t="str">
            <v>MODULAÇÃO</v>
          </cell>
          <cell r="G2018" t="str">
            <v/>
          </cell>
          <cell r="H2018">
            <v>1039.99</v>
          </cell>
          <cell r="I2018">
            <v>729.99</v>
          </cell>
          <cell r="J2018">
            <v>431.73809999999997</v>
          </cell>
          <cell r="K2018">
            <v>0</v>
          </cell>
          <cell r="L2018">
            <v>431.73809999999997</v>
          </cell>
          <cell r="M2018">
            <v>0</v>
          </cell>
          <cell r="N2018">
            <v>729.99</v>
          </cell>
          <cell r="O2018" t="str">
            <v>LOJA</v>
          </cell>
          <cell r="P2018">
            <v>719.99</v>
          </cell>
          <cell r="Q2018">
            <v>0.69081672430577701</v>
          </cell>
          <cell r="R2018">
            <v>0.69081672430577701</v>
          </cell>
          <cell r="S2018" t="e">
            <v>#VALUE!</v>
          </cell>
          <cell r="T2018" t="e">
            <v>#VALUE!</v>
          </cell>
        </row>
        <row r="2019">
          <cell r="A2019" t="str">
            <v>GREM2010045Z</v>
          </cell>
          <cell r="B2019" t="str">
            <v>MKP000631001693</v>
          </cell>
          <cell r="C2019" t="str">
            <v/>
          </cell>
          <cell r="D2019" t="str">
            <v>Armário de Cozinha Completa 201cm Rustic Emilly Sky Madesa 04</v>
          </cell>
          <cell r="E2019" t="str">
            <v>SKY/EMILLY</v>
          </cell>
          <cell r="F2019" t="str">
            <v>COZINHA</v>
          </cell>
          <cell r="G2019" t="str">
            <v/>
          </cell>
          <cell r="H2019">
            <v>1639.99</v>
          </cell>
          <cell r="I2019">
            <v>1159.99</v>
          </cell>
          <cell r="J2019">
            <v>916.78809999999999</v>
          </cell>
          <cell r="K2019">
            <v>0</v>
          </cell>
          <cell r="L2019">
            <v>916.78809999999999</v>
          </cell>
          <cell r="M2019">
            <v>0</v>
          </cell>
          <cell r="N2019">
            <v>1159.99</v>
          </cell>
          <cell r="O2019" t="str">
            <v/>
          </cell>
          <cell r="P2019">
            <v>0</v>
          </cell>
          <cell r="Q2019">
            <v>0.26527602179827597</v>
          </cell>
          <cell r="R2019">
            <v>0.26527602179827597</v>
          </cell>
          <cell r="S2019" t="e">
            <v>#VALUE!</v>
          </cell>
          <cell r="T2019" t="e">
            <v>#VALUE!</v>
          </cell>
        </row>
        <row r="2020">
          <cell r="A2020" t="str">
            <v>GRSM060001A9</v>
          </cell>
          <cell r="B2020" t="str">
            <v>MKP000631000701</v>
          </cell>
          <cell r="C2020" t="str">
            <v/>
          </cell>
          <cell r="D2020" t="str">
            <v>Kit 60 Madesa Smart 2 Portas e 1 Suspensa com tampo Rustic/Crema/Branco</v>
          </cell>
          <cell r="E2020" t="str">
            <v>SMART</v>
          </cell>
          <cell r="F2020" t="str">
            <v>MODULAÇÃO</v>
          </cell>
          <cell r="G2020" t="str">
            <v/>
          </cell>
          <cell r="H2020">
            <v>569.99</v>
          </cell>
          <cell r="I2020">
            <v>449.99</v>
          </cell>
          <cell r="J2020">
            <v>280.06459999999998</v>
          </cell>
          <cell r="K2020">
            <v>0</v>
          </cell>
          <cell r="L2020">
            <v>280.06459999999998</v>
          </cell>
          <cell r="M2020">
            <v>0</v>
          </cell>
          <cell r="N2020">
            <v>449.99</v>
          </cell>
          <cell r="O2020" t="str">
            <v/>
          </cell>
          <cell r="P2020">
            <v>0</v>
          </cell>
          <cell r="Q2020">
            <v>0.60673644580571695</v>
          </cell>
          <cell r="R2020">
            <v>0.60673644580571695</v>
          </cell>
          <cell r="S2020" t="e">
            <v>#VALUE!</v>
          </cell>
          <cell r="T2020" t="e">
            <v>#VALUE!</v>
          </cell>
        </row>
        <row r="2021">
          <cell r="A2021" t="str">
            <v>GRGL33000109</v>
          </cell>
          <cell r="B2021" t="str">
            <v>MKP000631000689</v>
          </cell>
          <cell r="C2021" t="str">
            <v/>
          </cell>
          <cell r="D2021" t="str">
            <v>Armário de Cozinha Completa 330cm Branco Roma Madesa 01</v>
          </cell>
          <cell r="E2021" t="str">
            <v>ROMA/GLAMY</v>
          </cell>
          <cell r="F2021" t="str">
            <v>COZINHA</v>
          </cell>
          <cell r="G2021" t="str">
            <v/>
          </cell>
          <cell r="H2021">
            <v>3099.99</v>
          </cell>
          <cell r="I2021">
            <v>2999.99</v>
          </cell>
          <cell r="J2021">
            <v>2492.6338000000001</v>
          </cell>
          <cell r="K2021">
            <v>0</v>
          </cell>
          <cell r="L2021">
            <v>2492.6338000000001</v>
          </cell>
          <cell r="M2021">
            <v>0</v>
          </cell>
          <cell r="N2021">
            <v>2999.99</v>
          </cell>
          <cell r="O2021" t="str">
            <v/>
          </cell>
          <cell r="P2021">
            <v>0</v>
          </cell>
          <cell r="Q2021">
            <v>0.203542213059936</v>
          </cell>
          <cell r="R2021">
            <v>0.203542213059936</v>
          </cell>
          <cell r="S2021" t="e">
            <v>#VALUE!</v>
          </cell>
          <cell r="T2021" t="e">
            <v>#VALUE!</v>
          </cell>
        </row>
        <row r="2022">
          <cell r="A2022" t="str">
            <v>GRAG350001F9</v>
          </cell>
          <cell r="B2022" t="str">
            <v>MKP000631004454</v>
          </cell>
          <cell r="C2022" t="str">
            <v/>
          </cell>
          <cell r="D2022" t="str">
            <v>Armário de Cozinha Completa 350cm Rustic/Cinza Agata Madesa 01</v>
          </cell>
          <cell r="E2022" t="str">
            <v>ÁGATA</v>
          </cell>
          <cell r="F2022" t="str">
            <v>COZINHA</v>
          </cell>
          <cell r="G2022" t="str">
            <v/>
          </cell>
          <cell r="H2022">
            <v>2029.99</v>
          </cell>
          <cell r="I2022">
            <v>1999.99</v>
          </cell>
          <cell r="J2022">
            <v>1577.7422999999999</v>
          </cell>
          <cell r="K2022">
            <v>0</v>
          </cell>
          <cell r="L2022">
            <v>1577.7422999999999</v>
          </cell>
          <cell r="M2022">
            <v>0</v>
          </cell>
          <cell r="N2022">
            <v>1999.99</v>
          </cell>
          <cell r="O2022" t="str">
            <v/>
          </cell>
          <cell r="P2022">
            <v>0</v>
          </cell>
          <cell r="Q2022">
            <v>0.26762779954622501</v>
          </cell>
          <cell r="R2022">
            <v>0.26762779954622501</v>
          </cell>
          <cell r="S2022" t="e">
            <v>#VALUE!</v>
          </cell>
          <cell r="T2022" t="e">
            <v>#VALUE!</v>
          </cell>
        </row>
        <row r="2023">
          <cell r="A2023" t="str">
            <v>GCTE4890019B</v>
          </cell>
          <cell r="B2023" t="str">
            <v>MKP000631005124</v>
          </cell>
          <cell r="C2023" t="str">
            <v/>
          </cell>
          <cell r="D2023" t="str">
            <v>Armário de Cozinha Completa de Canto 489cm Branco/Rustic Stella Madesa</v>
          </cell>
          <cell r="E2023" t="str">
            <v>STELLA</v>
          </cell>
          <cell r="F2023" t="str">
            <v>COZINHA</v>
          </cell>
          <cell r="G2023" t="str">
            <v/>
          </cell>
          <cell r="H2023">
            <v>3499.99</v>
          </cell>
          <cell r="I2023">
            <v>3499.99</v>
          </cell>
          <cell r="J2023">
            <v>2727.3980000000001</v>
          </cell>
          <cell r="K2023">
            <v>0</v>
          </cell>
          <cell r="L2023">
            <v>2727.3980000000001</v>
          </cell>
          <cell r="M2023">
            <v>0</v>
          </cell>
          <cell r="N2023">
            <v>3499.99</v>
          </cell>
          <cell r="O2023" t="str">
            <v/>
          </cell>
          <cell r="P2023">
            <v>0</v>
          </cell>
          <cell r="Q2023">
            <v>0.28327072176484702</v>
          </cell>
          <cell r="R2023">
            <v>0.28327072176484702</v>
          </cell>
          <cell r="S2023" t="e">
            <v>#VALUE!</v>
          </cell>
          <cell r="T2023" t="e">
            <v>#VALUE!</v>
          </cell>
        </row>
        <row r="2024">
          <cell r="A2024" t="str">
            <v>G241536EGL</v>
          </cell>
          <cell r="B2024" t="str">
            <v>MKP000631002394</v>
          </cell>
          <cell r="C2024" t="str">
            <v/>
          </cell>
          <cell r="D2024" t="str">
            <v>Balcão de Pia Madesa Glamy 150 cm 2 Portas e 2 Gavetas (Sem Tampo e Pia) Rustic/Branco</v>
          </cell>
          <cell r="E2024" t="str">
            <v>GLAMY</v>
          </cell>
          <cell r="F2024" t="str">
            <v>MODULAÇÃO</v>
          </cell>
          <cell r="G2024" t="str">
            <v/>
          </cell>
          <cell r="H2024">
            <v>1119.99</v>
          </cell>
          <cell r="I2024">
            <v>559.99</v>
          </cell>
          <cell r="J2024">
            <v>436.25069999999999</v>
          </cell>
          <cell r="K2024">
            <v>0</v>
          </cell>
          <cell r="L2024">
            <v>436.25069999999999</v>
          </cell>
          <cell r="M2024">
            <v>0</v>
          </cell>
          <cell r="N2024">
            <v>559.99</v>
          </cell>
          <cell r="O2024" t="str">
            <v/>
          </cell>
          <cell r="P2024">
            <v>0</v>
          </cell>
          <cell r="Q2024">
            <v>0.28364263942728302</v>
          </cell>
          <cell r="R2024">
            <v>0.28364263942728302</v>
          </cell>
          <cell r="S2024" t="e">
            <v>#VALUE!</v>
          </cell>
          <cell r="T2024" t="e">
            <v>#VALUE!</v>
          </cell>
        </row>
        <row r="2025">
          <cell r="A2025" t="str">
            <v>11188N1E</v>
          </cell>
          <cell r="B2025" t="str">
            <v>MKP000631002667</v>
          </cell>
          <cell r="C2025" t="str">
            <v/>
          </cell>
          <cell r="D2025" t="str">
            <v>Guarda-Roupa Casal Madesa Istambul 3 Portas de Correr com Espelho 3 Gavetas Preto</v>
          </cell>
          <cell r="E2025" t="str">
            <v>ISTAMBUL</v>
          </cell>
          <cell r="F2025" t="str">
            <v>QUARTO</v>
          </cell>
          <cell r="G2025" t="str">
            <v/>
          </cell>
          <cell r="H2025">
            <v>2599.9899999999998</v>
          </cell>
          <cell r="I2025">
            <v>1799.99</v>
          </cell>
          <cell r="J2025">
            <v>1365.1922999999999</v>
          </cell>
          <cell r="K2025">
            <v>0</v>
          </cell>
          <cell r="L2025">
            <v>1365.1922999999999</v>
          </cell>
          <cell r="M2025">
            <v>0</v>
          </cell>
          <cell r="N2025">
            <v>1799.99</v>
          </cell>
          <cell r="O2025" t="str">
            <v/>
          </cell>
          <cell r="P2025">
            <v>0</v>
          </cell>
          <cell r="Q2025">
            <v>0.318488245209118</v>
          </cell>
          <cell r="R2025">
            <v>0.318488245209118</v>
          </cell>
          <cell r="S2025" t="e">
            <v>#VALUE!</v>
          </cell>
          <cell r="T2025" t="e">
            <v>#VALUE!</v>
          </cell>
        </row>
        <row r="2026">
          <cell r="A2026" t="str">
            <v>G2470009TE</v>
          </cell>
          <cell r="B2026" t="str">
            <v>MKP000631003489</v>
          </cell>
          <cell r="C2026" t="str">
            <v/>
          </cell>
          <cell r="D2026" t="str">
            <v>Balcão de Cozinha Madesa Stella 70 cm 2 Portas Branco</v>
          </cell>
          <cell r="E2026" t="str">
            <v>STELLA</v>
          </cell>
          <cell r="F2026" t="str">
            <v>MODULAÇÃO</v>
          </cell>
          <cell r="G2026" t="str">
            <v/>
          </cell>
          <cell r="H2026">
            <v>859.99</v>
          </cell>
          <cell r="I2026">
            <v>499.99</v>
          </cell>
          <cell r="J2026">
            <v>322.17129999999997</v>
          </cell>
          <cell r="K2026">
            <v>0</v>
          </cell>
          <cell r="L2026">
            <v>322.17129999999997</v>
          </cell>
          <cell r="M2026">
            <v>0</v>
          </cell>
          <cell r="N2026">
            <v>499.99</v>
          </cell>
          <cell r="O2026" t="str">
            <v/>
          </cell>
          <cell r="P2026">
            <v>0</v>
          </cell>
          <cell r="Q2026">
            <v>0.55193836322478096</v>
          </cell>
          <cell r="R2026">
            <v>0.55193836322478096</v>
          </cell>
          <cell r="S2026" t="e">
            <v>#VALUE!</v>
          </cell>
          <cell r="T2026" t="e">
            <v>#VALUE!</v>
          </cell>
        </row>
        <row r="2027">
          <cell r="A2027" t="str">
            <v>GRAG18000373</v>
          </cell>
          <cell r="B2027" t="str">
            <v>MKP000631004271</v>
          </cell>
          <cell r="C2027" t="str">
            <v/>
          </cell>
          <cell r="D2027" t="str">
            <v>Armário de Cozinha Compacta 180cm Branco Preto Agata Madesa 03</v>
          </cell>
          <cell r="E2027" t="str">
            <v>ÁGATA</v>
          </cell>
          <cell r="F2027" t="str">
            <v>COZINHA</v>
          </cell>
          <cell r="G2027" t="str">
            <v/>
          </cell>
          <cell r="H2027">
            <v>1599.99</v>
          </cell>
          <cell r="I2027">
            <v>1499.99</v>
          </cell>
          <cell r="J2027">
            <v>1251.8868</v>
          </cell>
          <cell r="K2027">
            <v>0</v>
          </cell>
          <cell r="L2027">
            <v>1251.8868</v>
          </cell>
          <cell r="M2027">
            <v>0</v>
          </cell>
          <cell r="N2027">
            <v>1499.99</v>
          </cell>
          <cell r="O2027" t="str">
            <v/>
          </cell>
          <cell r="P2027">
            <v>0</v>
          </cell>
          <cell r="Q2027">
            <v>0.19818341402753001</v>
          </cell>
          <cell r="R2027">
            <v>0.19818341402753001</v>
          </cell>
          <cell r="S2027" t="e">
            <v>#VALUE!</v>
          </cell>
          <cell r="T2027" t="e">
            <v>#VALUE!</v>
          </cell>
        </row>
        <row r="2028">
          <cell r="A2028" t="str">
            <v>XB2105091</v>
          </cell>
          <cell r="B2028" t="str">
            <v>MKP000631005829</v>
          </cell>
          <cell r="C2028" t="str">
            <v/>
          </cell>
          <cell r="D2028" t="str">
            <v>Painel para TV até 60 Polegadas Madesa Alfa com Prateleiras e Nichos Branco</v>
          </cell>
          <cell r="E2028" t="str">
            <v>ALFA</v>
          </cell>
          <cell r="F2028" t="str">
            <v>SALA DE ESTAR</v>
          </cell>
          <cell r="G2028" t="str">
            <v/>
          </cell>
          <cell r="H2028">
            <v>879.99</v>
          </cell>
          <cell r="I2028">
            <v>399.99</v>
          </cell>
          <cell r="J2028">
            <v>309.11309999999997</v>
          </cell>
          <cell r="K2028">
            <v>0</v>
          </cell>
          <cell r="L2028">
            <v>309.11309999999997</v>
          </cell>
          <cell r="M2028">
            <v>0</v>
          </cell>
          <cell r="N2028">
            <v>399.99</v>
          </cell>
          <cell r="O2028" t="str">
            <v/>
          </cell>
          <cell r="P2028">
            <v>0</v>
          </cell>
          <cell r="Q2028">
            <v>0.29399239307554398</v>
          </cell>
          <cell r="R2028">
            <v>0.29399239307554398</v>
          </cell>
          <cell r="S2028" t="e">
            <v>#VALUE!</v>
          </cell>
          <cell r="T2028" t="e">
            <v>#VALUE!</v>
          </cell>
        </row>
        <row r="2029">
          <cell r="A2029" t="str">
            <v>G2560209AG</v>
          </cell>
          <cell r="B2029" t="str">
            <v>MKP000631004723</v>
          </cell>
          <cell r="C2029" t="str">
            <v/>
          </cell>
          <cell r="D2029" t="str">
            <v>Armário Aéreo Madesa Agata 60 cm 1 Porta Basculante Branco</v>
          </cell>
          <cell r="E2029" t="str">
            <v>ÁGATA</v>
          </cell>
          <cell r="F2029" t="str">
            <v>MODULAÇÃO</v>
          </cell>
          <cell r="G2029" t="str">
            <v/>
          </cell>
          <cell r="H2029">
            <v>369.99</v>
          </cell>
          <cell r="I2029">
            <v>249.99</v>
          </cell>
          <cell r="J2029">
            <v>149.85319999999999</v>
          </cell>
          <cell r="K2029">
            <v>0</v>
          </cell>
          <cell r="L2029">
            <v>149.85319999999999</v>
          </cell>
          <cell r="M2029">
            <v>0</v>
          </cell>
          <cell r="N2029">
            <v>249.99</v>
          </cell>
          <cell r="O2029" t="str">
            <v/>
          </cell>
          <cell r="P2029">
            <v>0</v>
          </cell>
          <cell r="Q2029">
            <v>0.66823264368061597</v>
          </cell>
          <cell r="R2029">
            <v>0.66823264368061597</v>
          </cell>
          <cell r="S2029" t="e">
            <v>#VALUE!</v>
          </cell>
          <cell r="T2029" t="e">
            <v>#VALUE!</v>
          </cell>
        </row>
        <row r="2030">
          <cell r="A2030" t="str">
            <v>GCGL5040017K</v>
          </cell>
          <cell r="B2030" t="str">
            <v>MKP000631004310</v>
          </cell>
          <cell r="C2030" t="str">
            <v/>
          </cell>
          <cell r="D2030" t="str">
            <v>Armário de Cozinha Completa de Canto 504cm Rustic/Preto Glamy Madesa 01</v>
          </cell>
          <cell r="E2030" t="str">
            <v>GLAMY</v>
          </cell>
          <cell r="F2030" t="str">
            <v>COZINHA</v>
          </cell>
          <cell r="G2030" t="str">
            <v/>
          </cell>
          <cell r="H2030">
            <v>3999.99</v>
          </cell>
          <cell r="I2030">
            <v>3759.99</v>
          </cell>
          <cell r="J2030">
            <v>3104.1565000000001</v>
          </cell>
          <cell r="K2030">
            <v>0</v>
          </cell>
          <cell r="L2030">
            <v>3104.1565000000001</v>
          </cell>
          <cell r="M2030">
            <v>0</v>
          </cell>
          <cell r="N2030">
            <v>3759.99</v>
          </cell>
          <cell r="O2030" t="str">
            <v/>
          </cell>
          <cell r="P2030">
            <v>0</v>
          </cell>
          <cell r="Q2030">
            <v>0.211275913440576</v>
          </cell>
          <cell r="R2030">
            <v>0.211275913440576</v>
          </cell>
          <cell r="S2030" t="e">
            <v>#VALUE!</v>
          </cell>
          <cell r="T2030" t="e">
            <v>#VALUE!</v>
          </cell>
        </row>
        <row r="2031">
          <cell r="A2031" t="str">
            <v>G244009BGL</v>
          </cell>
          <cell r="B2031" t="str">
            <v>MKP000631000833</v>
          </cell>
          <cell r="C2031" t="str">
            <v/>
          </cell>
          <cell r="D2031" t="str">
            <v>Balcão Madesa Glamy 40 cm 1 Porta Branco/Rustic</v>
          </cell>
          <cell r="E2031" t="str">
            <v>GLAMY</v>
          </cell>
          <cell r="F2031" t="str">
            <v>MODULAÇÃO</v>
          </cell>
          <cell r="G2031" t="str">
            <v/>
          </cell>
          <cell r="H2031">
            <v>509.99</v>
          </cell>
          <cell r="I2031">
            <v>349.99</v>
          </cell>
          <cell r="J2031">
            <v>223.8424</v>
          </cell>
          <cell r="K2031">
            <v>0</v>
          </cell>
          <cell r="L2031">
            <v>223.8424</v>
          </cell>
          <cell r="M2031">
            <v>0</v>
          </cell>
          <cell r="N2031">
            <v>349.99</v>
          </cell>
          <cell r="O2031" t="str">
            <v/>
          </cell>
          <cell r="P2031">
            <v>0</v>
          </cell>
          <cell r="Q2031">
            <v>0.56355543007044195</v>
          </cell>
          <cell r="R2031">
            <v>0.56355543007044195</v>
          </cell>
          <cell r="S2031" t="e">
            <v>#VALUE!</v>
          </cell>
          <cell r="T2031" t="e">
            <v>#VALUE!</v>
          </cell>
        </row>
        <row r="2032">
          <cell r="A2032" t="str">
            <v>GRGL2400037K</v>
          </cell>
          <cell r="B2032" t="str">
            <v>MKP000631004220</v>
          </cell>
          <cell r="C2032" t="str">
            <v/>
          </cell>
          <cell r="D2032" t="str">
            <v>Armário de Cozinha Completa 240cm Rustic Preto Glamy Madesa 03</v>
          </cell>
          <cell r="E2032" t="str">
            <v>GLAMY</v>
          </cell>
          <cell r="F2032" t="str">
            <v>COZINHA</v>
          </cell>
          <cell r="G2032" t="str">
            <v/>
          </cell>
          <cell r="H2032">
            <v>2199.9899999999998</v>
          </cell>
          <cell r="I2032">
            <v>2099.9899999999998</v>
          </cell>
          <cell r="J2032">
            <v>1751.9460999999999</v>
          </cell>
          <cell r="K2032">
            <v>0</v>
          </cell>
          <cell r="L2032">
            <v>1751.9460999999999</v>
          </cell>
          <cell r="M2032">
            <v>0</v>
          </cell>
          <cell r="N2032">
            <v>2099.9899999999998</v>
          </cell>
          <cell r="O2032" t="str">
            <v/>
          </cell>
          <cell r="P2032">
            <v>0</v>
          </cell>
          <cell r="Q2032">
            <v>0.198661305847252</v>
          </cell>
          <cell r="R2032">
            <v>0.198661305847252</v>
          </cell>
          <cell r="S2032" t="e">
            <v>#VALUE!</v>
          </cell>
          <cell r="T2032" t="e">
            <v>#VALUE!</v>
          </cell>
        </row>
        <row r="2033">
          <cell r="A2033" t="str">
            <v>GRAG33000173</v>
          </cell>
          <cell r="B2033" t="str">
            <v>MKP000631004713</v>
          </cell>
          <cell r="C2033" t="str">
            <v/>
          </cell>
          <cell r="D2033" t="str">
            <v>Armário de Cozinha Completa 330cm Branco Preto Agata Madesa 01</v>
          </cell>
          <cell r="E2033" t="str">
            <v>ÁGATA</v>
          </cell>
          <cell r="F2033" t="str">
            <v>COZINHA</v>
          </cell>
          <cell r="G2033" t="str">
            <v/>
          </cell>
          <cell r="H2033">
            <v>2529.9899999999998</v>
          </cell>
          <cell r="I2033">
            <v>2299.9899999999998</v>
          </cell>
          <cell r="J2033">
            <v>1902.4641999999999</v>
          </cell>
          <cell r="K2033">
            <v>0</v>
          </cell>
          <cell r="L2033">
            <v>1902.4641999999999</v>
          </cell>
          <cell r="M2033">
            <v>0</v>
          </cell>
          <cell r="N2033">
            <v>2299.9899999999998</v>
          </cell>
          <cell r="O2033" t="str">
            <v/>
          </cell>
          <cell r="P2033">
            <v>0</v>
          </cell>
          <cell r="Q2033">
            <v>0.208953104084691</v>
          </cell>
          <cell r="R2033">
            <v>0.208953104084691</v>
          </cell>
          <cell r="S2033" t="e">
            <v>#VALUE!</v>
          </cell>
          <cell r="T2033" t="e">
            <v>#VALUE!</v>
          </cell>
        </row>
        <row r="2034">
          <cell r="A2034" t="str">
            <v>G24120F9AG</v>
          </cell>
          <cell r="B2034" t="str">
            <v>MKP000631002585</v>
          </cell>
          <cell r="C2034" t="str">
            <v/>
          </cell>
          <cell r="D2034" t="str">
            <v>Balcão Gabinete de Pia Madesa Agata 2 Portas (Sem Tampo e Pia) Rustic/Cinza</v>
          </cell>
          <cell r="E2034" t="str">
            <v>ÁGATA</v>
          </cell>
          <cell r="F2034" t="str">
            <v>MODULAÇÃO</v>
          </cell>
          <cell r="G2034" t="str">
            <v/>
          </cell>
          <cell r="H2034">
            <v>939.99</v>
          </cell>
          <cell r="I2034">
            <v>489.99</v>
          </cell>
          <cell r="J2034">
            <v>355.6234</v>
          </cell>
          <cell r="K2034">
            <v>0</v>
          </cell>
          <cell r="L2034">
            <v>355.6234</v>
          </cell>
          <cell r="M2034">
            <v>0</v>
          </cell>
          <cell r="N2034">
            <v>489.99</v>
          </cell>
          <cell r="O2034" t="str">
            <v/>
          </cell>
          <cell r="P2034">
            <v>0</v>
          </cell>
          <cell r="Q2034">
            <v>0.37783396705616101</v>
          </cell>
          <cell r="R2034">
            <v>0.37783396705616101</v>
          </cell>
          <cell r="S2034" t="e">
            <v>#VALUE!</v>
          </cell>
          <cell r="T2034" t="e">
            <v>#VALUE!</v>
          </cell>
        </row>
        <row r="2035">
          <cell r="A2035" t="str">
            <v>GREM2930045Z</v>
          </cell>
          <cell r="B2035" t="str">
            <v>MKP000631005151</v>
          </cell>
          <cell r="C2035" t="str">
            <v/>
          </cell>
          <cell r="D2035" t="str">
            <v>Armário de Cozinha Completa 293cm Rustic Emilly Madesa 04</v>
          </cell>
          <cell r="E2035" t="str">
            <v>EMILLY</v>
          </cell>
          <cell r="F2035" t="str">
            <v>COZINHA</v>
          </cell>
          <cell r="G2035" t="str">
            <v/>
          </cell>
          <cell r="H2035">
            <v>1569.99</v>
          </cell>
          <cell r="I2035">
            <v>1469.99</v>
          </cell>
          <cell r="J2035">
            <v>1195.4248</v>
          </cell>
          <cell r="K2035">
            <v>0</v>
          </cell>
          <cell r="L2035">
            <v>1195.4248</v>
          </cell>
          <cell r="M2035">
            <v>0</v>
          </cell>
          <cell r="N2035">
            <v>1469.99</v>
          </cell>
          <cell r="O2035" t="str">
            <v/>
          </cell>
          <cell r="P2035">
            <v>0</v>
          </cell>
          <cell r="Q2035">
            <v>0.22968002671519</v>
          </cell>
          <cell r="R2035">
            <v>0.22968002671519</v>
          </cell>
          <cell r="S2035" t="e">
            <v>#VALUE!</v>
          </cell>
          <cell r="T2035" t="e">
            <v>#VALUE!</v>
          </cell>
        </row>
        <row r="2036">
          <cell r="A2036" t="str">
            <v>GREM1370027K</v>
          </cell>
          <cell r="B2036" t="str">
            <v>MKP000631001823</v>
          </cell>
          <cell r="C2036" t="str">
            <v/>
          </cell>
          <cell r="D2036" t="str">
            <v>Armário de Cozinha Compacta 137cm Rustic/Preto Emilly Force Madesa 02</v>
          </cell>
          <cell r="E2036" t="str">
            <v>FORCE/EMILLY</v>
          </cell>
          <cell r="F2036" t="str">
            <v>COZINHA</v>
          </cell>
          <cell r="G2036" t="str">
            <v/>
          </cell>
          <cell r="H2036">
            <v>1399.99</v>
          </cell>
          <cell r="I2036">
            <v>859.99</v>
          </cell>
          <cell r="J2036">
            <v>681.82770000000005</v>
          </cell>
          <cell r="K2036">
            <v>0</v>
          </cell>
          <cell r="L2036">
            <v>681.82770000000005</v>
          </cell>
          <cell r="M2036">
            <v>0</v>
          </cell>
          <cell r="N2036">
            <v>859.99</v>
          </cell>
          <cell r="O2036" t="str">
            <v/>
          </cell>
          <cell r="P2036">
            <v>0</v>
          </cell>
          <cell r="Q2036">
            <v>0.261301058903884</v>
          </cell>
          <cell r="R2036">
            <v>0.261301058903884</v>
          </cell>
          <cell r="S2036" t="e">
            <v>#VALUE!</v>
          </cell>
          <cell r="T2036" t="e">
            <v>#VALUE!</v>
          </cell>
        </row>
        <row r="2037">
          <cell r="A2037" t="str">
            <v>10945Z2E4GCP</v>
          </cell>
          <cell r="B2037" t="str">
            <v>MKP000631000984</v>
          </cell>
          <cell r="C2037" t="str">
            <v/>
          </cell>
          <cell r="D2037" t="str">
            <v>Guarda-Roupa Solteiro Madesa Dallas Plus 2 Portas de Correr de Espelho 4 Gavetas com Pés Rustic</v>
          </cell>
          <cell r="E2037" t="str">
            <v>DALLAS PLUS</v>
          </cell>
          <cell r="F2037" t="str">
            <v>QUARTO</v>
          </cell>
          <cell r="G2037" t="str">
            <v/>
          </cell>
          <cell r="H2037">
            <v>1669.99</v>
          </cell>
          <cell r="I2037">
            <v>1239.99</v>
          </cell>
          <cell r="J2037">
            <v>949.03030000000001</v>
          </cell>
          <cell r="K2037">
            <v>0</v>
          </cell>
          <cell r="L2037">
            <v>949.03030000000001</v>
          </cell>
          <cell r="M2037">
            <v>0</v>
          </cell>
          <cell r="N2037">
            <v>1239.99</v>
          </cell>
          <cell r="O2037" t="str">
            <v/>
          </cell>
          <cell r="P2037">
            <v>0</v>
          </cell>
          <cell r="Q2037">
            <v>0.30658631236536898</v>
          </cell>
          <cell r="R2037">
            <v>0.30658631236536898</v>
          </cell>
          <cell r="S2037" t="e">
            <v>#VALUE!</v>
          </cell>
          <cell r="T2037" t="e">
            <v>#VALUE!</v>
          </cell>
        </row>
        <row r="2038">
          <cell r="A2038" t="str">
            <v>G270056SPR</v>
          </cell>
          <cell r="B2038" t="str">
            <v>MKP000631000126</v>
          </cell>
          <cell r="C2038" t="str">
            <v/>
          </cell>
          <cell r="D2038" t="str">
            <v>Tampo para Balcão de Pia 120 cm Madesa Mood</v>
          </cell>
          <cell r="E2038" t="str">
            <v>PR</v>
          </cell>
          <cell r="F2038" t="str">
            <v>MODULAÇÃO</v>
          </cell>
          <cell r="G2038" t="str">
            <v/>
          </cell>
          <cell r="H2038">
            <v>369.99</v>
          </cell>
          <cell r="I2038">
            <v>149.99</v>
          </cell>
          <cell r="J2038">
            <v>90.698899999999995</v>
          </cell>
          <cell r="K2038">
            <v>0</v>
          </cell>
          <cell r="L2038">
            <v>90.698899999999995</v>
          </cell>
          <cell r="M2038">
            <v>0</v>
          </cell>
          <cell r="N2038">
            <v>149.99</v>
          </cell>
          <cell r="O2038" t="str">
            <v/>
          </cell>
          <cell r="P2038">
            <v>0</v>
          </cell>
          <cell r="Q2038">
            <v>0.65371355110150198</v>
          </cell>
          <cell r="R2038">
            <v>0.65371355110150198</v>
          </cell>
          <cell r="S2038" t="e">
            <v>#VALUE!</v>
          </cell>
          <cell r="T2038" t="e">
            <v>#VALUE!</v>
          </cell>
        </row>
        <row r="2039">
          <cell r="A2039" t="str">
            <v>GREM2010025Z</v>
          </cell>
          <cell r="B2039" t="str">
            <v>MKP000631001523</v>
          </cell>
          <cell r="C2039" t="str">
            <v/>
          </cell>
          <cell r="D2039" t="str">
            <v>Armário de Cozinha Completa 201cm Rustic Emilly Fast Madesa 02</v>
          </cell>
          <cell r="E2039" t="str">
            <v>FAST/EMILLY</v>
          </cell>
          <cell r="F2039" t="str">
            <v>COZINHA</v>
          </cell>
          <cell r="G2039" t="str">
            <v/>
          </cell>
          <cell r="H2039">
            <v>1249.99</v>
          </cell>
          <cell r="I2039">
            <v>1149.99</v>
          </cell>
          <cell r="J2039">
            <v>939.89610000000005</v>
          </cell>
          <cell r="K2039">
            <v>0</v>
          </cell>
          <cell r="L2039">
            <v>939.89610000000005</v>
          </cell>
          <cell r="M2039">
            <v>0</v>
          </cell>
          <cell r="N2039">
            <v>1149.99</v>
          </cell>
          <cell r="O2039" t="str">
            <v/>
          </cell>
          <cell r="P2039">
            <v>0</v>
          </cell>
          <cell r="Q2039">
            <v>0.22352885600865899</v>
          </cell>
          <cell r="R2039">
            <v>0.22352885600865899</v>
          </cell>
          <cell r="S2039" t="e">
            <v>#VALUE!</v>
          </cell>
          <cell r="T2039" t="e">
            <v>#VALUE!</v>
          </cell>
        </row>
        <row r="2040">
          <cell r="A2040" t="str">
            <v>G201612809ST</v>
          </cell>
          <cell r="B2040" t="str">
            <v>MKP000631000225</v>
          </cell>
          <cell r="C2040" t="str">
            <v/>
          </cell>
          <cell r="D2040" t="str">
            <v>Armário de Cozinha Completa 290cm Branco Vicenza Madesa</v>
          </cell>
          <cell r="E2040" t="str">
            <v>VICENZA/GLAMY</v>
          </cell>
          <cell r="F2040" t="str">
            <v>COZINHA</v>
          </cell>
          <cell r="G2040" t="str">
            <v/>
          </cell>
          <cell r="H2040">
            <v>2599.9899999999998</v>
          </cell>
          <cell r="I2040">
            <v>2499.9899999999998</v>
          </cell>
          <cell r="J2040">
            <v>2076.7116000000001</v>
          </cell>
          <cell r="K2040">
            <v>0</v>
          </cell>
          <cell r="L2040">
            <v>2076.7116000000001</v>
          </cell>
          <cell r="M2040">
            <v>0</v>
          </cell>
          <cell r="N2040">
            <v>2499.9899999999998</v>
          </cell>
          <cell r="O2040" t="str">
            <v/>
          </cell>
          <cell r="P2040">
            <v>0</v>
          </cell>
          <cell r="Q2040">
            <v>0.20382146466557999</v>
          </cell>
          <cell r="R2040">
            <v>0.20382146466557999</v>
          </cell>
          <cell r="S2040" t="e">
            <v>#VALUE!</v>
          </cell>
          <cell r="T2040" t="e">
            <v>#VALUE!</v>
          </cell>
        </row>
        <row r="2041">
          <cell r="A2041" t="str">
            <v>GRAG2700017G</v>
          </cell>
          <cell r="B2041" t="str">
            <v>MKP000631005369</v>
          </cell>
          <cell r="C2041" t="str">
            <v/>
          </cell>
          <cell r="D2041" t="str">
            <v>Armário de Cozinha Completa 270cm Rustic/Crema Agata Madesa 01</v>
          </cell>
          <cell r="E2041" t="str">
            <v>ÁGATA</v>
          </cell>
          <cell r="F2041" t="str">
            <v>COZINHA</v>
          </cell>
          <cell r="G2041" t="str">
            <v/>
          </cell>
          <cell r="H2041">
            <v>2399.9899999999998</v>
          </cell>
          <cell r="I2041">
            <v>2399.9899999999998</v>
          </cell>
          <cell r="J2041">
            <v>1858.4391000000001</v>
          </cell>
          <cell r="K2041">
            <v>0</v>
          </cell>
          <cell r="L2041">
            <v>1858.4391000000001</v>
          </cell>
          <cell r="M2041">
            <v>0</v>
          </cell>
          <cell r="N2041">
            <v>2399.9899999999998</v>
          </cell>
          <cell r="O2041" t="str">
            <v/>
          </cell>
          <cell r="P2041">
            <v>0</v>
          </cell>
          <cell r="Q2041">
            <v>0.29140093963800001</v>
          </cell>
          <cell r="R2041">
            <v>0.29140093963800001</v>
          </cell>
          <cell r="S2041" t="e">
            <v>#VALUE!</v>
          </cell>
          <cell r="T2041" t="e">
            <v>#VALUE!</v>
          </cell>
        </row>
        <row r="2042">
          <cell r="A2042" t="str">
            <v>G258005ZTE</v>
          </cell>
          <cell r="B2042" t="str">
            <v>MKP000631002168</v>
          </cell>
          <cell r="C2042" t="str">
            <v/>
          </cell>
          <cell r="D2042" t="str">
            <v>Armário Aéreo Madesa Stella 80 cm 2 Portas Rustic</v>
          </cell>
          <cell r="E2042" t="str">
            <v>STELLA</v>
          </cell>
          <cell r="F2042" t="str">
            <v>MODULAÇÃO</v>
          </cell>
          <cell r="G2042" t="str">
            <v/>
          </cell>
          <cell r="H2042">
            <v>489.99</v>
          </cell>
          <cell r="I2042">
            <v>429.99</v>
          </cell>
          <cell r="J2042">
            <v>258.66789999999997</v>
          </cell>
          <cell r="K2042">
            <v>0</v>
          </cell>
          <cell r="L2042">
            <v>258.66789999999997</v>
          </cell>
          <cell r="M2042">
            <v>0</v>
          </cell>
          <cell r="N2042">
            <v>429.99</v>
          </cell>
          <cell r="O2042" t="str">
            <v/>
          </cell>
          <cell r="P2042">
            <v>0</v>
          </cell>
          <cell r="Q2042">
            <v>0.66232454819480902</v>
          </cell>
          <cell r="R2042">
            <v>0.66232454819480902</v>
          </cell>
          <cell r="S2042" t="e">
            <v>#VALUE!</v>
          </cell>
          <cell r="T2042" t="e">
            <v>#VALUE!</v>
          </cell>
        </row>
        <row r="2043">
          <cell r="A2043" t="str">
            <v>G236559NLX</v>
          </cell>
          <cell r="B2043" t="str">
            <v>MKP000631002746</v>
          </cell>
          <cell r="C2043" t="str">
            <v/>
          </cell>
          <cell r="D2043" t="str">
            <v>Torre Quente Madesa Lux 60 cm 1 Porta 3 Gavetas Rustic/Cinza</v>
          </cell>
          <cell r="E2043" t="str">
            <v>LUX</v>
          </cell>
          <cell r="F2043" t="str">
            <v>MODULAÇÃO</v>
          </cell>
          <cell r="G2043" t="str">
            <v/>
          </cell>
          <cell r="H2043">
            <v>2009.99</v>
          </cell>
          <cell r="I2043">
            <v>1519.99</v>
          </cell>
          <cell r="J2043">
            <v>860.46780000000001</v>
          </cell>
          <cell r="K2043">
            <v>0</v>
          </cell>
          <cell r="L2043">
            <v>860.46780000000001</v>
          </cell>
          <cell r="M2043">
            <v>0</v>
          </cell>
          <cell r="N2043">
            <v>1519.99</v>
          </cell>
          <cell r="O2043" t="str">
            <v>LOJA</v>
          </cell>
          <cell r="P2043">
            <v>1499.99</v>
          </cell>
          <cell r="Q2043">
            <v>0.76646935539017302</v>
          </cell>
          <cell r="R2043">
            <v>0.76646935539017302</v>
          </cell>
          <cell r="S2043" t="e">
            <v>#VALUE!</v>
          </cell>
          <cell r="T2043" t="e">
            <v>#VALUE!</v>
          </cell>
        </row>
        <row r="2044">
          <cell r="A2044" t="str">
            <v>GRRM27000109</v>
          </cell>
          <cell r="B2044" t="str">
            <v>MKP000631003402</v>
          </cell>
          <cell r="C2044" t="str">
            <v/>
          </cell>
          <cell r="D2044" t="str">
            <v>Armário de Cozinha Completa 270cm Branco Reims Madesa 01</v>
          </cell>
          <cell r="E2044" t="str">
            <v>REIMS</v>
          </cell>
          <cell r="F2044" t="str">
            <v>COZINHA</v>
          </cell>
          <cell r="G2044" t="str">
            <v/>
          </cell>
          <cell r="H2044">
            <v>3549.99</v>
          </cell>
          <cell r="I2044">
            <v>1859.99</v>
          </cell>
          <cell r="J2044">
            <v>1629.1685</v>
          </cell>
          <cell r="K2044">
            <v>0</v>
          </cell>
          <cell r="L2044">
            <v>1629.1685</v>
          </cell>
          <cell r="M2044">
            <v>0</v>
          </cell>
          <cell r="N2044">
            <v>1859.99</v>
          </cell>
          <cell r="O2044" t="str">
            <v>VIA</v>
          </cell>
          <cell r="P2044">
            <v>1799.99</v>
          </cell>
          <cell r="Q2044">
            <v>0.141680556676611</v>
          </cell>
          <cell r="R2044">
            <v>0.141680556676611</v>
          </cell>
          <cell r="S2044" t="e">
            <v>#VALUE!</v>
          </cell>
          <cell r="T2044" t="e">
            <v>#VALUE!</v>
          </cell>
        </row>
        <row r="2045">
          <cell r="A2045" t="str">
            <v>G2540009GL</v>
          </cell>
          <cell r="B2045" t="str">
            <v>MKP000631000479</v>
          </cell>
          <cell r="C2045" t="str">
            <v/>
          </cell>
          <cell r="D2045" t="str">
            <v>Armário Aéreo Madesa Glamy 40 cm 1 Porta Branco</v>
          </cell>
          <cell r="E2045" t="str">
            <v>GLAMY</v>
          </cell>
          <cell r="F2045" t="str">
            <v>MODULAÇÃO</v>
          </cell>
          <cell r="G2045" t="str">
            <v/>
          </cell>
          <cell r="H2045">
            <v>449.99</v>
          </cell>
          <cell r="I2045">
            <v>289.99</v>
          </cell>
          <cell r="J2045">
            <v>170.5959</v>
          </cell>
          <cell r="K2045">
            <v>0</v>
          </cell>
          <cell r="L2045">
            <v>170.5959</v>
          </cell>
          <cell r="M2045">
            <v>0</v>
          </cell>
          <cell r="N2045">
            <v>289.99</v>
          </cell>
          <cell r="O2045" t="str">
            <v/>
          </cell>
          <cell r="P2045">
            <v>0</v>
          </cell>
          <cell r="Q2045">
            <v>0.69986500261729601</v>
          </cell>
          <cell r="R2045">
            <v>0.69986500261729601</v>
          </cell>
          <cell r="S2045" t="e">
            <v>#VALUE!</v>
          </cell>
          <cell r="T2045" t="e">
            <v>#VALUE!</v>
          </cell>
        </row>
        <row r="2046">
          <cell r="A2046" t="str">
            <v>G24700F9AG</v>
          </cell>
          <cell r="B2046" t="str">
            <v>MKP000631003446</v>
          </cell>
          <cell r="C2046" t="str">
            <v/>
          </cell>
          <cell r="D2046" t="str">
            <v>Balcão de Cozinha Madesa Agata 70 cm 2 Portas Rustic/Cinza</v>
          </cell>
          <cell r="E2046" t="str">
            <v>ÁGATA</v>
          </cell>
          <cell r="F2046" t="str">
            <v>MODULAÇÃO</v>
          </cell>
          <cell r="G2046" t="str">
            <v/>
          </cell>
          <cell r="H2046">
            <v>869.99</v>
          </cell>
          <cell r="I2046">
            <v>519.99</v>
          </cell>
          <cell r="J2046">
            <v>316.08909999999997</v>
          </cell>
          <cell r="K2046">
            <v>0</v>
          </cell>
          <cell r="L2046">
            <v>316.08909999999997</v>
          </cell>
          <cell r="M2046">
            <v>0</v>
          </cell>
          <cell r="N2046">
            <v>519.99</v>
          </cell>
          <cell r="O2046" t="str">
            <v/>
          </cell>
          <cell r="P2046">
            <v>0</v>
          </cell>
          <cell r="Q2046">
            <v>0.64507412625111105</v>
          </cell>
          <cell r="R2046">
            <v>0.64507412625111105</v>
          </cell>
          <cell r="S2046" t="e">
            <v>#VALUE!</v>
          </cell>
          <cell r="T2046" t="e">
            <v>#VALUE!</v>
          </cell>
        </row>
        <row r="2047">
          <cell r="A2047" t="str">
            <v>G244003BNC</v>
          </cell>
          <cell r="B2047" t="str">
            <v>MKP000631004842</v>
          </cell>
          <cell r="C2047" t="str">
            <v/>
          </cell>
          <cell r="D2047" t="str">
            <v>Balcão 40 cm 1 Porta Suspenso Cinza Nice Madesa</v>
          </cell>
          <cell r="E2047" t="str">
            <v>NICE</v>
          </cell>
          <cell r="F2047" t="str">
            <v>MODULAÇÃO</v>
          </cell>
          <cell r="G2047" t="str">
            <v/>
          </cell>
          <cell r="H2047">
            <v>539.99</v>
          </cell>
          <cell r="I2047">
            <v>279.99</v>
          </cell>
          <cell r="J2047">
            <v>159.0746</v>
          </cell>
          <cell r="K2047">
            <v>0</v>
          </cell>
          <cell r="L2047">
            <v>159.0746</v>
          </cell>
          <cell r="M2047">
            <v>0</v>
          </cell>
          <cell r="N2047">
            <v>279.99</v>
          </cell>
          <cell r="O2047" t="str">
            <v/>
          </cell>
          <cell r="P2047">
            <v>0</v>
          </cell>
          <cell r="Q2047">
            <v>0.76011758005363494</v>
          </cell>
          <cell r="R2047">
            <v>0.76011758005363494</v>
          </cell>
          <cell r="S2047" t="e">
            <v>#VALUE!</v>
          </cell>
          <cell r="T2047" t="e">
            <v>#VALUE!</v>
          </cell>
        </row>
        <row r="2048">
          <cell r="A2048" t="str">
            <v>XB94098N</v>
          </cell>
          <cell r="B2048" t="str">
            <v>MKP000631003424</v>
          </cell>
          <cell r="C2048" t="str">
            <v/>
          </cell>
          <cell r="D2048" t="str">
            <v>Escrivaninha Mesa para Computador Office 9409 Madesa Preto</v>
          </cell>
          <cell r="E2048" t="str">
            <v>GAMER</v>
          </cell>
          <cell r="F2048" t="str">
            <v>ESCRITÓRIO</v>
          </cell>
          <cell r="G2048" t="str">
            <v/>
          </cell>
          <cell r="H2048">
            <v>469.99</v>
          </cell>
          <cell r="I2048">
            <v>369.99</v>
          </cell>
          <cell r="J2048">
            <v>224.06039999999999</v>
          </cell>
          <cell r="K2048">
            <v>0</v>
          </cell>
          <cell r="L2048">
            <v>224.06039999999999</v>
          </cell>
          <cell r="M2048">
            <v>0</v>
          </cell>
          <cell r="N2048">
            <v>369.99</v>
          </cell>
          <cell r="O2048" t="str">
            <v>KABUM</v>
          </cell>
          <cell r="P2048">
            <v>343.15</v>
          </cell>
          <cell r="Q2048">
            <v>0.65129581130802205</v>
          </cell>
          <cell r="R2048">
            <v>0.65129581130802205</v>
          </cell>
          <cell r="S2048" t="e">
            <v>#VALUE!</v>
          </cell>
          <cell r="T2048" t="e">
            <v>#VALUE!</v>
          </cell>
        </row>
        <row r="2049">
          <cell r="A2049" t="str">
            <v>G2580409AG</v>
          </cell>
          <cell r="B2049" t="str">
            <v>MKP000631004720</v>
          </cell>
          <cell r="C2049" t="str">
            <v/>
          </cell>
          <cell r="D2049" t="str">
            <v>Armário Aéreo Madesa Agata 80 cm 1 Porta Basculante Branco</v>
          </cell>
          <cell r="E2049" t="str">
            <v>ÁGATA</v>
          </cell>
          <cell r="F2049" t="str">
            <v>MODULAÇÃO</v>
          </cell>
          <cell r="G2049" t="str">
            <v/>
          </cell>
          <cell r="H2049">
            <v>389.99</v>
          </cell>
          <cell r="I2049">
            <v>279.99</v>
          </cell>
          <cell r="J2049">
            <v>162.35550000000001</v>
          </cell>
          <cell r="K2049">
            <v>0</v>
          </cell>
          <cell r="L2049">
            <v>162.35550000000001</v>
          </cell>
          <cell r="M2049">
            <v>0</v>
          </cell>
          <cell r="N2049">
            <v>279.99</v>
          </cell>
          <cell r="O2049" t="str">
            <v/>
          </cell>
          <cell r="P2049">
            <v>0</v>
          </cell>
          <cell r="Q2049">
            <v>0.72454890656614701</v>
          </cell>
          <cell r="R2049">
            <v>0.72454890656614701</v>
          </cell>
          <cell r="S2049" t="e">
            <v>#VALUE!</v>
          </cell>
          <cell r="T2049" t="e">
            <v>#VALUE!</v>
          </cell>
        </row>
        <row r="2050">
          <cell r="A2050" t="str">
            <v>10939B2E4GCP</v>
          </cell>
          <cell r="B2050" t="str">
            <v>MKP000631001865</v>
          </cell>
          <cell r="C2050" t="str">
            <v/>
          </cell>
          <cell r="D2050" t="str">
            <v>Guarda-Roupa Casal Madesa Lyon Plus 3 Portas de Correr com Espelhos 4 Gavetas com Pés Branco/Rustic</v>
          </cell>
          <cell r="E2050" t="str">
            <v>LYON PLUS</v>
          </cell>
          <cell r="F2050" t="str">
            <v>QUARTO</v>
          </cell>
          <cell r="G2050" t="str">
            <v/>
          </cell>
          <cell r="H2050">
            <v>1689.99</v>
          </cell>
          <cell r="I2050">
            <v>1369.99</v>
          </cell>
          <cell r="J2050">
            <v>1104.3661999999999</v>
          </cell>
          <cell r="K2050">
            <v>0</v>
          </cell>
          <cell r="L2050">
            <v>1104.3661999999999</v>
          </cell>
          <cell r="M2050">
            <v>0</v>
          </cell>
          <cell r="N2050">
            <v>1369.99</v>
          </cell>
          <cell r="O2050" t="str">
            <v/>
          </cell>
          <cell r="P2050">
            <v>0</v>
          </cell>
          <cell r="Q2050">
            <v>0.240521486441726</v>
          </cell>
          <cell r="R2050">
            <v>0.240521486441726</v>
          </cell>
          <cell r="S2050" t="e">
            <v>#VALUE!</v>
          </cell>
          <cell r="T2050" t="e">
            <v>#VALUE!</v>
          </cell>
        </row>
        <row r="2051">
          <cell r="A2051" t="str">
            <v>G241245ZGLCPT</v>
          </cell>
          <cell r="B2051" t="str">
            <v>MKP000631001275</v>
          </cell>
          <cell r="C2051" t="str">
            <v/>
          </cell>
          <cell r="D2051" t="str">
            <v>Balcão Gabinete de Pia Madesa Glamy 2 Portas e 3 Gavetas + Porta-Talheres Rustic</v>
          </cell>
          <cell r="E2051" t="str">
            <v>GLAMY</v>
          </cell>
          <cell r="F2051" t="str">
            <v>MODULAÇÃO</v>
          </cell>
          <cell r="G2051" t="str">
            <v/>
          </cell>
          <cell r="H2051">
            <v>1319.99</v>
          </cell>
          <cell r="I2051">
            <v>719.99</v>
          </cell>
          <cell r="J2051">
            <v>557.96010000000001</v>
          </cell>
          <cell r="K2051">
            <v>0</v>
          </cell>
          <cell r="L2051">
            <v>557.96010000000001</v>
          </cell>
          <cell r="M2051">
            <v>0</v>
          </cell>
          <cell r="N2051">
            <v>719.99</v>
          </cell>
          <cell r="O2051" t="str">
            <v/>
          </cell>
          <cell r="P2051">
            <v>0</v>
          </cell>
          <cell r="Q2051">
            <v>0.29039692981630799</v>
          </cell>
          <cell r="R2051">
            <v>0.29039692981630799</v>
          </cell>
          <cell r="S2051" t="e">
            <v>#VALUE!</v>
          </cell>
          <cell r="T2051" t="e">
            <v>#VALUE!</v>
          </cell>
        </row>
        <row r="2052">
          <cell r="A2052" t="str">
            <v>G2415309GLCT</v>
          </cell>
          <cell r="B2052" t="str">
            <v>MKP000631002395</v>
          </cell>
          <cell r="C2052" t="str">
            <v/>
          </cell>
          <cell r="D2052" t="str">
            <v>Balcão de Pia Madesa Glamy 150 cm 2 Portas e 2 Gavetas (Com Tampo) Branco</v>
          </cell>
          <cell r="E2052" t="str">
            <v>GLAMY</v>
          </cell>
          <cell r="F2052" t="str">
            <v>MODULAÇÃO</v>
          </cell>
          <cell r="G2052" t="str">
            <v/>
          </cell>
          <cell r="H2052">
            <v>1349.99</v>
          </cell>
          <cell r="I2052">
            <v>689.99</v>
          </cell>
          <cell r="J2052">
            <v>539.95330000000001</v>
          </cell>
          <cell r="K2052">
            <v>0</v>
          </cell>
          <cell r="L2052">
            <v>539.95330000000001</v>
          </cell>
          <cell r="M2052">
            <v>0</v>
          </cell>
          <cell r="N2052">
            <v>689.99</v>
          </cell>
          <cell r="O2052" t="str">
            <v/>
          </cell>
          <cell r="P2052">
            <v>0</v>
          </cell>
          <cell r="Q2052">
            <v>0.277869771330224</v>
          </cell>
          <cell r="R2052">
            <v>0.277869771330224</v>
          </cell>
          <cell r="S2052" t="e">
            <v>#VALUE!</v>
          </cell>
          <cell r="T2052" t="e">
            <v>#VALUE!</v>
          </cell>
        </row>
        <row r="2053">
          <cell r="A2053" t="str">
            <v>10939B1E2GCP</v>
          </cell>
          <cell r="B2053" t="str">
            <v>MKP000631001080</v>
          </cell>
          <cell r="C2053" t="str">
            <v/>
          </cell>
          <cell r="D2053" t="str">
            <v>Guarda-Roupa Casal Madesa Lyon 3 Portas de Correr com Espelho 2 Gavetas com Pés Branco/Rustic</v>
          </cell>
          <cell r="E2053" t="str">
            <v>LYON</v>
          </cell>
          <cell r="F2053" t="str">
            <v>QUARTO</v>
          </cell>
          <cell r="G2053" t="str">
            <v/>
          </cell>
          <cell r="H2053">
            <v>1369.99</v>
          </cell>
          <cell r="I2053">
            <v>1149.99</v>
          </cell>
          <cell r="J2053">
            <v>885.70129999999995</v>
          </cell>
          <cell r="K2053">
            <v>0</v>
          </cell>
          <cell r="L2053">
            <v>885.70129999999995</v>
          </cell>
          <cell r="M2053">
            <v>0</v>
          </cell>
          <cell r="N2053">
            <v>1149.99</v>
          </cell>
          <cell r="O2053" t="str">
            <v/>
          </cell>
          <cell r="P2053">
            <v>0</v>
          </cell>
          <cell r="Q2053">
            <v>0.29839484259535298</v>
          </cell>
          <cell r="R2053">
            <v>0.29839484259535298</v>
          </cell>
          <cell r="S2053" t="e">
            <v>#VALUE!</v>
          </cell>
          <cell r="T2053" t="e">
            <v>#VALUE!</v>
          </cell>
        </row>
        <row r="2054">
          <cell r="A2054" t="str">
            <v>G2560173</v>
          </cell>
          <cell r="B2054" t="str">
            <v>MKP000631004909</v>
          </cell>
          <cell r="C2054" t="str">
            <v/>
          </cell>
          <cell r="D2054" t="str">
            <v>Armário Aéreo 100% MDF 60 cm 1 Porta Branco/Preto Acordes Madesa</v>
          </cell>
          <cell r="E2054" t="str">
            <v>ACORDES</v>
          </cell>
          <cell r="F2054" t="str">
            <v>MODULAÇÃO</v>
          </cell>
          <cell r="G2054" t="str">
            <v/>
          </cell>
          <cell r="H2054">
            <v>429.99</v>
          </cell>
          <cell r="I2054">
            <v>329.99</v>
          </cell>
          <cell r="J2054">
            <v>197.399</v>
          </cell>
          <cell r="K2054">
            <v>0</v>
          </cell>
          <cell r="L2054">
            <v>197.399</v>
          </cell>
          <cell r="M2054">
            <v>0</v>
          </cell>
          <cell r="N2054">
            <v>329.99</v>
          </cell>
          <cell r="O2054" t="str">
            <v/>
          </cell>
          <cell r="P2054">
            <v>0</v>
          </cell>
          <cell r="Q2054">
            <v>0.67169033277777501</v>
          </cell>
          <cell r="R2054">
            <v>0.67169033277777501</v>
          </cell>
          <cell r="S2054" t="e">
            <v>#VALUE!</v>
          </cell>
          <cell r="T2054" t="e">
            <v>#VALUE!</v>
          </cell>
        </row>
        <row r="2055">
          <cell r="A2055" t="str">
            <v>MDMU01000349</v>
          </cell>
          <cell r="B2055" t="str">
            <v>MKP000631005972</v>
          </cell>
          <cell r="C2055" t="str">
            <v/>
          </cell>
          <cell r="D2055" t="str">
            <v>Armário Gabinete para Banheiro 80cm 2 Portas Branco Madesa</v>
          </cell>
          <cell r="E2055" t="str">
            <v>GLAMY</v>
          </cell>
          <cell r="F2055" t="str">
            <v>COZINHA</v>
          </cell>
          <cell r="G2055" t="str">
            <v/>
          </cell>
          <cell r="H2055">
            <v>879.99</v>
          </cell>
          <cell r="I2055">
            <v>679.99</v>
          </cell>
          <cell r="J2055">
            <v>333.19119999999998</v>
          </cell>
          <cell r="K2055">
            <v>0</v>
          </cell>
          <cell r="L2055">
            <v>333.19119999999998</v>
          </cell>
          <cell r="M2055">
            <v>0</v>
          </cell>
          <cell r="N2055">
            <v>679.99</v>
          </cell>
          <cell r="O2055" t="str">
            <v/>
          </cell>
          <cell r="P2055">
            <v>0</v>
          </cell>
          <cell r="Q2055">
            <v>1.0408402142673601</v>
          </cell>
          <cell r="R2055">
            <v>1.0408402142673601</v>
          </cell>
          <cell r="S2055" t="e">
            <v>#VALUE!</v>
          </cell>
          <cell r="T2055" t="e">
            <v>#VALUE!</v>
          </cell>
        </row>
        <row r="2056">
          <cell r="A2056" t="str">
            <v>MDES0200236E5Z</v>
          </cell>
          <cell r="B2056" t="str">
            <v>MKP000631001646</v>
          </cell>
          <cell r="C2056" t="str">
            <v/>
          </cell>
          <cell r="D2056" t="str">
            <v>Rack Madesa Cancun e Painel para TV até 65 Polegadas Rustic/Branco 6E5Z</v>
          </cell>
          <cell r="E2056" t="str">
            <v>CANCUN</v>
          </cell>
          <cell r="F2056" t="str">
            <v>SALA DE ESTAR</v>
          </cell>
          <cell r="G2056" t="str">
            <v/>
          </cell>
          <cell r="H2056">
            <v>1149.99</v>
          </cell>
          <cell r="I2056">
            <v>569.99</v>
          </cell>
          <cell r="J2056">
            <v>449.15629999999999</v>
          </cell>
          <cell r="K2056">
            <v>0</v>
          </cell>
          <cell r="L2056">
            <v>449.15629999999999</v>
          </cell>
          <cell r="M2056">
            <v>0</v>
          </cell>
          <cell r="N2056">
            <v>569.99</v>
          </cell>
          <cell r="O2056" t="str">
            <v/>
          </cell>
          <cell r="P2056">
            <v>0</v>
          </cell>
          <cell r="Q2056">
            <v>0.26902372292228799</v>
          </cell>
          <cell r="R2056">
            <v>0.26902372292228799</v>
          </cell>
          <cell r="S2056" t="e">
            <v>#VALUE!</v>
          </cell>
          <cell r="T2056" t="e">
            <v>#VALUE!</v>
          </cell>
        </row>
        <row r="2057">
          <cell r="A2057" t="str">
            <v>GRGL1200086E</v>
          </cell>
          <cell r="B2057" t="str">
            <v>MKP000631004259</v>
          </cell>
          <cell r="C2057" t="str">
            <v/>
          </cell>
          <cell r="D2057" t="str">
            <v>Armário de Cozinha Compacta 120cm Rustic/Branco Glamy Madesa 08</v>
          </cell>
          <cell r="E2057" t="str">
            <v>GLAMY</v>
          </cell>
          <cell r="F2057" t="str">
            <v>COZINHA</v>
          </cell>
          <cell r="G2057" t="str">
            <v/>
          </cell>
          <cell r="H2057">
            <v>1199.99</v>
          </cell>
          <cell r="I2057">
            <v>1099.99</v>
          </cell>
          <cell r="J2057">
            <v>907.50130000000001</v>
          </cell>
          <cell r="K2057">
            <v>0</v>
          </cell>
          <cell r="L2057">
            <v>907.50130000000001</v>
          </cell>
          <cell r="M2057">
            <v>0</v>
          </cell>
          <cell r="N2057">
            <v>1099.99</v>
          </cell>
          <cell r="O2057" t="str">
            <v/>
          </cell>
          <cell r="P2057">
            <v>0</v>
          </cell>
          <cell r="Q2057">
            <v>0.21210845648375401</v>
          </cell>
          <cell r="R2057">
            <v>0.21210845648375401</v>
          </cell>
          <cell r="S2057" t="e">
            <v>#VALUE!</v>
          </cell>
          <cell r="T2057" t="e">
            <v>#VALUE!</v>
          </cell>
        </row>
        <row r="2058">
          <cell r="A2058" t="str">
            <v>GRAG180001F8</v>
          </cell>
          <cell r="B2058" t="str">
            <v>MKP000631004276</v>
          </cell>
          <cell r="C2058" t="str">
            <v/>
          </cell>
          <cell r="D2058" t="str">
            <v>Armário de Cozinha Compacta 180cm Branco Cinza Agata Madesa 01</v>
          </cell>
          <cell r="E2058" t="str">
            <v>ÁGATA</v>
          </cell>
          <cell r="F2058" t="str">
            <v>COZINHA</v>
          </cell>
          <cell r="G2058" t="str">
            <v/>
          </cell>
          <cell r="H2058">
            <v>1999.99</v>
          </cell>
          <cell r="I2058">
            <v>1569.99</v>
          </cell>
          <cell r="J2058">
            <v>1285.3607</v>
          </cell>
          <cell r="K2058">
            <v>0</v>
          </cell>
          <cell r="L2058">
            <v>1285.3607</v>
          </cell>
          <cell r="M2058">
            <v>0</v>
          </cell>
          <cell r="N2058">
            <v>1569.99</v>
          </cell>
          <cell r="O2058" t="str">
            <v/>
          </cell>
          <cell r="P2058">
            <v>0</v>
          </cell>
          <cell r="Q2058">
            <v>0.22143924269662199</v>
          </cell>
          <cell r="R2058">
            <v>0.22143924269662199</v>
          </cell>
          <cell r="S2058" t="e">
            <v>#VALUE!</v>
          </cell>
          <cell r="T2058" t="e">
            <v>#VALUE!</v>
          </cell>
        </row>
        <row r="2059">
          <cell r="A2059" t="str">
            <v>G2665573GL</v>
          </cell>
          <cell r="B2059" t="str">
            <v>MKP000631002854</v>
          </cell>
          <cell r="C2059" t="str">
            <v/>
          </cell>
          <cell r="D2059" t="str">
            <v>Torre Quente Madesa Glamy 60 cm 1 Porta 3 Gavetas Branco/Preto</v>
          </cell>
          <cell r="E2059" t="str">
            <v>GLAMY</v>
          </cell>
          <cell r="F2059" t="str">
            <v>MODULAÇÃO</v>
          </cell>
          <cell r="G2059" t="str">
            <v/>
          </cell>
          <cell r="H2059">
            <v>1419.99</v>
          </cell>
          <cell r="I2059">
            <v>939.99</v>
          </cell>
          <cell r="J2059">
            <v>578.65920000000006</v>
          </cell>
          <cell r="K2059">
            <v>0</v>
          </cell>
          <cell r="L2059">
            <v>578.65920000000006</v>
          </cell>
          <cell r="M2059">
            <v>0</v>
          </cell>
          <cell r="N2059">
            <v>939.99</v>
          </cell>
          <cell r="O2059" t="str">
            <v/>
          </cell>
          <cell r="P2059">
            <v>0</v>
          </cell>
          <cell r="Q2059">
            <v>0.62442764238432602</v>
          </cell>
          <cell r="R2059">
            <v>0.62442764238432602</v>
          </cell>
          <cell r="S2059" t="e">
            <v>#VALUE!</v>
          </cell>
          <cell r="T2059" t="e">
            <v>#VALUE!</v>
          </cell>
        </row>
        <row r="2060">
          <cell r="A2060" t="str">
            <v>GRLX200001H8</v>
          </cell>
          <cell r="B2060" t="str">
            <v>MKP000631003769</v>
          </cell>
          <cell r="C2060" t="str">
            <v/>
          </cell>
          <cell r="D2060" t="str">
            <v>Armário de Cozinha Compacta 200cm Rustic Branco Veludo Lux Madesa 01</v>
          </cell>
          <cell r="E2060" t="str">
            <v>LUX</v>
          </cell>
          <cell r="F2060" t="str">
            <v>COZINHA</v>
          </cell>
          <cell r="G2060" t="str">
            <v/>
          </cell>
          <cell r="H2060">
            <v>2599.9899999999998</v>
          </cell>
          <cell r="I2060">
            <v>2479.9899999999998</v>
          </cell>
          <cell r="J2060">
            <v>1335.3807999999999</v>
          </cell>
          <cell r="K2060">
            <v>0</v>
          </cell>
          <cell r="L2060">
            <v>1335.3807999999999</v>
          </cell>
          <cell r="M2060">
            <v>0</v>
          </cell>
          <cell r="N2060">
            <v>2479.9899999999998</v>
          </cell>
          <cell r="O2060" t="str">
            <v>LOJA</v>
          </cell>
          <cell r="P2060">
            <v>2179.9899999999998</v>
          </cell>
          <cell r="Q2060">
            <v>0.85714067477980804</v>
          </cell>
          <cell r="R2060">
            <v>0.85714067477980804</v>
          </cell>
          <cell r="S2060" t="e">
            <v>#VALUE!</v>
          </cell>
          <cell r="T2060" t="e">
            <v>#VALUE!</v>
          </cell>
        </row>
        <row r="2061">
          <cell r="A2061" t="str">
            <v>G2535009GL</v>
          </cell>
          <cell r="B2061" t="str">
            <v>MKP000631000482</v>
          </cell>
          <cell r="C2061" t="str">
            <v/>
          </cell>
          <cell r="D2061" t="str">
            <v>Armário Aéreo Madesa Glamy 35 cm 1 Porta Branco</v>
          </cell>
          <cell r="E2061" t="str">
            <v>GLAMY</v>
          </cell>
          <cell r="F2061" t="str">
            <v>MODULAÇÃO</v>
          </cell>
          <cell r="G2061" t="str">
            <v/>
          </cell>
          <cell r="H2061">
            <v>479.99</v>
          </cell>
          <cell r="I2061">
            <v>279.99</v>
          </cell>
          <cell r="J2061">
            <v>164.9606</v>
          </cell>
          <cell r="K2061">
            <v>0</v>
          </cell>
          <cell r="L2061">
            <v>164.9606</v>
          </cell>
          <cell r="M2061">
            <v>0</v>
          </cell>
          <cell r="N2061">
            <v>279.99</v>
          </cell>
          <cell r="O2061" t="str">
            <v/>
          </cell>
          <cell r="P2061">
            <v>0</v>
          </cell>
          <cell r="Q2061">
            <v>0.69731438901167897</v>
          </cell>
          <cell r="R2061">
            <v>0.69731438901167897</v>
          </cell>
          <cell r="S2061" t="e">
            <v>#VALUE!</v>
          </cell>
          <cell r="T2061" t="e">
            <v>#VALUE!</v>
          </cell>
        </row>
        <row r="2062">
          <cell r="A2062" t="str">
            <v>GRAG270001F9</v>
          </cell>
          <cell r="B2062" t="str">
            <v>MKP000631004266</v>
          </cell>
          <cell r="C2062" t="str">
            <v/>
          </cell>
          <cell r="D2062" t="str">
            <v>Armário de Cozinha Completa 270cm Rustic/Cinza Agata Madesa 01</v>
          </cell>
          <cell r="E2062" t="str">
            <v>ÁGATA</v>
          </cell>
          <cell r="F2062" t="str">
            <v>COZINHA</v>
          </cell>
          <cell r="G2062" t="str">
            <v/>
          </cell>
          <cell r="H2062">
            <v>2399.9899999999998</v>
          </cell>
          <cell r="I2062">
            <v>2299.9899999999998</v>
          </cell>
          <cell r="J2062">
            <v>1858.4391000000001</v>
          </cell>
          <cell r="K2062">
            <v>0</v>
          </cell>
          <cell r="L2062">
            <v>1858.4391000000001</v>
          </cell>
          <cell r="M2062">
            <v>0</v>
          </cell>
          <cell r="N2062">
            <v>2299.9899999999998</v>
          </cell>
          <cell r="O2062" t="str">
            <v>LOJA</v>
          </cell>
          <cell r="P2062">
            <v>2469.9899999999998</v>
          </cell>
          <cell r="Q2062">
            <v>0.237592342950598</v>
          </cell>
          <cell r="R2062">
            <v>0.237592342950598</v>
          </cell>
          <cell r="S2062" t="e">
            <v>#VALUE!</v>
          </cell>
          <cell r="T2062" t="e">
            <v>#VALUE!</v>
          </cell>
        </row>
        <row r="2063">
          <cell r="A2063" t="str">
            <v>GREM2930019B</v>
          </cell>
          <cell r="B2063" t="str">
            <v>MKP000631004263</v>
          </cell>
          <cell r="C2063" t="str">
            <v/>
          </cell>
          <cell r="D2063" t="str">
            <v>Armário de Cozinha Completa 293cm Rustic/Branco Emilly Madesa 01</v>
          </cell>
          <cell r="E2063" t="str">
            <v>EMILLY</v>
          </cell>
          <cell r="F2063" t="str">
            <v>COZINHA</v>
          </cell>
          <cell r="G2063" t="str">
            <v/>
          </cell>
          <cell r="H2063">
            <v>1419.99</v>
          </cell>
          <cell r="I2063">
            <v>1219.99</v>
          </cell>
          <cell r="J2063">
            <v>910.59690000000001</v>
          </cell>
          <cell r="K2063">
            <v>0</v>
          </cell>
          <cell r="L2063">
            <v>910.59690000000001</v>
          </cell>
          <cell r="M2063">
            <v>0</v>
          </cell>
          <cell r="N2063">
            <v>1219.99</v>
          </cell>
          <cell r="O2063" t="str">
            <v/>
          </cell>
          <cell r="P2063">
            <v>0</v>
          </cell>
          <cell r="Q2063">
            <v>0.33976955115924501</v>
          </cell>
          <cell r="R2063">
            <v>0.33976955115924501</v>
          </cell>
          <cell r="S2063" t="e">
            <v>#VALUE!</v>
          </cell>
          <cell r="T2063" t="e">
            <v>#VALUE!</v>
          </cell>
        </row>
        <row r="2064">
          <cell r="A2064" t="str">
            <v>G2460009TE</v>
          </cell>
          <cell r="B2064" t="str">
            <v>MKP000631001915</v>
          </cell>
          <cell r="C2064" t="str">
            <v/>
          </cell>
          <cell r="D2064" t="str">
            <v>Balcão Madesa Stella 60 cm 1 Porta Branco</v>
          </cell>
          <cell r="E2064" t="str">
            <v>STELLA</v>
          </cell>
          <cell r="F2064" t="str">
            <v>MODULAÇÃO</v>
          </cell>
          <cell r="G2064" t="str">
            <v/>
          </cell>
          <cell r="H2064">
            <v>789.99</v>
          </cell>
          <cell r="I2064">
            <v>399.99</v>
          </cell>
          <cell r="J2064">
            <v>253.49039999999999</v>
          </cell>
          <cell r="K2064">
            <v>0</v>
          </cell>
          <cell r="L2064">
            <v>253.49039999999999</v>
          </cell>
          <cell r="M2064">
            <v>0</v>
          </cell>
          <cell r="N2064">
            <v>399.99</v>
          </cell>
          <cell r="O2064" t="str">
            <v/>
          </cell>
          <cell r="P2064">
            <v>0</v>
          </cell>
          <cell r="Q2064">
            <v>0.577929578398235</v>
          </cell>
          <cell r="R2064">
            <v>0.577929578398235</v>
          </cell>
          <cell r="S2064" t="e">
            <v>#VALUE!</v>
          </cell>
          <cell r="T2064" t="e">
            <v>#VALUE!</v>
          </cell>
        </row>
        <row r="2065">
          <cell r="A2065" t="str">
            <v>GRGL12000309</v>
          </cell>
          <cell r="B2065" t="str">
            <v>MKP000631004261</v>
          </cell>
          <cell r="C2065" t="str">
            <v/>
          </cell>
          <cell r="D2065" t="str">
            <v>Armário de Cozinha Compacta 120cm Branco Glamy Madesa 03</v>
          </cell>
          <cell r="E2065" t="str">
            <v>GLAMY</v>
          </cell>
          <cell r="F2065" t="str">
            <v>COZINHA</v>
          </cell>
          <cell r="G2065" t="str">
            <v/>
          </cell>
          <cell r="H2065">
            <v>1139.99</v>
          </cell>
          <cell r="I2065">
            <v>1039.99</v>
          </cell>
          <cell r="J2065">
            <v>886.81309999999996</v>
          </cell>
          <cell r="K2065">
            <v>0</v>
          </cell>
          <cell r="L2065">
            <v>886.81309999999996</v>
          </cell>
          <cell r="M2065">
            <v>0</v>
          </cell>
          <cell r="N2065">
            <v>1039.99</v>
          </cell>
          <cell r="O2065" t="str">
            <v/>
          </cell>
          <cell r="P2065">
            <v>0</v>
          </cell>
          <cell r="Q2065">
            <v>0.17272737626451401</v>
          </cell>
          <cell r="R2065">
            <v>0.17272737626451401</v>
          </cell>
          <cell r="S2065" t="e">
            <v>#VALUE!</v>
          </cell>
          <cell r="T2065" t="e">
            <v>#VALUE!</v>
          </cell>
        </row>
        <row r="2066">
          <cell r="A2066" t="str">
            <v>G2412409GLCT</v>
          </cell>
          <cell r="B2066" t="str">
            <v>MKP000631002996</v>
          </cell>
          <cell r="C2066" t="str">
            <v/>
          </cell>
          <cell r="D2066" t="str">
            <v>Balcão de Pia Madesa Glamy 120 cm 2 Portas e 3 Gavetas (Com Tampo) Branco</v>
          </cell>
          <cell r="E2066" t="str">
            <v>GLAMY</v>
          </cell>
          <cell r="F2066" t="str">
            <v>MODULAÇÃO</v>
          </cell>
          <cell r="G2066" t="str">
            <v/>
          </cell>
          <cell r="H2066">
            <v>1469.99</v>
          </cell>
          <cell r="I2066">
            <v>829.99</v>
          </cell>
          <cell r="J2066">
            <v>648.65899999999999</v>
          </cell>
          <cell r="K2066">
            <v>0</v>
          </cell>
          <cell r="L2066">
            <v>648.65899999999999</v>
          </cell>
          <cell r="M2066">
            <v>0</v>
          </cell>
          <cell r="N2066">
            <v>829.99</v>
          </cell>
          <cell r="O2066" t="str">
            <v/>
          </cell>
          <cell r="P2066">
            <v>0</v>
          </cell>
          <cell r="Q2066">
            <v>0.27954749722118999</v>
          </cell>
          <cell r="R2066">
            <v>0.27954749722118999</v>
          </cell>
          <cell r="S2066" t="e">
            <v>#VALUE!</v>
          </cell>
          <cell r="T2066" t="e">
            <v>#VALUE!</v>
          </cell>
        </row>
        <row r="2067">
          <cell r="A2067" t="str">
            <v>G266079BGL</v>
          </cell>
          <cell r="B2067" t="str">
            <v>MKP000631000485</v>
          </cell>
          <cell r="C2067" t="str">
            <v/>
          </cell>
          <cell r="D2067" t="str">
            <v>Paneleiro Madesa Glamy 60 cm 3 Portas Branco/Rustic</v>
          </cell>
          <cell r="E2067" t="str">
            <v>GLAMY</v>
          </cell>
          <cell r="F2067" t="str">
            <v>MODULAÇÃO</v>
          </cell>
          <cell r="G2067" t="str">
            <v/>
          </cell>
          <cell r="H2067">
            <v>1279.99</v>
          </cell>
          <cell r="I2067">
            <v>849.99</v>
          </cell>
          <cell r="J2067">
            <v>545.34879999999998</v>
          </cell>
          <cell r="K2067">
            <v>0</v>
          </cell>
          <cell r="L2067">
            <v>545.34879999999998</v>
          </cell>
          <cell r="M2067">
            <v>0</v>
          </cell>
          <cell r="N2067">
            <v>849.99</v>
          </cell>
          <cell r="O2067" t="str">
            <v/>
          </cell>
          <cell r="P2067">
            <v>0</v>
          </cell>
          <cell r="Q2067">
            <v>0.55861716391417804</v>
          </cell>
          <cell r="R2067">
            <v>0.55861716391417804</v>
          </cell>
          <cell r="S2067" t="e">
            <v>#VALUE!</v>
          </cell>
          <cell r="T2067" t="e">
            <v>#VALUE!</v>
          </cell>
        </row>
        <row r="2068">
          <cell r="A2068" t="str">
            <v>G256007KLX</v>
          </cell>
          <cell r="B2068" t="str">
            <v>MKP000631002754</v>
          </cell>
          <cell r="C2068" t="str">
            <v/>
          </cell>
          <cell r="D2068" t="str">
            <v>Armário Aéreo Madesa Lux 60 cm 1 Porta Rustic/Preto</v>
          </cell>
          <cell r="E2068" t="str">
            <v>LUX</v>
          </cell>
          <cell r="F2068" t="str">
            <v>MODULAÇÃO</v>
          </cell>
          <cell r="G2068" t="str">
            <v/>
          </cell>
          <cell r="H2068">
            <v>879.99</v>
          </cell>
          <cell r="I2068">
            <v>549.99</v>
          </cell>
          <cell r="J2068">
            <v>311.33670000000001</v>
          </cell>
          <cell r="K2068">
            <v>0</v>
          </cell>
          <cell r="L2068">
            <v>311.33670000000001</v>
          </cell>
          <cell r="M2068">
            <v>0</v>
          </cell>
          <cell r="N2068">
            <v>549.99</v>
          </cell>
          <cell r="O2068" t="str">
            <v>LOJA</v>
          </cell>
          <cell r="P2068">
            <v>539.99</v>
          </cell>
          <cell r="Q2068">
            <v>0.766544066279369</v>
          </cell>
          <cell r="R2068">
            <v>0.766544066279369</v>
          </cell>
          <cell r="S2068" t="e">
            <v>#VALUE!</v>
          </cell>
          <cell r="T2068" t="e">
            <v>#VALUE!</v>
          </cell>
        </row>
        <row r="2069">
          <cell r="A2069" t="str">
            <v>GCRM39200309</v>
          </cell>
          <cell r="B2069" t="str">
            <v>MKP000631004297</v>
          </cell>
          <cell r="C2069" t="str">
            <v/>
          </cell>
          <cell r="D2069" t="str">
            <v>Armário de Cozinha Completa de Canto 392cm Branco Reims Madesa 03</v>
          </cell>
          <cell r="E2069" t="str">
            <v>REIMS</v>
          </cell>
          <cell r="F2069" t="str">
            <v>COZINHA</v>
          </cell>
          <cell r="G2069" t="str">
            <v/>
          </cell>
          <cell r="H2069">
            <v>1989.99</v>
          </cell>
          <cell r="I2069">
            <v>1749.99</v>
          </cell>
          <cell r="J2069">
            <v>1507.2955999999999</v>
          </cell>
          <cell r="K2069">
            <v>0</v>
          </cell>
          <cell r="L2069">
            <v>1507.2955999999999</v>
          </cell>
          <cell r="M2069">
            <v>0</v>
          </cell>
          <cell r="N2069">
            <v>1749.99</v>
          </cell>
          <cell r="O2069" t="str">
            <v/>
          </cell>
          <cell r="P2069">
            <v>0</v>
          </cell>
          <cell r="Q2069">
            <v>0.161013141682361</v>
          </cell>
          <cell r="R2069">
            <v>0.161013141682361</v>
          </cell>
          <cell r="S2069" t="e">
            <v>#VALUE!</v>
          </cell>
          <cell r="T2069" t="e">
            <v>#VALUE!</v>
          </cell>
        </row>
        <row r="2070">
          <cell r="A2070" t="str">
            <v>1063D82E</v>
          </cell>
          <cell r="B2070" t="str">
            <v>MKP000631003037</v>
          </cell>
          <cell r="C2070" t="str">
            <v/>
          </cell>
          <cell r="D2070" t="str">
            <v>Guarda-Roupa Casal 100% MDF Madesa Royale 3 Portas de Correr com Espelhos Preto/Rustic</v>
          </cell>
          <cell r="E2070" t="str">
            <v>ROYALE</v>
          </cell>
          <cell r="F2070" t="str">
            <v>QUARTO</v>
          </cell>
          <cell r="G2070" t="str">
            <v/>
          </cell>
          <cell r="H2070">
            <v>3189.99</v>
          </cell>
          <cell r="I2070">
            <v>2399.9899999999998</v>
          </cell>
          <cell r="J2070">
            <v>2033.8746000000001</v>
          </cell>
          <cell r="K2070">
            <v>0</v>
          </cell>
          <cell r="L2070">
            <v>2033.8746000000001</v>
          </cell>
          <cell r="M2070">
            <v>0</v>
          </cell>
          <cell r="N2070">
            <v>2399.9899999999998</v>
          </cell>
          <cell r="O2070" t="str">
            <v/>
          </cell>
          <cell r="P2070">
            <v>0</v>
          </cell>
          <cell r="Q2070">
            <v>0.180008836336321</v>
          </cell>
          <cell r="R2070">
            <v>0.180008836336321</v>
          </cell>
          <cell r="S2070" t="e">
            <v>#VALUE!</v>
          </cell>
          <cell r="T2070" t="e">
            <v>#VALUE!</v>
          </cell>
        </row>
        <row r="2071">
          <cell r="A2071" t="str">
            <v>GREM2010027K</v>
          </cell>
          <cell r="B2071" t="str">
            <v>MKP000631001826</v>
          </cell>
          <cell r="C2071" t="str">
            <v/>
          </cell>
          <cell r="D2071" t="str">
            <v>Armário de Cozinha Completa 201cm Rustic/Preto Emilly Fast Madesa 02</v>
          </cell>
          <cell r="E2071" t="str">
            <v>FAST/EMILLY</v>
          </cell>
          <cell r="F2071" t="str">
            <v>COZINHA</v>
          </cell>
          <cell r="G2071" t="str">
            <v/>
          </cell>
          <cell r="H2071">
            <v>1249.99</v>
          </cell>
          <cell r="I2071">
            <v>1149.99</v>
          </cell>
          <cell r="J2071">
            <v>939.89610000000005</v>
          </cell>
          <cell r="K2071">
            <v>0</v>
          </cell>
          <cell r="L2071">
            <v>939.89610000000005</v>
          </cell>
          <cell r="M2071">
            <v>0</v>
          </cell>
          <cell r="N2071">
            <v>1149.99</v>
          </cell>
          <cell r="O2071" t="str">
            <v/>
          </cell>
          <cell r="P2071">
            <v>0</v>
          </cell>
          <cell r="Q2071">
            <v>0.22352885600865899</v>
          </cell>
          <cell r="R2071">
            <v>0.22352885600865899</v>
          </cell>
          <cell r="S2071" t="e">
            <v>#VALUE!</v>
          </cell>
          <cell r="T2071" t="e">
            <v>#VALUE!</v>
          </cell>
        </row>
        <row r="2072">
          <cell r="A2072" t="str">
            <v>700409</v>
          </cell>
          <cell r="B2072" t="str">
            <v>MKP000631005988</v>
          </cell>
          <cell r="C2072" t="str">
            <v/>
          </cell>
          <cell r="D2072" t="str">
            <v>Rack com Painel para TV até 65 Polegadas Branco Orlando Madesa</v>
          </cell>
          <cell r="E2072" t="str">
            <v>ORLANDO</v>
          </cell>
          <cell r="F2072" t="str">
            <v>SALA DE ESTAR</v>
          </cell>
          <cell r="G2072" t="str">
            <v/>
          </cell>
          <cell r="H2072">
            <v>479.99</v>
          </cell>
          <cell r="I2072">
            <v>429.99</v>
          </cell>
          <cell r="J2072">
            <v>304.98200000000003</v>
          </cell>
          <cell r="K2072">
            <v>0</v>
          </cell>
          <cell r="L2072">
            <v>304.98200000000003</v>
          </cell>
          <cell r="M2072">
            <v>0</v>
          </cell>
          <cell r="N2072">
            <v>429.99</v>
          </cell>
          <cell r="O2072" t="str">
            <v>CAMICADO</v>
          </cell>
          <cell r="P2072">
            <v>379.99</v>
          </cell>
          <cell r="Q2072">
            <v>0.40988648510403902</v>
          </cell>
          <cell r="R2072">
            <v>0.40988648510403902</v>
          </cell>
          <cell r="S2072" t="e">
            <v>#VALUE!</v>
          </cell>
          <cell r="T2072" t="e">
            <v>#VALUE!</v>
          </cell>
        </row>
        <row r="2073">
          <cell r="A2073" t="str">
            <v>GCGL5040015Z</v>
          </cell>
          <cell r="B2073" t="str">
            <v>MKP000631004311</v>
          </cell>
          <cell r="C2073" t="str">
            <v/>
          </cell>
          <cell r="D2073" t="str">
            <v>Armário de Cozinha Completa de Canto 504cm Rustic Glamy Madesa 01</v>
          </cell>
          <cell r="E2073" t="str">
            <v>GLAMY</v>
          </cell>
          <cell r="F2073" t="str">
            <v>COZINHA</v>
          </cell>
          <cell r="G2073" t="str">
            <v/>
          </cell>
          <cell r="H2073">
            <v>3999.99</v>
          </cell>
          <cell r="I2073">
            <v>3759.99</v>
          </cell>
          <cell r="J2073">
            <v>3104.1565000000001</v>
          </cell>
          <cell r="K2073">
            <v>0</v>
          </cell>
          <cell r="L2073">
            <v>3104.1565000000001</v>
          </cell>
          <cell r="M2073">
            <v>0</v>
          </cell>
          <cell r="N2073">
            <v>3759.99</v>
          </cell>
          <cell r="O2073" t="str">
            <v/>
          </cell>
          <cell r="P2073">
            <v>0</v>
          </cell>
          <cell r="Q2073">
            <v>0.211275913440576</v>
          </cell>
          <cell r="R2073">
            <v>0.211275913440576</v>
          </cell>
          <cell r="S2073" t="e">
            <v>#VALUE!</v>
          </cell>
          <cell r="T2073" t="e">
            <v>#VALUE!</v>
          </cell>
        </row>
        <row r="2074">
          <cell r="A2074" t="str">
            <v>53635Z2TB</v>
          </cell>
          <cell r="B2074" t="str">
            <v>MKP000631000109</v>
          </cell>
          <cell r="C2074" t="str">
            <v/>
          </cell>
          <cell r="D2074" t="str">
            <v>Mesa de Jantar Madesa Quadrada Tampo de Vidro 5363 Rustic/Crema</v>
          </cell>
          <cell r="E2074">
            <v>5363</v>
          </cell>
          <cell r="F2074" t="str">
            <v>SALA DE JANTAR</v>
          </cell>
          <cell r="G2074" t="str">
            <v/>
          </cell>
          <cell r="H2074">
            <v>669.99</v>
          </cell>
          <cell r="I2074">
            <v>479.99</v>
          </cell>
          <cell r="J2074">
            <v>255.32159999999999</v>
          </cell>
          <cell r="K2074">
            <v>0</v>
          </cell>
          <cell r="L2074">
            <v>255.32159999999999</v>
          </cell>
          <cell r="M2074">
            <v>0</v>
          </cell>
          <cell r="N2074">
            <v>479.99</v>
          </cell>
          <cell r="O2074" t="str">
            <v/>
          </cell>
          <cell r="P2074">
            <v>0</v>
          </cell>
          <cell r="Q2074">
            <v>0.87994278588258901</v>
          </cell>
          <cell r="R2074">
            <v>0.87994278588258901</v>
          </cell>
          <cell r="S2074" t="e">
            <v>#VALUE!</v>
          </cell>
          <cell r="T2074" t="e">
            <v>#VALUE!</v>
          </cell>
        </row>
        <row r="2075">
          <cell r="A2075" t="str">
            <v>10935Z2E2G</v>
          </cell>
          <cell r="B2075" t="str">
            <v>MKP000631001871</v>
          </cell>
          <cell r="C2075" t="str">
            <v/>
          </cell>
          <cell r="D2075" t="str">
            <v>Guarda-Roupa Casal Madesa Lyon 3 Portas de Correr com Espelhos 2 Gavetas Rustic</v>
          </cell>
          <cell r="E2075" t="str">
            <v>LYON</v>
          </cell>
          <cell r="F2075" t="str">
            <v>QUARTO</v>
          </cell>
          <cell r="G2075" t="str">
            <v/>
          </cell>
          <cell r="H2075">
            <v>1469.99</v>
          </cell>
          <cell r="I2075">
            <v>1199.99</v>
          </cell>
          <cell r="J2075">
            <v>969.44600000000003</v>
          </cell>
          <cell r="K2075">
            <v>0</v>
          </cell>
          <cell r="L2075">
            <v>969.44600000000003</v>
          </cell>
          <cell r="M2075">
            <v>0</v>
          </cell>
          <cell r="N2075">
            <v>1199.99</v>
          </cell>
          <cell r="O2075" t="str">
            <v/>
          </cell>
          <cell r="P2075">
            <v>0</v>
          </cell>
          <cell r="Q2075">
            <v>0.237810048213103</v>
          </cell>
          <cell r="R2075">
            <v>0.237810048213103</v>
          </cell>
          <cell r="S2075" t="e">
            <v>#VALUE!</v>
          </cell>
          <cell r="T2075" t="e">
            <v>#VALUE!</v>
          </cell>
        </row>
        <row r="2076">
          <cell r="A2076" t="str">
            <v>G221207KLX</v>
          </cell>
          <cell r="B2076" t="str">
            <v>MKP000631002758</v>
          </cell>
          <cell r="C2076" t="str">
            <v/>
          </cell>
          <cell r="D2076" t="str">
            <v>Balcão Gabinete de Pia Madesa Lux 120 cm 2 Portas (Sem Tampo) Rustic/Preto</v>
          </cell>
          <cell r="E2076" t="str">
            <v>LUX</v>
          </cell>
          <cell r="F2076" t="str">
            <v>MODULAÇÃO</v>
          </cell>
          <cell r="G2076" t="str">
            <v/>
          </cell>
          <cell r="H2076">
            <v>1499.99</v>
          </cell>
          <cell r="I2076">
            <v>1049.99</v>
          </cell>
          <cell r="J2076">
            <v>627.7201</v>
          </cell>
          <cell r="K2076">
            <v>0</v>
          </cell>
          <cell r="L2076">
            <v>627.7201</v>
          </cell>
          <cell r="M2076">
            <v>0</v>
          </cell>
          <cell r="N2076">
            <v>1049.99</v>
          </cell>
          <cell r="O2076" t="str">
            <v>LOJA</v>
          </cell>
          <cell r="P2076">
            <v>1039.99</v>
          </cell>
          <cell r="Q2076">
            <v>0.672704124019607</v>
          </cell>
          <cell r="R2076">
            <v>0.672704124019607</v>
          </cell>
          <cell r="S2076" t="e">
            <v>#VALUE!</v>
          </cell>
          <cell r="T2076" t="e">
            <v>#VALUE!</v>
          </cell>
        </row>
        <row r="2077">
          <cell r="A2077" t="str">
            <v>GRLX2400027K</v>
          </cell>
          <cell r="B2077" t="str">
            <v>MKP000631002715</v>
          </cell>
          <cell r="C2077" t="str">
            <v/>
          </cell>
          <cell r="D2077" t="str">
            <v>Armário de Cozinha Completa 240cm Rustic/Preto Lux Madesa 02</v>
          </cell>
          <cell r="E2077" t="str">
            <v>LUX</v>
          </cell>
          <cell r="F2077" t="str">
            <v>COZINHA</v>
          </cell>
          <cell r="G2077" t="str">
            <v/>
          </cell>
          <cell r="H2077">
            <v>4819.99</v>
          </cell>
          <cell r="I2077">
            <v>4759.99</v>
          </cell>
          <cell r="J2077">
            <v>2641.7676000000001</v>
          </cell>
          <cell r="K2077">
            <v>0</v>
          </cell>
          <cell r="L2077">
            <v>2641.7676000000001</v>
          </cell>
          <cell r="M2077">
            <v>0</v>
          </cell>
          <cell r="N2077">
            <v>4759.99</v>
          </cell>
          <cell r="O2077" t="str">
            <v>LOJA</v>
          </cell>
          <cell r="P2077">
            <v>4179.99</v>
          </cell>
          <cell r="Q2077">
            <v>0.80182011468381997</v>
          </cell>
          <cell r="R2077">
            <v>0.80182011468381997</v>
          </cell>
          <cell r="S2077" t="e">
            <v>#VALUE!</v>
          </cell>
          <cell r="T2077" t="e">
            <v>#VALUE!</v>
          </cell>
        </row>
        <row r="2078">
          <cell r="A2078" t="str">
            <v>GRLX200001H7</v>
          </cell>
          <cell r="B2078" t="str">
            <v>MKP000631003768</v>
          </cell>
          <cell r="C2078" t="str">
            <v/>
          </cell>
          <cell r="D2078" t="str">
            <v>Armário de Cozinha Compacta 200cm Branco Branco Veludo Lux Madesa 01</v>
          </cell>
          <cell r="E2078" t="str">
            <v>LUX</v>
          </cell>
          <cell r="F2078" t="str">
            <v>COZINHA</v>
          </cell>
          <cell r="G2078" t="str">
            <v/>
          </cell>
          <cell r="H2078">
            <v>2599.9899999999998</v>
          </cell>
          <cell r="I2078">
            <v>2479.9899999999998</v>
          </cell>
          <cell r="J2078">
            <v>1335.3807999999999</v>
          </cell>
          <cell r="K2078">
            <v>0</v>
          </cell>
          <cell r="L2078">
            <v>1335.3807999999999</v>
          </cell>
          <cell r="M2078">
            <v>0</v>
          </cell>
          <cell r="N2078">
            <v>2479.9899999999998</v>
          </cell>
          <cell r="O2078" t="str">
            <v>LOJA</v>
          </cell>
          <cell r="P2078">
            <v>2179.9899999999998</v>
          </cell>
          <cell r="Q2078">
            <v>0.85714067477980804</v>
          </cell>
          <cell r="R2078">
            <v>0.85714067477980804</v>
          </cell>
          <cell r="S2078" t="e">
            <v>#VALUE!</v>
          </cell>
          <cell r="T2078" t="e">
            <v>#VALUE!</v>
          </cell>
        </row>
        <row r="2079">
          <cell r="A2079" t="str">
            <v>GRAG2700016E</v>
          </cell>
          <cell r="B2079" t="str">
            <v>MKP000631004563</v>
          </cell>
          <cell r="C2079" t="str">
            <v/>
          </cell>
          <cell r="D2079" t="str">
            <v>Armário de Cozinha Completa 270cm Rustic/Branco Agata Madesa 01</v>
          </cell>
          <cell r="E2079" t="str">
            <v>ÁGATA</v>
          </cell>
          <cell r="F2079" t="str">
            <v>COZINHA</v>
          </cell>
          <cell r="G2079" t="str">
            <v/>
          </cell>
          <cell r="H2079">
            <v>2399.9899999999998</v>
          </cell>
          <cell r="I2079">
            <v>2299.9899999999998</v>
          </cell>
          <cell r="J2079">
            <v>1858.4391000000001</v>
          </cell>
          <cell r="K2079">
            <v>0</v>
          </cell>
          <cell r="L2079">
            <v>1858.4391000000001</v>
          </cell>
          <cell r="M2079">
            <v>0</v>
          </cell>
          <cell r="N2079">
            <v>2299.9899999999998</v>
          </cell>
          <cell r="O2079" t="str">
            <v/>
          </cell>
          <cell r="P2079">
            <v>0</v>
          </cell>
          <cell r="Q2079">
            <v>0.237592342950598</v>
          </cell>
          <cell r="R2079">
            <v>0.237592342950598</v>
          </cell>
          <cell r="S2079" t="e">
            <v>#VALUE!</v>
          </cell>
          <cell r="T2079" t="e">
            <v>#VALUE!</v>
          </cell>
        </row>
        <row r="2080">
          <cell r="A2080" t="str">
            <v>GREM1370015Z</v>
          </cell>
          <cell r="B2080" t="str">
            <v>MKP000631001541</v>
          </cell>
          <cell r="C2080" t="str">
            <v/>
          </cell>
          <cell r="D2080" t="str">
            <v>Armário de Cozinha Compacta 137cm Rustic Emilly Silver Madesa 01</v>
          </cell>
          <cell r="E2080" t="str">
            <v>SILVER/EMILLY</v>
          </cell>
          <cell r="F2080" t="str">
            <v>COZINHA</v>
          </cell>
          <cell r="G2080" t="str">
            <v/>
          </cell>
          <cell r="H2080">
            <v>679.99</v>
          </cell>
          <cell r="I2080">
            <v>579.99</v>
          </cell>
          <cell r="J2080">
            <v>453.73430000000002</v>
          </cell>
          <cell r="K2080">
            <v>0</v>
          </cell>
          <cell r="L2080">
            <v>453.73430000000002</v>
          </cell>
          <cell r="M2080">
            <v>0</v>
          </cell>
          <cell r="N2080">
            <v>579.99</v>
          </cell>
          <cell r="O2080" t="str">
            <v/>
          </cell>
          <cell r="P2080">
            <v>0</v>
          </cell>
          <cell r="Q2080">
            <v>0.27825910450234898</v>
          </cell>
          <cell r="R2080">
            <v>0.27825910450234898</v>
          </cell>
          <cell r="S2080" t="e">
            <v>#VALUE!</v>
          </cell>
          <cell r="T2080" t="e">
            <v>#VALUE!</v>
          </cell>
        </row>
        <row r="2081">
          <cell r="A2081" t="str">
            <v>G241537KGL</v>
          </cell>
          <cell r="B2081" t="str">
            <v>MKP000631003512</v>
          </cell>
          <cell r="C2081" t="str">
            <v/>
          </cell>
          <cell r="D2081" t="str">
            <v>Balcão de Pia Madesa Glamy 150 cm 2 Portas e 2 Gavetas (Sem Tampo e Pia) Rustic/Preto</v>
          </cell>
          <cell r="E2081" t="str">
            <v>GLAMY</v>
          </cell>
          <cell r="F2081" t="str">
            <v>MODULAÇÃO</v>
          </cell>
          <cell r="G2081" t="str">
            <v/>
          </cell>
          <cell r="H2081">
            <v>1119.99</v>
          </cell>
          <cell r="I2081">
            <v>559.99</v>
          </cell>
          <cell r="J2081">
            <v>436.25069999999999</v>
          </cell>
          <cell r="K2081">
            <v>0</v>
          </cell>
          <cell r="L2081">
            <v>436.25069999999999</v>
          </cell>
          <cell r="M2081">
            <v>0</v>
          </cell>
          <cell r="N2081">
            <v>559.99</v>
          </cell>
          <cell r="O2081" t="str">
            <v/>
          </cell>
          <cell r="P2081">
            <v>0</v>
          </cell>
          <cell r="Q2081">
            <v>0.28364263942728302</v>
          </cell>
          <cell r="R2081">
            <v>0.28364263942728302</v>
          </cell>
          <cell r="S2081" t="e">
            <v>#VALUE!</v>
          </cell>
          <cell r="T2081" t="e">
            <v>#VALUE!</v>
          </cell>
        </row>
        <row r="2082">
          <cell r="A2082" t="str">
            <v>G270807KLX</v>
          </cell>
          <cell r="B2082" t="str">
            <v>MKP000631003025</v>
          </cell>
          <cell r="C2082" t="str">
            <v/>
          </cell>
          <cell r="D2082" t="str">
            <v>Porta-Geladeira Madesa Lux 1 Porta Basculante Rustic/Preto</v>
          </cell>
          <cell r="E2082" t="str">
            <v>LUX</v>
          </cell>
          <cell r="F2082" t="str">
            <v>MODULAÇÃO</v>
          </cell>
          <cell r="G2082" t="str">
            <v/>
          </cell>
          <cell r="H2082">
            <v>1189.99</v>
          </cell>
          <cell r="I2082">
            <v>839.99</v>
          </cell>
          <cell r="J2082">
            <v>450.25720000000001</v>
          </cell>
          <cell r="K2082">
            <v>0</v>
          </cell>
          <cell r="L2082">
            <v>450.25720000000001</v>
          </cell>
          <cell r="M2082">
            <v>0</v>
          </cell>
          <cell r="N2082">
            <v>839.99</v>
          </cell>
          <cell r="O2082" t="str">
            <v>LOJA</v>
          </cell>
          <cell r="P2082">
            <v>829.99</v>
          </cell>
          <cell r="Q2082">
            <v>0.86557816288112699</v>
          </cell>
          <cell r="R2082">
            <v>0.86557816288112699</v>
          </cell>
          <cell r="S2082" t="e">
            <v>#VALUE!</v>
          </cell>
          <cell r="T2082" t="e">
            <v>#VALUE!</v>
          </cell>
        </row>
        <row r="2083">
          <cell r="A2083" t="str">
            <v>GRLX260005H7</v>
          </cell>
          <cell r="B2083" t="str">
            <v>MKP000631003751</v>
          </cell>
          <cell r="C2083" t="str">
            <v/>
          </cell>
          <cell r="D2083" t="str">
            <v>Armário de Cozinha Completa 260cm Branco Branco Veludo Lux Madesa 05</v>
          </cell>
          <cell r="E2083" t="str">
            <v>LUX</v>
          </cell>
          <cell r="F2083" t="str">
            <v>COZINHA</v>
          </cell>
          <cell r="G2083" t="str">
            <v/>
          </cell>
          <cell r="H2083">
            <v>3149.99</v>
          </cell>
          <cell r="I2083">
            <v>3049.99</v>
          </cell>
          <cell r="J2083">
            <v>1593.2747999999999</v>
          </cell>
          <cell r="K2083">
            <v>0</v>
          </cell>
          <cell r="L2083">
            <v>1593.2747999999999</v>
          </cell>
          <cell r="M2083">
            <v>0</v>
          </cell>
          <cell r="N2083">
            <v>3049.99</v>
          </cell>
          <cell r="O2083" t="str">
            <v>LOJA</v>
          </cell>
          <cell r="P2083">
            <v>2679.99</v>
          </cell>
          <cell r="Q2083">
            <v>0.91428998939793704</v>
          </cell>
          <cell r="R2083">
            <v>0.91428998939793704</v>
          </cell>
          <cell r="S2083" t="e">
            <v>#VALUE!</v>
          </cell>
          <cell r="T2083" t="e">
            <v>#VALUE!</v>
          </cell>
        </row>
        <row r="2084">
          <cell r="A2084" t="str">
            <v>10956E3E</v>
          </cell>
          <cell r="B2084" t="str">
            <v>MKP000631002090</v>
          </cell>
          <cell r="C2084" t="str">
            <v/>
          </cell>
          <cell r="D2084" t="str">
            <v>Guarda-Roupa Casal Madesa Reno 3 Portas de Correr de Espelho Rustic/Branco</v>
          </cell>
          <cell r="E2084" t="str">
            <v>RENO</v>
          </cell>
          <cell r="F2084" t="str">
            <v>QUARTO</v>
          </cell>
          <cell r="G2084" t="str">
            <v/>
          </cell>
          <cell r="H2084">
            <v>1669.99</v>
          </cell>
          <cell r="I2084">
            <v>1569.99</v>
          </cell>
          <cell r="J2084">
            <v>1277.0876000000001</v>
          </cell>
          <cell r="K2084">
            <v>0</v>
          </cell>
          <cell r="L2084">
            <v>1277.0876000000001</v>
          </cell>
          <cell r="M2084">
            <v>0</v>
          </cell>
          <cell r="N2084">
            <v>1569.99</v>
          </cell>
          <cell r="O2084" t="str">
            <v/>
          </cell>
          <cell r="P2084">
            <v>0</v>
          </cell>
          <cell r="Q2084">
            <v>0.229351847124661</v>
          </cell>
          <cell r="R2084">
            <v>0.229351847124661</v>
          </cell>
          <cell r="S2084" t="e">
            <v>#VALUE!</v>
          </cell>
          <cell r="T2084" t="e">
            <v>#VALUE!</v>
          </cell>
        </row>
        <row r="2085">
          <cell r="A2085" t="str">
            <v>GRAG120002F8</v>
          </cell>
          <cell r="B2085" t="str">
            <v>MKP000631004675</v>
          </cell>
          <cell r="C2085" t="str">
            <v/>
          </cell>
          <cell r="D2085" t="str">
            <v>Armário de Cozinha Compacta 120cm Branco/Cinza Agata Madesa 02</v>
          </cell>
          <cell r="E2085" t="str">
            <v>ÁGATA</v>
          </cell>
          <cell r="F2085" t="str">
            <v>COZINHA</v>
          </cell>
          <cell r="G2085" t="str">
            <v/>
          </cell>
          <cell r="H2085">
            <v>1369.99</v>
          </cell>
          <cell r="I2085">
            <v>1059.99</v>
          </cell>
          <cell r="J2085">
            <v>834.55849999999998</v>
          </cell>
          <cell r="K2085">
            <v>0</v>
          </cell>
          <cell r="L2085">
            <v>834.55849999999998</v>
          </cell>
          <cell r="M2085">
            <v>0</v>
          </cell>
          <cell r="N2085">
            <v>1059.99</v>
          </cell>
          <cell r="O2085" t="str">
            <v/>
          </cell>
          <cell r="P2085">
            <v>0</v>
          </cell>
          <cell r="Q2085">
            <v>0.27012066859303502</v>
          </cell>
          <cell r="R2085">
            <v>0.27012066859303502</v>
          </cell>
          <cell r="S2085" t="e">
            <v>#VALUE!</v>
          </cell>
          <cell r="T2085" t="e">
            <v>#VALUE!</v>
          </cell>
        </row>
        <row r="2086">
          <cell r="A2086" t="str">
            <v>MDJA0401056ESIM</v>
          </cell>
          <cell r="B2086" t="str">
            <v>MKP000631003203</v>
          </cell>
          <cell r="C2086" t="str">
            <v/>
          </cell>
          <cell r="D2086" t="str">
            <v>Conjunto Sala de Jantar Madesa Flavia Mesa Tampo de Madeira com 4 Cadeiras Rustic/Branco/Imperial</v>
          </cell>
          <cell r="E2086" t="str">
            <v>FLAVIA</v>
          </cell>
          <cell r="F2086" t="str">
            <v>SALA DE JANTAR</v>
          </cell>
          <cell r="G2086">
            <v>4255</v>
          </cell>
          <cell r="H2086">
            <v>1169.99</v>
          </cell>
          <cell r="I2086">
            <v>1069.99</v>
          </cell>
          <cell r="J2086">
            <v>833.90449999999998</v>
          </cell>
          <cell r="K2086">
            <v>0</v>
          </cell>
          <cell r="L2086">
            <v>833.90449999999998</v>
          </cell>
          <cell r="M2086">
            <v>0</v>
          </cell>
          <cell r="N2086">
            <v>1069.99</v>
          </cell>
          <cell r="O2086" t="str">
            <v/>
          </cell>
          <cell r="P2086">
            <v>0</v>
          </cell>
          <cell r="Q2086">
            <v>0.28310855739476198</v>
          </cell>
          <cell r="R2086">
            <v>0.28310855739476198</v>
          </cell>
          <cell r="S2086" t="e">
            <v>#VALUE!</v>
          </cell>
          <cell r="T2086" t="e">
            <v>#VALUE!</v>
          </cell>
        </row>
        <row r="2087">
          <cell r="A2087" t="str">
            <v>MDJA0601497GBE</v>
          </cell>
          <cell r="B2087" t="str">
            <v>MKP000631005719</v>
          </cell>
          <cell r="C2087" t="str">
            <v/>
          </cell>
          <cell r="D2087" t="str">
            <v>Conjunto Sala de Jantar Mesa Tampo de Madeira 6 Cadeiras Rustic/Crema/Bege Sharon Madesa</v>
          </cell>
          <cell r="E2087" t="str">
            <v>SHARON</v>
          </cell>
          <cell r="F2087" t="str">
            <v>SALA DE JANTAR</v>
          </cell>
          <cell r="G2087" t="str">
            <v>4290X</v>
          </cell>
          <cell r="H2087">
            <v>839.99</v>
          </cell>
          <cell r="I2087">
            <v>739.99</v>
          </cell>
          <cell r="J2087">
            <v>588.73080000000004</v>
          </cell>
          <cell r="K2087">
            <v>0</v>
          </cell>
          <cell r="L2087">
            <v>588.73080000000004</v>
          </cell>
          <cell r="M2087">
            <v>0</v>
          </cell>
          <cell r="N2087">
            <v>739.99</v>
          </cell>
          <cell r="O2087" t="str">
            <v/>
          </cell>
          <cell r="P2087">
            <v>0</v>
          </cell>
          <cell r="Q2087">
            <v>0.256924217316301</v>
          </cell>
          <cell r="R2087">
            <v>0.256924217316301</v>
          </cell>
          <cell r="S2087" t="e">
            <v>#VALUE!</v>
          </cell>
          <cell r="T2087" t="e">
            <v>#VALUE!</v>
          </cell>
        </row>
        <row r="2088">
          <cell r="A2088" t="str">
            <v>G4035300</v>
          </cell>
          <cell r="B2088" t="str">
            <v>MKP000631005333</v>
          </cell>
          <cell r="C2088" t="str">
            <v/>
          </cell>
          <cell r="D2088" t="str">
            <v>Luminária Barra com Fita de LED 115cm para Cozinhas Madesa</v>
          </cell>
          <cell r="E2088" t="str">
            <v>LUMINÁRIA LED</v>
          </cell>
          <cell r="F2088" t="str">
            <v>MODULAÇÃO</v>
          </cell>
          <cell r="G2088" t="str">
            <v/>
          </cell>
          <cell r="H2088">
            <v>279.99</v>
          </cell>
          <cell r="I2088">
            <v>179.99</v>
          </cell>
          <cell r="J2088">
            <v>136.51159999999999</v>
          </cell>
          <cell r="K2088">
            <v>0</v>
          </cell>
          <cell r="L2088">
            <v>136.51159999999999</v>
          </cell>
          <cell r="M2088">
            <v>0</v>
          </cell>
          <cell r="N2088">
            <v>179.99</v>
          </cell>
          <cell r="O2088" t="str">
            <v/>
          </cell>
          <cell r="P2088">
            <v>0</v>
          </cell>
          <cell r="Q2088">
            <v>0.31849601059543597</v>
          </cell>
          <cell r="R2088">
            <v>0.31849601059543597</v>
          </cell>
          <cell r="S2088" t="e">
            <v>#VALUE!</v>
          </cell>
          <cell r="T2088" t="e">
            <v>#VALUE!</v>
          </cell>
        </row>
        <row r="2089">
          <cell r="A2089" t="str">
            <v>11185Z3E</v>
          </cell>
          <cell r="B2089" t="str">
            <v>MKP000631002688</v>
          </cell>
          <cell r="C2089" t="str">
            <v/>
          </cell>
          <cell r="D2089" t="str">
            <v>Guarda-Roupa Casal Madesa Istambul 3 Portas de Correr de Espelho 3 Gavetas Rustic</v>
          </cell>
          <cell r="E2089" t="str">
            <v>ISTAMBUL</v>
          </cell>
          <cell r="F2089" t="str">
            <v>QUARTO</v>
          </cell>
          <cell r="G2089" t="str">
            <v/>
          </cell>
          <cell r="H2089">
            <v>2589.9899999999998</v>
          </cell>
          <cell r="I2089">
            <v>2099.9899999999998</v>
          </cell>
          <cell r="J2089">
            <v>1766.2687000000001</v>
          </cell>
          <cell r="K2089">
            <v>0</v>
          </cell>
          <cell r="L2089">
            <v>1766.2687000000001</v>
          </cell>
          <cell r="M2089">
            <v>0</v>
          </cell>
          <cell r="N2089">
            <v>2099.9899999999998</v>
          </cell>
          <cell r="O2089" t="str">
            <v/>
          </cell>
          <cell r="P2089">
            <v>0</v>
          </cell>
          <cell r="Q2089">
            <v>0.18894141078308199</v>
          </cell>
          <cell r="R2089">
            <v>0.18894141078308199</v>
          </cell>
          <cell r="S2089" t="e">
            <v>#VALUE!</v>
          </cell>
          <cell r="T2089" t="e">
            <v>#VALUE!</v>
          </cell>
        </row>
        <row r="2090">
          <cell r="A2090" t="str">
            <v>GRGL2800035Z</v>
          </cell>
          <cell r="B2090" t="str">
            <v>MKP000631001499</v>
          </cell>
          <cell r="C2090" t="str">
            <v/>
          </cell>
          <cell r="D2090" t="str">
            <v>Armário de Cozinha Completa 280cm Rustic Marcela Madesa 03</v>
          </cell>
          <cell r="E2090" t="str">
            <v>MARCELA/GLAMY</v>
          </cell>
          <cell r="F2090" t="str">
            <v>COZINHA</v>
          </cell>
          <cell r="G2090" t="str">
            <v/>
          </cell>
          <cell r="H2090">
            <v>2149.9899999999998</v>
          </cell>
          <cell r="I2090">
            <v>2049.9899999999998</v>
          </cell>
          <cell r="J2090">
            <v>1671.624</v>
          </cell>
          <cell r="K2090">
            <v>0</v>
          </cell>
          <cell r="L2090">
            <v>1671.624</v>
          </cell>
          <cell r="M2090">
            <v>0</v>
          </cell>
          <cell r="N2090">
            <v>2049.9899999999998</v>
          </cell>
          <cell r="O2090" t="str">
            <v/>
          </cell>
          <cell r="P2090">
            <v>0</v>
          </cell>
          <cell r="Q2090">
            <v>0.226346355400497</v>
          </cell>
          <cell r="R2090">
            <v>0.226346355400497</v>
          </cell>
          <cell r="S2090" t="e">
            <v>#VALUE!</v>
          </cell>
          <cell r="T2090" t="e">
            <v>#VALUE!</v>
          </cell>
        </row>
        <row r="2091">
          <cell r="A2091" t="str">
            <v>G24350F9AG</v>
          </cell>
          <cell r="B2091" t="str">
            <v>MKP000631002935</v>
          </cell>
          <cell r="C2091" t="str">
            <v/>
          </cell>
          <cell r="D2091" t="str">
            <v>Balcão Madesa Agata 35 cm 1 Porta Rustic/Cinza</v>
          </cell>
          <cell r="E2091" t="str">
            <v>ÁGATA</v>
          </cell>
          <cell r="F2091" t="str">
            <v>MODULAÇÃO</v>
          </cell>
          <cell r="G2091" t="str">
            <v/>
          </cell>
          <cell r="H2091">
            <v>679.99</v>
          </cell>
          <cell r="I2091">
            <v>349.99</v>
          </cell>
          <cell r="J2091">
            <v>214.44659999999999</v>
          </cell>
          <cell r="K2091">
            <v>0</v>
          </cell>
          <cell r="L2091">
            <v>214.44659999999999</v>
          </cell>
          <cell r="M2091">
            <v>0</v>
          </cell>
          <cell r="N2091">
            <v>349.99</v>
          </cell>
          <cell r="O2091" t="str">
            <v/>
          </cell>
          <cell r="P2091">
            <v>0</v>
          </cell>
          <cell r="Q2091">
            <v>0.632061315031341</v>
          </cell>
          <cell r="R2091">
            <v>0.632061315031341</v>
          </cell>
          <cell r="S2091" t="e">
            <v>#VALUE!</v>
          </cell>
          <cell r="T2091" t="e">
            <v>#VALUE!</v>
          </cell>
        </row>
        <row r="2092">
          <cell r="A2092" t="str">
            <v>G25700F9AG</v>
          </cell>
          <cell r="B2092" t="str">
            <v>MKP000631004701</v>
          </cell>
          <cell r="C2092" t="str">
            <v/>
          </cell>
          <cell r="D2092" t="str">
            <v>Armário Aéreo Madesa Agata 70 cm 2 Portas Rustic/Cinza</v>
          </cell>
          <cell r="E2092" t="str">
            <v>ÁGATA</v>
          </cell>
          <cell r="F2092" t="str">
            <v>MODULAÇÃO</v>
          </cell>
          <cell r="G2092" t="str">
            <v/>
          </cell>
          <cell r="H2092">
            <v>529.99</v>
          </cell>
          <cell r="I2092">
            <v>419.99</v>
          </cell>
          <cell r="J2092">
            <v>244.06190000000001</v>
          </cell>
          <cell r="K2092">
            <v>0</v>
          </cell>
          <cell r="L2092">
            <v>244.06190000000001</v>
          </cell>
          <cell r="M2092">
            <v>0</v>
          </cell>
          <cell r="N2092">
            <v>419.99</v>
          </cell>
          <cell r="O2092" t="str">
            <v/>
          </cell>
          <cell r="P2092">
            <v>0</v>
          </cell>
          <cell r="Q2092">
            <v>0.72083393598099499</v>
          </cell>
          <cell r="R2092">
            <v>0.72083393598099499</v>
          </cell>
          <cell r="S2092" t="e">
            <v>#VALUE!</v>
          </cell>
          <cell r="T2092" t="e">
            <v>#VALUE!</v>
          </cell>
        </row>
        <row r="2093">
          <cell r="A2093" t="str">
            <v>MDJA040157F9PT</v>
          </cell>
          <cell r="B2093" t="str">
            <v>MKP000631005547</v>
          </cell>
          <cell r="C2093" t="str">
            <v/>
          </cell>
          <cell r="D2093" t="str">
            <v>Conjunto Sala de Jantar Mesa Tampo de Madeira 4 Cadeiras Rustic/Cinza/Preto Samara Madesa</v>
          </cell>
          <cell r="E2093" t="str">
            <v>SAMARA</v>
          </cell>
          <cell r="F2093" t="str">
            <v>SALA DE JANTAR</v>
          </cell>
          <cell r="G2093" t="str">
            <v>4290X</v>
          </cell>
          <cell r="H2093">
            <v>599.99</v>
          </cell>
          <cell r="I2093">
            <v>499.99</v>
          </cell>
          <cell r="J2093">
            <v>400.13900000000001</v>
          </cell>
          <cell r="K2093">
            <v>0</v>
          </cell>
          <cell r="L2093">
            <v>400.13900000000001</v>
          </cell>
          <cell r="M2093">
            <v>0</v>
          </cell>
          <cell r="N2093">
            <v>499.99</v>
          </cell>
          <cell r="O2093" t="str">
            <v/>
          </cell>
          <cell r="P2093">
            <v>0</v>
          </cell>
          <cell r="Q2093">
            <v>0.24954078457735901</v>
          </cell>
          <cell r="R2093">
            <v>0.24954078457735901</v>
          </cell>
          <cell r="S2093" t="e">
            <v>#VALUE!</v>
          </cell>
          <cell r="T2093" t="e">
            <v>#VALUE!</v>
          </cell>
        </row>
        <row r="2094">
          <cell r="A2094" t="str">
            <v>MDES0200239B09</v>
          </cell>
          <cell r="B2094" t="str">
            <v>MKP000631004184</v>
          </cell>
          <cell r="C2094" t="str">
            <v/>
          </cell>
          <cell r="D2094" t="str">
            <v>Rack Madesa Cancun e Painel para TV até 65 Polegadas Branco/Rustic 9B09</v>
          </cell>
          <cell r="E2094" t="str">
            <v>CANCUN</v>
          </cell>
          <cell r="F2094" t="str">
            <v>SALA DE ESTAR</v>
          </cell>
          <cell r="G2094" t="str">
            <v/>
          </cell>
          <cell r="H2094">
            <v>1149.99</v>
          </cell>
          <cell r="I2094">
            <v>569.99</v>
          </cell>
          <cell r="J2094">
            <v>449.15629999999999</v>
          </cell>
          <cell r="K2094">
            <v>0</v>
          </cell>
          <cell r="L2094">
            <v>449.15629999999999</v>
          </cell>
          <cell r="M2094">
            <v>0</v>
          </cell>
          <cell r="N2094">
            <v>569.99</v>
          </cell>
          <cell r="O2094" t="str">
            <v/>
          </cell>
          <cell r="P2094">
            <v>0</v>
          </cell>
          <cell r="Q2094">
            <v>0.26902372292228799</v>
          </cell>
          <cell r="R2094">
            <v>0.26902372292228799</v>
          </cell>
          <cell r="S2094" t="e">
            <v>#VALUE!</v>
          </cell>
          <cell r="T2094" t="e">
            <v>#VALUE!</v>
          </cell>
        </row>
        <row r="2095">
          <cell r="A2095" t="str">
            <v>XAMDFC0200038N8N</v>
          </cell>
          <cell r="B2095" t="str">
            <v>MKP000631003374</v>
          </cell>
          <cell r="C2095" t="str">
            <v/>
          </cell>
          <cell r="D2095" t="str">
            <v>Mesa para Computador Gamer e Painel até 58 Madesa Preto</v>
          </cell>
          <cell r="E2095" t="str">
            <v>GAMER</v>
          </cell>
          <cell r="F2095" t="str">
            <v>ESCRITÓRIO</v>
          </cell>
          <cell r="G2095" t="str">
            <v/>
          </cell>
          <cell r="H2095">
            <v>559.99</v>
          </cell>
          <cell r="I2095">
            <v>459.99</v>
          </cell>
          <cell r="J2095">
            <v>347.12139999999999</v>
          </cell>
          <cell r="K2095">
            <v>0</v>
          </cell>
          <cell r="L2095">
            <v>347.12139999999999</v>
          </cell>
          <cell r="M2095">
            <v>0</v>
          </cell>
          <cell r="N2095">
            <v>459.99</v>
          </cell>
          <cell r="O2095" t="str">
            <v/>
          </cell>
          <cell r="P2095">
            <v>0</v>
          </cell>
          <cell r="Q2095">
            <v>0.32515598289244102</v>
          </cell>
          <cell r="R2095">
            <v>0.32515598289244102</v>
          </cell>
          <cell r="S2095" t="e">
            <v>#VALUE!</v>
          </cell>
          <cell r="T2095" t="e">
            <v>#VALUE!</v>
          </cell>
        </row>
        <row r="2096">
          <cell r="A2096" t="str">
            <v>GRRM2600068N</v>
          </cell>
          <cell r="B2096" t="str">
            <v>MKP000631003247</v>
          </cell>
          <cell r="C2096" t="str">
            <v/>
          </cell>
          <cell r="D2096" t="str">
            <v>Armário de Cozinha Completa 260cm Preto Reims Madesa 06</v>
          </cell>
          <cell r="E2096" t="str">
            <v>REIMS</v>
          </cell>
          <cell r="F2096" t="str">
            <v>COZINHA</v>
          </cell>
          <cell r="G2096" t="str">
            <v/>
          </cell>
          <cell r="H2096">
            <v>2779.99</v>
          </cell>
          <cell r="I2096">
            <v>1799.99</v>
          </cell>
          <cell r="J2096">
            <v>1572.6629</v>
          </cell>
          <cell r="K2096">
            <v>0</v>
          </cell>
          <cell r="L2096">
            <v>1572.6629</v>
          </cell>
          <cell r="M2096">
            <v>0</v>
          </cell>
          <cell r="N2096">
            <v>1799.99</v>
          </cell>
          <cell r="O2096" t="str">
            <v/>
          </cell>
          <cell r="P2096">
            <v>0</v>
          </cell>
          <cell r="Q2096">
            <v>0.14454915926356501</v>
          </cell>
          <cell r="R2096">
            <v>0.14454915926356501</v>
          </cell>
          <cell r="S2096" t="e">
            <v>#VALUE!</v>
          </cell>
          <cell r="T2096" t="e">
            <v>#VALUE!</v>
          </cell>
        </row>
        <row r="2097">
          <cell r="A2097" t="str">
            <v>GRAG270005F9</v>
          </cell>
          <cell r="B2097" t="str">
            <v>MKP000631004463</v>
          </cell>
          <cell r="C2097" t="str">
            <v/>
          </cell>
          <cell r="D2097" t="str">
            <v>Armário de Cozinha Completa 270cm Rustic/Cinza Agata Madesa 05</v>
          </cell>
          <cell r="E2097" t="str">
            <v>ÁGATA</v>
          </cell>
          <cell r="F2097" t="str">
            <v>COZINHA</v>
          </cell>
          <cell r="G2097" t="str">
            <v/>
          </cell>
          <cell r="H2097">
            <v>1799.99</v>
          </cell>
          <cell r="I2097">
            <v>1699.99</v>
          </cell>
          <cell r="J2097">
            <v>1370.0536999999999</v>
          </cell>
          <cell r="K2097">
            <v>0</v>
          </cell>
          <cell r="L2097">
            <v>1370.0536999999999</v>
          </cell>
          <cell r="M2097">
            <v>0</v>
          </cell>
          <cell r="N2097">
            <v>1699.99</v>
          </cell>
          <cell r="O2097" t="str">
            <v/>
          </cell>
          <cell r="P2097">
            <v>0</v>
          </cell>
          <cell r="Q2097">
            <v>0.24081997661843499</v>
          </cell>
          <cell r="R2097">
            <v>0.24081997661843499</v>
          </cell>
          <cell r="S2097" t="e">
            <v>#VALUE!</v>
          </cell>
          <cell r="T2097" t="e">
            <v>#VALUE!</v>
          </cell>
        </row>
        <row r="2098">
          <cell r="A2098" t="str">
            <v>G25804F8AG</v>
          </cell>
          <cell r="B2098" t="str">
            <v>MKP000631002633</v>
          </cell>
          <cell r="C2098" t="str">
            <v/>
          </cell>
          <cell r="D2098" t="str">
            <v>Armário Aéreo Madesa Agata 80 cm 1 Porta Basculante Branco/Cinza</v>
          </cell>
          <cell r="E2098" t="str">
            <v>ÁGATA</v>
          </cell>
          <cell r="F2098" t="str">
            <v>MODULAÇÃO</v>
          </cell>
          <cell r="G2098" t="str">
            <v/>
          </cell>
          <cell r="H2098">
            <v>389.99</v>
          </cell>
          <cell r="I2098">
            <v>279.99</v>
          </cell>
          <cell r="J2098">
            <v>162.35550000000001</v>
          </cell>
          <cell r="K2098">
            <v>0</v>
          </cell>
          <cell r="L2098">
            <v>162.35550000000001</v>
          </cell>
          <cell r="M2098">
            <v>0</v>
          </cell>
          <cell r="N2098">
            <v>279.99</v>
          </cell>
          <cell r="O2098" t="str">
            <v/>
          </cell>
          <cell r="P2098">
            <v>0</v>
          </cell>
          <cell r="Q2098">
            <v>0.72454890656614701</v>
          </cell>
          <cell r="R2098">
            <v>0.72454890656614701</v>
          </cell>
          <cell r="S2098" t="e">
            <v>#VALUE!</v>
          </cell>
          <cell r="T2098" t="e">
            <v>#VALUE!</v>
          </cell>
        </row>
        <row r="2099">
          <cell r="A2099" t="str">
            <v>GRGL1200029B</v>
          </cell>
          <cell r="B2099" t="str">
            <v>MKP000631004542</v>
          </cell>
          <cell r="C2099" t="str">
            <v/>
          </cell>
          <cell r="D2099" t="str">
            <v>Armário de Cozinha Compacta 120cm Branco/Rustic Glamy Madesa 02</v>
          </cell>
          <cell r="E2099" t="str">
            <v>GLAMY</v>
          </cell>
          <cell r="F2099" t="str">
            <v>COZINHA</v>
          </cell>
          <cell r="G2099" t="str">
            <v/>
          </cell>
          <cell r="H2099">
            <v>1099.99</v>
          </cell>
          <cell r="I2099">
            <v>999.99</v>
          </cell>
          <cell r="J2099">
            <v>849.92750000000001</v>
          </cell>
          <cell r="K2099">
            <v>0</v>
          </cell>
          <cell r="L2099">
            <v>849.92750000000001</v>
          </cell>
          <cell r="M2099">
            <v>0</v>
          </cell>
          <cell r="N2099">
            <v>999.99</v>
          </cell>
          <cell r="O2099" t="str">
            <v/>
          </cell>
          <cell r="P2099">
            <v>0</v>
          </cell>
          <cell r="Q2099">
            <v>0.17655917710628299</v>
          </cell>
          <cell r="R2099">
            <v>0.17655917710628299</v>
          </cell>
          <cell r="S2099" t="e">
            <v>#VALUE!</v>
          </cell>
          <cell r="T2099" t="e">
            <v>#VALUE!</v>
          </cell>
        </row>
        <row r="2100">
          <cell r="A2100" t="str">
            <v>GCEM3570025Z</v>
          </cell>
          <cell r="B2100" t="str">
            <v>MKP000631002064</v>
          </cell>
          <cell r="C2100" t="str">
            <v/>
          </cell>
          <cell r="D2100" t="str">
            <v>Armário de Cozinha Completa de Canto 357cm Rustic Emilly Jazz Madesa 02</v>
          </cell>
          <cell r="E2100" t="str">
            <v>JAZZ/EMILLY</v>
          </cell>
          <cell r="F2100" t="str">
            <v>COZINHA</v>
          </cell>
          <cell r="G2100" t="str">
            <v/>
          </cell>
          <cell r="H2100">
            <v>1699.99</v>
          </cell>
          <cell r="I2100">
            <v>1599.99</v>
          </cell>
          <cell r="J2100">
            <v>1323.2818</v>
          </cell>
          <cell r="K2100">
            <v>0</v>
          </cell>
          <cell r="L2100">
            <v>1323.2818</v>
          </cell>
          <cell r="M2100">
            <v>0</v>
          </cell>
          <cell r="N2100">
            <v>1599.99</v>
          </cell>
          <cell r="O2100" t="str">
            <v/>
          </cell>
          <cell r="P2100">
            <v>0</v>
          </cell>
          <cell r="Q2100">
            <v>0.209107538545456</v>
          </cell>
          <cell r="R2100">
            <v>0.209107538545456</v>
          </cell>
          <cell r="S2100" t="e">
            <v>#VALUE!</v>
          </cell>
          <cell r="T2100" t="e">
            <v>#VALUE!</v>
          </cell>
        </row>
        <row r="2101">
          <cell r="A2101" t="str">
            <v>1118733E</v>
          </cell>
          <cell r="B2101" t="str">
            <v>MKP000631002683</v>
          </cell>
          <cell r="C2101" t="str">
            <v/>
          </cell>
          <cell r="D2101" t="str">
            <v>Guarda-Roupa Casal Madesa Istambul 3 Portas de Correr de Espelho 3 Gavetas Branco/Preto</v>
          </cell>
          <cell r="E2101" t="str">
            <v>ISTAMBUL</v>
          </cell>
          <cell r="F2101" t="str">
            <v>QUARTO</v>
          </cell>
          <cell r="G2101" t="str">
            <v/>
          </cell>
          <cell r="H2101">
            <v>2589.9899999999998</v>
          </cell>
          <cell r="I2101">
            <v>2099.9899999999998</v>
          </cell>
          <cell r="J2101">
            <v>1766.2687000000001</v>
          </cell>
          <cell r="K2101">
            <v>0</v>
          </cell>
          <cell r="L2101">
            <v>1766.2687000000001</v>
          </cell>
          <cell r="M2101">
            <v>0</v>
          </cell>
          <cell r="N2101">
            <v>2099.9899999999998</v>
          </cell>
          <cell r="O2101" t="str">
            <v/>
          </cell>
          <cell r="P2101">
            <v>0</v>
          </cell>
          <cell r="Q2101">
            <v>0.18894141078308199</v>
          </cell>
          <cell r="R2101">
            <v>0.18894141078308199</v>
          </cell>
          <cell r="S2101" t="e">
            <v>#VALUE!</v>
          </cell>
          <cell r="T2101" t="e">
            <v>#VALUE!</v>
          </cell>
        </row>
        <row r="2102">
          <cell r="A2102" t="str">
            <v>MDJA0401497KSM</v>
          </cell>
          <cell r="B2102" t="str">
            <v>MKP000631005298</v>
          </cell>
          <cell r="C2102" t="str">
            <v/>
          </cell>
          <cell r="D2102" t="str">
            <v>Conjunto Sala de Jantar Mesa Tampo de Madeira 4 Cadeiras Rustic/Preto/Imperial Ashley Madesa</v>
          </cell>
          <cell r="E2102" t="str">
            <v>ASHLEY</v>
          </cell>
          <cell r="F2102" t="str">
            <v>SALA DE JANTAR</v>
          </cell>
          <cell r="G2102">
            <v>4256</v>
          </cell>
          <cell r="H2102">
            <v>1279.99</v>
          </cell>
          <cell r="I2102">
            <v>1169.99</v>
          </cell>
          <cell r="J2102">
            <v>910.24810000000002</v>
          </cell>
          <cell r="K2102">
            <v>0</v>
          </cell>
          <cell r="L2102">
            <v>910.24810000000002</v>
          </cell>
          <cell r="M2102">
            <v>0</v>
          </cell>
          <cell r="N2102">
            <v>1169.99</v>
          </cell>
          <cell r="O2102" t="str">
            <v/>
          </cell>
          <cell r="P2102">
            <v>0</v>
          </cell>
          <cell r="Q2102">
            <v>0.28535286148908201</v>
          </cell>
          <cell r="R2102">
            <v>0.28535286148908201</v>
          </cell>
          <cell r="S2102" t="e">
            <v>#VALUE!</v>
          </cell>
          <cell r="T2102" t="e">
            <v>#VALUE!</v>
          </cell>
        </row>
        <row r="2103">
          <cell r="A2103" t="str">
            <v>10639B1RCP</v>
          </cell>
          <cell r="B2103" t="str">
            <v>MKP000631000985</v>
          </cell>
          <cell r="C2103" t="str">
            <v/>
          </cell>
          <cell r="D2103" t="str">
            <v>Guarda-Roupa Casal 100% MDF Madesa Royale 3 Portas de Correr com Pés Branco/Branco/Rustic</v>
          </cell>
          <cell r="E2103" t="str">
            <v>ROYALE</v>
          </cell>
          <cell r="F2103" t="str">
            <v>QUARTO</v>
          </cell>
          <cell r="G2103" t="str">
            <v/>
          </cell>
          <cell r="H2103">
            <v>2589.9899999999998</v>
          </cell>
          <cell r="I2103">
            <v>1969.99</v>
          </cell>
          <cell r="J2103">
            <v>1597.5367000000001</v>
          </cell>
          <cell r="K2103">
            <v>0</v>
          </cell>
          <cell r="L2103">
            <v>1597.5367000000001</v>
          </cell>
          <cell r="M2103">
            <v>0</v>
          </cell>
          <cell r="N2103">
            <v>1969.99</v>
          </cell>
          <cell r="O2103" t="str">
            <v/>
          </cell>
          <cell r="P2103">
            <v>0</v>
          </cell>
          <cell r="Q2103">
            <v>0.23314224956459501</v>
          </cell>
          <cell r="R2103">
            <v>0.23314224956459501</v>
          </cell>
          <cell r="S2103" t="e">
            <v>#VALUE!</v>
          </cell>
          <cell r="T2103" t="e">
            <v>#VALUE!</v>
          </cell>
        </row>
        <row r="2104">
          <cell r="A2104" t="str">
            <v>MDJA0200495ZSIM</v>
          </cell>
          <cell r="B2104" t="str">
            <v>MKP000631003220</v>
          </cell>
          <cell r="C2104" t="str">
            <v/>
          </cell>
          <cell r="D2104" t="str">
            <v>Conjunto Sala de Jantar Madesa Luli Mesa Tampo de Vidro com 2 Cadeiras Rustic/Imperial</v>
          </cell>
          <cell r="E2104" t="str">
            <v>LULI</v>
          </cell>
          <cell r="F2104" t="str">
            <v>SALA DE JANTAR</v>
          </cell>
          <cell r="G2104">
            <v>4255</v>
          </cell>
          <cell r="H2104">
            <v>729.99</v>
          </cell>
          <cell r="I2104">
            <v>629.99</v>
          </cell>
          <cell r="J2104">
            <v>497.15989999999999</v>
          </cell>
          <cell r="K2104">
            <v>0</v>
          </cell>
          <cell r="L2104">
            <v>497.15989999999999</v>
          </cell>
          <cell r="M2104">
            <v>0</v>
          </cell>
          <cell r="N2104">
            <v>629.99</v>
          </cell>
          <cell r="O2104" t="str">
            <v/>
          </cell>
          <cell r="P2104">
            <v>0</v>
          </cell>
          <cell r="Q2104">
            <v>0.26717782347289099</v>
          </cell>
          <cell r="R2104">
            <v>0.26717782347289099</v>
          </cell>
          <cell r="S2104" t="e">
            <v>#VALUE!</v>
          </cell>
          <cell r="T2104" t="e">
            <v>#VALUE!</v>
          </cell>
        </row>
        <row r="2105">
          <cell r="A2105" t="str">
            <v>70086E5ZPP</v>
          </cell>
          <cell r="B2105" t="str">
            <v>MKP000631001676</v>
          </cell>
          <cell r="C2105" t="str">
            <v/>
          </cell>
          <cell r="D2105" t="str">
            <v>Rack para TV até 65 Polegadas Madesa Cancun com Pés Rustic/Branco 6E5Z</v>
          </cell>
          <cell r="E2105" t="str">
            <v>CANCUN</v>
          </cell>
          <cell r="F2105" t="str">
            <v>SALA DE ESTAR</v>
          </cell>
          <cell r="G2105" t="str">
            <v/>
          </cell>
          <cell r="H2105">
            <v>459.99</v>
          </cell>
          <cell r="I2105">
            <v>359.99</v>
          </cell>
          <cell r="J2105">
            <v>271.62799999999999</v>
          </cell>
          <cell r="K2105">
            <v>0</v>
          </cell>
          <cell r="L2105">
            <v>271.62799999999999</v>
          </cell>
          <cell r="M2105">
            <v>0</v>
          </cell>
          <cell r="N2105">
            <v>359.99</v>
          </cell>
          <cell r="O2105" t="str">
            <v/>
          </cell>
          <cell r="P2105">
            <v>0</v>
          </cell>
          <cell r="Q2105">
            <v>0.32530519681328901</v>
          </cell>
          <cell r="R2105">
            <v>0.32530519681328901</v>
          </cell>
          <cell r="S2105" t="e">
            <v>#VALUE!</v>
          </cell>
          <cell r="T2105" t="e">
            <v>#VALUE!</v>
          </cell>
        </row>
        <row r="2106">
          <cell r="A2106" t="str">
            <v>G251255ZPRMB</v>
          </cell>
          <cell r="B2106" t="str">
            <v>MKP000631000926</v>
          </cell>
          <cell r="C2106" t="str">
            <v/>
          </cell>
          <cell r="D2106" t="str">
            <v>Armário Aéreo Madesa 2 Portas de Correr de Vidro para Cozinhas Glamy, Lux e Reims Rustic</v>
          </cell>
          <cell r="E2106" t="str">
            <v>PR</v>
          </cell>
          <cell r="F2106" t="str">
            <v>MODULAÇÃO</v>
          </cell>
          <cell r="G2106" t="str">
            <v/>
          </cell>
          <cell r="H2106">
            <v>749.99</v>
          </cell>
          <cell r="I2106">
            <v>419.99</v>
          </cell>
          <cell r="J2106">
            <v>268.75040000000001</v>
          </cell>
          <cell r="K2106">
            <v>0</v>
          </cell>
          <cell r="L2106">
            <v>268.75040000000001</v>
          </cell>
          <cell r="M2106">
            <v>0</v>
          </cell>
          <cell r="N2106">
            <v>419.99</v>
          </cell>
          <cell r="O2106" t="str">
            <v/>
          </cell>
          <cell r="P2106">
            <v>0</v>
          </cell>
          <cell r="Q2106">
            <v>0.56275116241687395</v>
          </cell>
          <cell r="R2106">
            <v>0.56275116241687395</v>
          </cell>
          <cell r="S2106" t="e">
            <v>#VALUE!</v>
          </cell>
          <cell r="T2106" t="e">
            <v>#VALUE!</v>
          </cell>
        </row>
        <row r="2107">
          <cell r="A2107" t="str">
            <v>G256027KGL</v>
          </cell>
          <cell r="B2107" t="str">
            <v>MKP000631001304</v>
          </cell>
          <cell r="C2107" t="str">
            <v/>
          </cell>
          <cell r="D2107" t="str">
            <v>Armário Aéreo Madesa Glamy 60 cm 1 Porta Basculante Rustic/Preto</v>
          </cell>
          <cell r="E2107" t="str">
            <v>GLAMY</v>
          </cell>
          <cell r="F2107" t="str">
            <v>MODULAÇÃO</v>
          </cell>
          <cell r="G2107" t="str">
            <v/>
          </cell>
          <cell r="H2107">
            <v>369.99</v>
          </cell>
          <cell r="I2107">
            <v>249.99</v>
          </cell>
          <cell r="J2107">
            <v>158.20259999999999</v>
          </cell>
          <cell r="K2107">
            <v>0</v>
          </cell>
          <cell r="L2107">
            <v>158.20259999999999</v>
          </cell>
          <cell r="M2107">
            <v>0</v>
          </cell>
          <cell r="N2107">
            <v>249.99</v>
          </cell>
          <cell r="O2107" t="str">
            <v/>
          </cell>
          <cell r="P2107">
            <v>0</v>
          </cell>
          <cell r="Q2107">
            <v>0.58018894758998896</v>
          </cell>
          <cell r="R2107">
            <v>0.58018894758998896</v>
          </cell>
          <cell r="S2107" t="e">
            <v>#VALUE!</v>
          </cell>
          <cell r="T2107" t="e">
            <v>#VALUE!</v>
          </cell>
        </row>
        <row r="2108">
          <cell r="A2108" t="str">
            <v>G2580009GL</v>
          </cell>
          <cell r="B2108" t="str">
            <v>MKP000631000007</v>
          </cell>
          <cell r="C2108" t="str">
            <v/>
          </cell>
          <cell r="D2108" t="str">
            <v>Armário Aéreo Madesa Glamy 80 cm 2 Portas Branco</v>
          </cell>
          <cell r="E2108" t="str">
            <v>GLAMY</v>
          </cell>
          <cell r="F2108" t="str">
            <v>MODULAÇÃO</v>
          </cell>
          <cell r="G2108" t="str">
            <v/>
          </cell>
          <cell r="H2108">
            <v>719.99</v>
          </cell>
          <cell r="I2108">
            <v>429.99</v>
          </cell>
          <cell r="J2108">
            <v>259.75790000000001</v>
          </cell>
          <cell r="K2108">
            <v>0</v>
          </cell>
          <cell r="L2108">
            <v>259.75790000000001</v>
          </cell>
          <cell r="M2108">
            <v>0</v>
          </cell>
          <cell r="N2108">
            <v>429.99</v>
          </cell>
          <cell r="O2108" t="str">
            <v/>
          </cell>
          <cell r="P2108">
            <v>0</v>
          </cell>
          <cell r="Q2108">
            <v>0.65534907696743805</v>
          </cell>
          <cell r="R2108">
            <v>0.65534907696743805</v>
          </cell>
          <cell r="S2108" t="e">
            <v>#VALUE!</v>
          </cell>
          <cell r="T2108" t="e">
            <v>#VALUE!</v>
          </cell>
        </row>
        <row r="2109">
          <cell r="A2109" t="str">
            <v>G226019RLX</v>
          </cell>
          <cell r="B2109" t="str">
            <v>MKP000631003241</v>
          </cell>
          <cell r="C2109" t="str">
            <v/>
          </cell>
          <cell r="D2109" t="str">
            <v>Balcão Madesa Lux 60 cm 3 Gavetas (Sem Tampo) Branco/Cinza</v>
          </cell>
          <cell r="E2109" t="str">
            <v>LUX</v>
          </cell>
          <cell r="F2109" t="str">
            <v>MODULAÇÃO</v>
          </cell>
          <cell r="G2109" t="str">
            <v/>
          </cell>
          <cell r="H2109">
            <v>1199.99</v>
          </cell>
          <cell r="I2109">
            <v>919.99</v>
          </cell>
          <cell r="J2109">
            <v>509.37880000000001</v>
          </cell>
          <cell r="K2109">
            <v>0</v>
          </cell>
          <cell r="L2109">
            <v>509.37880000000001</v>
          </cell>
          <cell r="M2109">
            <v>0</v>
          </cell>
          <cell r="N2109">
            <v>919.99</v>
          </cell>
          <cell r="O2109" t="str">
            <v>LOJA</v>
          </cell>
          <cell r="P2109">
            <v>899.99</v>
          </cell>
          <cell r="Q2109">
            <v>0.80610186368180203</v>
          </cell>
          <cell r="R2109">
            <v>0.80610186368180203</v>
          </cell>
          <cell r="S2109" t="e">
            <v>#VALUE!</v>
          </cell>
          <cell r="T2109" t="e">
            <v>#VALUE!</v>
          </cell>
        </row>
        <row r="2110">
          <cell r="A2110" t="str">
            <v>GRNC2200033B</v>
          </cell>
          <cell r="B2110" t="str">
            <v>MKP000631005925</v>
          </cell>
          <cell r="C2110" t="str">
            <v/>
          </cell>
          <cell r="D2110" t="str">
            <v>Armário de Cozinha Completa 220cm Cinza Nice Madesa 03</v>
          </cell>
          <cell r="E2110" t="str">
            <v>NICE</v>
          </cell>
          <cell r="F2110" t="str">
            <v>COZINHA</v>
          </cell>
          <cell r="G2110" t="str">
            <v/>
          </cell>
          <cell r="H2110">
            <v>1249.99</v>
          </cell>
          <cell r="I2110">
            <v>1249.99</v>
          </cell>
          <cell r="J2110">
            <v>1017.079</v>
          </cell>
          <cell r="K2110">
            <v>0</v>
          </cell>
          <cell r="L2110">
            <v>1017.079</v>
          </cell>
          <cell r="M2110">
            <v>0</v>
          </cell>
          <cell r="N2110">
            <v>1249.99</v>
          </cell>
          <cell r="O2110" t="str">
            <v/>
          </cell>
          <cell r="P2110">
            <v>0</v>
          </cell>
          <cell r="Q2110">
            <v>0.22899991052809099</v>
          </cell>
          <cell r="R2110">
            <v>0.22899991052809099</v>
          </cell>
          <cell r="S2110" t="e">
            <v>#VALUE!</v>
          </cell>
          <cell r="T2110" t="e">
            <v>#VALUE!</v>
          </cell>
        </row>
        <row r="2111">
          <cell r="A2111" t="str">
            <v>MDFC020002D8</v>
          </cell>
          <cell r="B2111" t="str">
            <v>MKP000631002652</v>
          </cell>
          <cell r="C2111" t="str">
            <v/>
          </cell>
          <cell r="D2111" t="str">
            <v>Mesa para Computador Gamer Madesa 9409 e Painel para TV até 65 Polegadas Preto/Rustic</v>
          </cell>
          <cell r="E2111" t="str">
            <v>GAMER</v>
          </cell>
          <cell r="F2111" t="str">
            <v>ESCRITÓRIO</v>
          </cell>
          <cell r="G2111" t="str">
            <v/>
          </cell>
          <cell r="H2111">
            <v>859.99</v>
          </cell>
          <cell r="I2111">
            <v>589.99</v>
          </cell>
          <cell r="J2111">
            <v>434.67020000000002</v>
          </cell>
          <cell r="K2111">
            <v>0</v>
          </cell>
          <cell r="L2111">
            <v>434.67020000000002</v>
          </cell>
          <cell r="M2111">
            <v>0</v>
          </cell>
          <cell r="N2111">
            <v>589.99</v>
          </cell>
          <cell r="O2111" t="str">
            <v/>
          </cell>
          <cell r="P2111">
            <v>0</v>
          </cell>
          <cell r="Q2111">
            <v>0.35732792356135801</v>
          </cell>
          <cell r="R2111">
            <v>0.35732792356135801</v>
          </cell>
          <cell r="S2111" t="e">
            <v>#VALUE!</v>
          </cell>
          <cell r="T2111" t="e">
            <v>#VALUE!</v>
          </cell>
        </row>
        <row r="2112">
          <cell r="A2112" t="str">
            <v>GRGL2200020973</v>
          </cell>
          <cell r="B2112" t="str">
            <v>MKP000631002953</v>
          </cell>
          <cell r="C2112" t="str">
            <v/>
          </cell>
          <cell r="D2112" t="str">
            <v>Armário de Cozinha Completa 220cm Branco/Branco/Preto Parma Madesa 02</v>
          </cell>
          <cell r="E2112" t="str">
            <v>PARMA/GLAMY</v>
          </cell>
          <cell r="F2112" t="str">
            <v>COZINHA</v>
          </cell>
          <cell r="G2112" t="str">
            <v/>
          </cell>
          <cell r="H2112">
            <v>1969.99</v>
          </cell>
          <cell r="I2112">
            <v>1869.99</v>
          </cell>
          <cell r="J2112">
            <v>1558.7654</v>
          </cell>
          <cell r="K2112">
            <v>0</v>
          </cell>
          <cell r="L2112">
            <v>1558.7654</v>
          </cell>
          <cell r="M2112">
            <v>0</v>
          </cell>
          <cell r="N2112">
            <v>1869.99</v>
          </cell>
          <cell r="O2112" t="str">
            <v/>
          </cell>
          <cell r="P2112">
            <v>0</v>
          </cell>
          <cell r="Q2112">
            <v>0.199660962451438</v>
          </cell>
          <cell r="R2112">
            <v>0.199660962451438</v>
          </cell>
          <cell r="S2112" t="e">
            <v>#VALUE!</v>
          </cell>
          <cell r="T2112" t="e">
            <v>#VALUE!</v>
          </cell>
        </row>
        <row r="2113">
          <cell r="A2113" t="str">
            <v>XC10639B1BCP</v>
          </cell>
          <cell r="B2113" t="str">
            <v>MKP000631001476</v>
          </cell>
          <cell r="C2113" t="str">
            <v/>
          </cell>
          <cell r="D2113" t="str">
            <v>Guarda-Roupa Casal 100% MDF Madesa Zurique 3 Portas de Correr com Pés Branco/Rustic/Branco</v>
          </cell>
          <cell r="E2113" t="str">
            <v>ZURIQUE</v>
          </cell>
          <cell r="F2113" t="str">
            <v>QUARTO</v>
          </cell>
          <cell r="G2113" t="str">
            <v/>
          </cell>
          <cell r="H2113">
            <v>2589.9899999999998</v>
          </cell>
          <cell r="I2113">
            <v>1969.99</v>
          </cell>
          <cell r="J2113">
            <v>1597.5367000000001</v>
          </cell>
          <cell r="K2113">
            <v>0</v>
          </cell>
          <cell r="L2113">
            <v>1597.5367000000001</v>
          </cell>
          <cell r="M2113">
            <v>0</v>
          </cell>
          <cell r="N2113">
            <v>1969.99</v>
          </cell>
          <cell r="O2113" t="str">
            <v/>
          </cell>
          <cell r="P2113">
            <v>0</v>
          </cell>
          <cell r="Q2113">
            <v>0.23314224956459501</v>
          </cell>
          <cell r="R2113">
            <v>0.23314224956459501</v>
          </cell>
          <cell r="S2113" t="e">
            <v>#VALUE!</v>
          </cell>
          <cell r="T2113" t="e">
            <v>#VALUE!</v>
          </cell>
        </row>
        <row r="2114">
          <cell r="A2114" t="str">
            <v>XA10949B1E</v>
          </cell>
          <cell r="B2114" t="str">
            <v>MKP000631001607</v>
          </cell>
          <cell r="C2114" t="str">
            <v/>
          </cell>
          <cell r="D2114" t="str">
            <v>Guarda-Roupa Infantil Madesa Enzo 2 Portas de Correr com Espelho Branco/Rustic</v>
          </cell>
          <cell r="E2114" t="str">
            <v>ENZO</v>
          </cell>
          <cell r="F2114" t="str">
            <v>QUARTO</v>
          </cell>
          <cell r="G2114" t="str">
            <v/>
          </cell>
          <cell r="H2114">
            <v>1069.99</v>
          </cell>
          <cell r="I2114">
            <v>759.99</v>
          </cell>
          <cell r="J2114">
            <v>605.03719999999998</v>
          </cell>
          <cell r="K2114">
            <v>0</v>
          </cell>
          <cell r="L2114">
            <v>605.03719999999998</v>
          </cell>
          <cell r="M2114">
            <v>0</v>
          </cell>
          <cell r="N2114">
            <v>759.99</v>
          </cell>
          <cell r="O2114" t="str">
            <v/>
          </cell>
          <cell r="P2114">
            <v>0</v>
          </cell>
          <cell r="Q2114">
            <v>0.256104583321488</v>
          </cell>
          <cell r="R2114">
            <v>0.256104583321488</v>
          </cell>
          <cell r="S2114" t="e">
            <v>#VALUE!</v>
          </cell>
          <cell r="T2114" t="e">
            <v>#VALUE!</v>
          </cell>
        </row>
        <row r="2115">
          <cell r="A2115" t="str">
            <v>G247509BGL</v>
          </cell>
          <cell r="B2115" t="str">
            <v>MKP000631000849</v>
          </cell>
          <cell r="C2115" t="str">
            <v/>
          </cell>
          <cell r="D2115" t="str">
            <v>Balcão de Canto Madesa Glamy 1 Porta Branco/Rustic</v>
          </cell>
          <cell r="E2115" t="str">
            <v>GLAMY</v>
          </cell>
          <cell r="F2115" t="str">
            <v>MODULAÇÃO</v>
          </cell>
          <cell r="G2115" t="str">
            <v/>
          </cell>
          <cell r="H2115">
            <v>1019.99</v>
          </cell>
          <cell r="I2115">
            <v>529.99</v>
          </cell>
          <cell r="J2115">
            <v>318.60700000000003</v>
          </cell>
          <cell r="K2115">
            <v>0</v>
          </cell>
          <cell r="L2115">
            <v>318.60700000000003</v>
          </cell>
          <cell r="M2115">
            <v>0</v>
          </cell>
          <cell r="N2115">
            <v>529.99</v>
          </cell>
          <cell r="O2115" t="str">
            <v/>
          </cell>
          <cell r="P2115">
            <v>0</v>
          </cell>
          <cell r="Q2115">
            <v>0.66345999930949395</v>
          </cell>
          <cell r="R2115">
            <v>0.66345999930949395</v>
          </cell>
          <cell r="S2115" t="e">
            <v>#VALUE!</v>
          </cell>
          <cell r="T2115" t="e">
            <v>#VALUE!</v>
          </cell>
        </row>
        <row r="2116">
          <cell r="A2116" t="str">
            <v>MDJA0601497GPT</v>
          </cell>
          <cell r="B2116" t="str">
            <v>MKP000631005716</v>
          </cell>
          <cell r="C2116" t="str">
            <v/>
          </cell>
          <cell r="D2116" t="str">
            <v>Conjunto Sala de Jantar Mesa Tampo de Madeira 6 Cadeiras Rustic/Crema/Preto Sharon Madesa</v>
          </cell>
          <cell r="E2116" t="str">
            <v>SHARON</v>
          </cell>
          <cell r="F2116" t="str">
            <v>SALA DE JANTAR</v>
          </cell>
          <cell r="G2116" t="str">
            <v>4290X</v>
          </cell>
          <cell r="H2116">
            <v>839.99</v>
          </cell>
          <cell r="I2116">
            <v>739.99</v>
          </cell>
          <cell r="J2116">
            <v>588.73080000000004</v>
          </cell>
          <cell r="K2116">
            <v>0</v>
          </cell>
          <cell r="L2116">
            <v>588.73080000000004</v>
          </cell>
          <cell r="M2116">
            <v>0</v>
          </cell>
          <cell r="N2116">
            <v>739.99</v>
          </cell>
          <cell r="O2116" t="str">
            <v/>
          </cell>
          <cell r="P2116">
            <v>0</v>
          </cell>
          <cell r="Q2116">
            <v>0.256924217316301</v>
          </cell>
          <cell r="R2116">
            <v>0.256924217316301</v>
          </cell>
          <cell r="S2116" t="e">
            <v>#VALUE!</v>
          </cell>
          <cell r="T2116" t="e">
            <v>#VALUE!</v>
          </cell>
        </row>
        <row r="2117">
          <cell r="A2117" t="str">
            <v>GRNC1600013B</v>
          </cell>
          <cell r="B2117" t="str">
            <v>MKP000631005922</v>
          </cell>
          <cell r="C2117" t="str">
            <v/>
          </cell>
          <cell r="D2117" t="str">
            <v>Armário de Cozinha Completa 160cm Cinza Nice Madesa 01</v>
          </cell>
          <cell r="E2117" t="str">
            <v>NICE</v>
          </cell>
          <cell r="F2117" t="str">
            <v>COZINHA</v>
          </cell>
          <cell r="G2117" t="str">
            <v/>
          </cell>
          <cell r="H2117">
            <v>1199.99</v>
          </cell>
          <cell r="I2117">
            <v>1099.99</v>
          </cell>
          <cell r="J2117">
            <v>898.29079999999999</v>
          </cell>
          <cell r="K2117">
            <v>0</v>
          </cell>
          <cell r="L2117">
            <v>898.29079999999999</v>
          </cell>
          <cell r="M2117">
            <v>0</v>
          </cell>
          <cell r="N2117">
            <v>1099.99</v>
          </cell>
          <cell r="O2117" t="str">
            <v/>
          </cell>
          <cell r="P2117">
            <v>0</v>
          </cell>
          <cell r="Q2117">
            <v>0.224536642254379</v>
          </cell>
          <cell r="R2117">
            <v>0.224536642254379</v>
          </cell>
          <cell r="S2117" t="e">
            <v>#VALUE!</v>
          </cell>
          <cell r="T2117" t="e">
            <v>#VALUE!</v>
          </cell>
        </row>
        <row r="2118">
          <cell r="A2118" t="str">
            <v>MDFC0200070909</v>
          </cell>
          <cell r="B2118" t="str">
            <v>MKP000631002661</v>
          </cell>
          <cell r="C2118" t="str">
            <v/>
          </cell>
          <cell r="D2118" t="str">
            <v>Escrivaninha Madesa Alaska + Estante Livreiro 6908 Branco</v>
          </cell>
          <cell r="E2118" t="str">
            <v>ALASKA + 6908</v>
          </cell>
          <cell r="F2118" t="str">
            <v>ESCRITÓRIO</v>
          </cell>
          <cell r="G2118" t="str">
            <v/>
          </cell>
          <cell r="H2118">
            <v>1399.99</v>
          </cell>
          <cell r="I2118">
            <v>799.99</v>
          </cell>
          <cell r="J2118">
            <v>563.56269999999995</v>
          </cell>
          <cell r="K2118">
            <v>0</v>
          </cell>
          <cell r="L2118">
            <v>563.56269999999995</v>
          </cell>
          <cell r="M2118">
            <v>0</v>
          </cell>
          <cell r="N2118">
            <v>799.99</v>
          </cell>
          <cell r="O2118" t="str">
            <v/>
          </cell>
          <cell r="P2118">
            <v>0</v>
          </cell>
          <cell r="Q2118">
            <v>0.41952261922231499</v>
          </cell>
          <cell r="R2118">
            <v>0.41952261922231499</v>
          </cell>
          <cell r="S2118" t="e">
            <v>#VALUE!</v>
          </cell>
          <cell r="T2118" t="e">
            <v>#VALUE!</v>
          </cell>
        </row>
        <row r="2119">
          <cell r="A2119" t="str">
            <v>GRRM2600048N</v>
          </cell>
          <cell r="B2119" t="str">
            <v>MKP000631003187</v>
          </cell>
          <cell r="C2119" t="str">
            <v/>
          </cell>
          <cell r="D2119" t="str">
            <v>Armário de Cozinha Completa 260cm Preto Reims Madesa 04</v>
          </cell>
          <cell r="E2119" t="str">
            <v>REIMS</v>
          </cell>
          <cell r="F2119" t="str">
            <v>COZINHA</v>
          </cell>
          <cell r="G2119" t="str">
            <v/>
          </cell>
          <cell r="H2119">
            <v>3539.99</v>
          </cell>
          <cell r="I2119">
            <v>1839.99</v>
          </cell>
          <cell r="J2119">
            <v>1607.3031000000001</v>
          </cell>
          <cell r="K2119">
            <v>0</v>
          </cell>
          <cell r="L2119">
            <v>1607.3031000000001</v>
          </cell>
          <cell r="M2119">
            <v>0</v>
          </cell>
          <cell r="N2119">
            <v>1839.99</v>
          </cell>
          <cell r="O2119" t="str">
            <v/>
          </cell>
          <cell r="P2119">
            <v>0</v>
          </cell>
          <cell r="Q2119">
            <v>0.14476852561287301</v>
          </cell>
          <cell r="R2119">
            <v>0.14476852561287301</v>
          </cell>
          <cell r="S2119" t="e">
            <v>#VALUE!</v>
          </cell>
          <cell r="T2119" t="e">
            <v>#VALUE!</v>
          </cell>
        </row>
        <row r="2120">
          <cell r="A2120" t="str">
            <v>XA10945Z2E</v>
          </cell>
          <cell r="B2120" t="str">
            <v>MKP000631001611</v>
          </cell>
          <cell r="C2120" t="str">
            <v/>
          </cell>
          <cell r="D2120" t="str">
            <v>Guarda-Roupa Infantil Madesa Enzo 2 Portas de Correr de Espelho Rustic</v>
          </cell>
          <cell r="E2120" t="str">
            <v>ENZO</v>
          </cell>
          <cell r="F2120" t="str">
            <v>QUARTO</v>
          </cell>
          <cell r="G2120" t="str">
            <v/>
          </cell>
          <cell r="H2120">
            <v>1219.99</v>
          </cell>
          <cell r="I2120">
            <v>919.99</v>
          </cell>
          <cell r="J2120">
            <v>734.96519999999998</v>
          </cell>
          <cell r="K2120">
            <v>0</v>
          </cell>
          <cell r="L2120">
            <v>734.96519999999998</v>
          </cell>
          <cell r="M2120">
            <v>0</v>
          </cell>
          <cell r="N2120">
            <v>919.99</v>
          </cell>
          <cell r="O2120" t="str">
            <v/>
          </cell>
          <cell r="P2120">
            <v>0</v>
          </cell>
          <cell r="Q2120">
            <v>0.25174634118731098</v>
          </cell>
          <cell r="R2120">
            <v>0.25174634118731098</v>
          </cell>
          <cell r="S2120" t="e">
            <v>#VALUE!</v>
          </cell>
          <cell r="T2120" t="e">
            <v>#VALUE!</v>
          </cell>
        </row>
        <row r="2121">
          <cell r="A2121" t="str">
            <v>G237559RLX</v>
          </cell>
          <cell r="B2121" t="str">
            <v>MKP000631003249</v>
          </cell>
          <cell r="C2121" t="str">
            <v/>
          </cell>
          <cell r="D2121" t="str">
            <v>Torre Quente Madesa Lux 70 cm 3 Portas Branco/Cinza</v>
          </cell>
          <cell r="E2121" t="str">
            <v>LUX</v>
          </cell>
          <cell r="F2121" t="str">
            <v>MODULAÇÃO</v>
          </cell>
          <cell r="G2121" t="str">
            <v/>
          </cell>
          <cell r="H2121">
            <v>1889.99</v>
          </cell>
          <cell r="I2121">
            <v>1499.99</v>
          </cell>
          <cell r="J2121">
            <v>842.17759999999998</v>
          </cell>
          <cell r="K2121">
            <v>0</v>
          </cell>
          <cell r="L2121">
            <v>842.17759999999998</v>
          </cell>
          <cell r="M2121">
            <v>0</v>
          </cell>
          <cell r="N2121">
            <v>1499.99</v>
          </cell>
          <cell r="O2121" t="str">
            <v>LOJA</v>
          </cell>
          <cell r="P2121">
            <v>1489.99</v>
          </cell>
          <cell r="Q2121">
            <v>0.78108512978735101</v>
          </cell>
          <cell r="R2121">
            <v>0.78108512978735101</v>
          </cell>
          <cell r="S2121" t="e">
            <v>#VALUE!</v>
          </cell>
          <cell r="T2121" t="e">
            <v>#VALUE!</v>
          </cell>
        </row>
        <row r="2122">
          <cell r="A2122" t="str">
            <v>MDJA0401785ZFLH</v>
          </cell>
          <cell r="B2122" t="str">
            <v>MKP000631005887</v>
          </cell>
          <cell r="C2122" t="str">
            <v/>
          </cell>
          <cell r="D2122" t="str">
            <v>Conjunto Sala de Jantar Mesa Tampo de Madeira 4 Cadeiras Rustic/Hibiscos Marilyn Madesa</v>
          </cell>
          <cell r="E2122" t="str">
            <v>MARILYN</v>
          </cell>
          <cell r="F2122" t="str">
            <v>SALA DE JANTAR</v>
          </cell>
          <cell r="G2122" t="str">
            <v>4290X</v>
          </cell>
          <cell r="H2122">
            <v>699.99</v>
          </cell>
          <cell r="I2122">
            <v>599.99</v>
          </cell>
          <cell r="J2122">
            <v>465.66980000000001</v>
          </cell>
          <cell r="K2122">
            <v>0</v>
          </cell>
          <cell r="L2122">
            <v>465.66980000000001</v>
          </cell>
          <cell r="M2122">
            <v>0</v>
          </cell>
          <cell r="N2122">
            <v>599.99</v>
          </cell>
          <cell r="O2122" t="str">
            <v/>
          </cell>
          <cell r="P2122">
            <v>0</v>
          </cell>
          <cell r="Q2122">
            <v>0.28844516006835702</v>
          </cell>
          <cell r="R2122">
            <v>0.28844516006835702</v>
          </cell>
          <cell r="S2122" t="e">
            <v>#VALUE!</v>
          </cell>
          <cell r="T2122" t="e">
            <v>#VALUE!</v>
          </cell>
        </row>
        <row r="2123">
          <cell r="A2123" t="str">
            <v>G241539BGL</v>
          </cell>
          <cell r="B2123" t="str">
            <v>MKP000631002392</v>
          </cell>
          <cell r="C2123" t="str">
            <v/>
          </cell>
          <cell r="D2123" t="str">
            <v>Balcão de Pia Madesa Glamy 150 cm 2 Portas e 2 Gavetas (Sem Tampo e Pia) Branco/Rustic</v>
          </cell>
          <cell r="E2123" t="str">
            <v>GLAMY</v>
          </cell>
          <cell r="F2123" t="str">
            <v>MODULAÇÃO</v>
          </cell>
          <cell r="G2123" t="str">
            <v/>
          </cell>
          <cell r="H2123">
            <v>1119.99</v>
          </cell>
          <cell r="I2123">
            <v>559.99</v>
          </cell>
          <cell r="J2123">
            <v>436.25069999999999</v>
          </cell>
          <cell r="K2123">
            <v>0</v>
          </cell>
          <cell r="L2123">
            <v>436.25069999999999</v>
          </cell>
          <cell r="M2123">
            <v>0</v>
          </cell>
          <cell r="N2123">
            <v>559.99</v>
          </cell>
          <cell r="O2123" t="str">
            <v/>
          </cell>
          <cell r="P2123">
            <v>0</v>
          </cell>
          <cell r="Q2123">
            <v>0.28364263942728302</v>
          </cell>
          <cell r="R2123">
            <v>0.28364263942728302</v>
          </cell>
          <cell r="S2123" t="e">
            <v>#VALUE!</v>
          </cell>
          <cell r="T2123" t="e">
            <v>#VALUE!</v>
          </cell>
        </row>
        <row r="2124">
          <cell r="A2124" t="str">
            <v>GRAG180004F9</v>
          </cell>
          <cell r="B2124" t="str">
            <v>MKP000631004589</v>
          </cell>
          <cell r="C2124" t="str">
            <v/>
          </cell>
          <cell r="D2124" t="str">
            <v>Armário de Cozinha Compacta 180cm Rustic Cinza Agata Madesa 04</v>
          </cell>
          <cell r="E2124" t="str">
            <v>ÁGATA</v>
          </cell>
          <cell r="F2124" t="str">
            <v>COZINHA</v>
          </cell>
          <cell r="G2124" t="str">
            <v/>
          </cell>
          <cell r="H2124">
            <v>1599.99</v>
          </cell>
          <cell r="I2124">
            <v>1499.99</v>
          </cell>
          <cell r="J2124">
            <v>1236.3869999999999</v>
          </cell>
          <cell r="K2124">
            <v>0</v>
          </cell>
          <cell r="L2124">
            <v>1236.3869999999999</v>
          </cell>
          <cell r="M2124">
            <v>0</v>
          </cell>
          <cell r="N2124">
            <v>1499.99</v>
          </cell>
          <cell r="O2124" t="str">
            <v/>
          </cell>
          <cell r="P2124">
            <v>0</v>
          </cell>
          <cell r="Q2124">
            <v>0.213204279889711</v>
          </cell>
          <cell r="R2124">
            <v>0.213204279889711</v>
          </cell>
          <cell r="S2124" t="e">
            <v>#VALUE!</v>
          </cell>
          <cell r="T2124" t="e">
            <v>#VALUE!</v>
          </cell>
        </row>
        <row r="2125">
          <cell r="A2125" t="str">
            <v>GCEM3850019B</v>
          </cell>
          <cell r="B2125" t="str">
            <v>MKP000631000438</v>
          </cell>
          <cell r="C2125" t="str">
            <v/>
          </cell>
          <cell r="D2125" t="str">
            <v>Armário de Cozinha Completa 385cm Rustic/Branco Emilly Love Madesa 01</v>
          </cell>
          <cell r="E2125" t="str">
            <v>LOVE/EMILLY</v>
          </cell>
          <cell r="F2125" t="str">
            <v>COZINHA</v>
          </cell>
          <cell r="G2125" t="str">
            <v/>
          </cell>
          <cell r="H2125">
            <v>2079.9899999999998</v>
          </cell>
          <cell r="I2125">
            <v>1449.99</v>
          </cell>
          <cell r="J2125">
            <v>1141.4698000000001</v>
          </cell>
          <cell r="K2125">
            <v>0</v>
          </cell>
          <cell r="L2125">
            <v>1141.4698000000001</v>
          </cell>
          <cell r="M2125">
            <v>0</v>
          </cell>
          <cell r="N2125">
            <v>1449.99</v>
          </cell>
          <cell r="O2125" t="str">
            <v/>
          </cell>
          <cell r="P2125">
            <v>0</v>
          </cell>
          <cell r="Q2125">
            <v>0.27028327862901003</v>
          </cell>
          <cell r="R2125">
            <v>0.27028327862901003</v>
          </cell>
          <cell r="S2125" t="e">
            <v>#VALUE!</v>
          </cell>
          <cell r="T2125" t="e">
            <v>#VALUE!</v>
          </cell>
        </row>
        <row r="2126">
          <cell r="A2126" t="str">
            <v>MDFC020017095Z</v>
          </cell>
          <cell r="B2126" t="str">
            <v>MKP000631005434</v>
          </cell>
          <cell r="C2126" t="str">
            <v/>
          </cell>
          <cell r="D2126" t="str">
            <v>Conjunto Escritório Home Office com Mesa Industrial + Gaveteiro Rustic/Branco Madesa</v>
          </cell>
          <cell r="E2126" t="str">
            <v>9423 + 3322</v>
          </cell>
          <cell r="F2126" t="str">
            <v>ESCRITÓRIO</v>
          </cell>
          <cell r="G2126" t="str">
            <v/>
          </cell>
          <cell r="H2126">
            <v>699.99</v>
          </cell>
          <cell r="I2126">
            <v>699.99</v>
          </cell>
          <cell r="J2126">
            <v>567.95540000000005</v>
          </cell>
          <cell r="K2126">
            <v>0</v>
          </cell>
          <cell r="L2126">
            <v>567.95540000000005</v>
          </cell>
          <cell r="M2126">
            <v>0</v>
          </cell>
          <cell r="N2126">
            <v>699.99</v>
          </cell>
          <cell r="O2126" t="str">
            <v/>
          </cell>
          <cell r="P2126">
            <v>0</v>
          </cell>
          <cell r="Q2126">
            <v>0.23247353577411201</v>
          </cell>
          <cell r="R2126">
            <v>0.23247353577411201</v>
          </cell>
          <cell r="S2126" t="e">
            <v>#VALUE!</v>
          </cell>
          <cell r="T2126" t="e">
            <v>#VALUE!</v>
          </cell>
        </row>
        <row r="2127">
          <cell r="A2127" t="str">
            <v>GRAG27000309</v>
          </cell>
          <cell r="B2127" t="str">
            <v>MKP000631004586</v>
          </cell>
          <cell r="C2127" t="str">
            <v/>
          </cell>
          <cell r="D2127" t="str">
            <v>Armário de Cozinha Completa 270cm Branco Agata Madesa 03</v>
          </cell>
          <cell r="E2127" t="str">
            <v>ÁGATA</v>
          </cell>
          <cell r="F2127" t="str">
            <v>COZINHA</v>
          </cell>
          <cell r="G2127" t="str">
            <v/>
          </cell>
          <cell r="H2127">
            <v>2199.9899999999998</v>
          </cell>
          <cell r="I2127">
            <v>2099.9899999999998</v>
          </cell>
          <cell r="J2127">
            <v>1695.8765000000001</v>
          </cell>
          <cell r="K2127">
            <v>0</v>
          </cell>
          <cell r="L2127">
            <v>1695.8765000000001</v>
          </cell>
          <cell r="M2127">
            <v>0</v>
          </cell>
          <cell r="N2127">
            <v>2099.9899999999998</v>
          </cell>
          <cell r="O2127" t="str">
            <v/>
          </cell>
          <cell r="P2127">
            <v>0</v>
          </cell>
          <cell r="Q2127">
            <v>0.23829182136788801</v>
          </cell>
          <cell r="R2127">
            <v>0.23829182136788801</v>
          </cell>
          <cell r="S2127" t="e">
            <v>#VALUE!</v>
          </cell>
          <cell r="T2127" t="e">
            <v>#VALUE!</v>
          </cell>
        </row>
        <row r="2128">
          <cell r="A2128" t="str">
            <v>GRGL3300029B</v>
          </cell>
          <cell r="B2128" t="str">
            <v>MKP000631000596</v>
          </cell>
          <cell r="C2128" t="str">
            <v/>
          </cell>
          <cell r="D2128" t="str">
            <v>Armário de Cozinha Completa 330cm Branco/Rustic Olimpia Madesa 02</v>
          </cell>
          <cell r="E2128" t="str">
            <v>OLIMPIA/GLAMY</v>
          </cell>
          <cell r="F2128" t="str">
            <v>COZINHA</v>
          </cell>
          <cell r="G2128" t="str">
            <v/>
          </cell>
          <cell r="H2128">
            <v>3999.99</v>
          </cell>
          <cell r="I2128">
            <v>3199.99</v>
          </cell>
          <cell r="J2128">
            <v>2578.0025999999998</v>
          </cell>
          <cell r="K2128">
            <v>0</v>
          </cell>
          <cell r="L2128">
            <v>2578.0025999999998</v>
          </cell>
          <cell r="M2128">
            <v>0</v>
          </cell>
          <cell r="N2128">
            <v>3199.99</v>
          </cell>
          <cell r="O2128" t="str">
            <v/>
          </cell>
          <cell r="P2128">
            <v>0</v>
          </cell>
          <cell r="Q2128">
            <v>0.241267173275931</v>
          </cell>
          <cell r="R2128">
            <v>0.241267173275931</v>
          </cell>
          <cell r="S2128" t="e">
            <v>#VALUE!</v>
          </cell>
          <cell r="T2128" t="e">
            <v>#VALUE!</v>
          </cell>
        </row>
        <row r="2129">
          <cell r="A2129" t="str">
            <v>G266076ETE</v>
          </cell>
          <cell r="B2129" t="str">
            <v>MKP000631002161</v>
          </cell>
          <cell r="C2129" t="str">
            <v/>
          </cell>
          <cell r="D2129" t="str">
            <v>Paneleiro Madesa Stella 60 cm 3 Portas Rustic/Branco</v>
          </cell>
          <cell r="E2129" t="str">
            <v>STELLA</v>
          </cell>
          <cell r="F2129" t="str">
            <v>MODULAÇÃO</v>
          </cell>
          <cell r="G2129" t="str">
            <v/>
          </cell>
          <cell r="H2129">
            <v>1219.99</v>
          </cell>
          <cell r="I2129">
            <v>819.99</v>
          </cell>
          <cell r="J2129">
            <v>520.87829999999997</v>
          </cell>
          <cell r="K2129">
            <v>0</v>
          </cell>
          <cell r="L2129">
            <v>520.87829999999997</v>
          </cell>
          <cell r="M2129">
            <v>0</v>
          </cell>
          <cell r="N2129">
            <v>819.99</v>
          </cell>
          <cell r="O2129" t="str">
            <v/>
          </cell>
          <cell r="P2129">
            <v>0</v>
          </cell>
          <cell r="Q2129">
            <v>0.57424488599352297</v>
          </cell>
          <cell r="R2129">
            <v>0.57424488599352297</v>
          </cell>
          <cell r="S2129" t="e">
            <v>#VALUE!</v>
          </cell>
          <cell r="T2129" t="e">
            <v>#VALUE!</v>
          </cell>
        </row>
        <row r="2130">
          <cell r="A2130" t="str">
            <v>G200277K</v>
          </cell>
          <cell r="B2130" t="str">
            <v>MKP000631005580</v>
          </cell>
          <cell r="C2130" t="str">
            <v/>
          </cell>
          <cell r="D2130" t="str">
            <v>Armário de Cozinha Compacta 120cm Rustic/Preto Life Madesa</v>
          </cell>
          <cell r="E2130" t="str">
            <v>LIFE</v>
          </cell>
          <cell r="F2130" t="str">
            <v>COZINHA</v>
          </cell>
          <cell r="G2130" t="str">
            <v/>
          </cell>
          <cell r="H2130">
            <v>469.99</v>
          </cell>
          <cell r="I2130">
            <v>469.99</v>
          </cell>
          <cell r="J2130">
            <v>338.08530000000002</v>
          </cell>
          <cell r="K2130">
            <v>0</v>
          </cell>
          <cell r="L2130">
            <v>338.08530000000002</v>
          </cell>
          <cell r="M2130">
            <v>0</v>
          </cell>
          <cell r="N2130">
            <v>469.99</v>
          </cell>
          <cell r="O2130" t="str">
            <v>MELI</v>
          </cell>
          <cell r="P2130">
            <v>533.33000000000004</v>
          </cell>
          <cell r="Q2130">
            <v>0.39015213024641998</v>
          </cell>
          <cell r="R2130">
            <v>0.39015213024641998</v>
          </cell>
          <cell r="S2130" t="e">
            <v>#VALUE!</v>
          </cell>
          <cell r="T2130" t="e">
            <v>#VALUE!</v>
          </cell>
        </row>
        <row r="2131">
          <cell r="A2131" t="str">
            <v>GCEM2610037K</v>
          </cell>
          <cell r="B2131" t="str">
            <v>MKP000631002199</v>
          </cell>
          <cell r="C2131" t="str">
            <v/>
          </cell>
          <cell r="D2131" t="str">
            <v>Armário de Cozinha Completa de Canto 261cm Rustic/Preto Emilly River Madesa 03</v>
          </cell>
          <cell r="E2131" t="str">
            <v>RIVER/EMILLY</v>
          </cell>
          <cell r="F2131" t="str">
            <v>COZINHA</v>
          </cell>
          <cell r="G2131" t="str">
            <v/>
          </cell>
          <cell r="H2131">
            <v>1859.99</v>
          </cell>
          <cell r="I2131">
            <v>1199.99</v>
          </cell>
          <cell r="J2131">
            <v>982.34069999999997</v>
          </cell>
          <cell r="K2131">
            <v>0</v>
          </cell>
          <cell r="L2131">
            <v>982.34069999999997</v>
          </cell>
          <cell r="M2131">
            <v>0</v>
          </cell>
          <cell r="N2131">
            <v>1199.99</v>
          </cell>
          <cell r="O2131" t="str">
            <v/>
          </cell>
          <cell r="P2131">
            <v>0</v>
          </cell>
          <cell r="Q2131">
            <v>0.22156192856511001</v>
          </cell>
          <cell r="R2131">
            <v>0.22156192856511001</v>
          </cell>
          <cell r="S2131" t="e">
            <v>#VALUE!</v>
          </cell>
          <cell r="T2131" t="e">
            <v>#VALUE!</v>
          </cell>
        </row>
        <row r="2132">
          <cell r="A2132" t="str">
            <v>GCGL3490026E</v>
          </cell>
          <cell r="B2132" t="str">
            <v>MKP000631004496</v>
          </cell>
          <cell r="C2132" t="str">
            <v/>
          </cell>
          <cell r="D2132" t="str">
            <v>Armário de Cozinha Completa de Canto 349cm Rustic Branco Glamy Madesa 02</v>
          </cell>
          <cell r="E2132" t="str">
            <v>GLAMY</v>
          </cell>
          <cell r="F2132" t="str">
            <v>COZINHA</v>
          </cell>
          <cell r="G2132" t="str">
            <v/>
          </cell>
          <cell r="H2132">
            <v>2499.9899999999998</v>
          </cell>
          <cell r="I2132">
            <v>2399.9899999999998</v>
          </cell>
          <cell r="J2132">
            <v>2025.4161999999999</v>
          </cell>
          <cell r="K2132">
            <v>0</v>
          </cell>
          <cell r="L2132">
            <v>2025.4161999999999</v>
          </cell>
          <cell r="M2132">
            <v>0</v>
          </cell>
          <cell r="N2132">
            <v>2399.9899999999998</v>
          </cell>
          <cell r="O2132" t="str">
            <v/>
          </cell>
          <cell r="P2132">
            <v>0</v>
          </cell>
          <cell r="Q2132">
            <v>0.18493670584840799</v>
          </cell>
          <cell r="R2132">
            <v>0.18493670584840799</v>
          </cell>
          <cell r="S2132" t="e">
            <v>#VALUE!</v>
          </cell>
          <cell r="T2132" t="e">
            <v>#VALUE!</v>
          </cell>
        </row>
        <row r="2133">
          <cell r="A2133" t="str">
            <v>MDJA0401175ZFLH</v>
          </cell>
          <cell r="B2133" t="str">
            <v>MKP000631004166</v>
          </cell>
          <cell r="C2133" t="str">
            <v/>
          </cell>
          <cell r="D2133" t="str">
            <v>Conjunto Sala de Jantar Madesa Paula Mesa Tampo de Vidro Redondo 4 Cadeiras Rustic/Hibiscos</v>
          </cell>
          <cell r="E2133" t="str">
            <v>PAULA</v>
          </cell>
          <cell r="F2133" t="str">
            <v>SALA DE JANTAR</v>
          </cell>
          <cell r="G2133" t="str">
            <v>4290X</v>
          </cell>
          <cell r="H2133">
            <v>869.99</v>
          </cell>
          <cell r="I2133">
            <v>769.99</v>
          </cell>
          <cell r="J2133">
            <v>616.90729999999996</v>
          </cell>
          <cell r="K2133">
            <v>0</v>
          </cell>
          <cell r="L2133">
            <v>616.90729999999996</v>
          </cell>
          <cell r="M2133">
            <v>0</v>
          </cell>
          <cell r="N2133">
            <v>769.99</v>
          </cell>
          <cell r="O2133" t="str">
            <v/>
          </cell>
          <cell r="P2133">
            <v>0</v>
          </cell>
          <cell r="Q2133">
            <v>0.24814538586267301</v>
          </cell>
          <cell r="R2133">
            <v>0.24814538586267301</v>
          </cell>
          <cell r="S2133" t="e">
            <v>#VALUE!</v>
          </cell>
          <cell r="T2133" t="e">
            <v>#VALUE!</v>
          </cell>
        </row>
        <row r="2134">
          <cell r="A2134" t="str">
            <v>10949B2G</v>
          </cell>
          <cell r="B2134" t="str">
            <v>MKP000631000772</v>
          </cell>
          <cell r="C2134" t="str">
            <v/>
          </cell>
          <cell r="D2134" t="str">
            <v>Guarda-Roupa Solteiro Madesa Dallas 2 Portas de Correr 2 Gavetas Branco/Rustic</v>
          </cell>
          <cell r="E2134" t="str">
            <v>DALLAS</v>
          </cell>
          <cell r="F2134" t="str">
            <v>QUARTO</v>
          </cell>
          <cell r="G2134" t="str">
            <v/>
          </cell>
          <cell r="H2134">
            <v>1159.99</v>
          </cell>
          <cell r="I2134">
            <v>729.99</v>
          </cell>
          <cell r="J2134">
            <v>563.84609999999998</v>
          </cell>
          <cell r="K2134">
            <v>0</v>
          </cell>
          <cell r="L2134">
            <v>563.84609999999998</v>
          </cell>
          <cell r="M2134">
            <v>0</v>
          </cell>
          <cell r="N2134">
            <v>729.99</v>
          </cell>
          <cell r="O2134" t="str">
            <v/>
          </cell>
          <cell r="P2134">
            <v>0</v>
          </cell>
          <cell r="Q2134">
            <v>0.29466178803045701</v>
          </cell>
          <cell r="R2134">
            <v>0.29466178803045701</v>
          </cell>
          <cell r="S2134" t="e">
            <v>#VALUE!</v>
          </cell>
          <cell r="T2134" t="e">
            <v>#VALUE!</v>
          </cell>
        </row>
        <row r="2135">
          <cell r="A2135" t="str">
            <v>XAGRGL290006C3</v>
          </cell>
          <cell r="B2135" t="str">
            <v>MKP000631003317</v>
          </cell>
          <cell r="C2135" t="str">
            <v/>
          </cell>
          <cell r="D2135" t="str">
            <v>Armário de Cozinha Completa 290cm Rustic/Preto Vicenza Madesa 06</v>
          </cell>
          <cell r="E2135" t="str">
            <v>VICENZA/GLAMY</v>
          </cell>
          <cell r="F2135" t="str">
            <v>COZINHA</v>
          </cell>
          <cell r="G2135" t="str">
            <v/>
          </cell>
          <cell r="H2135">
            <v>2599.9899999999998</v>
          </cell>
          <cell r="I2135">
            <v>2499.9899999999998</v>
          </cell>
          <cell r="J2135">
            <v>2094.1842999999999</v>
          </cell>
          <cell r="K2135">
            <v>0</v>
          </cell>
          <cell r="L2135">
            <v>2094.1842999999999</v>
          </cell>
          <cell r="M2135">
            <v>0</v>
          </cell>
          <cell r="N2135">
            <v>2499.9899999999998</v>
          </cell>
          <cell r="O2135" t="str">
            <v/>
          </cell>
          <cell r="P2135">
            <v>0</v>
          </cell>
          <cell r="Q2135">
            <v>0.193777453111457</v>
          </cell>
          <cell r="R2135">
            <v>0.193777453111457</v>
          </cell>
          <cell r="S2135" t="e">
            <v>#VALUE!</v>
          </cell>
          <cell r="T2135" t="e">
            <v>#VALUE!</v>
          </cell>
        </row>
        <row r="2136">
          <cell r="A2136" t="str">
            <v>GRSM30000209</v>
          </cell>
          <cell r="B2136" t="str">
            <v>MKP000631005726</v>
          </cell>
          <cell r="C2136" t="str">
            <v/>
          </cell>
          <cell r="D2136" t="str">
            <v>Armário de Cozinha Completa 100% MDF 300cm Branco Smart Madesa 02</v>
          </cell>
          <cell r="E2136" t="str">
            <v>SMART</v>
          </cell>
          <cell r="F2136" t="str">
            <v>COZINHA</v>
          </cell>
          <cell r="G2136" t="str">
            <v/>
          </cell>
          <cell r="H2136">
            <v>2499.9899999999998</v>
          </cell>
          <cell r="I2136">
            <v>2019.99</v>
          </cell>
          <cell r="J2136">
            <v>1648.9738</v>
          </cell>
          <cell r="K2136">
            <v>0</v>
          </cell>
          <cell r="L2136">
            <v>1648.9738</v>
          </cell>
          <cell r="M2136">
            <v>0</v>
          </cell>
          <cell r="N2136">
            <v>2019.99</v>
          </cell>
          <cell r="O2136" t="str">
            <v>MADEIRAMADEIRA</v>
          </cell>
          <cell r="P2136">
            <v>1999.99</v>
          </cell>
          <cell r="Q2136">
            <v>0.22499823829826801</v>
          </cell>
          <cell r="R2136">
            <v>0.22499823829826801</v>
          </cell>
          <cell r="S2136" t="e">
            <v>#VALUE!</v>
          </cell>
          <cell r="T2136" t="e">
            <v>#VALUE!</v>
          </cell>
        </row>
        <row r="2137">
          <cell r="A2137" t="str">
            <v>XAG241243BNCCT</v>
          </cell>
          <cell r="B2137" t="str">
            <v>MKP000631005975</v>
          </cell>
          <cell r="C2137" t="str">
            <v/>
          </cell>
          <cell r="D2137" t="str">
            <v>Balcão Gabinete de Pia Cozinha 3 Portas 1 Gaveta Com Pés Cinza Nice Madesa</v>
          </cell>
          <cell r="E2137" t="str">
            <v>NICE</v>
          </cell>
          <cell r="F2137" t="str">
            <v>MODULAÇÃO</v>
          </cell>
          <cell r="G2137" t="str">
            <v/>
          </cell>
          <cell r="H2137">
            <v>539.99</v>
          </cell>
          <cell r="I2137">
            <v>539.99</v>
          </cell>
          <cell r="J2137">
            <v>377.8485</v>
          </cell>
          <cell r="K2137">
            <v>0</v>
          </cell>
          <cell r="L2137">
            <v>377.8485</v>
          </cell>
          <cell r="M2137">
            <v>0</v>
          </cell>
          <cell r="N2137">
            <v>539.99</v>
          </cell>
          <cell r="O2137" t="str">
            <v/>
          </cell>
          <cell r="P2137">
            <v>0</v>
          </cell>
          <cell r="Q2137">
            <v>0.42911775486736098</v>
          </cell>
          <cell r="R2137">
            <v>0.42911775486736098</v>
          </cell>
          <cell r="S2137" t="e">
            <v>#VALUE!</v>
          </cell>
          <cell r="T2137" t="e">
            <v>#VALUE!</v>
          </cell>
        </row>
        <row r="2138">
          <cell r="A2138" t="str">
            <v>G246106EK</v>
          </cell>
          <cell r="B2138" t="str">
            <v>MKP000631002980</v>
          </cell>
          <cell r="C2138" t="str">
            <v/>
          </cell>
          <cell r="D2138" t="str">
            <v>Balcão Madesa Acordes 100% MDF 60 cm 3 Gavetas Branco/Rustic</v>
          </cell>
          <cell r="E2138" t="str">
            <v>ACORDES</v>
          </cell>
          <cell r="F2138" t="str">
            <v>MODULAÇÃO</v>
          </cell>
          <cell r="G2138" t="str">
            <v/>
          </cell>
          <cell r="H2138">
            <v>1019.99</v>
          </cell>
          <cell r="I2138">
            <v>619.99</v>
          </cell>
          <cell r="J2138">
            <v>404.4554</v>
          </cell>
          <cell r="K2138">
            <v>0</v>
          </cell>
          <cell r="L2138">
            <v>404.4554</v>
          </cell>
          <cell r="M2138">
            <v>0</v>
          </cell>
          <cell r="N2138">
            <v>619.99</v>
          </cell>
          <cell r="O2138" t="str">
            <v/>
          </cell>
          <cell r="P2138">
            <v>0</v>
          </cell>
          <cell r="Q2138">
            <v>0.53290078461061396</v>
          </cell>
          <cell r="R2138">
            <v>0.53290078461061396</v>
          </cell>
          <cell r="S2138" t="e">
            <v>#VALUE!</v>
          </cell>
          <cell r="T2138" t="e">
            <v>#VALUE!</v>
          </cell>
        </row>
        <row r="2139">
          <cell r="A2139" t="str">
            <v>G25702F8AG</v>
          </cell>
          <cell r="B2139" t="str">
            <v>MKP000631003435</v>
          </cell>
          <cell r="C2139" t="str">
            <v/>
          </cell>
          <cell r="D2139" t="str">
            <v>Armário Aéreo de Cozinha Madesa Agata 70 cm 1 Porta Basculante Branco/Cinza</v>
          </cell>
          <cell r="E2139" t="str">
            <v>ÁGATA</v>
          </cell>
          <cell r="F2139" t="str">
            <v>MODULAÇÃO</v>
          </cell>
          <cell r="G2139" t="str">
            <v/>
          </cell>
          <cell r="H2139">
            <v>549.99</v>
          </cell>
          <cell r="I2139">
            <v>259.99</v>
          </cell>
          <cell r="J2139">
            <v>156.62209999999999</v>
          </cell>
          <cell r="K2139">
            <v>0</v>
          </cell>
          <cell r="L2139">
            <v>156.62209999999999</v>
          </cell>
          <cell r="M2139">
            <v>0</v>
          </cell>
          <cell r="N2139">
            <v>259.99</v>
          </cell>
          <cell r="O2139" t="str">
            <v/>
          </cell>
          <cell r="P2139">
            <v>0</v>
          </cell>
          <cell r="Q2139">
            <v>0.65998285044064597</v>
          </cell>
          <cell r="R2139">
            <v>0.65998285044064597</v>
          </cell>
          <cell r="S2139" t="e">
            <v>#VALUE!</v>
          </cell>
          <cell r="T2139" t="e">
            <v>#VALUE!</v>
          </cell>
        </row>
        <row r="2140">
          <cell r="A2140" t="str">
            <v>G228009RLX</v>
          </cell>
          <cell r="B2140" t="str">
            <v>MKP000631003243</v>
          </cell>
          <cell r="C2140" t="str">
            <v/>
          </cell>
          <cell r="D2140" t="str">
            <v>Balcão Madesa Lux 80 cm 2 Portas (Sem Tampo) Branco/Cinza</v>
          </cell>
          <cell r="E2140" t="str">
            <v>LUX</v>
          </cell>
          <cell r="F2140" t="str">
            <v>MODULAÇÃO</v>
          </cell>
          <cell r="G2140" t="str">
            <v/>
          </cell>
          <cell r="H2140">
            <v>1099.99</v>
          </cell>
          <cell r="I2140">
            <v>879.99</v>
          </cell>
          <cell r="J2140">
            <v>488.62520000000001</v>
          </cell>
          <cell r="K2140">
            <v>0</v>
          </cell>
          <cell r="L2140">
            <v>488.62520000000001</v>
          </cell>
          <cell r="M2140">
            <v>0</v>
          </cell>
          <cell r="N2140">
            <v>879.99</v>
          </cell>
          <cell r="O2140" t="str">
            <v>LOJA</v>
          </cell>
          <cell r="P2140">
            <v>869.99</v>
          </cell>
          <cell r="Q2140">
            <v>0.80095091288783304</v>
          </cell>
          <cell r="R2140">
            <v>0.80095091288783304</v>
          </cell>
          <cell r="S2140" t="e">
            <v>#VALUE!</v>
          </cell>
          <cell r="T2140" t="e">
            <v>#VALUE!</v>
          </cell>
        </row>
        <row r="2141">
          <cell r="A2141" t="str">
            <v>GRLX180001H8</v>
          </cell>
          <cell r="B2141" t="str">
            <v>MKP000631003746</v>
          </cell>
          <cell r="C2141" t="str">
            <v/>
          </cell>
          <cell r="D2141" t="str">
            <v>Armário de Cozinha Compacta 180cm Rustic/Branco Veludo Lux Madesa 01</v>
          </cell>
          <cell r="E2141" t="str">
            <v>LUX</v>
          </cell>
          <cell r="F2141" t="str">
            <v>COZINHA</v>
          </cell>
          <cell r="G2141" t="str">
            <v/>
          </cell>
          <cell r="H2141">
            <v>2729.99</v>
          </cell>
          <cell r="I2141">
            <v>2619.9899999999998</v>
          </cell>
          <cell r="J2141">
            <v>1405.6967</v>
          </cell>
          <cell r="K2141">
            <v>0</v>
          </cell>
          <cell r="L2141">
            <v>1405.6967</v>
          </cell>
          <cell r="M2141">
            <v>0</v>
          </cell>
          <cell r="N2141">
            <v>2619.9899999999998</v>
          </cell>
          <cell r="O2141" t="str">
            <v>LOJA</v>
          </cell>
          <cell r="P2141">
            <v>2289.9899999999998</v>
          </cell>
          <cell r="Q2141">
            <v>0.86383734129844603</v>
          </cell>
          <cell r="R2141">
            <v>0.86383734129844603</v>
          </cell>
          <cell r="S2141" t="e">
            <v>#VALUE!</v>
          </cell>
          <cell r="T2141" t="e">
            <v>#VALUE!</v>
          </cell>
        </row>
        <row r="2142">
          <cell r="A2142" t="str">
            <v>G2560273GL</v>
          </cell>
          <cell r="B2142" t="str">
            <v>MKP000631001302</v>
          </cell>
          <cell r="C2142" t="str">
            <v/>
          </cell>
          <cell r="D2142" t="str">
            <v>Armário Aéreo Madesa Glamy 60 cm 1 Porta Basculante Branco/Preto</v>
          </cell>
          <cell r="E2142" t="str">
            <v>GLAMY</v>
          </cell>
          <cell r="F2142" t="str">
            <v>MODULAÇÃO</v>
          </cell>
          <cell r="G2142" t="str">
            <v/>
          </cell>
          <cell r="H2142">
            <v>369.99</v>
          </cell>
          <cell r="I2142">
            <v>249.99</v>
          </cell>
          <cell r="J2142">
            <v>158.20259999999999</v>
          </cell>
          <cell r="K2142">
            <v>0</v>
          </cell>
          <cell r="L2142">
            <v>158.20259999999999</v>
          </cell>
          <cell r="M2142">
            <v>0</v>
          </cell>
          <cell r="N2142">
            <v>249.99</v>
          </cell>
          <cell r="O2142" t="str">
            <v/>
          </cell>
          <cell r="P2142">
            <v>0</v>
          </cell>
          <cell r="Q2142">
            <v>0.58018894758998896</v>
          </cell>
          <cell r="R2142">
            <v>0.58018894758998896</v>
          </cell>
          <cell r="S2142" t="e">
            <v>#VALUE!</v>
          </cell>
          <cell r="T2142" t="e">
            <v>#VALUE!</v>
          </cell>
        </row>
        <row r="2143">
          <cell r="A2143" t="str">
            <v>XAMDFC02000209</v>
          </cell>
          <cell r="B2143" t="str">
            <v>MKP000631003383</v>
          </cell>
          <cell r="C2143" t="str">
            <v/>
          </cell>
          <cell r="D2143" t="str">
            <v>Mesa para Computador Gamer e Painel TV Madesa Branco</v>
          </cell>
          <cell r="E2143" t="str">
            <v>GAMER</v>
          </cell>
          <cell r="F2143" t="str">
            <v>ESCRITÓRIO</v>
          </cell>
          <cell r="G2143" t="str">
            <v/>
          </cell>
          <cell r="H2143">
            <v>859.99</v>
          </cell>
          <cell r="I2143">
            <v>599.99</v>
          </cell>
          <cell r="J2143">
            <v>434.67020000000002</v>
          </cell>
          <cell r="K2143">
            <v>0</v>
          </cell>
          <cell r="L2143">
            <v>434.67020000000002</v>
          </cell>
          <cell r="M2143">
            <v>0</v>
          </cell>
          <cell r="N2143">
            <v>599.99</v>
          </cell>
          <cell r="O2143" t="str">
            <v/>
          </cell>
          <cell r="P2143">
            <v>0</v>
          </cell>
          <cell r="Q2143">
            <v>0.380333871519142</v>
          </cell>
          <cell r="R2143">
            <v>0.380333871519142</v>
          </cell>
          <cell r="S2143" t="e">
            <v>#VALUE!</v>
          </cell>
          <cell r="T2143" t="e">
            <v>#VALUE!</v>
          </cell>
        </row>
        <row r="2144">
          <cell r="A2144" t="str">
            <v>GRGL12000273</v>
          </cell>
          <cell r="B2144" t="str">
            <v>MKP000631004614</v>
          </cell>
          <cell r="C2144" t="str">
            <v/>
          </cell>
          <cell r="D2144" t="str">
            <v>Armário de Cozinha Compacta 120cm Branco/Preto Glamy Madesa 02</v>
          </cell>
          <cell r="E2144" t="str">
            <v>GLAMY</v>
          </cell>
          <cell r="F2144" t="str">
            <v>COZINHA</v>
          </cell>
          <cell r="G2144" t="str">
            <v/>
          </cell>
          <cell r="H2144">
            <v>1099.99</v>
          </cell>
          <cell r="I2144">
            <v>999.99</v>
          </cell>
          <cell r="J2144">
            <v>849.92750000000001</v>
          </cell>
          <cell r="K2144">
            <v>0</v>
          </cell>
          <cell r="L2144">
            <v>849.92750000000001</v>
          </cell>
          <cell r="M2144">
            <v>0</v>
          </cell>
          <cell r="N2144">
            <v>999.99</v>
          </cell>
          <cell r="O2144" t="str">
            <v/>
          </cell>
          <cell r="P2144">
            <v>0</v>
          </cell>
          <cell r="Q2144">
            <v>0.17655917710628299</v>
          </cell>
          <cell r="R2144">
            <v>0.17655917710628299</v>
          </cell>
          <cell r="S2144" t="e">
            <v>#VALUE!</v>
          </cell>
          <cell r="T2144" t="e">
            <v>#VALUE!</v>
          </cell>
        </row>
        <row r="2145">
          <cell r="A2145" t="str">
            <v>GRGM27000809</v>
          </cell>
          <cell r="B2145" t="str">
            <v>MKP000631004335</v>
          </cell>
          <cell r="C2145" t="str">
            <v/>
          </cell>
          <cell r="D2145" t="str">
            <v>Armário de Cozinha Completa 100% MDF 270cm Frentes Branco Brilho Acordes Madesa 08</v>
          </cell>
          <cell r="E2145" t="str">
            <v>ACORDES</v>
          </cell>
          <cell r="F2145" t="str">
            <v>COZINHA</v>
          </cell>
          <cell r="G2145" t="str">
            <v/>
          </cell>
          <cell r="H2145">
            <v>1799.99</v>
          </cell>
          <cell r="I2145">
            <v>1699.99</v>
          </cell>
          <cell r="J2145">
            <v>1374.1521</v>
          </cell>
          <cell r="K2145">
            <v>0</v>
          </cell>
          <cell r="L2145">
            <v>1374.1521</v>
          </cell>
          <cell r="M2145">
            <v>0</v>
          </cell>
          <cell r="N2145">
            <v>1699.99</v>
          </cell>
          <cell r="O2145" t="str">
            <v/>
          </cell>
          <cell r="P2145">
            <v>0</v>
          </cell>
          <cell r="Q2145">
            <v>0.237119238838262</v>
          </cell>
          <cell r="R2145">
            <v>0.237119238838262</v>
          </cell>
          <cell r="S2145" t="e">
            <v>#VALUE!</v>
          </cell>
          <cell r="T2145" t="e">
            <v>#VALUE!</v>
          </cell>
        </row>
        <row r="2146">
          <cell r="A2146" t="str">
            <v>GRGM26000409</v>
          </cell>
          <cell r="B2146" t="str">
            <v>MKP000631004342</v>
          </cell>
          <cell r="C2146" t="str">
            <v/>
          </cell>
          <cell r="D2146" t="str">
            <v>Armário de Cozinha Completa 260cm 100% MDF Frentes Branco Brilho Acordes Madesa 04</v>
          </cell>
          <cell r="E2146" t="str">
            <v>ACORDES</v>
          </cell>
          <cell r="F2146" t="str">
            <v>COZINHA</v>
          </cell>
          <cell r="G2146" t="str">
            <v/>
          </cell>
          <cell r="H2146">
            <v>1699.99</v>
          </cell>
          <cell r="I2146">
            <v>1599.99</v>
          </cell>
          <cell r="J2146">
            <v>1266.8089</v>
          </cell>
          <cell r="K2146">
            <v>0</v>
          </cell>
          <cell r="L2146">
            <v>1266.8089</v>
          </cell>
          <cell r="M2146">
            <v>0</v>
          </cell>
          <cell r="N2146">
            <v>1599.99</v>
          </cell>
          <cell r="O2146" t="str">
            <v/>
          </cell>
          <cell r="P2146">
            <v>0</v>
          </cell>
          <cell r="Q2146">
            <v>0.26300817747649202</v>
          </cell>
          <cell r="R2146">
            <v>0.26300817747649202</v>
          </cell>
          <cell r="S2146" t="e">
            <v>#VALUE!</v>
          </cell>
          <cell r="T2146" t="e">
            <v>#VALUE!</v>
          </cell>
        </row>
        <row r="2147">
          <cell r="A2147" t="str">
            <v>GRAG2200017K</v>
          </cell>
          <cell r="B2147" t="str">
            <v>MKP000631005016</v>
          </cell>
          <cell r="C2147" t="str">
            <v/>
          </cell>
          <cell r="D2147" t="str">
            <v>Armário de Cozinha Completa 220cm Rustic/Preto Agata da Thêmis Madesa</v>
          </cell>
          <cell r="E2147" t="str">
            <v>ÁGATA</v>
          </cell>
          <cell r="F2147" t="str">
            <v>COZINHA</v>
          </cell>
          <cell r="G2147" t="str">
            <v/>
          </cell>
          <cell r="H2147">
            <v>2259.9899999999998</v>
          </cell>
          <cell r="I2147">
            <v>2199.9899999999998</v>
          </cell>
          <cell r="J2147">
            <v>1717.7963999999999</v>
          </cell>
          <cell r="K2147">
            <v>0</v>
          </cell>
          <cell r="L2147">
            <v>1717.7963999999999</v>
          </cell>
          <cell r="M2147">
            <v>0</v>
          </cell>
          <cell r="N2147">
            <v>2199.9899999999998</v>
          </cell>
          <cell r="O2147" t="str">
            <v/>
          </cell>
          <cell r="P2147">
            <v>0</v>
          </cell>
          <cell r="Q2147">
            <v>0.28070474475321999</v>
          </cell>
          <cell r="R2147">
            <v>0.28070474475321999</v>
          </cell>
          <cell r="S2147" t="e">
            <v>#VALUE!</v>
          </cell>
          <cell r="T2147" t="e">
            <v>#VALUE!</v>
          </cell>
        </row>
        <row r="2148">
          <cell r="A2148" t="str">
            <v>G241537GAG</v>
          </cell>
          <cell r="B2148" t="str">
            <v>MKP000631005370</v>
          </cell>
          <cell r="C2148" t="str">
            <v/>
          </cell>
          <cell r="D2148" t="str">
            <v>Balcão de Pia 150 cm 2 Portas e 2 Gavetas (Sem Tampo e Pia) Rustic/Crema Agata Madesa</v>
          </cell>
          <cell r="E2148" t="str">
            <v>ÁGATA</v>
          </cell>
          <cell r="F2148" t="str">
            <v>MODULAÇÃO</v>
          </cell>
          <cell r="G2148" t="str">
            <v/>
          </cell>
          <cell r="H2148">
            <v>719.99</v>
          </cell>
          <cell r="I2148">
            <v>619.99</v>
          </cell>
          <cell r="J2148">
            <v>424.2389</v>
          </cell>
          <cell r="K2148">
            <v>0</v>
          </cell>
          <cell r="L2148">
            <v>424.2389</v>
          </cell>
          <cell r="M2148">
            <v>0</v>
          </cell>
          <cell r="N2148">
            <v>619.99</v>
          </cell>
          <cell r="O2148" t="str">
            <v/>
          </cell>
          <cell r="P2148">
            <v>0</v>
          </cell>
          <cell r="Q2148">
            <v>0.46141714020095798</v>
          </cell>
          <cell r="R2148">
            <v>0.46141714020095798</v>
          </cell>
          <cell r="S2148" t="e">
            <v>#VALUE!</v>
          </cell>
          <cell r="T2148" t="e">
            <v>#VALUE!</v>
          </cell>
        </row>
        <row r="2149">
          <cell r="A2149" t="str">
            <v>G258046ETE</v>
          </cell>
          <cell r="B2149" t="str">
            <v>MKP000631002149</v>
          </cell>
          <cell r="C2149" t="str">
            <v/>
          </cell>
          <cell r="D2149" t="str">
            <v>Armário Aéreo Madesa Stella 80 cm 1 Porta Basculante Rustic/Branco</v>
          </cell>
          <cell r="E2149" t="str">
            <v>STELLA</v>
          </cell>
          <cell r="F2149" t="str">
            <v>MODULAÇÃO</v>
          </cell>
          <cell r="G2149" t="str">
            <v/>
          </cell>
          <cell r="H2149">
            <v>369.99</v>
          </cell>
          <cell r="I2149">
            <v>279.99</v>
          </cell>
          <cell r="J2149">
            <v>165.22219999999999</v>
          </cell>
          <cell r="K2149">
            <v>0</v>
          </cell>
          <cell r="L2149">
            <v>165.22219999999999</v>
          </cell>
          <cell r="M2149">
            <v>0</v>
          </cell>
          <cell r="N2149">
            <v>279.99</v>
          </cell>
          <cell r="O2149" t="str">
            <v/>
          </cell>
          <cell r="P2149">
            <v>0</v>
          </cell>
          <cell r="Q2149">
            <v>0.69462699322488097</v>
          </cell>
          <cell r="R2149">
            <v>0.69462699322488097</v>
          </cell>
          <cell r="S2149" t="e">
            <v>#VALUE!</v>
          </cell>
          <cell r="T2149" t="e">
            <v>#VALUE!</v>
          </cell>
        </row>
        <row r="2150">
          <cell r="A2150" t="str">
            <v>G2412009GLCT</v>
          </cell>
          <cell r="B2150" t="str">
            <v>MKP000631003114</v>
          </cell>
          <cell r="C2150" t="str">
            <v/>
          </cell>
          <cell r="D2150" t="str">
            <v>Balcão de Pia Madesa Glamy 120 cm 2 Portas (Com Tampo) Branco</v>
          </cell>
          <cell r="E2150" t="str">
            <v>GLAMY</v>
          </cell>
          <cell r="F2150" t="str">
            <v>MODULAÇÃO</v>
          </cell>
          <cell r="G2150" t="str">
            <v/>
          </cell>
          <cell r="H2150">
            <v>1149.99</v>
          </cell>
          <cell r="I2150">
            <v>619.99</v>
          </cell>
          <cell r="J2150">
            <v>467.7081</v>
          </cell>
          <cell r="K2150">
            <v>0</v>
          </cell>
          <cell r="L2150">
            <v>467.7081</v>
          </cell>
          <cell r="M2150">
            <v>0</v>
          </cell>
          <cell r="N2150">
            <v>619.99</v>
          </cell>
          <cell r="O2150" t="str">
            <v/>
          </cell>
          <cell r="P2150">
            <v>0</v>
          </cell>
          <cell r="Q2150">
            <v>0.32559175263374801</v>
          </cell>
          <cell r="R2150">
            <v>0.32559175263374801</v>
          </cell>
          <cell r="S2150" t="e">
            <v>#VALUE!</v>
          </cell>
          <cell r="T2150" t="e">
            <v>#VALUE!</v>
          </cell>
        </row>
        <row r="2151">
          <cell r="A2151" t="str">
            <v>G25153F9AG</v>
          </cell>
          <cell r="B2151" t="str">
            <v>MKP000631004432</v>
          </cell>
          <cell r="C2151" t="str">
            <v/>
          </cell>
          <cell r="D2151" t="str">
            <v>Armário Aéreo Madesa Agata 150 cm 2 Portas e 2 Nichos Rustic/Cinza</v>
          </cell>
          <cell r="E2151" t="str">
            <v>ÁGATA</v>
          </cell>
          <cell r="F2151" t="str">
            <v>MODULAÇÃO</v>
          </cell>
          <cell r="G2151" t="str">
            <v/>
          </cell>
          <cell r="H2151">
            <v>939.99</v>
          </cell>
          <cell r="I2151">
            <v>579.99</v>
          </cell>
          <cell r="J2151">
            <v>339.77480000000003</v>
          </cell>
          <cell r="K2151">
            <v>0</v>
          </cell>
          <cell r="L2151">
            <v>339.77480000000003</v>
          </cell>
          <cell r="M2151">
            <v>0</v>
          </cell>
          <cell r="N2151">
            <v>579.99</v>
          </cell>
          <cell r="O2151" t="str">
            <v/>
          </cell>
          <cell r="P2151">
            <v>0</v>
          </cell>
          <cell r="Q2151">
            <v>0.70698356676245599</v>
          </cell>
          <cell r="R2151">
            <v>0.70698356676245599</v>
          </cell>
          <cell r="S2151" t="e">
            <v>#VALUE!</v>
          </cell>
          <cell r="T2151" t="e">
            <v>#VALUE!</v>
          </cell>
        </row>
        <row r="2152">
          <cell r="A2152" t="str">
            <v>1118773E</v>
          </cell>
          <cell r="B2152" t="str">
            <v>MKP000631002686</v>
          </cell>
          <cell r="C2152" t="str">
            <v/>
          </cell>
          <cell r="D2152" t="str">
            <v>Guarda-Roupa Casal Madesa Istambul 3 Portas de Correr de Espelho 3 Gavetas Preto/Branco</v>
          </cell>
          <cell r="E2152" t="str">
            <v>ISTAMBUL</v>
          </cell>
          <cell r="F2152" t="str">
            <v>QUARTO</v>
          </cell>
          <cell r="G2152" t="str">
            <v/>
          </cell>
          <cell r="H2152">
            <v>2589.9899999999998</v>
          </cell>
          <cell r="I2152">
            <v>2099.9899999999998</v>
          </cell>
          <cell r="J2152">
            <v>1766.2687000000001</v>
          </cell>
          <cell r="K2152">
            <v>0</v>
          </cell>
          <cell r="L2152">
            <v>1766.2687000000001</v>
          </cell>
          <cell r="M2152">
            <v>0</v>
          </cell>
          <cell r="N2152">
            <v>2099.9899999999998</v>
          </cell>
          <cell r="O2152" t="str">
            <v/>
          </cell>
          <cell r="P2152">
            <v>0</v>
          </cell>
          <cell r="Q2152">
            <v>0.18894141078308199</v>
          </cell>
          <cell r="R2152">
            <v>0.18894141078308199</v>
          </cell>
          <cell r="S2152" t="e">
            <v>#VALUE!</v>
          </cell>
          <cell r="T2152" t="e">
            <v>#VALUE!</v>
          </cell>
        </row>
        <row r="2153">
          <cell r="A2153" t="str">
            <v>GRGL2700105Z</v>
          </cell>
          <cell r="B2153" t="str">
            <v>MKP000631004219</v>
          </cell>
          <cell r="C2153" t="str">
            <v/>
          </cell>
          <cell r="D2153" t="str">
            <v>Armário de Cozinha Completa 270cm Rustic Glamy Madesa 10</v>
          </cell>
          <cell r="E2153" t="str">
            <v>GLAMY</v>
          </cell>
          <cell r="F2153" t="str">
            <v>COZINHA</v>
          </cell>
          <cell r="G2153" t="str">
            <v/>
          </cell>
          <cell r="H2153">
            <v>2199.9899999999998</v>
          </cell>
          <cell r="I2153">
            <v>2099.9899999999998</v>
          </cell>
          <cell r="J2153">
            <v>1752.7309</v>
          </cell>
          <cell r="K2153">
            <v>0</v>
          </cell>
          <cell r="L2153">
            <v>1752.7309</v>
          </cell>
          <cell r="M2153">
            <v>0</v>
          </cell>
          <cell r="N2153">
            <v>2099.9899999999998</v>
          </cell>
          <cell r="O2153" t="str">
            <v/>
          </cell>
          <cell r="P2153">
            <v>0</v>
          </cell>
          <cell r="Q2153">
            <v>0.198124595167461</v>
          </cell>
          <cell r="R2153">
            <v>0.198124595167461</v>
          </cell>
          <cell r="S2153" t="e">
            <v>#VALUE!</v>
          </cell>
          <cell r="T2153" t="e">
            <v>#VALUE!</v>
          </cell>
        </row>
        <row r="2154">
          <cell r="A2154" t="str">
            <v>G251216ETE</v>
          </cell>
          <cell r="B2154" t="str">
            <v>MKP000631002144</v>
          </cell>
          <cell r="C2154" t="str">
            <v/>
          </cell>
          <cell r="D2154" t="str">
            <v>Armário Aéreo Madesa Stella 120 cm 2 Portas Rustic/Branco</v>
          </cell>
          <cell r="E2154" t="str">
            <v>STELLA</v>
          </cell>
          <cell r="F2154" t="str">
            <v>MODULAÇÃO</v>
          </cell>
          <cell r="G2154" t="str">
            <v/>
          </cell>
          <cell r="H2154">
            <v>819.99</v>
          </cell>
          <cell r="I2154">
            <v>479.99</v>
          </cell>
          <cell r="J2154">
            <v>310.49740000000003</v>
          </cell>
          <cell r="K2154">
            <v>0</v>
          </cell>
          <cell r="L2154">
            <v>310.49740000000003</v>
          </cell>
          <cell r="M2154">
            <v>0</v>
          </cell>
          <cell r="N2154">
            <v>479.99</v>
          </cell>
          <cell r="O2154" t="str">
            <v/>
          </cell>
          <cell r="P2154">
            <v>0</v>
          </cell>
          <cell r="Q2154">
            <v>0.54587445820802405</v>
          </cell>
          <cell r="R2154">
            <v>0.54587445820802405</v>
          </cell>
          <cell r="S2154" t="e">
            <v>#VALUE!</v>
          </cell>
          <cell r="T2154" t="e">
            <v>#VALUE!</v>
          </cell>
        </row>
        <row r="2155">
          <cell r="A2155" t="str">
            <v>MDJA0401547GSIM</v>
          </cell>
          <cell r="B2155" t="str">
            <v>MKP000631005364</v>
          </cell>
          <cell r="C2155" t="str">
            <v/>
          </cell>
          <cell r="D2155" t="str">
            <v>Conjunto Sala de Jantar Mesa Tampo de Madeira 4 Cadeiras Rustic/Crema/Imperial Keila Madesa</v>
          </cell>
          <cell r="E2155" t="str">
            <v>KEILA</v>
          </cell>
          <cell r="F2155" t="str">
            <v>SALA DE JANTAR</v>
          </cell>
          <cell r="G2155">
            <v>4255</v>
          </cell>
          <cell r="H2155">
            <v>1149.99</v>
          </cell>
          <cell r="I2155">
            <v>1049.99</v>
          </cell>
          <cell r="J2155">
            <v>803.80960000000005</v>
          </cell>
          <cell r="K2155">
            <v>0</v>
          </cell>
          <cell r="L2155">
            <v>803.80960000000005</v>
          </cell>
          <cell r="M2155">
            <v>0</v>
          </cell>
          <cell r="N2155">
            <v>1049.99</v>
          </cell>
          <cell r="O2155" t="str">
            <v/>
          </cell>
          <cell r="P2155">
            <v>0</v>
          </cell>
          <cell r="Q2155">
            <v>0.30626705627800399</v>
          </cell>
          <cell r="R2155">
            <v>0.30626705627800399</v>
          </cell>
          <cell r="S2155" t="e">
            <v>#VALUE!</v>
          </cell>
          <cell r="T2155" t="e">
            <v>#VALUE!</v>
          </cell>
        </row>
        <row r="2156">
          <cell r="A2156" t="str">
            <v>11188N2E</v>
          </cell>
          <cell r="B2156" t="str">
            <v>MKP000631002676</v>
          </cell>
          <cell r="C2156" t="str">
            <v/>
          </cell>
          <cell r="D2156" t="str">
            <v>Guarda-Roupa Casal Madesa Istambul 3 Portas de Correr com Espelhos 3 Gavetas Preto</v>
          </cell>
          <cell r="E2156" t="str">
            <v>ISTAMBUL</v>
          </cell>
          <cell r="F2156" t="str">
            <v>QUARTO</v>
          </cell>
          <cell r="G2156" t="str">
            <v/>
          </cell>
          <cell r="H2156">
            <v>2869.99</v>
          </cell>
          <cell r="I2156">
            <v>1869.99</v>
          </cell>
          <cell r="J2156">
            <v>1565.7304999999999</v>
          </cell>
          <cell r="K2156">
            <v>0</v>
          </cell>
          <cell r="L2156">
            <v>1565.7304999999999</v>
          </cell>
          <cell r="M2156">
            <v>0</v>
          </cell>
          <cell r="N2156">
            <v>1869.99</v>
          </cell>
          <cell r="O2156" t="str">
            <v/>
          </cell>
          <cell r="P2156">
            <v>0</v>
          </cell>
          <cell r="Q2156">
            <v>0.194324310601345</v>
          </cell>
          <cell r="R2156">
            <v>0.194324310601345</v>
          </cell>
          <cell r="S2156" t="e">
            <v>#VALUE!</v>
          </cell>
          <cell r="T2156" t="e">
            <v>#VALUE!</v>
          </cell>
        </row>
        <row r="2157">
          <cell r="A2157" t="str">
            <v>94235Z</v>
          </cell>
          <cell r="B2157" t="str">
            <v>MKP000631005275</v>
          </cell>
          <cell r="C2157" t="str">
            <v/>
          </cell>
          <cell r="D2157" t="str">
            <v>Mesa de Escritório Industrial 120cm Rustic Madesa</v>
          </cell>
          <cell r="E2157">
            <v>9423</v>
          </cell>
          <cell r="F2157" t="str">
            <v>ESCRITÓRIO</v>
          </cell>
          <cell r="G2157" t="str">
            <v/>
          </cell>
          <cell r="H2157">
            <v>539.99</v>
          </cell>
          <cell r="I2157">
            <v>399.99</v>
          </cell>
          <cell r="J2157">
            <v>320.20929999999998</v>
          </cell>
          <cell r="K2157">
            <v>0</v>
          </cell>
          <cell r="L2157">
            <v>320.20929999999998</v>
          </cell>
          <cell r="M2157">
            <v>0</v>
          </cell>
          <cell r="N2157">
            <v>399.99</v>
          </cell>
          <cell r="O2157" t="str">
            <v/>
          </cell>
          <cell r="P2157">
            <v>0</v>
          </cell>
          <cell r="Q2157">
            <v>0.24915172669875599</v>
          </cell>
          <cell r="R2157">
            <v>0.24915172669875599</v>
          </cell>
          <cell r="S2157" t="e">
            <v>#VALUE!</v>
          </cell>
          <cell r="T2157" t="e">
            <v>#VALUE!</v>
          </cell>
        </row>
        <row r="2158">
          <cell r="A2158" t="str">
            <v>G257025ZTE</v>
          </cell>
          <cell r="B2158" t="str">
            <v>MKP000631003487</v>
          </cell>
          <cell r="C2158" t="str">
            <v/>
          </cell>
          <cell r="D2158" t="str">
            <v>Armário Aéreo de Cozinha Madesa Stella 70 cm 1 Porta Basculante Rustic</v>
          </cell>
          <cell r="E2158" t="str">
            <v>STELLA</v>
          </cell>
          <cell r="F2158" t="str">
            <v>MODULAÇÃO</v>
          </cell>
          <cell r="G2158" t="str">
            <v/>
          </cell>
          <cell r="H2158">
            <v>399.99</v>
          </cell>
          <cell r="I2158">
            <v>249.99</v>
          </cell>
          <cell r="J2158">
            <v>159.66319999999999</v>
          </cell>
          <cell r="K2158">
            <v>0</v>
          </cell>
          <cell r="L2158">
            <v>159.66319999999999</v>
          </cell>
          <cell r="M2158">
            <v>0</v>
          </cell>
          <cell r="N2158">
            <v>249.99</v>
          </cell>
          <cell r="O2158" t="str">
            <v/>
          </cell>
          <cell r="P2158">
            <v>0</v>
          </cell>
          <cell r="Q2158">
            <v>0.56573336874119995</v>
          </cell>
          <cell r="R2158">
            <v>0.56573336874119995</v>
          </cell>
          <cell r="S2158" t="e">
            <v>#VALUE!</v>
          </cell>
          <cell r="T2158" t="e">
            <v>#VALUE!</v>
          </cell>
        </row>
        <row r="2159">
          <cell r="A2159" t="str">
            <v>GCGL32900209</v>
          </cell>
          <cell r="B2159" t="str">
            <v>MKP000631004510</v>
          </cell>
          <cell r="C2159" t="str">
            <v/>
          </cell>
          <cell r="D2159" t="str">
            <v>Armário de Cozinha Completa de Canto 329cm Branco Glamy Madesa 02</v>
          </cell>
          <cell r="E2159" t="str">
            <v>GLAMY</v>
          </cell>
          <cell r="F2159" t="str">
            <v>COZINHA</v>
          </cell>
          <cell r="G2159" t="str">
            <v/>
          </cell>
          <cell r="H2159">
            <v>2299.9899999999998</v>
          </cell>
          <cell r="I2159">
            <v>2199.9899999999998</v>
          </cell>
          <cell r="J2159">
            <v>1895.2592999999999</v>
          </cell>
          <cell r="K2159">
            <v>0</v>
          </cell>
          <cell r="L2159">
            <v>1895.2592999999999</v>
          </cell>
          <cell r="M2159">
            <v>0</v>
          </cell>
          <cell r="N2159">
            <v>2199.9899999999998</v>
          </cell>
          <cell r="O2159" t="str">
            <v/>
          </cell>
          <cell r="P2159">
            <v>0</v>
          </cell>
          <cell r="Q2159">
            <v>0.160785756334239</v>
          </cell>
          <cell r="R2159">
            <v>0.160785756334239</v>
          </cell>
          <cell r="S2159" t="e">
            <v>#VALUE!</v>
          </cell>
          <cell r="T2159" t="e">
            <v>#VALUE!</v>
          </cell>
        </row>
        <row r="2160">
          <cell r="A2160" t="str">
            <v>MDDR0300017K</v>
          </cell>
          <cell r="B2160" t="str">
            <v>MKP000631005979</v>
          </cell>
          <cell r="C2160" t="str">
            <v/>
          </cell>
          <cell r="D2160" t="str">
            <v>Guarda-Roupa Closet Modulado Valencia 2 Gavetas 188cm Rustic/Preto Madesa 01</v>
          </cell>
          <cell r="E2160" t="str">
            <v>VALENCIA</v>
          </cell>
          <cell r="F2160" t="str">
            <v>QUARTO</v>
          </cell>
          <cell r="G2160" t="str">
            <v/>
          </cell>
          <cell r="H2160">
            <v>999.99</v>
          </cell>
          <cell r="I2160">
            <v>899.99</v>
          </cell>
          <cell r="J2160">
            <v>721.73260000000005</v>
          </cell>
          <cell r="K2160">
            <v>0</v>
          </cell>
          <cell r="L2160">
            <v>721.73260000000005</v>
          </cell>
          <cell r="M2160">
            <v>0</v>
          </cell>
          <cell r="N2160">
            <v>899.99</v>
          </cell>
          <cell r="O2160" t="str">
            <v>MADEIRAMADEIRA</v>
          </cell>
          <cell r="P2160">
            <v>879.99</v>
          </cell>
          <cell r="Q2160">
            <v>0.24698537934963699</v>
          </cell>
          <cell r="R2160">
            <v>0.24698537934963699</v>
          </cell>
          <cell r="S2160" t="e">
            <v>#VALUE!</v>
          </cell>
          <cell r="T2160" t="e">
            <v>#VALUE!</v>
          </cell>
        </row>
        <row r="2161">
          <cell r="A2161" t="str">
            <v>GRAG33000109</v>
          </cell>
          <cell r="B2161" t="str">
            <v>MKP000631004714</v>
          </cell>
          <cell r="C2161" t="str">
            <v/>
          </cell>
          <cell r="D2161" t="str">
            <v>Armário de Cozinha Completa 330cm Branco Agata Madesa 01</v>
          </cell>
          <cell r="E2161" t="str">
            <v>ÁGATA</v>
          </cell>
          <cell r="F2161" t="str">
            <v>COZINHA</v>
          </cell>
          <cell r="G2161" t="str">
            <v/>
          </cell>
          <cell r="H2161">
            <v>2499.9899999999998</v>
          </cell>
          <cell r="I2161">
            <v>2299.9899999999998</v>
          </cell>
          <cell r="J2161">
            <v>1902.4641999999999</v>
          </cell>
          <cell r="K2161">
            <v>0</v>
          </cell>
          <cell r="L2161">
            <v>1902.4641999999999</v>
          </cell>
          <cell r="M2161">
            <v>0</v>
          </cell>
          <cell r="N2161">
            <v>2299.9899999999998</v>
          </cell>
          <cell r="O2161" t="str">
            <v/>
          </cell>
          <cell r="P2161">
            <v>0</v>
          </cell>
          <cell r="Q2161">
            <v>0.208953104084691</v>
          </cell>
          <cell r="R2161">
            <v>0.208953104084691</v>
          </cell>
          <cell r="S2161" t="e">
            <v>#VALUE!</v>
          </cell>
          <cell r="T2161" t="e">
            <v>#VALUE!</v>
          </cell>
        </row>
        <row r="2162">
          <cell r="A2162" t="str">
            <v>XC1063771B</v>
          </cell>
          <cell r="B2162" t="str">
            <v>MKP000631003107</v>
          </cell>
          <cell r="C2162" t="str">
            <v/>
          </cell>
          <cell r="D2162" t="str">
            <v>Guarda-Roupa Casal 100% MDF Madesa Zurique 3 Portas de Correr Preto/Preto/Branco</v>
          </cell>
          <cell r="E2162" t="str">
            <v>ZURIQUE</v>
          </cell>
          <cell r="F2162" t="str">
            <v>QUARTO</v>
          </cell>
          <cell r="G2162" t="str">
            <v/>
          </cell>
          <cell r="H2162">
            <v>2469.9899999999998</v>
          </cell>
          <cell r="I2162">
            <v>1899.99</v>
          </cell>
          <cell r="J2162">
            <v>1551.3534</v>
          </cell>
          <cell r="K2162">
            <v>0</v>
          </cell>
          <cell r="L2162">
            <v>1551.3534</v>
          </cell>
          <cell r="M2162">
            <v>0</v>
          </cell>
          <cell r="N2162">
            <v>1899.99</v>
          </cell>
          <cell r="O2162" t="str">
            <v/>
          </cell>
          <cell r="P2162">
            <v>0</v>
          </cell>
          <cell r="Q2162">
            <v>0.22473061263797101</v>
          </cell>
          <cell r="R2162">
            <v>0.22473061263797101</v>
          </cell>
          <cell r="S2162" t="e">
            <v>#VALUE!</v>
          </cell>
          <cell r="T2162" t="e">
            <v>#VALUE!</v>
          </cell>
        </row>
        <row r="2163">
          <cell r="A2163" t="str">
            <v>G266076EGL</v>
          </cell>
          <cell r="B2163" t="str">
            <v>MKP000631000855</v>
          </cell>
          <cell r="C2163" t="str">
            <v/>
          </cell>
          <cell r="D2163" t="str">
            <v>Paneleiro Madesa Glamy 60 cm 3 Portas Rustic/Branco</v>
          </cell>
          <cell r="E2163" t="str">
            <v>GLAMY</v>
          </cell>
          <cell r="F2163" t="str">
            <v>MODULAÇÃO</v>
          </cell>
          <cell r="G2163" t="str">
            <v/>
          </cell>
          <cell r="H2163">
            <v>1279.99</v>
          </cell>
          <cell r="I2163">
            <v>849.99</v>
          </cell>
          <cell r="J2163">
            <v>545.34879999999998</v>
          </cell>
          <cell r="K2163">
            <v>0</v>
          </cell>
          <cell r="L2163">
            <v>545.34879999999998</v>
          </cell>
          <cell r="M2163">
            <v>0</v>
          </cell>
          <cell r="N2163">
            <v>849.99</v>
          </cell>
          <cell r="O2163" t="str">
            <v/>
          </cell>
          <cell r="P2163">
            <v>0</v>
          </cell>
          <cell r="Q2163">
            <v>0.55861716391417804</v>
          </cell>
          <cell r="R2163">
            <v>0.55861716391417804</v>
          </cell>
          <cell r="S2163" t="e">
            <v>#VALUE!</v>
          </cell>
          <cell r="T2163" t="e">
            <v>#VALUE!</v>
          </cell>
        </row>
        <row r="2164">
          <cell r="A2164" t="str">
            <v>G253507KAG</v>
          </cell>
          <cell r="B2164" t="str">
            <v>MKP000631003066</v>
          </cell>
          <cell r="C2164" t="str">
            <v/>
          </cell>
          <cell r="D2164" t="str">
            <v>Armário Aéreo Madesa Agata 35 cm 1 Porta Rustic/Preto</v>
          </cell>
          <cell r="E2164" t="str">
            <v>ÁGATA</v>
          </cell>
          <cell r="F2164" t="str">
            <v>MODULAÇÃO</v>
          </cell>
          <cell r="G2164" t="str">
            <v/>
          </cell>
          <cell r="H2164">
            <v>409.99</v>
          </cell>
          <cell r="I2164">
            <v>289.99</v>
          </cell>
          <cell r="J2164">
            <v>162.33369999999999</v>
          </cell>
          <cell r="K2164">
            <v>0</v>
          </cell>
          <cell r="L2164">
            <v>162.33369999999999</v>
          </cell>
          <cell r="M2164">
            <v>0</v>
          </cell>
          <cell r="N2164">
            <v>289.99</v>
          </cell>
          <cell r="O2164" t="str">
            <v/>
          </cell>
          <cell r="P2164">
            <v>0</v>
          </cell>
          <cell r="Q2164">
            <v>0.786382002011905</v>
          </cell>
          <cell r="R2164">
            <v>0.786382002011905</v>
          </cell>
          <cell r="S2164" t="e">
            <v>#VALUE!</v>
          </cell>
          <cell r="T2164" t="e">
            <v>#VALUE!</v>
          </cell>
        </row>
        <row r="2165">
          <cell r="A2165" t="str">
            <v>XC1063732E</v>
          </cell>
          <cell r="B2165" t="str">
            <v>MKP000631003129</v>
          </cell>
          <cell r="C2165" t="str">
            <v/>
          </cell>
          <cell r="D2165" t="str">
            <v>Guarda-Roupa Casal 100% MDF Madesa Zurique 3 Portas de Correr com Espelhos Branco/Preto</v>
          </cell>
          <cell r="E2165" t="str">
            <v>ZURIQUE</v>
          </cell>
          <cell r="F2165" t="str">
            <v>QUARTO</v>
          </cell>
          <cell r="G2165" t="str">
            <v/>
          </cell>
          <cell r="H2165">
            <v>3189.99</v>
          </cell>
          <cell r="I2165">
            <v>2399.9899999999998</v>
          </cell>
          <cell r="J2165">
            <v>2033.8746000000001</v>
          </cell>
          <cell r="K2165">
            <v>0</v>
          </cell>
          <cell r="L2165">
            <v>2033.8746000000001</v>
          </cell>
          <cell r="M2165">
            <v>0</v>
          </cell>
          <cell r="N2165">
            <v>2399.9899999999998</v>
          </cell>
          <cell r="O2165" t="str">
            <v/>
          </cell>
          <cell r="P2165">
            <v>0</v>
          </cell>
          <cell r="Q2165">
            <v>0.180008836336321</v>
          </cell>
          <cell r="R2165">
            <v>0.180008836336321</v>
          </cell>
          <cell r="S2165" t="e">
            <v>#VALUE!</v>
          </cell>
          <cell r="T2165" t="e">
            <v>#VALUE!</v>
          </cell>
        </row>
        <row r="2166">
          <cell r="A2166" t="str">
            <v>GRGL30000109SR</v>
          </cell>
          <cell r="B2166" t="str">
            <v>MKP000631001020</v>
          </cell>
          <cell r="C2166" t="str">
            <v/>
          </cell>
          <cell r="D2166" t="str">
            <v>Armário de Cozinha Completa 300cm Branco Verona Madesa 01SR</v>
          </cell>
          <cell r="E2166" t="str">
            <v>VERONA/GLAMY</v>
          </cell>
          <cell r="F2166" t="str">
            <v>COZINHA</v>
          </cell>
          <cell r="G2166" t="str">
            <v/>
          </cell>
          <cell r="H2166">
            <v>2999.99</v>
          </cell>
          <cell r="I2166">
            <v>2399.9899999999998</v>
          </cell>
          <cell r="J2166">
            <v>2019.9553000000001</v>
          </cell>
          <cell r="K2166">
            <v>0</v>
          </cell>
          <cell r="L2166">
            <v>2019.9553000000001</v>
          </cell>
          <cell r="M2166">
            <v>0</v>
          </cell>
          <cell r="N2166">
            <v>2399.9899999999998</v>
          </cell>
          <cell r="O2166" t="str">
            <v/>
          </cell>
          <cell r="P2166">
            <v>0</v>
          </cell>
          <cell r="Q2166">
            <v>0.188140153398444</v>
          </cell>
          <cell r="R2166">
            <v>0.188140153398444</v>
          </cell>
          <cell r="S2166" t="e">
            <v>#VALUE!</v>
          </cell>
          <cell r="T2166" t="e">
            <v>#VALUE!</v>
          </cell>
        </row>
        <row r="2167">
          <cell r="A2167" t="str">
            <v>GRGL220002A9</v>
          </cell>
          <cell r="B2167" t="str">
            <v>MKP000631001401</v>
          </cell>
          <cell r="C2167" t="str">
            <v/>
          </cell>
          <cell r="D2167" t="str">
            <v>Armário de Cozinha Completa 220cm Branco/Rustic/Crema Parma Madesa 02</v>
          </cell>
          <cell r="E2167" t="str">
            <v>PARMA/GLAMY</v>
          </cell>
          <cell r="F2167" t="str">
            <v>COZINHA</v>
          </cell>
          <cell r="G2167" t="str">
            <v/>
          </cell>
          <cell r="H2167">
            <v>1969.99</v>
          </cell>
          <cell r="I2167">
            <v>1869.99</v>
          </cell>
          <cell r="J2167">
            <v>1558.7654</v>
          </cell>
          <cell r="K2167">
            <v>0</v>
          </cell>
          <cell r="L2167">
            <v>1558.7654</v>
          </cell>
          <cell r="M2167">
            <v>0</v>
          </cell>
          <cell r="N2167">
            <v>1869.99</v>
          </cell>
          <cell r="O2167" t="str">
            <v/>
          </cell>
          <cell r="P2167">
            <v>0</v>
          </cell>
          <cell r="Q2167">
            <v>0.199660962451438</v>
          </cell>
          <cell r="R2167">
            <v>0.199660962451438</v>
          </cell>
          <cell r="S2167" t="e">
            <v>#VALUE!</v>
          </cell>
          <cell r="T2167" t="e">
            <v>#VALUE!</v>
          </cell>
        </row>
        <row r="2168">
          <cell r="A2168" t="str">
            <v>1018773E</v>
          </cell>
          <cell r="B2168" t="str">
            <v>MKP000631002387</v>
          </cell>
          <cell r="C2168" t="str">
            <v/>
          </cell>
          <cell r="D2168" t="str">
            <v>Guarda-Roupa Casal Madesa Kansas 3 Portas de Correr de Espelho 3 Gavetas Preto/Branco</v>
          </cell>
          <cell r="E2168" t="str">
            <v>KANSAS</v>
          </cell>
          <cell r="F2168" t="str">
            <v>QUARTO</v>
          </cell>
          <cell r="G2168" t="str">
            <v/>
          </cell>
          <cell r="H2168">
            <v>2389.9899999999998</v>
          </cell>
          <cell r="I2168">
            <v>1849.99</v>
          </cell>
          <cell r="J2168">
            <v>1523.3404</v>
          </cell>
          <cell r="K2168">
            <v>0</v>
          </cell>
          <cell r="L2168">
            <v>1523.3404</v>
          </cell>
          <cell r="M2168">
            <v>0</v>
          </cell>
          <cell r="N2168">
            <v>1849.99</v>
          </cell>
          <cell r="O2168" t="str">
            <v/>
          </cell>
          <cell r="P2168">
            <v>0</v>
          </cell>
          <cell r="Q2168">
            <v>0.21442981489888899</v>
          </cell>
          <cell r="R2168">
            <v>0.21442981489888899</v>
          </cell>
          <cell r="S2168" t="e">
            <v>#VALUE!</v>
          </cell>
          <cell r="T2168" t="e">
            <v>#VALUE!</v>
          </cell>
        </row>
        <row r="2169">
          <cell r="A2169" t="str">
            <v>104409A-2E</v>
          </cell>
          <cell r="B2169" t="str">
            <v>MKP000631000135</v>
          </cell>
          <cell r="C2169" t="str">
            <v/>
          </cell>
          <cell r="D2169" t="str">
            <v>Guarda-Roupa Solteiro Madesa Luke 2 Portas de Correr de Espelho Branco</v>
          </cell>
          <cell r="E2169" t="str">
            <v>LUKE</v>
          </cell>
          <cell r="F2169" t="str">
            <v>QUARTO</v>
          </cell>
          <cell r="G2169" t="str">
            <v/>
          </cell>
          <cell r="H2169">
            <v>1699.99</v>
          </cell>
          <cell r="I2169">
            <v>1099.99</v>
          </cell>
          <cell r="J2169">
            <v>845.73099999999999</v>
          </cell>
          <cell r="K2169">
            <v>0</v>
          </cell>
          <cell r="L2169">
            <v>845.73099999999999</v>
          </cell>
          <cell r="M2169">
            <v>0</v>
          </cell>
          <cell r="N2169">
            <v>1099.99</v>
          </cell>
          <cell r="O2169" t="str">
            <v/>
          </cell>
          <cell r="P2169" t="e">
            <v>#VALUE!</v>
          </cell>
          <cell r="Q2169">
            <v>0.30063814617177298</v>
          </cell>
          <cell r="R2169">
            <v>0.30063814617177298</v>
          </cell>
          <cell r="S2169" t="e">
            <v>#VALUE!</v>
          </cell>
          <cell r="T2169" t="e">
            <v>#VALUE!</v>
          </cell>
        </row>
        <row r="2170">
          <cell r="A2170" t="str">
            <v>G25602H7LX</v>
          </cell>
          <cell r="B2170" t="str">
            <v>MKP000631004767</v>
          </cell>
          <cell r="C2170" t="str">
            <v/>
          </cell>
          <cell r="D2170" t="str">
            <v>Armário Aéreo Madesa Lux 60 cm 1 Porta Basculante Branco/Branco Veludo</v>
          </cell>
          <cell r="E2170" t="str">
            <v>LUX</v>
          </cell>
          <cell r="F2170" t="str">
            <v>MODULAÇÃO</v>
          </cell>
          <cell r="G2170" t="str">
            <v/>
          </cell>
          <cell r="H2170">
            <v>499.99</v>
          </cell>
          <cell r="I2170">
            <v>299.99</v>
          </cell>
          <cell r="J2170">
            <v>169.5059</v>
          </cell>
          <cell r="K2170">
            <v>0</v>
          </cell>
          <cell r="L2170">
            <v>169.5059</v>
          </cell>
          <cell r="M2170">
            <v>0</v>
          </cell>
          <cell r="N2170">
            <v>299.99</v>
          </cell>
          <cell r="O2170" t="str">
            <v>LOJA</v>
          </cell>
          <cell r="P2170">
            <v>289.99</v>
          </cell>
          <cell r="Q2170">
            <v>0.76979090403342898</v>
          </cell>
          <cell r="R2170">
            <v>0.76979090403342898</v>
          </cell>
          <cell r="S2170" t="e">
            <v>#VALUE!</v>
          </cell>
          <cell r="T2170" t="e">
            <v>#VALUE!</v>
          </cell>
        </row>
        <row r="2171">
          <cell r="A2171" t="str">
            <v>G241249BGL</v>
          </cell>
          <cell r="B2171" t="str">
            <v>MKP000631000484</v>
          </cell>
          <cell r="C2171" t="str">
            <v/>
          </cell>
          <cell r="D2171" t="str">
            <v>Balcão Gabinete de Pia Madesa Glamy 120 cm 2 Portas e 3 Gavetas (Sem Tampo e Pia) Branco/Rustic</v>
          </cell>
          <cell r="E2171" t="str">
            <v>GLAMY</v>
          </cell>
          <cell r="F2171" t="str">
            <v>MODULAÇÃO</v>
          </cell>
          <cell r="G2171" t="str">
            <v/>
          </cell>
          <cell r="H2171">
            <v>1279.99</v>
          </cell>
          <cell r="I2171">
            <v>719.99</v>
          </cell>
          <cell r="J2171">
            <v>557.96010000000001</v>
          </cell>
          <cell r="K2171">
            <v>0</v>
          </cell>
          <cell r="L2171">
            <v>557.96010000000001</v>
          </cell>
          <cell r="M2171">
            <v>0</v>
          </cell>
          <cell r="N2171">
            <v>719.99</v>
          </cell>
          <cell r="O2171" t="str">
            <v/>
          </cell>
          <cell r="P2171">
            <v>0</v>
          </cell>
          <cell r="Q2171">
            <v>0.29039692981630799</v>
          </cell>
          <cell r="R2171">
            <v>0.29039692981630799</v>
          </cell>
          <cell r="S2171" t="e">
            <v>#VALUE!</v>
          </cell>
          <cell r="T2171" t="e">
            <v>#VALUE!</v>
          </cell>
        </row>
        <row r="2172">
          <cell r="A2172" t="str">
            <v>MDDR02003809</v>
          </cell>
          <cell r="B2172" t="str">
            <v>MKP000631005004</v>
          </cell>
          <cell r="C2172" t="str">
            <v/>
          </cell>
          <cell r="D2172" t="str">
            <v>Kit com 2 Mesas de Cabeceira Brancas 1 Gaveta 3235 Madesa</v>
          </cell>
          <cell r="E2172">
            <v>3235</v>
          </cell>
          <cell r="F2172" t="str">
            <v>QUARTO</v>
          </cell>
          <cell r="G2172" t="str">
            <v/>
          </cell>
          <cell r="H2172">
            <v>379.99</v>
          </cell>
          <cell r="I2172">
            <v>349.99</v>
          </cell>
          <cell r="J2172">
            <v>235.33099999999999</v>
          </cell>
          <cell r="K2172">
            <v>0</v>
          </cell>
          <cell r="L2172">
            <v>235.33099999999999</v>
          </cell>
          <cell r="M2172">
            <v>0</v>
          </cell>
          <cell r="N2172">
            <v>349.99</v>
          </cell>
          <cell r="O2172" t="str">
            <v/>
          </cell>
          <cell r="P2172">
            <v>0</v>
          </cell>
          <cell r="Q2172">
            <v>0.48722437757881498</v>
          </cell>
          <cell r="R2172">
            <v>0.48722437757881498</v>
          </cell>
          <cell r="S2172" t="e">
            <v>#VALUE!</v>
          </cell>
          <cell r="T2172" t="e">
            <v>#VALUE!</v>
          </cell>
        </row>
        <row r="2173">
          <cell r="A2173" t="str">
            <v>XCGRRM26000109</v>
          </cell>
          <cell r="B2173" t="str">
            <v>MKP000631004133</v>
          </cell>
          <cell r="C2173" t="str">
            <v/>
          </cell>
          <cell r="D2173" t="str">
            <v>Armário de Cozinha Completa 260cm Branco Reims Madesa XC01</v>
          </cell>
          <cell r="E2173" t="str">
            <v>REIMS</v>
          </cell>
          <cell r="F2173" t="str">
            <v>COZINHA</v>
          </cell>
          <cell r="G2173" t="str">
            <v/>
          </cell>
          <cell r="H2173">
            <v>1669.99</v>
          </cell>
          <cell r="I2173">
            <v>1299.99</v>
          </cell>
          <cell r="J2173">
            <v>1068.8104000000001</v>
          </cell>
          <cell r="K2173">
            <v>0</v>
          </cell>
          <cell r="L2173">
            <v>1068.8104000000001</v>
          </cell>
          <cell r="M2173">
            <v>0</v>
          </cell>
          <cell r="N2173">
            <v>1299.99</v>
          </cell>
          <cell r="O2173" t="str">
            <v>AMAZON</v>
          </cell>
          <cell r="P2173">
            <v>1199.99</v>
          </cell>
          <cell r="Q2173">
            <v>0.216296173764776</v>
          </cell>
          <cell r="R2173">
            <v>0.216296173764776</v>
          </cell>
          <cell r="S2173" t="e">
            <v>#VALUE!</v>
          </cell>
          <cell r="T2173" t="e">
            <v>#VALUE!</v>
          </cell>
        </row>
        <row r="2174">
          <cell r="A2174" t="str">
            <v>GCAG499001F9</v>
          </cell>
          <cell r="B2174" t="str">
            <v>MKP000631005617</v>
          </cell>
          <cell r="C2174" t="str">
            <v/>
          </cell>
          <cell r="D2174" t="str">
            <v>Armário de Cozinha Planejada de Canto 499cm Rustic/Cinza Agata Madesa 01</v>
          </cell>
          <cell r="E2174" t="str">
            <v>ÁGATA</v>
          </cell>
          <cell r="F2174" t="str">
            <v>COZINHA</v>
          </cell>
          <cell r="G2174" t="str">
            <v/>
          </cell>
          <cell r="H2174">
            <v>4199.99</v>
          </cell>
          <cell r="I2174">
            <v>4099.99</v>
          </cell>
          <cell r="J2174">
            <v>3274.9268000000002</v>
          </cell>
          <cell r="K2174">
            <v>0</v>
          </cell>
          <cell r="L2174">
            <v>3274.9268000000002</v>
          </cell>
          <cell r="M2174">
            <v>0</v>
          </cell>
          <cell r="N2174">
            <v>4099.99</v>
          </cell>
          <cell r="O2174" t="str">
            <v/>
          </cell>
          <cell r="P2174">
            <v>0</v>
          </cell>
          <cell r="Q2174">
            <v>0.25193332565478999</v>
          </cell>
          <cell r="R2174">
            <v>0.25193332565478999</v>
          </cell>
          <cell r="S2174" t="e">
            <v>#VALUE!</v>
          </cell>
          <cell r="T2174" t="e">
            <v>#VALUE!</v>
          </cell>
        </row>
        <row r="2175">
          <cell r="A2175" t="str">
            <v>GRGL3100016E</v>
          </cell>
          <cell r="B2175" t="str">
            <v>MKP000631004364</v>
          </cell>
          <cell r="C2175" t="str">
            <v/>
          </cell>
          <cell r="D2175" t="str">
            <v>Armário de Cozinha Completa 310cm Rustic Branco Glamy Madesa 01</v>
          </cell>
          <cell r="E2175" t="str">
            <v>GLAMY</v>
          </cell>
          <cell r="F2175" t="str">
            <v>COZINHA</v>
          </cell>
          <cell r="G2175" t="str">
            <v/>
          </cell>
          <cell r="H2175">
            <v>2579.9</v>
          </cell>
          <cell r="I2175">
            <v>2469.9899999999998</v>
          </cell>
          <cell r="J2175">
            <v>2041.7117000000001</v>
          </cell>
          <cell r="K2175">
            <v>0</v>
          </cell>
          <cell r="L2175">
            <v>2041.7117000000001</v>
          </cell>
          <cell r="M2175">
            <v>0</v>
          </cell>
          <cell r="N2175">
            <v>2469.9899999999998</v>
          </cell>
          <cell r="O2175" t="str">
            <v/>
          </cell>
          <cell r="P2175">
            <v>0</v>
          </cell>
          <cell r="Q2175">
            <v>0.20976433646337</v>
          </cell>
          <cell r="R2175">
            <v>0.20976433646337</v>
          </cell>
          <cell r="S2175" t="e">
            <v>#VALUE!</v>
          </cell>
          <cell r="T2175" t="e">
            <v>#VALUE!</v>
          </cell>
        </row>
        <row r="2176">
          <cell r="A2176" t="str">
            <v>GREM2290125Z</v>
          </cell>
          <cell r="B2176" t="str">
            <v>MKP000631005517</v>
          </cell>
          <cell r="C2176" t="str">
            <v/>
          </cell>
          <cell r="D2176" t="str">
            <v>Armário de Cozinha Compacta 229cm com Pia Rustic Emilly Madesa 12</v>
          </cell>
          <cell r="E2176" t="str">
            <v>EMILLY</v>
          </cell>
          <cell r="F2176" t="str">
            <v>COZINHA</v>
          </cell>
          <cell r="G2176" t="str">
            <v/>
          </cell>
          <cell r="H2176">
            <v>1339.99</v>
          </cell>
          <cell r="I2176">
            <v>1239.99</v>
          </cell>
          <cell r="J2176">
            <v>991.74739999999997</v>
          </cell>
          <cell r="K2176">
            <v>0</v>
          </cell>
          <cell r="L2176">
            <v>991.74739999999997</v>
          </cell>
          <cell r="M2176">
            <v>0</v>
          </cell>
          <cell r="N2176">
            <v>1239.99</v>
          </cell>
          <cell r="O2176" t="str">
            <v/>
          </cell>
          <cell r="P2176">
            <v>0</v>
          </cell>
          <cell r="Q2176">
            <v>0.25030829422895401</v>
          </cell>
          <cell r="R2176">
            <v>0.25030829422895401</v>
          </cell>
          <cell r="S2176" t="e">
            <v>#VALUE!</v>
          </cell>
          <cell r="T2176" t="e">
            <v>#VALUE!</v>
          </cell>
        </row>
        <row r="2177">
          <cell r="A2177" t="str">
            <v>MDES020021D8D8</v>
          </cell>
          <cell r="B2177" t="str">
            <v>MKP000631001879</v>
          </cell>
          <cell r="C2177" t="str">
            <v/>
          </cell>
          <cell r="D2177" t="str">
            <v>Rack Madesa Cancun com Pés e Painel para TV até 58 Polegadas Preto/Rustic D8D8</v>
          </cell>
          <cell r="E2177" t="str">
            <v>CANCUN</v>
          </cell>
          <cell r="F2177" t="str">
            <v>SALA DE ESTAR</v>
          </cell>
          <cell r="G2177" t="str">
            <v/>
          </cell>
          <cell r="H2177">
            <v>979.99</v>
          </cell>
          <cell r="I2177">
            <v>469.99</v>
          </cell>
          <cell r="J2177">
            <v>382.90609999999998</v>
          </cell>
          <cell r="K2177">
            <v>0</v>
          </cell>
          <cell r="L2177">
            <v>382.90609999999998</v>
          </cell>
          <cell r="M2177">
            <v>0</v>
          </cell>
          <cell r="N2177">
            <v>469.99</v>
          </cell>
          <cell r="O2177" t="str">
            <v/>
          </cell>
          <cell r="P2177">
            <v>0</v>
          </cell>
          <cell r="Q2177">
            <v>0.22742886571929799</v>
          </cell>
          <cell r="R2177">
            <v>0.22742886571929799</v>
          </cell>
          <cell r="S2177" t="e">
            <v>#VALUE!</v>
          </cell>
          <cell r="T2177" t="e">
            <v>#VALUE!</v>
          </cell>
        </row>
        <row r="2178">
          <cell r="A2178" t="str">
            <v>GCEM5130017K</v>
          </cell>
          <cell r="B2178" t="str">
            <v>MKP000631000445</v>
          </cell>
          <cell r="C2178" t="str">
            <v/>
          </cell>
          <cell r="D2178" t="str">
            <v>Armário de Cozinha Completa de Canto 513cm Rustic/Preto Emilly Live Madesa 01</v>
          </cell>
          <cell r="E2178" t="str">
            <v>LIVE/EMILLY</v>
          </cell>
          <cell r="F2178" t="str">
            <v>COZINHA</v>
          </cell>
          <cell r="G2178" t="str">
            <v/>
          </cell>
          <cell r="H2178">
            <v>2499.9899999999998</v>
          </cell>
          <cell r="I2178">
            <v>1769.99</v>
          </cell>
          <cell r="J2178">
            <v>1399.5382</v>
          </cell>
          <cell r="K2178">
            <v>0</v>
          </cell>
          <cell r="L2178">
            <v>1399.5382</v>
          </cell>
          <cell r="M2178">
            <v>0</v>
          </cell>
          <cell r="N2178">
            <v>1769.99</v>
          </cell>
          <cell r="O2178" t="str">
            <v/>
          </cell>
          <cell r="P2178">
            <v>0</v>
          </cell>
          <cell r="Q2178">
            <v>0.264695740352067</v>
          </cell>
          <cell r="R2178">
            <v>0.264695740352067</v>
          </cell>
          <cell r="S2178" t="e">
            <v>#VALUE!</v>
          </cell>
          <cell r="T2178" t="e">
            <v>#VALUE!</v>
          </cell>
        </row>
        <row r="2179">
          <cell r="A2179" t="str">
            <v>G241246EGL</v>
          </cell>
          <cell r="B2179" t="str">
            <v>MKP000631000014</v>
          </cell>
          <cell r="C2179" t="str">
            <v/>
          </cell>
          <cell r="D2179" t="str">
            <v>Balcão Gabinete de Pia Madesa Glamy 120 cm 2 Portas e 3 Gavetas (Sem Tampo e Pia) Rustic/Branco</v>
          </cell>
          <cell r="E2179" t="str">
            <v>GLAMY</v>
          </cell>
          <cell r="F2179" t="str">
            <v>MODULAÇÃO</v>
          </cell>
          <cell r="G2179" t="str">
            <v/>
          </cell>
          <cell r="H2179">
            <v>1279.99</v>
          </cell>
          <cell r="I2179">
            <v>719.99</v>
          </cell>
          <cell r="J2179">
            <v>557.96010000000001</v>
          </cell>
          <cell r="K2179">
            <v>0</v>
          </cell>
          <cell r="L2179">
            <v>557.96010000000001</v>
          </cell>
          <cell r="M2179">
            <v>0</v>
          </cell>
          <cell r="N2179">
            <v>719.99</v>
          </cell>
          <cell r="O2179" t="str">
            <v/>
          </cell>
          <cell r="P2179">
            <v>0</v>
          </cell>
          <cell r="Q2179">
            <v>0.29039692981630799</v>
          </cell>
          <cell r="R2179">
            <v>0.29039692981630799</v>
          </cell>
          <cell r="S2179" t="e">
            <v>#VALUE!</v>
          </cell>
          <cell r="T2179" t="e">
            <v>#VALUE!</v>
          </cell>
        </row>
        <row r="2180">
          <cell r="A2180" t="str">
            <v>G241207KGL</v>
          </cell>
          <cell r="B2180" t="str">
            <v>MKP000631001134</v>
          </cell>
          <cell r="C2180" t="str">
            <v/>
          </cell>
          <cell r="D2180" t="str">
            <v>Balcão Gabinete de Pia Madesa Glamy 120 cm 2 Portas (Sem Tampo e Pia) Rustic/Preto</v>
          </cell>
          <cell r="E2180" t="str">
            <v>GLAMY</v>
          </cell>
          <cell r="F2180" t="str">
            <v>MODULAÇÃO</v>
          </cell>
          <cell r="G2180" t="str">
            <v/>
          </cell>
          <cell r="H2180">
            <v>949.99</v>
          </cell>
          <cell r="I2180">
            <v>499.99</v>
          </cell>
          <cell r="J2180">
            <v>377.00920000000002</v>
          </cell>
          <cell r="K2180">
            <v>0</v>
          </cell>
          <cell r="L2180">
            <v>377.00920000000002</v>
          </cell>
          <cell r="M2180">
            <v>0</v>
          </cell>
          <cell r="N2180">
            <v>499.99</v>
          </cell>
          <cell r="O2180" t="str">
            <v/>
          </cell>
          <cell r="P2180">
            <v>0</v>
          </cell>
          <cell r="Q2180">
            <v>0.32620105822351297</v>
          </cell>
          <cell r="R2180">
            <v>0.32620105822351297</v>
          </cell>
          <cell r="S2180" t="e">
            <v>#VALUE!</v>
          </cell>
          <cell r="T2180" t="e">
            <v>#VALUE!</v>
          </cell>
        </row>
        <row r="2181">
          <cell r="A2181" t="str">
            <v>G2412073GLCT</v>
          </cell>
          <cell r="B2181" t="str">
            <v>MKP000631003115</v>
          </cell>
          <cell r="C2181" t="str">
            <v/>
          </cell>
          <cell r="D2181" t="str">
            <v>Balcão de Pia Madesa Glamy 120 cm 2 Portas (Com Tampo) Branco/Preto</v>
          </cell>
          <cell r="E2181" t="str">
            <v>GLAMY</v>
          </cell>
          <cell r="F2181" t="str">
            <v>MODULAÇÃO</v>
          </cell>
          <cell r="G2181" t="str">
            <v/>
          </cell>
          <cell r="H2181">
            <v>1149.99</v>
          </cell>
          <cell r="I2181">
            <v>619.99</v>
          </cell>
          <cell r="J2181">
            <v>467.7081</v>
          </cell>
          <cell r="K2181">
            <v>0</v>
          </cell>
          <cell r="L2181">
            <v>467.7081</v>
          </cell>
          <cell r="M2181">
            <v>0</v>
          </cell>
          <cell r="N2181">
            <v>619.99</v>
          </cell>
          <cell r="O2181" t="str">
            <v/>
          </cell>
          <cell r="P2181">
            <v>0</v>
          </cell>
          <cell r="Q2181">
            <v>0.32559175263374801</v>
          </cell>
          <cell r="R2181">
            <v>0.32559175263374801</v>
          </cell>
          <cell r="S2181" t="e">
            <v>#VALUE!</v>
          </cell>
          <cell r="T2181" t="e">
            <v>#VALUE!</v>
          </cell>
        </row>
        <row r="2182">
          <cell r="A2182" t="str">
            <v>GCAG4790017K</v>
          </cell>
          <cell r="B2182" t="str">
            <v>MKP000631004523</v>
          </cell>
          <cell r="C2182" t="str">
            <v/>
          </cell>
          <cell r="D2182" t="str">
            <v>Armário de Cozinha Completa de Canto 479cm Rustic Preto Agata Madesa 01</v>
          </cell>
          <cell r="E2182" t="str">
            <v>ÁGATA</v>
          </cell>
          <cell r="F2182" t="str">
            <v>COZINHA</v>
          </cell>
          <cell r="G2182" t="str">
            <v/>
          </cell>
          <cell r="H2182">
            <v>4069.99</v>
          </cell>
          <cell r="I2182">
            <v>3579.99</v>
          </cell>
          <cell r="J2182">
            <v>2881.8182999999999</v>
          </cell>
          <cell r="K2182">
            <v>0</v>
          </cell>
          <cell r="L2182">
            <v>2881.8182999999999</v>
          </cell>
          <cell r="M2182">
            <v>0</v>
          </cell>
          <cell r="N2182">
            <v>3579.99</v>
          </cell>
          <cell r="O2182" t="str">
            <v/>
          </cell>
          <cell r="P2182">
            <v>0</v>
          </cell>
          <cell r="Q2182">
            <v>0.24226777239911301</v>
          </cell>
          <cell r="R2182">
            <v>0.24226777239911301</v>
          </cell>
          <cell r="S2182" t="e">
            <v>#VALUE!</v>
          </cell>
          <cell r="T2182" t="e">
            <v>#VALUE!</v>
          </cell>
        </row>
        <row r="2183">
          <cell r="A2183" t="str">
            <v>MDJA0401857KOXF</v>
          </cell>
          <cell r="B2183" t="str">
            <v>MKP000631006053</v>
          </cell>
          <cell r="C2183" t="str">
            <v/>
          </cell>
          <cell r="D2183" t="str">
            <v>Conjunto Sala de Jantar Mesa Tampo de Vidro 4 Cadeiras Rustic/Preto/Oxford Avril Madesa</v>
          </cell>
          <cell r="E2183" t="str">
            <v>AVRIL</v>
          </cell>
          <cell r="F2183" t="str">
            <v>SALA DE JANTAR</v>
          </cell>
          <cell r="G2183">
            <v>4255</v>
          </cell>
          <cell r="H2183">
            <v>1529.99</v>
          </cell>
          <cell r="I2183">
            <v>1429.99</v>
          </cell>
          <cell r="J2183">
            <v>1063.6656</v>
          </cell>
          <cell r="K2183">
            <v>0</v>
          </cell>
          <cell r="L2183">
            <v>1063.6656</v>
          </cell>
          <cell r="M2183">
            <v>0</v>
          </cell>
          <cell r="N2183">
            <v>1429.99</v>
          </cell>
          <cell r="O2183" t="str">
            <v>MADEIRAMADEIRA</v>
          </cell>
          <cell r="P2183">
            <v>1399.99</v>
          </cell>
          <cell r="Q2183">
            <v>0.34439808902346702</v>
          </cell>
          <cell r="R2183">
            <v>0.34439808902346702</v>
          </cell>
          <cell r="S2183" t="e">
            <v>#VALUE!</v>
          </cell>
          <cell r="T2183" t="e">
            <v>#VALUE!</v>
          </cell>
        </row>
        <row r="2184">
          <cell r="A2184" t="str">
            <v>MDFC0200018N</v>
          </cell>
          <cell r="B2184" t="str">
            <v>MKP000631002340</v>
          </cell>
          <cell r="C2184" t="str">
            <v/>
          </cell>
          <cell r="D2184" t="str">
            <v>Mesa para Computador Gamer Madesa 9409 e Painel para TV até 50 Polegadas Preto</v>
          </cell>
          <cell r="E2184" t="str">
            <v>GAMER</v>
          </cell>
          <cell r="F2184" t="str">
            <v>ESCRITÓRIO</v>
          </cell>
          <cell r="G2184" t="str">
            <v/>
          </cell>
          <cell r="H2184">
            <v>999.99</v>
          </cell>
          <cell r="I2184">
            <v>459.99</v>
          </cell>
          <cell r="J2184">
            <v>340.625</v>
          </cell>
          <cell r="K2184">
            <v>0</v>
          </cell>
          <cell r="L2184">
            <v>340.625</v>
          </cell>
          <cell r="M2184">
            <v>0</v>
          </cell>
          <cell r="N2184">
            <v>459.99</v>
          </cell>
          <cell r="O2184" t="str">
            <v/>
          </cell>
          <cell r="P2184">
            <v>0</v>
          </cell>
          <cell r="Q2184">
            <v>0.35042935779816498</v>
          </cell>
          <cell r="R2184">
            <v>0.35042935779816498</v>
          </cell>
          <cell r="S2184" t="e">
            <v>#VALUE!</v>
          </cell>
          <cell r="T2184" t="e">
            <v>#VALUE!</v>
          </cell>
        </row>
        <row r="2185">
          <cell r="A2185" t="str">
            <v>GRLX24000573</v>
          </cell>
          <cell r="B2185" t="str">
            <v>MKP000631004849</v>
          </cell>
          <cell r="C2185" t="str">
            <v/>
          </cell>
          <cell r="D2185" t="str">
            <v>Armário de Cozinha Completa 240cm Branco/Preto Lux Madesa 05</v>
          </cell>
          <cell r="E2185" t="str">
            <v>LUX</v>
          </cell>
          <cell r="F2185" t="str">
            <v>COZINHA</v>
          </cell>
          <cell r="G2185" t="str">
            <v/>
          </cell>
          <cell r="H2185">
            <v>4239.99</v>
          </cell>
          <cell r="I2185">
            <v>4169.99</v>
          </cell>
          <cell r="J2185">
            <v>2550.6327000000001</v>
          </cell>
          <cell r="K2185">
            <v>0</v>
          </cell>
          <cell r="L2185">
            <v>2550.6327000000001</v>
          </cell>
          <cell r="M2185">
            <v>0</v>
          </cell>
          <cell r="N2185">
            <v>4169.99</v>
          </cell>
          <cell r="O2185" t="str">
            <v>LOJA</v>
          </cell>
          <cell r="P2185">
            <v>3659.99</v>
          </cell>
          <cell r="Q2185">
            <v>0.63488455237008401</v>
          </cell>
          <cell r="R2185">
            <v>0.63488455237008401</v>
          </cell>
          <cell r="S2185" t="e">
            <v>#VALUE!</v>
          </cell>
          <cell r="T2185" t="e">
            <v>#VALUE!</v>
          </cell>
        </row>
        <row r="2186">
          <cell r="A2186" t="str">
            <v>MDFC0200138N8N</v>
          </cell>
          <cell r="B2186" t="str">
            <v>MKP000631003429</v>
          </cell>
          <cell r="C2186" t="str">
            <v/>
          </cell>
          <cell r="D2186" t="str">
            <v>Kit Madesa Estante Livreiro 6908 + Estante Livreiro 6906 Preto</v>
          </cell>
          <cell r="E2186" t="str">
            <v>6908 + 6906</v>
          </cell>
          <cell r="F2186" t="str">
            <v>ESCRITÓRIO</v>
          </cell>
          <cell r="G2186" t="str">
            <v/>
          </cell>
          <cell r="H2186">
            <v>1259.99</v>
          </cell>
          <cell r="I2186">
            <v>689.99</v>
          </cell>
          <cell r="J2186">
            <v>413.79669999999999</v>
          </cell>
          <cell r="K2186">
            <v>0</v>
          </cell>
          <cell r="L2186">
            <v>413.79669999999999</v>
          </cell>
          <cell r="M2186">
            <v>0</v>
          </cell>
          <cell r="N2186">
            <v>689.99</v>
          </cell>
          <cell r="O2186" t="str">
            <v/>
          </cell>
          <cell r="P2186">
            <v>0</v>
          </cell>
          <cell r="Q2186">
            <v>0.667461340315184</v>
          </cell>
          <cell r="R2186">
            <v>0.667461340315184</v>
          </cell>
          <cell r="S2186" t="e">
            <v>#VALUE!</v>
          </cell>
          <cell r="T2186" t="e">
            <v>#VALUE!</v>
          </cell>
        </row>
        <row r="2187">
          <cell r="A2187" t="str">
            <v>G25602F8AG</v>
          </cell>
          <cell r="B2187" t="str">
            <v>MKP000631002632</v>
          </cell>
          <cell r="C2187" t="str">
            <v/>
          </cell>
          <cell r="D2187" t="str">
            <v>Armário Aéreo Madesa Agata 60 cm 1 Porta Basculante Branco/Cinza</v>
          </cell>
          <cell r="E2187" t="str">
            <v>ÁGATA</v>
          </cell>
          <cell r="F2187" t="str">
            <v>MODULAÇÃO</v>
          </cell>
          <cell r="G2187" t="str">
            <v/>
          </cell>
          <cell r="H2187">
            <v>389.99</v>
          </cell>
          <cell r="I2187">
            <v>249.99</v>
          </cell>
          <cell r="J2187">
            <v>149.85319999999999</v>
          </cell>
          <cell r="K2187">
            <v>0</v>
          </cell>
          <cell r="L2187">
            <v>149.85319999999999</v>
          </cell>
          <cell r="M2187">
            <v>0</v>
          </cell>
          <cell r="N2187">
            <v>249.99</v>
          </cell>
          <cell r="O2187" t="str">
            <v/>
          </cell>
          <cell r="P2187">
            <v>0</v>
          </cell>
          <cell r="Q2187">
            <v>0.66823264368061597</v>
          </cell>
          <cell r="R2187">
            <v>0.66823264368061597</v>
          </cell>
          <cell r="S2187" t="e">
            <v>#VALUE!</v>
          </cell>
          <cell r="T2187" t="e">
            <v>#VALUE!</v>
          </cell>
        </row>
        <row r="2188">
          <cell r="A2188" t="str">
            <v>GRGL1500015Z</v>
          </cell>
          <cell r="B2188" t="str">
            <v>MKP000631004252</v>
          </cell>
          <cell r="C2188" t="str">
            <v/>
          </cell>
          <cell r="D2188" t="str">
            <v>Armário de Cozinha Compacta 150cm Rustic Glamy Madesa 01</v>
          </cell>
          <cell r="E2188" t="str">
            <v>GLAMY</v>
          </cell>
          <cell r="F2188" t="str">
            <v>COZINHA</v>
          </cell>
          <cell r="G2188" t="str">
            <v/>
          </cell>
          <cell r="H2188">
            <v>1199.99</v>
          </cell>
          <cell r="I2188">
            <v>1099.99</v>
          </cell>
          <cell r="J2188">
            <v>901.11389999999994</v>
          </cell>
          <cell r="K2188">
            <v>0</v>
          </cell>
          <cell r="L2188">
            <v>901.11389999999994</v>
          </cell>
          <cell r="M2188">
            <v>0</v>
          </cell>
          <cell r="N2188">
            <v>1099.99</v>
          </cell>
          <cell r="O2188" t="str">
            <v/>
          </cell>
          <cell r="P2188">
            <v>0</v>
          </cell>
          <cell r="Q2188">
            <v>0.22070029105088701</v>
          </cell>
          <cell r="R2188">
            <v>0.22070029105088701</v>
          </cell>
          <cell r="S2188" t="e">
            <v>#VALUE!</v>
          </cell>
          <cell r="T2188" t="e">
            <v>#VALUE!</v>
          </cell>
        </row>
        <row r="2189">
          <cell r="A2189" t="str">
            <v>GRAG27000509</v>
          </cell>
          <cell r="B2189" t="str">
            <v>MKP000631004555</v>
          </cell>
          <cell r="C2189" t="str">
            <v/>
          </cell>
          <cell r="D2189" t="str">
            <v>Armário de Cozinha Completa 270cm Branco Agata Madesa 05</v>
          </cell>
          <cell r="E2189" t="str">
            <v>ÁGATA</v>
          </cell>
          <cell r="F2189" t="str">
            <v>COZINHA</v>
          </cell>
          <cell r="G2189" t="str">
            <v/>
          </cell>
          <cell r="H2189">
            <v>1799.99</v>
          </cell>
          <cell r="I2189">
            <v>1699.99</v>
          </cell>
          <cell r="J2189">
            <v>1370.0536999999999</v>
          </cell>
          <cell r="K2189">
            <v>0</v>
          </cell>
          <cell r="L2189">
            <v>1370.0536999999999</v>
          </cell>
          <cell r="M2189">
            <v>0</v>
          </cell>
          <cell r="N2189">
            <v>1699.99</v>
          </cell>
          <cell r="O2189" t="str">
            <v/>
          </cell>
          <cell r="P2189">
            <v>0</v>
          </cell>
          <cell r="Q2189">
            <v>0.24081997661843499</v>
          </cell>
          <cell r="R2189">
            <v>0.24081997661843499</v>
          </cell>
          <cell r="S2189" t="e">
            <v>#VALUE!</v>
          </cell>
          <cell r="T2189" t="e">
            <v>#VALUE!</v>
          </cell>
        </row>
        <row r="2190">
          <cell r="A2190" t="str">
            <v>XA10946E1E2G</v>
          </cell>
          <cell r="B2190" t="str">
            <v>MKP000631001591</v>
          </cell>
          <cell r="C2190" t="str">
            <v/>
          </cell>
          <cell r="D2190" t="str">
            <v>Guarda-Roupa Infantil Madesa Bento 2 Portas de Correr com Espelho 2 Gavetas Rustic/Branco</v>
          </cell>
          <cell r="E2190" t="str">
            <v>BENTO</v>
          </cell>
          <cell r="F2190" t="str">
            <v>QUARTO</v>
          </cell>
          <cell r="G2190" t="str">
            <v/>
          </cell>
          <cell r="H2190">
            <v>1169.99</v>
          </cell>
          <cell r="I2190">
            <v>869.99</v>
          </cell>
          <cell r="J2190">
            <v>693.77409999999998</v>
          </cell>
          <cell r="K2190">
            <v>0</v>
          </cell>
          <cell r="L2190">
            <v>693.77409999999998</v>
          </cell>
          <cell r="M2190">
            <v>0</v>
          </cell>
          <cell r="N2190">
            <v>869.99</v>
          </cell>
          <cell r="O2190" t="str">
            <v/>
          </cell>
          <cell r="P2190">
            <v>0</v>
          </cell>
          <cell r="Q2190">
            <v>0.253996077397527</v>
          </cell>
          <cell r="R2190">
            <v>0.253996077397527</v>
          </cell>
          <cell r="S2190" t="e">
            <v>#VALUE!</v>
          </cell>
          <cell r="T2190" t="e">
            <v>#VALUE!</v>
          </cell>
        </row>
        <row r="2191">
          <cell r="A2191" t="str">
            <v>G2440009TE</v>
          </cell>
          <cell r="B2191" t="str">
            <v>MKP000631001913</v>
          </cell>
          <cell r="C2191" t="str">
            <v/>
          </cell>
          <cell r="D2191" t="str">
            <v>Balcão Madesa Stella 40 cm 1 Porta Branco</v>
          </cell>
          <cell r="E2191" t="str">
            <v>STELLA</v>
          </cell>
          <cell r="F2191" t="str">
            <v>MODULAÇÃO</v>
          </cell>
          <cell r="G2191" t="str">
            <v/>
          </cell>
          <cell r="H2191">
            <v>489.99</v>
          </cell>
          <cell r="I2191">
            <v>349.99</v>
          </cell>
          <cell r="J2191">
            <v>223.29740000000001</v>
          </cell>
          <cell r="K2191">
            <v>0</v>
          </cell>
          <cell r="L2191">
            <v>223.29740000000001</v>
          </cell>
          <cell r="M2191">
            <v>0</v>
          </cell>
          <cell r="N2191">
            <v>349.99</v>
          </cell>
          <cell r="O2191" t="str">
            <v/>
          </cell>
          <cell r="P2191">
            <v>0</v>
          </cell>
          <cell r="Q2191">
            <v>0.567371586055189</v>
          </cell>
          <cell r="R2191">
            <v>0.567371586055189</v>
          </cell>
          <cell r="S2191" t="e">
            <v>#VALUE!</v>
          </cell>
          <cell r="T2191" t="e">
            <v>#VALUE!</v>
          </cell>
        </row>
        <row r="2192">
          <cell r="A2192" t="str">
            <v>G247505ZTE</v>
          </cell>
          <cell r="B2192" t="str">
            <v>MKP000631002169</v>
          </cell>
          <cell r="C2192" t="str">
            <v/>
          </cell>
          <cell r="D2192" t="str">
            <v>Balcão de Canto Madesa Stella 1 Porta Rustic</v>
          </cell>
          <cell r="E2192" t="str">
            <v>STELLA</v>
          </cell>
          <cell r="F2192" t="str">
            <v>MODULAÇÃO</v>
          </cell>
          <cell r="G2192" t="str">
            <v/>
          </cell>
          <cell r="H2192">
            <v>989.99</v>
          </cell>
          <cell r="I2192">
            <v>529.99</v>
          </cell>
          <cell r="J2192">
            <v>318.06200000000001</v>
          </cell>
          <cell r="K2192">
            <v>0</v>
          </cell>
          <cell r="L2192">
            <v>318.06200000000001</v>
          </cell>
          <cell r="M2192">
            <v>0</v>
          </cell>
          <cell r="N2192">
            <v>529.99</v>
          </cell>
          <cell r="O2192" t="str">
            <v/>
          </cell>
          <cell r="P2192">
            <v>0</v>
          </cell>
          <cell r="Q2192">
            <v>0.66631034200879102</v>
          </cell>
          <cell r="R2192">
            <v>0.66631034200879102</v>
          </cell>
          <cell r="S2192" t="e">
            <v>#VALUE!</v>
          </cell>
          <cell r="T2192" t="e">
            <v>#VALUE!</v>
          </cell>
        </row>
        <row r="2193">
          <cell r="A2193" t="str">
            <v>G256016E</v>
          </cell>
          <cell r="B2193" t="str">
            <v>MKP000631000920</v>
          </cell>
          <cell r="C2193" t="str">
            <v/>
          </cell>
          <cell r="D2193" t="str">
            <v>Armário Aéreo Madesa Acordes 100% MDF 60 cm 1 Porta Branco/Rustic</v>
          </cell>
          <cell r="E2193" t="str">
            <v>ACORDES</v>
          </cell>
          <cell r="F2193" t="str">
            <v>MODULAÇÃO</v>
          </cell>
          <cell r="G2193" t="str">
            <v/>
          </cell>
          <cell r="H2193">
            <v>459.99</v>
          </cell>
          <cell r="I2193">
            <v>329.99</v>
          </cell>
          <cell r="J2193">
            <v>197.399</v>
          </cell>
          <cell r="K2193">
            <v>0</v>
          </cell>
          <cell r="L2193">
            <v>197.399</v>
          </cell>
          <cell r="M2193">
            <v>0</v>
          </cell>
          <cell r="N2193">
            <v>329.99</v>
          </cell>
          <cell r="O2193" t="str">
            <v/>
          </cell>
          <cell r="P2193">
            <v>0</v>
          </cell>
          <cell r="Q2193">
            <v>0.67169033277777501</v>
          </cell>
          <cell r="R2193">
            <v>0.67169033277777501</v>
          </cell>
          <cell r="S2193" t="e">
            <v>#VALUE!</v>
          </cell>
          <cell r="T2193" t="e">
            <v>#VALUE!</v>
          </cell>
        </row>
        <row r="2194">
          <cell r="A2194" t="str">
            <v>MDES0200248N8N</v>
          </cell>
          <cell r="B2194" t="str">
            <v>MKP000631001538</v>
          </cell>
          <cell r="C2194" t="str">
            <v/>
          </cell>
          <cell r="D2194" t="str">
            <v>Rack Madesa Cancun e Painel para TV até 58 Polegadas Preto</v>
          </cell>
          <cell r="E2194" t="str">
            <v>CANCUN</v>
          </cell>
          <cell r="F2194" t="str">
            <v>SALA DE ESTAR</v>
          </cell>
          <cell r="G2194" t="str">
            <v/>
          </cell>
          <cell r="H2194">
            <v>569.99</v>
          </cell>
          <cell r="I2194">
            <v>469.99</v>
          </cell>
          <cell r="J2194">
            <v>325.73559999999998</v>
          </cell>
          <cell r="K2194">
            <v>0</v>
          </cell>
          <cell r="L2194">
            <v>325.73559999999998</v>
          </cell>
          <cell r="M2194">
            <v>0</v>
          </cell>
          <cell r="N2194">
            <v>469.99</v>
          </cell>
          <cell r="O2194" t="str">
            <v/>
          </cell>
          <cell r="P2194">
            <v>0</v>
          </cell>
          <cell r="Q2194">
            <v>0.44285733582697101</v>
          </cell>
          <cell r="R2194">
            <v>0.44285733582697101</v>
          </cell>
          <cell r="S2194" t="e">
            <v>#VALUE!</v>
          </cell>
          <cell r="T2194" t="e">
            <v>#VALUE!</v>
          </cell>
        </row>
        <row r="2195">
          <cell r="A2195" t="str">
            <v>G256025ZTE</v>
          </cell>
          <cell r="B2195" t="str">
            <v>MKP000631002206</v>
          </cell>
          <cell r="C2195" t="str">
            <v/>
          </cell>
          <cell r="D2195" t="str">
            <v>Armário Aéreo Madesa Stella 60 cm 1 Porta Basculante Rustic</v>
          </cell>
          <cell r="E2195" t="str">
            <v>STELLA</v>
          </cell>
          <cell r="F2195" t="str">
            <v>MODULAÇÃO</v>
          </cell>
          <cell r="G2195" t="str">
            <v/>
          </cell>
          <cell r="H2195">
            <v>359.99</v>
          </cell>
          <cell r="I2195">
            <v>239.99</v>
          </cell>
          <cell r="J2195">
            <v>153.41749999999999</v>
          </cell>
          <cell r="K2195">
            <v>0</v>
          </cell>
          <cell r="L2195">
            <v>153.41749999999999</v>
          </cell>
          <cell r="M2195">
            <v>0</v>
          </cell>
          <cell r="N2195">
            <v>239.99</v>
          </cell>
          <cell r="O2195" t="str">
            <v/>
          </cell>
          <cell r="P2195">
            <v>0</v>
          </cell>
          <cell r="Q2195">
            <v>0.56429351280003903</v>
          </cell>
          <cell r="R2195">
            <v>0.56429351280003903</v>
          </cell>
          <cell r="S2195" t="e">
            <v>#VALUE!</v>
          </cell>
          <cell r="T2195" t="e">
            <v>#VALUE!</v>
          </cell>
        </row>
        <row r="2196">
          <cell r="A2196" t="str">
            <v>GRGL31000109</v>
          </cell>
          <cell r="B2196" t="str">
            <v>MKP000631004366</v>
          </cell>
          <cell r="C2196" t="str">
            <v/>
          </cell>
          <cell r="D2196" t="str">
            <v>Armário de Cozinha Completa 310cm Branco Glamy Madesa 01</v>
          </cell>
          <cell r="E2196" t="str">
            <v>GLAMY</v>
          </cell>
          <cell r="F2196" t="str">
            <v>COZINHA</v>
          </cell>
          <cell r="G2196" t="str">
            <v/>
          </cell>
          <cell r="H2196">
            <v>2579.9</v>
          </cell>
          <cell r="I2196">
            <v>2469.9899999999998</v>
          </cell>
          <cell r="J2196">
            <v>2041.7117000000001</v>
          </cell>
          <cell r="K2196">
            <v>0</v>
          </cell>
          <cell r="L2196">
            <v>2041.7117000000001</v>
          </cell>
          <cell r="M2196">
            <v>0</v>
          </cell>
          <cell r="N2196">
            <v>2469.9899999999998</v>
          </cell>
          <cell r="O2196" t="str">
            <v/>
          </cell>
          <cell r="P2196">
            <v>0</v>
          </cell>
          <cell r="Q2196">
            <v>0.20976433646337</v>
          </cell>
          <cell r="R2196">
            <v>0.20976433646337</v>
          </cell>
          <cell r="S2196" t="e">
            <v>#VALUE!</v>
          </cell>
          <cell r="T2196" t="e">
            <v>#VALUE!</v>
          </cell>
        </row>
        <row r="2197">
          <cell r="A2197" t="str">
            <v>MDES0200147KD8</v>
          </cell>
          <cell r="B2197" t="str">
            <v>MKP000631002898</v>
          </cell>
          <cell r="C2197" t="str">
            <v/>
          </cell>
          <cell r="D2197" t="str">
            <v>Rack Madesa Dubai e Painel para TV até 65 Polegadas com Pés Rustic/Preto 7KD8</v>
          </cell>
          <cell r="E2197" t="str">
            <v>DUBAI</v>
          </cell>
          <cell r="F2197" t="str">
            <v>SALA DE ESTAR</v>
          </cell>
          <cell r="G2197" t="str">
            <v/>
          </cell>
          <cell r="H2197">
            <v>1099.99</v>
          </cell>
          <cell r="I2197">
            <v>599.99</v>
          </cell>
          <cell r="J2197">
            <v>442.649</v>
          </cell>
          <cell r="K2197">
            <v>0</v>
          </cell>
          <cell r="L2197">
            <v>442.649</v>
          </cell>
          <cell r="M2197">
            <v>0</v>
          </cell>
          <cell r="N2197">
            <v>599.99</v>
          </cell>
          <cell r="O2197" t="str">
            <v/>
          </cell>
          <cell r="P2197">
            <v>0</v>
          </cell>
          <cell r="Q2197">
            <v>0.35545319203251302</v>
          </cell>
          <cell r="R2197">
            <v>0.35545319203251302</v>
          </cell>
          <cell r="S2197" t="e">
            <v>#VALUE!</v>
          </cell>
          <cell r="T2197" t="e">
            <v>#VALUE!</v>
          </cell>
        </row>
        <row r="2198">
          <cell r="A2198" t="str">
            <v>10946E2GCP</v>
          </cell>
          <cell r="B2198" t="str">
            <v>MKP000631001014</v>
          </cell>
          <cell r="C2198" t="str">
            <v/>
          </cell>
          <cell r="D2198" t="str">
            <v>Guarda-Roupa Solteiro Madesa Dallas 2 Portas de Correr 2 Gavetas com Pés Rustic/Branco</v>
          </cell>
          <cell r="E2198" t="str">
            <v>DALLAS</v>
          </cell>
          <cell r="F2198" t="str">
            <v>QUARTO</v>
          </cell>
          <cell r="G2198" t="str">
            <v/>
          </cell>
          <cell r="H2198">
            <v>1009.99</v>
          </cell>
          <cell r="I2198">
            <v>799.99</v>
          </cell>
          <cell r="J2198">
            <v>600.43740000000003</v>
          </cell>
          <cell r="K2198">
            <v>0</v>
          </cell>
          <cell r="L2198">
            <v>600.43740000000003</v>
          </cell>
          <cell r="M2198">
            <v>0</v>
          </cell>
          <cell r="N2198">
            <v>799.99</v>
          </cell>
          <cell r="O2198" t="str">
            <v/>
          </cell>
          <cell r="P2198">
            <v>0</v>
          </cell>
          <cell r="Q2198">
            <v>0.332345386879631</v>
          </cell>
          <cell r="R2198">
            <v>0.332345386879631</v>
          </cell>
          <cell r="S2198" t="e">
            <v>#VALUE!</v>
          </cell>
          <cell r="T2198" t="e">
            <v>#VALUE!</v>
          </cell>
        </row>
        <row r="2199">
          <cell r="A2199" t="str">
            <v>G2580473GL</v>
          </cell>
          <cell r="B2199" t="str">
            <v>MKP000631001160</v>
          </cell>
          <cell r="C2199" t="str">
            <v/>
          </cell>
          <cell r="D2199" t="str">
            <v>Armário Aéreo Madesa Glamy 80 cm 1 Porta Basculante Branco/Preto</v>
          </cell>
          <cell r="E2199" t="str">
            <v>GLAMY</v>
          </cell>
          <cell r="F2199" t="str">
            <v>MODULAÇÃO</v>
          </cell>
          <cell r="G2199" t="str">
            <v/>
          </cell>
          <cell r="H2199">
            <v>409.99</v>
          </cell>
          <cell r="I2199">
            <v>289.99</v>
          </cell>
          <cell r="J2199">
            <v>174.38910000000001</v>
          </cell>
          <cell r="K2199">
            <v>0</v>
          </cell>
          <cell r="L2199">
            <v>174.38910000000001</v>
          </cell>
          <cell r="M2199">
            <v>0</v>
          </cell>
          <cell r="N2199">
            <v>289.99</v>
          </cell>
          <cell r="O2199" t="str">
            <v/>
          </cell>
          <cell r="P2199">
            <v>0</v>
          </cell>
          <cell r="Q2199">
            <v>0.66289062791195097</v>
          </cell>
          <cell r="R2199">
            <v>0.66289062791195097</v>
          </cell>
          <cell r="S2199" t="e">
            <v>#VALUE!</v>
          </cell>
          <cell r="T2199" t="e">
            <v>#VALUE!</v>
          </cell>
        </row>
        <row r="2200">
          <cell r="A2200" t="str">
            <v>G241209BTE</v>
          </cell>
          <cell r="B2200" t="str">
            <v>MKP000631002115</v>
          </cell>
          <cell r="C2200" t="str">
            <v/>
          </cell>
          <cell r="D2200" t="str">
            <v>Balcão Gabinete de Pia Madesa Stella 2 Portas (Sem Tampo e Pia) Branco/Rustic</v>
          </cell>
          <cell r="E2200" t="str">
            <v>STELLA</v>
          </cell>
          <cell r="F2200" t="str">
            <v>MODULAÇÃO</v>
          </cell>
          <cell r="G2200" t="str">
            <v/>
          </cell>
          <cell r="H2200">
            <v>919.99</v>
          </cell>
          <cell r="I2200">
            <v>469.99</v>
          </cell>
          <cell r="J2200">
            <v>358.65359999999998</v>
          </cell>
          <cell r="K2200">
            <v>0</v>
          </cell>
          <cell r="L2200">
            <v>358.65359999999998</v>
          </cell>
          <cell r="M2200">
            <v>0</v>
          </cell>
          <cell r="N2200">
            <v>469.99</v>
          </cell>
          <cell r="O2200" t="str">
            <v/>
          </cell>
          <cell r="P2200">
            <v>0</v>
          </cell>
          <cell r="Q2200">
            <v>0.31042878142029001</v>
          </cell>
          <cell r="R2200">
            <v>0.31042878142029001</v>
          </cell>
          <cell r="S2200" t="e">
            <v>#VALUE!</v>
          </cell>
          <cell r="T2200" t="e">
            <v>#VALUE!</v>
          </cell>
        </row>
        <row r="2201">
          <cell r="A2201" t="str">
            <v>GRGL290003A5</v>
          </cell>
          <cell r="B2201" t="str">
            <v>MKP000631001126</v>
          </cell>
          <cell r="C2201" t="str">
            <v/>
          </cell>
          <cell r="D2201" t="str">
            <v>Armário de Cozinha Completa 290cm Branco/Branco/Crema Safira Madesa 03</v>
          </cell>
          <cell r="E2201" t="str">
            <v>SAFIRA/GLAMY</v>
          </cell>
          <cell r="F2201" t="str">
            <v>COZINHA</v>
          </cell>
          <cell r="G2201" t="str">
            <v/>
          </cell>
          <cell r="H2201">
            <v>2799.99</v>
          </cell>
          <cell r="I2201">
            <v>2099.9899999999998</v>
          </cell>
          <cell r="J2201">
            <v>1760.9930999999999</v>
          </cell>
          <cell r="K2201">
            <v>0</v>
          </cell>
          <cell r="L2201">
            <v>1760.9930999999999</v>
          </cell>
          <cell r="M2201">
            <v>0</v>
          </cell>
          <cell r="N2201">
            <v>2099.9899999999998</v>
          </cell>
          <cell r="O2201" t="str">
            <v/>
          </cell>
          <cell r="P2201">
            <v>0</v>
          </cell>
          <cell r="Q2201">
            <v>0.19250325285204101</v>
          </cell>
          <cell r="R2201">
            <v>0.19250325285204101</v>
          </cell>
          <cell r="S2201" t="e">
            <v>#VALUE!</v>
          </cell>
          <cell r="T2201" t="e">
            <v>#VALUE!</v>
          </cell>
        </row>
        <row r="2202">
          <cell r="A2202" t="str">
            <v>GRGL29000409</v>
          </cell>
          <cell r="B2202" t="str">
            <v>MKP000631000214</v>
          </cell>
          <cell r="C2202" t="str">
            <v/>
          </cell>
          <cell r="D2202" t="str">
            <v>Armário de Cozinha Completa 290cm Branco Safira Madesa 04</v>
          </cell>
          <cell r="E2202" t="str">
            <v>SAFIRA/GLAMY</v>
          </cell>
          <cell r="F2202" t="str">
            <v>COZINHA</v>
          </cell>
          <cell r="G2202" t="str">
            <v/>
          </cell>
          <cell r="H2202">
            <v>2199.9899999999998</v>
          </cell>
          <cell r="I2202">
            <v>2099.9899999999998</v>
          </cell>
          <cell r="J2202">
            <v>1743.5204000000001</v>
          </cell>
          <cell r="K2202">
            <v>0</v>
          </cell>
          <cell r="L2202">
            <v>1743.5204000000001</v>
          </cell>
          <cell r="M2202">
            <v>0</v>
          </cell>
          <cell r="N2202">
            <v>2099.9899999999998</v>
          </cell>
          <cell r="O2202" t="str">
            <v/>
          </cell>
          <cell r="P2202">
            <v>0</v>
          </cell>
          <cell r="Q2202">
            <v>0.20445393125311301</v>
          </cell>
          <cell r="R2202">
            <v>0.20445393125311301</v>
          </cell>
          <cell r="S2202" t="e">
            <v>#VALUE!</v>
          </cell>
          <cell r="T2202" t="e">
            <v>#VALUE!</v>
          </cell>
        </row>
        <row r="2203">
          <cell r="A2203" t="str">
            <v>XB10639BCP</v>
          </cell>
          <cell r="B2203" t="str">
            <v>MKP000631001482</v>
          </cell>
          <cell r="C2203" t="str">
            <v/>
          </cell>
          <cell r="D2203" t="str">
            <v>Guarda-Roupa Juvenil 100% MDF Madesa Kevin 3 Portas de Correr com Pés Branco/Rustic</v>
          </cell>
          <cell r="E2203" t="str">
            <v>KEVIN</v>
          </cell>
          <cell r="F2203" t="str">
            <v>QUARTO</v>
          </cell>
          <cell r="G2203" t="str">
            <v/>
          </cell>
          <cell r="H2203">
            <v>2589.9899999999998</v>
          </cell>
          <cell r="I2203">
            <v>1969.99</v>
          </cell>
          <cell r="J2203">
            <v>1597.5367000000001</v>
          </cell>
          <cell r="K2203">
            <v>0</v>
          </cell>
          <cell r="L2203">
            <v>1597.5367000000001</v>
          </cell>
          <cell r="M2203">
            <v>0</v>
          </cell>
          <cell r="N2203">
            <v>1969.99</v>
          </cell>
          <cell r="O2203" t="str">
            <v/>
          </cell>
          <cell r="P2203">
            <v>0</v>
          </cell>
          <cell r="Q2203">
            <v>0.23314224956459501</v>
          </cell>
          <cell r="R2203">
            <v>0.23314224956459501</v>
          </cell>
          <cell r="S2203" t="e">
            <v>#VALUE!</v>
          </cell>
          <cell r="T2203" t="e">
            <v>#VALUE!</v>
          </cell>
        </row>
        <row r="2204">
          <cell r="A2204" t="str">
            <v>10945Z1E4GCP</v>
          </cell>
          <cell r="B2204" t="str">
            <v>MKP000631000999</v>
          </cell>
          <cell r="C2204" t="str">
            <v/>
          </cell>
          <cell r="D2204" t="str">
            <v>Guarda-Roupa Solteiro Madesa Dallas Plus 2 Portas de Correr com Espelho 4 Gavetas com Pés Rustic</v>
          </cell>
          <cell r="E2204" t="str">
            <v>DALLAS PLUS</v>
          </cell>
          <cell r="F2204" t="str">
            <v>QUARTO</v>
          </cell>
          <cell r="G2204" t="str">
            <v/>
          </cell>
          <cell r="H2204">
            <v>1299.99</v>
          </cell>
          <cell r="I2204">
            <v>1079.99</v>
          </cell>
          <cell r="J2204">
            <v>819.10230000000001</v>
          </cell>
          <cell r="K2204">
            <v>0</v>
          </cell>
          <cell r="L2204">
            <v>819.10230000000001</v>
          </cell>
          <cell r="M2204">
            <v>0</v>
          </cell>
          <cell r="N2204">
            <v>1079.99</v>
          </cell>
          <cell r="O2204" t="str">
            <v/>
          </cell>
          <cell r="P2204">
            <v>0</v>
          </cell>
          <cell r="Q2204">
            <v>0.31850441635922599</v>
          </cell>
          <cell r="R2204">
            <v>0.31850441635922599</v>
          </cell>
          <cell r="S2204" t="e">
            <v>#VALUE!</v>
          </cell>
          <cell r="T2204" t="e">
            <v>#VALUE!</v>
          </cell>
        </row>
        <row r="2205">
          <cell r="A2205" t="str">
            <v>MDES0200190909</v>
          </cell>
          <cell r="B2205" t="str">
            <v>MKP000631005985</v>
          </cell>
          <cell r="C2205" t="str">
            <v/>
          </cell>
          <cell r="D2205" t="str">
            <v>Rack com Painel para TV até 65 Polegadas com Pés Branco Detroit Madesa</v>
          </cell>
          <cell r="E2205" t="str">
            <v>DETROIT</v>
          </cell>
          <cell r="F2205" t="str">
            <v>SALA DE ESTAR</v>
          </cell>
          <cell r="G2205" t="str">
            <v/>
          </cell>
          <cell r="H2205">
            <v>539.99</v>
          </cell>
          <cell r="I2205">
            <v>439.99</v>
          </cell>
          <cell r="J2205">
            <v>327.30520000000001</v>
          </cell>
          <cell r="K2205">
            <v>0</v>
          </cell>
          <cell r="L2205">
            <v>327.30520000000001</v>
          </cell>
          <cell r="M2205">
            <v>0</v>
          </cell>
          <cell r="N2205">
            <v>439.99</v>
          </cell>
          <cell r="O2205" t="str">
            <v>CAMICADO</v>
          </cell>
          <cell r="P2205">
            <v>439.99</v>
          </cell>
          <cell r="Q2205">
            <v>0.34428050638975499</v>
          </cell>
          <cell r="R2205">
            <v>0.34428050638975499</v>
          </cell>
          <cell r="S2205" t="e">
            <v>#VALUE!</v>
          </cell>
          <cell r="T2205" t="e">
            <v>#VALUE!</v>
          </cell>
        </row>
        <row r="2206">
          <cell r="A2206" t="str">
            <v>G266077GAG</v>
          </cell>
          <cell r="B2206" t="str">
            <v>MKP000631005374</v>
          </cell>
          <cell r="C2206" t="str">
            <v/>
          </cell>
          <cell r="D2206" t="str">
            <v>Paneleiro 60 cm 3 Portas Rustic/Crema Agata Madesa</v>
          </cell>
          <cell r="E2206" t="str">
            <v>ÁGATA</v>
          </cell>
          <cell r="F2206" t="str">
            <v>MODULAÇÃO</v>
          </cell>
          <cell r="G2206" t="str">
            <v/>
          </cell>
          <cell r="H2206">
            <v>989.99</v>
          </cell>
          <cell r="I2206">
            <v>889.99</v>
          </cell>
          <cell r="J2206">
            <v>513.92409999999995</v>
          </cell>
          <cell r="K2206">
            <v>0</v>
          </cell>
          <cell r="L2206">
            <v>513.92409999999995</v>
          </cell>
          <cell r="M2206">
            <v>0</v>
          </cell>
          <cell r="N2206">
            <v>889.99</v>
          </cell>
          <cell r="O2206" t="str">
            <v/>
          </cell>
          <cell r="P2206">
            <v>0</v>
          </cell>
          <cell r="Q2206">
            <v>0.73175377453596702</v>
          </cell>
          <cell r="R2206">
            <v>0.73175377453596702</v>
          </cell>
          <cell r="S2206" t="e">
            <v>#VALUE!</v>
          </cell>
          <cell r="T2206" t="e">
            <v>#VALUE!</v>
          </cell>
        </row>
        <row r="2207">
          <cell r="A2207" t="str">
            <v>G224019NLX</v>
          </cell>
          <cell r="B2207" t="str">
            <v>MKP000631003560</v>
          </cell>
          <cell r="C2207" t="str">
            <v/>
          </cell>
          <cell r="D2207" t="str">
            <v>Balcão Madesa Lux 40 cm 3 Gavetas (Sem Tampo) Rustic/Cinza</v>
          </cell>
          <cell r="E2207" t="str">
            <v>LUX</v>
          </cell>
          <cell r="F2207" t="str">
            <v>MODULAÇÃO</v>
          </cell>
          <cell r="G2207" t="str">
            <v/>
          </cell>
          <cell r="H2207">
            <v>989.99</v>
          </cell>
          <cell r="I2207">
            <v>759.99</v>
          </cell>
          <cell r="J2207">
            <v>422.11340000000001</v>
          </cell>
          <cell r="K2207">
            <v>0</v>
          </cell>
          <cell r="L2207">
            <v>422.11340000000001</v>
          </cell>
          <cell r="M2207">
            <v>0</v>
          </cell>
          <cell r="N2207">
            <v>759.99</v>
          </cell>
          <cell r="O2207" t="str">
            <v>LOJA</v>
          </cell>
          <cell r="P2207">
            <v>749.99</v>
          </cell>
          <cell r="Q2207">
            <v>0.80044035560112503</v>
          </cell>
          <cell r="R2207">
            <v>0.80044035560112503</v>
          </cell>
          <cell r="S2207" t="e">
            <v>#VALUE!</v>
          </cell>
          <cell r="T2207" t="e">
            <v>#VALUE!</v>
          </cell>
        </row>
        <row r="2208">
          <cell r="A2208" t="str">
            <v>G24124F8AG</v>
          </cell>
          <cell r="B2208" t="str">
            <v>MKP000631002638</v>
          </cell>
          <cell r="C2208" t="str">
            <v/>
          </cell>
          <cell r="D2208" t="str">
            <v>Balcão Gabinete de Pia Madesa Agata 2 Portas e 3 Gavetas (Sem Tampo e Pia) Branco/Cinza</v>
          </cell>
          <cell r="E2208" t="str">
            <v>ÁGATA</v>
          </cell>
          <cell r="F2208" t="str">
            <v>MODULAÇÃO</v>
          </cell>
          <cell r="G2208" t="str">
            <v/>
          </cell>
          <cell r="H2208">
            <v>1269.99</v>
          </cell>
          <cell r="I2208">
            <v>729.99</v>
          </cell>
          <cell r="J2208">
            <v>542.59109999999998</v>
          </cell>
          <cell r="K2208">
            <v>0</v>
          </cell>
          <cell r="L2208">
            <v>542.59109999999998</v>
          </cell>
          <cell r="M2208">
            <v>0</v>
          </cell>
          <cell r="N2208">
            <v>729.99</v>
          </cell>
          <cell r="O2208" t="str">
            <v/>
          </cell>
          <cell r="P2208">
            <v>0</v>
          </cell>
          <cell r="Q2208">
            <v>0.34537776237022699</v>
          </cell>
          <cell r="R2208">
            <v>0.34537776237022699</v>
          </cell>
          <cell r="S2208" t="e">
            <v>#VALUE!</v>
          </cell>
          <cell r="T2208" t="e">
            <v>#VALUE!</v>
          </cell>
        </row>
        <row r="2209">
          <cell r="A2209" t="str">
            <v>G241236ETE</v>
          </cell>
          <cell r="B2209" t="str">
            <v>MKP000631002152</v>
          </cell>
          <cell r="C2209" t="str">
            <v/>
          </cell>
          <cell r="D2209" t="str">
            <v>Balcão Gabinete de Pia Madesa Stella 1 Porta e 2 Gavetas (Sem Tampo e Pia) Rustic/Branco</v>
          </cell>
          <cell r="E2209" t="str">
            <v>STELLA</v>
          </cell>
          <cell r="F2209" t="str">
            <v>MODULAÇÃO</v>
          </cell>
          <cell r="G2209" t="str">
            <v/>
          </cell>
          <cell r="H2209">
            <v>1119.99</v>
          </cell>
          <cell r="I2209">
            <v>559.99</v>
          </cell>
          <cell r="J2209">
            <v>429.73250000000002</v>
          </cell>
          <cell r="K2209">
            <v>0</v>
          </cell>
          <cell r="L2209">
            <v>429.73250000000002</v>
          </cell>
          <cell r="M2209">
            <v>0</v>
          </cell>
          <cell r="N2209">
            <v>559.99</v>
          </cell>
          <cell r="O2209" t="str">
            <v/>
          </cell>
          <cell r="P2209">
            <v>0</v>
          </cell>
          <cell r="Q2209">
            <v>0.303112983076681</v>
          </cell>
          <cell r="R2209">
            <v>0.303112983076681</v>
          </cell>
          <cell r="S2209" t="e">
            <v>#VALUE!</v>
          </cell>
          <cell r="T2209" t="e">
            <v>#VALUE!</v>
          </cell>
        </row>
        <row r="2210">
          <cell r="A2210" t="str">
            <v>70085Z09PP</v>
          </cell>
          <cell r="B2210" t="str">
            <v>MKP000631001674</v>
          </cell>
          <cell r="C2210" t="str">
            <v/>
          </cell>
          <cell r="D2210" t="str">
            <v>Rack para TV até 65 Polegadas Madesa Cancun com Pés Rustic/Branco 5Z09</v>
          </cell>
          <cell r="E2210" t="str">
            <v>CANCUN</v>
          </cell>
          <cell r="F2210" t="str">
            <v>SALA DE ESTAR</v>
          </cell>
          <cell r="G2210" t="str">
            <v/>
          </cell>
          <cell r="H2210">
            <v>459.99</v>
          </cell>
          <cell r="I2210">
            <v>359.99</v>
          </cell>
          <cell r="J2210">
            <v>271.62799999999999</v>
          </cell>
          <cell r="K2210">
            <v>0</v>
          </cell>
          <cell r="L2210">
            <v>271.62799999999999</v>
          </cell>
          <cell r="M2210">
            <v>0</v>
          </cell>
          <cell r="N2210">
            <v>359.99</v>
          </cell>
          <cell r="O2210" t="str">
            <v/>
          </cell>
          <cell r="P2210">
            <v>0</v>
          </cell>
          <cell r="Q2210">
            <v>0.32530519681328901</v>
          </cell>
          <cell r="R2210">
            <v>0.32530519681328901</v>
          </cell>
          <cell r="S2210" t="e">
            <v>#VALUE!</v>
          </cell>
          <cell r="T2210" t="e">
            <v>#VALUE!</v>
          </cell>
        </row>
        <row r="2211">
          <cell r="A2211" t="str">
            <v>G251219NLX</v>
          </cell>
          <cell r="B2211" t="str">
            <v>MKP000631002694</v>
          </cell>
          <cell r="C2211" t="str">
            <v/>
          </cell>
          <cell r="D2211" t="str">
            <v>Armário Aéreo Madesa Lux 120 cm 2 Portas Rustic/Cinza</v>
          </cell>
          <cell r="E2211" t="str">
            <v>LUX</v>
          </cell>
          <cell r="F2211" t="str">
            <v>MODULAÇÃO</v>
          </cell>
          <cell r="G2211" t="str">
            <v/>
          </cell>
          <cell r="H2211">
            <v>1199.99</v>
          </cell>
          <cell r="I2211">
            <v>889.99</v>
          </cell>
          <cell r="J2211">
            <v>563.4864</v>
          </cell>
          <cell r="K2211">
            <v>0</v>
          </cell>
          <cell r="L2211">
            <v>563.4864</v>
          </cell>
          <cell r="M2211">
            <v>0</v>
          </cell>
          <cell r="N2211">
            <v>889.99</v>
          </cell>
          <cell r="O2211" t="str">
            <v>LOJA</v>
          </cell>
          <cell r="P2211">
            <v>879.99</v>
          </cell>
          <cell r="Q2211">
            <v>0.57943474767092795</v>
          </cell>
          <cell r="R2211">
            <v>0.57943474767092795</v>
          </cell>
          <cell r="S2211" t="e">
            <v>#VALUE!</v>
          </cell>
          <cell r="T2211" t="e">
            <v>#VALUE!</v>
          </cell>
        </row>
        <row r="2212">
          <cell r="A2212" t="str">
            <v>GRLX3200019R</v>
          </cell>
          <cell r="B2212" t="str">
            <v>MKP000631003362</v>
          </cell>
          <cell r="C2212" t="str">
            <v/>
          </cell>
          <cell r="D2212" t="str">
            <v>Armário de Cozinha Completa 320cm Branco/Cinza Lux Madesa 01</v>
          </cell>
          <cell r="E2212" t="str">
            <v>LUX</v>
          </cell>
          <cell r="F2212" t="str">
            <v>COZINHA</v>
          </cell>
          <cell r="G2212" t="str">
            <v/>
          </cell>
          <cell r="H2212">
            <v>5729.99</v>
          </cell>
          <cell r="I2212">
            <v>5679.99</v>
          </cell>
          <cell r="J2212">
            <v>3547.3613999999998</v>
          </cell>
          <cell r="K2212">
            <v>0</v>
          </cell>
          <cell r="L2212">
            <v>3547.3613999999998</v>
          </cell>
          <cell r="M2212">
            <v>0</v>
          </cell>
          <cell r="N2212">
            <v>5679.99</v>
          </cell>
          <cell r="O2212" t="str">
            <v>LOJA</v>
          </cell>
          <cell r="P2212">
            <v>4989.99</v>
          </cell>
          <cell r="Q2212">
            <v>0.60118729374458402</v>
          </cell>
          <cell r="R2212">
            <v>0.60118729374458402</v>
          </cell>
          <cell r="S2212" t="e">
            <v>#VALUE!</v>
          </cell>
          <cell r="T2212" t="e">
            <v>#VALUE!</v>
          </cell>
        </row>
        <row r="2213">
          <cell r="A2213" t="str">
            <v>G2570009TE</v>
          </cell>
          <cell r="B2213" t="str">
            <v>MKP000631005453</v>
          </cell>
          <cell r="C2213" t="str">
            <v/>
          </cell>
          <cell r="D2213" t="str">
            <v>Armário Aéreo 70 cm 2 Portas Branco Stella Madesa</v>
          </cell>
          <cell r="E2213" t="str">
            <v>STELLA</v>
          </cell>
          <cell r="F2213" t="str">
            <v>MODULAÇÃO</v>
          </cell>
          <cell r="G2213" t="str">
            <v/>
          </cell>
          <cell r="H2213">
            <v>519.99</v>
          </cell>
          <cell r="I2213">
            <v>419.99</v>
          </cell>
          <cell r="J2213">
            <v>250.14410000000001</v>
          </cell>
          <cell r="K2213">
            <v>0</v>
          </cell>
          <cell r="L2213">
            <v>250.14410000000001</v>
          </cell>
          <cell r="M2213">
            <v>0</v>
          </cell>
          <cell r="N2213">
            <v>419.99</v>
          </cell>
          <cell r="O2213" t="str">
            <v/>
          </cell>
          <cell r="P2213">
            <v>0</v>
          </cell>
          <cell r="Q2213">
            <v>0.67899222887927402</v>
          </cell>
          <cell r="R2213">
            <v>0.67899222887927402</v>
          </cell>
          <cell r="S2213" t="e">
            <v>#VALUE!</v>
          </cell>
          <cell r="T2213" t="e">
            <v>#VALUE!</v>
          </cell>
        </row>
        <row r="2214">
          <cell r="A2214" t="str">
            <v>G2570009AG</v>
          </cell>
          <cell r="B2214" t="str">
            <v>MKP000631004417</v>
          </cell>
          <cell r="C2214" t="str">
            <v/>
          </cell>
          <cell r="D2214" t="str">
            <v>Armário Aéreo Madesa Agata 70 cm 2 Portas Branco</v>
          </cell>
          <cell r="E2214" t="str">
            <v>ÁGATA</v>
          </cell>
          <cell r="F2214" t="str">
            <v>MODULAÇÃO</v>
          </cell>
          <cell r="G2214" t="str">
            <v/>
          </cell>
          <cell r="H2214">
            <v>529.99</v>
          </cell>
          <cell r="I2214">
            <v>419.99</v>
          </cell>
          <cell r="J2214">
            <v>244.06190000000001</v>
          </cell>
          <cell r="K2214">
            <v>0</v>
          </cell>
          <cell r="L2214">
            <v>244.06190000000001</v>
          </cell>
          <cell r="M2214">
            <v>0</v>
          </cell>
          <cell r="N2214">
            <v>419.99</v>
          </cell>
          <cell r="O2214" t="str">
            <v/>
          </cell>
          <cell r="P2214">
            <v>0</v>
          </cell>
          <cell r="Q2214">
            <v>0.72083393598099499</v>
          </cell>
          <cell r="R2214">
            <v>0.72083393598099499</v>
          </cell>
          <cell r="S2214" t="e">
            <v>#VALUE!</v>
          </cell>
          <cell r="T2214" t="e">
            <v>#VALUE!</v>
          </cell>
        </row>
        <row r="2215">
          <cell r="A2215" t="str">
            <v>MDES0200247K8N</v>
          </cell>
          <cell r="B2215" t="str">
            <v>MKP000631002871</v>
          </cell>
          <cell r="C2215" t="str">
            <v/>
          </cell>
          <cell r="D2215" t="str">
            <v>Rack Madesa Cancun e Painel para TV até 58 Polegadas Rustic/Preto 7K8N</v>
          </cell>
          <cell r="E2215" t="str">
            <v>CANCUN</v>
          </cell>
          <cell r="F2215" t="str">
            <v>SALA DE ESTAR</v>
          </cell>
          <cell r="G2215" t="str">
            <v/>
          </cell>
          <cell r="H2215">
            <v>689.99</v>
          </cell>
          <cell r="I2215">
            <v>469.99</v>
          </cell>
          <cell r="J2215">
            <v>361.60750000000002</v>
          </cell>
          <cell r="K2215">
            <v>0</v>
          </cell>
          <cell r="L2215">
            <v>361.60750000000002</v>
          </cell>
          <cell r="M2215">
            <v>0</v>
          </cell>
          <cell r="N2215">
            <v>469.99</v>
          </cell>
          <cell r="O2215" t="str">
            <v/>
          </cell>
          <cell r="P2215">
            <v>0</v>
          </cell>
          <cell r="Q2215">
            <v>0.29972414842059403</v>
          </cell>
          <cell r="R2215">
            <v>0.29972414842059403</v>
          </cell>
          <cell r="S2215" t="e">
            <v>#VALUE!</v>
          </cell>
          <cell r="T2215" t="e">
            <v>#VALUE!</v>
          </cell>
        </row>
        <row r="2216">
          <cell r="A2216" t="str">
            <v>G20150074LST</v>
          </cell>
          <cell r="B2216" t="str">
            <v>MKP000631000219</v>
          </cell>
          <cell r="C2216" t="str">
            <v/>
          </cell>
          <cell r="D2216" t="str">
            <v>Armário de Cozinha Completa 290cm Rustic/Branco/Crema Vicenza Madesa</v>
          </cell>
          <cell r="E2216" t="str">
            <v>VICENZA/GLAMY</v>
          </cell>
          <cell r="F2216" t="str">
            <v>COZINHA</v>
          </cell>
          <cell r="G2216" t="str">
            <v/>
          </cell>
          <cell r="H2216">
            <v>2599.9899999999998</v>
          </cell>
          <cell r="I2216">
            <v>2499.9899999999998</v>
          </cell>
          <cell r="J2216">
            <v>2089.7044000000001</v>
          </cell>
          <cell r="K2216">
            <v>0</v>
          </cell>
          <cell r="L2216">
            <v>2089.7044000000001</v>
          </cell>
          <cell r="M2216">
            <v>0</v>
          </cell>
          <cell r="N2216">
            <v>2499.9899999999998</v>
          </cell>
          <cell r="O2216" t="str">
            <v/>
          </cell>
          <cell r="P2216">
            <v>0</v>
          </cell>
          <cell r="Q2216">
            <v>0.19633666847808701</v>
          </cell>
          <cell r="R2216">
            <v>0.19633666847808701</v>
          </cell>
          <cell r="S2216" t="e">
            <v>#VALUE!</v>
          </cell>
          <cell r="T2216" t="e">
            <v>#VALUE!</v>
          </cell>
        </row>
        <row r="2217">
          <cell r="A2217" t="str">
            <v>GRGL220002A7</v>
          </cell>
          <cell r="B2217" t="str">
            <v>MKP000631001229</v>
          </cell>
          <cell r="C2217" t="str">
            <v/>
          </cell>
          <cell r="D2217" t="str">
            <v>Armário de Cozinha Completa 220cm Branco/Rustic/Crema Parma Madesa 02</v>
          </cell>
          <cell r="E2217" t="str">
            <v>PARMA/GLAMY</v>
          </cell>
          <cell r="F2217" t="str">
            <v>COZINHA</v>
          </cell>
          <cell r="G2217" t="str">
            <v/>
          </cell>
          <cell r="H2217">
            <v>1969.99</v>
          </cell>
          <cell r="I2217">
            <v>1869.99</v>
          </cell>
          <cell r="J2217">
            <v>1558.7654</v>
          </cell>
          <cell r="K2217">
            <v>0</v>
          </cell>
          <cell r="L2217">
            <v>1558.7654</v>
          </cell>
          <cell r="M2217">
            <v>0</v>
          </cell>
          <cell r="N2217">
            <v>1869.99</v>
          </cell>
          <cell r="O2217" t="str">
            <v/>
          </cell>
          <cell r="P2217">
            <v>0</v>
          </cell>
          <cell r="Q2217">
            <v>0.199660962451438</v>
          </cell>
          <cell r="R2217">
            <v>0.199660962451438</v>
          </cell>
          <cell r="S2217" t="e">
            <v>#VALUE!</v>
          </cell>
          <cell r="T2217" t="e">
            <v>#VALUE!</v>
          </cell>
        </row>
        <row r="2218">
          <cell r="A2218" t="str">
            <v>G241236EGL</v>
          </cell>
          <cell r="B2218" t="str">
            <v>MKP000631000010</v>
          </cell>
          <cell r="C2218" t="str">
            <v/>
          </cell>
          <cell r="D2218" t="str">
            <v>Balcão Gabinete de Pia Madesa Glamy 120 cm 1 Porta 2 Gavetas (Sem Tampo e Pia) Rustic/Branco</v>
          </cell>
          <cell r="E2218" t="str">
            <v>GLAMY</v>
          </cell>
          <cell r="F2218" t="str">
            <v>MODULAÇÃO</v>
          </cell>
          <cell r="G2218" t="str">
            <v/>
          </cell>
          <cell r="H2218">
            <v>1149.99</v>
          </cell>
          <cell r="I2218">
            <v>579.99</v>
          </cell>
          <cell r="J2218">
            <v>447.5976</v>
          </cell>
          <cell r="K2218">
            <v>0</v>
          </cell>
          <cell r="L2218">
            <v>447.5976</v>
          </cell>
          <cell r="M2218">
            <v>0</v>
          </cell>
          <cell r="N2218">
            <v>579.99</v>
          </cell>
          <cell r="O2218" t="str">
            <v/>
          </cell>
          <cell r="P2218">
            <v>0</v>
          </cell>
          <cell r="Q2218">
            <v>0.29578442779853997</v>
          </cell>
          <cell r="R2218">
            <v>0.29578442779853997</v>
          </cell>
          <cell r="S2218" t="e">
            <v>#VALUE!</v>
          </cell>
          <cell r="T2218" t="e">
            <v>#VALUE!</v>
          </cell>
        </row>
        <row r="2219">
          <cell r="A2219" t="str">
            <v>G248027KAG</v>
          </cell>
          <cell r="B2219" t="str">
            <v>MKP000631005049</v>
          </cell>
          <cell r="C2219" t="str">
            <v/>
          </cell>
          <cell r="D2219" t="str">
            <v>Balcão 80 cm 2 Gavetas Rustic/Preto Agata Madesa</v>
          </cell>
          <cell r="E2219" t="str">
            <v>ÁGATA</v>
          </cell>
          <cell r="F2219" t="str">
            <v>MODULAÇÃO</v>
          </cell>
          <cell r="G2219" t="str">
            <v/>
          </cell>
          <cell r="H2219">
            <v>689.99</v>
          </cell>
          <cell r="I2219">
            <v>589.99</v>
          </cell>
          <cell r="J2219">
            <v>369.84789999999998</v>
          </cell>
          <cell r="K2219">
            <v>0</v>
          </cell>
          <cell r="L2219">
            <v>369.84789999999998</v>
          </cell>
          <cell r="M2219">
            <v>0</v>
          </cell>
          <cell r="N2219">
            <v>589.99</v>
          </cell>
          <cell r="O2219" t="str">
            <v/>
          </cell>
          <cell r="P2219">
            <v>0</v>
          </cell>
          <cell r="Q2219">
            <v>0.59522333370015101</v>
          </cell>
          <cell r="R2219">
            <v>0.59522333370015101</v>
          </cell>
          <cell r="S2219" t="e">
            <v>#VALUE!</v>
          </cell>
          <cell r="T2219" t="e">
            <v>#VALUE!</v>
          </cell>
        </row>
        <row r="2220">
          <cell r="A2220" t="str">
            <v>G221209RLXCT</v>
          </cell>
          <cell r="B2220" t="str">
            <v>MKP000631005118</v>
          </cell>
          <cell r="C2220" t="str">
            <v/>
          </cell>
          <cell r="D2220" t="str">
            <v>Balcão de Pia 120 cm 2 Portas Branco/Cinza Lux Madesa</v>
          </cell>
          <cell r="E2220" t="str">
            <v>LUX</v>
          </cell>
          <cell r="F2220" t="str">
            <v>MODULAÇÃO</v>
          </cell>
          <cell r="G2220" t="str">
            <v/>
          </cell>
          <cell r="H2220">
            <v>1299.99</v>
          </cell>
          <cell r="I2220">
            <v>1159.99</v>
          </cell>
          <cell r="J2220">
            <v>726.43050000000005</v>
          </cell>
          <cell r="K2220">
            <v>0</v>
          </cell>
          <cell r="L2220">
            <v>726.43050000000005</v>
          </cell>
          <cell r="M2220">
            <v>0</v>
          </cell>
          <cell r="N2220">
            <v>1159.99</v>
          </cell>
          <cell r="O2220" t="str">
            <v>LOJA</v>
          </cell>
          <cell r="P2220">
            <v>1149.99</v>
          </cell>
          <cell r="Q2220">
            <v>0.59683548529418795</v>
          </cell>
          <cell r="R2220">
            <v>0.59683548529418795</v>
          </cell>
          <cell r="S2220" t="e">
            <v>#VALUE!</v>
          </cell>
          <cell r="T2220" t="e">
            <v>#VALUE!</v>
          </cell>
        </row>
        <row r="2221">
          <cell r="A2221" t="str">
            <v>G254009NLX</v>
          </cell>
          <cell r="B2221" t="str">
            <v>MKP000631002697</v>
          </cell>
          <cell r="C2221" t="str">
            <v/>
          </cell>
          <cell r="D2221" t="str">
            <v>Armário Aéreo Madesa Lux 40 cm 1 Porta Rustic/Cinza</v>
          </cell>
          <cell r="E2221" t="str">
            <v>LUX</v>
          </cell>
          <cell r="F2221" t="str">
            <v>MODULAÇÃO</v>
          </cell>
          <cell r="G2221" t="str">
            <v/>
          </cell>
          <cell r="H2221">
            <v>789.99</v>
          </cell>
          <cell r="I2221">
            <v>439.99</v>
          </cell>
          <cell r="J2221">
            <v>256.58600000000001</v>
          </cell>
          <cell r="K2221">
            <v>0</v>
          </cell>
          <cell r="L2221">
            <v>256.58600000000001</v>
          </cell>
          <cell r="M2221">
            <v>0</v>
          </cell>
          <cell r="N2221">
            <v>439.99</v>
          </cell>
          <cell r="O2221" t="str">
            <v>LOJA</v>
          </cell>
          <cell r="P2221">
            <v>429.99</v>
          </cell>
          <cell r="Q2221">
            <v>0.71478568589088998</v>
          </cell>
          <cell r="R2221">
            <v>0.71478568589088998</v>
          </cell>
          <cell r="S2221" t="e">
            <v>#VALUE!</v>
          </cell>
          <cell r="T2221" t="e">
            <v>#VALUE!</v>
          </cell>
        </row>
        <row r="2222">
          <cell r="A2222" t="str">
            <v>GRRM2500048N</v>
          </cell>
          <cell r="B2222" t="str">
            <v>MKP000631004488</v>
          </cell>
          <cell r="C2222" t="str">
            <v/>
          </cell>
          <cell r="D2222" t="str">
            <v>Armário de Cozinha Completa 250cm Preto Reims Madesa 04</v>
          </cell>
          <cell r="E2222" t="str">
            <v>REIMS</v>
          </cell>
          <cell r="F2222" t="str">
            <v>COZINHA</v>
          </cell>
          <cell r="G2222" t="str">
            <v/>
          </cell>
          <cell r="H2222">
            <v>1469.99</v>
          </cell>
          <cell r="I2222">
            <v>1369.99</v>
          </cell>
          <cell r="J2222">
            <v>1021.1774</v>
          </cell>
          <cell r="K2222">
            <v>0</v>
          </cell>
          <cell r="L2222">
            <v>1021.1774</v>
          </cell>
          <cell r="M2222">
            <v>0</v>
          </cell>
          <cell r="N2222">
            <v>1369.99</v>
          </cell>
          <cell r="O2222" t="str">
            <v/>
          </cell>
          <cell r="P2222">
            <v>0</v>
          </cell>
          <cell r="Q2222">
            <v>0.34157884810220002</v>
          </cell>
          <cell r="R2222">
            <v>0.34157884810220002</v>
          </cell>
          <cell r="S2222" t="e">
            <v>#VALUE!</v>
          </cell>
          <cell r="T2222" t="e">
            <v>#VALUE!</v>
          </cell>
        </row>
        <row r="2223">
          <cell r="A2223" t="str">
            <v>11189B3E</v>
          </cell>
          <cell r="B2223" t="str">
            <v>MKP000631002684</v>
          </cell>
          <cell r="C2223" t="str">
            <v/>
          </cell>
          <cell r="D2223" t="str">
            <v>Guarda-Roupa Casal Madesa Istambul 3 Portas de Correr de Espelho 3 Gavetas Branco/Rustic</v>
          </cell>
          <cell r="E2223" t="str">
            <v>ISTAMBUL</v>
          </cell>
          <cell r="F2223" t="str">
            <v>QUARTO</v>
          </cell>
          <cell r="G2223" t="str">
            <v/>
          </cell>
          <cell r="H2223">
            <v>2589.9899999999998</v>
          </cell>
          <cell r="I2223">
            <v>2099.9899999999998</v>
          </cell>
          <cell r="J2223">
            <v>1766.2687000000001</v>
          </cell>
          <cell r="K2223">
            <v>0</v>
          </cell>
          <cell r="L2223">
            <v>1766.2687000000001</v>
          </cell>
          <cell r="M2223">
            <v>0</v>
          </cell>
          <cell r="N2223">
            <v>2099.9899999999998</v>
          </cell>
          <cell r="O2223" t="str">
            <v/>
          </cell>
          <cell r="P2223">
            <v>0</v>
          </cell>
          <cell r="Q2223">
            <v>0.18894141078308199</v>
          </cell>
          <cell r="R2223">
            <v>0.18894141078308199</v>
          </cell>
          <cell r="S2223" t="e">
            <v>#VALUE!</v>
          </cell>
          <cell r="T2223" t="e">
            <v>#VALUE!</v>
          </cell>
        </row>
        <row r="2224">
          <cell r="A2224" t="str">
            <v>GRGL2900027K</v>
          </cell>
          <cell r="B2224" t="str">
            <v>MKP000631001811</v>
          </cell>
          <cell r="C2224" t="str">
            <v/>
          </cell>
          <cell r="D2224" t="str">
            <v>Armário de Cozinha Completa 290cm Rustic/Preto Vicenza Madesa 02</v>
          </cell>
          <cell r="E2224" t="str">
            <v>VICENZA/GLAMY</v>
          </cell>
          <cell r="F2224" t="str">
            <v>COZINHA</v>
          </cell>
          <cell r="G2224" t="str">
            <v/>
          </cell>
          <cell r="H2224">
            <v>2599.9899999999998</v>
          </cell>
          <cell r="I2224">
            <v>2499.9899999999998</v>
          </cell>
          <cell r="J2224">
            <v>2076.7116000000001</v>
          </cell>
          <cell r="K2224">
            <v>0</v>
          </cell>
          <cell r="L2224">
            <v>2076.7116000000001</v>
          </cell>
          <cell r="M2224">
            <v>0</v>
          </cell>
          <cell r="N2224">
            <v>2499.9899999999998</v>
          </cell>
          <cell r="O2224" t="str">
            <v/>
          </cell>
          <cell r="P2224">
            <v>0</v>
          </cell>
          <cell r="Q2224">
            <v>0.20382146466557999</v>
          </cell>
          <cell r="R2224">
            <v>0.20382146466557999</v>
          </cell>
          <cell r="S2224" t="e">
            <v>#VALUE!</v>
          </cell>
          <cell r="T2224" t="e">
            <v>#VALUE!</v>
          </cell>
        </row>
        <row r="2225">
          <cell r="A2225" t="str">
            <v>MDES02000473</v>
          </cell>
          <cell r="B2225" t="str">
            <v>MKP000631001803</v>
          </cell>
          <cell r="C2225" t="str">
            <v/>
          </cell>
          <cell r="D2225" t="str">
            <v>Rack Madesa Londres e Painel para TV até 55 Polegadas Branco/Preto</v>
          </cell>
          <cell r="E2225" t="str">
            <v>LONDRES</v>
          </cell>
          <cell r="F2225" t="str">
            <v>SALA DE ESTAR</v>
          </cell>
          <cell r="G2225" t="str">
            <v/>
          </cell>
          <cell r="H2225">
            <v>649.99</v>
          </cell>
          <cell r="I2225">
            <v>549.99</v>
          </cell>
          <cell r="J2225">
            <v>425.51420000000002</v>
          </cell>
          <cell r="K2225">
            <v>0</v>
          </cell>
          <cell r="L2225">
            <v>425.51420000000002</v>
          </cell>
          <cell r="M2225">
            <v>0</v>
          </cell>
          <cell r="N2225">
            <v>549.99</v>
          </cell>
          <cell r="O2225" t="str">
            <v/>
          </cell>
          <cell r="P2225">
            <v>0</v>
          </cell>
          <cell r="Q2225">
            <v>0.29253030803672397</v>
          </cell>
          <cell r="R2225">
            <v>0.29253030803672397</v>
          </cell>
          <cell r="S2225" t="e">
            <v>#VALUE!</v>
          </cell>
          <cell r="T2225" t="e">
            <v>#VALUE!</v>
          </cell>
        </row>
        <row r="2226">
          <cell r="A2226" t="str">
            <v>GRAG3500015L</v>
          </cell>
          <cell r="B2226" t="str">
            <v>MKP000631005465</v>
          </cell>
          <cell r="C2226" t="str">
            <v/>
          </cell>
          <cell r="D2226" t="str">
            <v>Armário de Cozinha Completa 350cm Branco/Crema Agata Madesa 01</v>
          </cell>
          <cell r="E2226" t="str">
            <v>ÁGATA</v>
          </cell>
          <cell r="F2226" t="str">
            <v>COZINHA</v>
          </cell>
          <cell r="G2226" t="str">
            <v/>
          </cell>
          <cell r="H2226">
            <v>2129.9899999999998</v>
          </cell>
          <cell r="I2226">
            <v>2129.9899999999998</v>
          </cell>
          <cell r="J2226">
            <v>1577.7422999999999</v>
          </cell>
          <cell r="K2226">
            <v>0</v>
          </cell>
          <cell r="L2226">
            <v>1577.7422999999999</v>
          </cell>
          <cell r="M2226">
            <v>0</v>
          </cell>
          <cell r="N2226">
            <v>2129.9899999999998</v>
          </cell>
          <cell r="O2226" t="str">
            <v/>
          </cell>
          <cell r="P2226">
            <v>0</v>
          </cell>
          <cell r="Q2226">
            <v>0.350024018497824</v>
          </cell>
          <cell r="R2226">
            <v>0.350024018497824</v>
          </cell>
          <cell r="S2226" t="e">
            <v>#VALUE!</v>
          </cell>
          <cell r="T2226" t="e">
            <v>#VALUE!</v>
          </cell>
        </row>
        <row r="2227">
          <cell r="A2227" t="str">
            <v>G257029RLX</v>
          </cell>
          <cell r="B2227" t="str">
            <v>MKP000631005446</v>
          </cell>
          <cell r="C2227" t="str">
            <v/>
          </cell>
          <cell r="D2227" t="str">
            <v>Armário Aéreo 70 cm 1 Porta Branco/Cinza Lux Madesa</v>
          </cell>
          <cell r="E2227" t="str">
            <v>LUX</v>
          </cell>
          <cell r="F2227" t="str">
            <v>MODULAÇÃO</v>
          </cell>
          <cell r="G2227" t="str">
            <v/>
          </cell>
          <cell r="H2227">
            <v>489.99</v>
          </cell>
          <cell r="I2227">
            <v>389.99</v>
          </cell>
          <cell r="J2227">
            <v>239.6147</v>
          </cell>
          <cell r="K2227">
            <v>0</v>
          </cell>
          <cell r="L2227">
            <v>239.6147</v>
          </cell>
          <cell r="M2227">
            <v>0</v>
          </cell>
          <cell r="N2227">
            <v>389.99</v>
          </cell>
          <cell r="O2227" t="str">
            <v>LOJA</v>
          </cell>
          <cell r="P2227">
            <v>379.99</v>
          </cell>
          <cell r="Q2227">
            <v>0.62757126336572799</v>
          </cell>
          <cell r="R2227">
            <v>0.62757126336572799</v>
          </cell>
          <cell r="S2227" t="e">
            <v>#VALUE!</v>
          </cell>
          <cell r="T2227" t="e">
            <v>#VALUE!</v>
          </cell>
        </row>
        <row r="2228">
          <cell r="A2228" t="str">
            <v>G228137KLX</v>
          </cell>
          <cell r="B2228" t="str">
            <v>MKP000631002763</v>
          </cell>
          <cell r="C2228" t="str">
            <v/>
          </cell>
          <cell r="D2228" t="str">
            <v>Balcão Madesa Lux 80 cm 2 Gavetas (Sem Tampo) Rustic/Preto</v>
          </cell>
          <cell r="E2228" t="str">
            <v>LUX</v>
          </cell>
          <cell r="F2228" t="str">
            <v>MODULAÇÃO</v>
          </cell>
          <cell r="G2228" t="str">
            <v/>
          </cell>
          <cell r="H2228">
            <v>1459.99</v>
          </cell>
          <cell r="I2228">
            <v>989.99</v>
          </cell>
          <cell r="J2228">
            <v>527.82159999999999</v>
          </cell>
          <cell r="K2228">
            <v>0</v>
          </cell>
          <cell r="L2228">
            <v>527.82159999999999</v>
          </cell>
          <cell r="M2228">
            <v>0</v>
          </cell>
          <cell r="N2228">
            <v>989.99</v>
          </cell>
          <cell r="O2228" t="str">
            <v>LOJA</v>
          </cell>
          <cell r="P2228">
            <v>979.99</v>
          </cell>
          <cell r="Q2228">
            <v>0.87561479105819096</v>
          </cell>
          <cell r="R2228">
            <v>0.87561479105819096</v>
          </cell>
          <cell r="S2228" t="e">
            <v>#VALUE!</v>
          </cell>
          <cell r="T2228" t="e">
            <v>#VALUE!</v>
          </cell>
        </row>
        <row r="2229">
          <cell r="A2229" t="str">
            <v>1094731E4G</v>
          </cell>
          <cell r="B2229" t="str">
            <v>MKP000631002026</v>
          </cell>
          <cell r="C2229" t="str">
            <v/>
          </cell>
          <cell r="D2229" t="str">
            <v>Guarda-Roupa Solteiro Madesa Dallas Plus 2 Portas de Correr com Espelho 4 Gavetas Branco/Preto</v>
          </cell>
          <cell r="E2229" t="str">
            <v>DALLAS PLUS</v>
          </cell>
          <cell r="F2229" t="str">
            <v>QUARTO</v>
          </cell>
          <cell r="G2229" t="str">
            <v/>
          </cell>
          <cell r="H2229">
            <v>1259.99</v>
          </cell>
          <cell r="I2229">
            <v>969.99</v>
          </cell>
          <cell r="J2229">
            <v>782.51099999999997</v>
          </cell>
          <cell r="K2229">
            <v>0</v>
          </cell>
          <cell r="L2229">
            <v>782.51099999999997</v>
          </cell>
          <cell r="M2229">
            <v>0</v>
          </cell>
          <cell r="N2229">
            <v>969.99</v>
          </cell>
          <cell r="O2229" t="str">
            <v/>
          </cell>
          <cell r="P2229">
            <v>0</v>
          </cell>
          <cell r="Q2229">
            <v>0.23958640836997799</v>
          </cell>
          <cell r="R2229">
            <v>0.23958640836997799</v>
          </cell>
          <cell r="S2229" t="e">
            <v>#VALUE!</v>
          </cell>
          <cell r="T2229" t="e">
            <v>#VALUE!</v>
          </cell>
        </row>
        <row r="2230">
          <cell r="A2230" t="str">
            <v>GRAG15000109</v>
          </cell>
          <cell r="B2230" t="str">
            <v>MKP000631004666</v>
          </cell>
          <cell r="C2230" t="str">
            <v/>
          </cell>
          <cell r="D2230" t="str">
            <v>Armário de Cozinha Compacta 150cm Branco Agata Madesa 01</v>
          </cell>
          <cell r="E2230" t="str">
            <v>ÁGATA</v>
          </cell>
          <cell r="F2230" t="str">
            <v>COZINHA</v>
          </cell>
          <cell r="G2230" t="str">
            <v/>
          </cell>
          <cell r="H2230">
            <v>1249.99</v>
          </cell>
          <cell r="I2230">
            <v>1069.99</v>
          </cell>
          <cell r="J2230">
            <v>867.71630000000005</v>
          </cell>
          <cell r="K2230">
            <v>0</v>
          </cell>
          <cell r="L2230">
            <v>867.71630000000005</v>
          </cell>
          <cell r="M2230">
            <v>0</v>
          </cell>
          <cell r="N2230">
            <v>1069.99</v>
          </cell>
          <cell r="O2230" t="str">
            <v/>
          </cell>
          <cell r="P2230">
            <v>0</v>
          </cell>
          <cell r="Q2230">
            <v>0.233110407168794</v>
          </cell>
          <cell r="R2230">
            <v>0.233110407168794</v>
          </cell>
          <cell r="S2230" t="e">
            <v>#VALUE!</v>
          </cell>
          <cell r="T2230" t="e">
            <v>#VALUE!</v>
          </cell>
        </row>
        <row r="2231">
          <cell r="A2231" t="str">
            <v>G251216EAG</v>
          </cell>
          <cell r="B2231" t="str">
            <v>MKP000631004443</v>
          </cell>
          <cell r="C2231" t="str">
            <v/>
          </cell>
          <cell r="D2231" t="str">
            <v>Armário Aéreo Madesa Agata 120 cm 2 Portas Rustic/Branco</v>
          </cell>
          <cell r="E2231" t="str">
            <v>ÁGATA</v>
          </cell>
          <cell r="F2231" t="str">
            <v>MODULAÇÃO</v>
          </cell>
          <cell r="G2231" t="str">
            <v/>
          </cell>
          <cell r="H2231">
            <v>629.99</v>
          </cell>
          <cell r="I2231">
            <v>489.99</v>
          </cell>
          <cell r="J2231">
            <v>307.46719999999999</v>
          </cell>
          <cell r="K2231">
            <v>0</v>
          </cell>
          <cell r="L2231">
            <v>307.46719999999999</v>
          </cell>
          <cell r="M2231">
            <v>0</v>
          </cell>
          <cell r="N2231">
            <v>489.99</v>
          </cell>
          <cell r="O2231" t="str">
            <v/>
          </cell>
          <cell r="P2231">
            <v>0</v>
          </cell>
          <cell r="Q2231">
            <v>0.59363340219704797</v>
          </cell>
          <cell r="R2231">
            <v>0.59363340219704797</v>
          </cell>
          <cell r="S2231" t="e">
            <v>#VALUE!</v>
          </cell>
          <cell r="T2231" t="e">
            <v>#VALUE!</v>
          </cell>
        </row>
        <row r="2232">
          <cell r="A2232" t="str">
            <v>MDFC02001609</v>
          </cell>
          <cell r="B2232" t="str">
            <v>MKP000631004764</v>
          </cell>
          <cell r="C2232" t="str">
            <v/>
          </cell>
          <cell r="D2232" t="str">
            <v>Escrivaninha Madesa Alaska + Estante Escada Branco</v>
          </cell>
          <cell r="E2232" t="str">
            <v>ALASKA + ESTANTE ESCADA</v>
          </cell>
          <cell r="F2232" t="str">
            <v>ESCRITÓRIO</v>
          </cell>
          <cell r="G2232" t="str">
            <v/>
          </cell>
          <cell r="H2232">
            <v>729.99</v>
          </cell>
          <cell r="I2232">
            <v>629.99</v>
          </cell>
          <cell r="J2232">
            <v>481.81270000000001</v>
          </cell>
          <cell r="K2232">
            <v>0</v>
          </cell>
          <cell r="L2232">
            <v>481.81270000000001</v>
          </cell>
          <cell r="M2232">
            <v>0</v>
          </cell>
          <cell r="N2232">
            <v>629.99</v>
          </cell>
          <cell r="O2232" t="str">
            <v/>
          </cell>
          <cell r="P2232">
            <v>0</v>
          </cell>
          <cell r="Q2232">
            <v>0.30754129146035403</v>
          </cell>
          <cell r="R2232">
            <v>0.30754129146035403</v>
          </cell>
          <cell r="S2232" t="e">
            <v>#VALUE!</v>
          </cell>
          <cell r="T2232" t="e">
            <v>#VALUE!</v>
          </cell>
        </row>
        <row r="2233">
          <cell r="A2233" t="str">
            <v>GRGL1200036E</v>
          </cell>
          <cell r="B2233" t="str">
            <v>MKP000631004255</v>
          </cell>
          <cell r="C2233" t="str">
            <v/>
          </cell>
          <cell r="D2233" t="str">
            <v>Armário de Cozinha Compacta 120cm Rustic/Branco Glamy Madesa 03</v>
          </cell>
          <cell r="E2233" t="str">
            <v>GLAMY</v>
          </cell>
          <cell r="F2233" t="str">
            <v>COZINHA</v>
          </cell>
          <cell r="G2233" t="str">
            <v/>
          </cell>
          <cell r="H2233">
            <v>1139.99</v>
          </cell>
          <cell r="I2233">
            <v>1039.99</v>
          </cell>
          <cell r="J2233">
            <v>886.81309999999996</v>
          </cell>
          <cell r="K2233">
            <v>0</v>
          </cell>
          <cell r="L2233">
            <v>886.81309999999996</v>
          </cell>
          <cell r="M2233">
            <v>0</v>
          </cell>
          <cell r="N2233">
            <v>1039.99</v>
          </cell>
          <cell r="O2233" t="str">
            <v/>
          </cell>
          <cell r="P2233">
            <v>0</v>
          </cell>
          <cell r="Q2233">
            <v>0.17272737626451401</v>
          </cell>
          <cell r="R2233">
            <v>0.17272737626451401</v>
          </cell>
          <cell r="S2233" t="e">
            <v>#VALUE!</v>
          </cell>
          <cell r="T2233" t="e">
            <v>#VALUE!</v>
          </cell>
        </row>
        <row r="2234">
          <cell r="A2234" t="str">
            <v>GRGL24000373</v>
          </cell>
          <cell r="B2234" t="str">
            <v>MKP000631004613</v>
          </cell>
          <cell r="C2234" t="str">
            <v/>
          </cell>
          <cell r="D2234" t="str">
            <v>Armário de Cozinha Completa 240cm Branco Preto Glamy Madesa 03</v>
          </cell>
          <cell r="E2234" t="str">
            <v>GLAMY</v>
          </cell>
          <cell r="F2234" t="str">
            <v>COZINHA</v>
          </cell>
          <cell r="G2234" t="str">
            <v/>
          </cell>
          <cell r="H2234">
            <v>2199.9899999999998</v>
          </cell>
          <cell r="I2234">
            <v>2099.9899999999998</v>
          </cell>
          <cell r="J2234">
            <v>1751.9460999999999</v>
          </cell>
          <cell r="K2234">
            <v>0</v>
          </cell>
          <cell r="L2234">
            <v>1751.9460999999999</v>
          </cell>
          <cell r="M2234">
            <v>0</v>
          </cell>
          <cell r="N2234">
            <v>2099.9899999999998</v>
          </cell>
          <cell r="O2234" t="str">
            <v/>
          </cell>
          <cell r="P2234">
            <v>0</v>
          </cell>
          <cell r="Q2234">
            <v>0.198661305847252</v>
          </cell>
          <cell r="R2234">
            <v>0.198661305847252</v>
          </cell>
          <cell r="S2234" t="e">
            <v>#VALUE!</v>
          </cell>
          <cell r="T2234" t="e">
            <v>#VALUE!</v>
          </cell>
        </row>
        <row r="2235">
          <cell r="A2235" t="str">
            <v>GRAG330001F9</v>
          </cell>
          <cell r="B2235" t="str">
            <v>MKP000631004548</v>
          </cell>
          <cell r="C2235" t="str">
            <v/>
          </cell>
          <cell r="D2235" t="str">
            <v>Armário de Cozinha Completa 330cm Rustic Cinza Agata Madesa 01</v>
          </cell>
          <cell r="E2235" t="str">
            <v>ÁGATA</v>
          </cell>
          <cell r="F2235" t="str">
            <v>COZINHA</v>
          </cell>
          <cell r="G2235" t="str">
            <v/>
          </cell>
          <cell r="H2235">
            <v>2529.9899999999998</v>
          </cell>
          <cell r="I2235">
            <v>2299.9899999999998</v>
          </cell>
          <cell r="J2235">
            <v>1902.4641999999999</v>
          </cell>
          <cell r="K2235">
            <v>0</v>
          </cell>
          <cell r="L2235">
            <v>1902.4641999999999</v>
          </cell>
          <cell r="M2235">
            <v>0</v>
          </cell>
          <cell r="N2235">
            <v>2299.9899999999998</v>
          </cell>
          <cell r="O2235" t="str">
            <v/>
          </cell>
          <cell r="P2235">
            <v>0</v>
          </cell>
          <cell r="Q2235">
            <v>0.208953104084691</v>
          </cell>
          <cell r="R2235">
            <v>0.208953104084691</v>
          </cell>
          <cell r="S2235" t="e">
            <v>#VALUE!</v>
          </cell>
          <cell r="T2235" t="e">
            <v>#VALUE!</v>
          </cell>
        </row>
        <row r="2236">
          <cell r="A2236" t="str">
            <v>106377</v>
          </cell>
          <cell r="B2236" t="str">
            <v>MKP000631003027</v>
          </cell>
          <cell r="C2236" t="str">
            <v/>
          </cell>
          <cell r="D2236" t="str">
            <v>Guarda-Roupa Casal 100% MDF Madesa Royale 3 Portas de Correr Preto/Branco</v>
          </cell>
          <cell r="E2236" t="str">
            <v>ROYALE</v>
          </cell>
          <cell r="F2236" t="str">
            <v>QUARTO</v>
          </cell>
          <cell r="G2236" t="str">
            <v/>
          </cell>
          <cell r="H2236">
            <v>2269.9899999999998</v>
          </cell>
          <cell r="I2236">
            <v>1879.99</v>
          </cell>
          <cell r="J2236">
            <v>1551.3534</v>
          </cell>
          <cell r="K2236">
            <v>0</v>
          </cell>
          <cell r="L2236">
            <v>1551.3534</v>
          </cell>
          <cell r="M2236">
            <v>0</v>
          </cell>
          <cell r="N2236">
            <v>1879.99</v>
          </cell>
          <cell r="O2236" t="str">
            <v/>
          </cell>
          <cell r="P2236">
            <v>0</v>
          </cell>
          <cell r="Q2236">
            <v>0.21183864359984</v>
          </cell>
          <cell r="R2236">
            <v>0.21183864359984</v>
          </cell>
          <cell r="S2236" t="e">
            <v>#VALUE!</v>
          </cell>
          <cell r="T2236" t="e">
            <v>#VALUE!</v>
          </cell>
        </row>
        <row r="2237">
          <cell r="A2237" t="str">
            <v>MDJA0601637KOXF</v>
          </cell>
          <cell r="B2237" t="str">
            <v>MKP000631006059</v>
          </cell>
          <cell r="C2237" t="str">
            <v/>
          </cell>
          <cell r="D2237" t="str">
            <v>Conjunto Sala de Jantar Mesa Tampo de Vidro 6 Cadeiras Rustic/Preto/Oxford Stéfani Madesa</v>
          </cell>
          <cell r="E2237" t="str">
            <v>STÉFANI</v>
          </cell>
          <cell r="F2237" t="str">
            <v>SALA DE JANTAR</v>
          </cell>
          <cell r="G2237">
            <v>4256</v>
          </cell>
          <cell r="H2237">
            <v>1979.99</v>
          </cell>
          <cell r="I2237">
            <v>1879.99</v>
          </cell>
          <cell r="J2237">
            <v>1441.3397</v>
          </cell>
          <cell r="K2237">
            <v>0</v>
          </cell>
          <cell r="L2237">
            <v>1441.3397</v>
          </cell>
          <cell r="M2237">
            <v>0</v>
          </cell>
          <cell r="N2237">
            <v>1879.99</v>
          </cell>
          <cell r="O2237" t="str">
            <v>MADEIRAMADEIRA</v>
          </cell>
          <cell r="P2237">
            <v>1799.99</v>
          </cell>
          <cell r="Q2237">
            <v>0.30433512654927902</v>
          </cell>
          <cell r="R2237">
            <v>0.30433512654927902</v>
          </cell>
          <cell r="S2237" t="e">
            <v>#VALUE!</v>
          </cell>
          <cell r="T2237" t="e">
            <v>#VALUE!</v>
          </cell>
        </row>
        <row r="2238">
          <cell r="A2238" t="str">
            <v>10187K3E</v>
          </cell>
          <cell r="B2238" t="str">
            <v>MKP000631002390</v>
          </cell>
          <cell r="C2238" t="str">
            <v/>
          </cell>
          <cell r="D2238" t="str">
            <v>Guarda-Roupa Casal Madesa Kansas 3 Portas de Correr de Espelho 3 Gavetas Rustic/Preto</v>
          </cell>
          <cell r="E2238" t="str">
            <v>KANSAS</v>
          </cell>
          <cell r="F2238" t="str">
            <v>QUARTO</v>
          </cell>
          <cell r="G2238" t="str">
            <v/>
          </cell>
          <cell r="H2238">
            <v>2389.9899999999998</v>
          </cell>
          <cell r="I2238">
            <v>1849.99</v>
          </cell>
          <cell r="J2238">
            <v>1523.3404</v>
          </cell>
          <cell r="K2238">
            <v>0</v>
          </cell>
          <cell r="L2238">
            <v>1523.3404</v>
          </cell>
          <cell r="M2238">
            <v>0</v>
          </cell>
          <cell r="N2238">
            <v>1849.99</v>
          </cell>
          <cell r="O2238" t="str">
            <v/>
          </cell>
          <cell r="P2238">
            <v>0</v>
          </cell>
          <cell r="Q2238">
            <v>0.21442981489888899</v>
          </cell>
          <cell r="R2238">
            <v>0.21442981489888899</v>
          </cell>
          <cell r="S2238" t="e">
            <v>#VALUE!</v>
          </cell>
          <cell r="T2238" t="e">
            <v>#VALUE!</v>
          </cell>
        </row>
        <row r="2239">
          <cell r="A2239" t="str">
            <v>GRAG2700055L</v>
          </cell>
          <cell r="B2239" t="str">
            <v>MKP000631005441</v>
          </cell>
          <cell r="C2239" t="str">
            <v/>
          </cell>
          <cell r="D2239" t="str">
            <v>Armário de Cozinha Completa 270cm Branco/Crema Agata Madesa 05</v>
          </cell>
          <cell r="E2239" t="str">
            <v>ÁGATA</v>
          </cell>
          <cell r="F2239" t="str">
            <v>COZINHA</v>
          </cell>
          <cell r="G2239" t="str">
            <v/>
          </cell>
          <cell r="H2239">
            <v>1829.99</v>
          </cell>
          <cell r="I2239">
            <v>1729.99</v>
          </cell>
          <cell r="J2239">
            <v>1370.0536999999999</v>
          </cell>
          <cell r="K2239">
            <v>0</v>
          </cell>
          <cell r="L2239">
            <v>1370.0536999999999</v>
          </cell>
          <cell r="M2239">
            <v>0</v>
          </cell>
          <cell r="N2239">
            <v>1729.99</v>
          </cell>
          <cell r="O2239" t="str">
            <v/>
          </cell>
          <cell r="P2239">
            <v>0</v>
          </cell>
          <cell r="Q2239">
            <v>0.26271692854083001</v>
          </cell>
          <cell r="R2239">
            <v>0.26271692854083001</v>
          </cell>
          <cell r="S2239" t="e">
            <v>#VALUE!</v>
          </cell>
          <cell r="T2239" t="e">
            <v>#VALUE!</v>
          </cell>
        </row>
        <row r="2240">
          <cell r="A2240" t="str">
            <v>G237557KLX</v>
          </cell>
          <cell r="B2240" t="str">
            <v>MKP000631002810</v>
          </cell>
          <cell r="C2240" t="str">
            <v/>
          </cell>
          <cell r="D2240" t="str">
            <v>Torre Quente Madesa Lux 70 cm 3 Portas Rustic/Preto</v>
          </cell>
          <cell r="E2240" t="str">
            <v>LUX</v>
          </cell>
          <cell r="F2240" t="str">
            <v>MODULAÇÃO</v>
          </cell>
          <cell r="G2240" t="str">
            <v/>
          </cell>
          <cell r="H2240">
            <v>2009.99</v>
          </cell>
          <cell r="I2240">
            <v>1559.99</v>
          </cell>
          <cell r="J2240">
            <v>842.17759999999998</v>
          </cell>
          <cell r="K2240">
            <v>0</v>
          </cell>
          <cell r="L2240">
            <v>842.17759999999998</v>
          </cell>
          <cell r="M2240">
            <v>0</v>
          </cell>
          <cell r="N2240">
            <v>1559.99</v>
          </cell>
          <cell r="O2240" t="str">
            <v>LOJA</v>
          </cell>
          <cell r="P2240">
            <v>1549.99</v>
          </cell>
          <cell r="Q2240">
            <v>0.85232900993804595</v>
          </cell>
          <cell r="R2240">
            <v>0.85232900993804595</v>
          </cell>
          <cell r="S2240" t="e">
            <v>#VALUE!</v>
          </cell>
          <cell r="T2240" t="e">
            <v>#VALUE!</v>
          </cell>
        </row>
        <row r="2241">
          <cell r="A2241" t="str">
            <v>G257027KGL</v>
          </cell>
          <cell r="B2241" t="str">
            <v>MKP000631003498</v>
          </cell>
          <cell r="C2241" t="str">
            <v/>
          </cell>
          <cell r="D2241" t="str">
            <v>Armário Aéreo de Cozinha Madesa Glamy 70 cm 1 Porta Basculante Rustic/Preto</v>
          </cell>
          <cell r="E2241" t="str">
            <v>GLAMY</v>
          </cell>
          <cell r="F2241" t="str">
            <v>MODULAÇÃO</v>
          </cell>
          <cell r="G2241" t="str">
            <v/>
          </cell>
          <cell r="H2241">
            <v>409.99</v>
          </cell>
          <cell r="I2241">
            <v>259.99</v>
          </cell>
          <cell r="J2241">
            <v>166.5847</v>
          </cell>
          <cell r="K2241">
            <v>0</v>
          </cell>
          <cell r="L2241">
            <v>166.5847</v>
          </cell>
          <cell r="M2241">
            <v>0</v>
          </cell>
          <cell r="N2241">
            <v>259.99</v>
          </cell>
          <cell r="O2241" t="str">
            <v/>
          </cell>
          <cell r="P2241">
            <v>0</v>
          </cell>
          <cell r="Q2241">
            <v>0.56070755597602895</v>
          </cell>
          <cell r="R2241">
            <v>0.56070755597602895</v>
          </cell>
          <cell r="S2241" t="e">
            <v>#VALUE!</v>
          </cell>
          <cell r="T2241" t="e">
            <v>#VALUE!</v>
          </cell>
        </row>
        <row r="2242">
          <cell r="A2242" t="str">
            <v>GCEM2930067K</v>
          </cell>
          <cell r="B2242" t="str">
            <v>MKP000631002193</v>
          </cell>
          <cell r="C2242" t="str">
            <v/>
          </cell>
          <cell r="D2242" t="str">
            <v>Armário de Cozinha Completa de Canto 293cm Rustic Emilly Line Madesa 06</v>
          </cell>
          <cell r="E2242" t="str">
            <v>LINE/EMILLY</v>
          </cell>
          <cell r="F2242" t="str">
            <v>COZINHA</v>
          </cell>
          <cell r="G2242" t="str">
            <v/>
          </cell>
          <cell r="H2242">
            <v>2179.9899999999998</v>
          </cell>
          <cell r="I2242">
            <v>1399.99</v>
          </cell>
          <cell r="J2242">
            <v>1164.1527000000001</v>
          </cell>
          <cell r="K2242">
            <v>0</v>
          </cell>
          <cell r="L2242">
            <v>1164.1527000000001</v>
          </cell>
          <cell r="M2242">
            <v>0</v>
          </cell>
          <cell r="N2242">
            <v>1399.99</v>
          </cell>
          <cell r="O2242" t="str">
            <v/>
          </cell>
          <cell r="P2242">
            <v>0</v>
          </cell>
          <cell r="Q2242">
            <v>0.202582788323216</v>
          </cell>
          <cell r="R2242">
            <v>0.202582788323216</v>
          </cell>
          <cell r="S2242" t="e">
            <v>#VALUE!</v>
          </cell>
          <cell r="T2242" t="e">
            <v>#VALUE!</v>
          </cell>
        </row>
        <row r="2243">
          <cell r="A2243" t="str">
            <v>GRGL2700115Z</v>
          </cell>
          <cell r="B2243" t="str">
            <v>MKP000631004218</v>
          </cell>
          <cell r="C2243" t="str">
            <v/>
          </cell>
          <cell r="D2243" t="str">
            <v>Armário de Cozinha Completa 270cm Rustic Glamy Madesa 11</v>
          </cell>
          <cell r="E2243" t="str">
            <v>GLAMY</v>
          </cell>
          <cell r="F2243" t="str">
            <v>COZINHA</v>
          </cell>
          <cell r="G2243" t="str">
            <v/>
          </cell>
          <cell r="H2243">
            <v>1799.99</v>
          </cell>
          <cell r="I2243">
            <v>1699.99</v>
          </cell>
          <cell r="J2243">
            <v>1419.5397</v>
          </cell>
          <cell r="K2243">
            <v>0</v>
          </cell>
          <cell r="L2243">
            <v>1419.5397</v>
          </cell>
          <cell r="M2243">
            <v>0</v>
          </cell>
          <cell r="N2243">
            <v>1699.99</v>
          </cell>
          <cell r="O2243" t="str">
            <v/>
          </cell>
          <cell r="P2243">
            <v>0</v>
          </cell>
          <cell r="Q2243">
            <v>0.197564252694025</v>
          </cell>
          <cell r="R2243">
            <v>0.197564252694025</v>
          </cell>
          <cell r="S2243" t="e">
            <v>#VALUE!</v>
          </cell>
          <cell r="T2243" t="e">
            <v>#VALUE!</v>
          </cell>
        </row>
        <row r="2244">
          <cell r="A2244" t="str">
            <v>GREM2930055Z</v>
          </cell>
          <cell r="B2244" t="str">
            <v>MKP000631005150</v>
          </cell>
          <cell r="C2244" t="str">
            <v/>
          </cell>
          <cell r="D2244" t="str">
            <v>Armário de Cozinha Completa 293cm Rustic Emilly Madesa 05</v>
          </cell>
          <cell r="E2244" t="str">
            <v>EMILLY</v>
          </cell>
          <cell r="F2244" t="str">
            <v>COZINHA</v>
          </cell>
          <cell r="G2244" t="str">
            <v/>
          </cell>
          <cell r="H2244">
            <v>1559.99</v>
          </cell>
          <cell r="I2244">
            <v>1459.99</v>
          </cell>
          <cell r="J2244">
            <v>1188.8085000000001</v>
          </cell>
          <cell r="K2244">
            <v>0</v>
          </cell>
          <cell r="L2244">
            <v>1188.8085000000001</v>
          </cell>
          <cell r="M2244">
            <v>0</v>
          </cell>
          <cell r="N2244">
            <v>1459.99</v>
          </cell>
          <cell r="O2244" t="str">
            <v/>
          </cell>
          <cell r="P2244">
            <v>0</v>
          </cell>
          <cell r="Q2244">
            <v>0.22811201299452299</v>
          </cell>
          <cell r="R2244">
            <v>0.22811201299452299</v>
          </cell>
          <cell r="S2244" t="e">
            <v>#VALUE!</v>
          </cell>
          <cell r="T2244" t="e">
            <v>#VALUE!</v>
          </cell>
        </row>
        <row r="2245">
          <cell r="A2245" t="str">
            <v>GRAG20000173</v>
          </cell>
          <cell r="B2245" t="str">
            <v>MKP000631004912</v>
          </cell>
          <cell r="C2245" t="str">
            <v/>
          </cell>
          <cell r="D2245" t="str">
            <v>Kit com 2 Balcões de Cozinha Madesa Agata 3 Gavetas 4 Portas (Sem Tampo e Pia) Branco/Preto</v>
          </cell>
          <cell r="E2245" t="str">
            <v>ÁGATA</v>
          </cell>
          <cell r="F2245" t="str">
            <v>COZINHA</v>
          </cell>
          <cell r="G2245" t="str">
            <v/>
          </cell>
          <cell r="H2245">
            <v>1169.99</v>
          </cell>
          <cell r="I2245">
            <v>1069.99</v>
          </cell>
          <cell r="J2245">
            <v>868.41390000000001</v>
          </cell>
          <cell r="K2245">
            <v>0</v>
          </cell>
          <cell r="L2245">
            <v>868.41390000000001</v>
          </cell>
          <cell r="M2245">
            <v>0</v>
          </cell>
          <cell r="N2245">
            <v>1069.99</v>
          </cell>
          <cell r="O2245" t="str">
            <v/>
          </cell>
          <cell r="P2245">
            <v>0</v>
          </cell>
          <cell r="Q2245">
            <v>0.23211984515678499</v>
          </cell>
          <cell r="R2245">
            <v>0.23211984515678499</v>
          </cell>
          <cell r="S2245" t="e">
            <v>#VALUE!</v>
          </cell>
          <cell r="T2245" t="e">
            <v>#VALUE!</v>
          </cell>
        </row>
        <row r="2246">
          <cell r="A2246" t="str">
            <v>XA10639B1RCP</v>
          </cell>
          <cell r="B2246" t="str">
            <v>MKP000631001473</v>
          </cell>
          <cell r="C2246" t="str">
            <v/>
          </cell>
          <cell r="D2246" t="str">
            <v>Guarda-Roupa Infantil Madesa Logan 100% MDF 3 Portas de Correr com Pés Branco/Branco/Rustic</v>
          </cell>
          <cell r="E2246" t="str">
            <v>LOGAN</v>
          </cell>
          <cell r="F2246" t="str">
            <v>QUARTO</v>
          </cell>
          <cell r="G2246" t="str">
            <v/>
          </cell>
          <cell r="H2246">
            <v>2589.9899999999998</v>
          </cell>
          <cell r="I2246">
            <v>1969.99</v>
          </cell>
          <cell r="J2246">
            <v>1597.5367000000001</v>
          </cell>
          <cell r="K2246">
            <v>0</v>
          </cell>
          <cell r="L2246">
            <v>1597.5367000000001</v>
          </cell>
          <cell r="M2246">
            <v>0</v>
          </cell>
          <cell r="N2246">
            <v>1969.99</v>
          </cell>
          <cell r="O2246" t="str">
            <v/>
          </cell>
          <cell r="P2246">
            <v>0</v>
          </cell>
          <cell r="Q2246">
            <v>0.23314224956459501</v>
          </cell>
          <cell r="R2246">
            <v>0.23314224956459501</v>
          </cell>
          <cell r="S2246" t="e">
            <v>#VALUE!</v>
          </cell>
          <cell r="T2246" t="e">
            <v>#VALUE!</v>
          </cell>
        </row>
        <row r="2247">
          <cell r="A2247" t="str">
            <v>MDES0200207KD8</v>
          </cell>
          <cell r="B2247" t="str">
            <v>MKP000631002805</v>
          </cell>
          <cell r="C2247" t="str">
            <v/>
          </cell>
          <cell r="D2247" t="str">
            <v>Rack Madesa Cancun com Pés e Painel para TV até 65 Polegadas Rustic/Preto 7KD8</v>
          </cell>
          <cell r="E2247" t="str">
            <v>CANCUN</v>
          </cell>
          <cell r="F2247" t="str">
            <v>SALA DE ESTAR</v>
          </cell>
          <cell r="G2247" t="str">
            <v/>
          </cell>
          <cell r="H2247">
            <v>699.99</v>
          </cell>
          <cell r="I2247">
            <v>599.99</v>
          </cell>
          <cell r="J2247">
            <v>470.45490000000001</v>
          </cell>
          <cell r="K2247">
            <v>0</v>
          </cell>
          <cell r="L2247">
            <v>470.45490000000001</v>
          </cell>
          <cell r="M2247">
            <v>0</v>
          </cell>
          <cell r="N2247">
            <v>599.99</v>
          </cell>
          <cell r="O2247" t="str">
            <v/>
          </cell>
          <cell r="P2247">
            <v>0</v>
          </cell>
          <cell r="Q2247">
            <v>0.27534010167605799</v>
          </cell>
          <cell r="R2247">
            <v>0.27534010167605799</v>
          </cell>
          <cell r="S2247" t="e">
            <v>#VALUE!</v>
          </cell>
          <cell r="T2247" t="e">
            <v>#VALUE!</v>
          </cell>
        </row>
        <row r="2248">
          <cell r="A2248" t="str">
            <v>G247507KAG</v>
          </cell>
          <cell r="B2248" t="str">
            <v>MKP000631003072</v>
          </cell>
          <cell r="C2248" t="str">
            <v/>
          </cell>
          <cell r="D2248" t="str">
            <v>Balcão de Canto Madesa Agata 1 Porta Rustic/Preto</v>
          </cell>
          <cell r="E2248" t="str">
            <v>ÁGATA</v>
          </cell>
          <cell r="F2248" t="str">
            <v>MODULAÇÃO</v>
          </cell>
          <cell r="G2248" t="str">
            <v/>
          </cell>
          <cell r="H2248">
            <v>999.99</v>
          </cell>
          <cell r="I2248">
            <v>539.99</v>
          </cell>
          <cell r="J2248">
            <v>314.9228</v>
          </cell>
          <cell r="K2248">
            <v>0</v>
          </cell>
          <cell r="L2248">
            <v>314.9228</v>
          </cell>
          <cell r="M2248">
            <v>0</v>
          </cell>
          <cell r="N2248">
            <v>539.99</v>
          </cell>
          <cell r="O2248" t="str">
            <v/>
          </cell>
          <cell r="P2248">
            <v>0</v>
          </cell>
          <cell r="Q2248">
            <v>0.71467419951810396</v>
          </cell>
          <cell r="R2248">
            <v>0.71467419951810396</v>
          </cell>
          <cell r="S2248" t="e">
            <v>#VALUE!</v>
          </cell>
          <cell r="T2248" t="e">
            <v>#VALUE!</v>
          </cell>
        </row>
        <row r="2249">
          <cell r="A2249" t="str">
            <v>GRAG280001F8</v>
          </cell>
          <cell r="B2249" t="str">
            <v>MKP000631002589</v>
          </cell>
          <cell r="C2249" t="str">
            <v/>
          </cell>
          <cell r="D2249" t="str">
            <v>Armário de Cozinha Compacta 280cm Branco/Cinza Agata Madesa 01</v>
          </cell>
          <cell r="E2249" t="str">
            <v>ÁGATA</v>
          </cell>
          <cell r="F2249" t="str">
            <v>COZINHA</v>
          </cell>
          <cell r="G2249" t="str">
            <v/>
          </cell>
          <cell r="H2249">
            <v>1299.99</v>
          </cell>
          <cell r="I2249">
            <v>1199.99</v>
          </cell>
          <cell r="J2249">
            <v>1012.2067</v>
          </cell>
          <cell r="K2249">
            <v>0</v>
          </cell>
          <cell r="L2249">
            <v>1012.2067</v>
          </cell>
          <cell r="M2249">
            <v>0</v>
          </cell>
          <cell r="N2249">
            <v>1199.99</v>
          </cell>
          <cell r="O2249" t="str">
            <v/>
          </cell>
          <cell r="P2249">
            <v>0</v>
          </cell>
          <cell r="Q2249">
            <v>0.18551872853637499</v>
          </cell>
          <cell r="R2249">
            <v>0.18551872853637499</v>
          </cell>
          <cell r="S2249" t="e">
            <v>#VALUE!</v>
          </cell>
          <cell r="T2249" t="e">
            <v>#VALUE!</v>
          </cell>
        </row>
        <row r="2250">
          <cell r="A2250" t="str">
            <v>GRRM26000409</v>
          </cell>
          <cell r="B2250" t="str">
            <v>MKP000631003186</v>
          </cell>
          <cell r="C2250" t="str">
            <v/>
          </cell>
          <cell r="D2250" t="str">
            <v>Armário de Cozinha Completa 260cm Branco Reims Madesa 04</v>
          </cell>
          <cell r="E2250" t="str">
            <v>REIMS</v>
          </cell>
          <cell r="F2250" t="str">
            <v>COZINHA</v>
          </cell>
          <cell r="G2250" t="str">
            <v/>
          </cell>
          <cell r="H2250">
            <v>3539.99</v>
          </cell>
          <cell r="I2250">
            <v>1839.99</v>
          </cell>
          <cell r="J2250">
            <v>1607.3031000000001</v>
          </cell>
          <cell r="K2250">
            <v>0</v>
          </cell>
          <cell r="L2250">
            <v>1607.3031000000001</v>
          </cell>
          <cell r="M2250">
            <v>0</v>
          </cell>
          <cell r="N2250">
            <v>1839.99</v>
          </cell>
          <cell r="O2250" t="str">
            <v/>
          </cell>
          <cell r="P2250">
            <v>0</v>
          </cell>
          <cell r="Q2250">
            <v>0.14476852561287301</v>
          </cell>
          <cell r="R2250">
            <v>0.14476852561287301</v>
          </cell>
          <cell r="S2250" t="e">
            <v>#VALUE!</v>
          </cell>
          <cell r="T2250" t="e">
            <v>#VALUE!</v>
          </cell>
        </row>
        <row r="2251">
          <cell r="A2251" t="str">
            <v>1093D82E2G</v>
          </cell>
          <cell r="B2251" t="str">
            <v>MKP000631002224</v>
          </cell>
          <cell r="C2251" t="str">
            <v/>
          </cell>
          <cell r="D2251" t="str">
            <v>Guarda-Roupa Casal Madesa Lyon 3 Portas de Correr com Espelhos 2 Gavetas Preto/Rustic</v>
          </cell>
          <cell r="E2251" t="str">
            <v>LYON</v>
          </cell>
          <cell r="F2251" t="str">
            <v>QUARTO</v>
          </cell>
          <cell r="G2251" t="str">
            <v/>
          </cell>
          <cell r="H2251">
            <v>1469.99</v>
          </cell>
          <cell r="I2251">
            <v>1199.99</v>
          </cell>
          <cell r="J2251">
            <v>969.44600000000003</v>
          </cell>
          <cell r="K2251">
            <v>0</v>
          </cell>
          <cell r="L2251">
            <v>969.44600000000003</v>
          </cell>
          <cell r="M2251">
            <v>0</v>
          </cell>
          <cell r="N2251">
            <v>1199.99</v>
          </cell>
          <cell r="O2251" t="str">
            <v/>
          </cell>
          <cell r="P2251">
            <v>0</v>
          </cell>
          <cell r="Q2251">
            <v>0.237810048213103</v>
          </cell>
          <cell r="R2251">
            <v>0.237810048213103</v>
          </cell>
          <cell r="S2251" t="e">
            <v>#VALUE!</v>
          </cell>
          <cell r="T2251" t="e">
            <v>#VALUE!</v>
          </cell>
        </row>
        <row r="2252">
          <cell r="A2252" t="str">
            <v>GRRM3000028N</v>
          </cell>
          <cell r="B2252" t="str">
            <v>MKP000631004195</v>
          </cell>
          <cell r="C2252" t="str">
            <v/>
          </cell>
          <cell r="D2252" t="str">
            <v>Armário de Cozinha Completa 300cm Preto Reims Madesa 02</v>
          </cell>
          <cell r="E2252" t="str">
            <v>REIMS</v>
          </cell>
          <cell r="F2252" t="str">
            <v>COZINHA</v>
          </cell>
          <cell r="G2252" t="str">
            <v/>
          </cell>
          <cell r="H2252">
            <v>1959.9</v>
          </cell>
          <cell r="I2252">
            <v>1819.99</v>
          </cell>
          <cell r="J2252">
            <v>1401.2494999999999</v>
          </cell>
          <cell r="K2252">
            <v>0</v>
          </cell>
          <cell r="L2252">
            <v>1401.2494999999999</v>
          </cell>
          <cell r="M2252">
            <v>0</v>
          </cell>
          <cell r="N2252">
            <v>1819.99</v>
          </cell>
          <cell r="O2252" t="str">
            <v>IMPÉRIO</v>
          </cell>
          <cell r="P2252">
            <v>1799</v>
          </cell>
          <cell r="Q2252">
            <v>0.29883364811191698</v>
          </cell>
          <cell r="R2252">
            <v>0.29883364811191698</v>
          </cell>
          <cell r="S2252" t="e">
            <v>#VALUE!</v>
          </cell>
          <cell r="T2252" t="e">
            <v>#VALUE!</v>
          </cell>
        </row>
        <row r="2253">
          <cell r="A2253" t="str">
            <v>MDES0200140909</v>
          </cell>
          <cell r="B2253" t="str">
            <v>MKP000631001555</v>
          </cell>
          <cell r="C2253" t="str">
            <v/>
          </cell>
          <cell r="D2253" t="str">
            <v>Rack Madesa Dubai e Painel para TV até 65 Polegadas com Pés Branco</v>
          </cell>
          <cell r="E2253" t="str">
            <v>DUBAI</v>
          </cell>
          <cell r="F2253" t="str">
            <v>SALA DE ESTAR</v>
          </cell>
          <cell r="G2253" t="str">
            <v/>
          </cell>
          <cell r="H2253">
            <v>1159.99</v>
          </cell>
          <cell r="I2253">
            <v>599.99</v>
          </cell>
          <cell r="J2253">
            <v>442.649</v>
          </cell>
          <cell r="K2253">
            <v>0</v>
          </cell>
          <cell r="L2253">
            <v>442.649</v>
          </cell>
          <cell r="M2253">
            <v>0</v>
          </cell>
          <cell r="N2253">
            <v>599.99</v>
          </cell>
          <cell r="O2253" t="str">
            <v/>
          </cell>
          <cell r="P2253">
            <v>0</v>
          </cell>
          <cell r="Q2253">
            <v>0.35545319203251302</v>
          </cell>
          <cell r="R2253">
            <v>0.35545319203251302</v>
          </cell>
          <cell r="S2253" t="e">
            <v>#VALUE!</v>
          </cell>
          <cell r="T2253" t="e">
            <v>#VALUE!</v>
          </cell>
        </row>
        <row r="2254">
          <cell r="A2254" t="str">
            <v>G257577KLX</v>
          </cell>
          <cell r="B2254" t="str">
            <v>MKP000631002748</v>
          </cell>
          <cell r="C2254" t="str">
            <v/>
          </cell>
          <cell r="D2254" t="str">
            <v>Armário Aéreo de Canto com Adega Acoplada Madesa Lux 1 Porta Rustic/Preto</v>
          </cell>
          <cell r="E2254" t="str">
            <v>LUX</v>
          </cell>
          <cell r="F2254" t="str">
            <v>MODULAÇÃO</v>
          </cell>
          <cell r="G2254" t="str">
            <v/>
          </cell>
          <cell r="H2254">
            <v>1139.99</v>
          </cell>
          <cell r="I2254">
            <v>819.99</v>
          </cell>
          <cell r="J2254">
            <v>412.87020000000001</v>
          </cell>
          <cell r="K2254">
            <v>0</v>
          </cell>
          <cell r="L2254">
            <v>412.87020000000001</v>
          </cell>
          <cell r="M2254">
            <v>0</v>
          </cell>
          <cell r="N2254">
            <v>819.99</v>
          </cell>
          <cell r="O2254" t="str">
            <v>LOJA</v>
          </cell>
          <cell r="P2254">
            <v>799.99</v>
          </cell>
          <cell r="Q2254">
            <v>0.98607213598850196</v>
          </cell>
          <cell r="R2254">
            <v>0.98607213598850196</v>
          </cell>
          <cell r="S2254" t="e">
            <v>#VALUE!</v>
          </cell>
          <cell r="T2254" t="e">
            <v>#VALUE!</v>
          </cell>
        </row>
        <row r="2255">
          <cell r="A2255" t="str">
            <v>GRTP1800019B</v>
          </cell>
          <cell r="B2255" t="str">
            <v>MKP000631003572</v>
          </cell>
          <cell r="C2255" t="str">
            <v/>
          </cell>
          <cell r="D2255" t="str">
            <v>Cozinha Compacta Madesa Topazio Pop com Armário, Balcão e Tampo Branco/Rustic</v>
          </cell>
          <cell r="E2255" t="str">
            <v>TOPÁZIO</v>
          </cell>
          <cell r="F2255" t="str">
            <v>COZINHA</v>
          </cell>
          <cell r="G2255" t="str">
            <v/>
          </cell>
          <cell r="H2255">
            <v>1099.99</v>
          </cell>
          <cell r="I2255">
            <v>999.99</v>
          </cell>
          <cell r="J2255">
            <v>820.06150000000002</v>
          </cell>
          <cell r="K2255">
            <v>0</v>
          </cell>
          <cell r="L2255">
            <v>820.06150000000002</v>
          </cell>
          <cell r="M2255">
            <v>0</v>
          </cell>
          <cell r="N2255">
            <v>999.99</v>
          </cell>
          <cell r="O2255" t="str">
            <v/>
          </cell>
          <cell r="P2255">
            <v>0</v>
          </cell>
          <cell r="Q2255">
            <v>0.21940854435917301</v>
          </cell>
          <cell r="R2255">
            <v>0.21940854435917301</v>
          </cell>
          <cell r="S2255" t="e">
            <v>#VALUE!</v>
          </cell>
          <cell r="T2255" t="e">
            <v>#VALUE!</v>
          </cell>
        </row>
        <row r="2256">
          <cell r="A2256" t="str">
            <v>G270807KGL</v>
          </cell>
          <cell r="B2256" t="str">
            <v>MKP000631003167</v>
          </cell>
          <cell r="C2256" t="str">
            <v/>
          </cell>
          <cell r="D2256" t="str">
            <v>Porta-Geladeira Madesa Glamy 1 Porta Basculante Rustic/Preto</v>
          </cell>
          <cell r="E2256" t="str">
            <v>GLAMY</v>
          </cell>
          <cell r="F2256" t="str">
            <v>MODULAÇÃO</v>
          </cell>
          <cell r="G2256" t="str">
            <v/>
          </cell>
          <cell r="H2256">
            <v>979.99</v>
          </cell>
          <cell r="I2256">
            <v>629.99</v>
          </cell>
          <cell r="J2256">
            <v>365.48790000000002</v>
          </cell>
          <cell r="K2256">
            <v>0</v>
          </cell>
          <cell r="L2256">
            <v>365.48790000000002</v>
          </cell>
          <cell r="M2256">
            <v>0</v>
          </cell>
          <cell r="N2256">
            <v>629.99</v>
          </cell>
          <cell r="O2256" t="str">
            <v/>
          </cell>
          <cell r="P2256">
            <v>0</v>
          </cell>
          <cell r="Q2256">
            <v>0.72369591442014902</v>
          </cell>
          <cell r="R2256">
            <v>0.72369591442014902</v>
          </cell>
          <cell r="S2256" t="e">
            <v>#VALUE!</v>
          </cell>
          <cell r="T2256" t="e">
            <v>#VALUE!</v>
          </cell>
        </row>
        <row r="2257">
          <cell r="A2257" t="str">
            <v>GREM2930107K</v>
          </cell>
          <cell r="B2257" t="str">
            <v>MKP000631005868</v>
          </cell>
          <cell r="C2257" t="str">
            <v/>
          </cell>
          <cell r="D2257" t="str">
            <v>Armário de Cozinha Completa 293cm Rustic/Preto Emilly Madesa 10</v>
          </cell>
          <cell r="E2257" t="str">
            <v>EMILLY</v>
          </cell>
          <cell r="F2257" t="str">
            <v>COZINHA</v>
          </cell>
          <cell r="G2257" t="str">
            <v/>
          </cell>
          <cell r="H2257">
            <v>1249.99</v>
          </cell>
          <cell r="I2257">
            <v>1149.99</v>
          </cell>
          <cell r="J2257">
            <v>910.59690000000001</v>
          </cell>
          <cell r="K2257">
            <v>0</v>
          </cell>
          <cell r="L2257">
            <v>910.59690000000001</v>
          </cell>
          <cell r="M2257">
            <v>0</v>
          </cell>
          <cell r="N2257">
            <v>1149.99</v>
          </cell>
          <cell r="O2257" t="str">
            <v/>
          </cell>
          <cell r="P2257">
            <v>0</v>
          </cell>
          <cell r="Q2257">
            <v>0.262896897628358</v>
          </cell>
          <cell r="R2257">
            <v>0.262896897628358</v>
          </cell>
          <cell r="S2257" t="e">
            <v>#VALUE!</v>
          </cell>
          <cell r="T2257" t="e">
            <v>#VALUE!</v>
          </cell>
        </row>
        <row r="2258">
          <cell r="A2258" t="str">
            <v>1063D8</v>
          </cell>
          <cell r="B2258" t="str">
            <v>MKP000631003031</v>
          </cell>
          <cell r="C2258" t="str">
            <v/>
          </cell>
          <cell r="D2258" t="str">
            <v>Guarda-Roupa Casal 100% MDF Madesa Royale 3 Portas de Correr Preto/Rustic</v>
          </cell>
          <cell r="E2258" t="str">
            <v>ROYALE</v>
          </cell>
          <cell r="F2258" t="str">
            <v>QUARTO</v>
          </cell>
          <cell r="G2258" t="str">
            <v/>
          </cell>
          <cell r="H2258">
            <v>2519.9899999999998</v>
          </cell>
          <cell r="I2258">
            <v>2099.9899999999998</v>
          </cell>
          <cell r="J2258">
            <v>1551.3534</v>
          </cell>
          <cell r="K2258">
            <v>0</v>
          </cell>
          <cell r="L2258">
            <v>1551.3534</v>
          </cell>
          <cell r="M2258">
            <v>0</v>
          </cell>
          <cell r="N2258">
            <v>2099.9899999999998</v>
          </cell>
          <cell r="O2258" t="str">
            <v/>
          </cell>
          <cell r="P2258">
            <v>0</v>
          </cell>
          <cell r="Q2258">
            <v>0.35365030301928602</v>
          </cell>
          <cell r="R2258">
            <v>0.35365030301928602</v>
          </cell>
          <cell r="S2258" t="e">
            <v>#VALUE!</v>
          </cell>
          <cell r="T2258" t="e">
            <v>#VALUE!</v>
          </cell>
        </row>
        <row r="2259">
          <cell r="A2259" t="str">
            <v>GREM1690017K</v>
          </cell>
          <cell r="B2259" t="str">
            <v>MKP000631001818</v>
          </cell>
          <cell r="C2259" t="str">
            <v/>
          </cell>
          <cell r="D2259" t="str">
            <v>Armário de Cozinha Compacta 169cm Rustic/Preto Emilly Free Madesa 01</v>
          </cell>
          <cell r="E2259" t="str">
            <v>FREE/EMILLY</v>
          </cell>
          <cell r="F2259" t="str">
            <v>COZINHA</v>
          </cell>
          <cell r="G2259" t="str">
            <v/>
          </cell>
          <cell r="H2259">
            <v>1269.99</v>
          </cell>
          <cell r="I2259">
            <v>799.99</v>
          </cell>
          <cell r="J2259">
            <v>529.99069999999995</v>
          </cell>
          <cell r="K2259">
            <v>0</v>
          </cell>
          <cell r="L2259">
            <v>529.99069999999995</v>
          </cell>
          <cell r="M2259">
            <v>0</v>
          </cell>
          <cell r="N2259">
            <v>799.99</v>
          </cell>
          <cell r="O2259" t="str">
            <v/>
          </cell>
          <cell r="P2259">
            <v>0</v>
          </cell>
          <cell r="Q2259">
            <v>0.50944158076736101</v>
          </cell>
          <cell r="R2259">
            <v>0.50944158076736101</v>
          </cell>
          <cell r="S2259" t="e">
            <v>#VALUE!</v>
          </cell>
          <cell r="T2259" t="e">
            <v>#VALUE!</v>
          </cell>
        </row>
        <row r="2260">
          <cell r="A2260" t="str">
            <v>G256005ZTE</v>
          </cell>
          <cell r="B2260" t="str">
            <v>MKP000631002167</v>
          </cell>
          <cell r="C2260" t="str">
            <v/>
          </cell>
          <cell r="D2260" t="str">
            <v>Armário Aéreo Madesa Stella 60 cm 1 Porta Rustic</v>
          </cell>
          <cell r="E2260" t="str">
            <v>STELLA</v>
          </cell>
          <cell r="F2260" t="str">
            <v>MODULAÇÃO</v>
          </cell>
          <cell r="G2260" t="str">
            <v/>
          </cell>
          <cell r="H2260">
            <v>439.99</v>
          </cell>
          <cell r="I2260">
            <v>319.99</v>
          </cell>
          <cell r="J2260">
            <v>184.84219999999999</v>
          </cell>
          <cell r="K2260">
            <v>0</v>
          </cell>
          <cell r="L2260">
            <v>184.84219999999999</v>
          </cell>
          <cell r="M2260">
            <v>0</v>
          </cell>
          <cell r="N2260">
            <v>319.99</v>
          </cell>
          <cell r="O2260" t="str">
            <v/>
          </cell>
          <cell r="P2260">
            <v>0</v>
          </cell>
          <cell r="Q2260">
            <v>0.73115230180121205</v>
          </cell>
          <cell r="R2260">
            <v>0.73115230180121205</v>
          </cell>
          <cell r="S2260" t="e">
            <v>#VALUE!</v>
          </cell>
          <cell r="T2260" t="e">
            <v>#VALUE!</v>
          </cell>
        </row>
        <row r="2261">
          <cell r="A2261" t="str">
            <v>GRLX20000173</v>
          </cell>
          <cell r="B2261" t="str">
            <v>MKP000631003340</v>
          </cell>
          <cell r="C2261" t="str">
            <v/>
          </cell>
          <cell r="D2261" t="str">
            <v>Armário de Cozinha Compacta 200cm Branco/Preto Lux Madesa 01</v>
          </cell>
          <cell r="E2261" t="str">
            <v>LUX</v>
          </cell>
          <cell r="F2261" t="str">
            <v>COZINHA</v>
          </cell>
          <cell r="G2261" t="str">
            <v/>
          </cell>
          <cell r="H2261">
            <v>3229.99</v>
          </cell>
          <cell r="I2261">
            <v>3129.99</v>
          </cell>
          <cell r="J2261">
            <v>1757.2653</v>
          </cell>
          <cell r="K2261">
            <v>0</v>
          </cell>
          <cell r="L2261">
            <v>1757.2653</v>
          </cell>
          <cell r="M2261">
            <v>0</v>
          </cell>
          <cell r="N2261">
            <v>3129.99</v>
          </cell>
          <cell r="O2261" t="str">
            <v>LOJA</v>
          </cell>
          <cell r="P2261">
            <v>2749.99</v>
          </cell>
          <cell r="Q2261">
            <v>0.78117100474242496</v>
          </cell>
          <cell r="R2261">
            <v>0.78117100474242496</v>
          </cell>
          <cell r="S2261" t="e">
            <v>#VALUE!</v>
          </cell>
          <cell r="T2261" t="e">
            <v>#VALUE!</v>
          </cell>
        </row>
        <row r="2262">
          <cell r="A2262" t="str">
            <v>GRGL190004A8</v>
          </cell>
          <cell r="B2262" t="str">
            <v>MKP000631000537</v>
          </cell>
          <cell r="C2262" t="str">
            <v/>
          </cell>
          <cell r="D2262" t="str">
            <v>Cozinha Compacta Madesa Lívia 6 Portas 2 Gavetas (Sem Tampo e Pia) Branco/Rustic/Branco</v>
          </cell>
          <cell r="E2262" t="str">
            <v>LÍVIA/GLAMY</v>
          </cell>
          <cell r="F2262" t="str">
            <v>COZINHA</v>
          </cell>
          <cell r="G2262" t="str">
            <v/>
          </cell>
          <cell r="H2262">
            <v>1699.99</v>
          </cell>
          <cell r="I2262">
            <v>1599.99</v>
          </cell>
          <cell r="J2262">
            <v>1311.8695</v>
          </cell>
          <cell r="K2262">
            <v>0</v>
          </cell>
          <cell r="L2262">
            <v>1311.8695</v>
          </cell>
          <cell r="M2262">
            <v>0</v>
          </cell>
          <cell r="N2262">
            <v>1599.99</v>
          </cell>
          <cell r="O2262" t="str">
            <v/>
          </cell>
          <cell r="P2262">
            <v>0</v>
          </cell>
          <cell r="Q2262">
            <v>0.21962588504420599</v>
          </cell>
          <cell r="R2262">
            <v>0.21962588504420599</v>
          </cell>
          <cell r="S2262" t="e">
            <v>#VALUE!</v>
          </cell>
          <cell r="T2262" t="e">
            <v>#VALUE!</v>
          </cell>
        </row>
        <row r="2263">
          <cell r="A2263" t="str">
            <v>GRGL3100026E</v>
          </cell>
          <cell r="B2263" t="str">
            <v>MKP000631004359</v>
          </cell>
          <cell r="C2263" t="str">
            <v/>
          </cell>
          <cell r="D2263" t="str">
            <v>Armário de Cozinha Completa 310cm Rustic/Branco Glamy Madesa 02</v>
          </cell>
          <cell r="E2263" t="str">
            <v>GLAMY</v>
          </cell>
          <cell r="F2263" t="str">
            <v>COZINHA</v>
          </cell>
          <cell r="G2263" t="str">
            <v/>
          </cell>
          <cell r="H2263">
            <v>2599.9899999999998</v>
          </cell>
          <cell r="I2263">
            <v>2499.9899999999998</v>
          </cell>
          <cell r="J2263">
            <v>2091.3067000000001</v>
          </cell>
          <cell r="K2263">
            <v>0</v>
          </cell>
          <cell r="L2263">
            <v>2091.3067000000001</v>
          </cell>
          <cell r="M2263">
            <v>0</v>
          </cell>
          <cell r="N2263">
            <v>2499.9899999999998</v>
          </cell>
          <cell r="O2263" t="str">
            <v/>
          </cell>
          <cell r="P2263">
            <v>0</v>
          </cell>
          <cell r="Q2263">
            <v>0.195420069184496</v>
          </cell>
          <cell r="R2263">
            <v>0.195420069184496</v>
          </cell>
          <cell r="S2263" t="e">
            <v>#VALUE!</v>
          </cell>
          <cell r="T2263" t="e">
            <v>#VALUE!</v>
          </cell>
        </row>
        <row r="2264">
          <cell r="A2264" t="str">
            <v>11639B2E1RCP</v>
          </cell>
          <cell r="B2264" t="str">
            <v>MKP000631001190</v>
          </cell>
          <cell r="C2264" t="str">
            <v/>
          </cell>
          <cell r="D2264" t="str">
            <v>Guarda-Roupa Casal 100% MDF Madesa Eros 3 Portas de Correr com Espelhos com Pés Branco/Branco/Rustic</v>
          </cell>
          <cell r="E2264" t="str">
            <v>EROS</v>
          </cell>
          <cell r="F2264" t="str">
            <v>QUARTO</v>
          </cell>
          <cell r="G2264" t="str">
            <v/>
          </cell>
          <cell r="H2264">
            <v>3049.99</v>
          </cell>
          <cell r="I2264">
            <v>2299.9899999999998</v>
          </cell>
          <cell r="J2264">
            <v>1857.3927000000001</v>
          </cell>
          <cell r="K2264">
            <v>0</v>
          </cell>
          <cell r="L2264">
            <v>1857.3927000000001</v>
          </cell>
          <cell r="M2264">
            <v>0</v>
          </cell>
          <cell r="N2264">
            <v>2299.9899999999998</v>
          </cell>
          <cell r="O2264" t="str">
            <v/>
          </cell>
          <cell r="P2264">
            <v>0</v>
          </cell>
          <cell r="Q2264">
            <v>0.23828956579833599</v>
          </cell>
          <cell r="R2264">
            <v>0.23828956579833599</v>
          </cell>
          <cell r="S2264" t="e">
            <v>#VALUE!</v>
          </cell>
          <cell r="T2264" t="e">
            <v>#VALUE!</v>
          </cell>
        </row>
        <row r="2265">
          <cell r="A2265" t="str">
            <v>10939B2G</v>
          </cell>
          <cell r="B2265" t="str">
            <v>MKP000631000817</v>
          </cell>
          <cell r="C2265" t="str">
            <v/>
          </cell>
          <cell r="D2265" t="str">
            <v>Guarda-Roupa Casal Madesa Lyon 3 Portas de Correr 2 Gavetas Branco/Rustic</v>
          </cell>
          <cell r="E2265" t="str">
            <v>LYON</v>
          </cell>
          <cell r="F2265" t="str">
            <v>QUARTO</v>
          </cell>
          <cell r="G2265" t="str">
            <v/>
          </cell>
          <cell r="H2265">
            <v>1139.99</v>
          </cell>
          <cell r="I2265">
            <v>899.99</v>
          </cell>
          <cell r="J2265">
            <v>709.59</v>
          </cell>
          <cell r="K2265">
            <v>0</v>
          </cell>
          <cell r="L2265">
            <v>709.59</v>
          </cell>
          <cell r="M2265">
            <v>0</v>
          </cell>
          <cell r="N2265">
            <v>899.99</v>
          </cell>
          <cell r="O2265" t="str">
            <v/>
          </cell>
          <cell r="P2265">
            <v>0</v>
          </cell>
          <cell r="Q2265">
            <v>0.268323961724376</v>
          </cell>
          <cell r="R2265">
            <v>0.268323961724376</v>
          </cell>
          <cell r="S2265" t="e">
            <v>#VALUE!</v>
          </cell>
          <cell r="T2265" t="e">
            <v>#VALUE!</v>
          </cell>
        </row>
        <row r="2266">
          <cell r="A2266" t="str">
            <v>10286E2E</v>
          </cell>
          <cell r="B2266" t="str">
            <v>MKP000631003469</v>
          </cell>
          <cell r="C2266" t="str">
            <v/>
          </cell>
          <cell r="D2266" t="str">
            <v>Guarda-Roupa Casal Madesa Austin 4 Portas de Correr com Espelhos 3 Gavetas Rustic/Branco</v>
          </cell>
          <cell r="E2266" t="str">
            <v>AUSTIN</v>
          </cell>
          <cell r="F2266" t="str">
            <v>QUARTO</v>
          </cell>
          <cell r="G2266" t="str">
            <v/>
          </cell>
          <cell r="H2266">
            <v>2839.99</v>
          </cell>
          <cell r="I2266">
            <v>1779.99</v>
          </cell>
          <cell r="J2266">
            <v>1393.0853999999999</v>
          </cell>
          <cell r="K2266">
            <v>0</v>
          </cell>
          <cell r="L2266">
            <v>1393.0853999999999</v>
          </cell>
          <cell r="M2266">
            <v>0</v>
          </cell>
          <cell r="N2266">
            <v>1779.99</v>
          </cell>
          <cell r="O2266" t="str">
            <v>COLOMBO</v>
          </cell>
          <cell r="P2266">
            <v>1629.99</v>
          </cell>
          <cell r="Q2266">
            <v>0.277732147648665</v>
          </cell>
          <cell r="R2266">
            <v>0.277732147648665</v>
          </cell>
          <cell r="S2266" t="e">
            <v>#VALUE!</v>
          </cell>
          <cell r="T2266" t="e">
            <v>#VALUE!</v>
          </cell>
        </row>
        <row r="2267">
          <cell r="A2267" t="str">
            <v>G2512009GL</v>
          </cell>
          <cell r="B2267" t="str">
            <v>MKP000631000478</v>
          </cell>
          <cell r="C2267" t="str">
            <v/>
          </cell>
          <cell r="D2267" t="str">
            <v>Armário Aéreo Madesa Glamy 120 cm 2 Portas com Vidro Branco</v>
          </cell>
          <cell r="E2267" t="str">
            <v>GLAMY</v>
          </cell>
          <cell r="F2267" t="str">
            <v>MODULAÇÃO</v>
          </cell>
          <cell r="G2267" t="str">
            <v/>
          </cell>
          <cell r="H2267">
            <v>949.99</v>
          </cell>
          <cell r="I2267">
            <v>529.99</v>
          </cell>
          <cell r="J2267">
            <v>346.32569999999998</v>
          </cell>
          <cell r="K2267">
            <v>0</v>
          </cell>
          <cell r="L2267">
            <v>346.32569999999998</v>
          </cell>
          <cell r="M2267">
            <v>0</v>
          </cell>
          <cell r="N2267">
            <v>529.99</v>
          </cell>
          <cell r="O2267" t="str">
            <v/>
          </cell>
          <cell r="P2267">
            <v>0</v>
          </cell>
          <cell r="Q2267">
            <v>0.53032246812754602</v>
          </cell>
          <cell r="R2267">
            <v>0.53032246812754602</v>
          </cell>
          <cell r="S2267" t="e">
            <v>#VALUE!</v>
          </cell>
          <cell r="T2267" t="e">
            <v>#VALUE!</v>
          </cell>
        </row>
        <row r="2268">
          <cell r="A2268" t="str">
            <v>G24601F9AG</v>
          </cell>
          <cell r="B2268" t="str">
            <v>MKP000631002623</v>
          </cell>
          <cell r="C2268" t="str">
            <v/>
          </cell>
          <cell r="D2268" t="str">
            <v>Balcão Madesa Agata 60 cm 3 Gavetas Rustic/Cinza</v>
          </cell>
          <cell r="E2268" t="str">
            <v>ÁGATA</v>
          </cell>
          <cell r="F2268" t="str">
            <v>MODULAÇÃO</v>
          </cell>
          <cell r="G2268" t="str">
            <v/>
          </cell>
          <cell r="H2268">
            <v>1019.99</v>
          </cell>
          <cell r="I2268">
            <v>579.99</v>
          </cell>
          <cell r="J2268">
            <v>373.48849999999999</v>
          </cell>
          <cell r="K2268">
            <v>0</v>
          </cell>
          <cell r="L2268">
            <v>373.48849999999999</v>
          </cell>
          <cell r="M2268">
            <v>0</v>
          </cell>
          <cell r="N2268">
            <v>579.99</v>
          </cell>
          <cell r="O2268" t="str">
            <v/>
          </cell>
          <cell r="P2268">
            <v>0</v>
          </cell>
          <cell r="Q2268">
            <v>0.55289921911919704</v>
          </cell>
          <cell r="R2268">
            <v>0.55289921911919704</v>
          </cell>
          <cell r="S2268" t="e">
            <v>#VALUE!</v>
          </cell>
          <cell r="T2268" t="e">
            <v>#VALUE!</v>
          </cell>
        </row>
        <row r="2269">
          <cell r="A2269" t="str">
            <v>G254027KLX</v>
          </cell>
          <cell r="B2269" t="str">
            <v>MKP000631002753</v>
          </cell>
          <cell r="C2269" t="str">
            <v/>
          </cell>
          <cell r="D2269" t="str">
            <v>Armário Aéreo Madesa Lux 40 x 83 cm 1 Porta Rustic/Preto</v>
          </cell>
          <cell r="E2269" t="str">
            <v>LUX</v>
          </cell>
          <cell r="F2269" t="str">
            <v>MODULAÇÃO</v>
          </cell>
          <cell r="G2269" t="str">
            <v/>
          </cell>
          <cell r="H2269">
            <v>659.99</v>
          </cell>
          <cell r="I2269">
            <v>519.99</v>
          </cell>
          <cell r="J2269">
            <v>286.779</v>
          </cell>
          <cell r="K2269">
            <v>0</v>
          </cell>
          <cell r="L2269">
            <v>286.779</v>
          </cell>
          <cell r="M2269">
            <v>0</v>
          </cell>
          <cell r="N2269">
            <v>519.99</v>
          </cell>
          <cell r="O2269" t="str">
            <v>LOJA</v>
          </cell>
          <cell r="P2269">
            <v>499.99</v>
          </cell>
          <cell r="Q2269">
            <v>0.81320808008954604</v>
          </cell>
          <cell r="R2269">
            <v>0.81320808008954604</v>
          </cell>
          <cell r="S2269" t="e">
            <v>#VALUE!</v>
          </cell>
          <cell r="T2269" t="e">
            <v>#VALUE!</v>
          </cell>
        </row>
        <row r="2270">
          <cell r="A2270" t="str">
            <v>GRGL3100017K</v>
          </cell>
          <cell r="B2270" t="str">
            <v>MKP000631004365</v>
          </cell>
          <cell r="C2270" t="str">
            <v/>
          </cell>
          <cell r="D2270" t="str">
            <v>Armário de Cozinha Completa 310cm Rustic Preto Glamy Madesa 01</v>
          </cell>
          <cell r="E2270" t="str">
            <v>GLAMY</v>
          </cell>
          <cell r="F2270" t="str">
            <v>COZINHA</v>
          </cell>
          <cell r="G2270" t="str">
            <v/>
          </cell>
          <cell r="H2270">
            <v>2579.9</v>
          </cell>
          <cell r="I2270">
            <v>2469.9899999999998</v>
          </cell>
          <cell r="J2270">
            <v>2041.7117000000001</v>
          </cell>
          <cell r="K2270">
            <v>0</v>
          </cell>
          <cell r="L2270">
            <v>2041.7117000000001</v>
          </cell>
          <cell r="M2270">
            <v>0</v>
          </cell>
          <cell r="N2270">
            <v>2469.9899999999998</v>
          </cell>
          <cell r="O2270" t="str">
            <v/>
          </cell>
          <cell r="P2270">
            <v>0</v>
          </cell>
          <cell r="Q2270">
            <v>0.20976433646337</v>
          </cell>
          <cell r="R2270">
            <v>0.20976433646337</v>
          </cell>
          <cell r="S2270" t="e">
            <v>#VALUE!</v>
          </cell>
          <cell r="T2270" t="e">
            <v>#VALUE!</v>
          </cell>
        </row>
        <row r="2271">
          <cell r="A2271" t="str">
            <v>G200969BV1</v>
          </cell>
          <cell r="B2271" t="str">
            <v>MKP000631003412</v>
          </cell>
          <cell r="C2271" t="str">
            <v/>
          </cell>
          <cell r="D2271" t="str">
            <v>Balcão de Canto Madesa Smart 100% MDF com Tampo 1 Porta Branco/Rustic</v>
          </cell>
          <cell r="E2271" t="str">
            <v>SMART</v>
          </cell>
          <cell r="F2271" t="str">
            <v>MODULAÇÃO</v>
          </cell>
          <cell r="G2271" t="str">
            <v/>
          </cell>
          <cell r="H2271">
            <v>869.99</v>
          </cell>
          <cell r="I2271">
            <v>359.99</v>
          </cell>
          <cell r="J2271">
            <v>244.9666</v>
          </cell>
          <cell r="K2271">
            <v>0</v>
          </cell>
          <cell r="L2271">
            <v>244.9666</v>
          </cell>
          <cell r="M2271">
            <v>0</v>
          </cell>
          <cell r="N2271">
            <v>359.99</v>
          </cell>
          <cell r="O2271" t="str">
            <v/>
          </cell>
          <cell r="P2271">
            <v>0</v>
          </cell>
          <cell r="Q2271">
            <v>0.46954727705736199</v>
          </cell>
          <cell r="R2271">
            <v>0.46954727705736199</v>
          </cell>
          <cell r="S2271" t="e">
            <v>#VALUE!</v>
          </cell>
          <cell r="T2271" t="e">
            <v>#VALUE!</v>
          </cell>
        </row>
        <row r="2272">
          <cell r="A2272" t="str">
            <v>GRLX260008H7</v>
          </cell>
          <cell r="B2272" t="str">
            <v>MKP000631004857</v>
          </cell>
          <cell r="C2272" t="str">
            <v/>
          </cell>
          <cell r="D2272" t="str">
            <v>Armário de Cozinha Completa 260cm Branco Veludo Lux Madesa 08</v>
          </cell>
          <cell r="E2272" t="str">
            <v>LUX</v>
          </cell>
          <cell r="F2272" t="str">
            <v>COZINHA</v>
          </cell>
          <cell r="G2272" t="str">
            <v/>
          </cell>
          <cell r="H2272">
            <v>3839.99</v>
          </cell>
          <cell r="I2272">
            <v>3739.99</v>
          </cell>
          <cell r="J2272">
            <v>2257.0956999999999</v>
          </cell>
          <cell r="K2272">
            <v>0</v>
          </cell>
          <cell r="L2272">
            <v>2257.0956999999999</v>
          </cell>
          <cell r="M2272">
            <v>0</v>
          </cell>
          <cell r="N2272">
            <v>3739.99</v>
          </cell>
          <cell r="O2272" t="str">
            <v>LOJA</v>
          </cell>
          <cell r="P2272">
            <v>3289.99</v>
          </cell>
          <cell r="Q2272">
            <v>0.65699221348921899</v>
          </cell>
          <cell r="R2272">
            <v>0.65699221348921899</v>
          </cell>
          <cell r="S2272" t="e">
            <v>#VALUE!</v>
          </cell>
          <cell r="T2272" t="e">
            <v>#VALUE!</v>
          </cell>
        </row>
        <row r="2273">
          <cell r="A2273" t="str">
            <v>53635Z2TP</v>
          </cell>
          <cell r="B2273" t="str">
            <v>MKP000631000110</v>
          </cell>
          <cell r="C2273" t="str">
            <v/>
          </cell>
          <cell r="D2273" t="str">
            <v>Mesa de Jantar Madesa Quadrada Tampo de Vidro 5363 Rustic/Preto</v>
          </cell>
          <cell r="E2273">
            <v>5363</v>
          </cell>
          <cell r="F2273" t="str">
            <v>SALA DE JANTAR</v>
          </cell>
          <cell r="G2273" t="str">
            <v/>
          </cell>
          <cell r="H2273">
            <v>669.99</v>
          </cell>
          <cell r="I2273">
            <v>479.99</v>
          </cell>
          <cell r="J2273">
            <v>255.32159999999999</v>
          </cell>
          <cell r="K2273">
            <v>0</v>
          </cell>
          <cell r="L2273">
            <v>255.32159999999999</v>
          </cell>
          <cell r="M2273">
            <v>0</v>
          </cell>
          <cell r="N2273">
            <v>479.99</v>
          </cell>
          <cell r="O2273" t="str">
            <v/>
          </cell>
          <cell r="P2273">
            <v>0</v>
          </cell>
          <cell r="Q2273">
            <v>0.87994278588258901</v>
          </cell>
          <cell r="R2273">
            <v>0.87994278588258901</v>
          </cell>
          <cell r="S2273" t="e">
            <v>#VALUE!</v>
          </cell>
          <cell r="T2273" t="e">
            <v>#VALUE!</v>
          </cell>
        </row>
        <row r="2274">
          <cell r="A2274" t="str">
            <v>MDJA0401057GSIM</v>
          </cell>
          <cell r="B2274" t="str">
            <v>MKP000631003204</v>
          </cell>
          <cell r="C2274" t="str">
            <v/>
          </cell>
          <cell r="D2274" t="str">
            <v>Conjunto Sala de Jantar Madesa Flavia Mesa Tampo de Madeira com 4 Cadeiras Rustic/Crema/Imperial</v>
          </cell>
          <cell r="E2274" t="str">
            <v>FLAVIA</v>
          </cell>
          <cell r="F2274" t="str">
            <v>SALA DE JANTAR</v>
          </cell>
          <cell r="G2274">
            <v>4255</v>
          </cell>
          <cell r="H2274">
            <v>1709.99</v>
          </cell>
          <cell r="I2274">
            <v>1089.99</v>
          </cell>
          <cell r="J2274">
            <v>833.90449999999998</v>
          </cell>
          <cell r="K2274">
            <v>0</v>
          </cell>
          <cell r="L2274">
            <v>833.90449999999998</v>
          </cell>
          <cell r="M2274">
            <v>0</v>
          </cell>
          <cell r="N2274">
            <v>1089.99</v>
          </cell>
          <cell r="O2274" t="str">
            <v/>
          </cell>
          <cell r="P2274">
            <v>0</v>
          </cell>
          <cell r="Q2274">
            <v>0.307092119061595</v>
          </cell>
          <cell r="R2274">
            <v>0.307092119061595</v>
          </cell>
          <cell r="S2274" t="e">
            <v>#VALUE!</v>
          </cell>
          <cell r="T2274" t="e">
            <v>#VALUE!</v>
          </cell>
        </row>
        <row r="2275">
          <cell r="A2275" t="str">
            <v>G2575209GL</v>
          </cell>
          <cell r="B2275" t="str">
            <v>MKP000631000486</v>
          </cell>
          <cell r="C2275" t="str">
            <v/>
          </cell>
          <cell r="D2275" t="str">
            <v>Armário Aéreo de Canto Madesa Glamy 1 Porta Branco</v>
          </cell>
          <cell r="E2275" t="str">
            <v>GLAMY</v>
          </cell>
          <cell r="F2275" t="str">
            <v>MODULAÇÃO</v>
          </cell>
          <cell r="G2275" t="str">
            <v/>
          </cell>
          <cell r="H2275">
            <v>759.99</v>
          </cell>
          <cell r="I2275">
            <v>429.99</v>
          </cell>
          <cell r="J2275">
            <v>245.51159999999999</v>
          </cell>
          <cell r="K2275">
            <v>0</v>
          </cell>
          <cell r="L2275">
            <v>245.51159999999999</v>
          </cell>
          <cell r="M2275">
            <v>0</v>
          </cell>
          <cell r="N2275">
            <v>429.99</v>
          </cell>
          <cell r="O2275" t="str">
            <v/>
          </cell>
          <cell r="P2275">
            <v>0</v>
          </cell>
          <cell r="Q2275">
            <v>0.75140400697971099</v>
          </cell>
          <cell r="R2275">
            <v>0.75140400697971099</v>
          </cell>
          <cell r="S2275" t="e">
            <v>#VALUE!</v>
          </cell>
          <cell r="T2275" t="e">
            <v>#VALUE!</v>
          </cell>
        </row>
        <row r="2276">
          <cell r="A2276" t="str">
            <v>GCGM4090019B</v>
          </cell>
          <cell r="B2276" t="str">
            <v>MKP000631004303</v>
          </cell>
          <cell r="C2276" t="str">
            <v/>
          </cell>
          <cell r="D2276" t="str">
            <v>Armário de Cozinha Completa de Canto 100% MDF 409cm Branco/Rustic Acordes Madesa 01</v>
          </cell>
          <cell r="E2276" t="str">
            <v>ACORDES</v>
          </cell>
          <cell r="F2276" t="str">
            <v>COZINHA</v>
          </cell>
          <cell r="G2276" t="str">
            <v/>
          </cell>
          <cell r="H2276">
            <v>3599.99</v>
          </cell>
          <cell r="I2276">
            <v>2539.9899999999998</v>
          </cell>
          <cell r="J2276">
            <v>2179.3024</v>
          </cell>
          <cell r="K2276">
            <v>0</v>
          </cell>
          <cell r="L2276">
            <v>2179.3024</v>
          </cell>
          <cell r="M2276">
            <v>0</v>
          </cell>
          <cell r="N2276">
            <v>2539.9899999999998</v>
          </cell>
          <cell r="O2276" t="str">
            <v/>
          </cell>
          <cell r="P2276">
            <v>0</v>
          </cell>
          <cell r="Q2276">
            <v>0.16550598943955599</v>
          </cell>
          <cell r="R2276">
            <v>0.16550598943955599</v>
          </cell>
          <cell r="S2276" t="e">
            <v>#VALUE!</v>
          </cell>
          <cell r="T2276" t="e">
            <v>#VALUE!</v>
          </cell>
        </row>
        <row r="2277">
          <cell r="A2277" t="str">
            <v>MDJA0601316ESIM</v>
          </cell>
          <cell r="B2277" t="str">
            <v>MKP000631003206</v>
          </cell>
          <cell r="C2277" t="str">
            <v/>
          </cell>
          <cell r="D2277" t="str">
            <v>Conjunto Sala de Jantar Madesa Patricia Mesa Tampo de Vidro com 6 Cadeiras Rustic/Branco/Imperial</v>
          </cell>
          <cell r="E2277" t="str">
            <v>PATRICIA</v>
          </cell>
          <cell r="F2277" t="str">
            <v>SALA DE JANTAR</v>
          </cell>
          <cell r="G2277">
            <v>4255</v>
          </cell>
          <cell r="H2277">
            <v>1799.99</v>
          </cell>
          <cell r="I2277">
            <v>1699.99</v>
          </cell>
          <cell r="J2277">
            <v>1326.8243</v>
          </cell>
          <cell r="K2277">
            <v>0</v>
          </cell>
          <cell r="L2277">
            <v>1326.8243</v>
          </cell>
          <cell r="M2277">
            <v>0</v>
          </cell>
          <cell r="N2277">
            <v>1699.99</v>
          </cell>
          <cell r="O2277" t="str">
            <v>IMPÉRIO</v>
          </cell>
          <cell r="P2277">
            <v>1859</v>
          </cell>
          <cell r="Q2277">
            <v>0.28124726084682</v>
          </cell>
          <cell r="R2277">
            <v>0.28124726084682</v>
          </cell>
          <cell r="S2277" t="e">
            <v>#VALUE!</v>
          </cell>
          <cell r="T2277" t="e">
            <v>#VALUE!</v>
          </cell>
        </row>
        <row r="2278">
          <cell r="A2278" t="str">
            <v>GCGM4590019B</v>
          </cell>
          <cell r="B2278" t="str">
            <v>MKP000631004301</v>
          </cell>
          <cell r="C2278" t="str">
            <v/>
          </cell>
          <cell r="D2278" t="str">
            <v>Armário de Cozinha Completa de Canto 100% MDF 459cm Branco/Rustic Acordes Madesa 01</v>
          </cell>
          <cell r="E2278" t="str">
            <v>ACORDES</v>
          </cell>
          <cell r="F2278" t="str">
            <v>COZINHA</v>
          </cell>
          <cell r="G2278" t="str">
            <v/>
          </cell>
          <cell r="H2278">
            <v>4309.99</v>
          </cell>
          <cell r="I2278">
            <v>3199.99</v>
          </cell>
          <cell r="J2278">
            <v>2709.4238999999998</v>
          </cell>
          <cell r="K2278">
            <v>0</v>
          </cell>
          <cell r="L2278">
            <v>2709.4238999999998</v>
          </cell>
          <cell r="M2278">
            <v>0</v>
          </cell>
          <cell r="N2278">
            <v>3199.99</v>
          </cell>
          <cell r="O2278" t="str">
            <v/>
          </cell>
          <cell r="P2278">
            <v>0</v>
          </cell>
          <cell r="Q2278">
            <v>0.18105919121773401</v>
          </cell>
          <cell r="R2278">
            <v>0.18105919121773401</v>
          </cell>
          <cell r="S2278" t="e">
            <v>#VALUE!</v>
          </cell>
          <cell r="T2278" t="e">
            <v>#VALUE!</v>
          </cell>
        </row>
        <row r="2279">
          <cell r="A2279" t="str">
            <v>GCAG38900173</v>
          </cell>
          <cell r="B2279" t="str">
            <v>MKP000631004404</v>
          </cell>
          <cell r="C2279" t="str">
            <v/>
          </cell>
          <cell r="D2279" t="str">
            <v>Armário de Cozinha Completa de Canto 389cm Branco Preto Agata Madesa 01</v>
          </cell>
          <cell r="E2279" t="str">
            <v>ÁGATA</v>
          </cell>
          <cell r="F2279" t="str">
            <v>COZINHA</v>
          </cell>
          <cell r="G2279" t="str">
            <v/>
          </cell>
          <cell r="H2279">
            <v>3039.99</v>
          </cell>
          <cell r="I2279">
            <v>2559.9899999999998</v>
          </cell>
          <cell r="J2279">
            <v>2094.8164999999999</v>
          </cell>
          <cell r="K2279">
            <v>0</v>
          </cell>
          <cell r="L2279">
            <v>2094.8164999999999</v>
          </cell>
          <cell r="M2279">
            <v>0</v>
          </cell>
          <cell r="N2279">
            <v>2559.9899999999998</v>
          </cell>
          <cell r="O2279" t="str">
            <v/>
          </cell>
          <cell r="P2279">
            <v>0</v>
          </cell>
          <cell r="Q2279">
            <v>0.22205930686530301</v>
          </cell>
          <cell r="R2279">
            <v>0.22205930686530301</v>
          </cell>
          <cell r="S2279" t="e">
            <v>#VALUE!</v>
          </cell>
          <cell r="T2279" t="e">
            <v>#VALUE!</v>
          </cell>
        </row>
        <row r="2280">
          <cell r="A2280" t="str">
            <v>XA10639BCP</v>
          </cell>
          <cell r="B2280" t="str">
            <v>MKP000631001479</v>
          </cell>
          <cell r="C2280" t="str">
            <v/>
          </cell>
          <cell r="D2280" t="str">
            <v>Guarda-Roupa Infantil Madesa Logan 100% MDF 3 Portas de Correr com Pés Branco/Rustic</v>
          </cell>
          <cell r="E2280" t="str">
            <v>LOGAN</v>
          </cell>
          <cell r="F2280" t="str">
            <v>QUARTO</v>
          </cell>
          <cell r="G2280" t="str">
            <v/>
          </cell>
          <cell r="H2280">
            <v>2589.9899999999998</v>
          </cell>
          <cell r="I2280">
            <v>1969.99</v>
          </cell>
          <cell r="J2280">
            <v>1597.5367000000001</v>
          </cell>
          <cell r="K2280">
            <v>0</v>
          </cell>
          <cell r="L2280">
            <v>1597.5367000000001</v>
          </cell>
          <cell r="M2280">
            <v>0</v>
          </cell>
          <cell r="N2280">
            <v>1969.99</v>
          </cell>
          <cell r="O2280" t="str">
            <v/>
          </cell>
          <cell r="P2280">
            <v>0</v>
          </cell>
          <cell r="Q2280">
            <v>0.23314224956459501</v>
          </cell>
          <cell r="R2280">
            <v>0.23314224956459501</v>
          </cell>
          <cell r="S2280" t="e">
            <v>#VALUE!</v>
          </cell>
          <cell r="T2280" t="e">
            <v>#VALUE!</v>
          </cell>
        </row>
        <row r="2281">
          <cell r="A2281" t="str">
            <v>GCEM3250027K</v>
          </cell>
          <cell r="B2281" t="str">
            <v>MKP000631002204</v>
          </cell>
          <cell r="C2281" t="str">
            <v/>
          </cell>
          <cell r="D2281" t="str">
            <v>Armário de Cozinha Completa de Canto 325cm Rustic/Preto Emilly Water Madesa 02</v>
          </cell>
          <cell r="E2281" t="str">
            <v>WATER/EMILLY</v>
          </cell>
          <cell r="F2281" t="str">
            <v>COZINHA</v>
          </cell>
          <cell r="G2281" t="str">
            <v/>
          </cell>
          <cell r="H2281">
            <v>1399.99</v>
          </cell>
          <cell r="I2281">
            <v>1299.99</v>
          </cell>
          <cell r="J2281">
            <v>1018.932</v>
          </cell>
          <cell r="K2281">
            <v>0</v>
          </cell>
          <cell r="L2281">
            <v>1018.932</v>
          </cell>
          <cell r="M2281">
            <v>0</v>
          </cell>
          <cell r="N2281">
            <v>1299.99</v>
          </cell>
          <cell r="O2281" t="str">
            <v/>
          </cell>
          <cell r="P2281">
            <v>0</v>
          </cell>
          <cell r="Q2281">
            <v>0.275835875210515</v>
          </cell>
          <cell r="R2281">
            <v>0.275835875210515</v>
          </cell>
          <cell r="S2281" t="e">
            <v>#VALUE!</v>
          </cell>
          <cell r="T2281" t="e">
            <v>#VALUE!</v>
          </cell>
        </row>
        <row r="2282">
          <cell r="A2282" t="str">
            <v>1093D84G</v>
          </cell>
          <cell r="B2282" t="str">
            <v>MKP000631002291</v>
          </cell>
          <cell r="C2282" t="str">
            <v/>
          </cell>
          <cell r="D2282" t="str">
            <v>Guarda-Roupa Casal Madesa Lyon Plus 3 Portas de Correr 4 Gavetas Preto/Rustic</v>
          </cell>
          <cell r="E2282" t="str">
            <v>LYON PLUS</v>
          </cell>
          <cell r="F2282" t="str">
            <v>QUARTO</v>
          </cell>
          <cell r="G2282" t="str">
            <v/>
          </cell>
          <cell r="H2282">
            <v>1319.99</v>
          </cell>
          <cell r="I2282">
            <v>1029.99</v>
          </cell>
          <cell r="J2282">
            <v>798.32690000000002</v>
          </cell>
          <cell r="K2282">
            <v>0</v>
          </cell>
          <cell r="L2282">
            <v>798.32690000000002</v>
          </cell>
          <cell r="M2282">
            <v>0</v>
          </cell>
          <cell r="N2282">
            <v>1029.99</v>
          </cell>
          <cell r="O2282" t="str">
            <v/>
          </cell>
          <cell r="P2282">
            <v>0</v>
          </cell>
          <cell r="Q2282">
            <v>0.29018576224852199</v>
          </cell>
          <cell r="R2282">
            <v>0.29018576224852199</v>
          </cell>
          <cell r="S2282" t="e">
            <v>#VALUE!</v>
          </cell>
          <cell r="T2282" t="e">
            <v>#VALUE!</v>
          </cell>
        </row>
        <row r="2283">
          <cell r="A2283" t="str">
            <v>GCTE4890015Z</v>
          </cell>
          <cell r="B2283" t="str">
            <v>MKP000631005123</v>
          </cell>
          <cell r="C2283" t="str">
            <v/>
          </cell>
          <cell r="D2283" t="str">
            <v>Armário de Cozinha Completa de Canto 489cm Rustic Stella Madesa</v>
          </cell>
          <cell r="E2283" t="str">
            <v>STELLA</v>
          </cell>
          <cell r="F2283" t="str">
            <v>COZINHA</v>
          </cell>
          <cell r="G2283" t="str">
            <v/>
          </cell>
          <cell r="H2283">
            <v>3499.99</v>
          </cell>
          <cell r="I2283">
            <v>3499.99</v>
          </cell>
          <cell r="J2283">
            <v>2727.3980000000001</v>
          </cell>
          <cell r="K2283">
            <v>0</v>
          </cell>
          <cell r="L2283">
            <v>2727.3980000000001</v>
          </cell>
          <cell r="M2283">
            <v>0</v>
          </cell>
          <cell r="N2283">
            <v>3499.99</v>
          </cell>
          <cell r="O2283" t="str">
            <v/>
          </cell>
          <cell r="P2283">
            <v>0</v>
          </cell>
          <cell r="Q2283">
            <v>0.28327072176484702</v>
          </cell>
          <cell r="R2283">
            <v>0.28327072176484702</v>
          </cell>
          <cell r="S2283" t="e">
            <v>#VALUE!</v>
          </cell>
          <cell r="T2283" t="e">
            <v>#VALUE!</v>
          </cell>
        </row>
        <row r="2284">
          <cell r="A2284" t="str">
            <v>GCEM2610027K</v>
          </cell>
          <cell r="B2284" t="str">
            <v>MKP000631002191</v>
          </cell>
          <cell r="C2284" t="str">
            <v/>
          </cell>
          <cell r="D2284" t="str">
            <v>Armário de Cozinha Completa de Canto 261cm Rustic/Preto Emilly Face Madesa 02</v>
          </cell>
          <cell r="E2284" t="str">
            <v>FACE/EMILLY</v>
          </cell>
          <cell r="F2284" t="str">
            <v>COZINHA</v>
          </cell>
          <cell r="G2284" t="str">
            <v/>
          </cell>
          <cell r="H2284">
            <v>1839.99</v>
          </cell>
          <cell r="I2284">
            <v>1199.99</v>
          </cell>
          <cell r="J2284">
            <v>988.95699999999999</v>
          </cell>
          <cell r="K2284">
            <v>0</v>
          </cell>
          <cell r="L2284">
            <v>988.95699999999999</v>
          </cell>
          <cell r="M2284">
            <v>0</v>
          </cell>
          <cell r="N2284">
            <v>1199.99</v>
          </cell>
          <cell r="O2284" t="str">
            <v/>
          </cell>
          <cell r="P2284">
            <v>0</v>
          </cell>
          <cell r="Q2284">
            <v>0.21338945980462201</v>
          </cell>
          <cell r="R2284">
            <v>0.21338945980462201</v>
          </cell>
          <cell r="S2284" t="e">
            <v>#VALUE!</v>
          </cell>
          <cell r="T2284" t="e">
            <v>#VALUE!</v>
          </cell>
        </row>
        <row r="2285">
          <cell r="A2285" t="str">
            <v>10189B2E</v>
          </cell>
          <cell r="B2285" t="str">
            <v>MKP000631002380</v>
          </cell>
          <cell r="C2285" t="str">
            <v/>
          </cell>
          <cell r="D2285" t="str">
            <v>Guarda-Roupa Casal Madesa Kansas 3 Portas de Correr com Espelhos 3 Gavetas Branco/Rustic</v>
          </cell>
          <cell r="E2285" t="str">
            <v>KANSAS</v>
          </cell>
          <cell r="F2285" t="str">
            <v>QUARTO</v>
          </cell>
          <cell r="G2285" t="str">
            <v/>
          </cell>
          <cell r="H2285">
            <v>2009.99</v>
          </cell>
          <cell r="I2285">
            <v>1689.99</v>
          </cell>
          <cell r="J2285">
            <v>1403.7782999999999</v>
          </cell>
          <cell r="K2285">
            <v>0</v>
          </cell>
          <cell r="L2285">
            <v>1403.7782999999999</v>
          </cell>
          <cell r="M2285">
            <v>0</v>
          </cell>
          <cell r="N2285">
            <v>1689.99</v>
          </cell>
          <cell r="O2285" t="str">
            <v/>
          </cell>
          <cell r="P2285">
            <v>0</v>
          </cell>
          <cell r="Q2285">
            <v>0.20388668210642699</v>
          </cell>
          <cell r="R2285">
            <v>0.20388668210642699</v>
          </cell>
          <cell r="S2285" t="e">
            <v>#VALUE!</v>
          </cell>
          <cell r="T2285" t="e">
            <v>#VALUE!</v>
          </cell>
        </row>
        <row r="2286">
          <cell r="A2286" t="str">
            <v>MDJA0601407KSIM</v>
          </cell>
          <cell r="B2286" t="str">
            <v>MKP000631005355</v>
          </cell>
          <cell r="C2286" t="str">
            <v/>
          </cell>
          <cell r="D2286" t="str">
            <v>Conjunto Sala de Jantar Mesa Tampo de Madeira 6 Cadeiras Rustic/Preto/Imperial Renata Madesa</v>
          </cell>
          <cell r="E2286" t="str">
            <v>RENATA</v>
          </cell>
          <cell r="F2286" t="str">
            <v>SALA DE JANTAR</v>
          </cell>
          <cell r="G2286">
            <v>4255</v>
          </cell>
          <cell r="H2286">
            <v>1459.99</v>
          </cell>
          <cell r="I2286">
            <v>1359.99</v>
          </cell>
          <cell r="J2286">
            <v>1064.2978000000001</v>
          </cell>
          <cell r="K2286">
            <v>0</v>
          </cell>
          <cell r="L2286">
            <v>1064.2978000000001</v>
          </cell>
          <cell r="M2286">
            <v>0</v>
          </cell>
          <cell r="N2286">
            <v>1359.99</v>
          </cell>
          <cell r="O2286" t="str">
            <v/>
          </cell>
          <cell r="P2286">
            <v>0</v>
          </cell>
          <cell r="Q2286">
            <v>0.277828442377688</v>
          </cell>
          <cell r="R2286">
            <v>0.277828442377688</v>
          </cell>
          <cell r="S2286" t="e">
            <v>#VALUE!</v>
          </cell>
          <cell r="T2286" t="e">
            <v>#VALUE!</v>
          </cell>
        </row>
        <row r="2287">
          <cell r="A2287" t="str">
            <v>GCAG389001F8</v>
          </cell>
          <cell r="B2287" t="str">
            <v>MKP000631004402</v>
          </cell>
          <cell r="C2287" t="str">
            <v/>
          </cell>
          <cell r="D2287" t="str">
            <v>Armário de Cozinha Completa de Canto 389cm Branco Cinza Agata Madesa 01</v>
          </cell>
          <cell r="E2287" t="str">
            <v>ÁGATA</v>
          </cell>
          <cell r="F2287" t="str">
            <v>COZINHA</v>
          </cell>
          <cell r="G2287" t="str">
            <v/>
          </cell>
          <cell r="H2287">
            <v>3039.99</v>
          </cell>
          <cell r="I2287">
            <v>2559.9899999999998</v>
          </cell>
          <cell r="J2287">
            <v>2094.8164999999999</v>
          </cell>
          <cell r="K2287">
            <v>0</v>
          </cell>
          <cell r="L2287">
            <v>2094.8164999999999</v>
          </cell>
          <cell r="M2287">
            <v>0</v>
          </cell>
          <cell r="N2287">
            <v>2559.9899999999998</v>
          </cell>
          <cell r="O2287" t="str">
            <v/>
          </cell>
          <cell r="P2287">
            <v>0</v>
          </cell>
          <cell r="Q2287">
            <v>0.22205930686530301</v>
          </cell>
          <cell r="R2287">
            <v>0.22205930686530301</v>
          </cell>
          <cell r="S2287" t="e">
            <v>#VALUE!</v>
          </cell>
          <cell r="T2287" t="e">
            <v>#VALUE!</v>
          </cell>
        </row>
        <row r="2288">
          <cell r="A2288" t="str">
            <v>10949B1E4GCP</v>
          </cell>
          <cell r="B2288" t="str">
            <v>MKP000631001003</v>
          </cell>
          <cell r="C2288" t="str">
            <v/>
          </cell>
          <cell r="D2288" t="str">
            <v>Guarda-Roupa Solteiro Madesa Dallas Plus 2 Portas de Correr com Espelho 4 Gavetas com Pés Branco/Rustic</v>
          </cell>
          <cell r="E2288" t="str">
            <v>DALLAS PLUS</v>
          </cell>
          <cell r="F2288" t="str">
            <v>QUARTO</v>
          </cell>
          <cell r="G2288" t="str">
            <v/>
          </cell>
          <cell r="H2288">
            <v>1299.99</v>
          </cell>
          <cell r="I2288">
            <v>1079.99</v>
          </cell>
          <cell r="J2288">
            <v>819.10230000000001</v>
          </cell>
          <cell r="K2288">
            <v>0</v>
          </cell>
          <cell r="L2288">
            <v>819.10230000000001</v>
          </cell>
          <cell r="M2288">
            <v>0</v>
          </cell>
          <cell r="N2288">
            <v>1079.99</v>
          </cell>
          <cell r="O2288" t="str">
            <v/>
          </cell>
          <cell r="P2288">
            <v>0</v>
          </cell>
          <cell r="Q2288">
            <v>0.31850441635922599</v>
          </cell>
          <cell r="R2288">
            <v>0.31850441635922599</v>
          </cell>
          <cell r="S2288" t="e">
            <v>#VALUE!</v>
          </cell>
          <cell r="T2288" t="e">
            <v>#VALUE!</v>
          </cell>
        </row>
        <row r="2289">
          <cell r="A2289" t="str">
            <v>GRLX26000173</v>
          </cell>
          <cell r="B2289" t="str">
            <v>MKP000631003343</v>
          </cell>
          <cell r="C2289" t="str">
            <v/>
          </cell>
          <cell r="D2289" t="str">
            <v>Armário de Cozinha Completa 260cm Branco/Preto Lux Madesa 01</v>
          </cell>
          <cell r="E2289" t="str">
            <v>LUX</v>
          </cell>
          <cell r="F2289" t="str">
            <v>COZINHA</v>
          </cell>
          <cell r="G2289" t="str">
            <v/>
          </cell>
          <cell r="H2289">
            <v>4929.99</v>
          </cell>
          <cell r="I2289">
            <v>4869.99</v>
          </cell>
          <cell r="J2289">
            <v>2919.0853999999999</v>
          </cell>
          <cell r="K2289">
            <v>0</v>
          </cell>
          <cell r="L2289">
            <v>2919.0853999999999</v>
          </cell>
          <cell r="M2289">
            <v>0</v>
          </cell>
          <cell r="N2289">
            <v>4869.99</v>
          </cell>
          <cell r="O2289" t="str">
            <v>LOJA</v>
          </cell>
          <cell r="P2289">
            <v>4279.99</v>
          </cell>
          <cell r="Q2289">
            <v>0.66832734664083504</v>
          </cell>
          <cell r="R2289">
            <v>0.66832734664083504</v>
          </cell>
          <cell r="S2289" t="e">
            <v>#VALUE!</v>
          </cell>
          <cell r="T2289" t="e">
            <v>#VALUE!</v>
          </cell>
        </row>
        <row r="2290">
          <cell r="A2290" t="str">
            <v>MDES0200140977</v>
          </cell>
          <cell r="B2290" t="str">
            <v>MKP000631002876</v>
          </cell>
          <cell r="C2290" t="str">
            <v/>
          </cell>
          <cell r="D2290" t="str">
            <v>Rack Madesa Dubai e Painel para TV até 65 Polegadas com Pés Branco/Preto 0977</v>
          </cell>
          <cell r="E2290" t="str">
            <v>DUBAI</v>
          </cell>
          <cell r="F2290" t="str">
            <v>SALA DE ESTAR</v>
          </cell>
          <cell r="G2290" t="str">
            <v/>
          </cell>
          <cell r="H2290">
            <v>1149.99</v>
          </cell>
          <cell r="I2290">
            <v>599.99</v>
          </cell>
          <cell r="J2290">
            <v>442.649</v>
          </cell>
          <cell r="K2290">
            <v>0</v>
          </cell>
          <cell r="L2290">
            <v>442.649</v>
          </cell>
          <cell r="M2290">
            <v>0</v>
          </cell>
          <cell r="N2290">
            <v>599.99</v>
          </cell>
          <cell r="O2290" t="str">
            <v/>
          </cell>
          <cell r="P2290">
            <v>0</v>
          </cell>
          <cell r="Q2290">
            <v>0.35545319203251302</v>
          </cell>
          <cell r="R2290">
            <v>0.35545319203251302</v>
          </cell>
          <cell r="S2290" t="e">
            <v>#VALUE!</v>
          </cell>
          <cell r="T2290" t="e">
            <v>#VALUE!</v>
          </cell>
        </row>
        <row r="2291">
          <cell r="A2291" t="str">
            <v>G2475009TE</v>
          </cell>
          <cell r="B2291" t="str">
            <v>MKP000631001909</v>
          </cell>
          <cell r="C2291" t="str">
            <v/>
          </cell>
          <cell r="D2291" t="str">
            <v>Balcão de Canto Madesa Stella 1 Porta Branco</v>
          </cell>
          <cell r="E2291" t="str">
            <v>STELLA</v>
          </cell>
          <cell r="F2291" t="str">
            <v>MODULAÇÃO</v>
          </cell>
          <cell r="G2291" t="str">
            <v/>
          </cell>
          <cell r="H2291">
            <v>989.99</v>
          </cell>
          <cell r="I2291">
            <v>529.99</v>
          </cell>
          <cell r="J2291">
            <v>318.06200000000001</v>
          </cell>
          <cell r="K2291">
            <v>0</v>
          </cell>
          <cell r="L2291">
            <v>318.06200000000001</v>
          </cell>
          <cell r="M2291">
            <v>0</v>
          </cell>
          <cell r="N2291">
            <v>529.99</v>
          </cell>
          <cell r="O2291" t="str">
            <v/>
          </cell>
          <cell r="P2291">
            <v>0</v>
          </cell>
          <cell r="Q2291">
            <v>0.66631034200879102</v>
          </cell>
          <cell r="R2291">
            <v>0.66631034200879102</v>
          </cell>
          <cell r="S2291" t="e">
            <v>#VALUE!</v>
          </cell>
          <cell r="T2291" t="e">
            <v>#VALUE!</v>
          </cell>
        </row>
        <row r="2292">
          <cell r="A2292" t="str">
            <v>GRLX200003H7</v>
          </cell>
          <cell r="B2292" t="str">
            <v>MKP000631004537</v>
          </cell>
          <cell r="C2292" t="str">
            <v/>
          </cell>
          <cell r="D2292" t="str">
            <v>Kit com 2 Balcões de Cozinha Madesa Lux 4 Portas 3 Gavetas (Sem Tampo e Pia) Branco/Branco Veludo</v>
          </cell>
          <cell r="E2292" t="str">
            <v>LUX</v>
          </cell>
          <cell r="F2292" t="str">
            <v>COZINHA</v>
          </cell>
          <cell r="G2292" t="str">
            <v/>
          </cell>
          <cell r="H2292">
            <v>1879.99</v>
          </cell>
          <cell r="I2292">
            <v>1739.99</v>
          </cell>
          <cell r="J2292">
            <v>1033.4290000000001</v>
          </cell>
          <cell r="K2292">
            <v>0</v>
          </cell>
          <cell r="L2292">
            <v>1033.4290000000001</v>
          </cell>
          <cell r="M2292">
            <v>0</v>
          </cell>
          <cell r="N2292">
            <v>1739.99</v>
          </cell>
          <cell r="O2292" t="str">
            <v>LOJA</v>
          </cell>
          <cell r="P2292">
            <v>1529.99</v>
          </cell>
          <cell r="Q2292">
            <v>0.683705411789296</v>
          </cell>
          <cell r="R2292">
            <v>0.683705411789296</v>
          </cell>
          <cell r="S2292" t="e">
            <v>#VALUE!</v>
          </cell>
          <cell r="T2292" t="e">
            <v>#VALUE!</v>
          </cell>
        </row>
        <row r="2293">
          <cell r="A2293" t="str">
            <v>G257579RLX</v>
          </cell>
          <cell r="B2293" t="str">
            <v>MKP000631003228</v>
          </cell>
          <cell r="C2293" t="str">
            <v/>
          </cell>
          <cell r="D2293" t="str">
            <v>Armário Aéreo de Canto com Adega Acoplada Madesa Lux 1 Porta Branco/Cinza</v>
          </cell>
          <cell r="E2293" t="str">
            <v>LUX</v>
          </cell>
          <cell r="F2293" t="str">
            <v>MODULAÇÃO</v>
          </cell>
          <cell r="G2293" t="str">
            <v/>
          </cell>
          <cell r="H2293">
            <v>1059.99</v>
          </cell>
          <cell r="I2293">
            <v>779.99</v>
          </cell>
          <cell r="J2293">
            <v>412.87020000000001</v>
          </cell>
          <cell r="K2293">
            <v>0</v>
          </cell>
          <cell r="L2293">
            <v>412.87020000000001</v>
          </cell>
          <cell r="M2293">
            <v>0</v>
          </cell>
          <cell r="N2293">
            <v>779.99</v>
          </cell>
          <cell r="O2293" t="str">
            <v>LOJA</v>
          </cell>
          <cell r="P2293">
            <v>769.99</v>
          </cell>
          <cell r="Q2293">
            <v>0.88918938688236604</v>
          </cell>
          <cell r="R2293">
            <v>0.88918938688236604</v>
          </cell>
          <cell r="S2293" t="e">
            <v>#VALUE!</v>
          </cell>
          <cell r="T2293" t="e">
            <v>#VALUE!</v>
          </cell>
        </row>
        <row r="2294">
          <cell r="A2294" t="str">
            <v>G22401H8LX</v>
          </cell>
          <cell r="B2294" t="str">
            <v>MKP000631004751</v>
          </cell>
          <cell r="C2294" t="str">
            <v/>
          </cell>
          <cell r="D2294" t="str">
            <v>Balcão Madesa Lux 40 cm 3 Gavetas (Sem Tampo) Rustic/Branco Veludo</v>
          </cell>
          <cell r="E2294" t="str">
            <v>LUX</v>
          </cell>
          <cell r="F2294" t="str">
            <v>MODULAÇÃO</v>
          </cell>
          <cell r="G2294" t="str">
            <v/>
          </cell>
          <cell r="H2294">
            <v>839.99</v>
          </cell>
          <cell r="I2294">
            <v>689.99</v>
          </cell>
          <cell r="J2294">
            <v>353.95569999999998</v>
          </cell>
          <cell r="K2294">
            <v>0</v>
          </cell>
          <cell r="L2294">
            <v>353.95569999999998</v>
          </cell>
          <cell r="M2294">
            <v>0</v>
          </cell>
          <cell r="N2294">
            <v>689.99</v>
          </cell>
          <cell r="O2294" t="str">
            <v>LOJA</v>
          </cell>
          <cell r="P2294">
            <v>679.99</v>
          </cell>
          <cell r="Q2294">
            <v>0.94936824014982701</v>
          </cell>
          <cell r="R2294">
            <v>0.94936824014982701</v>
          </cell>
          <cell r="S2294" t="e">
            <v>#VALUE!</v>
          </cell>
          <cell r="T2294" t="e">
            <v>#VALUE!</v>
          </cell>
        </row>
        <row r="2295">
          <cell r="A2295" t="str">
            <v>GRGL28000409</v>
          </cell>
          <cell r="B2295" t="str">
            <v>MKP000631001110</v>
          </cell>
          <cell r="C2295" t="str">
            <v/>
          </cell>
          <cell r="D2295" t="str">
            <v>Armário de Cozinha Completa 280cm Branco Genova Madesa 04</v>
          </cell>
          <cell r="E2295" t="str">
            <v>GENOVA/GLAMY</v>
          </cell>
          <cell r="F2295" t="str">
            <v>COZINHA</v>
          </cell>
          <cell r="G2295" t="str">
            <v/>
          </cell>
          <cell r="H2295">
            <v>2599.9899999999998</v>
          </cell>
          <cell r="I2295">
            <v>2499.9899999999998</v>
          </cell>
          <cell r="J2295">
            <v>2050.3009000000002</v>
          </cell>
          <cell r="K2295">
            <v>0</v>
          </cell>
          <cell r="L2295">
            <v>2050.3009000000002</v>
          </cell>
          <cell r="M2295">
            <v>0</v>
          </cell>
          <cell r="N2295">
            <v>2499.9899999999998</v>
          </cell>
          <cell r="O2295" t="str">
            <v/>
          </cell>
          <cell r="P2295">
            <v>0</v>
          </cell>
          <cell r="Q2295">
            <v>0.219328343464122</v>
          </cell>
          <cell r="R2295">
            <v>0.219328343464122</v>
          </cell>
          <cell r="S2295" t="e">
            <v>#VALUE!</v>
          </cell>
          <cell r="T2295" t="e">
            <v>#VALUE!</v>
          </cell>
        </row>
        <row r="2296">
          <cell r="A2296" t="str">
            <v>GCAG39900109</v>
          </cell>
          <cell r="B2296" t="str">
            <v>MKP000631004400</v>
          </cell>
          <cell r="C2296" t="str">
            <v/>
          </cell>
          <cell r="D2296" t="str">
            <v>Armário de Cozinha Completa de Canto 399cm Branco Agata Madesa 01</v>
          </cell>
          <cell r="E2296" t="str">
            <v>ÁGATA</v>
          </cell>
          <cell r="F2296" t="str">
            <v>COZINHA</v>
          </cell>
          <cell r="G2296" t="str">
            <v/>
          </cell>
          <cell r="H2296">
            <v>2959.99</v>
          </cell>
          <cell r="I2296">
            <v>2859.99</v>
          </cell>
          <cell r="J2296">
            <v>2348.3069</v>
          </cell>
          <cell r="K2296">
            <v>0</v>
          </cell>
          <cell r="L2296">
            <v>2348.3069</v>
          </cell>
          <cell r="M2296">
            <v>0</v>
          </cell>
          <cell r="N2296">
            <v>2859.99</v>
          </cell>
          <cell r="O2296" t="str">
            <v/>
          </cell>
          <cell r="P2296">
            <v>0</v>
          </cell>
          <cell r="Q2296">
            <v>0.217894475377132</v>
          </cell>
          <cell r="R2296">
            <v>0.217894475377132</v>
          </cell>
          <cell r="S2296" t="e">
            <v>#VALUE!</v>
          </cell>
          <cell r="T2296" t="e">
            <v>#VALUE!</v>
          </cell>
        </row>
        <row r="2297">
          <cell r="A2297" t="str">
            <v>GRGL2700126E</v>
          </cell>
          <cell r="B2297" t="str">
            <v>MKP000631004372</v>
          </cell>
          <cell r="C2297" t="str">
            <v/>
          </cell>
          <cell r="D2297" t="str">
            <v>Armário de Cozinha Completa 270cm Rustic/Branco Glamy Madesa 12</v>
          </cell>
          <cell r="E2297" t="str">
            <v>GLAMY</v>
          </cell>
          <cell r="F2297" t="str">
            <v>COZINHA</v>
          </cell>
          <cell r="G2297" t="str">
            <v/>
          </cell>
          <cell r="H2297">
            <v>1799.99</v>
          </cell>
          <cell r="I2297">
            <v>1699.99</v>
          </cell>
          <cell r="J2297">
            <v>1419.5397</v>
          </cell>
          <cell r="K2297">
            <v>0</v>
          </cell>
          <cell r="L2297">
            <v>1419.5397</v>
          </cell>
          <cell r="M2297">
            <v>0</v>
          </cell>
          <cell r="N2297">
            <v>1699.99</v>
          </cell>
          <cell r="O2297" t="str">
            <v/>
          </cell>
          <cell r="P2297">
            <v>0</v>
          </cell>
          <cell r="Q2297">
            <v>0.197564252694025</v>
          </cell>
          <cell r="R2297">
            <v>0.197564252694025</v>
          </cell>
          <cell r="S2297" t="e">
            <v>#VALUE!</v>
          </cell>
          <cell r="T2297" t="e">
            <v>#VALUE!</v>
          </cell>
        </row>
        <row r="2298">
          <cell r="A2298" t="str">
            <v>MDFC02000277</v>
          </cell>
          <cell r="B2298" t="str">
            <v>MKP000631002651</v>
          </cell>
          <cell r="C2298" t="str">
            <v/>
          </cell>
          <cell r="D2298" t="str">
            <v>Mesa para Computador Gamer Madesa 9409 e Painel para TV até 65 Polegadas Preto/Branco</v>
          </cell>
          <cell r="E2298" t="str">
            <v>GAMER</v>
          </cell>
          <cell r="F2298" t="str">
            <v>ESCRITÓRIO</v>
          </cell>
          <cell r="G2298" t="str">
            <v/>
          </cell>
          <cell r="H2298">
            <v>859.99</v>
          </cell>
          <cell r="I2298">
            <v>589.99</v>
          </cell>
          <cell r="J2298">
            <v>434.67020000000002</v>
          </cell>
          <cell r="K2298">
            <v>0</v>
          </cell>
          <cell r="L2298">
            <v>434.67020000000002</v>
          </cell>
          <cell r="M2298">
            <v>0</v>
          </cell>
          <cell r="N2298">
            <v>589.99</v>
          </cell>
          <cell r="O2298" t="str">
            <v/>
          </cell>
          <cell r="P2298">
            <v>0</v>
          </cell>
          <cell r="Q2298">
            <v>0.35732792356135801</v>
          </cell>
          <cell r="R2298">
            <v>0.35732792356135801</v>
          </cell>
          <cell r="S2298" t="e">
            <v>#VALUE!</v>
          </cell>
          <cell r="T2298" t="e">
            <v>#VALUE!</v>
          </cell>
        </row>
        <row r="2299">
          <cell r="A2299" t="str">
            <v>GRLX320001H7</v>
          </cell>
          <cell r="B2299" t="str">
            <v>MKP000631003766</v>
          </cell>
          <cell r="C2299" t="str">
            <v/>
          </cell>
          <cell r="D2299" t="str">
            <v>Armário de Cozinha Completa 320cm Branco Branco Veludo Lux Madesa 01</v>
          </cell>
          <cell r="E2299" t="str">
            <v>LUX</v>
          </cell>
          <cell r="F2299" t="str">
            <v>COZINHA</v>
          </cell>
          <cell r="G2299" t="str">
            <v/>
          </cell>
          <cell r="H2299">
            <v>5039.99</v>
          </cell>
          <cell r="I2299">
            <v>4979.99</v>
          </cell>
          <cell r="J2299">
            <v>2576.5419999999999</v>
          </cell>
          <cell r="K2299">
            <v>0</v>
          </cell>
          <cell r="L2299">
            <v>2576.5419999999999</v>
          </cell>
          <cell r="M2299">
            <v>0</v>
          </cell>
          <cell r="N2299">
            <v>4979.99</v>
          </cell>
          <cell r="O2299" t="str">
            <v>LOJA</v>
          </cell>
          <cell r="P2299">
            <v>4379.99</v>
          </cell>
          <cell r="Q2299">
            <v>0.93281925930180798</v>
          </cell>
          <cell r="R2299">
            <v>0.93281925930180798</v>
          </cell>
          <cell r="S2299" t="e">
            <v>#VALUE!</v>
          </cell>
          <cell r="T2299" t="e">
            <v>#VALUE!</v>
          </cell>
        </row>
        <row r="2300">
          <cell r="A2300" t="str">
            <v>MDJA040170J7PT</v>
          </cell>
          <cell r="B2300" t="str">
            <v>MKP000631005735</v>
          </cell>
          <cell r="C2300" t="str">
            <v/>
          </cell>
          <cell r="D2300" t="str">
            <v>Conjunto Sala de Jantar Mesa Tampo de Madeira 4 Cadeiras Rustic/Crema/Preto Sophie Madesa</v>
          </cell>
          <cell r="E2300" t="str">
            <v>SOPHIE</v>
          </cell>
          <cell r="F2300" t="str">
            <v>SALA DE JANTAR</v>
          </cell>
          <cell r="G2300" t="str">
            <v>4291X</v>
          </cell>
          <cell r="H2300">
            <v>699.99</v>
          </cell>
          <cell r="I2300">
            <v>599.99</v>
          </cell>
          <cell r="J2300">
            <v>466.19299999999998</v>
          </cell>
          <cell r="K2300">
            <v>0</v>
          </cell>
          <cell r="L2300">
            <v>466.19299999999998</v>
          </cell>
          <cell r="M2300">
            <v>0</v>
          </cell>
          <cell r="N2300">
            <v>599.99</v>
          </cell>
          <cell r="O2300" t="str">
            <v/>
          </cell>
          <cell r="P2300">
            <v>0</v>
          </cell>
          <cell r="Q2300">
            <v>0.28699916129156799</v>
          </cell>
          <cell r="R2300">
            <v>0.28699916129156799</v>
          </cell>
          <cell r="S2300" t="e">
            <v>#VALUE!</v>
          </cell>
          <cell r="T2300" t="e">
            <v>#VALUE!</v>
          </cell>
        </row>
        <row r="2301">
          <cell r="A2301" t="str">
            <v>GRGL220002A5</v>
          </cell>
          <cell r="B2301" t="str">
            <v>MKP000631001250</v>
          </cell>
          <cell r="C2301" t="str">
            <v/>
          </cell>
          <cell r="D2301" t="str">
            <v>Armário de Cozinha Completa 220cm Branco/Branco/Crema Parma Madesa 02</v>
          </cell>
          <cell r="E2301" t="str">
            <v>PARMA/GLAMY</v>
          </cell>
          <cell r="F2301" t="str">
            <v>COZINHA</v>
          </cell>
          <cell r="G2301" t="str">
            <v/>
          </cell>
          <cell r="H2301">
            <v>1969.99</v>
          </cell>
          <cell r="I2301">
            <v>1869.99</v>
          </cell>
          <cell r="J2301">
            <v>1558.7654</v>
          </cell>
          <cell r="K2301">
            <v>0</v>
          </cell>
          <cell r="L2301">
            <v>1558.7654</v>
          </cell>
          <cell r="M2301">
            <v>0</v>
          </cell>
          <cell r="N2301">
            <v>1869.99</v>
          </cell>
          <cell r="O2301" t="str">
            <v/>
          </cell>
          <cell r="P2301">
            <v>0</v>
          </cell>
          <cell r="Q2301">
            <v>0.199660962451438</v>
          </cell>
          <cell r="R2301">
            <v>0.199660962451438</v>
          </cell>
          <cell r="S2301" t="e">
            <v>#VALUE!</v>
          </cell>
          <cell r="T2301" t="e">
            <v>#VALUE!</v>
          </cell>
        </row>
        <row r="2302">
          <cell r="A2302" t="str">
            <v>GRAG3300017K</v>
          </cell>
          <cell r="B2302" t="str">
            <v>MKP000631004457</v>
          </cell>
          <cell r="C2302" t="str">
            <v/>
          </cell>
          <cell r="D2302" t="str">
            <v>Armário de Cozinha Completa 330cm Rustic Preto Agata Madesa 01</v>
          </cell>
          <cell r="E2302" t="str">
            <v>ÁGATA</v>
          </cell>
          <cell r="F2302" t="str">
            <v>COZINHA</v>
          </cell>
          <cell r="G2302" t="str">
            <v/>
          </cell>
          <cell r="H2302">
            <v>2529.9899999999998</v>
          </cell>
          <cell r="I2302">
            <v>2299.9899999999998</v>
          </cell>
          <cell r="J2302">
            <v>1902.4641999999999</v>
          </cell>
          <cell r="K2302">
            <v>0</v>
          </cell>
          <cell r="L2302">
            <v>1902.4641999999999</v>
          </cell>
          <cell r="M2302">
            <v>0</v>
          </cell>
          <cell r="N2302">
            <v>2299.9899999999998</v>
          </cell>
          <cell r="O2302" t="str">
            <v/>
          </cell>
          <cell r="P2302">
            <v>0</v>
          </cell>
          <cell r="Q2302">
            <v>0.208953104084691</v>
          </cell>
          <cell r="R2302">
            <v>0.208953104084691</v>
          </cell>
          <cell r="S2302" t="e">
            <v>#VALUE!</v>
          </cell>
          <cell r="T2302" t="e">
            <v>#VALUE!</v>
          </cell>
        </row>
        <row r="2303">
          <cell r="A2303" t="str">
            <v>MDJA0401697GBE</v>
          </cell>
          <cell r="B2303" t="str">
            <v>MKP000631005725</v>
          </cell>
          <cell r="C2303" t="str">
            <v/>
          </cell>
          <cell r="D2303" t="str">
            <v>Conjunto Sala de Jantar Mesa Tampo de Madeira 4 Cadeiras Rustic/Crema/Bege Marilyn Madesa</v>
          </cell>
          <cell r="E2303" t="str">
            <v>MARILYN</v>
          </cell>
          <cell r="F2303" t="str">
            <v>SALA DE JANTAR</v>
          </cell>
          <cell r="G2303" t="str">
            <v>4290X</v>
          </cell>
          <cell r="H2303">
            <v>699.99</v>
          </cell>
          <cell r="I2303">
            <v>666.65</v>
          </cell>
          <cell r="J2303">
            <v>465.66980000000001</v>
          </cell>
          <cell r="K2303">
            <v>0</v>
          </cell>
          <cell r="L2303">
            <v>465.66980000000001</v>
          </cell>
          <cell r="M2303">
            <v>0</v>
          </cell>
          <cell r="N2303">
            <v>666.65</v>
          </cell>
          <cell r="O2303" t="str">
            <v>CAMICADO</v>
          </cell>
          <cell r="P2303">
            <v>599.99</v>
          </cell>
          <cell r="Q2303">
            <v>0.43159380316266999</v>
          </cell>
          <cell r="R2303">
            <v>0.43159380316266999</v>
          </cell>
          <cell r="S2303" t="e">
            <v>#VALUE!</v>
          </cell>
          <cell r="T2303" t="e">
            <v>#VALUE!</v>
          </cell>
        </row>
        <row r="2304">
          <cell r="A2304" t="str">
            <v>GCEM3530015Z</v>
          </cell>
          <cell r="B2304" t="str">
            <v>MKP000631000448</v>
          </cell>
          <cell r="C2304" t="str">
            <v/>
          </cell>
          <cell r="D2304" t="str">
            <v>Armário de Cozinha Completa de Canto 353cm Rustic Emilly Sun Madesa 01</v>
          </cell>
          <cell r="E2304" t="str">
            <v>SUN/EMILLY</v>
          </cell>
          <cell r="F2304" t="str">
            <v>COZINHA</v>
          </cell>
          <cell r="G2304" t="str">
            <v/>
          </cell>
          <cell r="H2304">
            <v>1799.99</v>
          </cell>
          <cell r="I2304">
            <v>1259.99</v>
          </cell>
          <cell r="J2304">
            <v>959.65779999999995</v>
          </cell>
          <cell r="K2304">
            <v>0</v>
          </cell>
          <cell r="L2304">
            <v>959.65779999999995</v>
          </cell>
          <cell r="M2304">
            <v>0</v>
          </cell>
          <cell r="N2304">
            <v>1259.99</v>
          </cell>
          <cell r="O2304" t="str">
            <v/>
          </cell>
          <cell r="P2304">
            <v>0</v>
          </cell>
          <cell r="Q2304">
            <v>0.31295759801045703</v>
          </cell>
          <cell r="R2304">
            <v>0.31295759801045703</v>
          </cell>
          <cell r="S2304" t="e">
            <v>#VALUE!</v>
          </cell>
          <cell r="T2304" t="e">
            <v>#VALUE!</v>
          </cell>
        </row>
        <row r="2305">
          <cell r="A2305" t="str">
            <v>GRLX3400019N</v>
          </cell>
          <cell r="B2305" t="str">
            <v>MKP000631004328</v>
          </cell>
          <cell r="C2305" t="str">
            <v/>
          </cell>
          <cell r="D2305" t="str">
            <v>Armário de Cozinha Completa 340cm Rustic/Cinza Lux Madesa 01</v>
          </cell>
          <cell r="E2305" t="str">
            <v>LUX</v>
          </cell>
          <cell r="F2305" t="str">
            <v>COZINHA</v>
          </cell>
          <cell r="G2305" t="str">
            <v/>
          </cell>
          <cell r="H2305">
            <v>3879.99</v>
          </cell>
          <cell r="I2305">
            <v>3789.99</v>
          </cell>
          <cell r="J2305">
            <v>2569.9911000000002</v>
          </cell>
          <cell r="K2305">
            <v>0</v>
          </cell>
          <cell r="L2305">
            <v>2569.9911000000002</v>
          </cell>
          <cell r="M2305">
            <v>0</v>
          </cell>
          <cell r="N2305">
            <v>3789.99</v>
          </cell>
          <cell r="O2305" t="str">
            <v>LOJA</v>
          </cell>
          <cell r="P2305">
            <v>3329.99</v>
          </cell>
          <cell r="Q2305">
            <v>0.474709387125893</v>
          </cell>
          <cell r="R2305">
            <v>0.474709387125893</v>
          </cell>
          <cell r="S2305" t="e">
            <v>#VALUE!</v>
          </cell>
          <cell r="T2305" t="e">
            <v>#VALUE!</v>
          </cell>
        </row>
        <row r="2306">
          <cell r="A2306" t="str">
            <v>GRGL2400087K</v>
          </cell>
          <cell r="B2306" t="str">
            <v>MKP000631005035</v>
          </cell>
          <cell r="C2306" t="str">
            <v/>
          </cell>
          <cell r="D2306" t="str">
            <v>Armário de Cozinha Completa 240cm Rustic/Preto Glamy Madesa 08</v>
          </cell>
          <cell r="E2306" t="str">
            <v>GLAMY</v>
          </cell>
          <cell r="F2306" t="str">
            <v>COZINHA</v>
          </cell>
          <cell r="G2306" t="str">
            <v/>
          </cell>
          <cell r="H2306">
            <v>1799.99</v>
          </cell>
          <cell r="I2306">
            <v>1799.99</v>
          </cell>
          <cell r="J2306">
            <v>1391.3414</v>
          </cell>
          <cell r="K2306">
            <v>0</v>
          </cell>
          <cell r="L2306">
            <v>1391.3414</v>
          </cell>
          <cell r="M2306">
            <v>0</v>
          </cell>
          <cell r="N2306">
            <v>1799.99</v>
          </cell>
          <cell r="O2306" t="str">
            <v/>
          </cell>
          <cell r="P2306">
            <v>0</v>
          </cell>
          <cell r="Q2306">
            <v>0.293708359429253</v>
          </cell>
          <cell r="R2306">
            <v>0.293708359429253</v>
          </cell>
          <cell r="S2306" t="e">
            <v>#VALUE!</v>
          </cell>
          <cell r="T2306" t="e">
            <v>#VALUE!</v>
          </cell>
        </row>
        <row r="2307">
          <cell r="A2307" t="str">
            <v>1067001</v>
          </cell>
          <cell r="B2307" t="str">
            <v>MKP000631002832</v>
          </cell>
          <cell r="C2307" t="str">
            <v/>
          </cell>
          <cell r="D2307" t="str">
            <v>Kit Madesa com 3 Espelhos de 64,4 x 58,5 cm para Guarda-Roupa</v>
          </cell>
          <cell r="E2307" t="str">
            <v>KIT ESPELHO</v>
          </cell>
          <cell r="F2307" t="str">
            <v>QUARTO</v>
          </cell>
          <cell r="G2307" t="str">
            <v/>
          </cell>
          <cell r="H2307">
            <v>469.99</v>
          </cell>
          <cell r="I2307">
            <v>299.99</v>
          </cell>
          <cell r="J2307">
            <v>200.53819999999999</v>
          </cell>
          <cell r="K2307">
            <v>0</v>
          </cell>
          <cell r="L2307">
            <v>200.53819999999999</v>
          </cell>
          <cell r="M2307">
            <v>0</v>
          </cell>
          <cell r="N2307">
            <v>299.99</v>
          </cell>
          <cell r="O2307" t="str">
            <v/>
          </cell>
          <cell r="P2307">
            <v>0</v>
          </cell>
          <cell r="Q2307">
            <v>0.495924467258607</v>
          </cell>
          <cell r="R2307">
            <v>0.495924467258607</v>
          </cell>
          <cell r="S2307" t="e">
            <v>#VALUE!</v>
          </cell>
          <cell r="T2307" t="e">
            <v>#VALUE!</v>
          </cell>
        </row>
        <row r="2308">
          <cell r="A2308" t="str">
            <v>G24401F9AG</v>
          </cell>
          <cell r="B2308" t="str">
            <v>MKP000631002621</v>
          </cell>
          <cell r="C2308" t="str">
            <v/>
          </cell>
          <cell r="D2308" t="str">
            <v>Balcão Madesa Agata 40 cm 3 Gavetas Rustic/Cinza</v>
          </cell>
          <cell r="E2308" t="str">
            <v>ÁGATA</v>
          </cell>
          <cell r="F2308" t="str">
            <v>MODULAÇÃO</v>
          </cell>
          <cell r="G2308" t="str">
            <v/>
          </cell>
          <cell r="H2308">
            <v>949.99</v>
          </cell>
          <cell r="I2308">
            <v>539.99</v>
          </cell>
          <cell r="J2308">
            <v>340.39609999999999</v>
          </cell>
          <cell r="K2308">
            <v>0</v>
          </cell>
          <cell r="L2308">
            <v>340.39609999999999</v>
          </cell>
          <cell r="M2308">
            <v>0</v>
          </cell>
          <cell r="N2308">
            <v>539.99</v>
          </cell>
          <cell r="O2308" t="str">
            <v/>
          </cell>
          <cell r="P2308">
            <v>0</v>
          </cell>
          <cell r="Q2308">
            <v>0.58635777554443202</v>
          </cell>
          <cell r="R2308">
            <v>0.58635777554443202</v>
          </cell>
          <cell r="S2308" t="e">
            <v>#VALUE!</v>
          </cell>
          <cell r="T2308" t="e">
            <v>#VALUE!</v>
          </cell>
        </row>
        <row r="2309">
          <cell r="A2309" t="str">
            <v>G223509NLX</v>
          </cell>
          <cell r="B2309" t="str">
            <v>MKP000631002704</v>
          </cell>
          <cell r="C2309" t="str">
            <v/>
          </cell>
          <cell r="D2309" t="str">
            <v>Balcão Madesa Lux 35 cm 1 Porta (Sem Tampo) Rustic/Cinza</v>
          </cell>
          <cell r="E2309" t="str">
            <v>LUX</v>
          </cell>
          <cell r="F2309" t="str">
            <v>MODULAÇÃO</v>
          </cell>
          <cell r="G2309" t="str">
            <v/>
          </cell>
          <cell r="H2309">
            <v>829.99</v>
          </cell>
          <cell r="I2309">
            <v>529.99</v>
          </cell>
          <cell r="J2309">
            <v>286.87709999999998</v>
          </cell>
          <cell r="K2309">
            <v>0</v>
          </cell>
          <cell r="L2309">
            <v>286.87709999999998</v>
          </cell>
          <cell r="M2309">
            <v>0</v>
          </cell>
          <cell r="N2309">
            <v>529.99</v>
          </cell>
          <cell r="O2309" t="str">
            <v>LOJA</v>
          </cell>
          <cell r="P2309">
            <v>519.99</v>
          </cell>
          <cell r="Q2309">
            <v>0.84744617120014099</v>
          </cell>
          <cell r="R2309">
            <v>0.84744617120014099</v>
          </cell>
          <cell r="S2309" t="e">
            <v>#VALUE!</v>
          </cell>
          <cell r="T2309" t="e">
            <v>#VALUE!</v>
          </cell>
        </row>
        <row r="2310">
          <cell r="A2310" t="str">
            <v>GRGL1800077K</v>
          </cell>
          <cell r="B2310" t="str">
            <v>MKP000631004239</v>
          </cell>
          <cell r="C2310" t="str">
            <v/>
          </cell>
          <cell r="D2310" t="str">
            <v>Armário de Cozinha Compacta 180cm Rustic Preto Glamy Madesa 07</v>
          </cell>
          <cell r="E2310" t="str">
            <v>GLAMY</v>
          </cell>
          <cell r="F2310" t="str">
            <v>COZINHA</v>
          </cell>
          <cell r="G2310" t="str">
            <v/>
          </cell>
          <cell r="H2310">
            <v>1679.99</v>
          </cell>
          <cell r="I2310">
            <v>1579.99</v>
          </cell>
          <cell r="J2310">
            <v>1307.6839</v>
          </cell>
          <cell r="K2310">
            <v>0</v>
          </cell>
          <cell r="L2310">
            <v>1307.6839</v>
          </cell>
          <cell r="M2310">
            <v>0</v>
          </cell>
          <cell r="N2310">
            <v>1579.99</v>
          </cell>
          <cell r="O2310" t="str">
            <v/>
          </cell>
          <cell r="P2310">
            <v>0</v>
          </cell>
          <cell r="Q2310">
            <v>0.208235415301817</v>
          </cell>
          <cell r="R2310">
            <v>0.208235415301817</v>
          </cell>
          <cell r="S2310" t="e">
            <v>#VALUE!</v>
          </cell>
          <cell r="T2310" t="e">
            <v>#VALUE!</v>
          </cell>
        </row>
        <row r="2311">
          <cell r="A2311" t="str">
            <v>G247006ETE</v>
          </cell>
          <cell r="B2311" t="str">
            <v>MKP000631003492</v>
          </cell>
          <cell r="C2311" t="str">
            <v/>
          </cell>
          <cell r="D2311" t="str">
            <v>Balcão de Cozinha Madesa Stella 70 cm 2 Portas Rustic/Branco</v>
          </cell>
          <cell r="E2311" t="str">
            <v>STELLA</v>
          </cell>
          <cell r="F2311" t="str">
            <v>MODULAÇÃO</v>
          </cell>
          <cell r="G2311" t="str">
            <v/>
          </cell>
          <cell r="H2311">
            <v>859.99</v>
          </cell>
          <cell r="I2311">
            <v>499.99</v>
          </cell>
          <cell r="J2311">
            <v>322.17129999999997</v>
          </cell>
          <cell r="K2311">
            <v>0</v>
          </cell>
          <cell r="L2311">
            <v>322.17129999999997</v>
          </cell>
          <cell r="M2311">
            <v>0</v>
          </cell>
          <cell r="N2311">
            <v>499.99</v>
          </cell>
          <cell r="O2311" t="str">
            <v/>
          </cell>
          <cell r="P2311">
            <v>0</v>
          </cell>
          <cell r="Q2311">
            <v>0.55193836322478096</v>
          </cell>
          <cell r="R2311">
            <v>0.55193836322478096</v>
          </cell>
          <cell r="S2311" t="e">
            <v>#VALUE!</v>
          </cell>
          <cell r="T2311" t="e">
            <v>#VALUE!</v>
          </cell>
        </row>
        <row r="2312">
          <cell r="A2312" t="str">
            <v>G267557KGL</v>
          </cell>
          <cell r="B2312" t="str">
            <v>MKP000631001152</v>
          </cell>
          <cell r="C2312" t="str">
            <v/>
          </cell>
          <cell r="D2312" t="str">
            <v>Torre Quente Madesa Glamy 70 cm 3 Portas Rustic/Preto</v>
          </cell>
          <cell r="E2312" t="str">
            <v>GLAMY</v>
          </cell>
          <cell r="F2312" t="str">
            <v>MODULAÇÃO</v>
          </cell>
          <cell r="G2312" t="str">
            <v/>
          </cell>
          <cell r="H2312">
            <v>1279.99</v>
          </cell>
          <cell r="I2312">
            <v>869.99</v>
          </cell>
          <cell r="J2312">
            <v>535.41890000000001</v>
          </cell>
          <cell r="K2312">
            <v>0</v>
          </cell>
          <cell r="L2312">
            <v>535.41890000000001</v>
          </cell>
          <cell r="M2312">
            <v>0</v>
          </cell>
          <cell r="N2312">
            <v>869.99</v>
          </cell>
          <cell r="O2312" t="str">
            <v/>
          </cell>
          <cell r="P2312">
            <v>0</v>
          </cell>
          <cell r="Q2312">
            <v>0.62487726899442697</v>
          </cell>
          <cell r="R2312">
            <v>0.62487726899442697</v>
          </cell>
          <cell r="S2312" t="e">
            <v>#VALUE!</v>
          </cell>
          <cell r="T2312" t="e">
            <v>#VALUE!</v>
          </cell>
        </row>
        <row r="2313">
          <cell r="A2313" t="str">
            <v>1018D81E</v>
          </cell>
          <cell r="B2313" t="str">
            <v>MKP000631002376</v>
          </cell>
          <cell r="C2313" t="str">
            <v/>
          </cell>
          <cell r="D2313" t="str">
            <v>Guarda-Roupa Casal Madesa Kansas 3 Portas de Correr com Espelho 3 Gavetas Preto/Rustic</v>
          </cell>
          <cell r="E2313" t="str">
            <v>KANSAS</v>
          </cell>
          <cell r="F2313" t="str">
            <v>QUARTO</v>
          </cell>
          <cell r="G2313" t="str">
            <v/>
          </cell>
          <cell r="H2313">
            <v>2089.9899999999998</v>
          </cell>
          <cell r="I2313">
            <v>1559.99</v>
          </cell>
          <cell r="J2313">
            <v>1284.2162000000001</v>
          </cell>
          <cell r="K2313">
            <v>0</v>
          </cell>
          <cell r="L2313">
            <v>1284.2162000000001</v>
          </cell>
          <cell r="M2313">
            <v>0</v>
          </cell>
          <cell r="N2313">
            <v>1559.99</v>
          </cell>
          <cell r="O2313" t="str">
            <v/>
          </cell>
          <cell r="P2313">
            <v>0</v>
          </cell>
          <cell r="Q2313">
            <v>0.214740944710089</v>
          </cell>
          <cell r="R2313">
            <v>0.214740944710089</v>
          </cell>
          <cell r="S2313" t="e">
            <v>#VALUE!</v>
          </cell>
          <cell r="T2313" t="e">
            <v>#VALUE!</v>
          </cell>
        </row>
        <row r="2314">
          <cell r="A2314" t="str">
            <v>10945Z4GCP</v>
          </cell>
          <cell r="B2314" t="str">
            <v>MKP000631001006</v>
          </cell>
          <cell r="C2314" t="str">
            <v/>
          </cell>
          <cell r="D2314" t="str">
            <v>Guarda-Roupa Solteiro Madesa Dallas Plus 2 Portas de Correr 4 Gavetas com Pés Rustic</v>
          </cell>
          <cell r="E2314" t="str">
            <v>DALLAS PLUS</v>
          </cell>
          <cell r="F2314" t="str">
            <v>QUARTO</v>
          </cell>
          <cell r="G2314" t="str">
            <v/>
          </cell>
          <cell r="H2314">
            <v>1109.99</v>
          </cell>
          <cell r="I2314">
            <v>919.99</v>
          </cell>
          <cell r="J2314">
            <v>689.17430000000002</v>
          </cell>
          <cell r="K2314">
            <v>0</v>
          </cell>
          <cell r="L2314">
            <v>689.17430000000002</v>
          </cell>
          <cell r="M2314">
            <v>0</v>
          </cell>
          <cell r="N2314">
            <v>919.99</v>
          </cell>
          <cell r="O2314" t="str">
            <v/>
          </cell>
          <cell r="P2314">
            <v>0</v>
          </cell>
          <cell r="Q2314">
            <v>0.33491629040723098</v>
          </cell>
          <cell r="R2314">
            <v>0.33491629040723098</v>
          </cell>
          <cell r="S2314" t="e">
            <v>#VALUE!</v>
          </cell>
          <cell r="T2314" t="e">
            <v>#VALUE!</v>
          </cell>
        </row>
        <row r="2315">
          <cell r="A2315" t="str">
            <v>G20096C9V1</v>
          </cell>
          <cell r="B2315" t="str">
            <v>MKP000631003411</v>
          </cell>
          <cell r="C2315" t="str">
            <v/>
          </cell>
          <cell r="D2315" t="str">
            <v>Balcão de Canto Madesa Smart 100% MDF com Tampo Porta Branco Brilho</v>
          </cell>
          <cell r="E2315" t="str">
            <v>SMART</v>
          </cell>
          <cell r="F2315" t="str">
            <v>MODULAÇÃO</v>
          </cell>
          <cell r="G2315" t="str">
            <v/>
          </cell>
          <cell r="H2315">
            <v>869.99</v>
          </cell>
          <cell r="I2315">
            <v>359.99</v>
          </cell>
          <cell r="J2315">
            <v>244.9666</v>
          </cell>
          <cell r="K2315">
            <v>0</v>
          </cell>
          <cell r="L2315">
            <v>244.9666</v>
          </cell>
          <cell r="M2315">
            <v>0</v>
          </cell>
          <cell r="N2315">
            <v>359.99</v>
          </cell>
          <cell r="O2315" t="str">
            <v/>
          </cell>
          <cell r="P2315">
            <v>0</v>
          </cell>
          <cell r="Q2315">
            <v>0.46954727705736199</v>
          </cell>
          <cell r="R2315">
            <v>0.46954727705736199</v>
          </cell>
          <cell r="S2315" t="e">
            <v>#VALUE!</v>
          </cell>
          <cell r="T2315" t="e">
            <v>#VALUE!</v>
          </cell>
        </row>
        <row r="2316">
          <cell r="A2316" t="str">
            <v>GRGL2900019Y</v>
          </cell>
          <cell r="B2316" t="str">
            <v>MKP000631000218</v>
          </cell>
          <cell r="C2316" t="str">
            <v/>
          </cell>
          <cell r="D2316" t="str">
            <v>Armário de Cozinha Completa 290cm Rustic/Crema Vicenza Madesa 01</v>
          </cell>
          <cell r="E2316" t="str">
            <v>VICENZA/GLAMY</v>
          </cell>
          <cell r="F2316" t="str">
            <v>COZINHA</v>
          </cell>
          <cell r="G2316" t="str">
            <v/>
          </cell>
          <cell r="H2316">
            <v>2599.9899999999998</v>
          </cell>
          <cell r="I2316">
            <v>2499.9899999999998</v>
          </cell>
          <cell r="J2316">
            <v>2094.1842999999999</v>
          </cell>
          <cell r="K2316">
            <v>0</v>
          </cell>
          <cell r="L2316">
            <v>2094.1842999999999</v>
          </cell>
          <cell r="M2316">
            <v>0</v>
          </cell>
          <cell r="N2316">
            <v>2499.9899999999998</v>
          </cell>
          <cell r="O2316" t="str">
            <v/>
          </cell>
          <cell r="P2316">
            <v>0</v>
          </cell>
          <cell r="Q2316">
            <v>0.193777453111457</v>
          </cell>
          <cell r="R2316">
            <v>0.193777453111457</v>
          </cell>
          <cell r="S2316" t="e">
            <v>#VALUE!</v>
          </cell>
          <cell r="T2316" t="e">
            <v>#VALUE!</v>
          </cell>
        </row>
        <row r="2317">
          <cell r="A2317" t="str">
            <v>10639B1BCP</v>
          </cell>
          <cell r="B2317" t="str">
            <v>MKP000631000993</v>
          </cell>
          <cell r="C2317" t="str">
            <v/>
          </cell>
          <cell r="D2317" t="str">
            <v>Guarda-Roupa Casal 100% MDF Madesa Royale 3 Portas de Correr com Pés Branco/Rustic/Branco</v>
          </cell>
          <cell r="E2317" t="str">
            <v>ROYALE</v>
          </cell>
          <cell r="F2317" t="str">
            <v>QUARTO</v>
          </cell>
          <cell r="G2317" t="str">
            <v/>
          </cell>
          <cell r="H2317">
            <v>2589.9899999999998</v>
          </cell>
          <cell r="I2317">
            <v>1969.99</v>
          </cell>
          <cell r="J2317">
            <v>1597.5367000000001</v>
          </cell>
          <cell r="K2317">
            <v>0</v>
          </cell>
          <cell r="L2317">
            <v>1597.5367000000001</v>
          </cell>
          <cell r="M2317">
            <v>0</v>
          </cell>
          <cell r="N2317">
            <v>1969.99</v>
          </cell>
          <cell r="O2317" t="str">
            <v/>
          </cell>
          <cell r="P2317">
            <v>0</v>
          </cell>
          <cell r="Q2317">
            <v>0.23314224956459501</v>
          </cell>
          <cell r="R2317">
            <v>0.23314224956459501</v>
          </cell>
          <cell r="S2317" t="e">
            <v>#VALUE!</v>
          </cell>
          <cell r="T2317" t="e">
            <v>#VALUE!</v>
          </cell>
        </row>
        <row r="2318">
          <cell r="A2318" t="str">
            <v>1093092E2GCP</v>
          </cell>
          <cell r="B2318" t="str">
            <v>MKP000631001863</v>
          </cell>
          <cell r="C2318" t="str">
            <v/>
          </cell>
          <cell r="D2318" t="str">
            <v>Guarda-Roupa Casal Madesa Lyon 3 Portas de Correr com Espelhos 2 Gavetas com Pés Branco</v>
          </cell>
          <cell r="E2318" t="str">
            <v>LYON</v>
          </cell>
          <cell r="F2318" t="str">
            <v>QUARTO</v>
          </cell>
          <cell r="G2318" t="str">
            <v/>
          </cell>
          <cell r="H2318">
            <v>1519.99</v>
          </cell>
          <cell r="I2318">
            <v>1269.99</v>
          </cell>
          <cell r="J2318">
            <v>1015.6292999999999</v>
          </cell>
          <cell r="K2318">
            <v>0</v>
          </cell>
          <cell r="L2318">
            <v>1015.6292999999999</v>
          </cell>
          <cell r="M2318">
            <v>0</v>
          </cell>
          <cell r="N2318">
            <v>1269.99</v>
          </cell>
          <cell r="O2318" t="str">
            <v/>
          </cell>
          <cell r="P2318">
            <v>0</v>
          </cell>
          <cell r="Q2318">
            <v>0.25044639811001901</v>
          </cell>
          <cell r="R2318">
            <v>0.25044639811001901</v>
          </cell>
          <cell r="S2318" t="e">
            <v>#VALUE!</v>
          </cell>
          <cell r="T2318" t="e">
            <v>#VALUE!</v>
          </cell>
        </row>
        <row r="2319">
          <cell r="A2319" t="str">
            <v>GCEM3530017K</v>
          </cell>
          <cell r="B2319" t="str">
            <v>MKP000631000431</v>
          </cell>
          <cell r="C2319" t="str">
            <v/>
          </cell>
          <cell r="D2319" t="str">
            <v>Armário de Cozinha Completa de Canto 353cm Rustic/Preto Emilly Sun Madesa 01</v>
          </cell>
          <cell r="E2319" t="str">
            <v>SUN/EMILLY</v>
          </cell>
          <cell r="F2319" t="str">
            <v>COZINHA</v>
          </cell>
          <cell r="G2319" t="str">
            <v/>
          </cell>
          <cell r="H2319">
            <v>1799.99</v>
          </cell>
          <cell r="I2319">
            <v>1259.99</v>
          </cell>
          <cell r="J2319">
            <v>959.65779999999995</v>
          </cell>
          <cell r="K2319">
            <v>0</v>
          </cell>
          <cell r="L2319">
            <v>959.65779999999995</v>
          </cell>
          <cell r="M2319">
            <v>0</v>
          </cell>
          <cell r="N2319">
            <v>1259.99</v>
          </cell>
          <cell r="O2319" t="str">
            <v/>
          </cell>
          <cell r="P2319">
            <v>0</v>
          </cell>
          <cell r="Q2319">
            <v>0.31295759801045703</v>
          </cell>
          <cell r="R2319">
            <v>0.31295759801045703</v>
          </cell>
          <cell r="S2319" t="e">
            <v>#VALUE!</v>
          </cell>
          <cell r="T2319" t="e">
            <v>#VALUE!</v>
          </cell>
        </row>
        <row r="2320">
          <cell r="A2320" t="str">
            <v>GCAG3990016E</v>
          </cell>
          <cell r="B2320" t="str">
            <v>MKP000631004399</v>
          </cell>
          <cell r="C2320" t="str">
            <v/>
          </cell>
          <cell r="D2320" t="str">
            <v>Armário de Cozinha Completa de Canto 399cm Rustic Branco Agata Madesa 01</v>
          </cell>
          <cell r="E2320" t="str">
            <v>ÁGATA</v>
          </cell>
          <cell r="F2320" t="str">
            <v>COZINHA</v>
          </cell>
          <cell r="G2320" t="str">
            <v/>
          </cell>
          <cell r="H2320">
            <v>2959.99</v>
          </cell>
          <cell r="I2320">
            <v>2859.99</v>
          </cell>
          <cell r="J2320">
            <v>2348.3069</v>
          </cell>
          <cell r="K2320">
            <v>0</v>
          </cell>
          <cell r="L2320">
            <v>2348.3069</v>
          </cell>
          <cell r="M2320">
            <v>0</v>
          </cell>
          <cell r="N2320">
            <v>2859.99</v>
          </cell>
          <cell r="O2320" t="str">
            <v/>
          </cell>
          <cell r="P2320">
            <v>0</v>
          </cell>
          <cell r="Q2320">
            <v>0.217894475377132</v>
          </cell>
          <cell r="R2320">
            <v>0.217894475377132</v>
          </cell>
          <cell r="S2320" t="e">
            <v>#VALUE!</v>
          </cell>
          <cell r="T2320" t="e">
            <v>#VALUE!</v>
          </cell>
        </row>
        <row r="2321">
          <cell r="A2321" t="str">
            <v>GCRM47200109</v>
          </cell>
          <cell r="B2321" t="str">
            <v>MKP000631004290</v>
          </cell>
          <cell r="C2321" t="str">
            <v/>
          </cell>
          <cell r="D2321" t="str">
            <v>Armário de Cozinha Completa de Canto 472cm Branco Reims Madesa 01</v>
          </cell>
          <cell r="E2321" t="str">
            <v>REIMS</v>
          </cell>
          <cell r="F2321" t="str">
            <v>COZINHA</v>
          </cell>
          <cell r="G2321" t="str">
            <v/>
          </cell>
          <cell r="H2321">
            <v>2349.9899999999998</v>
          </cell>
          <cell r="I2321">
            <v>2159.9899999999998</v>
          </cell>
          <cell r="J2321">
            <v>1839.8436999999999</v>
          </cell>
          <cell r="K2321">
            <v>0</v>
          </cell>
          <cell r="L2321">
            <v>1839.8436999999999</v>
          </cell>
          <cell r="M2321">
            <v>0</v>
          </cell>
          <cell r="N2321">
            <v>2159.9899999999998</v>
          </cell>
          <cell r="O2321" t="str">
            <v/>
          </cell>
          <cell r="P2321">
            <v>0</v>
          </cell>
          <cell r="Q2321">
            <v>0.17400733551442399</v>
          </cell>
          <cell r="R2321">
            <v>0.17400733551442399</v>
          </cell>
          <cell r="S2321" t="e">
            <v>#VALUE!</v>
          </cell>
          <cell r="T2321" t="e">
            <v>#VALUE!</v>
          </cell>
        </row>
        <row r="2322">
          <cell r="A2322" t="str">
            <v>XCGRRM2600018N</v>
          </cell>
          <cell r="B2322" t="str">
            <v>MKP000631004135</v>
          </cell>
          <cell r="C2322" t="str">
            <v/>
          </cell>
          <cell r="D2322" t="str">
            <v>Armário de Cozinha Completa 260cm Preto Reims Madesa XC01</v>
          </cell>
          <cell r="E2322" t="str">
            <v>REIMS</v>
          </cell>
          <cell r="F2322" t="str">
            <v>COZINHA</v>
          </cell>
          <cell r="G2322" t="str">
            <v/>
          </cell>
          <cell r="H2322">
            <v>1669.99</v>
          </cell>
          <cell r="I2322">
            <v>1299.99</v>
          </cell>
          <cell r="J2322">
            <v>1068.8104000000001</v>
          </cell>
          <cell r="K2322">
            <v>0</v>
          </cell>
          <cell r="L2322">
            <v>1068.8104000000001</v>
          </cell>
          <cell r="M2322">
            <v>0</v>
          </cell>
          <cell r="N2322">
            <v>1299.99</v>
          </cell>
          <cell r="O2322" t="str">
            <v>MELI</v>
          </cell>
          <cell r="P2322">
            <v>1299.99</v>
          </cell>
          <cell r="Q2322">
            <v>0.216296173764776</v>
          </cell>
          <cell r="R2322">
            <v>0.216296173764776</v>
          </cell>
          <cell r="S2322" t="e">
            <v>#VALUE!</v>
          </cell>
          <cell r="T2322" t="e">
            <v>#VALUE!</v>
          </cell>
        </row>
        <row r="2323">
          <cell r="A2323" t="str">
            <v>GRAG330001F8</v>
          </cell>
          <cell r="B2323" t="str">
            <v>MKP000631004712</v>
          </cell>
          <cell r="C2323" t="str">
            <v/>
          </cell>
          <cell r="D2323" t="str">
            <v>Armário de Cozinha Completa 330cm Branco Cinza Agata Madesa 01</v>
          </cell>
          <cell r="E2323" t="str">
            <v>ÁGATA</v>
          </cell>
          <cell r="F2323" t="str">
            <v>COZINHA</v>
          </cell>
          <cell r="G2323" t="str">
            <v/>
          </cell>
          <cell r="H2323">
            <v>2529.9899999999998</v>
          </cell>
          <cell r="I2323">
            <v>2299.9899999999998</v>
          </cell>
          <cell r="J2323">
            <v>1902.4641999999999</v>
          </cell>
          <cell r="K2323">
            <v>0</v>
          </cell>
          <cell r="L2323">
            <v>1902.4641999999999</v>
          </cell>
          <cell r="M2323">
            <v>0</v>
          </cell>
          <cell r="N2323">
            <v>2299.9899999999998</v>
          </cell>
          <cell r="O2323" t="str">
            <v/>
          </cell>
          <cell r="P2323">
            <v>0</v>
          </cell>
          <cell r="Q2323">
            <v>0.208953104084691</v>
          </cell>
          <cell r="R2323">
            <v>0.208953104084691</v>
          </cell>
          <cell r="S2323" t="e">
            <v>#VALUE!</v>
          </cell>
          <cell r="T2323" t="e">
            <v>#VALUE!</v>
          </cell>
        </row>
        <row r="2324">
          <cell r="A2324" t="str">
            <v>1094771E4G</v>
          </cell>
          <cell r="B2324" t="str">
            <v>MKP000631002027</v>
          </cell>
          <cell r="C2324" t="str">
            <v/>
          </cell>
          <cell r="D2324" t="str">
            <v>Guarda-Roupa Solteiro Madesa Dallas Plus 2 Portas de Correr com Espelho 4 Gavetas Preto/Branco</v>
          </cell>
          <cell r="E2324" t="str">
            <v>DALLAS PLUS</v>
          </cell>
          <cell r="F2324" t="str">
            <v>QUARTO</v>
          </cell>
          <cell r="G2324" t="str">
            <v/>
          </cell>
          <cell r="H2324">
            <v>1259.99</v>
          </cell>
          <cell r="I2324">
            <v>969.99</v>
          </cell>
          <cell r="J2324">
            <v>782.51099999999997</v>
          </cell>
          <cell r="K2324">
            <v>0</v>
          </cell>
          <cell r="L2324">
            <v>782.51099999999997</v>
          </cell>
          <cell r="M2324">
            <v>0</v>
          </cell>
          <cell r="N2324">
            <v>969.99</v>
          </cell>
          <cell r="O2324" t="str">
            <v/>
          </cell>
          <cell r="P2324">
            <v>0</v>
          </cell>
          <cell r="Q2324">
            <v>0.23958640836997799</v>
          </cell>
          <cell r="R2324">
            <v>0.23958640836997799</v>
          </cell>
          <cell r="S2324" t="e">
            <v>#VALUE!</v>
          </cell>
          <cell r="T2324" t="e">
            <v>#VALUE!</v>
          </cell>
        </row>
        <row r="2325">
          <cell r="A2325" t="str">
            <v>MDFC020011738N</v>
          </cell>
          <cell r="B2325" t="str">
            <v>MKP000631003419</v>
          </cell>
          <cell r="C2325" t="str">
            <v/>
          </cell>
          <cell r="D2325" t="str">
            <v>Escrivaninha Madesa Rubi + Estante Livreiro 6908 Branco/Preto</v>
          </cell>
          <cell r="E2325" t="str">
            <v>RUBI + 6908</v>
          </cell>
          <cell r="F2325" t="str">
            <v>ESCRITÓRIO</v>
          </cell>
          <cell r="G2325" t="str">
            <v/>
          </cell>
          <cell r="H2325">
            <v>769.99</v>
          </cell>
          <cell r="I2325">
            <v>549.99</v>
          </cell>
          <cell r="J2325">
            <v>360.29950000000002</v>
          </cell>
          <cell r="K2325">
            <v>0</v>
          </cell>
          <cell r="L2325">
            <v>360.29950000000002</v>
          </cell>
          <cell r="M2325">
            <v>0</v>
          </cell>
          <cell r="N2325">
            <v>549.99</v>
          </cell>
          <cell r="O2325" t="str">
            <v/>
          </cell>
          <cell r="P2325">
            <v>0</v>
          </cell>
          <cell r="Q2325">
            <v>0.52648005340001902</v>
          </cell>
          <cell r="R2325">
            <v>0.52648005340001902</v>
          </cell>
          <cell r="S2325" t="e">
            <v>#VALUE!</v>
          </cell>
          <cell r="T2325" t="e">
            <v>#VALUE!</v>
          </cell>
        </row>
        <row r="2326">
          <cell r="A2326" t="str">
            <v>GRLX2700017K</v>
          </cell>
          <cell r="B2326" t="str">
            <v>MKP000631002719</v>
          </cell>
          <cell r="C2326" t="str">
            <v/>
          </cell>
          <cell r="D2326" t="str">
            <v>Armário de Cozinha Completa 270cm Rustic/Preto Lux Madesa 01</v>
          </cell>
          <cell r="E2326" t="str">
            <v>LUX</v>
          </cell>
          <cell r="F2326" t="str">
            <v>COZINHA</v>
          </cell>
          <cell r="G2326" t="str">
            <v/>
          </cell>
          <cell r="H2326">
            <v>3899.99</v>
          </cell>
          <cell r="I2326">
            <v>3819.99</v>
          </cell>
          <cell r="J2326">
            <v>2292.5425</v>
          </cell>
          <cell r="K2326">
            <v>0</v>
          </cell>
          <cell r="L2326">
            <v>2292.5425</v>
          </cell>
          <cell r="M2326">
            <v>0</v>
          </cell>
          <cell r="N2326">
            <v>3819.99</v>
          </cell>
          <cell r="O2326" t="str">
            <v>LOJA</v>
          </cell>
          <cell r="P2326">
            <v>3349.99</v>
          </cell>
          <cell r="Q2326">
            <v>0.66626790997331597</v>
          </cell>
          <cell r="R2326">
            <v>0.66626790997331597</v>
          </cell>
          <cell r="S2326" t="e">
            <v>#VALUE!</v>
          </cell>
          <cell r="T2326" t="e">
            <v>#VALUE!</v>
          </cell>
        </row>
        <row r="2327">
          <cell r="A2327" t="str">
            <v>GRAG28000173</v>
          </cell>
          <cell r="B2327" t="str">
            <v>MKP000631003085</v>
          </cell>
          <cell r="C2327" t="str">
            <v/>
          </cell>
          <cell r="D2327" t="str">
            <v>Armário de Cozinha Compacta 280cm Branco/Preto Agata Madesa 01</v>
          </cell>
          <cell r="E2327" t="str">
            <v>ÁGATA</v>
          </cell>
          <cell r="F2327" t="str">
            <v>COZINHA</v>
          </cell>
          <cell r="G2327" t="str">
            <v/>
          </cell>
          <cell r="H2327">
            <v>1299.99</v>
          </cell>
          <cell r="I2327">
            <v>1199.99</v>
          </cell>
          <cell r="J2327">
            <v>1012.2067</v>
          </cell>
          <cell r="K2327">
            <v>0</v>
          </cell>
          <cell r="L2327">
            <v>1012.2067</v>
          </cell>
          <cell r="M2327">
            <v>0</v>
          </cell>
          <cell r="N2327">
            <v>1199.99</v>
          </cell>
          <cell r="O2327" t="str">
            <v/>
          </cell>
          <cell r="P2327">
            <v>0</v>
          </cell>
          <cell r="Q2327">
            <v>0.18551872853637499</v>
          </cell>
          <cell r="R2327">
            <v>0.18551872853637499</v>
          </cell>
          <cell r="S2327" t="e">
            <v>#VALUE!</v>
          </cell>
          <cell r="T2327" t="e">
            <v>#VALUE!</v>
          </cell>
        </row>
        <row r="2328">
          <cell r="A2328" t="str">
            <v>GRGL2700139B</v>
          </cell>
          <cell r="B2328" t="str">
            <v>MKP000631004604</v>
          </cell>
          <cell r="C2328" t="str">
            <v/>
          </cell>
          <cell r="D2328" t="str">
            <v>Armário de Cozinha Completa 270cm Branco/Rustic Glamy Madesa 13</v>
          </cell>
          <cell r="E2328" t="str">
            <v>GLAMY</v>
          </cell>
          <cell r="F2328" t="str">
            <v>COZINHA</v>
          </cell>
          <cell r="G2328" t="str">
            <v/>
          </cell>
          <cell r="H2328">
            <v>2299.9899999999998</v>
          </cell>
          <cell r="I2328">
            <v>2199.9899999999998</v>
          </cell>
          <cell r="J2328">
            <v>1819.4498000000001</v>
          </cell>
          <cell r="K2328">
            <v>0</v>
          </cell>
          <cell r="L2328">
            <v>1819.4498000000001</v>
          </cell>
          <cell r="M2328">
            <v>0</v>
          </cell>
          <cell r="N2328">
            <v>2199.9899999999998</v>
          </cell>
          <cell r="O2328" t="str">
            <v/>
          </cell>
          <cell r="P2328">
            <v>0</v>
          </cell>
          <cell r="Q2328">
            <v>0.20915125000975501</v>
          </cell>
          <cell r="R2328">
            <v>0.20915125000975501</v>
          </cell>
          <cell r="S2328" t="e">
            <v>#VALUE!</v>
          </cell>
          <cell r="T2328" t="e">
            <v>#VALUE!</v>
          </cell>
        </row>
        <row r="2329">
          <cell r="A2329" t="str">
            <v>G241057KEMCP</v>
          </cell>
          <cell r="B2329" t="str">
            <v>MKP000631005468</v>
          </cell>
          <cell r="C2329" t="str">
            <v/>
          </cell>
          <cell r="D2329" t="str">
            <v>Balcão Gabinete com Pia 3 Portas e 1 Gaveta 105cm Rustic/Preto Emilly Madesa</v>
          </cell>
          <cell r="E2329" t="str">
            <v>EMILLY</v>
          </cell>
          <cell r="F2329" t="str">
            <v>MODULAÇÃO</v>
          </cell>
          <cell r="G2329" t="str">
            <v/>
          </cell>
          <cell r="H2329">
            <v>849.99</v>
          </cell>
          <cell r="I2329">
            <v>749.99</v>
          </cell>
          <cell r="J2329">
            <v>611.14120000000003</v>
          </cell>
          <cell r="K2329">
            <v>0</v>
          </cell>
          <cell r="L2329">
            <v>611.14120000000003</v>
          </cell>
          <cell r="M2329">
            <v>0</v>
          </cell>
          <cell r="N2329">
            <v>749.99</v>
          </cell>
          <cell r="O2329" t="str">
            <v/>
          </cell>
          <cell r="P2329">
            <v>0</v>
          </cell>
          <cell r="Q2329">
            <v>0.22719594097076101</v>
          </cell>
          <cell r="R2329">
            <v>0.22719594097076101</v>
          </cell>
          <cell r="S2329" t="e">
            <v>#VALUE!</v>
          </cell>
          <cell r="T2329" t="e">
            <v>#VALUE!</v>
          </cell>
        </row>
        <row r="2330">
          <cell r="A2330" t="str">
            <v>MDJA0401175ZPT</v>
          </cell>
          <cell r="B2330" t="str">
            <v>MKP000631004160</v>
          </cell>
          <cell r="C2330" t="str">
            <v/>
          </cell>
          <cell r="D2330" t="str">
            <v>Conjunto Sala de Jantar Madesa Paula Mesa Tampo de Vidro Redondo 4 Cadeiras Rustic/Preto</v>
          </cell>
          <cell r="E2330" t="str">
            <v>PAULA</v>
          </cell>
          <cell r="F2330" t="str">
            <v>SALA DE JANTAR</v>
          </cell>
          <cell r="G2330" t="str">
            <v>4290X</v>
          </cell>
          <cell r="H2330">
            <v>869.99</v>
          </cell>
          <cell r="I2330">
            <v>769.99</v>
          </cell>
          <cell r="J2330">
            <v>616.90729999999996</v>
          </cell>
          <cell r="K2330">
            <v>0</v>
          </cell>
          <cell r="L2330">
            <v>616.90729999999996</v>
          </cell>
          <cell r="M2330">
            <v>0</v>
          </cell>
          <cell r="N2330">
            <v>769.99</v>
          </cell>
          <cell r="O2330" t="str">
            <v/>
          </cell>
          <cell r="P2330">
            <v>0</v>
          </cell>
          <cell r="Q2330">
            <v>0.24814538586267301</v>
          </cell>
          <cell r="R2330">
            <v>0.24814538586267301</v>
          </cell>
          <cell r="S2330" t="e">
            <v>#VALUE!</v>
          </cell>
          <cell r="T2330" t="e">
            <v>#VALUE!</v>
          </cell>
        </row>
        <row r="2331">
          <cell r="A2331" t="str">
            <v>10185Z</v>
          </cell>
          <cell r="B2331" t="str">
            <v>MKP000631002249</v>
          </cell>
          <cell r="C2331" t="str">
            <v/>
          </cell>
          <cell r="D2331" t="str">
            <v>Guarda-Roupa Casal Madesa Kansas 3 Portas de Correr 3 Gavetas Rustic</v>
          </cell>
          <cell r="E2331" t="str">
            <v>KANSAS</v>
          </cell>
          <cell r="F2331" t="str">
            <v>QUARTO</v>
          </cell>
          <cell r="G2331" t="str">
            <v/>
          </cell>
          <cell r="H2331">
            <v>1979.99</v>
          </cell>
          <cell r="I2331">
            <v>1459.99</v>
          </cell>
          <cell r="J2331">
            <v>1164.6541</v>
          </cell>
          <cell r="K2331">
            <v>0</v>
          </cell>
          <cell r="L2331">
            <v>1164.6541</v>
          </cell>
          <cell r="M2331">
            <v>0</v>
          </cell>
          <cell r="N2331">
            <v>1459.99</v>
          </cell>
          <cell r="O2331" t="str">
            <v/>
          </cell>
          <cell r="P2331">
            <v>0</v>
          </cell>
          <cell r="Q2331">
            <v>0.25358250144828398</v>
          </cell>
          <cell r="R2331">
            <v>0.25358250144828398</v>
          </cell>
          <cell r="S2331" t="e">
            <v>#VALUE!</v>
          </cell>
          <cell r="T2331" t="e">
            <v>#VALUE!</v>
          </cell>
        </row>
        <row r="2332">
          <cell r="A2332" t="str">
            <v>G24120F8AG</v>
          </cell>
          <cell r="B2332" t="str">
            <v>MKP000631002637</v>
          </cell>
          <cell r="C2332" t="str">
            <v/>
          </cell>
          <cell r="D2332" t="str">
            <v>Balcão Gabinete de Pia Madesa Agata 2 Portas (Sem Tampo e Pia) Branco/Cinza</v>
          </cell>
          <cell r="E2332" t="str">
            <v>ÁGATA</v>
          </cell>
          <cell r="F2332" t="str">
            <v>MODULAÇÃO</v>
          </cell>
          <cell r="G2332" t="str">
            <v/>
          </cell>
          <cell r="H2332">
            <v>939.99</v>
          </cell>
          <cell r="I2332">
            <v>489.99</v>
          </cell>
          <cell r="J2332">
            <v>355.6234</v>
          </cell>
          <cell r="K2332">
            <v>0</v>
          </cell>
          <cell r="L2332">
            <v>355.6234</v>
          </cell>
          <cell r="M2332">
            <v>0</v>
          </cell>
          <cell r="N2332">
            <v>489.99</v>
          </cell>
          <cell r="O2332" t="str">
            <v/>
          </cell>
          <cell r="P2332">
            <v>0</v>
          </cell>
          <cell r="Q2332">
            <v>0.37783396705616101</v>
          </cell>
          <cell r="R2332">
            <v>0.37783396705616101</v>
          </cell>
          <cell r="S2332" t="e">
            <v>#VALUE!</v>
          </cell>
          <cell r="T2332" t="e">
            <v>#VALUE!</v>
          </cell>
        </row>
        <row r="2333">
          <cell r="A2333" t="str">
            <v>GRLX1800019R</v>
          </cell>
          <cell r="B2333" t="str">
            <v>MKP000631003333</v>
          </cell>
          <cell r="C2333" t="str">
            <v/>
          </cell>
          <cell r="D2333" t="str">
            <v>Armário de Cozinha Compacta 180cm Branco/Cinza Lux Madesa 01</v>
          </cell>
          <cell r="E2333" t="str">
            <v>LUX</v>
          </cell>
          <cell r="F2333" t="str">
            <v>COZINHA</v>
          </cell>
          <cell r="G2333" t="str">
            <v/>
          </cell>
          <cell r="H2333">
            <v>3419.99</v>
          </cell>
          <cell r="I2333">
            <v>3319.99</v>
          </cell>
          <cell r="J2333">
            <v>2051.6743000000001</v>
          </cell>
          <cell r="K2333">
            <v>0</v>
          </cell>
          <cell r="L2333">
            <v>2051.6743000000001</v>
          </cell>
          <cell r="M2333">
            <v>0</v>
          </cell>
          <cell r="N2333">
            <v>3319.99</v>
          </cell>
          <cell r="O2333" t="str">
            <v>LOJA</v>
          </cell>
          <cell r="P2333">
            <v>2919.99</v>
          </cell>
          <cell r="Q2333">
            <v>0.61818569350895503</v>
          </cell>
          <cell r="R2333">
            <v>0.61818569350895503</v>
          </cell>
          <cell r="S2333" t="e">
            <v>#VALUE!</v>
          </cell>
          <cell r="T2333" t="e">
            <v>#VALUE!</v>
          </cell>
        </row>
        <row r="2334">
          <cell r="A2334" t="str">
            <v>G2570009GL</v>
          </cell>
          <cell r="B2334" t="str">
            <v>MKP000631005463</v>
          </cell>
          <cell r="C2334" t="str">
            <v/>
          </cell>
          <cell r="D2334" t="str">
            <v>Armário Aéreo 70 cm 2 Portas Branco Glamy Madesa</v>
          </cell>
          <cell r="E2334" t="str">
            <v>GLAMY</v>
          </cell>
          <cell r="F2334" t="str">
            <v>MODULAÇÃO</v>
          </cell>
          <cell r="G2334" t="str">
            <v/>
          </cell>
          <cell r="H2334">
            <v>519.99</v>
          </cell>
          <cell r="I2334">
            <v>419.99</v>
          </cell>
          <cell r="J2334">
            <v>249.31569999999999</v>
          </cell>
          <cell r="K2334">
            <v>0</v>
          </cell>
          <cell r="L2334">
            <v>249.31569999999999</v>
          </cell>
          <cell r="M2334">
            <v>0</v>
          </cell>
          <cell r="N2334">
            <v>419.99</v>
          </cell>
          <cell r="O2334" t="str">
            <v/>
          </cell>
          <cell r="P2334">
            <v>0</v>
          </cell>
          <cell r="Q2334">
            <v>0.68457100776244695</v>
          </cell>
          <cell r="R2334">
            <v>0.68457100776244695</v>
          </cell>
          <cell r="S2334" t="e">
            <v>#VALUE!</v>
          </cell>
          <cell r="T2334" t="e">
            <v>#VALUE!</v>
          </cell>
        </row>
        <row r="2335">
          <cell r="A2335" t="str">
            <v>G2535009TE</v>
          </cell>
          <cell r="B2335" t="str">
            <v>MKP000631001903</v>
          </cell>
          <cell r="C2335" t="str">
            <v/>
          </cell>
          <cell r="D2335" t="str">
            <v>Armário Aéreo Madesa Stella 35 cm 1 Porta Branco</v>
          </cell>
          <cell r="E2335" t="str">
            <v>STELLA</v>
          </cell>
          <cell r="F2335" t="str">
            <v>MODULAÇÃO</v>
          </cell>
          <cell r="G2335" t="str">
            <v/>
          </cell>
          <cell r="H2335">
            <v>369.99</v>
          </cell>
          <cell r="I2335">
            <v>279.99</v>
          </cell>
          <cell r="J2335">
            <v>165.37479999999999</v>
          </cell>
          <cell r="K2335">
            <v>0</v>
          </cell>
          <cell r="L2335">
            <v>165.37479999999999</v>
          </cell>
          <cell r="M2335">
            <v>0</v>
          </cell>
          <cell r="N2335">
            <v>279.99</v>
          </cell>
          <cell r="O2335" t="str">
            <v/>
          </cell>
          <cell r="P2335">
            <v>0</v>
          </cell>
          <cell r="Q2335">
            <v>0.69306327203419105</v>
          </cell>
          <cell r="R2335">
            <v>0.69306327203419105</v>
          </cell>
          <cell r="S2335" t="e">
            <v>#VALUE!</v>
          </cell>
          <cell r="T2335" t="e">
            <v>#VALUE!</v>
          </cell>
        </row>
        <row r="2336">
          <cell r="A2336" t="str">
            <v>GRLX180001H7</v>
          </cell>
          <cell r="B2336" t="str">
            <v>MKP000631003745</v>
          </cell>
          <cell r="C2336" t="str">
            <v/>
          </cell>
          <cell r="D2336" t="str">
            <v>Armário de Cozinha Compacta 180cm Branco/Branco Veludo Lux Madesa 01</v>
          </cell>
          <cell r="E2336" t="str">
            <v>LUX</v>
          </cell>
          <cell r="F2336" t="str">
            <v>COZINHA</v>
          </cell>
          <cell r="G2336" t="str">
            <v/>
          </cell>
          <cell r="H2336">
            <v>2729.99</v>
          </cell>
          <cell r="I2336">
            <v>2619.9899999999998</v>
          </cell>
          <cell r="J2336">
            <v>1405.6967</v>
          </cell>
          <cell r="K2336">
            <v>0</v>
          </cell>
          <cell r="L2336">
            <v>1405.6967</v>
          </cell>
          <cell r="M2336">
            <v>0</v>
          </cell>
          <cell r="N2336">
            <v>2619.9899999999998</v>
          </cell>
          <cell r="O2336" t="str">
            <v>LOJA</v>
          </cell>
          <cell r="P2336">
            <v>2289.9899999999998</v>
          </cell>
          <cell r="Q2336">
            <v>0.86383734129844603</v>
          </cell>
          <cell r="R2336">
            <v>0.86383734129844603</v>
          </cell>
          <cell r="S2336" t="e">
            <v>#VALUE!</v>
          </cell>
          <cell r="T2336" t="e">
            <v>#VALUE!</v>
          </cell>
        </row>
        <row r="2337">
          <cell r="A2337" t="str">
            <v>MDJA0400217GFBM</v>
          </cell>
          <cell r="B2337" t="str">
            <v>MKP000631005571</v>
          </cell>
          <cell r="C2337" t="str">
            <v/>
          </cell>
          <cell r="D2337" t="str">
            <v>Conjunto Sala de Jantar Mesa Tampo de Madeira 4 Cadeiras Rustic/Crema/Bege Marrom Alana Madesa</v>
          </cell>
          <cell r="E2337" t="str">
            <v>ALANA</v>
          </cell>
          <cell r="F2337" t="str">
            <v>SALA DE JANTAR</v>
          </cell>
          <cell r="G2337" t="str">
            <v>4291X</v>
          </cell>
          <cell r="H2337">
            <v>599.99</v>
          </cell>
          <cell r="I2337">
            <v>499.99</v>
          </cell>
          <cell r="J2337">
            <v>400.66219999999998</v>
          </cell>
          <cell r="K2337">
            <v>0</v>
          </cell>
          <cell r="L2337">
            <v>400.66219999999998</v>
          </cell>
          <cell r="M2337">
            <v>0</v>
          </cell>
          <cell r="N2337">
            <v>499.99</v>
          </cell>
          <cell r="O2337" t="str">
            <v/>
          </cell>
          <cell r="P2337">
            <v>0</v>
          </cell>
          <cell r="Q2337">
            <v>0.24790908650728699</v>
          </cell>
          <cell r="R2337">
            <v>0.24790908650728699</v>
          </cell>
          <cell r="S2337" t="e">
            <v>#VALUE!</v>
          </cell>
          <cell r="T2337" t="e">
            <v>#VALUE!</v>
          </cell>
        </row>
        <row r="2338">
          <cell r="A2338" t="str">
            <v>G2460073</v>
          </cell>
          <cell r="B2338" t="str">
            <v>MKP000631004948</v>
          </cell>
          <cell r="C2338" t="str">
            <v/>
          </cell>
          <cell r="D2338" t="str">
            <v>Balcão 100% MDF 60 cm 1 Porta Branco/Preto Acordes Madesa</v>
          </cell>
          <cell r="E2338" t="str">
            <v>ACORDES</v>
          </cell>
          <cell r="F2338" t="str">
            <v>MODULAÇÃO</v>
          </cell>
          <cell r="G2338" t="str">
            <v/>
          </cell>
          <cell r="H2338">
            <v>699.99</v>
          </cell>
          <cell r="I2338">
            <v>449.99</v>
          </cell>
          <cell r="J2338">
            <v>290.9973</v>
          </cell>
          <cell r="K2338">
            <v>0</v>
          </cell>
          <cell r="L2338">
            <v>290.9973</v>
          </cell>
          <cell r="M2338">
            <v>0</v>
          </cell>
          <cell r="N2338">
            <v>449.99</v>
          </cell>
          <cell r="O2338" t="str">
            <v/>
          </cell>
          <cell r="P2338">
            <v>0</v>
          </cell>
          <cell r="Q2338">
            <v>0.546371736095146</v>
          </cell>
          <cell r="R2338">
            <v>0.546371736095146</v>
          </cell>
          <cell r="S2338" t="e">
            <v>#VALUE!</v>
          </cell>
          <cell r="T2338" t="e">
            <v>#VALUE!</v>
          </cell>
        </row>
        <row r="2339">
          <cell r="A2339" t="str">
            <v>G2412009AG</v>
          </cell>
          <cell r="B2339" t="str">
            <v>MKP000631004750</v>
          </cell>
          <cell r="C2339" t="str">
            <v/>
          </cell>
          <cell r="D2339" t="str">
            <v>Balcão de Pia Madesa Agata 2 Portas Branco</v>
          </cell>
          <cell r="E2339" t="str">
            <v>ÁGATA</v>
          </cell>
          <cell r="F2339" t="str">
            <v>MODULAÇÃO</v>
          </cell>
          <cell r="G2339" t="str">
            <v/>
          </cell>
          <cell r="H2339">
            <v>669.99</v>
          </cell>
          <cell r="I2339">
            <v>489.99</v>
          </cell>
          <cell r="J2339">
            <v>355.6234</v>
          </cell>
          <cell r="K2339">
            <v>0</v>
          </cell>
          <cell r="L2339">
            <v>355.6234</v>
          </cell>
          <cell r="M2339">
            <v>0</v>
          </cell>
          <cell r="N2339">
            <v>489.99</v>
          </cell>
          <cell r="O2339" t="str">
            <v/>
          </cell>
          <cell r="P2339">
            <v>0</v>
          </cell>
          <cell r="Q2339">
            <v>0.37783396705616101</v>
          </cell>
          <cell r="R2339">
            <v>0.37783396705616101</v>
          </cell>
          <cell r="S2339" t="e">
            <v>#VALUE!</v>
          </cell>
          <cell r="T2339" t="e">
            <v>#VALUE!</v>
          </cell>
        </row>
        <row r="2340">
          <cell r="A2340" t="str">
            <v>GRTE290001099B</v>
          </cell>
          <cell r="B2340" t="str">
            <v>MKP000631001979</v>
          </cell>
          <cell r="C2340" t="str">
            <v/>
          </cell>
          <cell r="D2340" t="str">
            <v>Armário de Cozinha Completa 290cm Branco/Branco/Rustic Stella Madesa 01</v>
          </cell>
          <cell r="E2340" t="str">
            <v>STELLA</v>
          </cell>
          <cell r="F2340" t="str">
            <v>COZINHA</v>
          </cell>
          <cell r="G2340" t="str">
            <v/>
          </cell>
          <cell r="H2340">
            <v>3069.99</v>
          </cell>
          <cell r="I2340">
            <v>2499.9899999999998</v>
          </cell>
          <cell r="J2340">
            <v>2147.7577999999999</v>
          </cell>
          <cell r="K2340">
            <v>0</v>
          </cell>
          <cell r="L2340">
            <v>2147.7577999999999</v>
          </cell>
          <cell r="M2340">
            <v>0</v>
          </cell>
          <cell r="N2340">
            <v>2499.9899999999998</v>
          </cell>
          <cell r="O2340" t="str">
            <v/>
          </cell>
          <cell r="P2340">
            <v>0</v>
          </cell>
          <cell r="Q2340">
            <v>0.16399996312433299</v>
          </cell>
          <cell r="R2340">
            <v>0.16399996312433299</v>
          </cell>
          <cell r="S2340" t="e">
            <v>#VALUE!</v>
          </cell>
          <cell r="T2340" t="e">
            <v>#VALUE!</v>
          </cell>
        </row>
        <row r="2341">
          <cell r="A2341" t="str">
            <v>GRGL1800066E</v>
          </cell>
          <cell r="B2341" t="str">
            <v>MKP000631004238</v>
          </cell>
          <cell r="C2341" t="str">
            <v/>
          </cell>
          <cell r="D2341" t="str">
            <v>Armário de Cozinha Compacta 180cm Rustic Branco Glamy Madesa 06</v>
          </cell>
          <cell r="E2341" t="str">
            <v>GLAMY</v>
          </cell>
          <cell r="F2341" t="str">
            <v>COZINHA</v>
          </cell>
          <cell r="G2341" t="str">
            <v/>
          </cell>
          <cell r="H2341">
            <v>1679.99</v>
          </cell>
          <cell r="I2341">
            <v>1579.99</v>
          </cell>
          <cell r="J2341">
            <v>1306.6157000000001</v>
          </cell>
          <cell r="K2341">
            <v>0</v>
          </cell>
          <cell r="L2341">
            <v>1306.6157000000001</v>
          </cell>
          <cell r="M2341">
            <v>0</v>
          </cell>
          <cell r="N2341">
            <v>1579.99</v>
          </cell>
          <cell r="O2341" t="str">
            <v/>
          </cell>
          <cell r="P2341">
            <v>0</v>
          </cell>
          <cell r="Q2341">
            <v>0.20922318628193401</v>
          </cell>
          <cell r="R2341">
            <v>0.20922318628193401</v>
          </cell>
          <cell r="S2341" t="e">
            <v>#VALUE!</v>
          </cell>
          <cell r="T2341" t="e">
            <v>#VALUE!</v>
          </cell>
        </row>
        <row r="2342">
          <cell r="A2342" t="str">
            <v>XA10946E1E4G</v>
          </cell>
          <cell r="B2342" t="str">
            <v>MKP000631001606</v>
          </cell>
          <cell r="C2342" t="str">
            <v/>
          </cell>
          <cell r="D2342" t="str">
            <v>Guarda-Roupa Infantil Madesa Theo 2 Portas de Correr com Espelho 4 Gavetas Rustic/Branco</v>
          </cell>
          <cell r="E2342" t="str">
            <v>THEO</v>
          </cell>
          <cell r="F2342" t="str">
            <v>QUARTO</v>
          </cell>
          <cell r="G2342" t="str">
            <v/>
          </cell>
          <cell r="H2342">
            <v>1259.99</v>
          </cell>
          <cell r="I2342">
            <v>969.99</v>
          </cell>
          <cell r="J2342">
            <v>782.51099999999997</v>
          </cell>
          <cell r="K2342">
            <v>0</v>
          </cell>
          <cell r="L2342">
            <v>782.51099999999997</v>
          </cell>
          <cell r="M2342">
            <v>0</v>
          </cell>
          <cell r="N2342">
            <v>969.99</v>
          </cell>
          <cell r="O2342" t="str">
            <v/>
          </cell>
          <cell r="P2342">
            <v>0</v>
          </cell>
          <cell r="Q2342">
            <v>0.23958640836997799</v>
          </cell>
          <cell r="R2342">
            <v>0.23958640836997799</v>
          </cell>
          <cell r="S2342" t="e">
            <v>#VALUE!</v>
          </cell>
          <cell r="T2342" t="e">
            <v>#VALUE!</v>
          </cell>
        </row>
        <row r="2343">
          <cell r="A2343" t="str">
            <v>MDJA0401555ZBE</v>
          </cell>
          <cell r="B2343" t="str">
            <v>MKP000631005348</v>
          </cell>
          <cell r="C2343" t="str">
            <v/>
          </cell>
          <cell r="D2343" t="str">
            <v>Conjunto Sala de Jantar Mesa Tampo de Madeira 4 Cadeiras Rustic/Crema/Bege Elisa Madesa</v>
          </cell>
          <cell r="E2343" t="str">
            <v>ELISA</v>
          </cell>
          <cell r="F2343" t="str">
            <v>SALA DE JANTAR</v>
          </cell>
          <cell r="G2343">
            <v>4280</v>
          </cell>
          <cell r="H2343">
            <v>869.99</v>
          </cell>
          <cell r="I2343">
            <v>769.99</v>
          </cell>
          <cell r="J2343">
            <v>565.57920000000001</v>
          </cell>
          <cell r="K2343">
            <v>0</v>
          </cell>
          <cell r="L2343">
            <v>565.57920000000001</v>
          </cell>
          <cell r="M2343">
            <v>0</v>
          </cell>
          <cell r="N2343">
            <v>769.99</v>
          </cell>
          <cell r="O2343" t="str">
            <v/>
          </cell>
          <cell r="P2343">
            <v>0</v>
          </cell>
          <cell r="Q2343">
            <v>0.36141852458506302</v>
          </cell>
          <cell r="R2343">
            <v>0.36141852458506302</v>
          </cell>
          <cell r="S2343" t="e">
            <v>#VALUE!</v>
          </cell>
          <cell r="T2343" t="e">
            <v>#VALUE!</v>
          </cell>
        </row>
        <row r="2344">
          <cell r="A2344" t="str">
            <v>G22124H8LX</v>
          </cell>
          <cell r="B2344" t="str">
            <v>MKP000631004480</v>
          </cell>
          <cell r="C2344" t="str">
            <v/>
          </cell>
          <cell r="D2344" t="str">
            <v>Balcão Gabinete de Pia Madesa Lux 120 cm 2 Portas 3 Gavetas (Sem Tampo) Rustic/Branco Veludo</v>
          </cell>
          <cell r="E2344" t="str">
            <v>LUX</v>
          </cell>
          <cell r="F2344" t="str">
            <v>MODULAÇÃO</v>
          </cell>
          <cell r="G2344" t="str">
            <v/>
          </cell>
          <cell r="H2344">
            <v>1519.99</v>
          </cell>
          <cell r="I2344">
            <v>1079.99</v>
          </cell>
          <cell r="J2344">
            <v>613.9425</v>
          </cell>
          <cell r="K2344">
            <v>0</v>
          </cell>
          <cell r="L2344">
            <v>613.9425</v>
          </cell>
          <cell r="M2344">
            <v>0</v>
          </cell>
          <cell r="N2344">
            <v>1079.99</v>
          </cell>
          <cell r="O2344" t="str">
            <v>LOJA</v>
          </cell>
          <cell r="P2344">
            <v>1069.99</v>
          </cell>
          <cell r="Q2344">
            <v>0.75910610521343602</v>
          </cell>
          <cell r="R2344">
            <v>0.75910610521343602</v>
          </cell>
          <cell r="S2344" t="e">
            <v>#VALUE!</v>
          </cell>
          <cell r="T2344" t="e">
            <v>#VALUE!</v>
          </cell>
        </row>
        <row r="2345">
          <cell r="A2345" t="str">
            <v>GCRM36700109</v>
          </cell>
          <cell r="B2345" t="str">
            <v>MKP000631003395</v>
          </cell>
          <cell r="C2345" t="str">
            <v/>
          </cell>
          <cell r="D2345" t="str">
            <v>Armário de Cozinha Completa de Canto 367cm Branco Reims Madesa 01</v>
          </cell>
          <cell r="E2345" t="str">
            <v>REIMS</v>
          </cell>
          <cell r="F2345" t="str">
            <v>COZINHA</v>
          </cell>
          <cell r="G2345" t="str">
            <v/>
          </cell>
          <cell r="H2345">
            <v>3219.99</v>
          </cell>
          <cell r="I2345">
            <v>1979.99</v>
          </cell>
          <cell r="J2345">
            <v>1712.1393</v>
          </cell>
          <cell r="K2345">
            <v>0</v>
          </cell>
          <cell r="L2345">
            <v>1712.1393</v>
          </cell>
          <cell r="M2345">
            <v>0</v>
          </cell>
          <cell r="N2345">
            <v>1979.99</v>
          </cell>
          <cell r="O2345" t="str">
            <v/>
          </cell>
          <cell r="P2345">
            <v>0</v>
          </cell>
          <cell r="Q2345">
            <v>0.156442118932729</v>
          </cell>
          <cell r="R2345">
            <v>0.156442118932729</v>
          </cell>
          <cell r="S2345" t="e">
            <v>#VALUE!</v>
          </cell>
          <cell r="T2345" t="e">
            <v>#VALUE!</v>
          </cell>
        </row>
        <row r="2346">
          <cell r="A2346" t="str">
            <v>GRNC2200013B</v>
          </cell>
          <cell r="B2346" t="str">
            <v>MKP000631005926</v>
          </cell>
          <cell r="C2346" t="str">
            <v/>
          </cell>
          <cell r="D2346" t="str">
            <v>Armário de Cozinha Completa 220cm Cinza Nice Madesa 01</v>
          </cell>
          <cell r="E2346" t="str">
            <v>NICE</v>
          </cell>
          <cell r="F2346" t="str">
            <v>COZINHA</v>
          </cell>
          <cell r="G2346" t="str">
            <v/>
          </cell>
          <cell r="H2346">
            <v>1249.99</v>
          </cell>
          <cell r="I2346">
            <v>1249.99</v>
          </cell>
          <cell r="J2346">
            <v>1017.079</v>
          </cell>
          <cell r="K2346">
            <v>0</v>
          </cell>
          <cell r="L2346">
            <v>1017.079</v>
          </cell>
          <cell r="M2346">
            <v>0</v>
          </cell>
          <cell r="N2346">
            <v>1249.99</v>
          </cell>
          <cell r="O2346" t="str">
            <v/>
          </cell>
          <cell r="P2346">
            <v>0</v>
          </cell>
          <cell r="Q2346">
            <v>0.22899991052809099</v>
          </cell>
          <cell r="R2346">
            <v>0.22899991052809099</v>
          </cell>
          <cell r="S2346" t="e">
            <v>#VALUE!</v>
          </cell>
          <cell r="T2346" t="e">
            <v>#VALUE!</v>
          </cell>
        </row>
        <row r="2347">
          <cell r="A2347" t="str">
            <v>1028772E</v>
          </cell>
          <cell r="B2347" t="str">
            <v>MKP000631003467</v>
          </cell>
          <cell r="C2347" t="str">
            <v/>
          </cell>
          <cell r="D2347" t="str">
            <v>Guarda-Roupa Casal Madesa Austin 4 Portas de Correr com Espelhos 3 Gavetas Preto/Branco</v>
          </cell>
          <cell r="E2347" t="str">
            <v>AUSTIN</v>
          </cell>
          <cell r="F2347" t="str">
            <v>QUARTO</v>
          </cell>
          <cell r="G2347" t="str">
            <v/>
          </cell>
          <cell r="H2347">
            <v>2839.99</v>
          </cell>
          <cell r="I2347">
            <v>1699.99</v>
          </cell>
          <cell r="J2347">
            <v>1393.0853999999999</v>
          </cell>
          <cell r="K2347">
            <v>0</v>
          </cell>
          <cell r="L2347">
            <v>1393.0853999999999</v>
          </cell>
          <cell r="M2347">
            <v>0</v>
          </cell>
          <cell r="N2347">
            <v>1699.99</v>
          </cell>
          <cell r="O2347" t="str">
            <v/>
          </cell>
          <cell r="P2347">
            <v>0</v>
          </cell>
          <cell r="Q2347">
            <v>0.22030566108868799</v>
          </cell>
          <cell r="R2347">
            <v>0.22030566108868799</v>
          </cell>
          <cell r="S2347" t="e">
            <v>#VALUE!</v>
          </cell>
          <cell r="T2347" t="e">
            <v>#VALUE!</v>
          </cell>
        </row>
        <row r="2348">
          <cell r="A2348" t="str">
            <v>G266555ZGL</v>
          </cell>
          <cell r="B2348" t="str">
            <v>MKP000631000358</v>
          </cell>
          <cell r="C2348" t="str">
            <v/>
          </cell>
          <cell r="D2348" t="str">
            <v>Torre Quente Madesa Glamy 60 cm 1 Porta 3 Gavetas Rustic</v>
          </cell>
          <cell r="E2348" t="str">
            <v>GLAMY</v>
          </cell>
          <cell r="F2348" t="str">
            <v>MODULAÇÃO</v>
          </cell>
          <cell r="G2348" t="str">
            <v/>
          </cell>
          <cell r="H2348">
            <v>1419.99</v>
          </cell>
          <cell r="I2348">
            <v>939.99</v>
          </cell>
          <cell r="J2348">
            <v>578.65920000000006</v>
          </cell>
          <cell r="K2348">
            <v>0</v>
          </cell>
          <cell r="L2348">
            <v>578.65920000000006</v>
          </cell>
          <cell r="M2348">
            <v>0</v>
          </cell>
          <cell r="N2348">
            <v>939.99</v>
          </cell>
          <cell r="O2348" t="str">
            <v/>
          </cell>
          <cell r="P2348">
            <v>0</v>
          </cell>
          <cell r="Q2348">
            <v>0.62442764238432602</v>
          </cell>
          <cell r="R2348">
            <v>0.62442764238432602</v>
          </cell>
          <cell r="S2348" t="e">
            <v>#VALUE!</v>
          </cell>
          <cell r="T2348" t="e">
            <v>#VALUE!</v>
          </cell>
        </row>
        <row r="2349">
          <cell r="A2349" t="str">
            <v>G247506EK</v>
          </cell>
          <cell r="B2349" t="str">
            <v>MKP000631000928</v>
          </cell>
          <cell r="C2349" t="str">
            <v/>
          </cell>
          <cell r="D2349" t="str">
            <v>Balcão de Canto Madesa Acordes 100% MDF 1 Porta Branco/Rustic</v>
          </cell>
          <cell r="E2349" t="str">
            <v>ACORDES</v>
          </cell>
          <cell r="F2349" t="str">
            <v>MODULAÇÃO</v>
          </cell>
          <cell r="G2349" t="str">
            <v/>
          </cell>
          <cell r="H2349">
            <v>1029.99</v>
          </cell>
          <cell r="I2349">
            <v>579.99</v>
          </cell>
          <cell r="J2349">
            <v>355.3836</v>
          </cell>
          <cell r="K2349">
            <v>0</v>
          </cell>
          <cell r="L2349">
            <v>355.3836</v>
          </cell>
          <cell r="M2349">
            <v>0</v>
          </cell>
          <cell r="N2349">
            <v>579.99</v>
          </cell>
          <cell r="O2349" t="str">
            <v/>
          </cell>
          <cell r="P2349">
            <v>0</v>
          </cell>
          <cell r="Q2349">
            <v>0.63201115639551197</v>
          </cell>
          <cell r="R2349">
            <v>0.63201115639551197</v>
          </cell>
          <cell r="S2349" t="e">
            <v>#VALUE!</v>
          </cell>
          <cell r="T2349" t="e">
            <v>#VALUE!</v>
          </cell>
        </row>
        <row r="2350">
          <cell r="A2350" t="str">
            <v>GRLX2000037K</v>
          </cell>
          <cell r="B2350" t="str">
            <v>MKP000631004332</v>
          </cell>
          <cell r="C2350" t="str">
            <v/>
          </cell>
          <cell r="D2350" t="str">
            <v>Kit com 2 Balcões de Cozinha Madesa Lux 4 Portas 3 Gavetas (Sem Tampo e Pia) Rustic/Preto</v>
          </cell>
          <cell r="E2350" t="str">
            <v>LUX</v>
          </cell>
          <cell r="F2350" t="str">
            <v>COZINHA</v>
          </cell>
          <cell r="G2350" t="str">
            <v/>
          </cell>
          <cell r="H2350">
            <v>2489.9899999999998</v>
          </cell>
          <cell r="I2350">
            <v>2369.9899999999998</v>
          </cell>
          <cell r="J2350">
            <v>1400.7263</v>
          </cell>
          <cell r="K2350">
            <v>0</v>
          </cell>
          <cell r="L2350">
            <v>1400.7263</v>
          </cell>
          <cell r="M2350">
            <v>0</v>
          </cell>
          <cell r="N2350">
            <v>2369.9899999999998</v>
          </cell>
          <cell r="O2350" t="str">
            <v>LOJA</v>
          </cell>
          <cell r="P2350">
            <v>2079.9899999999998</v>
          </cell>
          <cell r="Q2350">
            <v>0.69197222897863697</v>
          </cell>
          <cell r="R2350">
            <v>0.69197222897863697</v>
          </cell>
          <cell r="S2350" t="e">
            <v>#VALUE!</v>
          </cell>
          <cell r="T2350" t="e">
            <v>#VALUE!</v>
          </cell>
        </row>
        <row r="2351">
          <cell r="A2351" t="str">
            <v>GRLX320001H8</v>
          </cell>
          <cell r="B2351" t="str">
            <v>MKP000631003767</v>
          </cell>
          <cell r="C2351" t="str">
            <v/>
          </cell>
          <cell r="D2351" t="str">
            <v>Armário de Cozinha Completa 320cm Rustic Branco Veludo Lux Madesa 01</v>
          </cell>
          <cell r="E2351" t="str">
            <v>LUX</v>
          </cell>
          <cell r="F2351" t="str">
            <v>COZINHA</v>
          </cell>
          <cell r="G2351" t="str">
            <v/>
          </cell>
          <cell r="H2351">
            <v>5039.99</v>
          </cell>
          <cell r="I2351">
            <v>4979.99</v>
          </cell>
          <cell r="J2351">
            <v>2576.5419999999999</v>
          </cell>
          <cell r="K2351">
            <v>0</v>
          </cell>
          <cell r="L2351">
            <v>2576.5419999999999</v>
          </cell>
          <cell r="M2351">
            <v>0</v>
          </cell>
          <cell r="N2351">
            <v>4979.99</v>
          </cell>
          <cell r="O2351" t="str">
            <v>LOJA</v>
          </cell>
          <cell r="P2351">
            <v>4379.99</v>
          </cell>
          <cell r="Q2351">
            <v>0.93281925930180798</v>
          </cell>
          <cell r="R2351">
            <v>0.93281925930180798</v>
          </cell>
          <cell r="S2351" t="e">
            <v>#VALUE!</v>
          </cell>
          <cell r="T2351" t="e">
            <v>#VALUE!</v>
          </cell>
        </row>
        <row r="2352">
          <cell r="A2352" t="str">
            <v>MDFC0200078N8N</v>
          </cell>
          <cell r="B2352" t="str">
            <v>MKP000631003416</v>
          </cell>
          <cell r="C2352" t="str">
            <v/>
          </cell>
          <cell r="D2352" t="str">
            <v>Escrivaninha Madesa Alaska + Estante Livreiro 6908 Preto</v>
          </cell>
          <cell r="E2352" t="str">
            <v>ALASKA + 6908</v>
          </cell>
          <cell r="F2352" t="str">
            <v>ESCRITÓRIO</v>
          </cell>
          <cell r="G2352" t="str">
            <v/>
          </cell>
          <cell r="H2352">
            <v>1399.99</v>
          </cell>
          <cell r="I2352">
            <v>789.99</v>
          </cell>
          <cell r="J2352">
            <v>563.56269999999995</v>
          </cell>
          <cell r="K2352">
            <v>0</v>
          </cell>
          <cell r="L2352">
            <v>563.56269999999995</v>
          </cell>
          <cell r="M2352">
            <v>0</v>
          </cell>
          <cell r="N2352">
            <v>789.99</v>
          </cell>
          <cell r="O2352" t="str">
            <v/>
          </cell>
          <cell r="P2352">
            <v>0</v>
          </cell>
          <cell r="Q2352">
            <v>0.40177836467885503</v>
          </cell>
          <cell r="R2352">
            <v>0.40177836467885503</v>
          </cell>
          <cell r="S2352" t="e">
            <v>#VALUE!</v>
          </cell>
          <cell r="T2352" t="e">
            <v>#VALUE!</v>
          </cell>
        </row>
        <row r="2353">
          <cell r="A2353" t="str">
            <v>G242005ZPR</v>
          </cell>
          <cell r="B2353" t="str">
            <v>MKP000631000355</v>
          </cell>
          <cell r="C2353" t="str">
            <v/>
          </cell>
          <cell r="D2353" t="str">
            <v>Balcão Porta-Pano Madesa para Cozinhas Glamy, Agata e Stella 20 cm (Com Tampo) Rustic</v>
          </cell>
          <cell r="E2353" t="str">
            <v>PR</v>
          </cell>
          <cell r="F2353" t="str">
            <v>MODULAÇÃO</v>
          </cell>
          <cell r="G2353" t="str">
            <v/>
          </cell>
          <cell r="H2353">
            <v>389.99</v>
          </cell>
          <cell r="I2353">
            <v>249.99</v>
          </cell>
          <cell r="J2353">
            <v>153.47200000000001</v>
          </cell>
          <cell r="K2353">
            <v>0</v>
          </cell>
          <cell r="L2353">
            <v>153.47200000000001</v>
          </cell>
          <cell r="M2353">
            <v>0</v>
          </cell>
          <cell r="N2353">
            <v>249.99</v>
          </cell>
          <cell r="O2353" t="str">
            <v/>
          </cell>
          <cell r="P2353">
            <v>0</v>
          </cell>
          <cell r="Q2353">
            <v>0.62889647623019096</v>
          </cell>
          <cell r="R2353">
            <v>0.62889647623019096</v>
          </cell>
          <cell r="S2353" t="e">
            <v>#VALUE!</v>
          </cell>
          <cell r="T2353" t="e">
            <v>#VALUE!</v>
          </cell>
        </row>
        <row r="2354">
          <cell r="A2354" t="str">
            <v>GCAG399001F8</v>
          </cell>
          <cell r="B2354" t="str">
            <v>MKP000631004396</v>
          </cell>
          <cell r="C2354" t="str">
            <v/>
          </cell>
          <cell r="D2354" t="str">
            <v>Armário de Cozinha Completa de Canto 399cm Branco Cinza Agata Madesa 01</v>
          </cell>
          <cell r="E2354" t="str">
            <v>ÁGATA</v>
          </cell>
          <cell r="F2354" t="str">
            <v>COZINHA</v>
          </cell>
          <cell r="G2354" t="str">
            <v/>
          </cell>
          <cell r="H2354">
            <v>2959.99</v>
          </cell>
          <cell r="I2354">
            <v>2859.99</v>
          </cell>
          <cell r="J2354">
            <v>2348.3069</v>
          </cell>
          <cell r="K2354">
            <v>0</v>
          </cell>
          <cell r="L2354">
            <v>2348.3069</v>
          </cell>
          <cell r="M2354">
            <v>0</v>
          </cell>
          <cell r="N2354">
            <v>2859.99</v>
          </cell>
          <cell r="O2354" t="str">
            <v/>
          </cell>
          <cell r="P2354">
            <v>0</v>
          </cell>
          <cell r="Q2354">
            <v>0.217894475377132</v>
          </cell>
          <cell r="R2354">
            <v>0.217894475377132</v>
          </cell>
          <cell r="S2354" t="e">
            <v>#VALUE!</v>
          </cell>
          <cell r="T2354" t="e">
            <v>#VALUE!</v>
          </cell>
        </row>
        <row r="2355">
          <cell r="A2355" t="str">
            <v>GRGL1200089B</v>
          </cell>
          <cell r="B2355" t="str">
            <v>MKP000631004623</v>
          </cell>
          <cell r="C2355" t="str">
            <v/>
          </cell>
          <cell r="D2355" t="str">
            <v>Armário de Cozinha Compacta 120cm Branco/Rustic Glamy Madesa 08</v>
          </cell>
          <cell r="E2355" t="str">
            <v>GLAMY</v>
          </cell>
          <cell r="F2355" t="str">
            <v>COZINHA</v>
          </cell>
          <cell r="G2355" t="str">
            <v/>
          </cell>
          <cell r="H2355">
            <v>1199.99</v>
          </cell>
          <cell r="I2355">
            <v>1099.99</v>
          </cell>
          <cell r="J2355">
            <v>907.50130000000001</v>
          </cell>
          <cell r="K2355">
            <v>0</v>
          </cell>
          <cell r="L2355">
            <v>907.50130000000001</v>
          </cell>
          <cell r="M2355">
            <v>0</v>
          </cell>
          <cell r="N2355">
            <v>1099.99</v>
          </cell>
          <cell r="O2355" t="str">
            <v/>
          </cell>
          <cell r="P2355">
            <v>0</v>
          </cell>
          <cell r="Q2355">
            <v>0.21210845648375401</v>
          </cell>
          <cell r="R2355">
            <v>0.21210845648375401</v>
          </cell>
          <cell r="S2355" t="e">
            <v>#VALUE!</v>
          </cell>
          <cell r="T2355" t="e">
            <v>#VALUE!</v>
          </cell>
        </row>
        <row r="2356">
          <cell r="A2356" t="str">
            <v>10186E3E</v>
          </cell>
          <cell r="B2356" t="str">
            <v>MKP000631002389</v>
          </cell>
          <cell r="C2356" t="str">
            <v/>
          </cell>
          <cell r="D2356" t="str">
            <v>Guarda-Roupa Casal Madesa Kansas 3 Portas de Correr de Espelho 3 Gavetas Rustic/Branco</v>
          </cell>
          <cell r="E2356" t="str">
            <v>KANSAS</v>
          </cell>
          <cell r="F2356" t="str">
            <v>QUARTO</v>
          </cell>
          <cell r="G2356" t="str">
            <v/>
          </cell>
          <cell r="H2356">
            <v>2389.9899999999998</v>
          </cell>
          <cell r="I2356">
            <v>1849.99</v>
          </cell>
          <cell r="J2356">
            <v>1523.3404</v>
          </cell>
          <cell r="K2356">
            <v>0</v>
          </cell>
          <cell r="L2356">
            <v>1523.3404</v>
          </cell>
          <cell r="M2356">
            <v>0</v>
          </cell>
          <cell r="N2356">
            <v>1849.99</v>
          </cell>
          <cell r="O2356" t="str">
            <v/>
          </cell>
          <cell r="P2356">
            <v>0</v>
          </cell>
          <cell r="Q2356">
            <v>0.21442981489888899</v>
          </cell>
          <cell r="R2356">
            <v>0.21442981489888899</v>
          </cell>
          <cell r="S2356" t="e">
            <v>#VALUE!</v>
          </cell>
          <cell r="T2356" t="e">
            <v>#VALUE!</v>
          </cell>
        </row>
        <row r="2357">
          <cell r="A2357" t="str">
            <v>XC1063092ECP</v>
          </cell>
          <cell r="B2357" t="str">
            <v>MKP000631001466</v>
          </cell>
          <cell r="C2357" t="str">
            <v/>
          </cell>
          <cell r="D2357" t="str">
            <v>Guarda-Roupa Casal 100% MDF Madesa Zurique 3 Portas de Correr com Espelhos com Pés Branco</v>
          </cell>
          <cell r="E2357" t="str">
            <v>ZURIQUE</v>
          </cell>
          <cell r="F2357" t="str">
            <v>QUARTO</v>
          </cell>
          <cell r="G2357" t="str">
            <v/>
          </cell>
          <cell r="H2357">
            <v>3349.99</v>
          </cell>
          <cell r="I2357">
            <v>2559.9899999999998</v>
          </cell>
          <cell r="J2357">
            <v>2080.0578999999998</v>
          </cell>
          <cell r="K2357">
            <v>0</v>
          </cell>
          <cell r="L2357">
            <v>2080.0578999999998</v>
          </cell>
          <cell r="M2357">
            <v>0</v>
          </cell>
          <cell r="N2357">
            <v>2559.9899999999998</v>
          </cell>
          <cell r="O2357" t="str">
            <v/>
          </cell>
          <cell r="P2357">
            <v>0</v>
          </cell>
          <cell r="Q2357">
            <v>0.23073016380938199</v>
          </cell>
          <cell r="R2357">
            <v>0.23073016380938199</v>
          </cell>
          <cell r="S2357" t="e">
            <v>#VALUE!</v>
          </cell>
          <cell r="T2357" t="e">
            <v>#VALUE!</v>
          </cell>
        </row>
        <row r="2358">
          <cell r="A2358" t="str">
            <v>1093772G</v>
          </cell>
          <cell r="B2358" t="str">
            <v>MKP000631002215</v>
          </cell>
          <cell r="C2358" t="str">
            <v/>
          </cell>
          <cell r="D2358" t="str">
            <v>Guarda-Roupa Casal Madesa Lyon 3 Portas de Correr 2 Gavetas Preto/Branco</v>
          </cell>
          <cell r="E2358" t="str">
            <v>LYON</v>
          </cell>
          <cell r="F2358" t="str">
            <v>QUARTO</v>
          </cell>
          <cell r="G2358" t="str">
            <v/>
          </cell>
          <cell r="H2358">
            <v>1139.99</v>
          </cell>
          <cell r="I2358">
            <v>899.99</v>
          </cell>
          <cell r="J2358">
            <v>709.59</v>
          </cell>
          <cell r="K2358">
            <v>0</v>
          </cell>
          <cell r="L2358">
            <v>709.59</v>
          </cell>
          <cell r="M2358">
            <v>0</v>
          </cell>
          <cell r="N2358">
            <v>899.99</v>
          </cell>
          <cell r="O2358" t="str">
            <v/>
          </cell>
          <cell r="P2358">
            <v>0</v>
          </cell>
          <cell r="Q2358">
            <v>0.268323961724376</v>
          </cell>
          <cell r="R2358">
            <v>0.268323961724376</v>
          </cell>
          <cell r="S2358" t="e">
            <v>#VALUE!</v>
          </cell>
          <cell r="T2358" t="e">
            <v>#VALUE!</v>
          </cell>
        </row>
        <row r="2359">
          <cell r="A2359" t="str">
            <v>MDES02000177</v>
          </cell>
          <cell r="B2359" t="str">
            <v>MKP000631003182</v>
          </cell>
          <cell r="C2359" t="str">
            <v/>
          </cell>
          <cell r="D2359" t="str">
            <v>Rack para TV até 65 Polegadas Madesa Londres e Estante Escada Preto/Branco</v>
          </cell>
          <cell r="E2359" t="str">
            <v>LONDRES</v>
          </cell>
          <cell r="F2359" t="str">
            <v>SALA DE ESTAR</v>
          </cell>
          <cell r="G2359" t="str">
            <v/>
          </cell>
          <cell r="H2359">
            <v>699.99</v>
          </cell>
          <cell r="I2359">
            <v>599.99</v>
          </cell>
          <cell r="J2359">
            <v>469.9753</v>
          </cell>
          <cell r="K2359">
            <v>0</v>
          </cell>
          <cell r="L2359">
            <v>469.9753</v>
          </cell>
          <cell r="M2359">
            <v>0</v>
          </cell>
          <cell r="N2359">
            <v>599.99</v>
          </cell>
          <cell r="O2359" t="str">
            <v/>
          </cell>
          <cell r="P2359">
            <v>0</v>
          </cell>
          <cell r="Q2359">
            <v>0.276641559673455</v>
          </cell>
          <cell r="R2359">
            <v>0.276641559673455</v>
          </cell>
          <cell r="S2359" t="e">
            <v>#VALUE!</v>
          </cell>
          <cell r="T2359" t="e">
            <v>#VALUE!</v>
          </cell>
        </row>
        <row r="2360">
          <cell r="A2360" t="str">
            <v>GCGL46900173</v>
          </cell>
          <cell r="B2360" t="str">
            <v>MKP000631005059</v>
          </cell>
          <cell r="C2360" t="str">
            <v/>
          </cell>
          <cell r="D2360" t="str">
            <v>Armário de Cozinha Completa de Canto 469cm Branco/Preto Glamy Madesa 01</v>
          </cell>
          <cell r="E2360" t="str">
            <v>GLAMY</v>
          </cell>
          <cell r="F2360" t="str">
            <v>COZINHA</v>
          </cell>
          <cell r="G2360" t="str">
            <v/>
          </cell>
          <cell r="H2360">
            <v>3399.99</v>
          </cell>
          <cell r="I2360">
            <v>3299.99</v>
          </cell>
          <cell r="J2360">
            <v>2599.2467000000001</v>
          </cell>
          <cell r="K2360">
            <v>0</v>
          </cell>
          <cell r="L2360">
            <v>2599.2467000000001</v>
          </cell>
          <cell r="M2360">
            <v>0</v>
          </cell>
          <cell r="N2360">
            <v>3299.99</v>
          </cell>
          <cell r="O2360" t="str">
            <v/>
          </cell>
          <cell r="P2360">
            <v>0</v>
          </cell>
          <cell r="Q2360">
            <v>0.26959476374443397</v>
          </cell>
          <cell r="R2360">
            <v>0.26959476374443397</v>
          </cell>
          <cell r="S2360" t="e">
            <v>#VALUE!</v>
          </cell>
          <cell r="T2360" t="e">
            <v>#VALUE!</v>
          </cell>
        </row>
        <row r="2361">
          <cell r="A2361" t="str">
            <v>7008D85ZPP</v>
          </cell>
          <cell r="B2361" t="str">
            <v>MKP000631001672</v>
          </cell>
          <cell r="C2361" t="str">
            <v/>
          </cell>
          <cell r="D2361" t="str">
            <v>Rack para TV até 65 Polegadas Madesa Cancun com Pés Preto/Rustic D85Z</v>
          </cell>
          <cell r="E2361" t="str">
            <v>CANCUN</v>
          </cell>
          <cell r="F2361" t="str">
            <v>SALA DE ESTAR</v>
          </cell>
          <cell r="G2361" t="str">
            <v/>
          </cell>
          <cell r="H2361">
            <v>459.99</v>
          </cell>
          <cell r="I2361">
            <v>359.99</v>
          </cell>
          <cell r="J2361">
            <v>271.62799999999999</v>
          </cell>
          <cell r="K2361">
            <v>0</v>
          </cell>
          <cell r="L2361">
            <v>271.62799999999999</v>
          </cell>
          <cell r="M2361">
            <v>0</v>
          </cell>
          <cell r="N2361">
            <v>359.99</v>
          </cell>
          <cell r="O2361" t="str">
            <v/>
          </cell>
          <cell r="P2361">
            <v>0</v>
          </cell>
          <cell r="Q2361">
            <v>0.32530519681328901</v>
          </cell>
          <cell r="R2361">
            <v>0.32530519681328901</v>
          </cell>
          <cell r="S2361" t="e">
            <v>#VALUE!</v>
          </cell>
          <cell r="T2361" t="e">
            <v>#VALUE!</v>
          </cell>
        </row>
        <row r="2362">
          <cell r="A2362" t="str">
            <v>GRGL290004C1</v>
          </cell>
          <cell r="B2362" t="str">
            <v>MKP000631001169</v>
          </cell>
          <cell r="C2362" t="str">
            <v/>
          </cell>
          <cell r="D2362" t="str">
            <v>Armário de Cozinha Completa 290cm Rustic/Preto/Rustic Safira Madesa 04</v>
          </cell>
          <cell r="E2362" t="str">
            <v>SAFIRA/GLAMY</v>
          </cell>
          <cell r="F2362" t="str">
            <v>COZINHA</v>
          </cell>
          <cell r="G2362" t="str">
            <v/>
          </cell>
          <cell r="H2362">
            <v>2199.9899999999998</v>
          </cell>
          <cell r="I2362">
            <v>2099.9899999999998</v>
          </cell>
          <cell r="J2362">
            <v>1743.5204000000001</v>
          </cell>
          <cell r="K2362">
            <v>0</v>
          </cell>
          <cell r="L2362">
            <v>1743.5204000000001</v>
          </cell>
          <cell r="M2362">
            <v>0</v>
          </cell>
          <cell r="N2362">
            <v>2099.9899999999998</v>
          </cell>
          <cell r="O2362" t="str">
            <v/>
          </cell>
          <cell r="P2362">
            <v>0</v>
          </cell>
          <cell r="Q2362">
            <v>0.20445393125311301</v>
          </cell>
          <cell r="R2362">
            <v>0.20445393125311301</v>
          </cell>
          <cell r="S2362" t="e">
            <v>#VALUE!</v>
          </cell>
          <cell r="T2362" t="e">
            <v>#VALUE!</v>
          </cell>
        </row>
        <row r="2363">
          <cell r="A2363" t="str">
            <v>10445ZA-1E</v>
          </cell>
          <cell r="B2363" t="str">
            <v>MKP000631003477</v>
          </cell>
          <cell r="C2363" t="str">
            <v/>
          </cell>
          <cell r="D2363" t="str">
            <v>Guarda-Roupa Solteiro Madesa Luke 2 Portas de Correr com Espelho Rustic</v>
          </cell>
          <cell r="E2363" t="str">
            <v>LUKE</v>
          </cell>
          <cell r="F2363" t="str">
            <v>QUARTO</v>
          </cell>
          <cell r="G2363" t="str">
            <v/>
          </cell>
          <cell r="H2363">
            <v>1479.99</v>
          </cell>
          <cell r="I2363">
            <v>889.99</v>
          </cell>
          <cell r="J2363">
            <v>707.32280000000003</v>
          </cell>
          <cell r="K2363">
            <v>0</v>
          </cell>
          <cell r="L2363">
            <v>707.32280000000003</v>
          </cell>
          <cell r="M2363">
            <v>0</v>
          </cell>
          <cell r="N2363">
            <v>889.99</v>
          </cell>
          <cell r="O2363" t="str">
            <v/>
          </cell>
          <cell r="P2363" t="e">
            <v>#VALUE!</v>
          </cell>
          <cell r="Q2363">
            <v>0.25825153663928302</v>
          </cell>
          <cell r="R2363">
            <v>0.25825153663928302</v>
          </cell>
          <cell r="S2363" t="e">
            <v>#VALUE!</v>
          </cell>
          <cell r="T2363" t="e">
            <v>#VALUE!</v>
          </cell>
        </row>
        <row r="2364">
          <cell r="A2364" t="str">
            <v>GRAG280003F8</v>
          </cell>
          <cell r="B2364" t="str">
            <v>MKP000631004462</v>
          </cell>
          <cell r="C2364" t="str">
            <v/>
          </cell>
          <cell r="D2364" t="str">
            <v>Armário de Cozinha Compacta 280cm Branco/Cinza Agata Madesa 03</v>
          </cell>
          <cell r="E2364" t="str">
            <v>ÁGATA</v>
          </cell>
          <cell r="F2364" t="str">
            <v>COZINHA</v>
          </cell>
          <cell r="G2364" t="str">
            <v/>
          </cell>
          <cell r="H2364">
            <v>1749.99</v>
          </cell>
          <cell r="I2364">
            <v>1369.99</v>
          </cell>
          <cell r="J2364">
            <v>1097.9460999999999</v>
          </cell>
          <cell r="K2364">
            <v>0</v>
          </cell>
          <cell r="L2364">
            <v>1097.9460999999999</v>
          </cell>
          <cell r="M2364">
            <v>0</v>
          </cell>
          <cell r="N2364">
            <v>1369.99</v>
          </cell>
          <cell r="O2364" t="str">
            <v/>
          </cell>
          <cell r="P2364">
            <v>0</v>
          </cell>
          <cell r="Q2364">
            <v>0.24777527785744699</v>
          </cell>
          <cell r="R2364">
            <v>0.24777527785744699</v>
          </cell>
          <cell r="S2364" t="e">
            <v>#VALUE!</v>
          </cell>
          <cell r="T2364" t="e">
            <v>#VALUE!</v>
          </cell>
        </row>
        <row r="2365">
          <cell r="A2365" t="str">
            <v>10936E4GCP</v>
          </cell>
          <cell r="B2365" t="str">
            <v>MKP000631001060</v>
          </cell>
          <cell r="C2365" t="str">
            <v/>
          </cell>
          <cell r="D2365" t="str">
            <v>Guarda-Roupa Casal Madesa Lyon Plus 3 Portas de Correr 4 Gavetas com Pés Rustic/Branco</v>
          </cell>
          <cell r="E2365" t="str">
            <v>LYON PLUS</v>
          </cell>
          <cell r="F2365" t="str">
            <v>QUARTO</v>
          </cell>
          <cell r="G2365" t="str">
            <v/>
          </cell>
          <cell r="H2365">
            <v>1369.99</v>
          </cell>
          <cell r="I2365">
            <v>1069.99</v>
          </cell>
          <cell r="J2365">
            <v>844.51020000000005</v>
          </cell>
          <cell r="K2365">
            <v>0</v>
          </cell>
          <cell r="L2365">
            <v>844.51020000000005</v>
          </cell>
          <cell r="M2365">
            <v>0</v>
          </cell>
          <cell r="N2365">
            <v>1069.99</v>
          </cell>
          <cell r="O2365" t="str">
            <v/>
          </cell>
          <cell r="P2365">
            <v>0</v>
          </cell>
          <cell r="Q2365">
            <v>0.26699476217101897</v>
          </cell>
          <cell r="R2365">
            <v>0.26699476217101897</v>
          </cell>
          <cell r="S2365" t="e">
            <v>#VALUE!</v>
          </cell>
          <cell r="T2365" t="e">
            <v>#VALUE!</v>
          </cell>
        </row>
        <row r="2366">
          <cell r="A2366" t="str">
            <v>G2512173</v>
          </cell>
          <cell r="B2366" t="str">
            <v>MKP000631004904</v>
          </cell>
          <cell r="C2366" t="str">
            <v/>
          </cell>
          <cell r="D2366" t="str">
            <v>Armário Aéreo 100% MDF 120 cm 2 Portas Branco/Preto Acordes Madesa</v>
          </cell>
          <cell r="E2366" t="str">
            <v>ACORDES</v>
          </cell>
          <cell r="F2366" t="str">
            <v>MODULAÇÃO</v>
          </cell>
          <cell r="G2366" t="str">
            <v/>
          </cell>
          <cell r="H2366">
            <v>739.99</v>
          </cell>
          <cell r="I2366">
            <v>439.99</v>
          </cell>
          <cell r="J2366">
            <v>290.38690000000003</v>
          </cell>
          <cell r="K2366">
            <v>0</v>
          </cell>
          <cell r="L2366">
            <v>290.38690000000003</v>
          </cell>
          <cell r="M2366">
            <v>0</v>
          </cell>
          <cell r="N2366">
            <v>439.99</v>
          </cell>
          <cell r="O2366" t="str">
            <v/>
          </cell>
          <cell r="P2366">
            <v>0</v>
          </cell>
          <cell r="Q2366">
            <v>0.51518543019674801</v>
          </cell>
          <cell r="R2366">
            <v>0.51518543019674801</v>
          </cell>
          <cell r="S2366" t="e">
            <v>#VALUE!</v>
          </cell>
          <cell r="T2366" t="e">
            <v>#VALUE!</v>
          </cell>
        </row>
        <row r="2367">
          <cell r="A2367" t="str">
            <v>G221235ZGLCT</v>
          </cell>
          <cell r="B2367" t="str">
            <v>MKP000631004868</v>
          </cell>
          <cell r="C2367" t="str">
            <v/>
          </cell>
          <cell r="D2367" t="str">
            <v>Balcão Gabinete de Pia 120 x 60 cm 1 Porta 2 Gavetas Rustic (Com Tampo) Glamy Madesa</v>
          </cell>
          <cell r="E2367" t="str">
            <v>GLAMY</v>
          </cell>
          <cell r="F2367" t="str">
            <v>MODULAÇÃO</v>
          </cell>
          <cell r="G2367" t="str">
            <v/>
          </cell>
          <cell r="H2367">
            <v>959.99</v>
          </cell>
          <cell r="I2367">
            <v>859.99</v>
          </cell>
          <cell r="J2367">
            <v>559.35530000000006</v>
          </cell>
          <cell r="K2367">
            <v>0</v>
          </cell>
          <cell r="L2367">
            <v>559.35530000000006</v>
          </cell>
          <cell r="M2367">
            <v>0</v>
          </cell>
          <cell r="N2367">
            <v>859.99</v>
          </cell>
          <cell r="O2367" t="str">
            <v/>
          </cell>
          <cell r="P2367">
            <v>0</v>
          </cell>
          <cell r="Q2367">
            <v>0.53746643680680295</v>
          </cell>
          <cell r="R2367">
            <v>0.53746643680680295</v>
          </cell>
          <cell r="S2367" t="e">
            <v>#VALUE!</v>
          </cell>
          <cell r="T2367" t="e">
            <v>#VALUE!</v>
          </cell>
        </row>
        <row r="2368">
          <cell r="A2368" t="str">
            <v>GRLX2600039N</v>
          </cell>
          <cell r="B2368" t="str">
            <v>MKP000631002726</v>
          </cell>
          <cell r="C2368" t="str">
            <v/>
          </cell>
          <cell r="D2368" t="str">
            <v>Armário de Cozinha Completa 260cm Rustic/Cinza Lux Madesa 03</v>
          </cell>
          <cell r="E2368" t="str">
            <v>LUX</v>
          </cell>
          <cell r="F2368" t="str">
            <v>COZINHA</v>
          </cell>
          <cell r="G2368" t="str">
            <v/>
          </cell>
          <cell r="H2368">
            <v>3709.99</v>
          </cell>
          <cell r="I2368">
            <v>3619.99</v>
          </cell>
          <cell r="J2368">
            <v>2310.8326999999999</v>
          </cell>
          <cell r="K2368">
            <v>0</v>
          </cell>
          <cell r="L2368">
            <v>2310.8326999999999</v>
          </cell>
          <cell r="M2368">
            <v>0</v>
          </cell>
          <cell r="N2368">
            <v>3619.99</v>
          </cell>
          <cell r="O2368" t="str">
            <v>LOJA</v>
          </cell>
          <cell r="P2368">
            <v>3179.99</v>
          </cell>
          <cell r="Q2368">
            <v>0.56653054113350498</v>
          </cell>
          <cell r="R2368">
            <v>0.56653054113350498</v>
          </cell>
          <cell r="S2368" t="e">
            <v>#VALUE!</v>
          </cell>
          <cell r="T2368" t="e">
            <v>#VALUE!</v>
          </cell>
        </row>
        <row r="2369">
          <cell r="A2369" t="str">
            <v>42555Z2TSILK</v>
          </cell>
          <cell r="B2369" t="str">
            <v>MKP000631005590</v>
          </cell>
          <cell r="C2369" t="str">
            <v/>
          </cell>
          <cell r="D2369" t="str">
            <v>Kit 2 Cadeiras de Jantar 4255 Rustic/Silver Madesa</v>
          </cell>
          <cell r="E2369">
            <v>4255</v>
          </cell>
          <cell r="F2369" t="str">
            <v>SALA DE JANTAR</v>
          </cell>
          <cell r="G2369">
            <v>4255</v>
          </cell>
          <cell r="H2369">
            <v>469.99</v>
          </cell>
          <cell r="I2369">
            <v>369.99</v>
          </cell>
          <cell r="J2369">
            <v>260.48820000000001</v>
          </cell>
          <cell r="K2369">
            <v>0</v>
          </cell>
          <cell r="L2369">
            <v>260.48820000000001</v>
          </cell>
          <cell r="M2369">
            <v>0</v>
          </cell>
          <cell r="N2369">
            <v>369.99</v>
          </cell>
          <cell r="O2369" t="str">
            <v/>
          </cell>
          <cell r="P2369">
            <v>0</v>
          </cell>
          <cell r="Q2369">
            <v>0.42037144100961199</v>
          </cell>
          <cell r="R2369">
            <v>0.42037144100961199</v>
          </cell>
          <cell r="S2369" t="e">
            <v>#VALUE!</v>
          </cell>
          <cell r="T2369" t="e">
            <v>#VALUE!</v>
          </cell>
        </row>
        <row r="2370">
          <cell r="A2370" t="str">
            <v>XA10639B1E</v>
          </cell>
          <cell r="B2370" t="str">
            <v>MKP000631001425</v>
          </cell>
          <cell r="C2370" t="str">
            <v/>
          </cell>
          <cell r="D2370" t="str">
            <v>Guarda-Roupa Infantil Madesa Logan 100% MDF 3 Portas de Correr com Espelho Branco/Rustic</v>
          </cell>
          <cell r="E2370" t="str">
            <v>LOGAN</v>
          </cell>
          <cell r="F2370" t="str">
            <v>QUARTO</v>
          </cell>
          <cell r="G2370" t="str">
            <v/>
          </cell>
          <cell r="H2370">
            <v>2489.9899999999998</v>
          </cell>
          <cell r="I2370">
            <v>2129.9899999999998</v>
          </cell>
          <cell r="J2370">
            <v>1792.614</v>
          </cell>
          <cell r="K2370">
            <v>0</v>
          </cell>
          <cell r="L2370">
            <v>1792.614</v>
          </cell>
          <cell r="M2370">
            <v>0</v>
          </cell>
          <cell r="N2370">
            <v>2129.9899999999998</v>
          </cell>
          <cell r="O2370" t="str">
            <v/>
          </cell>
          <cell r="P2370">
            <v>0</v>
          </cell>
          <cell r="Q2370">
            <v>0.18820337228204201</v>
          </cell>
          <cell r="R2370">
            <v>0.18820337228204201</v>
          </cell>
          <cell r="S2370" t="e">
            <v>#VALUE!</v>
          </cell>
          <cell r="T2370" t="e">
            <v>#VALUE!</v>
          </cell>
        </row>
        <row r="2371">
          <cell r="A2371" t="str">
            <v>GRGL290010A8</v>
          </cell>
          <cell r="B2371" t="str">
            <v>MKP000631001209</v>
          </cell>
          <cell r="C2371" t="str">
            <v/>
          </cell>
          <cell r="D2371" t="str">
            <v>Armário de Cozinha Completa 290cm Branco/Rustic/Branco Cristal Madesa 09</v>
          </cell>
          <cell r="E2371" t="str">
            <v>CRISTAL/GLAMY</v>
          </cell>
          <cell r="F2371" t="str">
            <v>COZINHA</v>
          </cell>
          <cell r="G2371" t="str">
            <v/>
          </cell>
          <cell r="H2371">
            <v>2199.9899999999998</v>
          </cell>
          <cell r="I2371">
            <v>2099.9899999999998</v>
          </cell>
          <cell r="J2371">
            <v>1743.5204000000001</v>
          </cell>
          <cell r="K2371">
            <v>0</v>
          </cell>
          <cell r="L2371">
            <v>1743.5204000000001</v>
          </cell>
          <cell r="M2371">
            <v>0</v>
          </cell>
          <cell r="N2371">
            <v>2099.9899999999998</v>
          </cell>
          <cell r="O2371" t="str">
            <v/>
          </cell>
          <cell r="P2371">
            <v>0</v>
          </cell>
          <cell r="Q2371">
            <v>0.20445393125311301</v>
          </cell>
          <cell r="R2371">
            <v>0.20445393125311301</v>
          </cell>
          <cell r="S2371" t="e">
            <v>#VALUE!</v>
          </cell>
          <cell r="T2371" t="e">
            <v>#VALUE!</v>
          </cell>
        </row>
        <row r="2372">
          <cell r="A2372" t="str">
            <v>MDJA0401777KPT</v>
          </cell>
          <cell r="B2372" t="str">
            <v>MKP000631005882</v>
          </cell>
          <cell r="C2372" t="str">
            <v/>
          </cell>
          <cell r="D2372" t="str">
            <v>Conjunto Sala de Jantar Mesa Tampo de Madeira 4 Cadeiras Rustic/Preto Angel Madesa</v>
          </cell>
          <cell r="E2372" t="str">
            <v>ANGEL</v>
          </cell>
          <cell r="F2372" t="str">
            <v>SALA DE JANTAR</v>
          </cell>
          <cell r="G2372" t="str">
            <v>4280X</v>
          </cell>
          <cell r="H2372">
            <v>699.99</v>
          </cell>
          <cell r="I2372">
            <v>599.99</v>
          </cell>
          <cell r="J2372">
            <v>491.56819999999999</v>
          </cell>
          <cell r="K2372">
            <v>0</v>
          </cell>
          <cell r="L2372">
            <v>491.56819999999999</v>
          </cell>
          <cell r="M2372">
            <v>0</v>
          </cell>
          <cell r="N2372">
            <v>599.99</v>
          </cell>
          <cell r="O2372" t="str">
            <v/>
          </cell>
          <cell r="P2372">
            <v>0</v>
          </cell>
          <cell r="Q2372">
            <v>0.22056308768549299</v>
          </cell>
          <cell r="R2372">
            <v>0.22056308768549299</v>
          </cell>
          <cell r="S2372" t="e">
            <v>#VALUE!</v>
          </cell>
          <cell r="T2372" t="e">
            <v>#VALUE!</v>
          </cell>
        </row>
        <row r="2373">
          <cell r="A2373" t="str">
            <v>10936E2E4G</v>
          </cell>
          <cell r="B2373" t="str">
            <v>MKP000631001867</v>
          </cell>
          <cell r="C2373" t="str">
            <v/>
          </cell>
          <cell r="D2373" t="str">
            <v>Guarda-Roupa Casal Madesa Lyon Plus 3 Portas de Correr com Espelhos 4 Gavetas Rustic/Branco</v>
          </cell>
          <cell r="E2373" t="str">
            <v>LYON PLUS</v>
          </cell>
          <cell r="F2373" t="str">
            <v>QUARTO</v>
          </cell>
          <cell r="G2373" t="str">
            <v/>
          </cell>
          <cell r="H2373">
            <v>1569.99</v>
          </cell>
          <cell r="I2373">
            <v>1349.99</v>
          </cell>
          <cell r="J2373">
            <v>1058.1829</v>
          </cell>
          <cell r="K2373">
            <v>0</v>
          </cell>
          <cell r="L2373">
            <v>1058.1829</v>
          </cell>
          <cell r="M2373">
            <v>0</v>
          </cell>
          <cell r="N2373">
            <v>1349.99</v>
          </cell>
          <cell r="O2373" t="str">
            <v/>
          </cell>
          <cell r="P2373">
            <v>0</v>
          </cell>
          <cell r="Q2373">
            <v>0.27576244144561401</v>
          </cell>
          <cell r="R2373">
            <v>0.27576244144561401</v>
          </cell>
          <cell r="S2373" t="e">
            <v>#VALUE!</v>
          </cell>
          <cell r="T2373" t="e">
            <v>#VALUE!</v>
          </cell>
        </row>
        <row r="2374">
          <cell r="A2374" t="str">
            <v>GRGL2600035Z</v>
          </cell>
          <cell r="B2374" t="str">
            <v>MKP000631005031</v>
          </cell>
          <cell r="C2374" t="str">
            <v/>
          </cell>
          <cell r="D2374" t="str">
            <v>Armário de Cozinha Completa 260cm Rustic Glamy Madesa 03</v>
          </cell>
          <cell r="E2374" t="str">
            <v>GLAMY</v>
          </cell>
          <cell r="F2374" t="str">
            <v>COZINHA</v>
          </cell>
          <cell r="G2374" t="str">
            <v/>
          </cell>
          <cell r="H2374">
            <v>1889.99</v>
          </cell>
          <cell r="I2374">
            <v>1799.99</v>
          </cell>
          <cell r="J2374">
            <v>1407.5279</v>
          </cell>
          <cell r="K2374">
            <v>0</v>
          </cell>
          <cell r="L2374">
            <v>1407.5279</v>
          </cell>
          <cell r="M2374">
            <v>0</v>
          </cell>
          <cell r="N2374">
            <v>1799.99</v>
          </cell>
          <cell r="O2374" t="str">
            <v/>
          </cell>
          <cell r="P2374">
            <v>0</v>
          </cell>
          <cell r="Q2374">
            <v>0.27883077841654202</v>
          </cell>
          <cell r="R2374">
            <v>0.27883077841654202</v>
          </cell>
          <cell r="S2374" t="e">
            <v>#VALUE!</v>
          </cell>
          <cell r="T2374" t="e">
            <v>#VALUE!</v>
          </cell>
        </row>
        <row r="2375">
          <cell r="A2375" t="str">
            <v>MDES0200245Z8N</v>
          </cell>
          <cell r="B2375" t="str">
            <v>MKP000631002869</v>
          </cell>
          <cell r="C2375" t="str">
            <v/>
          </cell>
          <cell r="D2375" t="str">
            <v>Rack Madesa Cancun e Painel para TV até 58 Polegadas Rustic/Preto 5Z8N</v>
          </cell>
          <cell r="E2375" t="str">
            <v>CANCUN</v>
          </cell>
          <cell r="F2375" t="str">
            <v>SALA DE ESTAR</v>
          </cell>
          <cell r="G2375" t="str">
            <v/>
          </cell>
          <cell r="H2375">
            <v>689.99</v>
          </cell>
          <cell r="I2375">
            <v>469.99</v>
          </cell>
          <cell r="J2375">
            <v>361.60750000000002</v>
          </cell>
          <cell r="K2375">
            <v>0</v>
          </cell>
          <cell r="L2375">
            <v>361.60750000000002</v>
          </cell>
          <cell r="M2375">
            <v>0</v>
          </cell>
          <cell r="N2375">
            <v>469.99</v>
          </cell>
          <cell r="O2375" t="str">
            <v/>
          </cell>
          <cell r="P2375">
            <v>0</v>
          </cell>
          <cell r="Q2375">
            <v>0.29972414842059403</v>
          </cell>
          <cell r="R2375">
            <v>0.29972414842059403</v>
          </cell>
          <cell r="S2375" t="e">
            <v>#VALUE!</v>
          </cell>
          <cell r="T2375" t="e">
            <v>#VALUE!</v>
          </cell>
        </row>
        <row r="2376">
          <cell r="A2376" t="str">
            <v>GRLX3200039N</v>
          </cell>
          <cell r="B2376" t="str">
            <v>MKP000631002732</v>
          </cell>
          <cell r="C2376" t="str">
            <v/>
          </cell>
          <cell r="D2376" t="str">
            <v>Armário de Cozinha Completa 320cm Rustic/Cinza Lux Madesa 03</v>
          </cell>
          <cell r="E2376" t="str">
            <v>LUX</v>
          </cell>
          <cell r="F2376" t="str">
            <v>COZINHA</v>
          </cell>
          <cell r="G2376" t="str">
            <v/>
          </cell>
          <cell r="H2376">
            <v>6339.99</v>
          </cell>
          <cell r="I2376">
            <v>6319.99</v>
          </cell>
          <cell r="J2376">
            <v>3848.7136999999998</v>
          </cell>
          <cell r="K2376">
            <v>0</v>
          </cell>
          <cell r="L2376">
            <v>3848.7136999999998</v>
          </cell>
          <cell r="M2376">
            <v>0</v>
          </cell>
          <cell r="N2376">
            <v>6319.99</v>
          </cell>
          <cell r="O2376" t="str">
            <v>LOJA</v>
          </cell>
          <cell r="P2376">
            <v>5549.99</v>
          </cell>
          <cell r="Q2376">
            <v>0.64210447765963996</v>
          </cell>
          <cell r="R2376">
            <v>0.64210447765963996</v>
          </cell>
          <cell r="S2376" t="e">
            <v>#VALUE!</v>
          </cell>
          <cell r="T2376" t="e">
            <v>#VALUE!</v>
          </cell>
        </row>
        <row r="2377">
          <cell r="A2377" t="str">
            <v>GREM293008J3</v>
          </cell>
          <cell r="B2377" t="str">
            <v>MKP000631005507</v>
          </cell>
          <cell r="C2377" t="str">
            <v/>
          </cell>
          <cell r="D2377" t="str">
            <v>Armário de Cozinha Completa 293cm com Pia Rustic/Branco Emilly Madesa 08</v>
          </cell>
          <cell r="E2377" t="str">
            <v>EMILLY</v>
          </cell>
          <cell r="F2377" t="str">
            <v>COZINHA</v>
          </cell>
          <cell r="G2377" t="str">
            <v/>
          </cell>
          <cell r="H2377">
            <v>1699.99</v>
          </cell>
          <cell r="I2377">
            <v>1599.99</v>
          </cell>
          <cell r="J2377">
            <v>1249.8158000000001</v>
          </cell>
          <cell r="K2377">
            <v>0</v>
          </cell>
          <cell r="L2377">
            <v>1249.8158000000001</v>
          </cell>
          <cell r="M2377">
            <v>0</v>
          </cell>
          <cell r="N2377">
            <v>1599.99</v>
          </cell>
          <cell r="O2377" t="str">
            <v/>
          </cell>
          <cell r="P2377">
            <v>0</v>
          </cell>
          <cell r="Q2377">
            <v>0.28018064742020399</v>
          </cell>
          <cell r="R2377">
            <v>0.28018064742020399</v>
          </cell>
          <cell r="S2377" t="e">
            <v>#VALUE!</v>
          </cell>
          <cell r="T2377" t="e">
            <v>#VALUE!</v>
          </cell>
        </row>
        <row r="2378">
          <cell r="A2378" t="str">
            <v>G244017KGL</v>
          </cell>
          <cell r="B2378" t="str">
            <v>MKP000631002843</v>
          </cell>
          <cell r="C2378" t="str">
            <v/>
          </cell>
          <cell r="D2378" t="str">
            <v>Balcão Madesa Glamy 40 cm 3 Gavetas Rustic/Preto</v>
          </cell>
          <cell r="E2378" t="str">
            <v>GLAMY</v>
          </cell>
          <cell r="F2378" t="str">
            <v>MODULAÇÃO</v>
          </cell>
          <cell r="G2378" t="str">
            <v/>
          </cell>
          <cell r="H2378">
            <v>979.99</v>
          </cell>
          <cell r="I2378">
            <v>529.99</v>
          </cell>
          <cell r="J2378">
            <v>348.39670000000001</v>
          </cell>
          <cell r="K2378">
            <v>0</v>
          </cell>
          <cell r="L2378">
            <v>348.39670000000001</v>
          </cell>
          <cell r="M2378">
            <v>0</v>
          </cell>
          <cell r="N2378">
            <v>529.99</v>
          </cell>
          <cell r="O2378" t="str">
            <v/>
          </cell>
          <cell r="P2378">
            <v>0</v>
          </cell>
          <cell r="Q2378">
            <v>0.52122566028897499</v>
          </cell>
          <cell r="R2378">
            <v>0.52122566028897499</v>
          </cell>
          <cell r="S2378" t="e">
            <v>#VALUE!</v>
          </cell>
          <cell r="T2378" t="e">
            <v>#VALUE!</v>
          </cell>
        </row>
        <row r="2379">
          <cell r="A2379" t="str">
            <v>G25700F8AG</v>
          </cell>
          <cell r="B2379" t="str">
            <v>MKP000631004702</v>
          </cell>
          <cell r="C2379" t="str">
            <v/>
          </cell>
          <cell r="D2379" t="str">
            <v>Armário Aéreo Madesa Agata 70 cm 2 Portas Branco/Cinza</v>
          </cell>
          <cell r="E2379" t="str">
            <v>ÁGATA</v>
          </cell>
          <cell r="F2379" t="str">
            <v>MODULAÇÃO</v>
          </cell>
          <cell r="G2379" t="str">
            <v/>
          </cell>
          <cell r="H2379">
            <v>529.99</v>
          </cell>
          <cell r="I2379">
            <v>419.99</v>
          </cell>
          <cell r="J2379">
            <v>244.06190000000001</v>
          </cell>
          <cell r="K2379">
            <v>0</v>
          </cell>
          <cell r="L2379">
            <v>244.06190000000001</v>
          </cell>
          <cell r="M2379">
            <v>0</v>
          </cell>
          <cell r="N2379">
            <v>419.99</v>
          </cell>
          <cell r="O2379" t="str">
            <v/>
          </cell>
          <cell r="P2379">
            <v>0</v>
          </cell>
          <cell r="Q2379">
            <v>0.72083393598099499</v>
          </cell>
          <cell r="R2379">
            <v>0.72083393598099499</v>
          </cell>
          <cell r="S2379" t="e">
            <v>#VALUE!</v>
          </cell>
          <cell r="T2379" t="e">
            <v>#VALUE!</v>
          </cell>
        </row>
        <row r="2380">
          <cell r="A2380" t="str">
            <v>MDJA0401497GSL</v>
          </cell>
          <cell r="B2380" t="str">
            <v>MKP000631005296</v>
          </cell>
          <cell r="C2380" t="str">
            <v/>
          </cell>
          <cell r="D2380" t="str">
            <v>Conjunto Sala de Jantar Mesa Tampo de Madeira 4 Cadeiras Rustic/Crema/Silver Ashley Madesa</v>
          </cell>
          <cell r="E2380" t="str">
            <v>ASHLEY</v>
          </cell>
          <cell r="F2380" t="str">
            <v>SALA DE JANTAR</v>
          </cell>
          <cell r="G2380">
            <v>4256</v>
          </cell>
          <cell r="H2380">
            <v>1279.99</v>
          </cell>
          <cell r="I2380">
            <v>1169.99</v>
          </cell>
          <cell r="J2380">
            <v>910.24810000000002</v>
          </cell>
          <cell r="K2380">
            <v>0</v>
          </cell>
          <cell r="L2380">
            <v>910.24810000000002</v>
          </cell>
          <cell r="M2380">
            <v>0</v>
          </cell>
          <cell r="N2380">
            <v>1169.99</v>
          </cell>
          <cell r="O2380" t="str">
            <v/>
          </cell>
          <cell r="P2380">
            <v>0</v>
          </cell>
          <cell r="Q2380">
            <v>0.28535286148908201</v>
          </cell>
          <cell r="R2380">
            <v>0.28535286148908201</v>
          </cell>
          <cell r="S2380" t="e">
            <v>#VALUE!</v>
          </cell>
          <cell r="T2380" t="e">
            <v>#VALUE!</v>
          </cell>
        </row>
        <row r="2381">
          <cell r="A2381" t="str">
            <v>1093772E2G</v>
          </cell>
          <cell r="B2381" t="str">
            <v>MKP000631002223</v>
          </cell>
          <cell r="C2381" t="str">
            <v/>
          </cell>
          <cell r="D2381" t="str">
            <v>Guarda-Roupa Casal Madesa Lyon 3 Portas de Correr com Espelhos 2 Gavetas Preto/Branco</v>
          </cell>
          <cell r="E2381" t="str">
            <v>LYON</v>
          </cell>
          <cell r="F2381" t="str">
            <v>QUARTO</v>
          </cell>
          <cell r="G2381" t="str">
            <v/>
          </cell>
          <cell r="H2381">
            <v>1469.99</v>
          </cell>
          <cell r="I2381">
            <v>1199.99</v>
          </cell>
          <cell r="J2381">
            <v>969.44600000000003</v>
          </cell>
          <cell r="K2381">
            <v>0</v>
          </cell>
          <cell r="L2381">
            <v>969.44600000000003</v>
          </cell>
          <cell r="M2381">
            <v>0</v>
          </cell>
          <cell r="N2381">
            <v>1199.99</v>
          </cell>
          <cell r="O2381" t="str">
            <v/>
          </cell>
          <cell r="P2381">
            <v>0</v>
          </cell>
          <cell r="Q2381">
            <v>0.237810048213103</v>
          </cell>
          <cell r="R2381">
            <v>0.237810048213103</v>
          </cell>
          <cell r="S2381" t="e">
            <v>#VALUE!</v>
          </cell>
          <cell r="T2381" t="e">
            <v>#VALUE!</v>
          </cell>
        </row>
        <row r="2382">
          <cell r="A2382" t="str">
            <v>GRGL1500027K</v>
          </cell>
          <cell r="B2382" t="str">
            <v>MKP000631004246</v>
          </cell>
          <cell r="C2382" t="str">
            <v/>
          </cell>
          <cell r="D2382" t="str">
            <v>Armário de Cozinha Compacta 150cm Rustic/Preto Glamy Madesa 02</v>
          </cell>
          <cell r="E2382" t="str">
            <v>GLAMY</v>
          </cell>
          <cell r="F2382" t="str">
            <v>COZINHA</v>
          </cell>
          <cell r="G2382" t="str">
            <v/>
          </cell>
          <cell r="H2382">
            <v>1379.99</v>
          </cell>
          <cell r="I2382">
            <v>979.99</v>
          </cell>
          <cell r="J2382">
            <v>797.41129999999998</v>
          </cell>
          <cell r="K2382">
            <v>0</v>
          </cell>
          <cell r="L2382">
            <v>797.41129999999998</v>
          </cell>
          <cell r="M2382">
            <v>0</v>
          </cell>
          <cell r="N2382">
            <v>979.99</v>
          </cell>
          <cell r="O2382" t="str">
            <v/>
          </cell>
          <cell r="P2382">
            <v>0</v>
          </cell>
          <cell r="Q2382">
            <v>0.22896427477263001</v>
          </cell>
          <cell r="R2382">
            <v>0.22896427477263001</v>
          </cell>
          <cell r="S2382" t="e">
            <v>#VALUE!</v>
          </cell>
          <cell r="T2382" t="e">
            <v>#VALUE!</v>
          </cell>
        </row>
        <row r="2383">
          <cell r="A2383" t="str">
            <v>GRGL2400086E</v>
          </cell>
          <cell r="B2383" t="str">
            <v>MKP000631005037</v>
          </cell>
          <cell r="C2383" t="str">
            <v/>
          </cell>
          <cell r="D2383" t="str">
            <v>Armário de Cozinha Completa 240cm Rustic/Branco Glamy Madesa 08</v>
          </cell>
          <cell r="E2383" t="str">
            <v>GLAMY</v>
          </cell>
          <cell r="F2383" t="str">
            <v>COZINHA</v>
          </cell>
          <cell r="G2383" t="str">
            <v/>
          </cell>
          <cell r="H2383">
            <v>1799.99</v>
          </cell>
          <cell r="I2383">
            <v>1799.99</v>
          </cell>
          <cell r="J2383">
            <v>1391.3414</v>
          </cell>
          <cell r="K2383">
            <v>0</v>
          </cell>
          <cell r="L2383">
            <v>1391.3414</v>
          </cell>
          <cell r="M2383">
            <v>0</v>
          </cell>
          <cell r="N2383">
            <v>1799.99</v>
          </cell>
          <cell r="O2383" t="str">
            <v/>
          </cell>
          <cell r="P2383">
            <v>0</v>
          </cell>
          <cell r="Q2383">
            <v>0.293708359429253</v>
          </cell>
          <cell r="R2383">
            <v>0.293708359429253</v>
          </cell>
          <cell r="S2383" t="e">
            <v>#VALUE!</v>
          </cell>
          <cell r="T2383" t="e">
            <v>#VALUE!</v>
          </cell>
        </row>
        <row r="2384">
          <cell r="A2384" t="str">
            <v>MDES0200149B6E</v>
          </cell>
          <cell r="B2384" t="str">
            <v>MKP000631002882</v>
          </cell>
          <cell r="C2384" t="str">
            <v/>
          </cell>
          <cell r="D2384" t="str">
            <v>Rack Madesa Dubai e Painel para TV até 65 Polegadas com Pés Branco/Rustic 9B6E</v>
          </cell>
          <cell r="E2384" t="str">
            <v>DUBAI</v>
          </cell>
          <cell r="F2384" t="str">
            <v>SALA DE ESTAR</v>
          </cell>
          <cell r="G2384" t="str">
            <v/>
          </cell>
          <cell r="H2384">
            <v>1149.99</v>
          </cell>
          <cell r="I2384">
            <v>599.99</v>
          </cell>
          <cell r="J2384">
            <v>442.649</v>
          </cell>
          <cell r="K2384">
            <v>0</v>
          </cell>
          <cell r="L2384">
            <v>442.649</v>
          </cell>
          <cell r="M2384">
            <v>0</v>
          </cell>
          <cell r="N2384">
            <v>599.99</v>
          </cell>
          <cell r="O2384" t="str">
            <v/>
          </cell>
          <cell r="P2384">
            <v>0</v>
          </cell>
          <cell r="Q2384">
            <v>0.35545319203251302</v>
          </cell>
          <cell r="R2384">
            <v>0.35545319203251302</v>
          </cell>
          <cell r="S2384" t="e">
            <v>#VALUE!</v>
          </cell>
          <cell r="T2384" t="e">
            <v>#VALUE!</v>
          </cell>
        </row>
        <row r="2385">
          <cell r="A2385" t="str">
            <v>G2412073GL</v>
          </cell>
          <cell r="B2385" t="str">
            <v>MKP000631001112</v>
          </cell>
          <cell r="C2385" t="str">
            <v/>
          </cell>
          <cell r="D2385" t="str">
            <v>Balcão Gabinete de Pia Madesa Glamy 120 cm 2 Portas (Sem Tampo e Pia) Branco/Preto</v>
          </cell>
          <cell r="E2385" t="str">
            <v>GLAMY</v>
          </cell>
          <cell r="F2385" t="str">
            <v>MODULAÇÃO</v>
          </cell>
          <cell r="G2385" t="str">
            <v/>
          </cell>
          <cell r="H2385">
            <v>949.99</v>
          </cell>
          <cell r="I2385">
            <v>499.99</v>
          </cell>
          <cell r="J2385">
            <v>377.00920000000002</v>
          </cell>
          <cell r="K2385">
            <v>0</v>
          </cell>
          <cell r="L2385">
            <v>377.00920000000002</v>
          </cell>
          <cell r="M2385">
            <v>0</v>
          </cell>
          <cell r="N2385">
            <v>499.99</v>
          </cell>
          <cell r="O2385" t="str">
            <v/>
          </cell>
          <cell r="P2385">
            <v>0</v>
          </cell>
          <cell r="Q2385">
            <v>0.32620105822351297</v>
          </cell>
          <cell r="R2385">
            <v>0.32620105822351297</v>
          </cell>
          <cell r="S2385" t="e">
            <v>#VALUE!</v>
          </cell>
          <cell r="T2385" t="e">
            <v>#VALUE!</v>
          </cell>
        </row>
        <row r="2386">
          <cell r="A2386" t="str">
            <v>G256026EAG</v>
          </cell>
          <cell r="B2386" t="str">
            <v>MKP000631004722</v>
          </cell>
          <cell r="C2386" t="str">
            <v/>
          </cell>
          <cell r="D2386" t="str">
            <v>Armário Aéreo Madesa Agata 60 cm 1 Porta Basculante Rustic/Branco</v>
          </cell>
          <cell r="E2386" t="str">
            <v>ÁGATA</v>
          </cell>
          <cell r="F2386" t="str">
            <v>MODULAÇÃO</v>
          </cell>
          <cell r="G2386" t="str">
            <v/>
          </cell>
          <cell r="H2386">
            <v>369.99</v>
          </cell>
          <cell r="I2386">
            <v>249.99</v>
          </cell>
          <cell r="J2386">
            <v>149.85319999999999</v>
          </cell>
          <cell r="K2386">
            <v>0</v>
          </cell>
          <cell r="L2386">
            <v>149.85319999999999</v>
          </cell>
          <cell r="M2386">
            <v>0</v>
          </cell>
          <cell r="N2386">
            <v>249.99</v>
          </cell>
          <cell r="O2386" t="str">
            <v/>
          </cell>
          <cell r="P2386">
            <v>0</v>
          </cell>
          <cell r="Q2386">
            <v>0.66823264368061597</v>
          </cell>
          <cell r="R2386">
            <v>0.66823264368061597</v>
          </cell>
          <cell r="S2386" t="e">
            <v>#VALUE!</v>
          </cell>
          <cell r="T2386" t="e">
            <v>#VALUE!</v>
          </cell>
        </row>
        <row r="2387">
          <cell r="A2387" t="str">
            <v>MDJA0400217GFLH</v>
          </cell>
          <cell r="B2387" t="str">
            <v>MKP000631005570</v>
          </cell>
          <cell r="C2387" t="str">
            <v/>
          </cell>
          <cell r="D2387" t="str">
            <v>Conjunto Sala de Jantar Mesa Tampo de Madeira 4 Cadeiras Rustic/Crema/Hibiscos Alana Madesa</v>
          </cell>
          <cell r="E2387" t="str">
            <v>ALANA</v>
          </cell>
          <cell r="F2387" t="str">
            <v>SALA DE JANTAR</v>
          </cell>
          <cell r="G2387" t="str">
            <v>4291X</v>
          </cell>
          <cell r="H2387">
            <v>599.99</v>
          </cell>
          <cell r="I2387">
            <v>499.99</v>
          </cell>
          <cell r="J2387">
            <v>400.66219999999998</v>
          </cell>
          <cell r="K2387">
            <v>0</v>
          </cell>
          <cell r="L2387">
            <v>400.66219999999998</v>
          </cell>
          <cell r="M2387">
            <v>0</v>
          </cell>
          <cell r="N2387">
            <v>499.99</v>
          </cell>
          <cell r="O2387" t="str">
            <v/>
          </cell>
          <cell r="P2387">
            <v>0</v>
          </cell>
          <cell r="Q2387">
            <v>0.24790908650728699</v>
          </cell>
          <cell r="R2387">
            <v>0.24790908650728699</v>
          </cell>
          <cell r="S2387" t="e">
            <v>#VALUE!</v>
          </cell>
          <cell r="T2387" t="e">
            <v>#VALUE!</v>
          </cell>
        </row>
        <row r="2388">
          <cell r="A2388" t="str">
            <v>G276006SPR</v>
          </cell>
          <cell r="B2388" t="str">
            <v>MKP000631003272</v>
          </cell>
          <cell r="C2388" t="str">
            <v/>
          </cell>
          <cell r="D2388" t="str">
            <v>Tampo para Balcão de 60 x 60 cm para Cozinhas Madesa Glamy, Lux e Stella Mood</v>
          </cell>
          <cell r="E2388" t="str">
            <v>PR</v>
          </cell>
          <cell r="F2388" t="str">
            <v>MODULAÇÃO</v>
          </cell>
          <cell r="G2388" t="str">
            <v/>
          </cell>
          <cell r="H2388">
            <v>279.99</v>
          </cell>
          <cell r="I2388">
            <v>129.99</v>
          </cell>
          <cell r="J2388">
            <v>70.730099999999993</v>
          </cell>
          <cell r="K2388">
            <v>0</v>
          </cell>
          <cell r="L2388">
            <v>70.730099999999993</v>
          </cell>
          <cell r="M2388">
            <v>0</v>
          </cell>
          <cell r="N2388">
            <v>129.99</v>
          </cell>
          <cell r="O2388" t="str">
            <v/>
          </cell>
          <cell r="P2388">
            <v>0</v>
          </cell>
          <cell r="Q2388">
            <v>0.83783141830705699</v>
          </cell>
          <cell r="R2388">
            <v>0.83783141830705699</v>
          </cell>
          <cell r="S2388" t="e">
            <v>#VALUE!</v>
          </cell>
          <cell r="T2388" t="e">
            <v>#VALUE!</v>
          </cell>
        </row>
        <row r="2389">
          <cell r="A2389" t="str">
            <v>10939B4G</v>
          </cell>
          <cell r="B2389" t="str">
            <v>MKP000631000811</v>
          </cell>
          <cell r="C2389" t="str">
            <v/>
          </cell>
          <cell r="D2389" t="str">
            <v>Guarda-Roupa Casal Madesa Lyon Plus 3 Portas de Correr 4 Gavetas Branco/Rustic</v>
          </cell>
          <cell r="E2389" t="str">
            <v>LYON PLUS</v>
          </cell>
          <cell r="F2389" t="str">
            <v>QUARTO</v>
          </cell>
          <cell r="G2389" t="str">
            <v/>
          </cell>
          <cell r="H2389">
            <v>1319.99</v>
          </cell>
          <cell r="I2389">
            <v>1029.99</v>
          </cell>
          <cell r="J2389">
            <v>798.32690000000002</v>
          </cell>
          <cell r="K2389">
            <v>0</v>
          </cell>
          <cell r="L2389">
            <v>798.32690000000002</v>
          </cell>
          <cell r="M2389">
            <v>0</v>
          </cell>
          <cell r="N2389">
            <v>1029.99</v>
          </cell>
          <cell r="O2389" t="str">
            <v/>
          </cell>
          <cell r="P2389">
            <v>0</v>
          </cell>
          <cell r="Q2389">
            <v>0.29018576224852199</v>
          </cell>
          <cell r="R2389">
            <v>0.29018576224852199</v>
          </cell>
          <cell r="S2389" t="e">
            <v>#VALUE!</v>
          </cell>
          <cell r="T2389" t="e">
            <v>#VALUE!</v>
          </cell>
        </row>
        <row r="2390">
          <cell r="A2390" t="str">
            <v>MDES0200148N09</v>
          </cell>
          <cell r="B2390" t="str">
            <v>MKP000631002886</v>
          </cell>
          <cell r="C2390" t="str">
            <v/>
          </cell>
          <cell r="D2390" t="str">
            <v>Rack Madesa Dubai e Painel para TV até 65 Polegadas com Pés Preto/Branco 8N09</v>
          </cell>
          <cell r="E2390" t="str">
            <v>DUBAI</v>
          </cell>
          <cell r="F2390" t="str">
            <v>SALA DE ESTAR</v>
          </cell>
          <cell r="G2390" t="str">
            <v/>
          </cell>
          <cell r="H2390">
            <v>1149.99</v>
          </cell>
          <cell r="I2390">
            <v>599.99</v>
          </cell>
          <cell r="J2390">
            <v>442.649</v>
          </cell>
          <cell r="K2390">
            <v>0</v>
          </cell>
          <cell r="L2390">
            <v>442.649</v>
          </cell>
          <cell r="M2390">
            <v>0</v>
          </cell>
          <cell r="N2390">
            <v>599.99</v>
          </cell>
          <cell r="O2390" t="str">
            <v/>
          </cell>
          <cell r="P2390">
            <v>0</v>
          </cell>
          <cell r="Q2390">
            <v>0.35545319203251302</v>
          </cell>
          <cell r="R2390">
            <v>0.35545319203251302</v>
          </cell>
          <cell r="S2390" t="e">
            <v>#VALUE!</v>
          </cell>
          <cell r="T2390" t="e">
            <v>#VALUE!</v>
          </cell>
        </row>
        <row r="2391">
          <cell r="A2391" t="str">
            <v>G241537KAG</v>
          </cell>
          <cell r="B2391" t="str">
            <v>MKP000631004473</v>
          </cell>
          <cell r="C2391" t="str">
            <v/>
          </cell>
          <cell r="D2391" t="str">
            <v>Balcão de Pia Madesa Agata 150 cm 2 Portas e 2 Gavetas (Sem Tampo e Pia) Rustic/Preto</v>
          </cell>
          <cell r="E2391" t="str">
            <v>ÁGATA</v>
          </cell>
          <cell r="F2391" t="str">
            <v>MODULAÇÃO</v>
          </cell>
          <cell r="G2391" t="str">
            <v/>
          </cell>
          <cell r="H2391">
            <v>1099.99</v>
          </cell>
          <cell r="I2391">
            <v>569.99</v>
          </cell>
          <cell r="J2391">
            <v>424.2389</v>
          </cell>
          <cell r="K2391">
            <v>0</v>
          </cell>
          <cell r="L2391">
            <v>424.2389</v>
          </cell>
          <cell r="M2391">
            <v>0</v>
          </cell>
          <cell r="N2391">
            <v>569.99</v>
          </cell>
          <cell r="O2391" t="str">
            <v/>
          </cell>
          <cell r="P2391">
            <v>0</v>
          </cell>
          <cell r="Q2391">
            <v>0.34355901827955898</v>
          </cell>
          <cell r="R2391">
            <v>0.34355901827955898</v>
          </cell>
          <cell r="S2391" t="e">
            <v>#VALUE!</v>
          </cell>
          <cell r="T2391" t="e">
            <v>#VALUE!</v>
          </cell>
        </row>
        <row r="2392">
          <cell r="A2392" t="str">
            <v>GCLX5460017K</v>
          </cell>
          <cell r="B2392" t="str">
            <v>MKP000631002735</v>
          </cell>
          <cell r="C2392" t="str">
            <v/>
          </cell>
          <cell r="D2392" t="str">
            <v>Armário de Cozinha Completa de Canto 546cm Rustic/Preto Lux Madesa 01</v>
          </cell>
          <cell r="E2392" t="str">
            <v>LUX</v>
          </cell>
          <cell r="F2392" t="str">
            <v>COZINHA</v>
          </cell>
          <cell r="G2392" t="str">
            <v/>
          </cell>
          <cell r="H2392">
            <v>9049.99</v>
          </cell>
          <cell r="I2392">
            <v>8949.99</v>
          </cell>
          <cell r="J2392">
            <v>5172.1589999999997</v>
          </cell>
          <cell r="K2392">
            <v>0</v>
          </cell>
          <cell r="L2392">
            <v>5172.1589999999997</v>
          </cell>
          <cell r="M2392">
            <v>0</v>
          </cell>
          <cell r="N2392">
            <v>8949.99</v>
          </cell>
          <cell r="O2392" t="str">
            <v>LOJA</v>
          </cell>
          <cell r="P2392">
            <v>7869.99</v>
          </cell>
          <cell r="Q2392">
            <v>0.73041664032370202</v>
          </cell>
          <cell r="R2392">
            <v>0.73041664032370202</v>
          </cell>
          <cell r="S2392" t="e">
            <v>#VALUE!</v>
          </cell>
          <cell r="T2392" t="e">
            <v>#VALUE!</v>
          </cell>
        </row>
        <row r="2393">
          <cell r="A2393" t="str">
            <v>G247006EGL</v>
          </cell>
          <cell r="B2393" t="str">
            <v>MKP000631003503</v>
          </cell>
          <cell r="C2393" t="str">
            <v/>
          </cell>
          <cell r="D2393" t="str">
            <v>Balcão de Cozinha Madesa Glamy 70 cm 2 Portas Rustic/Branco</v>
          </cell>
          <cell r="E2393" t="str">
            <v>GLAMY</v>
          </cell>
          <cell r="F2393" t="str">
            <v>MODULAÇÃO</v>
          </cell>
          <cell r="G2393" t="str">
            <v/>
          </cell>
          <cell r="H2393">
            <v>879.99</v>
          </cell>
          <cell r="I2393">
            <v>499.99</v>
          </cell>
          <cell r="J2393">
            <v>321.34289999999999</v>
          </cell>
          <cell r="K2393">
            <v>0</v>
          </cell>
          <cell r="L2393">
            <v>321.34289999999999</v>
          </cell>
          <cell r="M2393">
            <v>0</v>
          </cell>
          <cell r="N2393">
            <v>499.99</v>
          </cell>
          <cell r="O2393" t="str">
            <v/>
          </cell>
          <cell r="P2393">
            <v>0</v>
          </cell>
          <cell r="Q2393">
            <v>0.55593915409364902</v>
          </cell>
          <cell r="R2393">
            <v>0.55593915409364902</v>
          </cell>
          <cell r="S2393" t="e">
            <v>#VALUE!</v>
          </cell>
          <cell r="T2393" t="e">
            <v>#VALUE!</v>
          </cell>
        </row>
        <row r="2394">
          <cell r="A2394" t="str">
            <v>G258047GGL</v>
          </cell>
          <cell r="B2394" t="str">
            <v>MKP000631000343</v>
          </cell>
          <cell r="C2394" t="str">
            <v/>
          </cell>
          <cell r="D2394" t="str">
            <v>Armário Aéreo Madesa Glamy 80 cm 1 Porta Basculante Rustic/Crema</v>
          </cell>
          <cell r="E2394" t="str">
            <v>GLAMY</v>
          </cell>
          <cell r="F2394" t="str">
            <v>MODULAÇÃO</v>
          </cell>
          <cell r="G2394" t="str">
            <v/>
          </cell>
          <cell r="H2394">
            <v>389.99</v>
          </cell>
          <cell r="I2394">
            <v>319.99</v>
          </cell>
          <cell r="J2394">
            <v>174.38910000000001</v>
          </cell>
          <cell r="K2394">
            <v>0</v>
          </cell>
          <cell r="L2394">
            <v>174.38910000000001</v>
          </cell>
          <cell r="M2394">
            <v>0</v>
          </cell>
          <cell r="N2394">
            <v>319.99</v>
          </cell>
          <cell r="O2394" t="str">
            <v/>
          </cell>
          <cell r="P2394">
            <v>0</v>
          </cell>
          <cell r="Q2394">
            <v>0.83491972835458195</v>
          </cell>
          <cell r="R2394">
            <v>0.83491972835458195</v>
          </cell>
          <cell r="S2394" t="e">
            <v>#VALUE!</v>
          </cell>
          <cell r="T2394" t="e">
            <v>#VALUE!</v>
          </cell>
        </row>
        <row r="2395">
          <cell r="A2395" t="str">
            <v>G22800H7LX</v>
          </cell>
          <cell r="B2395" t="str">
            <v>MKP000631004653</v>
          </cell>
          <cell r="C2395" t="str">
            <v/>
          </cell>
          <cell r="D2395" t="str">
            <v>Balcão Madesa Lux 80 cm 2 Portas (Sem Tampo) Branco/Branco Veludo</v>
          </cell>
          <cell r="E2395" t="str">
            <v>LUX</v>
          </cell>
          <cell r="F2395" t="str">
            <v>MODULAÇÃO</v>
          </cell>
          <cell r="G2395" t="str">
            <v/>
          </cell>
          <cell r="H2395">
            <v>1019.99</v>
          </cell>
          <cell r="I2395">
            <v>679.99</v>
          </cell>
          <cell r="J2395">
            <v>339.05540000000002</v>
          </cell>
          <cell r="K2395">
            <v>0</v>
          </cell>
          <cell r="L2395">
            <v>339.05540000000002</v>
          </cell>
          <cell r="M2395">
            <v>0</v>
          </cell>
          <cell r="N2395">
            <v>679.99</v>
          </cell>
          <cell r="O2395" t="str">
            <v>LOJA</v>
          </cell>
          <cell r="P2395">
            <v>669.99</v>
          </cell>
          <cell r="Q2395">
            <v>1.00554245707339</v>
          </cell>
          <cell r="R2395">
            <v>1.00554245707339</v>
          </cell>
          <cell r="S2395" t="e">
            <v>#VALUE!</v>
          </cell>
          <cell r="T2395" t="e">
            <v>#VALUE!</v>
          </cell>
        </row>
        <row r="2396">
          <cell r="A2396" t="str">
            <v>GRGL1200039B</v>
          </cell>
          <cell r="B2396" t="str">
            <v>MKP000631004257</v>
          </cell>
          <cell r="C2396" t="str">
            <v/>
          </cell>
          <cell r="D2396" t="str">
            <v>Armário de Cozinha Compacta 120cm Branco/Rustic Glamy Madesa 03</v>
          </cell>
          <cell r="E2396" t="str">
            <v>GLAMY</v>
          </cell>
          <cell r="F2396" t="str">
            <v>COZINHA</v>
          </cell>
          <cell r="G2396" t="str">
            <v/>
          </cell>
          <cell r="H2396">
            <v>1139.99</v>
          </cell>
          <cell r="I2396">
            <v>1039.99</v>
          </cell>
          <cell r="J2396">
            <v>886.81309999999996</v>
          </cell>
          <cell r="K2396">
            <v>0</v>
          </cell>
          <cell r="L2396">
            <v>886.81309999999996</v>
          </cell>
          <cell r="M2396">
            <v>0</v>
          </cell>
          <cell r="N2396">
            <v>1039.99</v>
          </cell>
          <cell r="O2396" t="str">
            <v/>
          </cell>
          <cell r="P2396">
            <v>0</v>
          </cell>
          <cell r="Q2396">
            <v>0.17272737626451401</v>
          </cell>
          <cell r="R2396">
            <v>0.17272737626451401</v>
          </cell>
          <cell r="S2396" t="e">
            <v>#VALUE!</v>
          </cell>
          <cell r="T2396" t="e">
            <v>#VALUE!</v>
          </cell>
        </row>
        <row r="2397">
          <cell r="A2397" t="str">
            <v>G2580473AG</v>
          </cell>
          <cell r="B2397" t="str">
            <v>MKP000631003049</v>
          </cell>
          <cell r="C2397" t="str">
            <v/>
          </cell>
          <cell r="D2397" t="str">
            <v>Armário Aéreo Madesa Agata 80 cm 1 Porta Basculante Branco/Preto</v>
          </cell>
          <cell r="E2397" t="str">
            <v>ÁGATA</v>
          </cell>
          <cell r="F2397" t="str">
            <v>MODULAÇÃO</v>
          </cell>
          <cell r="G2397" t="str">
            <v/>
          </cell>
          <cell r="H2397">
            <v>369.99</v>
          </cell>
          <cell r="I2397">
            <v>279.99</v>
          </cell>
          <cell r="J2397">
            <v>162.35550000000001</v>
          </cell>
          <cell r="K2397">
            <v>0</v>
          </cell>
          <cell r="L2397">
            <v>162.35550000000001</v>
          </cell>
          <cell r="M2397">
            <v>0</v>
          </cell>
          <cell r="N2397">
            <v>279.99</v>
          </cell>
          <cell r="O2397" t="str">
            <v/>
          </cell>
          <cell r="P2397">
            <v>0</v>
          </cell>
          <cell r="Q2397">
            <v>0.72454890656614701</v>
          </cell>
          <cell r="R2397">
            <v>0.72454890656614701</v>
          </cell>
          <cell r="S2397" t="e">
            <v>#VALUE!</v>
          </cell>
          <cell r="T2397" t="e">
            <v>#VALUE!</v>
          </cell>
        </row>
        <row r="2398">
          <cell r="A2398" t="str">
            <v>GRNC2200023B</v>
          </cell>
          <cell r="B2398" t="str">
            <v>MKP000631005924</v>
          </cell>
          <cell r="C2398" t="str">
            <v/>
          </cell>
          <cell r="D2398" t="str">
            <v>Armário de Cozinha Completa Suspenso 220cm Cinza Nice Madesa 02</v>
          </cell>
          <cell r="E2398" t="str">
            <v>NICE</v>
          </cell>
          <cell r="F2398" t="str">
            <v>COZINHA</v>
          </cell>
          <cell r="G2398" t="str">
            <v/>
          </cell>
          <cell r="H2398">
            <v>1199.99</v>
          </cell>
          <cell r="I2398">
            <v>1199.99</v>
          </cell>
          <cell r="J2398">
            <v>972.33450000000005</v>
          </cell>
          <cell r="K2398">
            <v>0</v>
          </cell>
          <cell r="L2398">
            <v>972.33450000000005</v>
          </cell>
          <cell r="M2398">
            <v>0</v>
          </cell>
          <cell r="N2398">
            <v>1199.99</v>
          </cell>
          <cell r="O2398" t="str">
            <v/>
          </cell>
          <cell r="P2398">
            <v>0</v>
          </cell>
          <cell r="Q2398">
            <v>0.23413290385150401</v>
          </cell>
          <cell r="R2398">
            <v>0.23413290385150401</v>
          </cell>
          <cell r="S2398" t="e">
            <v>#VALUE!</v>
          </cell>
          <cell r="T2398" t="e">
            <v>#VALUE!</v>
          </cell>
        </row>
        <row r="2399">
          <cell r="A2399" t="str">
            <v>GRGL190003A7</v>
          </cell>
          <cell r="B2399" t="str">
            <v>MKP000631000875</v>
          </cell>
          <cell r="C2399" t="str">
            <v/>
          </cell>
          <cell r="D2399" t="str">
            <v>Armário de Cozinha Compacta 190cm Rustic/Branco/Crema Helen Madesa 02</v>
          </cell>
          <cell r="E2399" t="str">
            <v>HELEN/GLAMY</v>
          </cell>
          <cell r="F2399" t="str">
            <v>COZINHA</v>
          </cell>
          <cell r="G2399" t="str">
            <v/>
          </cell>
          <cell r="H2399">
            <v>1699.99</v>
          </cell>
          <cell r="I2399">
            <v>1599.99</v>
          </cell>
          <cell r="J2399">
            <v>1329.3422</v>
          </cell>
          <cell r="K2399">
            <v>0</v>
          </cell>
          <cell r="L2399">
            <v>1329.3422</v>
          </cell>
          <cell r="M2399">
            <v>0</v>
          </cell>
          <cell r="N2399">
            <v>1599.99</v>
          </cell>
          <cell r="O2399" t="str">
            <v/>
          </cell>
          <cell r="P2399">
            <v>0</v>
          </cell>
          <cell r="Q2399">
            <v>0.20359528193718701</v>
          </cell>
          <cell r="R2399">
            <v>0.20359528193718701</v>
          </cell>
          <cell r="S2399" t="e">
            <v>#VALUE!</v>
          </cell>
          <cell r="T2399" t="e">
            <v>#VALUE!</v>
          </cell>
        </row>
        <row r="2400">
          <cell r="A2400" t="str">
            <v>GREM1650015Z</v>
          </cell>
          <cell r="B2400" t="str">
            <v>MKP000631005808</v>
          </cell>
          <cell r="C2400" t="str">
            <v/>
          </cell>
          <cell r="D2400" t="str">
            <v>Armário de Cozinha Compacta 165cm com Pia Rustic Emilly Madesa 01</v>
          </cell>
          <cell r="E2400" t="str">
            <v>EMILLY</v>
          </cell>
          <cell r="F2400" t="str">
            <v>COZINHA</v>
          </cell>
          <cell r="G2400" t="str">
            <v/>
          </cell>
          <cell r="H2400">
            <v>1079.99</v>
          </cell>
          <cell r="I2400">
            <v>1079.99</v>
          </cell>
          <cell r="J2400">
            <v>889.8433</v>
          </cell>
          <cell r="K2400">
            <v>0</v>
          </cell>
          <cell r="L2400">
            <v>889.8433</v>
          </cell>
          <cell r="M2400">
            <v>0</v>
          </cell>
          <cell r="N2400">
            <v>1079.99</v>
          </cell>
          <cell r="O2400" t="str">
            <v/>
          </cell>
          <cell r="P2400">
            <v>0</v>
          </cell>
          <cell r="Q2400">
            <v>0.21368560059956601</v>
          </cell>
          <cell r="R2400">
            <v>0.21368560059956601</v>
          </cell>
          <cell r="S2400" t="e">
            <v>#VALUE!</v>
          </cell>
          <cell r="T2400" t="e">
            <v>#VALUE!</v>
          </cell>
        </row>
        <row r="2401">
          <cell r="A2401" t="str">
            <v>GREM2930087K</v>
          </cell>
          <cell r="B2401" t="str">
            <v>MKP000631005508</v>
          </cell>
          <cell r="C2401" t="str">
            <v/>
          </cell>
          <cell r="D2401" t="str">
            <v>Armário de Cozinha Completa 293cm com Pia Rustic/Preto Emilly Madesa 08</v>
          </cell>
          <cell r="E2401" t="str">
            <v>EMILLY</v>
          </cell>
          <cell r="F2401" t="str">
            <v>COZINHA</v>
          </cell>
          <cell r="G2401" t="str">
            <v/>
          </cell>
          <cell r="H2401">
            <v>1699.99</v>
          </cell>
          <cell r="I2401">
            <v>1599.99</v>
          </cell>
          <cell r="J2401">
            <v>1249.8158000000001</v>
          </cell>
          <cell r="K2401">
            <v>0</v>
          </cell>
          <cell r="L2401">
            <v>1249.8158000000001</v>
          </cell>
          <cell r="M2401">
            <v>0</v>
          </cell>
          <cell r="N2401">
            <v>1599.99</v>
          </cell>
          <cell r="O2401" t="str">
            <v/>
          </cell>
          <cell r="P2401">
            <v>0</v>
          </cell>
          <cell r="Q2401">
            <v>0.28018064742020399</v>
          </cell>
          <cell r="R2401">
            <v>0.28018064742020399</v>
          </cell>
          <cell r="S2401" t="e">
            <v>#VALUE!</v>
          </cell>
          <cell r="T2401" t="e">
            <v>#VALUE!</v>
          </cell>
        </row>
        <row r="2402">
          <cell r="A2402" t="str">
            <v>1093771E4G</v>
          </cell>
          <cell r="B2402" t="str">
            <v>MKP000631002294</v>
          </cell>
          <cell r="C2402" t="str">
            <v/>
          </cell>
          <cell r="D2402" t="str">
            <v>Guarda-Roupa Casal Madesa Lyon Plus 3 Portas de Correr com Espelho 4 Gavetas Preto/Branco</v>
          </cell>
          <cell r="E2402" t="str">
            <v>LYON PLUS</v>
          </cell>
          <cell r="F2402" t="str">
            <v>QUARTO</v>
          </cell>
          <cell r="G2402" t="str">
            <v/>
          </cell>
          <cell r="H2402">
            <v>1509.99</v>
          </cell>
          <cell r="I2402">
            <v>1169.99</v>
          </cell>
          <cell r="J2402">
            <v>928.25490000000002</v>
          </cell>
          <cell r="K2402">
            <v>0</v>
          </cell>
          <cell r="L2402">
            <v>928.25490000000002</v>
          </cell>
          <cell r="M2402">
            <v>0</v>
          </cell>
          <cell r="N2402">
            <v>1169.99</v>
          </cell>
          <cell r="O2402" t="str">
            <v/>
          </cell>
          <cell r="P2402">
            <v>0</v>
          </cell>
          <cell r="Q2402">
            <v>0.26041887847831402</v>
          </cell>
          <cell r="R2402">
            <v>0.26041887847831402</v>
          </cell>
          <cell r="S2402" t="e">
            <v>#VALUE!</v>
          </cell>
          <cell r="T2402" t="e">
            <v>#VALUE!</v>
          </cell>
        </row>
        <row r="2403">
          <cell r="A2403" t="str">
            <v>G241537KAGCT</v>
          </cell>
          <cell r="B2403" t="str">
            <v>MKP000631004472</v>
          </cell>
          <cell r="C2403" t="str">
            <v/>
          </cell>
          <cell r="D2403" t="str">
            <v>Balcão de Pia Madesa Agata 150 cm 2 Portas e 2 Gavetas (Com Tampo) Rustic/Preto</v>
          </cell>
          <cell r="E2403" t="str">
            <v>ÁGATA</v>
          </cell>
          <cell r="F2403" t="str">
            <v>MODULAÇÃO</v>
          </cell>
          <cell r="G2403" t="str">
            <v/>
          </cell>
          <cell r="H2403">
            <v>1319.99</v>
          </cell>
          <cell r="I2403">
            <v>719.99</v>
          </cell>
          <cell r="J2403">
            <v>527.94150000000002</v>
          </cell>
          <cell r="K2403">
            <v>0</v>
          </cell>
          <cell r="L2403">
            <v>527.94150000000002</v>
          </cell>
          <cell r="M2403">
            <v>0</v>
          </cell>
          <cell r="N2403">
            <v>719.99</v>
          </cell>
          <cell r="O2403" t="str">
            <v/>
          </cell>
          <cell r="P2403">
            <v>0</v>
          </cell>
          <cell r="Q2403">
            <v>0.36376852359589101</v>
          </cell>
          <cell r="R2403">
            <v>0.36376852359589101</v>
          </cell>
          <cell r="S2403" t="e">
            <v>#VALUE!</v>
          </cell>
          <cell r="T2403" t="e">
            <v>#VALUE!</v>
          </cell>
        </row>
        <row r="2404">
          <cell r="A2404" t="str">
            <v>XAMDFC02000109</v>
          </cell>
          <cell r="B2404" t="str">
            <v>MKP000631003377</v>
          </cell>
          <cell r="C2404" t="str">
            <v/>
          </cell>
          <cell r="D2404" t="str">
            <v>Mesa para Computador Gamer e Painel para TV até 50 Madesa Branco</v>
          </cell>
          <cell r="E2404" t="str">
            <v>GAMER</v>
          </cell>
          <cell r="F2404" t="str">
            <v>ESCRITÓRIO</v>
          </cell>
          <cell r="G2404" t="str">
            <v/>
          </cell>
          <cell r="H2404">
            <v>699.99</v>
          </cell>
          <cell r="I2404">
            <v>469.99</v>
          </cell>
          <cell r="J2404">
            <v>340.625</v>
          </cell>
          <cell r="K2404">
            <v>0</v>
          </cell>
          <cell r="L2404">
            <v>340.625</v>
          </cell>
          <cell r="M2404">
            <v>0</v>
          </cell>
          <cell r="N2404">
            <v>469.99</v>
          </cell>
          <cell r="O2404" t="str">
            <v/>
          </cell>
          <cell r="P2404">
            <v>0</v>
          </cell>
          <cell r="Q2404">
            <v>0.37978715596330298</v>
          </cell>
          <cell r="R2404">
            <v>0.37978715596330298</v>
          </cell>
          <cell r="S2404" t="e">
            <v>#VALUE!</v>
          </cell>
          <cell r="T2404" t="e">
            <v>#VALUE!</v>
          </cell>
        </row>
        <row r="2405">
          <cell r="A2405" t="str">
            <v>G244015ZGL</v>
          </cell>
          <cell r="B2405" t="str">
            <v>MKP000631000376</v>
          </cell>
          <cell r="C2405" t="str">
            <v/>
          </cell>
          <cell r="D2405" t="str">
            <v>Balcão Madesa Glamy 40 cm 3 Gavetas Rustic</v>
          </cell>
          <cell r="E2405" t="str">
            <v>GLAMY</v>
          </cell>
          <cell r="F2405" t="str">
            <v>MODULAÇÃO</v>
          </cell>
          <cell r="G2405" t="str">
            <v/>
          </cell>
          <cell r="H2405">
            <v>979.99</v>
          </cell>
          <cell r="I2405">
            <v>529.99</v>
          </cell>
          <cell r="J2405">
            <v>348.39670000000001</v>
          </cell>
          <cell r="K2405">
            <v>0</v>
          </cell>
          <cell r="L2405">
            <v>348.39670000000001</v>
          </cell>
          <cell r="M2405">
            <v>0</v>
          </cell>
          <cell r="N2405">
            <v>529.99</v>
          </cell>
          <cell r="O2405" t="str">
            <v/>
          </cell>
          <cell r="P2405">
            <v>0</v>
          </cell>
          <cell r="Q2405">
            <v>0.52122566028897499</v>
          </cell>
          <cell r="R2405">
            <v>0.52122566028897499</v>
          </cell>
          <cell r="S2405" t="e">
            <v>#VALUE!</v>
          </cell>
          <cell r="T2405" t="e">
            <v>#VALUE!</v>
          </cell>
        </row>
        <row r="2406">
          <cell r="A2406" t="str">
            <v>GRLX32000173</v>
          </cell>
          <cell r="B2406" t="str">
            <v>MKP000631003363</v>
          </cell>
          <cell r="C2406" t="str">
            <v/>
          </cell>
          <cell r="D2406" t="str">
            <v>Armário de Cozinha Completa 320cm Branco/Preto Lux Madesa 01</v>
          </cell>
          <cell r="E2406" t="str">
            <v>LUX</v>
          </cell>
          <cell r="F2406" t="str">
            <v>COZINHA</v>
          </cell>
          <cell r="G2406" t="str">
            <v/>
          </cell>
          <cell r="H2406">
            <v>6229.99</v>
          </cell>
          <cell r="I2406">
            <v>6199.99</v>
          </cell>
          <cell r="J2406">
            <v>3547.3613999999998</v>
          </cell>
          <cell r="K2406">
            <v>0</v>
          </cell>
          <cell r="L2406">
            <v>3547.3613999999998</v>
          </cell>
          <cell r="M2406">
            <v>0</v>
          </cell>
          <cell r="N2406">
            <v>6199.99</v>
          </cell>
          <cell r="O2406" t="str">
            <v>LOJA</v>
          </cell>
          <cell r="P2406">
            <v>5449.99</v>
          </cell>
          <cell r="Q2406">
            <v>0.74777512096737597</v>
          </cell>
          <cell r="R2406">
            <v>0.74777512096737597</v>
          </cell>
          <cell r="S2406" t="e">
            <v>#VALUE!</v>
          </cell>
          <cell r="T2406" t="e">
            <v>#VALUE!</v>
          </cell>
        </row>
        <row r="2407">
          <cell r="A2407" t="str">
            <v>MDFC020001D8</v>
          </cell>
          <cell r="B2407" t="str">
            <v>MKP000631002342</v>
          </cell>
          <cell r="C2407" t="str">
            <v/>
          </cell>
          <cell r="D2407" t="str">
            <v>Mesa para Computador Gamer Madesa 9409 e Painel para TV até 50 Polegadas Preto/Rustic</v>
          </cell>
          <cell r="E2407" t="str">
            <v>GAMER</v>
          </cell>
          <cell r="F2407" t="str">
            <v>ESCRITÓRIO</v>
          </cell>
          <cell r="G2407" t="str">
            <v/>
          </cell>
          <cell r="H2407">
            <v>699.99</v>
          </cell>
          <cell r="I2407">
            <v>469.99</v>
          </cell>
          <cell r="J2407">
            <v>340.625</v>
          </cell>
          <cell r="K2407">
            <v>0</v>
          </cell>
          <cell r="L2407">
            <v>340.625</v>
          </cell>
          <cell r="M2407">
            <v>0</v>
          </cell>
          <cell r="N2407">
            <v>469.99</v>
          </cell>
          <cell r="O2407" t="str">
            <v/>
          </cell>
          <cell r="P2407">
            <v>0</v>
          </cell>
          <cell r="Q2407">
            <v>0.37978715596330298</v>
          </cell>
          <cell r="R2407">
            <v>0.37978715596330298</v>
          </cell>
          <cell r="S2407" t="e">
            <v>#VALUE!</v>
          </cell>
          <cell r="T2407" t="e">
            <v>#VALUE!</v>
          </cell>
        </row>
        <row r="2408">
          <cell r="A2408" t="str">
            <v>G2660009GM</v>
          </cell>
          <cell r="B2408" t="str">
            <v>MKP000631005593</v>
          </cell>
          <cell r="C2408" t="str">
            <v/>
          </cell>
          <cell r="D2408" t="str">
            <v>Paneleiro 100% MDF 60 cm com Nichos Abertos para Cozinha Madesa Acordes Branco</v>
          </cell>
          <cell r="E2408" t="str">
            <v>ACORDES</v>
          </cell>
          <cell r="F2408" t="str">
            <v>MODULAÇÃO</v>
          </cell>
          <cell r="G2408" t="str">
            <v/>
          </cell>
          <cell r="H2408">
            <v>619.99</v>
          </cell>
          <cell r="I2408">
            <v>519.99</v>
          </cell>
          <cell r="J2408">
            <v>333.3329</v>
          </cell>
          <cell r="K2408">
            <v>0</v>
          </cell>
          <cell r="L2408">
            <v>333.3329</v>
          </cell>
          <cell r="M2408">
            <v>0</v>
          </cell>
          <cell r="N2408">
            <v>519.99</v>
          </cell>
          <cell r="O2408" t="str">
            <v/>
          </cell>
          <cell r="P2408">
            <v>0</v>
          </cell>
          <cell r="Q2408">
            <v>0.55997202796363599</v>
          </cell>
          <cell r="R2408">
            <v>0.55997202796363599</v>
          </cell>
          <cell r="S2408" t="e">
            <v>#VALUE!</v>
          </cell>
          <cell r="T2408" t="e">
            <v>#VALUE!</v>
          </cell>
        </row>
        <row r="2409">
          <cell r="A2409" t="str">
            <v>G24802F9AG</v>
          </cell>
          <cell r="B2409" t="str">
            <v>MKP000631005048</v>
          </cell>
          <cell r="C2409" t="str">
            <v/>
          </cell>
          <cell r="D2409" t="str">
            <v>Balcão 80 cm 2 Gavetas Rustic/Cinza Agata Madesa</v>
          </cell>
          <cell r="E2409" t="str">
            <v>ÁGATA</v>
          </cell>
          <cell r="F2409" t="str">
            <v>MODULAÇÃO</v>
          </cell>
          <cell r="G2409" t="str">
            <v/>
          </cell>
          <cell r="H2409">
            <v>689.99</v>
          </cell>
          <cell r="I2409">
            <v>589.99</v>
          </cell>
          <cell r="J2409">
            <v>369.84789999999998</v>
          </cell>
          <cell r="K2409">
            <v>0</v>
          </cell>
          <cell r="L2409">
            <v>369.84789999999998</v>
          </cell>
          <cell r="M2409">
            <v>0</v>
          </cell>
          <cell r="N2409">
            <v>589.99</v>
          </cell>
          <cell r="O2409" t="str">
            <v/>
          </cell>
          <cell r="P2409">
            <v>0</v>
          </cell>
          <cell r="Q2409">
            <v>0.59522333370015101</v>
          </cell>
          <cell r="R2409">
            <v>0.59522333370015101</v>
          </cell>
          <cell r="S2409" t="e">
            <v>#VALUE!</v>
          </cell>
          <cell r="T2409" t="e">
            <v>#VALUE!</v>
          </cell>
        </row>
        <row r="2410">
          <cell r="A2410" t="str">
            <v>XCGRRM3100018N</v>
          </cell>
          <cell r="B2410" t="str">
            <v>MKP000631004134</v>
          </cell>
          <cell r="C2410" t="str">
            <v/>
          </cell>
          <cell r="D2410" t="str">
            <v>Armário de Cozinha Completa 310cm Preto Reims Madesa XC01</v>
          </cell>
          <cell r="E2410" t="str">
            <v>REIMS</v>
          </cell>
          <cell r="F2410" t="str">
            <v>COZINHA</v>
          </cell>
          <cell r="G2410" t="str">
            <v/>
          </cell>
          <cell r="H2410">
            <v>2089.9899999999998</v>
          </cell>
          <cell r="I2410">
            <v>1739.99</v>
          </cell>
          <cell r="J2410">
            <v>1463.6193000000001</v>
          </cell>
          <cell r="K2410">
            <v>0</v>
          </cell>
          <cell r="L2410">
            <v>1463.6193000000001</v>
          </cell>
          <cell r="M2410">
            <v>0</v>
          </cell>
          <cell r="N2410">
            <v>1739.99</v>
          </cell>
          <cell r="O2410" t="str">
            <v/>
          </cell>
          <cell r="P2410">
            <v>0</v>
          </cell>
          <cell r="Q2410">
            <v>0.18882690328010801</v>
          </cell>
          <cell r="R2410">
            <v>0.18882690328010801</v>
          </cell>
          <cell r="S2410" t="e">
            <v>#VALUE!</v>
          </cell>
          <cell r="T2410" t="e">
            <v>#VALUE!</v>
          </cell>
        </row>
        <row r="2411">
          <cell r="A2411" t="str">
            <v>GREM3250057K</v>
          </cell>
          <cell r="B2411" t="str">
            <v>MKP000631005137</v>
          </cell>
          <cell r="C2411" t="str">
            <v/>
          </cell>
          <cell r="D2411" t="str">
            <v>Armário de Cozinha Completa 325cm Rustic/Preto Emilly Madesa 05</v>
          </cell>
          <cell r="E2411" t="str">
            <v>EMILLY</v>
          </cell>
          <cell r="F2411" t="str">
            <v>COZINHA</v>
          </cell>
          <cell r="G2411" t="str">
            <v/>
          </cell>
          <cell r="H2411">
            <v>1779.99</v>
          </cell>
          <cell r="I2411">
            <v>1679.99</v>
          </cell>
          <cell r="J2411">
            <v>1354.1288</v>
          </cell>
          <cell r="K2411">
            <v>0</v>
          </cell>
          <cell r="L2411">
            <v>1354.1288</v>
          </cell>
          <cell r="M2411">
            <v>0</v>
          </cell>
          <cell r="N2411">
            <v>1679.99</v>
          </cell>
          <cell r="O2411" t="str">
            <v/>
          </cell>
          <cell r="P2411">
            <v>0</v>
          </cell>
          <cell r="Q2411">
            <v>0.24064269218703599</v>
          </cell>
          <cell r="R2411">
            <v>0.24064269218703599</v>
          </cell>
          <cell r="S2411" t="e">
            <v>#VALUE!</v>
          </cell>
          <cell r="T2411" t="e">
            <v>#VALUE!</v>
          </cell>
        </row>
        <row r="2412">
          <cell r="A2412" t="str">
            <v>GCEM3250025Z</v>
          </cell>
          <cell r="B2412" t="str">
            <v>MKP000631001956</v>
          </cell>
          <cell r="C2412" t="str">
            <v/>
          </cell>
          <cell r="D2412" t="str">
            <v>Armário de Cozinha Completa de Canto 325cm Rustic Emilly Water Madesa 02</v>
          </cell>
          <cell r="E2412" t="str">
            <v>WATER/EMILLY</v>
          </cell>
          <cell r="F2412" t="str">
            <v>COZINHA</v>
          </cell>
          <cell r="G2412" t="str">
            <v/>
          </cell>
          <cell r="H2412">
            <v>1399.99</v>
          </cell>
          <cell r="I2412">
            <v>1299.99</v>
          </cell>
          <cell r="J2412">
            <v>1018.932</v>
          </cell>
          <cell r="K2412">
            <v>0</v>
          </cell>
          <cell r="L2412">
            <v>1018.932</v>
          </cell>
          <cell r="M2412">
            <v>0</v>
          </cell>
          <cell r="N2412">
            <v>1299.99</v>
          </cell>
          <cell r="O2412" t="str">
            <v/>
          </cell>
          <cell r="P2412">
            <v>0</v>
          </cell>
          <cell r="Q2412">
            <v>0.275835875210515</v>
          </cell>
          <cell r="R2412">
            <v>0.275835875210515</v>
          </cell>
          <cell r="S2412" t="e">
            <v>#VALUE!</v>
          </cell>
          <cell r="T2412" t="e">
            <v>#VALUE!</v>
          </cell>
        </row>
        <row r="2413">
          <cell r="A2413" t="str">
            <v>MDES0200147777</v>
          </cell>
          <cell r="B2413" t="str">
            <v>MKP000631002885</v>
          </cell>
          <cell r="C2413" t="str">
            <v/>
          </cell>
          <cell r="D2413" t="str">
            <v>Rack Madesa Dubai e Painel para TV até 65 Polegadas com Pés Preto/Branco 7777</v>
          </cell>
          <cell r="E2413" t="str">
            <v>DUBAI</v>
          </cell>
          <cell r="F2413" t="str">
            <v>SALA DE ESTAR</v>
          </cell>
          <cell r="G2413" t="str">
            <v/>
          </cell>
          <cell r="H2413">
            <v>1149.99</v>
          </cell>
          <cell r="I2413">
            <v>599.99</v>
          </cell>
          <cell r="J2413">
            <v>442.649</v>
          </cell>
          <cell r="K2413">
            <v>0</v>
          </cell>
          <cell r="L2413">
            <v>442.649</v>
          </cell>
          <cell r="M2413">
            <v>0</v>
          </cell>
          <cell r="N2413">
            <v>599.99</v>
          </cell>
          <cell r="O2413" t="str">
            <v/>
          </cell>
          <cell r="P2413">
            <v>0</v>
          </cell>
          <cell r="Q2413">
            <v>0.35545319203251302</v>
          </cell>
          <cell r="R2413">
            <v>0.35545319203251302</v>
          </cell>
          <cell r="S2413" t="e">
            <v>#VALUE!</v>
          </cell>
          <cell r="T2413" t="e">
            <v>#VALUE!</v>
          </cell>
        </row>
        <row r="2414">
          <cell r="A2414" t="str">
            <v>MDFC0200068N8N</v>
          </cell>
          <cell r="B2414" t="str">
            <v>MKP000631003415</v>
          </cell>
          <cell r="C2414" t="str">
            <v/>
          </cell>
          <cell r="D2414" t="str">
            <v>Escrivaninha Madesa Alaska + Estante Livreiro 6907 Preto</v>
          </cell>
          <cell r="E2414" t="str">
            <v>ALASKA + 6907</v>
          </cell>
          <cell r="F2414" t="str">
            <v>ESCRITÓRIO</v>
          </cell>
          <cell r="G2414" t="str">
            <v/>
          </cell>
          <cell r="H2414">
            <v>1259.99</v>
          </cell>
          <cell r="I2414">
            <v>689.99</v>
          </cell>
          <cell r="J2414">
            <v>487.11009999999999</v>
          </cell>
          <cell r="K2414">
            <v>0</v>
          </cell>
          <cell r="L2414">
            <v>487.11009999999999</v>
          </cell>
          <cell r="M2414">
            <v>0</v>
          </cell>
          <cell r="N2414">
            <v>689.99</v>
          </cell>
          <cell r="O2414" t="str">
            <v/>
          </cell>
          <cell r="P2414">
            <v>0</v>
          </cell>
          <cell r="Q2414">
            <v>0.4164970096083</v>
          </cell>
          <cell r="R2414">
            <v>0.4164970096083</v>
          </cell>
          <cell r="S2414" t="e">
            <v>#VALUE!</v>
          </cell>
          <cell r="T2414" t="e">
            <v>#VALUE!</v>
          </cell>
        </row>
        <row r="2415">
          <cell r="A2415" t="str">
            <v>GRLX1800017K</v>
          </cell>
          <cell r="B2415" t="str">
            <v>MKP000631002712</v>
          </cell>
          <cell r="C2415" t="str">
            <v/>
          </cell>
          <cell r="D2415" t="str">
            <v>Armário de Cozinha Compacta 180cm Rustic/Preto Lux Madesa 01</v>
          </cell>
          <cell r="E2415" t="str">
            <v>LUX</v>
          </cell>
          <cell r="F2415" t="str">
            <v>COZINHA</v>
          </cell>
          <cell r="G2415" t="str">
            <v/>
          </cell>
          <cell r="H2415">
            <v>3649.99</v>
          </cell>
          <cell r="I2415">
            <v>3559.99</v>
          </cell>
          <cell r="J2415">
            <v>2051.6743000000001</v>
          </cell>
          <cell r="K2415">
            <v>0</v>
          </cell>
          <cell r="L2415">
            <v>2051.6743000000001</v>
          </cell>
          <cell r="M2415">
            <v>0</v>
          </cell>
          <cell r="N2415">
            <v>3559.99</v>
          </cell>
          <cell r="O2415" t="str">
            <v>LOJA</v>
          </cell>
          <cell r="P2415">
            <v>3129.99</v>
          </cell>
          <cell r="Q2415">
            <v>0.73516332490005798</v>
          </cell>
          <cell r="R2415">
            <v>0.73516332490005798</v>
          </cell>
          <cell r="S2415" t="e">
            <v>#VALUE!</v>
          </cell>
          <cell r="T2415" t="e">
            <v>#VALUE!</v>
          </cell>
        </row>
        <row r="2416">
          <cell r="A2416" t="str">
            <v>G253509NLX</v>
          </cell>
          <cell r="B2416" t="str">
            <v>MKP000631002696</v>
          </cell>
          <cell r="C2416" t="str">
            <v/>
          </cell>
          <cell r="D2416" t="str">
            <v>Armário Aéreo Madesa Lux 35 cm 1 Porta Rustic/Cinza</v>
          </cell>
          <cell r="E2416" t="str">
            <v>LUX</v>
          </cell>
          <cell r="F2416" t="str">
            <v>MODULAÇÃO</v>
          </cell>
          <cell r="G2416" t="str">
            <v/>
          </cell>
          <cell r="H2416">
            <v>549.99</v>
          </cell>
          <cell r="I2416">
            <v>419.99</v>
          </cell>
          <cell r="J2416">
            <v>240.56299999999999</v>
          </cell>
          <cell r="K2416">
            <v>0</v>
          </cell>
          <cell r="L2416">
            <v>240.56299999999999</v>
          </cell>
          <cell r="M2416">
            <v>0</v>
          </cell>
          <cell r="N2416">
            <v>419.99</v>
          </cell>
          <cell r="O2416" t="str">
            <v>LOJA</v>
          </cell>
          <cell r="P2416">
            <v>399.99</v>
          </cell>
          <cell r="Q2416">
            <v>0.74586283011103105</v>
          </cell>
          <cell r="R2416">
            <v>0.74586283011103105</v>
          </cell>
          <cell r="S2416" t="e">
            <v>#VALUE!</v>
          </cell>
          <cell r="T2416" t="e">
            <v>#VALUE!</v>
          </cell>
        </row>
        <row r="2417">
          <cell r="A2417" t="str">
            <v>G236077KLX</v>
          </cell>
          <cell r="B2417" t="str">
            <v>MKP000631002778</v>
          </cell>
          <cell r="C2417" t="str">
            <v/>
          </cell>
          <cell r="D2417" t="str">
            <v>Paneleiro Madesa Lux 60 cm 3 Portas Rustic/Preto</v>
          </cell>
          <cell r="E2417" t="str">
            <v>LUX</v>
          </cell>
          <cell r="F2417" t="str">
            <v>MODULAÇÃO</v>
          </cell>
          <cell r="G2417" t="str">
            <v/>
          </cell>
          <cell r="H2417">
            <v>2139.9899999999998</v>
          </cell>
          <cell r="I2417">
            <v>1699.99</v>
          </cell>
          <cell r="J2417">
            <v>929.62829999999997</v>
          </cell>
          <cell r="K2417">
            <v>0</v>
          </cell>
          <cell r="L2417">
            <v>929.62829999999997</v>
          </cell>
          <cell r="M2417">
            <v>0</v>
          </cell>
          <cell r="N2417">
            <v>1699.99</v>
          </cell>
          <cell r="O2417" t="str">
            <v>LOJA</v>
          </cell>
          <cell r="P2417">
            <v>1689.99</v>
          </cell>
          <cell r="Q2417">
            <v>0.82867711751029904</v>
          </cell>
          <cell r="R2417">
            <v>0.82867711751029904</v>
          </cell>
          <cell r="S2417" t="e">
            <v>#VALUE!</v>
          </cell>
          <cell r="T2417" t="e">
            <v>#VALUE!</v>
          </cell>
        </row>
        <row r="2418">
          <cell r="A2418" t="str">
            <v>G251087KEM</v>
          </cell>
          <cell r="B2418" t="str">
            <v>MKP000631005907</v>
          </cell>
          <cell r="C2418" t="str">
            <v/>
          </cell>
          <cell r="D2418" t="str">
            <v>Armário Aéreo Cozinha 105cm 2 Portas 1 Nicho Rustic/Preto Emilly Madesa</v>
          </cell>
          <cell r="E2418" t="str">
            <v>EMILLY</v>
          </cell>
          <cell r="F2418" t="str">
            <v>MODULAÇÃO</v>
          </cell>
          <cell r="G2418" t="str">
            <v/>
          </cell>
          <cell r="H2418">
            <v>199.99</v>
          </cell>
          <cell r="I2418">
            <v>199.99</v>
          </cell>
          <cell r="J2418">
            <v>151.77160000000001</v>
          </cell>
          <cell r="K2418">
            <v>0</v>
          </cell>
          <cell r="L2418">
            <v>151.77160000000001</v>
          </cell>
          <cell r="M2418">
            <v>0</v>
          </cell>
          <cell r="N2418">
            <v>199.99</v>
          </cell>
          <cell r="O2418" t="str">
            <v/>
          </cell>
          <cell r="P2418">
            <v>0</v>
          </cell>
          <cell r="Q2418">
            <v>0.31770370741298098</v>
          </cell>
          <cell r="R2418">
            <v>0.31770370741298098</v>
          </cell>
          <cell r="S2418" t="e">
            <v>#VALUE!</v>
          </cell>
          <cell r="T2418" t="e">
            <v>#VALUE!</v>
          </cell>
        </row>
        <row r="2419">
          <cell r="A2419" t="str">
            <v>MDJA0401557KPT</v>
          </cell>
          <cell r="B2419" t="str">
            <v>MKP000631005349</v>
          </cell>
          <cell r="C2419" t="str">
            <v/>
          </cell>
          <cell r="D2419" t="str">
            <v>Conjunto Sala de Jantar Mesa Tampo de Madeira 4 Cadeiras Preto/Rustic Elisa Madesa</v>
          </cell>
          <cell r="E2419" t="str">
            <v>ELISA</v>
          </cell>
          <cell r="F2419" t="str">
            <v>SALA DE JANTAR</v>
          </cell>
          <cell r="G2419">
            <v>4280</v>
          </cell>
          <cell r="H2419">
            <v>869.99</v>
          </cell>
          <cell r="I2419">
            <v>769.99</v>
          </cell>
          <cell r="J2419">
            <v>565.57920000000001</v>
          </cell>
          <cell r="K2419">
            <v>0</v>
          </cell>
          <cell r="L2419">
            <v>565.57920000000001</v>
          </cell>
          <cell r="M2419">
            <v>0</v>
          </cell>
          <cell r="N2419">
            <v>769.99</v>
          </cell>
          <cell r="O2419" t="str">
            <v/>
          </cell>
          <cell r="P2419">
            <v>0</v>
          </cell>
          <cell r="Q2419">
            <v>0.36141852458506302</v>
          </cell>
          <cell r="R2419">
            <v>0.36141852458506302</v>
          </cell>
          <cell r="S2419" t="e">
            <v>#VALUE!</v>
          </cell>
          <cell r="T2419" t="e">
            <v>#VALUE!</v>
          </cell>
        </row>
        <row r="2420">
          <cell r="A2420" t="str">
            <v>G244017KAG</v>
          </cell>
          <cell r="B2420" t="str">
            <v>MKP000631003078</v>
          </cell>
          <cell r="C2420" t="str">
            <v/>
          </cell>
          <cell r="D2420" t="str">
            <v>Balcão Madesa Agata 40 cm 3 Gavetas Rustic/Preto</v>
          </cell>
          <cell r="E2420" t="str">
            <v>ÁGATA</v>
          </cell>
          <cell r="F2420" t="str">
            <v>MODULAÇÃO</v>
          </cell>
          <cell r="G2420" t="str">
            <v/>
          </cell>
          <cell r="H2420">
            <v>949.99</v>
          </cell>
          <cell r="I2420">
            <v>539.99</v>
          </cell>
          <cell r="J2420">
            <v>340.39609999999999</v>
          </cell>
          <cell r="K2420">
            <v>0</v>
          </cell>
          <cell r="L2420">
            <v>340.39609999999999</v>
          </cell>
          <cell r="M2420">
            <v>0</v>
          </cell>
          <cell r="N2420">
            <v>539.99</v>
          </cell>
          <cell r="O2420" t="str">
            <v/>
          </cell>
          <cell r="P2420">
            <v>0</v>
          </cell>
          <cell r="Q2420">
            <v>0.58635777554443202</v>
          </cell>
          <cell r="R2420">
            <v>0.58635777554443202</v>
          </cell>
          <cell r="S2420" t="e">
            <v>#VALUE!</v>
          </cell>
          <cell r="T2420" t="e">
            <v>#VALUE!</v>
          </cell>
        </row>
        <row r="2421">
          <cell r="A2421" t="str">
            <v>XB10639B2E</v>
          </cell>
          <cell r="B2421" t="str">
            <v>MKP000631001447</v>
          </cell>
          <cell r="C2421" t="str">
            <v/>
          </cell>
          <cell r="D2421" t="str">
            <v>Guarda-Roupa Juvenil 100% MDF Madesa Kevin 3 Portas de Correr com Espelhos Branco/Rustic</v>
          </cell>
          <cell r="E2421" t="str">
            <v>KEVIN</v>
          </cell>
          <cell r="F2421" t="str">
            <v>QUARTO</v>
          </cell>
          <cell r="G2421" t="str">
            <v/>
          </cell>
          <cell r="H2421">
            <v>3189.99</v>
          </cell>
          <cell r="I2421">
            <v>2399.9899999999998</v>
          </cell>
          <cell r="J2421">
            <v>2033.8746000000001</v>
          </cell>
          <cell r="K2421">
            <v>0</v>
          </cell>
          <cell r="L2421">
            <v>2033.8746000000001</v>
          </cell>
          <cell r="M2421">
            <v>0</v>
          </cell>
          <cell r="N2421">
            <v>2399.9899999999998</v>
          </cell>
          <cell r="O2421" t="str">
            <v/>
          </cell>
          <cell r="P2421">
            <v>0</v>
          </cell>
          <cell r="Q2421">
            <v>0.180008836336321</v>
          </cell>
          <cell r="R2421">
            <v>0.180008836336321</v>
          </cell>
          <cell r="S2421" t="e">
            <v>#VALUE!</v>
          </cell>
          <cell r="T2421" t="e">
            <v>#VALUE!</v>
          </cell>
        </row>
        <row r="2422">
          <cell r="A2422" t="str">
            <v>GCEM2930055Z</v>
          </cell>
          <cell r="B2422" t="str">
            <v>MKP000631002066</v>
          </cell>
          <cell r="C2422" t="str">
            <v/>
          </cell>
          <cell r="D2422" t="str">
            <v>Armário de Cozinha Completa de Canto 293cm Rustic Emilly Self Madesa 05</v>
          </cell>
          <cell r="E2422" t="str">
            <v>SELF/EMILLY</v>
          </cell>
          <cell r="F2422" t="str">
            <v>COZINHA</v>
          </cell>
          <cell r="G2422" t="str">
            <v/>
          </cell>
          <cell r="H2422">
            <v>1539.99</v>
          </cell>
          <cell r="I2422">
            <v>1439.99</v>
          </cell>
          <cell r="J2422">
            <v>1170.769</v>
          </cell>
          <cell r="K2422">
            <v>0</v>
          </cell>
          <cell r="L2422">
            <v>1170.769</v>
          </cell>
          <cell r="M2422">
            <v>0</v>
          </cell>
          <cell r="N2422">
            <v>1439.99</v>
          </cell>
          <cell r="O2422" t="str">
            <v/>
          </cell>
          <cell r="P2422">
            <v>0</v>
          </cell>
          <cell r="Q2422">
            <v>0.229952279228439</v>
          </cell>
          <cell r="R2422">
            <v>0.229952279228439</v>
          </cell>
          <cell r="S2422" t="e">
            <v>#VALUE!</v>
          </cell>
          <cell r="T2422" t="e">
            <v>#VALUE!</v>
          </cell>
        </row>
        <row r="2423">
          <cell r="A2423" t="str">
            <v>MDJA040154F9SIM</v>
          </cell>
          <cell r="B2423" t="str">
            <v>MKP000631005366</v>
          </cell>
          <cell r="C2423" t="str">
            <v/>
          </cell>
          <cell r="D2423" t="str">
            <v>Conjunto Sala de Jantar Mesa Tampo de Madeira 4 Cadeiras Rustic/Cinza/Imperial Keila Madesa</v>
          </cell>
          <cell r="E2423" t="str">
            <v>KEILA</v>
          </cell>
          <cell r="F2423" t="str">
            <v>SALA DE JANTAR</v>
          </cell>
          <cell r="G2423">
            <v>4255</v>
          </cell>
          <cell r="H2423">
            <v>1149.99</v>
          </cell>
          <cell r="I2423">
            <v>1049.99</v>
          </cell>
          <cell r="J2423">
            <v>803.80960000000005</v>
          </cell>
          <cell r="K2423">
            <v>0</v>
          </cell>
          <cell r="L2423">
            <v>803.80960000000005</v>
          </cell>
          <cell r="M2423">
            <v>0</v>
          </cell>
          <cell r="N2423">
            <v>1049.99</v>
          </cell>
          <cell r="O2423" t="str">
            <v/>
          </cell>
          <cell r="P2423">
            <v>0</v>
          </cell>
          <cell r="Q2423">
            <v>0.30626705627800399</v>
          </cell>
          <cell r="R2423">
            <v>0.30626705627800399</v>
          </cell>
          <cell r="S2423" t="e">
            <v>#VALUE!</v>
          </cell>
          <cell r="T2423" t="e">
            <v>#VALUE!</v>
          </cell>
        </row>
        <row r="2424">
          <cell r="A2424" t="str">
            <v>MDES0200047K</v>
          </cell>
          <cell r="B2424" t="str">
            <v>MKP000631001805</v>
          </cell>
          <cell r="C2424" t="str">
            <v/>
          </cell>
          <cell r="D2424" t="str">
            <v>Rack Madesa Londres e Painel para TV até 55 Polegadas Rustic/Preto</v>
          </cell>
          <cell r="E2424" t="str">
            <v>LONDRES</v>
          </cell>
          <cell r="F2424" t="str">
            <v>SALA DE ESTAR</v>
          </cell>
          <cell r="G2424" t="str">
            <v/>
          </cell>
          <cell r="H2424">
            <v>649.99</v>
          </cell>
          <cell r="I2424">
            <v>549.99</v>
          </cell>
          <cell r="J2424">
            <v>425.51420000000002</v>
          </cell>
          <cell r="K2424">
            <v>0</v>
          </cell>
          <cell r="L2424">
            <v>425.51420000000002</v>
          </cell>
          <cell r="M2424">
            <v>0</v>
          </cell>
          <cell r="N2424">
            <v>549.99</v>
          </cell>
          <cell r="O2424" t="str">
            <v/>
          </cell>
          <cell r="P2424">
            <v>0</v>
          </cell>
          <cell r="Q2424">
            <v>0.29253030803672397</v>
          </cell>
          <cell r="R2424">
            <v>0.29253030803672397</v>
          </cell>
          <cell r="S2424" t="e">
            <v>#VALUE!</v>
          </cell>
          <cell r="T2424" t="e">
            <v>#VALUE!</v>
          </cell>
        </row>
        <row r="2425">
          <cell r="A2425" t="str">
            <v>G241245ZGL</v>
          </cell>
          <cell r="B2425" t="str">
            <v>MKP000631000015</v>
          </cell>
          <cell r="C2425" t="str">
            <v/>
          </cell>
          <cell r="D2425" t="str">
            <v>Balcão Gabinete de Pia Madesa Glamy 120 cm 2 Portas e 3 Gavetas (Sem Tampo e Pia) Rustic</v>
          </cell>
          <cell r="E2425" t="str">
            <v>GLAMY</v>
          </cell>
          <cell r="F2425" t="str">
            <v>MODULAÇÃO</v>
          </cell>
          <cell r="G2425" t="str">
            <v/>
          </cell>
          <cell r="H2425">
            <v>1279.99</v>
          </cell>
          <cell r="I2425">
            <v>719.99</v>
          </cell>
          <cell r="J2425">
            <v>557.96010000000001</v>
          </cell>
          <cell r="K2425">
            <v>0</v>
          </cell>
          <cell r="L2425">
            <v>557.96010000000001</v>
          </cell>
          <cell r="M2425">
            <v>0</v>
          </cell>
          <cell r="N2425">
            <v>719.99</v>
          </cell>
          <cell r="O2425" t="str">
            <v/>
          </cell>
          <cell r="P2425">
            <v>0</v>
          </cell>
          <cell r="Q2425">
            <v>0.29039692981630799</v>
          </cell>
          <cell r="R2425">
            <v>0.29039692981630799</v>
          </cell>
          <cell r="S2425" t="e">
            <v>#VALUE!</v>
          </cell>
          <cell r="T2425" t="e">
            <v>#VALUE!</v>
          </cell>
        </row>
        <row r="2426">
          <cell r="A2426" t="str">
            <v>G2412409AG</v>
          </cell>
          <cell r="B2426" t="str">
            <v>MKP000631004475</v>
          </cell>
          <cell r="C2426" t="str">
            <v/>
          </cell>
          <cell r="D2426" t="str">
            <v>Balcão de Pia Madesa Agata 2 Portas e 3 Gavetas Branco</v>
          </cell>
          <cell r="E2426" t="str">
            <v>ÁGATA</v>
          </cell>
          <cell r="F2426" t="str">
            <v>MODULAÇÃO</v>
          </cell>
          <cell r="G2426" t="str">
            <v/>
          </cell>
          <cell r="H2426">
            <v>939.99</v>
          </cell>
          <cell r="I2426">
            <v>729.99</v>
          </cell>
          <cell r="J2426">
            <v>542.59109999999998</v>
          </cell>
          <cell r="K2426">
            <v>0</v>
          </cell>
          <cell r="L2426">
            <v>542.59109999999998</v>
          </cell>
          <cell r="M2426">
            <v>0</v>
          </cell>
          <cell r="N2426">
            <v>729.99</v>
          </cell>
          <cell r="O2426" t="str">
            <v/>
          </cell>
          <cell r="P2426">
            <v>0</v>
          </cell>
          <cell r="Q2426">
            <v>0.34537776237022699</v>
          </cell>
          <cell r="R2426">
            <v>0.34537776237022699</v>
          </cell>
          <cell r="S2426" t="e">
            <v>#VALUE!</v>
          </cell>
          <cell r="T2426" t="e">
            <v>#VALUE!</v>
          </cell>
        </row>
        <row r="2427">
          <cell r="A2427" t="str">
            <v>G24153F8AG</v>
          </cell>
          <cell r="B2427" t="str">
            <v>MKP000631004638</v>
          </cell>
          <cell r="C2427" t="str">
            <v/>
          </cell>
          <cell r="D2427" t="str">
            <v>Balcão de Pia Madesa Agata 150 cm 2 Portas e 2 Gavetas (Sem Tampo e Pia) Branco/Cinza</v>
          </cell>
          <cell r="E2427" t="str">
            <v>ÁGATA</v>
          </cell>
          <cell r="F2427" t="str">
            <v>MODULAÇÃO</v>
          </cell>
          <cell r="G2427" t="str">
            <v/>
          </cell>
          <cell r="H2427">
            <v>1099.99</v>
          </cell>
          <cell r="I2427">
            <v>569.99</v>
          </cell>
          <cell r="J2427">
            <v>424.2389</v>
          </cell>
          <cell r="K2427">
            <v>0</v>
          </cell>
          <cell r="L2427">
            <v>424.2389</v>
          </cell>
          <cell r="M2427">
            <v>0</v>
          </cell>
          <cell r="N2427">
            <v>569.99</v>
          </cell>
          <cell r="O2427" t="str">
            <v/>
          </cell>
          <cell r="P2427">
            <v>0</v>
          </cell>
          <cell r="Q2427">
            <v>0.34355901827955898</v>
          </cell>
          <cell r="R2427">
            <v>0.34355901827955898</v>
          </cell>
          <cell r="S2427" t="e">
            <v>#VALUE!</v>
          </cell>
          <cell r="T2427" t="e">
            <v>#VALUE!</v>
          </cell>
        </row>
        <row r="2428">
          <cell r="A2428" t="str">
            <v>G248016EK</v>
          </cell>
          <cell r="B2428" t="str">
            <v>MKP000631003215</v>
          </cell>
          <cell r="C2428" t="str">
            <v/>
          </cell>
          <cell r="D2428" t="str">
            <v>Balcão Madesa Acordes 100% MDF 80 cm 2 Gavetas Branco/Rustic</v>
          </cell>
          <cell r="E2428" t="str">
            <v>ACORDES</v>
          </cell>
          <cell r="F2428" t="str">
            <v>MODULAÇÃO</v>
          </cell>
          <cell r="G2428" t="str">
            <v/>
          </cell>
          <cell r="H2428">
            <v>1149.99</v>
          </cell>
          <cell r="I2428">
            <v>669.99</v>
          </cell>
          <cell r="J2428">
            <v>439.52069999999998</v>
          </cell>
          <cell r="K2428">
            <v>0</v>
          </cell>
          <cell r="L2428">
            <v>439.52069999999998</v>
          </cell>
          <cell r="M2428">
            <v>0</v>
          </cell>
          <cell r="N2428">
            <v>669.99</v>
          </cell>
          <cell r="O2428" t="str">
            <v/>
          </cell>
          <cell r="P2428">
            <v>0</v>
          </cell>
          <cell r="Q2428">
            <v>0.52436506403452698</v>
          </cell>
          <cell r="R2428">
            <v>0.52436506403452698</v>
          </cell>
          <cell r="S2428" t="e">
            <v>#VALUE!</v>
          </cell>
          <cell r="T2428" t="e">
            <v>#VALUE!</v>
          </cell>
        </row>
        <row r="2429">
          <cell r="A2429" t="str">
            <v>G22813H8LX</v>
          </cell>
          <cell r="B2429" t="str">
            <v>MKP000631004650</v>
          </cell>
          <cell r="C2429" t="str">
            <v/>
          </cell>
          <cell r="D2429" t="str">
            <v>Balcão Madesa Lux 80 cm 2 Gavetas (Sem Tampo) Rustic/Branco Veludo</v>
          </cell>
          <cell r="E2429" t="str">
            <v>LUX</v>
          </cell>
          <cell r="F2429" t="str">
            <v>MODULAÇÃO</v>
          </cell>
          <cell r="G2429" t="str">
            <v/>
          </cell>
          <cell r="H2429">
            <v>1259.99</v>
          </cell>
          <cell r="I2429">
            <v>779.99</v>
          </cell>
          <cell r="J2429">
            <v>392.50900000000001</v>
          </cell>
          <cell r="K2429">
            <v>0</v>
          </cell>
          <cell r="L2429">
            <v>392.50900000000001</v>
          </cell>
          <cell r="M2429">
            <v>0</v>
          </cell>
          <cell r="N2429">
            <v>779.99</v>
          </cell>
          <cell r="O2429" t="str">
            <v>LOJA</v>
          </cell>
          <cell r="P2429">
            <v>769.99</v>
          </cell>
          <cell r="Q2429">
            <v>0.98719010264732798</v>
          </cell>
          <cell r="R2429">
            <v>0.98719010264732798</v>
          </cell>
          <cell r="S2429" t="e">
            <v>#VALUE!</v>
          </cell>
          <cell r="T2429" t="e">
            <v>#VALUE!</v>
          </cell>
        </row>
        <row r="2430">
          <cell r="A2430" t="str">
            <v>MDJA0601557GBE</v>
          </cell>
          <cell r="B2430" t="str">
            <v>MKP000631005884</v>
          </cell>
          <cell r="C2430" t="str">
            <v/>
          </cell>
          <cell r="D2430" t="str">
            <v>Conjunto Sala de Jantar Mesa Tampo de Madeira 6 Cadeiras Rustic/Bege Beverly Madesa</v>
          </cell>
          <cell r="E2430" t="str">
            <v>BEVERLY</v>
          </cell>
          <cell r="F2430" t="str">
            <v>SALA DE JANTAR</v>
          </cell>
          <cell r="G2430" t="str">
            <v>4280X</v>
          </cell>
          <cell r="H2430">
            <v>899.99</v>
          </cell>
          <cell r="I2430">
            <v>799.99</v>
          </cell>
          <cell r="J2430">
            <v>608.61239999999998</v>
          </cell>
          <cell r="K2430">
            <v>0</v>
          </cell>
          <cell r="L2430">
            <v>608.61239999999998</v>
          </cell>
          <cell r="M2430">
            <v>0</v>
          </cell>
          <cell r="N2430">
            <v>799.99</v>
          </cell>
          <cell r="O2430" t="str">
            <v/>
          </cell>
          <cell r="P2430">
            <v>0</v>
          </cell>
          <cell r="Q2430">
            <v>0.31444906479066098</v>
          </cell>
          <cell r="R2430">
            <v>0.31444906479066098</v>
          </cell>
          <cell r="S2430" t="e">
            <v>#VALUE!</v>
          </cell>
          <cell r="T2430" t="e">
            <v>#VALUE!</v>
          </cell>
        </row>
        <row r="2431">
          <cell r="A2431" t="str">
            <v>G278006SPR</v>
          </cell>
          <cell r="B2431" t="str">
            <v>MKP000631003273</v>
          </cell>
          <cell r="C2431" t="str">
            <v/>
          </cell>
          <cell r="D2431" t="str">
            <v>Tampo para Balcão de 80 x 60 cm para Cozinhas Madesa Glamy, Lux e Stella Mood</v>
          </cell>
          <cell r="E2431" t="str">
            <v>PR</v>
          </cell>
          <cell r="F2431" t="str">
            <v>MODULAÇÃO</v>
          </cell>
          <cell r="G2431" t="str">
            <v/>
          </cell>
          <cell r="H2431">
            <v>289.99</v>
          </cell>
          <cell r="I2431">
            <v>139.99</v>
          </cell>
          <cell r="J2431">
            <v>80.431100000000001</v>
          </cell>
          <cell r="K2431">
            <v>0</v>
          </cell>
          <cell r="L2431">
            <v>80.431100000000001</v>
          </cell>
          <cell r="M2431">
            <v>0</v>
          </cell>
          <cell r="N2431">
            <v>139.99</v>
          </cell>
          <cell r="O2431" t="str">
            <v/>
          </cell>
          <cell r="P2431">
            <v>0</v>
          </cell>
          <cell r="Q2431">
            <v>0.74049590270430199</v>
          </cell>
          <cell r="R2431">
            <v>0.74049590270430199</v>
          </cell>
          <cell r="S2431" t="e">
            <v>#VALUE!</v>
          </cell>
          <cell r="T2431" t="e">
            <v>#VALUE!</v>
          </cell>
        </row>
        <row r="2432">
          <cell r="A2432" t="str">
            <v>10185Z3E</v>
          </cell>
          <cell r="B2432" t="str">
            <v>MKP000631002258</v>
          </cell>
          <cell r="C2432" t="str">
            <v/>
          </cell>
          <cell r="D2432" t="str">
            <v>Guarda-Roupa Casal Madesa Kansas 3 Portas de Correr de Espelho 3 Gavetas Rustic</v>
          </cell>
          <cell r="E2432" t="str">
            <v>KANSAS</v>
          </cell>
          <cell r="F2432" t="str">
            <v>QUARTO</v>
          </cell>
          <cell r="G2432" t="str">
            <v/>
          </cell>
          <cell r="H2432">
            <v>2389.9899999999998</v>
          </cell>
          <cell r="I2432">
            <v>1849.99</v>
          </cell>
          <cell r="J2432">
            <v>1523.3404</v>
          </cell>
          <cell r="K2432">
            <v>0</v>
          </cell>
          <cell r="L2432">
            <v>1523.3404</v>
          </cell>
          <cell r="M2432">
            <v>0</v>
          </cell>
          <cell r="N2432">
            <v>1849.99</v>
          </cell>
          <cell r="O2432" t="str">
            <v/>
          </cell>
          <cell r="P2432">
            <v>0</v>
          </cell>
          <cell r="Q2432">
            <v>0.21442981489888899</v>
          </cell>
          <cell r="R2432">
            <v>0.21442981489888899</v>
          </cell>
          <cell r="S2432" t="e">
            <v>#VALUE!</v>
          </cell>
          <cell r="T2432" t="e">
            <v>#VALUE!</v>
          </cell>
        </row>
        <row r="2433">
          <cell r="A2433" t="str">
            <v>GRGL1500026E</v>
          </cell>
          <cell r="B2433" t="str">
            <v>MKP000631004249</v>
          </cell>
          <cell r="C2433" t="str">
            <v/>
          </cell>
          <cell r="D2433" t="str">
            <v>Armário de Cozinha Compacta 150cm Rustic/Branco Glamy Madesa 02</v>
          </cell>
          <cell r="E2433" t="str">
            <v>GLAMY</v>
          </cell>
          <cell r="F2433" t="str">
            <v>COZINHA</v>
          </cell>
          <cell r="G2433" t="str">
            <v/>
          </cell>
          <cell r="H2433">
            <v>1379.99</v>
          </cell>
          <cell r="I2433">
            <v>979.99</v>
          </cell>
          <cell r="J2433">
            <v>797.41129999999998</v>
          </cell>
          <cell r="K2433">
            <v>0</v>
          </cell>
          <cell r="L2433">
            <v>797.41129999999998</v>
          </cell>
          <cell r="M2433">
            <v>0</v>
          </cell>
          <cell r="N2433">
            <v>979.99</v>
          </cell>
          <cell r="O2433" t="str">
            <v/>
          </cell>
          <cell r="P2433">
            <v>0</v>
          </cell>
          <cell r="Q2433">
            <v>0.22896427477263001</v>
          </cell>
          <cell r="R2433">
            <v>0.22896427477263001</v>
          </cell>
          <cell r="S2433" t="e">
            <v>#VALUE!</v>
          </cell>
          <cell r="T2433" t="e">
            <v>#VALUE!</v>
          </cell>
        </row>
        <row r="2434">
          <cell r="A2434" t="str">
            <v>94236S</v>
          </cell>
          <cell r="B2434" t="str">
            <v>MKP000631005274</v>
          </cell>
          <cell r="C2434" t="str">
            <v/>
          </cell>
          <cell r="D2434" t="str">
            <v>Mesa de Escritório Industrial Cinza 120cm Mood Madesa</v>
          </cell>
          <cell r="E2434">
            <v>9423</v>
          </cell>
          <cell r="F2434" t="str">
            <v>ESCRITÓRIO</v>
          </cell>
          <cell r="G2434" t="str">
            <v/>
          </cell>
          <cell r="H2434">
            <v>539.99</v>
          </cell>
          <cell r="I2434">
            <v>399.99</v>
          </cell>
          <cell r="J2434">
            <v>320.20929999999998</v>
          </cell>
          <cell r="K2434">
            <v>0</v>
          </cell>
          <cell r="L2434">
            <v>320.20929999999998</v>
          </cell>
          <cell r="M2434">
            <v>0</v>
          </cell>
          <cell r="N2434">
            <v>399.99</v>
          </cell>
          <cell r="O2434" t="str">
            <v/>
          </cell>
          <cell r="P2434">
            <v>0</v>
          </cell>
          <cell r="Q2434">
            <v>0.24915172669875599</v>
          </cell>
          <cell r="R2434">
            <v>0.24915172669875599</v>
          </cell>
          <cell r="S2434" t="e">
            <v>#VALUE!</v>
          </cell>
          <cell r="T2434" t="e">
            <v>#VALUE!</v>
          </cell>
        </row>
        <row r="2435">
          <cell r="A2435" t="str">
            <v>GRGL2600036E</v>
          </cell>
          <cell r="B2435" t="str">
            <v>MKP000631005030</v>
          </cell>
          <cell r="C2435" t="str">
            <v/>
          </cell>
          <cell r="D2435" t="str">
            <v>Armário de Cozinha Completa 260cm Rustic/Branco Glamy Madesa 03</v>
          </cell>
          <cell r="E2435" t="str">
            <v>GLAMY</v>
          </cell>
          <cell r="F2435" t="str">
            <v>COZINHA</v>
          </cell>
          <cell r="G2435" t="str">
            <v/>
          </cell>
          <cell r="H2435">
            <v>1889.99</v>
          </cell>
          <cell r="I2435">
            <v>1799.99</v>
          </cell>
          <cell r="J2435">
            <v>1407.5279</v>
          </cell>
          <cell r="K2435">
            <v>0</v>
          </cell>
          <cell r="L2435">
            <v>1407.5279</v>
          </cell>
          <cell r="M2435">
            <v>0</v>
          </cell>
          <cell r="N2435">
            <v>1799.99</v>
          </cell>
          <cell r="O2435" t="str">
            <v/>
          </cell>
          <cell r="P2435">
            <v>0</v>
          </cell>
          <cell r="Q2435">
            <v>0.27883077841654202</v>
          </cell>
          <cell r="R2435">
            <v>0.27883077841654202</v>
          </cell>
          <cell r="S2435" t="e">
            <v>#VALUE!</v>
          </cell>
          <cell r="T2435" t="e">
            <v>#VALUE!</v>
          </cell>
        </row>
        <row r="2436">
          <cell r="A2436" t="str">
            <v>G2570209AG</v>
          </cell>
          <cell r="B2436" t="str">
            <v>MKP000631004700</v>
          </cell>
          <cell r="C2436" t="str">
            <v/>
          </cell>
          <cell r="D2436" t="str">
            <v>Armário Aéreo de Cozinha Madesa Agata 70 cm 1 Porta Basculante Branco</v>
          </cell>
          <cell r="E2436" t="str">
            <v>ÁGATA</v>
          </cell>
          <cell r="F2436" t="str">
            <v>MODULAÇÃO</v>
          </cell>
          <cell r="G2436" t="str">
            <v/>
          </cell>
          <cell r="H2436">
            <v>379.99</v>
          </cell>
          <cell r="I2436">
            <v>259.99</v>
          </cell>
          <cell r="J2436">
            <v>156.62209999999999</v>
          </cell>
          <cell r="K2436">
            <v>0</v>
          </cell>
          <cell r="L2436">
            <v>156.62209999999999</v>
          </cell>
          <cell r="M2436">
            <v>0</v>
          </cell>
          <cell r="N2436">
            <v>259.99</v>
          </cell>
          <cell r="O2436" t="str">
            <v/>
          </cell>
          <cell r="P2436">
            <v>0</v>
          </cell>
          <cell r="Q2436">
            <v>0.65998285044064597</v>
          </cell>
          <cell r="R2436">
            <v>0.65998285044064597</v>
          </cell>
          <cell r="S2436" t="e">
            <v>#VALUE!</v>
          </cell>
          <cell r="T2436" t="e">
            <v>#VALUE!</v>
          </cell>
        </row>
        <row r="2437">
          <cell r="A2437" t="str">
            <v>GCLX546001H7</v>
          </cell>
          <cell r="B2437" t="str">
            <v>MKP000631004677</v>
          </cell>
          <cell r="C2437" t="str">
            <v/>
          </cell>
          <cell r="D2437" t="str">
            <v>Armário de Cozinha Completa de Canto 546cm Branco/Branco Veludo Lux Madesa 01</v>
          </cell>
          <cell r="E2437" t="str">
            <v>LUX</v>
          </cell>
          <cell r="F2437" t="str">
            <v>COZINHA</v>
          </cell>
          <cell r="G2437" t="str">
            <v/>
          </cell>
          <cell r="H2437">
            <v>7269.99</v>
          </cell>
          <cell r="I2437">
            <v>7259.99</v>
          </cell>
          <cell r="J2437">
            <v>3804.0673000000002</v>
          </cell>
          <cell r="K2437">
            <v>0</v>
          </cell>
          <cell r="L2437">
            <v>3804.0673000000002</v>
          </cell>
          <cell r="M2437">
            <v>0</v>
          </cell>
          <cell r="N2437">
            <v>7259.99</v>
          </cell>
          <cell r="O2437" t="str">
            <v>LOJA</v>
          </cell>
          <cell r="P2437">
            <v>6379.99</v>
          </cell>
          <cell r="Q2437">
            <v>0.908480956685493</v>
          </cell>
          <cell r="R2437">
            <v>0.908480956685493</v>
          </cell>
          <cell r="S2437" t="e">
            <v>#VALUE!</v>
          </cell>
          <cell r="T2437" t="e">
            <v>#VALUE!</v>
          </cell>
        </row>
        <row r="2438">
          <cell r="A2438" t="str">
            <v>G23655H7LX</v>
          </cell>
          <cell r="B2438" t="str">
            <v>MKP000631004647</v>
          </cell>
          <cell r="C2438" t="str">
            <v/>
          </cell>
          <cell r="D2438" t="str">
            <v>Torre Quente Madesa Lux 60 cm 1 Porta 3 Gavetas Branco/Branco Veludo</v>
          </cell>
          <cell r="E2438" t="str">
            <v>LUX</v>
          </cell>
          <cell r="F2438" t="str">
            <v>MODULAÇÃO</v>
          </cell>
          <cell r="G2438" t="str">
            <v/>
          </cell>
          <cell r="H2438">
            <v>1749.99</v>
          </cell>
          <cell r="I2438">
            <v>1239.99</v>
          </cell>
          <cell r="J2438">
            <v>644.47339999999997</v>
          </cell>
          <cell r="K2438">
            <v>0</v>
          </cell>
          <cell r="L2438">
            <v>644.47339999999997</v>
          </cell>
          <cell r="M2438">
            <v>0</v>
          </cell>
          <cell r="N2438">
            <v>1239.99</v>
          </cell>
          <cell r="O2438" t="str">
            <v>LOJA</v>
          </cell>
          <cell r="P2438">
            <v>1229.99</v>
          </cell>
          <cell r="Q2438">
            <v>0.92403596486682005</v>
          </cell>
          <cell r="R2438">
            <v>0.92403596486682005</v>
          </cell>
          <cell r="S2438" t="e">
            <v>#VALUE!</v>
          </cell>
          <cell r="T2438" t="e">
            <v>#VALUE!</v>
          </cell>
        </row>
        <row r="2439">
          <cell r="A2439" t="str">
            <v>G22401H7LX</v>
          </cell>
          <cell r="B2439" t="str">
            <v>MKP000631004681</v>
          </cell>
          <cell r="C2439" t="str">
            <v/>
          </cell>
          <cell r="D2439" t="str">
            <v>Balcão Madesa Lux 40 cm 3 Gavetas (Sem Tampo) Branco/Branco Veludo</v>
          </cell>
          <cell r="E2439" t="str">
            <v>LUX</v>
          </cell>
          <cell r="F2439" t="str">
            <v>MODULAÇÃO</v>
          </cell>
          <cell r="G2439" t="str">
            <v/>
          </cell>
          <cell r="H2439">
            <v>839.99</v>
          </cell>
          <cell r="I2439">
            <v>689.99</v>
          </cell>
          <cell r="J2439">
            <v>353.95569999999998</v>
          </cell>
          <cell r="K2439">
            <v>0</v>
          </cell>
          <cell r="L2439">
            <v>353.95569999999998</v>
          </cell>
          <cell r="M2439">
            <v>0</v>
          </cell>
          <cell r="N2439">
            <v>689.99</v>
          </cell>
          <cell r="O2439" t="str">
            <v>LOJA</v>
          </cell>
          <cell r="P2439">
            <v>679.99</v>
          </cell>
          <cell r="Q2439">
            <v>0.94936824014982701</v>
          </cell>
          <cell r="R2439">
            <v>0.94936824014982701</v>
          </cell>
          <cell r="S2439" t="e">
            <v>#VALUE!</v>
          </cell>
          <cell r="T2439" t="e">
            <v>#VALUE!</v>
          </cell>
        </row>
        <row r="2440">
          <cell r="A2440" t="str">
            <v>GREA1800017G</v>
          </cell>
          <cell r="B2440" t="str">
            <v>MKP000631005584</v>
          </cell>
          <cell r="C2440" t="str">
            <v/>
          </cell>
          <cell r="D2440" t="str">
            <v>Armário de Cozinha Compacta 180cm Rustic/Crema Easy Madesa</v>
          </cell>
          <cell r="E2440" t="str">
            <v>EASY</v>
          </cell>
          <cell r="F2440" t="str">
            <v>COZINHA</v>
          </cell>
          <cell r="G2440" t="str">
            <v/>
          </cell>
          <cell r="H2440">
            <v>499.99</v>
          </cell>
          <cell r="I2440">
            <v>499.99</v>
          </cell>
          <cell r="J2440">
            <v>414.52699999999999</v>
          </cell>
          <cell r="K2440">
            <v>0</v>
          </cell>
          <cell r="L2440">
            <v>414.52699999999999</v>
          </cell>
          <cell r="M2440">
            <v>0</v>
          </cell>
          <cell r="N2440">
            <v>499.99</v>
          </cell>
          <cell r="O2440" t="str">
            <v/>
          </cell>
          <cell r="P2440">
            <v>0</v>
          </cell>
          <cell r="Q2440">
            <v>0.20616992379266</v>
          </cell>
          <cell r="R2440">
            <v>0.20616992379266</v>
          </cell>
          <cell r="S2440" t="e">
            <v>#VALUE!</v>
          </cell>
          <cell r="T2440" t="e">
            <v>#VALUE!</v>
          </cell>
        </row>
        <row r="2441">
          <cell r="A2441" t="str">
            <v>G24153F8AGCT</v>
          </cell>
          <cell r="B2441" t="str">
            <v>MKP000631004635</v>
          </cell>
          <cell r="C2441" t="str">
            <v/>
          </cell>
          <cell r="D2441" t="str">
            <v>Balcão de Pia Madesa Agata 150 cm 2 Portas e 2 Gavetas (Com Tampo) Branco/Cinza</v>
          </cell>
          <cell r="E2441" t="str">
            <v>ÁGATA</v>
          </cell>
          <cell r="F2441" t="str">
            <v>MODULAÇÃO</v>
          </cell>
          <cell r="G2441" t="str">
            <v/>
          </cell>
          <cell r="H2441">
            <v>1319.99</v>
          </cell>
          <cell r="I2441">
            <v>719.99</v>
          </cell>
          <cell r="J2441">
            <v>527.94150000000002</v>
          </cell>
          <cell r="K2441">
            <v>0</v>
          </cell>
          <cell r="L2441">
            <v>527.94150000000002</v>
          </cell>
          <cell r="M2441">
            <v>0</v>
          </cell>
          <cell r="N2441">
            <v>719.99</v>
          </cell>
          <cell r="O2441" t="str">
            <v/>
          </cell>
          <cell r="P2441">
            <v>0</v>
          </cell>
          <cell r="Q2441">
            <v>0.36376852359589101</v>
          </cell>
          <cell r="R2441">
            <v>0.36376852359589101</v>
          </cell>
          <cell r="S2441" t="e">
            <v>#VALUE!</v>
          </cell>
          <cell r="T2441" t="e">
            <v>#VALUE!</v>
          </cell>
        </row>
        <row r="2442">
          <cell r="A2442" t="str">
            <v>G258006EGL</v>
          </cell>
          <cell r="B2442" t="str">
            <v>MKP000631000553</v>
          </cell>
          <cell r="C2442" t="str">
            <v/>
          </cell>
          <cell r="D2442" t="str">
            <v>Armário Aéreo Madesa Glamy 80 cm 2 Portas Rustic/Branco</v>
          </cell>
          <cell r="E2442" t="str">
            <v>GLAMY</v>
          </cell>
          <cell r="F2442" t="str">
            <v>MODULAÇÃO</v>
          </cell>
          <cell r="G2442" t="str">
            <v/>
          </cell>
          <cell r="H2442">
            <v>719.99</v>
          </cell>
          <cell r="I2442">
            <v>429.99</v>
          </cell>
          <cell r="J2442">
            <v>259.75790000000001</v>
          </cell>
          <cell r="K2442">
            <v>0</v>
          </cell>
          <cell r="L2442">
            <v>259.75790000000001</v>
          </cell>
          <cell r="M2442">
            <v>0</v>
          </cell>
          <cell r="N2442">
            <v>429.99</v>
          </cell>
          <cell r="O2442" t="str">
            <v/>
          </cell>
          <cell r="P2442">
            <v>0</v>
          </cell>
          <cell r="Q2442">
            <v>0.65534907696743805</v>
          </cell>
          <cell r="R2442">
            <v>0.65534907696743805</v>
          </cell>
          <cell r="S2442" t="e">
            <v>#VALUE!</v>
          </cell>
          <cell r="T2442" t="e">
            <v>#VALUE!</v>
          </cell>
        </row>
        <row r="2443">
          <cell r="A2443" t="str">
            <v>GCAG39900273</v>
          </cell>
          <cell r="B2443" t="str">
            <v>MKP000631004533</v>
          </cell>
          <cell r="C2443" t="str">
            <v/>
          </cell>
          <cell r="D2443" t="str">
            <v>Armário de Cozinha Completa de Canto 399cm Branco Preto Agata Madesa 02</v>
          </cell>
          <cell r="E2443" t="str">
            <v>ÁGATA</v>
          </cell>
          <cell r="F2443" t="str">
            <v>COZINHA</v>
          </cell>
          <cell r="G2443" t="str">
            <v/>
          </cell>
          <cell r="H2443">
            <v>2599.9899999999998</v>
          </cell>
          <cell r="I2443">
            <v>2499.9899999999998</v>
          </cell>
          <cell r="J2443">
            <v>2030.0596</v>
          </cell>
          <cell r="K2443">
            <v>0</v>
          </cell>
          <cell r="L2443">
            <v>2030.0596</v>
          </cell>
          <cell r="M2443">
            <v>0</v>
          </cell>
          <cell r="N2443">
            <v>2499.9899999999998</v>
          </cell>
          <cell r="O2443" t="str">
            <v/>
          </cell>
          <cell r="P2443">
            <v>0</v>
          </cell>
          <cell r="Q2443">
            <v>0.23148601154369999</v>
          </cell>
          <cell r="R2443">
            <v>0.23148601154369999</v>
          </cell>
          <cell r="S2443" t="e">
            <v>#VALUE!</v>
          </cell>
          <cell r="T2443" t="e">
            <v>#VALUE!</v>
          </cell>
        </row>
        <row r="2444">
          <cell r="A2444" t="str">
            <v>GCGL45900109</v>
          </cell>
          <cell r="B2444" t="str">
            <v>MKP000631004379</v>
          </cell>
          <cell r="C2444" t="str">
            <v/>
          </cell>
          <cell r="D2444" t="str">
            <v>Armário de Cozinha Completa de Canto 459cm Branco Glamy Madesa 01</v>
          </cell>
          <cell r="E2444" t="str">
            <v>GLAMY</v>
          </cell>
          <cell r="F2444" t="str">
            <v>COZINHA</v>
          </cell>
          <cell r="G2444" t="str">
            <v/>
          </cell>
          <cell r="H2444">
            <v>3599.99</v>
          </cell>
          <cell r="I2444">
            <v>3499.99</v>
          </cell>
          <cell r="J2444">
            <v>2819.9825999999998</v>
          </cell>
          <cell r="K2444">
            <v>0</v>
          </cell>
          <cell r="L2444">
            <v>2819.9825999999998</v>
          </cell>
          <cell r="M2444">
            <v>0</v>
          </cell>
          <cell r="N2444">
            <v>3499.99</v>
          </cell>
          <cell r="O2444" t="str">
            <v/>
          </cell>
          <cell r="P2444">
            <v>0</v>
          </cell>
          <cell r="Q2444">
            <v>0.24113886376461999</v>
          </cell>
          <cell r="R2444">
            <v>0.24113886376461999</v>
          </cell>
          <cell r="S2444" t="e">
            <v>#VALUE!</v>
          </cell>
          <cell r="T2444" t="e">
            <v>#VALUE!</v>
          </cell>
        </row>
        <row r="2445">
          <cell r="A2445" t="str">
            <v>XA7003091-1E</v>
          </cell>
          <cell r="B2445" t="str">
            <v>MKP000631001544</v>
          </cell>
          <cell r="C2445" t="str">
            <v/>
          </cell>
          <cell r="D2445" t="str">
            <v>Rack com Painel para TV até 65 Polegadas Madesa Dublin 1 Porta com Espelho Branco</v>
          </cell>
          <cell r="E2445" t="str">
            <v>DUBLIN</v>
          </cell>
          <cell r="F2445" t="str">
            <v>SALA DE ESTAR</v>
          </cell>
          <cell r="G2445" t="str">
            <v/>
          </cell>
          <cell r="H2445">
            <v>979.99</v>
          </cell>
          <cell r="I2445">
            <v>529.99</v>
          </cell>
          <cell r="J2445">
            <v>397.53390000000002</v>
          </cell>
          <cell r="K2445">
            <v>0</v>
          </cell>
          <cell r="L2445">
            <v>397.53390000000002</v>
          </cell>
          <cell r="M2445">
            <v>0</v>
          </cell>
          <cell r="N2445">
            <v>529.99</v>
          </cell>
          <cell r="O2445" t="str">
            <v/>
          </cell>
          <cell r="P2445" t="e">
            <v>#VALUE!</v>
          </cell>
          <cell r="Q2445">
            <v>0.33319447725087098</v>
          </cell>
          <cell r="R2445">
            <v>0.33319447725087098</v>
          </cell>
          <cell r="S2445" t="e">
            <v>#VALUE!</v>
          </cell>
          <cell r="T2445" t="e">
            <v>#VALUE!</v>
          </cell>
        </row>
        <row r="2446">
          <cell r="A2446" t="str">
            <v>G244006EK</v>
          </cell>
          <cell r="B2446" t="str">
            <v>MKP000631000937</v>
          </cell>
          <cell r="C2446" t="str">
            <v/>
          </cell>
          <cell r="D2446" t="str">
            <v>Balcão Madesa Acordes 100% MDF 40 cm 1 Porta Branco/Rustic</v>
          </cell>
          <cell r="E2446" t="str">
            <v>ACORDES</v>
          </cell>
          <cell r="F2446" t="str">
            <v>MODULAÇÃO</v>
          </cell>
          <cell r="G2446" t="str">
            <v/>
          </cell>
          <cell r="H2446">
            <v>719.99</v>
          </cell>
          <cell r="I2446">
            <v>379.99</v>
          </cell>
          <cell r="J2446">
            <v>244.49789999999999</v>
          </cell>
          <cell r="K2446">
            <v>0</v>
          </cell>
          <cell r="L2446">
            <v>244.49789999999999</v>
          </cell>
          <cell r="M2446">
            <v>0</v>
          </cell>
          <cell r="N2446">
            <v>379.99</v>
          </cell>
          <cell r="O2446" t="str">
            <v/>
          </cell>
          <cell r="P2446">
            <v>0</v>
          </cell>
          <cell r="Q2446">
            <v>0.55416467789702895</v>
          </cell>
          <cell r="R2446">
            <v>0.55416467789702895</v>
          </cell>
          <cell r="S2446" t="e">
            <v>#VALUE!</v>
          </cell>
          <cell r="T2446" t="e">
            <v>#VALUE!</v>
          </cell>
        </row>
        <row r="2447">
          <cell r="A2447" t="str">
            <v>GRLX260008H8</v>
          </cell>
          <cell r="B2447" t="str">
            <v>MKP000631004855</v>
          </cell>
          <cell r="C2447" t="str">
            <v/>
          </cell>
          <cell r="D2447" t="str">
            <v>Armário de Cozinha Completa 260cm Rustic/Branco Veludo Lux Madesa 08</v>
          </cell>
          <cell r="E2447" t="str">
            <v>LUX</v>
          </cell>
          <cell r="F2447" t="str">
            <v>COZINHA</v>
          </cell>
          <cell r="G2447" t="str">
            <v/>
          </cell>
          <cell r="H2447">
            <v>3839.99</v>
          </cell>
          <cell r="I2447">
            <v>3739.99</v>
          </cell>
          <cell r="J2447">
            <v>2257.0956999999999</v>
          </cell>
          <cell r="K2447">
            <v>0</v>
          </cell>
          <cell r="L2447">
            <v>2257.0956999999999</v>
          </cell>
          <cell r="M2447">
            <v>0</v>
          </cell>
          <cell r="N2447">
            <v>3739.99</v>
          </cell>
          <cell r="O2447" t="str">
            <v>LOJA</v>
          </cell>
          <cell r="P2447">
            <v>3289.99</v>
          </cell>
          <cell r="Q2447">
            <v>0.65699221348921899</v>
          </cell>
          <cell r="R2447">
            <v>0.65699221348921899</v>
          </cell>
          <cell r="S2447" t="e">
            <v>#VALUE!</v>
          </cell>
          <cell r="T2447" t="e">
            <v>#VALUE!</v>
          </cell>
        </row>
        <row r="2448">
          <cell r="A2448" t="str">
            <v>G267556EGL</v>
          </cell>
          <cell r="B2448" t="str">
            <v>MKP000631000857</v>
          </cell>
          <cell r="C2448" t="str">
            <v/>
          </cell>
          <cell r="D2448" t="str">
            <v>Torre Quente Madesa Glamy 70 cm 3 Portas Rustic/Branco</v>
          </cell>
          <cell r="E2448" t="str">
            <v>GLAMY</v>
          </cell>
          <cell r="F2448" t="str">
            <v>MODULAÇÃO</v>
          </cell>
          <cell r="G2448" t="str">
            <v/>
          </cell>
          <cell r="H2448">
            <v>1279.99</v>
          </cell>
          <cell r="I2448">
            <v>869.99</v>
          </cell>
          <cell r="J2448">
            <v>535.41890000000001</v>
          </cell>
          <cell r="K2448">
            <v>0</v>
          </cell>
          <cell r="L2448">
            <v>535.41890000000001</v>
          </cell>
          <cell r="M2448">
            <v>0</v>
          </cell>
          <cell r="N2448">
            <v>869.99</v>
          </cell>
          <cell r="O2448" t="str">
            <v/>
          </cell>
          <cell r="P2448">
            <v>0</v>
          </cell>
          <cell r="Q2448">
            <v>0.62487726899442697</v>
          </cell>
          <cell r="R2448">
            <v>0.62487726899442697</v>
          </cell>
          <cell r="S2448" t="e">
            <v>#VALUE!</v>
          </cell>
          <cell r="T2448" t="e">
            <v>#VALUE!</v>
          </cell>
        </row>
        <row r="2449">
          <cell r="A2449" t="str">
            <v>G2575209TE</v>
          </cell>
          <cell r="B2449" t="str">
            <v>MKP000631001900</v>
          </cell>
          <cell r="C2449" t="str">
            <v/>
          </cell>
          <cell r="D2449" t="str">
            <v>Armário Aéreo de Canto Madesa Stella 1 Porta Branco</v>
          </cell>
          <cell r="E2449" t="str">
            <v>STELLA</v>
          </cell>
          <cell r="F2449" t="str">
            <v>MODULAÇÃO</v>
          </cell>
          <cell r="G2449" t="str">
            <v/>
          </cell>
          <cell r="H2449">
            <v>739.99</v>
          </cell>
          <cell r="I2449">
            <v>419.99</v>
          </cell>
          <cell r="J2449">
            <v>236.3338</v>
          </cell>
          <cell r="K2449">
            <v>0</v>
          </cell>
          <cell r="L2449">
            <v>236.3338</v>
          </cell>
          <cell r="M2449">
            <v>0</v>
          </cell>
          <cell r="N2449">
            <v>419.99</v>
          </cell>
          <cell r="O2449" t="str">
            <v/>
          </cell>
          <cell r="P2449">
            <v>0</v>
          </cell>
          <cell r="Q2449">
            <v>0.77710509457386101</v>
          </cell>
          <cell r="R2449">
            <v>0.77710509457386101</v>
          </cell>
          <cell r="S2449" t="e">
            <v>#VALUE!</v>
          </cell>
          <cell r="T2449" t="e">
            <v>#VALUE!</v>
          </cell>
        </row>
        <row r="2450">
          <cell r="A2450" t="str">
            <v>G236557KLX</v>
          </cell>
          <cell r="B2450" t="str">
            <v>MKP000631002809</v>
          </cell>
          <cell r="C2450" t="str">
            <v/>
          </cell>
          <cell r="D2450" t="str">
            <v>Torre Quente Madesa Lux 60 cm 1 Porta 3 Gavetas Rustic/Preto</v>
          </cell>
          <cell r="E2450" t="str">
            <v>LUX</v>
          </cell>
          <cell r="F2450" t="str">
            <v>MODULAÇÃO</v>
          </cell>
          <cell r="G2450" t="str">
            <v/>
          </cell>
          <cell r="H2450">
            <v>2139.9899999999998</v>
          </cell>
          <cell r="I2450">
            <v>1589.99</v>
          </cell>
          <cell r="J2450">
            <v>860.46780000000001</v>
          </cell>
          <cell r="K2450">
            <v>0</v>
          </cell>
          <cell r="L2450">
            <v>860.46780000000001</v>
          </cell>
          <cell r="M2450">
            <v>0</v>
          </cell>
          <cell r="N2450">
            <v>1589.99</v>
          </cell>
          <cell r="O2450" t="str">
            <v>LOJA</v>
          </cell>
          <cell r="P2450">
            <v>1579.99</v>
          </cell>
          <cell r="Q2450">
            <v>0.84782045301404696</v>
          </cell>
          <cell r="R2450">
            <v>0.84782045301404696</v>
          </cell>
          <cell r="S2450" t="e">
            <v>#VALUE!</v>
          </cell>
          <cell r="T2450" t="e">
            <v>#VALUE!</v>
          </cell>
        </row>
        <row r="2451">
          <cell r="A2451" t="str">
            <v>G2412309GLCT</v>
          </cell>
          <cell r="B2451" t="str">
            <v>MKP000631003008</v>
          </cell>
          <cell r="C2451" t="str">
            <v/>
          </cell>
          <cell r="D2451" t="str">
            <v>Balcão de Pia Madesa Glamy 120 cm 1 Porta e 2 Gavetas (Com Tampo) Branco</v>
          </cell>
          <cell r="E2451" t="str">
            <v>GLAMY</v>
          </cell>
          <cell r="F2451" t="str">
            <v>MODULAÇÃO</v>
          </cell>
          <cell r="G2451" t="str">
            <v/>
          </cell>
          <cell r="H2451">
            <v>1279.99</v>
          </cell>
          <cell r="I2451">
            <v>699.99</v>
          </cell>
          <cell r="J2451">
            <v>538.29650000000004</v>
          </cell>
          <cell r="K2451">
            <v>0</v>
          </cell>
          <cell r="L2451">
            <v>538.29650000000004</v>
          </cell>
          <cell r="M2451">
            <v>0</v>
          </cell>
          <cell r="N2451">
            <v>699.99</v>
          </cell>
          <cell r="O2451" t="str">
            <v/>
          </cell>
          <cell r="P2451">
            <v>0</v>
          </cell>
          <cell r="Q2451">
            <v>0.30037999503990798</v>
          </cell>
          <cell r="R2451">
            <v>0.30037999503990798</v>
          </cell>
          <cell r="S2451" t="e">
            <v>#VALUE!</v>
          </cell>
          <cell r="T2451" t="e">
            <v>#VALUE!</v>
          </cell>
        </row>
        <row r="2452">
          <cell r="A2452" t="str">
            <v>GRGL1200026E</v>
          </cell>
          <cell r="B2452" t="str">
            <v>MKP000631004260</v>
          </cell>
          <cell r="C2452" t="str">
            <v/>
          </cell>
          <cell r="D2452" t="str">
            <v>Armário de Cozinha Compacta 120cm Rustic/Branco Glamy Madesa 02</v>
          </cell>
          <cell r="E2452" t="str">
            <v>GLAMY</v>
          </cell>
          <cell r="F2452" t="str">
            <v>COZINHA</v>
          </cell>
          <cell r="G2452" t="str">
            <v/>
          </cell>
          <cell r="H2452">
            <v>1099.99</v>
          </cell>
          <cell r="I2452">
            <v>999.99</v>
          </cell>
          <cell r="J2452">
            <v>849.92750000000001</v>
          </cell>
          <cell r="K2452">
            <v>0</v>
          </cell>
          <cell r="L2452">
            <v>849.92750000000001</v>
          </cell>
          <cell r="M2452">
            <v>0</v>
          </cell>
          <cell r="N2452">
            <v>999.99</v>
          </cell>
          <cell r="O2452" t="str">
            <v/>
          </cell>
          <cell r="P2452">
            <v>0</v>
          </cell>
          <cell r="Q2452">
            <v>0.17655917710628299</v>
          </cell>
          <cell r="R2452">
            <v>0.17655917710628299</v>
          </cell>
          <cell r="S2452" t="e">
            <v>#VALUE!</v>
          </cell>
          <cell r="T2452" t="e">
            <v>#VALUE!</v>
          </cell>
        </row>
        <row r="2453">
          <cell r="A2453" t="str">
            <v>GCGL349001A7</v>
          </cell>
          <cell r="B2453" t="str">
            <v>MKP000631004498</v>
          </cell>
          <cell r="C2453" t="str">
            <v/>
          </cell>
          <cell r="D2453" t="str">
            <v>Armário de Cozinha Completa de Canto 349cm Rustic/Branco/Crema Glamy Madesa 01</v>
          </cell>
          <cell r="E2453" t="str">
            <v>GLAMY</v>
          </cell>
          <cell r="F2453" t="str">
            <v>COZINHA</v>
          </cell>
          <cell r="G2453" t="str">
            <v/>
          </cell>
          <cell r="H2453">
            <v>2639.99</v>
          </cell>
          <cell r="I2453">
            <v>2539.9899999999998</v>
          </cell>
          <cell r="J2453">
            <v>2079.7745</v>
          </cell>
          <cell r="K2453">
            <v>0</v>
          </cell>
          <cell r="L2453">
            <v>2079.7745</v>
          </cell>
          <cell r="M2453">
            <v>0</v>
          </cell>
          <cell r="N2453">
            <v>2539.9899999999998</v>
          </cell>
          <cell r="O2453" t="str">
            <v/>
          </cell>
          <cell r="P2453">
            <v>0</v>
          </cell>
          <cell r="Q2453">
            <v>0.22128144181015799</v>
          </cell>
          <cell r="R2453">
            <v>0.22128144181015799</v>
          </cell>
          <cell r="S2453" t="e">
            <v>#VALUE!</v>
          </cell>
          <cell r="T2453" t="e">
            <v>#VALUE!</v>
          </cell>
        </row>
        <row r="2454">
          <cell r="A2454" t="str">
            <v>MDJA0401496ESL</v>
          </cell>
          <cell r="B2454" t="str">
            <v>MKP000631005303</v>
          </cell>
          <cell r="C2454" t="str">
            <v/>
          </cell>
          <cell r="D2454" t="str">
            <v>Conjunto Sala de Jantar Mesa Tampo de Madeira 4 Cadeiras Rustic/Branco/Silver Ashley Madesa</v>
          </cell>
          <cell r="E2454" t="str">
            <v>ASHLEY</v>
          </cell>
          <cell r="F2454" t="str">
            <v>SALA DE JANTAR</v>
          </cell>
          <cell r="G2454">
            <v>4256</v>
          </cell>
          <cell r="H2454">
            <v>1279.99</v>
          </cell>
          <cell r="I2454">
            <v>1169.99</v>
          </cell>
          <cell r="J2454">
            <v>910.24810000000002</v>
          </cell>
          <cell r="K2454">
            <v>0</v>
          </cell>
          <cell r="L2454">
            <v>910.24810000000002</v>
          </cell>
          <cell r="M2454">
            <v>0</v>
          </cell>
          <cell r="N2454">
            <v>1169.99</v>
          </cell>
          <cell r="O2454" t="str">
            <v/>
          </cell>
          <cell r="P2454">
            <v>0</v>
          </cell>
          <cell r="Q2454">
            <v>0.28535286148908201</v>
          </cell>
          <cell r="R2454">
            <v>0.28535286148908201</v>
          </cell>
          <cell r="S2454" t="e">
            <v>#VALUE!</v>
          </cell>
          <cell r="T2454" t="e">
            <v>#VALUE!</v>
          </cell>
        </row>
        <row r="2455">
          <cell r="A2455" t="str">
            <v>1093092E4GCP</v>
          </cell>
          <cell r="B2455" t="str">
            <v>MKP000631001866</v>
          </cell>
          <cell r="C2455" t="str">
            <v/>
          </cell>
          <cell r="D2455" t="str">
            <v>Guarda-Roupa Casal Madesa Lyon Plus 3 Portas de Correr com Espelhos 4 Gavetas com Pés Branco</v>
          </cell>
          <cell r="E2455" t="str">
            <v>LYON PLUS</v>
          </cell>
          <cell r="F2455" t="str">
            <v>QUARTO</v>
          </cell>
          <cell r="G2455" t="str">
            <v/>
          </cell>
          <cell r="H2455">
            <v>1689.99</v>
          </cell>
          <cell r="I2455">
            <v>1369.99</v>
          </cell>
          <cell r="J2455">
            <v>1104.3661999999999</v>
          </cell>
          <cell r="K2455">
            <v>0</v>
          </cell>
          <cell r="L2455">
            <v>1104.3661999999999</v>
          </cell>
          <cell r="M2455">
            <v>0</v>
          </cell>
          <cell r="N2455">
            <v>1369.99</v>
          </cell>
          <cell r="O2455" t="str">
            <v/>
          </cell>
          <cell r="P2455">
            <v>0</v>
          </cell>
          <cell r="Q2455">
            <v>0.240521486441726</v>
          </cell>
          <cell r="R2455">
            <v>0.240521486441726</v>
          </cell>
          <cell r="S2455" t="e">
            <v>#VALUE!</v>
          </cell>
          <cell r="T2455" t="e">
            <v>#VALUE!</v>
          </cell>
        </row>
        <row r="2456">
          <cell r="A2456" t="str">
            <v>XA1063092ECP</v>
          </cell>
          <cell r="B2456" t="str">
            <v>MKP000631001470</v>
          </cell>
          <cell r="C2456" t="str">
            <v/>
          </cell>
          <cell r="D2456" t="str">
            <v>Guarda-Roupa Infantil Madesa Logan 100% MDF 3 Portas de Correr com Espelhos com Pés Branco</v>
          </cell>
          <cell r="E2456" t="str">
            <v>LOGAN</v>
          </cell>
          <cell r="F2456" t="str">
            <v>QUARTO</v>
          </cell>
          <cell r="G2456" t="str">
            <v/>
          </cell>
          <cell r="H2456">
            <v>3349.99</v>
          </cell>
          <cell r="I2456">
            <v>2559.9899999999998</v>
          </cell>
          <cell r="J2456">
            <v>2080.0578999999998</v>
          </cell>
          <cell r="K2456">
            <v>0</v>
          </cell>
          <cell r="L2456">
            <v>2080.0578999999998</v>
          </cell>
          <cell r="M2456">
            <v>0</v>
          </cell>
          <cell r="N2456">
            <v>2559.9899999999998</v>
          </cell>
          <cell r="O2456" t="str">
            <v/>
          </cell>
          <cell r="P2456">
            <v>0</v>
          </cell>
          <cell r="Q2456">
            <v>0.23073016380938199</v>
          </cell>
          <cell r="R2456">
            <v>0.23073016380938199</v>
          </cell>
          <cell r="S2456" t="e">
            <v>#VALUE!</v>
          </cell>
          <cell r="T2456" t="e">
            <v>#VALUE!</v>
          </cell>
        </row>
        <row r="2457">
          <cell r="A2457" t="str">
            <v>GRAG270004F8</v>
          </cell>
          <cell r="B2457" t="str">
            <v>MKP000631004558</v>
          </cell>
          <cell r="C2457" t="str">
            <v/>
          </cell>
          <cell r="D2457" t="str">
            <v>Armário de Cozinha Completa 270cm Branco Cinza Agata Madesa 04</v>
          </cell>
          <cell r="E2457" t="str">
            <v>ÁGATA</v>
          </cell>
          <cell r="F2457" t="str">
            <v>COZINHA</v>
          </cell>
          <cell r="G2457" t="str">
            <v/>
          </cell>
          <cell r="H2457">
            <v>1799.99</v>
          </cell>
          <cell r="I2457">
            <v>1699.99</v>
          </cell>
          <cell r="J2457">
            <v>1370.0536999999999</v>
          </cell>
          <cell r="K2457">
            <v>0</v>
          </cell>
          <cell r="L2457">
            <v>1370.0536999999999</v>
          </cell>
          <cell r="M2457">
            <v>0</v>
          </cell>
          <cell r="N2457">
            <v>1699.99</v>
          </cell>
          <cell r="O2457" t="str">
            <v/>
          </cell>
          <cell r="P2457">
            <v>0</v>
          </cell>
          <cell r="Q2457">
            <v>0.24081997661843499</v>
          </cell>
          <cell r="R2457">
            <v>0.24081997661843499</v>
          </cell>
          <cell r="S2457" t="e">
            <v>#VALUE!</v>
          </cell>
          <cell r="T2457" t="e">
            <v>#VALUE!</v>
          </cell>
        </row>
        <row r="2458">
          <cell r="A2458" t="str">
            <v>GRGL18000909</v>
          </cell>
          <cell r="B2458" t="str">
            <v>MKP000631005230</v>
          </cell>
          <cell r="C2458" t="str">
            <v/>
          </cell>
          <cell r="D2458" t="str">
            <v>Armário de Cozinha Compacta 180cm Branco Glamy Madesa 09</v>
          </cell>
          <cell r="E2458" t="str">
            <v>GLAMY</v>
          </cell>
          <cell r="F2458" t="str">
            <v>COZINHA</v>
          </cell>
          <cell r="G2458" t="str">
            <v/>
          </cell>
          <cell r="H2458">
            <v>1399.99</v>
          </cell>
          <cell r="I2458">
            <v>1299.99</v>
          </cell>
          <cell r="J2458">
            <v>1045.0156999999999</v>
          </cell>
          <cell r="K2458">
            <v>0</v>
          </cell>
          <cell r="L2458">
            <v>1045.0156999999999</v>
          </cell>
          <cell r="M2458">
            <v>0</v>
          </cell>
          <cell r="N2458">
            <v>1299.99</v>
          </cell>
          <cell r="O2458" t="str">
            <v/>
          </cell>
          <cell r="P2458">
            <v>0</v>
          </cell>
          <cell r="Q2458">
            <v>0.24399087975424699</v>
          </cell>
          <cell r="R2458">
            <v>0.24399087975424699</v>
          </cell>
          <cell r="S2458" t="e">
            <v>#VALUE!</v>
          </cell>
          <cell r="T2458" t="e">
            <v>#VALUE!</v>
          </cell>
        </row>
        <row r="2459">
          <cell r="A2459" t="str">
            <v>10445ZA-2E</v>
          </cell>
          <cell r="B2459" t="str">
            <v>MKP000631000136</v>
          </cell>
          <cell r="C2459" t="str">
            <v/>
          </cell>
          <cell r="D2459" t="str">
            <v>Guarda-Roupa Solteiro Madesa Luke 2 Portas de Correr de Espelho Rustic</v>
          </cell>
          <cell r="E2459" t="str">
            <v>LUKE</v>
          </cell>
          <cell r="F2459" t="str">
            <v>QUARTO</v>
          </cell>
          <cell r="G2459" t="str">
            <v/>
          </cell>
          <cell r="H2459">
            <v>1699.99</v>
          </cell>
          <cell r="I2459">
            <v>1069.99</v>
          </cell>
          <cell r="J2459">
            <v>845.73099999999999</v>
          </cell>
          <cell r="K2459">
            <v>0</v>
          </cell>
          <cell r="L2459">
            <v>845.73099999999999</v>
          </cell>
          <cell r="M2459">
            <v>0</v>
          </cell>
          <cell r="N2459">
            <v>1069.99</v>
          </cell>
          <cell r="O2459" t="str">
            <v/>
          </cell>
          <cell r="P2459" t="e">
            <v>#VALUE!</v>
          </cell>
          <cell r="Q2459">
            <v>0.26516587425552601</v>
          </cell>
          <cell r="R2459">
            <v>0.26516587425552601</v>
          </cell>
          <cell r="S2459" t="e">
            <v>#VALUE!</v>
          </cell>
          <cell r="T2459" t="e">
            <v>#VALUE!</v>
          </cell>
        </row>
        <row r="2460">
          <cell r="A2460" t="str">
            <v>1094734G</v>
          </cell>
          <cell r="B2460" t="str">
            <v>MKP000631002022</v>
          </cell>
          <cell r="C2460" t="str">
            <v/>
          </cell>
          <cell r="D2460" t="str">
            <v>Guarda-Roupa Solteiro Madesa Dallas Plus 2 Portas de Correr 4 Gavetas Branco/Preto</v>
          </cell>
          <cell r="E2460" t="str">
            <v>DALLAS PLUS</v>
          </cell>
          <cell r="F2460" t="str">
            <v>QUARTO</v>
          </cell>
          <cell r="G2460" t="str">
            <v/>
          </cell>
          <cell r="H2460">
            <v>1069.99</v>
          </cell>
          <cell r="I2460">
            <v>829.99</v>
          </cell>
          <cell r="J2460">
            <v>652.58299999999997</v>
          </cell>
          <cell r="K2460">
            <v>0</v>
          </cell>
          <cell r="L2460">
            <v>652.58299999999997</v>
          </cell>
          <cell r="M2460">
            <v>0</v>
          </cell>
          <cell r="N2460">
            <v>829.99</v>
          </cell>
          <cell r="O2460" t="str">
            <v/>
          </cell>
          <cell r="P2460">
            <v>0</v>
          </cell>
          <cell r="Q2460">
            <v>0.27185354200155398</v>
          </cell>
          <cell r="R2460">
            <v>0.27185354200155398</v>
          </cell>
          <cell r="S2460" t="e">
            <v>#VALUE!</v>
          </cell>
          <cell r="T2460" t="e">
            <v>#VALUE!</v>
          </cell>
        </row>
        <row r="2461">
          <cell r="A2461" t="str">
            <v>G241235ZGLCT</v>
          </cell>
          <cell r="B2461" t="str">
            <v>MKP000631003012</v>
          </cell>
          <cell r="C2461" t="str">
            <v/>
          </cell>
          <cell r="D2461" t="str">
            <v>Balcão de Pia Madesa Glamy 120 cm 1 Porta e 2 Gavetas (Com Tampo) Rustic</v>
          </cell>
          <cell r="E2461" t="str">
            <v>GLAMY</v>
          </cell>
          <cell r="F2461" t="str">
            <v>MODULAÇÃO</v>
          </cell>
          <cell r="G2461" t="str">
            <v/>
          </cell>
          <cell r="H2461">
            <v>1279.99</v>
          </cell>
          <cell r="I2461">
            <v>699.99</v>
          </cell>
          <cell r="J2461">
            <v>538.29650000000004</v>
          </cell>
          <cell r="K2461">
            <v>0</v>
          </cell>
          <cell r="L2461">
            <v>538.29650000000004</v>
          </cell>
          <cell r="M2461">
            <v>0</v>
          </cell>
          <cell r="N2461">
            <v>699.99</v>
          </cell>
          <cell r="O2461" t="str">
            <v/>
          </cell>
          <cell r="P2461">
            <v>0</v>
          </cell>
          <cell r="Q2461">
            <v>0.30037999503990798</v>
          </cell>
          <cell r="R2461">
            <v>0.30037999503990798</v>
          </cell>
          <cell r="S2461" t="e">
            <v>#VALUE!</v>
          </cell>
          <cell r="T2461" t="e">
            <v>#VALUE!</v>
          </cell>
        </row>
        <row r="2462">
          <cell r="A2462" t="str">
            <v>G257029NLX</v>
          </cell>
          <cell r="B2462" t="str">
            <v>MKP000631005443</v>
          </cell>
          <cell r="C2462" t="str">
            <v/>
          </cell>
          <cell r="D2462" t="str">
            <v>Armário Aéreo 70 cm 1 Porta Rustic/Cinza Lux Madesa</v>
          </cell>
          <cell r="E2462" t="str">
            <v>LUX</v>
          </cell>
          <cell r="F2462" t="str">
            <v>MODULAÇÃO</v>
          </cell>
          <cell r="G2462" t="str">
            <v/>
          </cell>
          <cell r="H2462">
            <v>489.99</v>
          </cell>
          <cell r="I2462">
            <v>389.99</v>
          </cell>
          <cell r="J2462">
            <v>239.6147</v>
          </cell>
          <cell r="K2462">
            <v>0</v>
          </cell>
          <cell r="L2462">
            <v>239.6147</v>
          </cell>
          <cell r="M2462">
            <v>0</v>
          </cell>
          <cell r="N2462">
            <v>389.99</v>
          </cell>
          <cell r="O2462" t="str">
            <v>LOJA</v>
          </cell>
          <cell r="P2462">
            <v>379.99</v>
          </cell>
          <cell r="Q2462">
            <v>0.62757126336572799</v>
          </cell>
          <cell r="R2462">
            <v>0.62757126336572799</v>
          </cell>
          <cell r="S2462" t="e">
            <v>#VALUE!</v>
          </cell>
          <cell r="T2462" t="e">
            <v>#VALUE!</v>
          </cell>
        </row>
        <row r="2463">
          <cell r="A2463" t="str">
            <v>GCLX54600373</v>
          </cell>
          <cell r="B2463" t="str">
            <v>MKP000631003391</v>
          </cell>
          <cell r="C2463" t="str">
            <v/>
          </cell>
          <cell r="D2463" t="str">
            <v>Armário de Cozinha Completa de Canto 546cm Branco/Preto Lux Madesa 03</v>
          </cell>
          <cell r="E2463" t="str">
            <v>LUX</v>
          </cell>
          <cell r="F2463" t="str">
            <v>COZINHA</v>
          </cell>
          <cell r="G2463" t="str">
            <v/>
          </cell>
          <cell r="H2463">
            <v>9049.99</v>
          </cell>
          <cell r="I2463">
            <v>8949.99</v>
          </cell>
          <cell r="J2463">
            <v>5132.9625999999998</v>
          </cell>
          <cell r="K2463">
            <v>0</v>
          </cell>
          <cell r="L2463">
            <v>5132.9625999999998</v>
          </cell>
          <cell r="M2463">
            <v>0</v>
          </cell>
          <cell r="N2463">
            <v>8949.99</v>
          </cell>
          <cell r="O2463" t="str">
            <v>LOJA</v>
          </cell>
          <cell r="P2463">
            <v>7869.99</v>
          </cell>
          <cell r="Q2463">
            <v>0.74363047180589203</v>
          </cell>
          <cell r="R2463">
            <v>0.74363047180589203</v>
          </cell>
          <cell r="S2463" t="e">
            <v>#VALUE!</v>
          </cell>
          <cell r="T2463" t="e">
            <v>#VALUE!</v>
          </cell>
        </row>
        <row r="2464">
          <cell r="A2464" t="str">
            <v>GRLX240002H7</v>
          </cell>
          <cell r="B2464" t="str">
            <v>MKP000631003749</v>
          </cell>
          <cell r="C2464" t="str">
            <v/>
          </cell>
          <cell r="D2464" t="str">
            <v>Armário de Cozinha Completa 240cm Branco Branco Veludo Lux Madesa 02</v>
          </cell>
          <cell r="E2464" t="str">
            <v>LUX</v>
          </cell>
          <cell r="F2464" t="str">
            <v>COZINHA</v>
          </cell>
          <cell r="G2464" t="str">
            <v/>
          </cell>
          <cell r="H2464">
            <v>3819.99</v>
          </cell>
          <cell r="I2464">
            <v>3729.99</v>
          </cell>
          <cell r="J2464">
            <v>1994.7872</v>
          </cell>
          <cell r="K2464">
            <v>0</v>
          </cell>
          <cell r="L2464">
            <v>1994.7872</v>
          </cell>
          <cell r="M2464">
            <v>0</v>
          </cell>
          <cell r="N2464">
            <v>3729.99</v>
          </cell>
          <cell r="O2464" t="str">
            <v>LOJA</v>
          </cell>
          <cell r="P2464">
            <v>3279.99</v>
          </cell>
          <cell r="Q2464">
            <v>0.86986862558572697</v>
          </cell>
          <cell r="R2464">
            <v>0.86986862558572697</v>
          </cell>
          <cell r="S2464" t="e">
            <v>#VALUE!</v>
          </cell>
          <cell r="T2464" t="e">
            <v>#VALUE!</v>
          </cell>
        </row>
        <row r="2465">
          <cell r="A2465" t="str">
            <v>XAMDFC0200028N</v>
          </cell>
          <cell r="B2465" t="str">
            <v>MKP000631003386</v>
          </cell>
          <cell r="C2465" t="str">
            <v/>
          </cell>
          <cell r="D2465" t="str">
            <v>Mesa para Computador Gamer e Painel TV Madesa Preto</v>
          </cell>
          <cell r="E2465" t="str">
            <v>GAMER</v>
          </cell>
          <cell r="F2465" t="str">
            <v>ESCRITÓRIO</v>
          </cell>
          <cell r="G2465" t="str">
            <v/>
          </cell>
          <cell r="H2465">
            <v>859.99</v>
          </cell>
          <cell r="I2465">
            <v>589.99</v>
          </cell>
          <cell r="J2465">
            <v>434.67020000000002</v>
          </cell>
          <cell r="K2465">
            <v>0</v>
          </cell>
          <cell r="L2465">
            <v>434.67020000000002</v>
          </cell>
          <cell r="M2465">
            <v>0</v>
          </cell>
          <cell r="N2465">
            <v>589.99</v>
          </cell>
          <cell r="O2465" t="str">
            <v/>
          </cell>
          <cell r="P2465">
            <v>0</v>
          </cell>
          <cell r="Q2465">
            <v>0.35732792356135801</v>
          </cell>
          <cell r="R2465">
            <v>0.35732792356135801</v>
          </cell>
          <cell r="S2465" t="e">
            <v>#VALUE!</v>
          </cell>
          <cell r="T2465" t="e">
            <v>#VALUE!</v>
          </cell>
        </row>
        <row r="2466">
          <cell r="A2466" t="str">
            <v>1018772E</v>
          </cell>
          <cell r="B2466" t="str">
            <v>MKP000631002381</v>
          </cell>
          <cell r="C2466" t="str">
            <v/>
          </cell>
          <cell r="D2466" t="str">
            <v>Guarda-Roupa Casal Madesa Kansas 3 Portas de Correr com Espelhos 3 Gavetas Preto/Branco</v>
          </cell>
          <cell r="E2466" t="str">
            <v>KANSAS</v>
          </cell>
          <cell r="F2466" t="str">
            <v>QUARTO</v>
          </cell>
          <cell r="G2466" t="str">
            <v/>
          </cell>
          <cell r="H2466">
            <v>2009.99</v>
          </cell>
          <cell r="I2466">
            <v>1689.99</v>
          </cell>
          <cell r="J2466">
            <v>1403.7782999999999</v>
          </cell>
          <cell r="K2466">
            <v>0</v>
          </cell>
          <cell r="L2466">
            <v>1403.7782999999999</v>
          </cell>
          <cell r="M2466">
            <v>0</v>
          </cell>
          <cell r="N2466">
            <v>1689.99</v>
          </cell>
          <cell r="O2466" t="str">
            <v/>
          </cell>
          <cell r="P2466">
            <v>0</v>
          </cell>
          <cell r="Q2466">
            <v>0.20388668210642699</v>
          </cell>
          <cell r="R2466">
            <v>0.20388668210642699</v>
          </cell>
          <cell r="S2466" t="e">
            <v>#VALUE!</v>
          </cell>
          <cell r="T2466" t="e">
            <v>#VALUE!</v>
          </cell>
        </row>
        <row r="2467">
          <cell r="A2467" t="str">
            <v>MDJA0401567GBE</v>
          </cell>
          <cell r="B2467" t="str">
            <v>MKP000631005342</v>
          </cell>
          <cell r="C2467" t="str">
            <v/>
          </cell>
          <cell r="D2467" t="str">
            <v>Conjunto Sala de Jantar Mesa Tampo de Vidro 4 Cadeiras Crema/Rustic/Bege Greta Madesa</v>
          </cell>
          <cell r="E2467" t="str">
            <v>GRETA</v>
          </cell>
          <cell r="F2467" t="str">
            <v>SALA DE JANTAR</v>
          </cell>
          <cell r="G2467">
            <v>4280</v>
          </cell>
          <cell r="H2467">
            <v>1099.99</v>
          </cell>
          <cell r="I2467">
            <v>999.99</v>
          </cell>
          <cell r="J2467">
            <v>798.01080000000002</v>
          </cell>
          <cell r="K2467">
            <v>0</v>
          </cell>
          <cell r="L2467">
            <v>798.01080000000002</v>
          </cell>
          <cell r="M2467">
            <v>0</v>
          </cell>
          <cell r="N2467">
            <v>999.99</v>
          </cell>
          <cell r="O2467" t="str">
            <v/>
          </cell>
          <cell r="P2467">
            <v>0</v>
          </cell>
          <cell r="Q2467">
            <v>0.25310334145853702</v>
          </cell>
          <cell r="R2467">
            <v>0.25310334145853702</v>
          </cell>
          <cell r="S2467" t="e">
            <v>#VALUE!</v>
          </cell>
          <cell r="T2467" t="e">
            <v>#VALUE!</v>
          </cell>
        </row>
        <row r="2468">
          <cell r="A2468" t="str">
            <v>11185Z1E</v>
          </cell>
          <cell r="B2468" t="str">
            <v>MKP000631002670</v>
          </cell>
          <cell r="C2468" t="str">
            <v/>
          </cell>
          <cell r="D2468" t="str">
            <v>Guarda-Roupa Casal Madesa Istambul 3 Portas de Correr com Espelho 3 Gavetas Rustic</v>
          </cell>
          <cell r="E2468" t="str">
            <v>ISTAMBUL</v>
          </cell>
          <cell r="F2468" t="str">
            <v>QUARTO</v>
          </cell>
          <cell r="G2468" t="str">
            <v/>
          </cell>
          <cell r="H2468">
            <v>2179.9899999999998</v>
          </cell>
          <cell r="I2468">
            <v>1659.99</v>
          </cell>
          <cell r="J2468">
            <v>1365.1922999999999</v>
          </cell>
          <cell r="K2468">
            <v>0</v>
          </cell>
          <cell r="L2468">
            <v>1365.1922999999999</v>
          </cell>
          <cell r="M2468">
            <v>0</v>
          </cell>
          <cell r="N2468">
            <v>1659.99</v>
          </cell>
          <cell r="O2468" t="str">
            <v/>
          </cell>
          <cell r="P2468">
            <v>0</v>
          </cell>
          <cell r="Q2468">
            <v>0.21593858975032301</v>
          </cell>
          <cell r="R2468">
            <v>0.21593858975032301</v>
          </cell>
          <cell r="S2468" t="e">
            <v>#VALUE!</v>
          </cell>
          <cell r="T2468" t="e">
            <v>#VALUE!</v>
          </cell>
        </row>
        <row r="2469">
          <cell r="A2469" t="str">
            <v>GCAG45900109</v>
          </cell>
          <cell r="B2469" t="str">
            <v>MKP000631004530</v>
          </cell>
          <cell r="C2469" t="str">
            <v/>
          </cell>
          <cell r="D2469" t="str">
            <v>Armário de Cozinha Completa de Canto 459cm Branco Agata Madesa 01</v>
          </cell>
          <cell r="E2469" t="str">
            <v>ÁGATA</v>
          </cell>
          <cell r="F2469" t="str">
            <v>COZINHA</v>
          </cell>
          <cell r="G2469" t="str">
            <v/>
          </cell>
          <cell r="H2469">
            <v>3449.99</v>
          </cell>
          <cell r="I2469">
            <v>3349.99</v>
          </cell>
          <cell r="J2469">
            <v>2732.2485000000001</v>
          </cell>
          <cell r="K2469">
            <v>0</v>
          </cell>
          <cell r="L2469">
            <v>2732.2485000000001</v>
          </cell>
          <cell r="M2469">
            <v>0</v>
          </cell>
          <cell r="N2469">
            <v>3349.99</v>
          </cell>
          <cell r="O2469" t="str">
            <v/>
          </cell>
          <cell r="P2469">
            <v>0</v>
          </cell>
          <cell r="Q2469">
            <v>0.22609272180037801</v>
          </cell>
          <cell r="R2469">
            <v>0.22609272180037801</v>
          </cell>
          <cell r="S2469" t="e">
            <v>#VALUE!</v>
          </cell>
          <cell r="T2469" t="e">
            <v>#VALUE!</v>
          </cell>
        </row>
        <row r="2470">
          <cell r="A2470" t="str">
            <v>GCGL4790017K</v>
          </cell>
          <cell r="B2470" t="str">
            <v>MKP000631004314</v>
          </cell>
          <cell r="C2470" t="str">
            <v/>
          </cell>
          <cell r="D2470" t="str">
            <v>Armário de Cozinha Completa de Canto 479cm Rustic Preto Glamy Madesa 01</v>
          </cell>
          <cell r="E2470" t="str">
            <v>GLAMY</v>
          </cell>
          <cell r="F2470" t="str">
            <v>COZINHA</v>
          </cell>
          <cell r="G2470" t="str">
            <v/>
          </cell>
          <cell r="H2470">
            <v>3799.99</v>
          </cell>
          <cell r="I2470">
            <v>3699.99</v>
          </cell>
          <cell r="J2470">
            <v>3004.9774000000002</v>
          </cell>
          <cell r="K2470">
            <v>0</v>
          </cell>
          <cell r="L2470">
            <v>3004.9774000000002</v>
          </cell>
          <cell r="M2470">
            <v>0</v>
          </cell>
          <cell r="N2470">
            <v>3699.99</v>
          </cell>
          <cell r="O2470" t="str">
            <v/>
          </cell>
          <cell r="P2470">
            <v>0</v>
          </cell>
          <cell r="Q2470">
            <v>0.231287130478918</v>
          </cell>
          <cell r="R2470">
            <v>0.231287130478918</v>
          </cell>
          <cell r="S2470" t="e">
            <v>#VALUE!</v>
          </cell>
          <cell r="T2470" t="e">
            <v>#VALUE!</v>
          </cell>
        </row>
        <row r="2471">
          <cell r="A2471" t="str">
            <v>101877</v>
          </cell>
          <cell r="B2471" t="str">
            <v>MKP000631002369</v>
          </cell>
          <cell r="C2471" t="str">
            <v/>
          </cell>
          <cell r="D2471" t="str">
            <v>Guarda-Roupa Casal Madesa Kansas 3 Portas de Correr 3 Gavetas Preto/Branco</v>
          </cell>
          <cell r="E2471" t="str">
            <v>KANSAS</v>
          </cell>
          <cell r="F2471" t="str">
            <v>QUARTO</v>
          </cell>
          <cell r="G2471" t="str">
            <v/>
          </cell>
          <cell r="H2471">
            <v>1979.99</v>
          </cell>
          <cell r="I2471">
            <v>1459.99</v>
          </cell>
          <cell r="J2471">
            <v>1164.6541</v>
          </cell>
          <cell r="K2471">
            <v>0</v>
          </cell>
          <cell r="L2471">
            <v>1164.6541</v>
          </cell>
          <cell r="M2471">
            <v>0</v>
          </cell>
          <cell r="N2471">
            <v>1459.99</v>
          </cell>
          <cell r="O2471" t="str">
            <v/>
          </cell>
          <cell r="P2471">
            <v>0</v>
          </cell>
          <cell r="Q2471">
            <v>0.25358250144828398</v>
          </cell>
          <cell r="R2471">
            <v>0.25358250144828398</v>
          </cell>
          <cell r="S2471" t="e">
            <v>#VALUE!</v>
          </cell>
          <cell r="T2471" t="e">
            <v>#VALUE!</v>
          </cell>
        </row>
        <row r="2472">
          <cell r="A2472" t="str">
            <v>GITE1200019B</v>
          </cell>
          <cell r="B2472" t="str">
            <v>MKP000631006008</v>
          </cell>
          <cell r="C2472" t="str">
            <v/>
          </cell>
          <cell r="D2472" t="str">
            <v>Ilha de Cozinha com Bancada e Balcão 120 cm Branco/Rustic Stella Madesa</v>
          </cell>
          <cell r="E2472" t="str">
            <v>STELLA</v>
          </cell>
          <cell r="F2472" t="str">
            <v>MODULAÇÃO</v>
          </cell>
          <cell r="G2472" t="str">
            <v/>
          </cell>
          <cell r="H2472">
            <v>979.99</v>
          </cell>
          <cell r="I2472">
            <v>979.99</v>
          </cell>
          <cell r="J2472">
            <v>768.17750000000001</v>
          </cell>
          <cell r="K2472">
            <v>0</v>
          </cell>
          <cell r="L2472">
            <v>768.17750000000001</v>
          </cell>
          <cell r="M2472">
            <v>0</v>
          </cell>
          <cell r="N2472">
            <v>979.99</v>
          </cell>
          <cell r="O2472" t="str">
            <v/>
          </cell>
          <cell r="P2472">
            <v>0</v>
          </cell>
          <cell r="Q2472">
            <v>0.27573379850360102</v>
          </cell>
          <cell r="R2472">
            <v>0.27573379850360102</v>
          </cell>
          <cell r="S2472" t="e">
            <v>#VALUE!</v>
          </cell>
          <cell r="T2472" t="e">
            <v>#VALUE!</v>
          </cell>
        </row>
        <row r="2473">
          <cell r="A2473" t="str">
            <v>MDES0200208N77</v>
          </cell>
          <cell r="B2473" t="str">
            <v>MKP000631002793</v>
          </cell>
          <cell r="C2473" t="str">
            <v/>
          </cell>
          <cell r="D2473" t="str">
            <v>Rack Madesa Cancun com Pés e Painel para TV até 65 Polegadas Preto/Preto 8N77</v>
          </cell>
          <cell r="E2473" t="str">
            <v>CANCUN</v>
          </cell>
          <cell r="F2473" t="str">
            <v>SALA DE ESTAR</v>
          </cell>
          <cell r="G2473" t="str">
            <v/>
          </cell>
          <cell r="H2473">
            <v>1149.99</v>
          </cell>
          <cell r="I2473">
            <v>569.99</v>
          </cell>
          <cell r="J2473">
            <v>434.58300000000003</v>
          </cell>
          <cell r="K2473">
            <v>0</v>
          </cell>
          <cell r="L2473">
            <v>434.58300000000003</v>
          </cell>
          <cell r="M2473">
            <v>0</v>
          </cell>
          <cell r="N2473">
            <v>569.99</v>
          </cell>
          <cell r="O2473" t="str">
            <v/>
          </cell>
          <cell r="P2473">
            <v>0</v>
          </cell>
          <cell r="Q2473">
            <v>0.31157914598592201</v>
          </cell>
          <cell r="R2473">
            <v>0.31157914598592201</v>
          </cell>
          <cell r="S2473" t="e">
            <v>#VALUE!</v>
          </cell>
          <cell r="T2473" t="e">
            <v>#VALUE!</v>
          </cell>
        </row>
        <row r="2474">
          <cell r="A2474" t="str">
            <v>G247005ZTE</v>
          </cell>
          <cell r="B2474" t="str">
            <v>MKP000631003491</v>
          </cell>
          <cell r="C2474" t="str">
            <v/>
          </cell>
          <cell r="D2474" t="str">
            <v>Balcão de Cozinha Madesa Stella 70 cm 2 Portas Rustic</v>
          </cell>
          <cell r="E2474" t="str">
            <v>STELLA</v>
          </cell>
          <cell r="F2474" t="str">
            <v>MODULAÇÃO</v>
          </cell>
          <cell r="G2474" t="str">
            <v/>
          </cell>
          <cell r="H2474">
            <v>859.99</v>
          </cell>
          <cell r="I2474">
            <v>499.99</v>
          </cell>
          <cell r="J2474">
            <v>322.17129999999997</v>
          </cell>
          <cell r="K2474">
            <v>0</v>
          </cell>
          <cell r="L2474">
            <v>322.17129999999997</v>
          </cell>
          <cell r="M2474">
            <v>0</v>
          </cell>
          <cell r="N2474">
            <v>499.99</v>
          </cell>
          <cell r="O2474" t="str">
            <v/>
          </cell>
          <cell r="P2474">
            <v>0</v>
          </cell>
          <cell r="Q2474">
            <v>0.55193836322478096</v>
          </cell>
          <cell r="R2474">
            <v>0.55193836322478096</v>
          </cell>
          <cell r="S2474" t="e">
            <v>#VALUE!</v>
          </cell>
          <cell r="T2474" t="e">
            <v>#VALUE!</v>
          </cell>
        </row>
        <row r="2475">
          <cell r="A2475" t="str">
            <v>G256029BTE</v>
          </cell>
          <cell r="B2475" t="str">
            <v>MKP000631002111</v>
          </cell>
          <cell r="C2475" t="str">
            <v/>
          </cell>
          <cell r="D2475" t="str">
            <v>Armário Aéreo Madesa Stella 60 cm 1 Porta Basculante Branco/Rustic</v>
          </cell>
          <cell r="E2475" t="str">
            <v>STELLA</v>
          </cell>
          <cell r="F2475" t="str">
            <v>MODULAÇÃO</v>
          </cell>
          <cell r="G2475" t="str">
            <v/>
          </cell>
          <cell r="H2475">
            <v>369.99</v>
          </cell>
          <cell r="I2475">
            <v>239.99</v>
          </cell>
          <cell r="J2475">
            <v>153.41749999999999</v>
          </cell>
          <cell r="K2475">
            <v>0</v>
          </cell>
          <cell r="L2475">
            <v>153.41749999999999</v>
          </cell>
          <cell r="M2475">
            <v>0</v>
          </cell>
          <cell r="N2475">
            <v>239.99</v>
          </cell>
          <cell r="O2475" t="str">
            <v/>
          </cell>
          <cell r="P2475">
            <v>0</v>
          </cell>
          <cell r="Q2475">
            <v>0.56429351280003903</v>
          </cell>
          <cell r="R2475">
            <v>0.56429351280003903</v>
          </cell>
          <cell r="S2475" t="e">
            <v>#VALUE!</v>
          </cell>
          <cell r="T2475" t="e">
            <v>#VALUE!</v>
          </cell>
        </row>
        <row r="2476">
          <cell r="A2476" t="str">
            <v>G25350F9AG</v>
          </cell>
          <cell r="B2476" t="str">
            <v>MKP000631002629</v>
          </cell>
          <cell r="C2476" t="str">
            <v/>
          </cell>
          <cell r="D2476" t="str">
            <v>Armário Aéreo Madesa Agata 35 cm 1 Porta Rustic/Cinza</v>
          </cell>
          <cell r="E2476" t="str">
            <v>ÁGATA</v>
          </cell>
          <cell r="F2476" t="str">
            <v>MODULAÇÃO</v>
          </cell>
          <cell r="G2476" t="str">
            <v/>
          </cell>
          <cell r="H2476">
            <v>399.99</v>
          </cell>
          <cell r="I2476">
            <v>289.99</v>
          </cell>
          <cell r="J2476">
            <v>162.33369999999999</v>
          </cell>
          <cell r="K2476">
            <v>0</v>
          </cell>
          <cell r="L2476">
            <v>162.33369999999999</v>
          </cell>
          <cell r="M2476">
            <v>0</v>
          </cell>
          <cell r="N2476">
            <v>289.99</v>
          </cell>
          <cell r="O2476" t="str">
            <v/>
          </cell>
          <cell r="P2476">
            <v>0</v>
          </cell>
          <cell r="Q2476">
            <v>0.786382002011905</v>
          </cell>
          <cell r="R2476">
            <v>0.786382002011905</v>
          </cell>
          <cell r="S2476" t="e">
            <v>#VALUE!</v>
          </cell>
          <cell r="T2476" t="e">
            <v>#VALUE!</v>
          </cell>
        </row>
        <row r="2477">
          <cell r="A2477" t="str">
            <v>G2360773LX</v>
          </cell>
          <cell r="B2477" t="str">
            <v>MKP000631003267</v>
          </cell>
          <cell r="C2477" t="str">
            <v/>
          </cell>
          <cell r="D2477" t="str">
            <v>Paneleiro Madesa Lux 60 cm 3 Portas Branco/Preto</v>
          </cell>
          <cell r="E2477" t="str">
            <v>LUX</v>
          </cell>
          <cell r="F2477" t="str">
            <v>MODULAÇÃO</v>
          </cell>
          <cell r="G2477" t="str">
            <v/>
          </cell>
          <cell r="H2477">
            <v>2139.9899999999998</v>
          </cell>
          <cell r="I2477">
            <v>1699.99</v>
          </cell>
          <cell r="J2477">
            <v>929.62829999999997</v>
          </cell>
          <cell r="K2477">
            <v>0</v>
          </cell>
          <cell r="L2477">
            <v>929.62829999999997</v>
          </cell>
          <cell r="M2477">
            <v>0</v>
          </cell>
          <cell r="N2477">
            <v>1699.99</v>
          </cell>
          <cell r="O2477" t="str">
            <v>LOJA</v>
          </cell>
          <cell r="P2477">
            <v>1689.99</v>
          </cell>
          <cell r="Q2477">
            <v>0.82867711751029904</v>
          </cell>
          <cell r="R2477">
            <v>0.82867711751029904</v>
          </cell>
          <cell r="S2477" t="e">
            <v>#VALUE!</v>
          </cell>
          <cell r="T2477" t="e">
            <v>#VALUE!</v>
          </cell>
        </row>
        <row r="2478">
          <cell r="A2478" t="str">
            <v>G276005ZPR</v>
          </cell>
          <cell r="B2478" t="str">
            <v>MKP000631002744</v>
          </cell>
          <cell r="C2478" t="str">
            <v/>
          </cell>
          <cell r="D2478" t="str">
            <v>Tampo para Balcão de 60 x 60 cm para Cozinhas Madesa Glamy, Lux e Stella Rustic</v>
          </cell>
          <cell r="E2478" t="str">
            <v>PR</v>
          </cell>
          <cell r="F2478" t="str">
            <v>MODULAÇÃO</v>
          </cell>
          <cell r="G2478" t="str">
            <v/>
          </cell>
          <cell r="H2478">
            <v>279.99</v>
          </cell>
          <cell r="I2478">
            <v>129.99</v>
          </cell>
          <cell r="J2478">
            <v>70.730099999999993</v>
          </cell>
          <cell r="K2478">
            <v>0</v>
          </cell>
          <cell r="L2478">
            <v>70.730099999999993</v>
          </cell>
          <cell r="M2478">
            <v>0</v>
          </cell>
          <cell r="N2478">
            <v>129.99</v>
          </cell>
          <cell r="O2478" t="str">
            <v/>
          </cell>
          <cell r="P2478">
            <v>0</v>
          </cell>
          <cell r="Q2478">
            <v>0.83783141830705699</v>
          </cell>
          <cell r="R2478">
            <v>0.83783141830705699</v>
          </cell>
          <cell r="S2478" t="e">
            <v>#VALUE!</v>
          </cell>
          <cell r="T2478" t="e">
            <v>#VALUE!</v>
          </cell>
        </row>
        <row r="2479">
          <cell r="A2479" t="str">
            <v>109573</v>
          </cell>
          <cell r="B2479" t="str">
            <v>MKP000631002068</v>
          </cell>
          <cell r="C2479" t="str">
            <v/>
          </cell>
          <cell r="D2479" t="str">
            <v>Guarda-Roupa Casal Madesa Reno 3 Portas de Correr Branco/Preto</v>
          </cell>
          <cell r="E2479" t="str">
            <v>RENO</v>
          </cell>
          <cell r="F2479" t="str">
            <v>QUARTO</v>
          </cell>
          <cell r="G2479" t="str">
            <v/>
          </cell>
          <cell r="H2479">
            <v>1469.99</v>
          </cell>
          <cell r="I2479">
            <v>1099.99</v>
          </cell>
          <cell r="J2479">
            <v>918.40129999999999</v>
          </cell>
          <cell r="K2479">
            <v>0</v>
          </cell>
          <cell r="L2479">
            <v>918.40129999999999</v>
          </cell>
          <cell r="M2479">
            <v>0</v>
          </cell>
          <cell r="N2479">
            <v>1099.99</v>
          </cell>
          <cell r="O2479" t="str">
            <v/>
          </cell>
          <cell r="P2479">
            <v>0</v>
          </cell>
          <cell r="Q2479">
            <v>0.19772260775327699</v>
          </cell>
          <cell r="R2479">
            <v>0.19772260775327699</v>
          </cell>
          <cell r="S2479" t="e">
            <v>#VALUE!</v>
          </cell>
          <cell r="T2479" t="e">
            <v>#VALUE!</v>
          </cell>
        </row>
        <row r="2480">
          <cell r="A2480" t="str">
            <v>G257026ETE</v>
          </cell>
          <cell r="B2480" t="str">
            <v>MKP000631003488</v>
          </cell>
          <cell r="C2480" t="str">
            <v/>
          </cell>
          <cell r="D2480" t="str">
            <v>Armário Aéreo de Cozinha Madesa Stella 70 cm 1 Porta Basculante Rustic/Branco</v>
          </cell>
          <cell r="E2480" t="str">
            <v>STELLA</v>
          </cell>
          <cell r="F2480" t="str">
            <v>MODULAÇÃO</v>
          </cell>
          <cell r="G2480" t="str">
            <v/>
          </cell>
          <cell r="H2480">
            <v>399.99</v>
          </cell>
          <cell r="I2480">
            <v>249.99</v>
          </cell>
          <cell r="J2480">
            <v>159.66319999999999</v>
          </cell>
          <cell r="K2480">
            <v>0</v>
          </cell>
          <cell r="L2480">
            <v>159.66319999999999</v>
          </cell>
          <cell r="M2480">
            <v>0</v>
          </cell>
          <cell r="N2480">
            <v>249.99</v>
          </cell>
          <cell r="O2480" t="str">
            <v/>
          </cell>
          <cell r="P2480">
            <v>0</v>
          </cell>
          <cell r="Q2480">
            <v>0.56573336874119995</v>
          </cell>
          <cell r="R2480">
            <v>0.56573336874119995</v>
          </cell>
          <cell r="S2480" t="e">
            <v>#VALUE!</v>
          </cell>
          <cell r="T2480" t="e">
            <v>#VALUE!</v>
          </cell>
        </row>
        <row r="2481">
          <cell r="A2481" t="str">
            <v>GRRM25000409</v>
          </cell>
          <cell r="B2481" t="str">
            <v>MKP000631004323</v>
          </cell>
          <cell r="C2481" t="str">
            <v/>
          </cell>
          <cell r="D2481" t="str">
            <v>Armário de Cozinha Completa 250cm Branco Reims Madesa 04</v>
          </cell>
          <cell r="E2481" t="str">
            <v>REIMS</v>
          </cell>
          <cell r="F2481" t="str">
            <v>COZINHA</v>
          </cell>
          <cell r="G2481" t="str">
            <v/>
          </cell>
          <cell r="H2481">
            <v>1299.99</v>
          </cell>
          <cell r="I2481">
            <v>1199.99</v>
          </cell>
          <cell r="J2481">
            <v>1021.1774</v>
          </cell>
          <cell r="K2481">
            <v>0</v>
          </cell>
          <cell r="L2481">
            <v>1021.1774</v>
          </cell>
          <cell r="M2481">
            <v>0</v>
          </cell>
          <cell r="N2481">
            <v>1199.99</v>
          </cell>
          <cell r="O2481" t="str">
            <v/>
          </cell>
          <cell r="P2481">
            <v>0</v>
          </cell>
          <cell r="Q2481">
            <v>0.17510434523913301</v>
          </cell>
          <cell r="R2481">
            <v>0.17510434523913301</v>
          </cell>
          <cell r="S2481" t="e">
            <v>#VALUE!</v>
          </cell>
          <cell r="T2481" t="e">
            <v>#VALUE!</v>
          </cell>
        </row>
        <row r="2482">
          <cell r="A2482" t="str">
            <v>GCGL3490029B</v>
          </cell>
          <cell r="B2482" t="str">
            <v>MKP000631004596</v>
          </cell>
          <cell r="C2482" t="str">
            <v/>
          </cell>
          <cell r="D2482" t="str">
            <v>Armário de Cozinha Completa de Canto 349cm Branco Rustic Glamy Madesa 02</v>
          </cell>
          <cell r="E2482" t="str">
            <v>GLAMY</v>
          </cell>
          <cell r="F2482" t="str">
            <v>COZINHA</v>
          </cell>
          <cell r="G2482" t="str">
            <v/>
          </cell>
          <cell r="H2482">
            <v>2499.9899999999998</v>
          </cell>
          <cell r="I2482">
            <v>2399.9899999999998</v>
          </cell>
          <cell r="J2482">
            <v>2025.4161999999999</v>
          </cell>
          <cell r="K2482">
            <v>0</v>
          </cell>
          <cell r="L2482">
            <v>2025.4161999999999</v>
          </cell>
          <cell r="M2482">
            <v>0</v>
          </cell>
          <cell r="N2482">
            <v>2399.9899999999998</v>
          </cell>
          <cell r="O2482" t="str">
            <v/>
          </cell>
          <cell r="P2482">
            <v>0</v>
          </cell>
          <cell r="Q2482">
            <v>0.18493670584840799</v>
          </cell>
          <cell r="R2482">
            <v>0.18493670584840799</v>
          </cell>
          <cell r="S2482" t="e">
            <v>#VALUE!</v>
          </cell>
          <cell r="T2482" t="e">
            <v>#VALUE!</v>
          </cell>
        </row>
        <row r="2483">
          <cell r="A2483" t="str">
            <v>GRGL290007C1</v>
          </cell>
          <cell r="B2483" t="str">
            <v>MKP000631000226</v>
          </cell>
          <cell r="C2483" t="str">
            <v/>
          </cell>
          <cell r="D2483" t="str">
            <v>Armário de Cozinha Completa 290cm Rustic/Preto/Rustic Vicenza Madesa 07</v>
          </cell>
          <cell r="E2483" t="str">
            <v>VICENZA/GLAMY</v>
          </cell>
          <cell r="F2483" t="str">
            <v>COZINHA</v>
          </cell>
          <cell r="G2483" t="str">
            <v/>
          </cell>
          <cell r="H2483">
            <v>2599.9899999999998</v>
          </cell>
          <cell r="I2483">
            <v>2499.9899999999998</v>
          </cell>
          <cell r="J2483">
            <v>2076.7116000000001</v>
          </cell>
          <cell r="K2483">
            <v>0</v>
          </cell>
          <cell r="L2483">
            <v>2076.7116000000001</v>
          </cell>
          <cell r="M2483">
            <v>0</v>
          </cell>
          <cell r="N2483">
            <v>2499.9899999999998</v>
          </cell>
          <cell r="O2483" t="str">
            <v/>
          </cell>
          <cell r="P2483">
            <v>0</v>
          </cell>
          <cell r="Q2483">
            <v>0.20382146466557999</v>
          </cell>
          <cell r="R2483">
            <v>0.20382146466557999</v>
          </cell>
          <cell r="S2483" t="e">
            <v>#VALUE!</v>
          </cell>
          <cell r="T2483" t="e">
            <v>#VALUE!</v>
          </cell>
        </row>
        <row r="2484">
          <cell r="A2484" t="str">
            <v>GRGL290004A8</v>
          </cell>
          <cell r="B2484" t="str">
            <v>MKP000631000213</v>
          </cell>
          <cell r="C2484" t="str">
            <v/>
          </cell>
          <cell r="D2484" t="str">
            <v>Armário de Cozinha Completa 290cm Rustic/Branco Safira Madesa 04</v>
          </cell>
          <cell r="E2484" t="str">
            <v>SAFIRA/GLAMY</v>
          </cell>
          <cell r="F2484" t="str">
            <v>COZINHA</v>
          </cell>
          <cell r="G2484" t="str">
            <v/>
          </cell>
          <cell r="H2484">
            <v>2199.9899999999998</v>
          </cell>
          <cell r="I2484">
            <v>2099.9899999999998</v>
          </cell>
          <cell r="J2484">
            <v>1743.5204000000001</v>
          </cell>
          <cell r="K2484">
            <v>0</v>
          </cell>
          <cell r="L2484">
            <v>1743.5204000000001</v>
          </cell>
          <cell r="M2484">
            <v>0</v>
          </cell>
          <cell r="N2484">
            <v>2099.9899999999998</v>
          </cell>
          <cell r="O2484" t="str">
            <v/>
          </cell>
          <cell r="P2484">
            <v>0</v>
          </cell>
          <cell r="Q2484">
            <v>0.20445393125311301</v>
          </cell>
          <cell r="R2484">
            <v>0.20445393125311301</v>
          </cell>
          <cell r="S2484" t="e">
            <v>#VALUE!</v>
          </cell>
          <cell r="T2484" t="e">
            <v>#VALUE!</v>
          </cell>
        </row>
        <row r="2485">
          <cell r="A2485" t="str">
            <v>1018D82E</v>
          </cell>
          <cell r="B2485" t="str">
            <v>MKP000631002382</v>
          </cell>
          <cell r="C2485" t="str">
            <v/>
          </cell>
          <cell r="D2485" t="str">
            <v>Guarda-Roupa Casal Madesa Kansas 3 Portas de Correr com Espelhos 3 Gavetas Preto/Rustic</v>
          </cell>
          <cell r="E2485" t="str">
            <v>KANSAS</v>
          </cell>
          <cell r="F2485" t="str">
            <v>QUARTO</v>
          </cell>
          <cell r="G2485" t="str">
            <v/>
          </cell>
          <cell r="H2485">
            <v>2009.99</v>
          </cell>
          <cell r="I2485">
            <v>1689.99</v>
          </cell>
          <cell r="J2485">
            <v>1403.7782999999999</v>
          </cell>
          <cell r="K2485">
            <v>0</v>
          </cell>
          <cell r="L2485">
            <v>1403.7782999999999</v>
          </cell>
          <cell r="M2485">
            <v>0</v>
          </cell>
          <cell r="N2485">
            <v>1689.99</v>
          </cell>
          <cell r="O2485" t="str">
            <v/>
          </cell>
          <cell r="P2485">
            <v>0</v>
          </cell>
          <cell r="Q2485">
            <v>0.20388668210642699</v>
          </cell>
          <cell r="R2485">
            <v>0.20388668210642699</v>
          </cell>
          <cell r="S2485" t="e">
            <v>#VALUE!</v>
          </cell>
          <cell r="T2485" t="e">
            <v>#VALUE!</v>
          </cell>
        </row>
        <row r="2486">
          <cell r="A2486" t="str">
            <v>102873</v>
          </cell>
          <cell r="B2486" t="str">
            <v>MKP000631003459</v>
          </cell>
          <cell r="C2486" t="str">
            <v/>
          </cell>
          <cell r="D2486" t="str">
            <v>Guarda-Roupa Casal Madesa Austin 4 Portas de Correr 3 Gavetas Branco/Preto</v>
          </cell>
          <cell r="E2486" t="str">
            <v>AUSTIN</v>
          </cell>
          <cell r="F2486" t="str">
            <v>QUARTO</v>
          </cell>
          <cell r="G2486" t="str">
            <v/>
          </cell>
          <cell r="H2486">
            <v>1769.99</v>
          </cell>
          <cell r="I2486">
            <v>1399.99</v>
          </cell>
          <cell r="J2486">
            <v>1153.9612</v>
          </cell>
          <cell r="K2486">
            <v>0</v>
          </cell>
          <cell r="L2486">
            <v>1153.9612</v>
          </cell>
          <cell r="M2486">
            <v>0</v>
          </cell>
          <cell r="N2486">
            <v>1399.99</v>
          </cell>
          <cell r="O2486" t="str">
            <v/>
          </cell>
          <cell r="P2486">
            <v>0</v>
          </cell>
          <cell r="Q2486">
            <v>0.21320370216953499</v>
          </cell>
          <cell r="R2486">
            <v>0.21320370216953499</v>
          </cell>
          <cell r="S2486" t="e">
            <v>#VALUE!</v>
          </cell>
          <cell r="T2486" t="e">
            <v>#VALUE!</v>
          </cell>
        </row>
        <row r="2487">
          <cell r="A2487" t="str">
            <v>MDJA040168J7PT</v>
          </cell>
          <cell r="B2487" t="str">
            <v>MKP000631005713</v>
          </cell>
          <cell r="C2487" t="str">
            <v/>
          </cell>
          <cell r="D2487" t="str">
            <v>Conjunto Sala de Jantar Mesa Tampo de Madeira 4 Cadeiras Rustic/Crema/Preto Angel Madesa</v>
          </cell>
          <cell r="E2487" t="str">
            <v>ANGEL</v>
          </cell>
          <cell r="F2487" t="str">
            <v>SALA DE JANTAR</v>
          </cell>
          <cell r="G2487" t="str">
            <v>4284X</v>
          </cell>
          <cell r="H2487">
            <v>699.99</v>
          </cell>
          <cell r="I2487">
            <v>599.99</v>
          </cell>
          <cell r="J2487">
            <v>491.56819999999999</v>
          </cell>
          <cell r="K2487">
            <v>0</v>
          </cell>
          <cell r="L2487">
            <v>491.56819999999999</v>
          </cell>
          <cell r="M2487">
            <v>0</v>
          </cell>
          <cell r="N2487">
            <v>599.99</v>
          </cell>
          <cell r="O2487" t="str">
            <v/>
          </cell>
          <cell r="P2487">
            <v>0</v>
          </cell>
          <cell r="Q2487">
            <v>0.22056308768549299</v>
          </cell>
          <cell r="R2487">
            <v>0.22056308768549299</v>
          </cell>
          <cell r="S2487" t="e">
            <v>#VALUE!</v>
          </cell>
          <cell r="T2487" t="e">
            <v>#VALUE!</v>
          </cell>
        </row>
        <row r="2488">
          <cell r="A2488" t="str">
            <v>GRGM2700089B</v>
          </cell>
          <cell r="B2488" t="str">
            <v>MKP000631004345</v>
          </cell>
          <cell r="C2488" t="str">
            <v/>
          </cell>
          <cell r="D2488" t="str">
            <v>Armário de Cozinha Completa 100% MDF 270cm Branco/Rustic Acordes Madesa 08</v>
          </cell>
          <cell r="E2488" t="str">
            <v>ACORDES</v>
          </cell>
          <cell r="F2488" t="str">
            <v>COZINHA</v>
          </cell>
          <cell r="G2488" t="str">
            <v/>
          </cell>
          <cell r="H2488">
            <v>1799.99</v>
          </cell>
          <cell r="I2488">
            <v>1699.99</v>
          </cell>
          <cell r="J2488">
            <v>1374.1521</v>
          </cell>
          <cell r="K2488">
            <v>0</v>
          </cell>
          <cell r="L2488">
            <v>1374.1521</v>
          </cell>
          <cell r="M2488">
            <v>0</v>
          </cell>
          <cell r="N2488">
            <v>1699.99</v>
          </cell>
          <cell r="O2488" t="str">
            <v/>
          </cell>
          <cell r="P2488">
            <v>0</v>
          </cell>
          <cell r="Q2488">
            <v>0.237119238838262</v>
          </cell>
          <cell r="R2488">
            <v>0.237119238838262</v>
          </cell>
          <cell r="S2488" t="e">
            <v>#VALUE!</v>
          </cell>
          <cell r="T2488" t="e">
            <v>#VALUE!</v>
          </cell>
        </row>
        <row r="2489">
          <cell r="A2489" t="str">
            <v>XA10945Z1E2G</v>
          </cell>
          <cell r="B2489" t="str">
            <v>MKP000631001612</v>
          </cell>
          <cell r="C2489" t="str">
            <v/>
          </cell>
          <cell r="D2489" t="str">
            <v>Guarda-Roupa Infantil Madesa Bento 2 Portas de Correr com Espelho 2 Gavetas Rustic</v>
          </cell>
          <cell r="E2489" t="str">
            <v>BENTO</v>
          </cell>
          <cell r="F2489" t="str">
            <v>QUARTO</v>
          </cell>
          <cell r="G2489" t="str">
            <v/>
          </cell>
          <cell r="H2489">
            <v>1169.99</v>
          </cell>
          <cell r="I2489">
            <v>869.99</v>
          </cell>
          <cell r="J2489">
            <v>693.77409999999998</v>
          </cell>
          <cell r="K2489">
            <v>0</v>
          </cell>
          <cell r="L2489">
            <v>693.77409999999998</v>
          </cell>
          <cell r="M2489">
            <v>0</v>
          </cell>
          <cell r="N2489">
            <v>869.99</v>
          </cell>
          <cell r="O2489" t="str">
            <v/>
          </cell>
          <cell r="P2489">
            <v>0</v>
          </cell>
          <cell r="Q2489">
            <v>0.253996077397527</v>
          </cell>
          <cell r="R2489">
            <v>0.253996077397527</v>
          </cell>
          <cell r="S2489" t="e">
            <v>#VALUE!</v>
          </cell>
          <cell r="T2489" t="e">
            <v>#VALUE!</v>
          </cell>
        </row>
        <row r="2490">
          <cell r="A2490" t="str">
            <v>MDFC0200188N95</v>
          </cell>
          <cell r="B2490" t="str">
            <v>MKP000631005431</v>
          </cell>
          <cell r="C2490" t="str">
            <v/>
          </cell>
          <cell r="D2490" t="str">
            <v>Conjunto Escritório Home Office com Mesa Industrial + Estante Escada Preto  Madesa</v>
          </cell>
          <cell r="E2490" t="str">
            <v>9423 + 6990</v>
          </cell>
          <cell r="F2490" t="str">
            <v>ESCRITÓRIO</v>
          </cell>
          <cell r="G2490" t="str">
            <v/>
          </cell>
          <cell r="H2490">
            <v>599.99</v>
          </cell>
          <cell r="I2490">
            <v>599.99</v>
          </cell>
          <cell r="J2490">
            <v>469.45209999999997</v>
          </cell>
          <cell r="K2490">
            <v>0</v>
          </cell>
          <cell r="L2490">
            <v>469.45209999999997</v>
          </cell>
          <cell r="M2490">
            <v>0</v>
          </cell>
          <cell r="N2490">
            <v>599.99</v>
          </cell>
          <cell r="O2490" t="str">
            <v/>
          </cell>
          <cell r="P2490">
            <v>0</v>
          </cell>
          <cell r="Q2490">
            <v>0.27806436482018099</v>
          </cell>
          <cell r="R2490">
            <v>0.27806436482018099</v>
          </cell>
          <cell r="S2490" t="e">
            <v>#VALUE!</v>
          </cell>
          <cell r="T2490" t="e">
            <v>#VALUE!</v>
          </cell>
        </row>
        <row r="2491">
          <cell r="A2491" t="str">
            <v>G246005ZGL</v>
          </cell>
          <cell r="B2491" t="str">
            <v>MKP000631000377</v>
          </cell>
          <cell r="C2491" t="str">
            <v/>
          </cell>
          <cell r="D2491" t="str">
            <v>Balcão Madesa Glamy 60 cm 1 Porta Rustic</v>
          </cell>
          <cell r="E2491" t="str">
            <v>GLAMY</v>
          </cell>
          <cell r="F2491" t="str">
            <v>MODULAÇÃO</v>
          </cell>
          <cell r="G2491" t="str">
            <v/>
          </cell>
          <cell r="H2491">
            <v>819.99</v>
          </cell>
          <cell r="I2491">
            <v>419.99</v>
          </cell>
          <cell r="J2491">
            <v>262.66820000000001</v>
          </cell>
          <cell r="K2491">
            <v>0</v>
          </cell>
          <cell r="L2491">
            <v>262.66820000000001</v>
          </cell>
          <cell r="M2491">
            <v>0</v>
          </cell>
          <cell r="N2491">
            <v>419.99</v>
          </cell>
          <cell r="O2491" t="str">
            <v/>
          </cell>
          <cell r="P2491">
            <v>0</v>
          </cell>
          <cell r="Q2491">
            <v>0.59893736660928099</v>
          </cell>
          <cell r="R2491">
            <v>0.59893736660928099</v>
          </cell>
          <cell r="S2491" t="e">
            <v>#VALUE!</v>
          </cell>
          <cell r="T2491" t="e">
            <v>#VALUE!</v>
          </cell>
        </row>
        <row r="2492">
          <cell r="A2492" t="str">
            <v>G258049BGL</v>
          </cell>
          <cell r="B2492" t="str">
            <v>MKP000631000494</v>
          </cell>
          <cell r="C2492" t="str">
            <v/>
          </cell>
          <cell r="D2492" t="str">
            <v>Armário Aéreo Madesa Glamy 80 cm 1 Porta Basculante Branco/Rustic</v>
          </cell>
          <cell r="E2492" t="str">
            <v>GLAMY</v>
          </cell>
          <cell r="F2492" t="str">
            <v>MODULAÇÃO</v>
          </cell>
          <cell r="G2492" t="str">
            <v/>
          </cell>
          <cell r="H2492">
            <v>389.99</v>
          </cell>
          <cell r="I2492">
            <v>289.99</v>
          </cell>
          <cell r="J2492">
            <v>174.38910000000001</v>
          </cell>
          <cell r="K2492">
            <v>0</v>
          </cell>
          <cell r="L2492">
            <v>174.38910000000001</v>
          </cell>
          <cell r="M2492">
            <v>0</v>
          </cell>
          <cell r="N2492">
            <v>289.99</v>
          </cell>
          <cell r="O2492" t="str">
            <v/>
          </cell>
          <cell r="P2492">
            <v>0</v>
          </cell>
          <cell r="Q2492">
            <v>0.66289062791195097</v>
          </cell>
          <cell r="R2492">
            <v>0.66289062791195097</v>
          </cell>
          <cell r="S2492" t="e">
            <v>#VALUE!</v>
          </cell>
          <cell r="T2492" t="e">
            <v>#VALUE!</v>
          </cell>
        </row>
        <row r="2493">
          <cell r="A2493" t="str">
            <v>GCGL50400109</v>
          </cell>
          <cell r="B2493" t="str">
            <v>MKP000631004307</v>
          </cell>
          <cell r="C2493" t="str">
            <v/>
          </cell>
          <cell r="D2493" t="str">
            <v>Armário de Cozinha Completa de Canto 504cm Branco Glamy Madesa 01</v>
          </cell>
          <cell r="E2493" t="str">
            <v>GLAMY</v>
          </cell>
          <cell r="F2493" t="str">
            <v>COZINHA</v>
          </cell>
          <cell r="G2493" t="str">
            <v/>
          </cell>
          <cell r="H2493">
            <v>3999.99</v>
          </cell>
          <cell r="I2493">
            <v>3759.99</v>
          </cell>
          <cell r="J2493">
            <v>3104.1565000000001</v>
          </cell>
          <cell r="K2493">
            <v>0</v>
          </cell>
          <cell r="L2493">
            <v>3104.1565000000001</v>
          </cell>
          <cell r="M2493">
            <v>0</v>
          </cell>
          <cell r="N2493">
            <v>3759.99</v>
          </cell>
          <cell r="O2493" t="str">
            <v/>
          </cell>
          <cell r="P2493">
            <v>0</v>
          </cell>
          <cell r="Q2493">
            <v>0.211275913440576</v>
          </cell>
          <cell r="R2493">
            <v>0.211275913440576</v>
          </cell>
          <cell r="S2493" t="e">
            <v>#VALUE!</v>
          </cell>
          <cell r="T2493" t="e">
            <v>#VALUE!</v>
          </cell>
        </row>
        <row r="2494">
          <cell r="A2494" t="str">
            <v>GREM2290129B</v>
          </cell>
          <cell r="B2494" t="str">
            <v>MKP000631005516</v>
          </cell>
          <cell r="C2494" t="str">
            <v/>
          </cell>
          <cell r="D2494" t="str">
            <v>Armário de Cozinha Compacta 229cm com Pia Rustic/Branco Emilly Madesa 12</v>
          </cell>
          <cell r="E2494" t="str">
            <v>EMILLY</v>
          </cell>
          <cell r="F2494" t="str">
            <v>COZINHA</v>
          </cell>
          <cell r="G2494" t="str">
            <v/>
          </cell>
          <cell r="H2494">
            <v>1339.99</v>
          </cell>
          <cell r="I2494">
            <v>1239.99</v>
          </cell>
          <cell r="J2494">
            <v>991.74739999999997</v>
          </cell>
          <cell r="K2494">
            <v>0</v>
          </cell>
          <cell r="L2494">
            <v>991.74739999999997</v>
          </cell>
          <cell r="M2494">
            <v>0</v>
          </cell>
          <cell r="N2494">
            <v>1239.99</v>
          </cell>
          <cell r="O2494" t="str">
            <v/>
          </cell>
          <cell r="P2494">
            <v>0</v>
          </cell>
          <cell r="Q2494">
            <v>0.25030829422895401</v>
          </cell>
          <cell r="R2494">
            <v>0.25030829422895401</v>
          </cell>
          <cell r="S2494" t="e">
            <v>#VALUE!</v>
          </cell>
          <cell r="T2494" t="e">
            <v>#VALUE!</v>
          </cell>
        </row>
        <row r="2495">
          <cell r="A2495" t="str">
            <v>GCEM5130015Z</v>
          </cell>
          <cell r="B2495" t="str">
            <v>MKP000631000452</v>
          </cell>
          <cell r="C2495" t="str">
            <v/>
          </cell>
          <cell r="D2495" t="str">
            <v>Armário de Cozinha Completa de Canto 513cm Rustic Emilly Live Madesa 01</v>
          </cell>
          <cell r="E2495" t="str">
            <v>LIVE/EMILLY</v>
          </cell>
          <cell r="F2495" t="str">
            <v>COZINHA</v>
          </cell>
          <cell r="G2495" t="str">
            <v/>
          </cell>
          <cell r="H2495">
            <v>2499.9899999999998</v>
          </cell>
          <cell r="I2495">
            <v>1769.99</v>
          </cell>
          <cell r="J2495">
            <v>1399.5382</v>
          </cell>
          <cell r="K2495">
            <v>0</v>
          </cell>
          <cell r="L2495">
            <v>1399.5382</v>
          </cell>
          <cell r="M2495">
            <v>0</v>
          </cell>
          <cell r="N2495">
            <v>1769.99</v>
          </cell>
          <cell r="O2495" t="str">
            <v/>
          </cell>
          <cell r="P2495">
            <v>0</v>
          </cell>
          <cell r="Q2495">
            <v>0.264695740352067</v>
          </cell>
          <cell r="R2495">
            <v>0.264695740352067</v>
          </cell>
          <cell r="S2495" t="e">
            <v>#VALUE!</v>
          </cell>
          <cell r="T2495" t="e">
            <v>#VALUE!</v>
          </cell>
        </row>
        <row r="2496">
          <cell r="A2496" t="str">
            <v>XB106309CP</v>
          </cell>
          <cell r="B2496" t="str">
            <v>MKP000631001483</v>
          </cell>
          <cell r="C2496" t="str">
            <v/>
          </cell>
          <cell r="D2496" t="str">
            <v>Guarda-Roupa Juvenil 100% MDF Madesa Kevin 3 Portas de Correr com Pés Branco</v>
          </cell>
          <cell r="E2496" t="str">
            <v>KEVIN</v>
          </cell>
          <cell r="F2496" t="str">
            <v>QUARTO</v>
          </cell>
          <cell r="G2496" t="str">
            <v/>
          </cell>
          <cell r="H2496">
            <v>2589.9899999999998</v>
          </cell>
          <cell r="I2496">
            <v>1969.99</v>
          </cell>
          <cell r="J2496">
            <v>1597.5367000000001</v>
          </cell>
          <cell r="K2496">
            <v>0</v>
          </cell>
          <cell r="L2496">
            <v>1597.5367000000001</v>
          </cell>
          <cell r="M2496">
            <v>0</v>
          </cell>
          <cell r="N2496">
            <v>1969.99</v>
          </cell>
          <cell r="O2496" t="str">
            <v/>
          </cell>
          <cell r="P2496">
            <v>0</v>
          </cell>
          <cell r="Q2496">
            <v>0.23314224956459501</v>
          </cell>
          <cell r="R2496">
            <v>0.23314224956459501</v>
          </cell>
          <cell r="S2496" t="e">
            <v>#VALUE!</v>
          </cell>
          <cell r="T2496" t="e">
            <v>#VALUE!</v>
          </cell>
        </row>
        <row r="2497">
          <cell r="A2497" t="str">
            <v>10939B2E4G</v>
          </cell>
          <cell r="B2497" t="str">
            <v>MKP000631001869</v>
          </cell>
          <cell r="C2497" t="str">
            <v/>
          </cell>
          <cell r="D2497" t="str">
            <v>Guarda-Roupa Casal Madesa Lyon Plus 3 Portas de Correr com Espelhos 4 Gavetas Branco/Rustic</v>
          </cell>
          <cell r="E2497" t="str">
            <v>LYON PLUS</v>
          </cell>
          <cell r="F2497" t="str">
            <v>QUARTO</v>
          </cell>
          <cell r="G2497" t="str">
            <v/>
          </cell>
          <cell r="H2497">
            <v>1569.99</v>
          </cell>
          <cell r="I2497">
            <v>1349.99</v>
          </cell>
          <cell r="J2497">
            <v>1058.1829</v>
          </cell>
          <cell r="K2497">
            <v>0</v>
          </cell>
          <cell r="L2497">
            <v>1058.1829</v>
          </cell>
          <cell r="M2497">
            <v>0</v>
          </cell>
          <cell r="N2497">
            <v>1349.99</v>
          </cell>
          <cell r="O2497" t="str">
            <v/>
          </cell>
          <cell r="P2497">
            <v>0</v>
          </cell>
          <cell r="Q2497">
            <v>0.27576244144561401</v>
          </cell>
          <cell r="R2497">
            <v>0.27576244144561401</v>
          </cell>
          <cell r="S2497" t="e">
            <v>#VALUE!</v>
          </cell>
          <cell r="T2497" t="e">
            <v>#VALUE!</v>
          </cell>
        </row>
        <row r="2498">
          <cell r="A2498" t="str">
            <v>GRGL2400025Z</v>
          </cell>
          <cell r="B2498" t="str">
            <v>MKP000631001270</v>
          </cell>
          <cell r="C2498" t="str">
            <v/>
          </cell>
          <cell r="D2498" t="str">
            <v>Armário de Cozinha Completa 240cm Rustic Lazio Madesa 02</v>
          </cell>
          <cell r="E2498" t="str">
            <v>LAZIO/GLAMY</v>
          </cell>
          <cell r="F2498" t="str">
            <v>COZINHA</v>
          </cell>
          <cell r="G2498" t="str">
            <v/>
          </cell>
          <cell r="H2498">
            <v>3199.99</v>
          </cell>
          <cell r="I2498">
            <v>2749.99</v>
          </cell>
          <cell r="J2498">
            <v>2130.1651999999999</v>
          </cell>
          <cell r="K2498">
            <v>0</v>
          </cell>
          <cell r="L2498">
            <v>2130.1651999999999</v>
          </cell>
          <cell r="M2498">
            <v>0</v>
          </cell>
          <cell r="N2498">
            <v>2749.99</v>
          </cell>
          <cell r="O2498" t="str">
            <v/>
          </cell>
          <cell r="P2498">
            <v>0</v>
          </cell>
          <cell r="Q2498">
            <v>0.29097499104764302</v>
          </cell>
          <cell r="R2498">
            <v>0.29097499104764302</v>
          </cell>
          <cell r="S2498" t="e">
            <v>#VALUE!</v>
          </cell>
          <cell r="T2498" t="e">
            <v>#VALUE!</v>
          </cell>
        </row>
        <row r="2499">
          <cell r="A2499" t="str">
            <v>G241205ZGLCT</v>
          </cell>
          <cell r="B2499" t="str">
            <v>MKP000631003117</v>
          </cell>
          <cell r="C2499" t="str">
            <v/>
          </cell>
          <cell r="D2499" t="str">
            <v>Balcão de Pia Madesa Glamy 120 cm 2 Portas (Com Tampo) Rustic</v>
          </cell>
          <cell r="E2499" t="str">
            <v>GLAMY</v>
          </cell>
          <cell r="F2499" t="str">
            <v>MODULAÇÃO</v>
          </cell>
          <cell r="G2499" t="str">
            <v/>
          </cell>
          <cell r="H2499">
            <v>1149.99</v>
          </cell>
          <cell r="I2499">
            <v>619.99</v>
          </cell>
          <cell r="J2499">
            <v>467.7081</v>
          </cell>
          <cell r="K2499">
            <v>0</v>
          </cell>
          <cell r="L2499">
            <v>467.7081</v>
          </cell>
          <cell r="M2499">
            <v>0</v>
          </cell>
          <cell r="N2499">
            <v>619.99</v>
          </cell>
          <cell r="O2499" t="str">
            <v/>
          </cell>
          <cell r="P2499">
            <v>0</v>
          </cell>
          <cell r="Q2499">
            <v>0.32559175263374801</v>
          </cell>
          <cell r="R2499">
            <v>0.32559175263374801</v>
          </cell>
          <cell r="S2499" t="e">
            <v>#VALUE!</v>
          </cell>
          <cell r="T2499" t="e">
            <v>#VALUE!</v>
          </cell>
        </row>
        <row r="2500">
          <cell r="A2500" t="str">
            <v>MDFC0200158N8N</v>
          </cell>
          <cell r="B2500" t="str">
            <v>MKP000631003428</v>
          </cell>
          <cell r="C2500" t="str">
            <v/>
          </cell>
          <cell r="D2500" t="str">
            <v>Kit Madesa com 2 Estantes Livreiro 6908 Preto</v>
          </cell>
          <cell r="E2500">
            <v>6908</v>
          </cell>
          <cell r="F2500" t="str">
            <v>ESCRITÓRIO</v>
          </cell>
          <cell r="G2500" t="str">
            <v/>
          </cell>
          <cell r="H2500">
            <v>1389.99</v>
          </cell>
          <cell r="I2500">
            <v>699.99</v>
          </cell>
          <cell r="J2500">
            <v>461.98559999999998</v>
          </cell>
          <cell r="K2500">
            <v>0</v>
          </cell>
          <cell r="L2500">
            <v>461.98559999999998</v>
          </cell>
          <cell r="M2500">
            <v>0</v>
          </cell>
          <cell r="N2500">
            <v>699.99</v>
          </cell>
          <cell r="O2500" t="str">
            <v>AMAZON</v>
          </cell>
          <cell r="P2500">
            <v>629.99</v>
          </cell>
          <cell r="Q2500">
            <v>0.51517709642898002</v>
          </cell>
          <cell r="R2500">
            <v>0.51517709642898002</v>
          </cell>
          <cell r="S2500" t="e">
            <v>#VALUE!</v>
          </cell>
          <cell r="T2500" t="e">
            <v>#VALUE!</v>
          </cell>
        </row>
        <row r="2501">
          <cell r="A2501" t="str">
            <v>53325Z2A</v>
          </cell>
          <cell r="B2501" t="str">
            <v>MKP000631000107</v>
          </cell>
          <cell r="C2501" t="str">
            <v/>
          </cell>
          <cell r="D2501" t="str">
            <v>Mesa de Jantar Madesa Quadrada com Tampo de Vidro 5332A Rustic</v>
          </cell>
          <cell r="E2501" t="str">
            <v>5332A</v>
          </cell>
          <cell r="F2501" t="str">
            <v>SALA DE JANTAR</v>
          </cell>
          <cell r="G2501" t="str">
            <v/>
          </cell>
          <cell r="H2501">
            <v>569.99</v>
          </cell>
          <cell r="I2501">
            <v>379.99</v>
          </cell>
          <cell r="J2501">
            <v>236.67169999999999</v>
          </cell>
          <cell r="K2501">
            <v>0</v>
          </cell>
          <cell r="L2501">
            <v>236.67169999999999</v>
          </cell>
          <cell r="M2501">
            <v>0</v>
          </cell>
          <cell r="N2501">
            <v>379.99</v>
          </cell>
          <cell r="O2501" t="str">
            <v/>
          </cell>
          <cell r="P2501">
            <v>0</v>
          </cell>
          <cell r="Q2501">
            <v>0.60555740293410698</v>
          </cell>
          <cell r="R2501">
            <v>0.60555740293410698</v>
          </cell>
          <cell r="S2501" t="e">
            <v>#VALUE!</v>
          </cell>
          <cell r="T2501" t="e">
            <v>#VALUE!</v>
          </cell>
        </row>
        <row r="2502">
          <cell r="A2502" t="str">
            <v>G266075LAG</v>
          </cell>
          <cell r="B2502" t="str">
            <v>MKP000631005387</v>
          </cell>
          <cell r="C2502" t="str">
            <v/>
          </cell>
          <cell r="D2502" t="str">
            <v>Paneleiro 60 cm 3 Portas Branco/Crema Agata Madesa</v>
          </cell>
          <cell r="E2502" t="str">
            <v>ÁGATA</v>
          </cell>
          <cell r="F2502" t="str">
            <v>MODULAÇÃO</v>
          </cell>
          <cell r="G2502" t="str">
            <v/>
          </cell>
          <cell r="H2502">
            <v>989.99</v>
          </cell>
          <cell r="I2502">
            <v>889.99</v>
          </cell>
          <cell r="J2502">
            <v>513.92409999999995</v>
          </cell>
          <cell r="K2502">
            <v>0</v>
          </cell>
          <cell r="L2502">
            <v>513.92409999999995</v>
          </cell>
          <cell r="M2502">
            <v>0</v>
          </cell>
          <cell r="N2502">
            <v>889.99</v>
          </cell>
          <cell r="O2502" t="str">
            <v/>
          </cell>
          <cell r="P2502">
            <v>0</v>
          </cell>
          <cell r="Q2502">
            <v>0.73175377453596702</v>
          </cell>
          <cell r="R2502">
            <v>0.73175377453596702</v>
          </cell>
          <cell r="S2502" t="e">
            <v>#VALUE!</v>
          </cell>
          <cell r="T2502" t="e">
            <v>#VALUE!</v>
          </cell>
        </row>
        <row r="2503">
          <cell r="A2503" t="str">
            <v>G23755H7LX</v>
          </cell>
          <cell r="B2503" t="str">
            <v>MKP000631004730</v>
          </cell>
          <cell r="C2503" t="str">
            <v/>
          </cell>
          <cell r="D2503" t="str">
            <v>Torre Quente Madesa Lux 70 cm 3 Portas Branco/Branco Veludo</v>
          </cell>
          <cell r="E2503" t="str">
            <v>LUX</v>
          </cell>
          <cell r="F2503" t="str">
            <v>MODULAÇÃO</v>
          </cell>
          <cell r="G2503" t="str">
            <v/>
          </cell>
          <cell r="H2503">
            <v>1629.99</v>
          </cell>
          <cell r="I2503">
            <v>1259.99</v>
          </cell>
          <cell r="J2503">
            <v>648.65899999999999</v>
          </cell>
          <cell r="K2503">
            <v>0</v>
          </cell>
          <cell r="L2503">
            <v>648.65899999999999</v>
          </cell>
          <cell r="M2503">
            <v>0</v>
          </cell>
          <cell r="N2503">
            <v>1259.99</v>
          </cell>
          <cell r="O2503" t="str">
            <v>LOJA</v>
          </cell>
          <cell r="P2503">
            <v>1249.99</v>
          </cell>
          <cell r="Q2503">
            <v>0.94245358501153897</v>
          </cell>
          <cell r="R2503">
            <v>0.94245358501153897</v>
          </cell>
          <cell r="S2503" t="e">
            <v>#VALUE!</v>
          </cell>
          <cell r="T2503" t="e">
            <v>#VALUE!</v>
          </cell>
        </row>
        <row r="2504">
          <cell r="A2504" t="str">
            <v>G257575LAG</v>
          </cell>
          <cell r="B2504" t="str">
            <v>MKP000631005412</v>
          </cell>
          <cell r="C2504" t="str">
            <v/>
          </cell>
          <cell r="D2504" t="str">
            <v>Armário Aéreo de Canto 1 Porta para linha de 60 cm de profundidade Branco/Crema Agata Madesa</v>
          </cell>
          <cell r="E2504" t="str">
            <v>ÁGATA</v>
          </cell>
          <cell r="F2504" t="str">
            <v>MODULAÇÃO</v>
          </cell>
          <cell r="G2504" t="str">
            <v/>
          </cell>
          <cell r="H2504">
            <v>669.99</v>
          </cell>
          <cell r="I2504">
            <v>569.99</v>
          </cell>
          <cell r="J2504">
            <v>284.86059999999998</v>
          </cell>
          <cell r="K2504">
            <v>0</v>
          </cell>
          <cell r="L2504">
            <v>284.86059999999998</v>
          </cell>
          <cell r="M2504">
            <v>0</v>
          </cell>
          <cell r="N2504">
            <v>569.99</v>
          </cell>
          <cell r="O2504" t="str">
            <v/>
          </cell>
          <cell r="P2504">
            <v>0</v>
          </cell>
          <cell r="Q2504">
            <v>1.0009436194405299</v>
          </cell>
          <cell r="R2504">
            <v>1.0009436194405299</v>
          </cell>
          <cell r="S2504" t="e">
            <v>#VALUE!</v>
          </cell>
          <cell r="T2504" t="e">
            <v>#VALUE!</v>
          </cell>
        </row>
        <row r="2505">
          <cell r="A2505" t="str">
            <v>GRAG27000373</v>
          </cell>
          <cell r="B2505" t="str">
            <v>MKP000631004559</v>
          </cell>
          <cell r="C2505" t="str">
            <v/>
          </cell>
          <cell r="D2505" t="str">
            <v>Armário de Cozinha Completa 270cm Branco Preto Agata Madesa 03</v>
          </cell>
          <cell r="E2505" t="str">
            <v>ÁGATA</v>
          </cell>
          <cell r="F2505" t="str">
            <v>COZINHA</v>
          </cell>
          <cell r="G2505" t="str">
            <v/>
          </cell>
          <cell r="H2505">
            <v>2199.9899999999998</v>
          </cell>
          <cell r="I2505">
            <v>2099.9899999999998</v>
          </cell>
          <cell r="J2505">
            <v>1695.8765000000001</v>
          </cell>
          <cell r="K2505">
            <v>0</v>
          </cell>
          <cell r="L2505">
            <v>1695.8765000000001</v>
          </cell>
          <cell r="M2505">
            <v>0</v>
          </cell>
          <cell r="N2505">
            <v>2099.9899999999998</v>
          </cell>
          <cell r="O2505" t="str">
            <v/>
          </cell>
          <cell r="P2505">
            <v>0</v>
          </cell>
          <cell r="Q2505">
            <v>0.23829182136788801</v>
          </cell>
          <cell r="R2505">
            <v>0.23829182136788801</v>
          </cell>
          <cell r="S2505" t="e">
            <v>#VALUE!</v>
          </cell>
          <cell r="T2505" t="e">
            <v>#VALUE!</v>
          </cell>
        </row>
        <row r="2506">
          <cell r="A2506" t="str">
            <v>GRAG3100017K</v>
          </cell>
          <cell r="B2506" t="str">
            <v>MKP000631003093</v>
          </cell>
          <cell r="C2506" t="str">
            <v/>
          </cell>
          <cell r="D2506" t="str">
            <v>Armário de Cozinha Completa 310cm Rustic/Preto Agata Madesa 01</v>
          </cell>
          <cell r="E2506" t="str">
            <v>ÁGATA</v>
          </cell>
          <cell r="F2506" t="str">
            <v>COZINHA</v>
          </cell>
          <cell r="G2506" t="str">
            <v/>
          </cell>
          <cell r="H2506">
            <v>3519.99</v>
          </cell>
          <cell r="I2506">
            <v>2549.9899999999998</v>
          </cell>
          <cell r="J2506">
            <v>1961.4876999999999</v>
          </cell>
          <cell r="K2506">
            <v>0</v>
          </cell>
          <cell r="L2506">
            <v>1961.4876999999999</v>
          </cell>
          <cell r="M2506">
            <v>0</v>
          </cell>
          <cell r="N2506">
            <v>2549.9899999999998</v>
          </cell>
          <cell r="O2506" t="str">
            <v/>
          </cell>
          <cell r="P2506">
            <v>0</v>
          </cell>
          <cell r="Q2506">
            <v>0.30002854466026002</v>
          </cell>
          <cell r="R2506">
            <v>0.30002854466026002</v>
          </cell>
          <cell r="S2506" t="e">
            <v>#VALUE!</v>
          </cell>
          <cell r="T2506" t="e">
            <v>#VALUE!</v>
          </cell>
        </row>
        <row r="2507">
          <cell r="A2507" t="str">
            <v>GRLX320004H8</v>
          </cell>
          <cell r="B2507" t="str">
            <v>MKP000631003765</v>
          </cell>
          <cell r="C2507" t="str">
            <v/>
          </cell>
          <cell r="D2507" t="str">
            <v>Armário de Cozinha Planejada 320cm Rustic Branco Veludo Lux Madesa 04</v>
          </cell>
          <cell r="E2507" t="str">
            <v>LUX</v>
          </cell>
          <cell r="F2507" t="str">
            <v>COZINHA</v>
          </cell>
          <cell r="G2507" t="str">
            <v/>
          </cell>
          <cell r="H2507">
            <v>4929.99</v>
          </cell>
          <cell r="I2507">
            <v>4869.99</v>
          </cell>
          <cell r="J2507">
            <v>2595.181</v>
          </cell>
          <cell r="K2507">
            <v>0</v>
          </cell>
          <cell r="L2507">
            <v>2595.181</v>
          </cell>
          <cell r="M2507">
            <v>0</v>
          </cell>
          <cell r="N2507">
            <v>4869.99</v>
          </cell>
          <cell r="O2507" t="str">
            <v>LOJA</v>
          </cell>
          <cell r="P2507">
            <v>4279.99</v>
          </cell>
          <cell r="Q2507">
            <v>0.87655119238311296</v>
          </cell>
          <cell r="R2507">
            <v>0.87655119238311296</v>
          </cell>
          <cell r="S2507" t="e">
            <v>#VALUE!</v>
          </cell>
          <cell r="T2507" t="e">
            <v>#VALUE!</v>
          </cell>
        </row>
        <row r="2508">
          <cell r="A2508" t="str">
            <v>GCGL3990025Z</v>
          </cell>
          <cell r="B2508" t="str">
            <v>MKP000631004389</v>
          </cell>
          <cell r="C2508" t="str">
            <v/>
          </cell>
          <cell r="D2508" t="str">
            <v>Armário de Cozinha Completa de Canto 399cm Rustic Glamy Madesa 02</v>
          </cell>
          <cell r="E2508" t="str">
            <v>GLAMY</v>
          </cell>
          <cell r="F2508" t="str">
            <v>COZINHA</v>
          </cell>
          <cell r="G2508" t="str">
            <v/>
          </cell>
          <cell r="H2508">
            <v>2999.99</v>
          </cell>
          <cell r="I2508">
            <v>2899.99</v>
          </cell>
          <cell r="J2508">
            <v>2430.6781999999998</v>
          </cell>
          <cell r="K2508">
            <v>0</v>
          </cell>
          <cell r="L2508">
            <v>2430.6781999999998</v>
          </cell>
          <cell r="M2508">
            <v>0</v>
          </cell>
          <cell r="N2508">
            <v>2899.99</v>
          </cell>
          <cell r="O2508" t="str">
            <v/>
          </cell>
          <cell r="P2508">
            <v>0</v>
          </cell>
          <cell r="Q2508">
            <v>0.193078540795733</v>
          </cell>
          <cell r="R2508">
            <v>0.193078540795733</v>
          </cell>
          <cell r="S2508" t="e">
            <v>#VALUE!</v>
          </cell>
          <cell r="T2508" t="e">
            <v>#VALUE!</v>
          </cell>
        </row>
        <row r="2509">
          <cell r="A2509" t="str">
            <v>XC10639B1RCP</v>
          </cell>
          <cell r="B2509" t="str">
            <v>MKP000631001471</v>
          </cell>
          <cell r="C2509" t="str">
            <v/>
          </cell>
          <cell r="D2509" t="str">
            <v>Guarda-Roupa Casal 100% MDF Madesa Zurique 3 Portas de Correr com Pés Branco/Branco/Rustic</v>
          </cell>
          <cell r="E2509" t="str">
            <v>ZURIQUE</v>
          </cell>
          <cell r="F2509" t="str">
            <v>QUARTO</v>
          </cell>
          <cell r="G2509" t="str">
            <v/>
          </cell>
          <cell r="H2509">
            <v>2589.9899999999998</v>
          </cell>
          <cell r="I2509">
            <v>1969.99</v>
          </cell>
          <cell r="J2509">
            <v>1597.5367000000001</v>
          </cell>
          <cell r="K2509">
            <v>0</v>
          </cell>
          <cell r="L2509">
            <v>1597.5367000000001</v>
          </cell>
          <cell r="M2509">
            <v>0</v>
          </cell>
          <cell r="N2509">
            <v>1969.99</v>
          </cell>
          <cell r="O2509" t="str">
            <v/>
          </cell>
          <cell r="P2509">
            <v>0</v>
          </cell>
          <cell r="Q2509">
            <v>0.23314224956459501</v>
          </cell>
          <cell r="R2509">
            <v>0.23314224956459501</v>
          </cell>
          <cell r="S2509" t="e">
            <v>#VALUE!</v>
          </cell>
          <cell r="T2509" t="e">
            <v>#VALUE!</v>
          </cell>
        </row>
        <row r="2510">
          <cell r="A2510" t="str">
            <v>MDJA040171D8SIM</v>
          </cell>
          <cell r="B2510" t="str">
            <v>MKP000631005897</v>
          </cell>
          <cell r="C2510" t="str">
            <v/>
          </cell>
          <cell r="D2510" t="str">
            <v>Conjunto Sala de Jantar Mesa Tampo de Vidro 4 Cadeiras Rustic/Preto/Imperial Noemi Madesa</v>
          </cell>
          <cell r="E2510" t="str">
            <v>NOEMI</v>
          </cell>
          <cell r="F2510" t="str">
            <v>SALA DE JANTAR</v>
          </cell>
          <cell r="G2510">
            <v>4256</v>
          </cell>
          <cell r="H2510">
            <v>1159.99</v>
          </cell>
          <cell r="I2510">
            <v>1059.99</v>
          </cell>
          <cell r="J2510">
            <v>833.99170000000004</v>
          </cell>
          <cell r="K2510">
            <v>0</v>
          </cell>
          <cell r="L2510">
            <v>833.99170000000004</v>
          </cell>
          <cell r="M2510">
            <v>0</v>
          </cell>
          <cell r="N2510">
            <v>1059.99</v>
          </cell>
          <cell r="O2510" t="str">
            <v/>
          </cell>
          <cell r="P2510">
            <v>0</v>
          </cell>
          <cell r="Q2510">
            <v>0.27098387190184298</v>
          </cell>
          <cell r="R2510">
            <v>0.27098387190184298</v>
          </cell>
          <cell r="S2510" t="e">
            <v>#VALUE!</v>
          </cell>
          <cell r="T2510" t="e">
            <v>#VALUE!</v>
          </cell>
        </row>
        <row r="2511">
          <cell r="A2511" t="str">
            <v>MDJA0401187GBE</v>
          </cell>
          <cell r="B2511" t="str">
            <v>MKP000631004154</v>
          </cell>
          <cell r="C2511" t="str">
            <v/>
          </cell>
          <cell r="D2511" t="str">
            <v>Conjunto Sala de Jantar Madesa Madu Mesa Tampo de Vidro Redondo 4 Cadeiras Rustic/Crema/Bege</v>
          </cell>
          <cell r="E2511" t="str">
            <v>MADU</v>
          </cell>
          <cell r="F2511" t="str">
            <v>SALA DE JANTAR</v>
          </cell>
          <cell r="G2511" t="str">
            <v>4291X</v>
          </cell>
          <cell r="H2511">
            <v>869.99</v>
          </cell>
          <cell r="I2511">
            <v>769.99</v>
          </cell>
          <cell r="J2511">
            <v>617.43050000000005</v>
          </cell>
          <cell r="K2511">
            <v>0</v>
          </cell>
          <cell r="L2511">
            <v>617.43050000000005</v>
          </cell>
          <cell r="M2511">
            <v>0</v>
          </cell>
          <cell r="N2511">
            <v>769.99</v>
          </cell>
          <cell r="O2511" t="str">
            <v/>
          </cell>
          <cell r="P2511">
            <v>0</v>
          </cell>
          <cell r="Q2511">
            <v>0.24708772890228101</v>
          </cell>
          <cell r="R2511">
            <v>0.24708772890228101</v>
          </cell>
          <cell r="S2511" t="e">
            <v>#VALUE!</v>
          </cell>
          <cell r="T2511" t="e">
            <v>#VALUE!</v>
          </cell>
        </row>
        <row r="2512">
          <cell r="A2512" t="str">
            <v>GITE12000109</v>
          </cell>
          <cell r="B2512" t="str">
            <v>MKP000631006009</v>
          </cell>
          <cell r="C2512" t="str">
            <v/>
          </cell>
          <cell r="D2512" t="str">
            <v>Ilha de Cozinha com Bancada e Balcão 120 cm Branco Stella Madesa</v>
          </cell>
          <cell r="E2512" t="str">
            <v>STELLA</v>
          </cell>
          <cell r="F2512" t="str">
            <v>MODULAÇÃO</v>
          </cell>
          <cell r="G2512" t="str">
            <v/>
          </cell>
          <cell r="H2512">
            <v>979.99</v>
          </cell>
          <cell r="I2512">
            <v>979.99</v>
          </cell>
          <cell r="J2512">
            <v>768.17750000000001</v>
          </cell>
          <cell r="K2512">
            <v>0</v>
          </cell>
          <cell r="L2512">
            <v>768.17750000000001</v>
          </cell>
          <cell r="M2512">
            <v>0</v>
          </cell>
          <cell r="N2512">
            <v>979.99</v>
          </cell>
          <cell r="O2512" t="str">
            <v/>
          </cell>
          <cell r="P2512">
            <v>0</v>
          </cell>
          <cell r="Q2512">
            <v>0.27573379850360102</v>
          </cell>
          <cell r="R2512">
            <v>0.27573379850360102</v>
          </cell>
          <cell r="S2512" t="e">
            <v>#VALUE!</v>
          </cell>
          <cell r="T2512" t="e">
            <v>#VALUE!</v>
          </cell>
        </row>
        <row r="2513">
          <cell r="A2513" t="str">
            <v>10946E1E2GCP</v>
          </cell>
          <cell r="B2513" t="str">
            <v>MKP000631001013</v>
          </cell>
          <cell r="C2513" t="str">
            <v/>
          </cell>
          <cell r="D2513" t="str">
            <v>Guarda-Roupa Solteiro Madesa Dallas 2 Portas de Correr com Espelho 2 Gavetas com Pés Rustic/Branco</v>
          </cell>
          <cell r="E2513" t="str">
            <v>DALLAS</v>
          </cell>
          <cell r="F2513" t="str">
            <v>QUARTO</v>
          </cell>
          <cell r="G2513" t="str">
            <v/>
          </cell>
          <cell r="H2513">
            <v>1209.99</v>
          </cell>
          <cell r="I2513">
            <v>969.99</v>
          </cell>
          <cell r="J2513">
            <v>730.36540000000002</v>
          </cell>
          <cell r="K2513">
            <v>0</v>
          </cell>
          <cell r="L2513">
            <v>730.36540000000002</v>
          </cell>
          <cell r="M2513">
            <v>0</v>
          </cell>
          <cell r="N2513">
            <v>969.99</v>
          </cell>
          <cell r="O2513" t="str">
            <v/>
          </cell>
          <cell r="P2513">
            <v>0</v>
          </cell>
          <cell r="Q2513">
            <v>0.32808865261141901</v>
          </cell>
          <cell r="R2513">
            <v>0.32808865261141901</v>
          </cell>
          <cell r="S2513" t="e">
            <v>#VALUE!</v>
          </cell>
          <cell r="T2513" t="e">
            <v>#VALUE!</v>
          </cell>
        </row>
        <row r="2514">
          <cell r="A2514" t="str">
            <v>GRAG290005F8</v>
          </cell>
          <cell r="B2514" t="str">
            <v>MKP000631004459</v>
          </cell>
          <cell r="C2514" t="str">
            <v/>
          </cell>
          <cell r="D2514" t="str">
            <v>Armário de Cozinha Completa 290cm Branco Cinza Agata Madesa 05</v>
          </cell>
          <cell r="E2514" t="str">
            <v>ÁGATA</v>
          </cell>
          <cell r="F2514" t="str">
            <v>COZINHA</v>
          </cell>
          <cell r="G2514" t="str">
            <v/>
          </cell>
          <cell r="H2514">
            <v>3099.99</v>
          </cell>
          <cell r="I2514">
            <v>2599.9899999999998</v>
          </cell>
          <cell r="J2514">
            <v>1953.9884999999999</v>
          </cell>
          <cell r="K2514">
            <v>0</v>
          </cell>
          <cell r="L2514">
            <v>1953.9884999999999</v>
          </cell>
          <cell r="M2514">
            <v>0</v>
          </cell>
          <cell r="N2514">
            <v>2599.9899999999998</v>
          </cell>
          <cell r="O2514" t="str">
            <v/>
          </cell>
          <cell r="P2514">
            <v>0</v>
          </cell>
          <cell r="Q2514">
            <v>0.330606602853599</v>
          </cell>
          <cell r="R2514">
            <v>0.330606602853599</v>
          </cell>
          <cell r="S2514" t="e">
            <v>#VALUE!</v>
          </cell>
          <cell r="T2514" t="e">
            <v>#VALUE!</v>
          </cell>
        </row>
        <row r="2515">
          <cell r="A2515" t="str">
            <v>G244007KGL</v>
          </cell>
          <cell r="B2515" t="str">
            <v>MKP000631003451</v>
          </cell>
          <cell r="C2515" t="str">
            <v/>
          </cell>
          <cell r="D2515" t="str">
            <v>Balcão Madesa Glamy 40 cm 1 Porta Rustic/Preto</v>
          </cell>
          <cell r="E2515" t="str">
            <v>GLAMY</v>
          </cell>
          <cell r="F2515" t="str">
            <v>MODULAÇÃO</v>
          </cell>
          <cell r="G2515" t="str">
            <v/>
          </cell>
          <cell r="H2515">
            <v>509.99</v>
          </cell>
          <cell r="I2515">
            <v>349.99</v>
          </cell>
          <cell r="J2515">
            <v>223.8424</v>
          </cell>
          <cell r="K2515">
            <v>0</v>
          </cell>
          <cell r="L2515">
            <v>223.8424</v>
          </cell>
          <cell r="M2515">
            <v>0</v>
          </cell>
          <cell r="N2515">
            <v>349.99</v>
          </cell>
          <cell r="O2515" t="str">
            <v/>
          </cell>
          <cell r="P2515">
            <v>0</v>
          </cell>
          <cell r="Q2515">
            <v>0.56355543007044195</v>
          </cell>
          <cell r="R2515">
            <v>0.56355543007044195</v>
          </cell>
          <cell r="S2515" t="e">
            <v>#VALUE!</v>
          </cell>
          <cell r="T2515" t="e">
            <v>#VALUE!</v>
          </cell>
        </row>
        <row r="2516">
          <cell r="A2516" t="str">
            <v>G253506ETE</v>
          </cell>
          <cell r="B2516" t="str">
            <v>MKP000631002145</v>
          </cell>
          <cell r="C2516" t="str">
            <v/>
          </cell>
          <cell r="D2516" t="str">
            <v>Armário Aéreo Madesa Stella 35 cm 1 Porta Rustic/Branco</v>
          </cell>
          <cell r="E2516" t="str">
            <v>STELLA</v>
          </cell>
          <cell r="F2516" t="str">
            <v>MODULAÇÃO</v>
          </cell>
          <cell r="G2516" t="str">
            <v/>
          </cell>
          <cell r="H2516">
            <v>369.99</v>
          </cell>
          <cell r="I2516">
            <v>279.99</v>
          </cell>
          <cell r="J2516">
            <v>165.37479999999999</v>
          </cell>
          <cell r="K2516">
            <v>0</v>
          </cell>
          <cell r="L2516">
            <v>165.37479999999999</v>
          </cell>
          <cell r="M2516">
            <v>0</v>
          </cell>
          <cell r="N2516">
            <v>279.99</v>
          </cell>
          <cell r="O2516" t="str">
            <v/>
          </cell>
          <cell r="P2516">
            <v>0</v>
          </cell>
          <cell r="Q2516">
            <v>0.69306327203419105</v>
          </cell>
          <cell r="R2516">
            <v>0.69306327203419105</v>
          </cell>
          <cell r="S2516" t="e">
            <v>#VALUE!</v>
          </cell>
          <cell r="T2516" t="e">
            <v>#VALUE!</v>
          </cell>
        </row>
        <row r="2517">
          <cell r="A2517" t="str">
            <v>GREM1690057K</v>
          </cell>
          <cell r="B2517" t="str">
            <v>MKP000631001829</v>
          </cell>
          <cell r="C2517" t="str">
            <v/>
          </cell>
          <cell r="D2517" t="str">
            <v>Armário de Cozinha Completa 169cm Rustic/Preto Emilly Fly Madesa 05</v>
          </cell>
          <cell r="E2517" t="str">
            <v>FLY/EMILLY</v>
          </cell>
          <cell r="F2517" t="str">
            <v>COZINHA</v>
          </cell>
          <cell r="G2517" t="str">
            <v/>
          </cell>
          <cell r="H2517">
            <v>1469.99</v>
          </cell>
          <cell r="I2517">
            <v>999.99</v>
          </cell>
          <cell r="J2517">
            <v>863.63969999999995</v>
          </cell>
          <cell r="K2517">
            <v>0</v>
          </cell>
          <cell r="L2517">
            <v>863.63969999999995</v>
          </cell>
          <cell r="M2517">
            <v>0</v>
          </cell>
          <cell r="N2517">
            <v>999.99</v>
          </cell>
          <cell r="O2517" t="str">
            <v/>
          </cell>
          <cell r="P2517">
            <v>0</v>
          </cell>
          <cell r="Q2517">
            <v>0.15787868482655401</v>
          </cell>
          <cell r="R2517">
            <v>0.15787868482655401</v>
          </cell>
          <cell r="S2517" t="e">
            <v>#VALUE!</v>
          </cell>
          <cell r="T2517" t="e">
            <v>#VALUE!</v>
          </cell>
        </row>
        <row r="2518">
          <cell r="A2518" t="str">
            <v>XA10639B1ECP</v>
          </cell>
          <cell r="B2518" t="str">
            <v>MKP000631001484</v>
          </cell>
          <cell r="C2518" t="str">
            <v/>
          </cell>
          <cell r="D2518" t="str">
            <v>Guarda-Roupa Infantil Madesa Logan 100% MDF 3 Portas de Correr com Espelho com Pés Branco/Rustic</v>
          </cell>
          <cell r="E2518" t="str">
            <v>LOGAN</v>
          </cell>
          <cell r="F2518" t="str">
            <v>QUARTO</v>
          </cell>
          <cell r="G2518" t="str">
            <v/>
          </cell>
          <cell r="H2518">
            <v>2789.99</v>
          </cell>
          <cell r="I2518">
            <v>2199.9899999999998</v>
          </cell>
          <cell r="J2518">
            <v>1838.7973</v>
          </cell>
          <cell r="K2518">
            <v>0</v>
          </cell>
          <cell r="L2518">
            <v>1838.7973</v>
          </cell>
          <cell r="M2518">
            <v>0</v>
          </cell>
          <cell r="N2518">
            <v>2199.9899999999998</v>
          </cell>
          <cell r="O2518" t="str">
            <v/>
          </cell>
          <cell r="P2518">
            <v>0</v>
          </cell>
          <cell r="Q2518">
            <v>0.19642877439508899</v>
          </cell>
          <cell r="R2518">
            <v>0.19642877439508899</v>
          </cell>
          <cell r="S2518" t="e">
            <v>#VALUE!</v>
          </cell>
          <cell r="T2518" t="e">
            <v>#VALUE!</v>
          </cell>
        </row>
        <row r="2519">
          <cell r="A2519" t="str">
            <v>GRGL290016C1</v>
          </cell>
          <cell r="B2519" t="str">
            <v>MKP000631001301</v>
          </cell>
          <cell r="C2519" t="str">
            <v/>
          </cell>
          <cell r="D2519" t="str">
            <v>Armário de Cozinha Completa 290cm Rustic/Preto Vicenza Madesa 16</v>
          </cell>
          <cell r="E2519" t="str">
            <v>VICENZA/GLAMY</v>
          </cell>
          <cell r="F2519" t="str">
            <v>COZINHA</v>
          </cell>
          <cell r="G2519" t="str">
            <v/>
          </cell>
          <cell r="H2519">
            <v>3299.99</v>
          </cell>
          <cell r="I2519">
            <v>2599.9899999999998</v>
          </cell>
          <cell r="J2519">
            <v>2167.4105</v>
          </cell>
          <cell r="K2519">
            <v>0</v>
          </cell>
          <cell r="L2519">
            <v>2167.4105</v>
          </cell>
          <cell r="M2519">
            <v>0</v>
          </cell>
          <cell r="N2519">
            <v>2599.9899999999998</v>
          </cell>
          <cell r="O2519" t="str">
            <v/>
          </cell>
          <cell r="P2519">
            <v>0</v>
          </cell>
          <cell r="Q2519">
            <v>0.19958355835223601</v>
          </cell>
          <cell r="R2519">
            <v>0.19958355835223601</v>
          </cell>
          <cell r="S2519" t="e">
            <v>#VALUE!</v>
          </cell>
          <cell r="T2519" t="e">
            <v>#VALUE!</v>
          </cell>
        </row>
        <row r="2520">
          <cell r="A2520" t="str">
            <v>GCGL5040016E</v>
          </cell>
          <cell r="B2520" t="str">
            <v>MKP000631004733</v>
          </cell>
          <cell r="C2520" t="str">
            <v/>
          </cell>
          <cell r="D2520" t="str">
            <v>Armário de Cozinha Completa de Canto 504cm Rustic/Branco Glamy Madesa 01</v>
          </cell>
          <cell r="E2520" t="str">
            <v>GLAMY</v>
          </cell>
          <cell r="F2520" t="str">
            <v>COZINHA</v>
          </cell>
          <cell r="G2520" t="str">
            <v/>
          </cell>
          <cell r="H2520">
            <v>3999.99</v>
          </cell>
          <cell r="I2520">
            <v>3759.99</v>
          </cell>
          <cell r="J2520">
            <v>3104.1565000000001</v>
          </cell>
          <cell r="K2520">
            <v>0</v>
          </cell>
          <cell r="L2520">
            <v>3104.1565000000001</v>
          </cell>
          <cell r="M2520">
            <v>0</v>
          </cell>
          <cell r="N2520">
            <v>3759.99</v>
          </cell>
          <cell r="O2520" t="str">
            <v/>
          </cell>
          <cell r="P2520">
            <v>0</v>
          </cell>
          <cell r="Q2520">
            <v>0.211275913440576</v>
          </cell>
          <cell r="R2520">
            <v>0.211275913440576</v>
          </cell>
          <cell r="S2520" t="e">
            <v>#VALUE!</v>
          </cell>
          <cell r="T2520" t="e">
            <v>#VALUE!</v>
          </cell>
        </row>
        <row r="2521">
          <cell r="A2521" t="str">
            <v>GRSM19000109</v>
          </cell>
          <cell r="B2521" t="str">
            <v>MKP000631001289</v>
          </cell>
          <cell r="C2521" t="str">
            <v/>
          </cell>
          <cell r="D2521" t="str">
            <v>Armário de Cozinha Compacta 100% MDF 190 cm Frentes Branco Smart Madesa 01</v>
          </cell>
          <cell r="E2521" t="str">
            <v>SMART</v>
          </cell>
          <cell r="F2521" t="str">
            <v>COZINHA</v>
          </cell>
          <cell r="G2521" t="str">
            <v/>
          </cell>
          <cell r="H2521">
            <v>1399.99</v>
          </cell>
          <cell r="I2521">
            <v>1319.99</v>
          </cell>
          <cell r="J2521">
            <v>1049.0814</v>
          </cell>
          <cell r="K2521">
            <v>0</v>
          </cell>
          <cell r="L2521">
            <v>1049.0814</v>
          </cell>
          <cell r="M2521">
            <v>0</v>
          </cell>
          <cell r="N2521">
            <v>1319.99</v>
          </cell>
          <cell r="O2521" t="str">
            <v>MADEIRAMADEIRA/IMPÉRIO</v>
          </cell>
          <cell r="P2521">
            <v>1289.99</v>
          </cell>
          <cell r="Q2521">
            <v>0.25823410843048</v>
          </cell>
          <cell r="R2521">
            <v>0.25823410843048</v>
          </cell>
          <cell r="S2521" t="e">
            <v>#VALUE!</v>
          </cell>
          <cell r="T2521" t="e">
            <v>#VALUE!</v>
          </cell>
        </row>
        <row r="2522">
          <cell r="A2522" t="str">
            <v>106373</v>
          </cell>
          <cell r="B2522" t="str">
            <v>MKP000631003121</v>
          </cell>
          <cell r="C2522" t="str">
            <v/>
          </cell>
          <cell r="D2522" t="str">
            <v>Guarda-Roupa Casal 100% MDF Madesa Royale 3 Portas de Correr Branco/Preto</v>
          </cell>
          <cell r="E2522" t="str">
            <v>ROYALE</v>
          </cell>
          <cell r="F2522" t="str">
            <v>QUARTO</v>
          </cell>
          <cell r="G2522" t="str">
            <v/>
          </cell>
          <cell r="H2522">
            <v>2269.9899999999998</v>
          </cell>
          <cell r="I2522">
            <v>1879.99</v>
          </cell>
          <cell r="J2522">
            <v>1551.3534</v>
          </cell>
          <cell r="K2522">
            <v>0</v>
          </cell>
          <cell r="L2522">
            <v>1551.3534</v>
          </cell>
          <cell r="M2522">
            <v>0</v>
          </cell>
          <cell r="N2522">
            <v>1879.99</v>
          </cell>
          <cell r="O2522" t="str">
            <v/>
          </cell>
          <cell r="P2522">
            <v>0</v>
          </cell>
          <cell r="Q2522">
            <v>0.21183864359984</v>
          </cell>
          <cell r="R2522">
            <v>0.21183864359984</v>
          </cell>
          <cell r="S2522" t="e">
            <v>#VALUE!</v>
          </cell>
          <cell r="T2522" t="e">
            <v>#VALUE!</v>
          </cell>
        </row>
        <row r="2523">
          <cell r="A2523" t="str">
            <v>MDJA0401777GBE</v>
          </cell>
          <cell r="B2523" t="str">
            <v>MKP000631005881</v>
          </cell>
          <cell r="C2523" t="str">
            <v/>
          </cell>
          <cell r="D2523" t="str">
            <v>Conjunto Sala de Jantar Mesa Tampo de Madeira 4 Cadeiras Rustic/Bege Angel Madesa</v>
          </cell>
          <cell r="E2523" t="str">
            <v>ANGEL</v>
          </cell>
          <cell r="F2523" t="str">
            <v>SALA DE JANTAR</v>
          </cell>
          <cell r="G2523" t="str">
            <v>4280X</v>
          </cell>
          <cell r="H2523">
            <v>699.99</v>
          </cell>
          <cell r="I2523">
            <v>599.99</v>
          </cell>
          <cell r="J2523">
            <v>491.56819999999999</v>
          </cell>
          <cell r="K2523">
            <v>0</v>
          </cell>
          <cell r="L2523">
            <v>491.56819999999999</v>
          </cell>
          <cell r="M2523">
            <v>0</v>
          </cell>
          <cell r="N2523">
            <v>599.99</v>
          </cell>
          <cell r="O2523" t="str">
            <v/>
          </cell>
          <cell r="P2523">
            <v>0</v>
          </cell>
          <cell r="Q2523">
            <v>0.22056308768549299</v>
          </cell>
          <cell r="R2523">
            <v>0.22056308768549299</v>
          </cell>
          <cell r="S2523" t="e">
            <v>#VALUE!</v>
          </cell>
          <cell r="T2523" t="e">
            <v>#VALUE!</v>
          </cell>
        </row>
        <row r="2524">
          <cell r="A2524" t="str">
            <v>GCGL46900109</v>
          </cell>
          <cell r="B2524" t="str">
            <v>MKP000631005060</v>
          </cell>
          <cell r="C2524" t="str">
            <v/>
          </cell>
          <cell r="D2524" t="str">
            <v>Armário de Cozinha Completa de Canto 469cm Branco Glamy Madesa 01</v>
          </cell>
          <cell r="E2524" t="str">
            <v>GLAMY</v>
          </cell>
          <cell r="F2524" t="str">
            <v>COZINHA</v>
          </cell>
          <cell r="G2524" t="str">
            <v/>
          </cell>
          <cell r="H2524">
            <v>3399.99</v>
          </cell>
          <cell r="I2524">
            <v>3299.99</v>
          </cell>
          <cell r="J2524">
            <v>2599.2467000000001</v>
          </cell>
          <cell r="K2524">
            <v>0</v>
          </cell>
          <cell r="L2524">
            <v>2599.2467000000001</v>
          </cell>
          <cell r="M2524">
            <v>0</v>
          </cell>
          <cell r="N2524">
            <v>3299.99</v>
          </cell>
          <cell r="O2524" t="str">
            <v/>
          </cell>
          <cell r="P2524">
            <v>0</v>
          </cell>
          <cell r="Q2524">
            <v>0.26959476374443397</v>
          </cell>
          <cell r="R2524">
            <v>0.26959476374443397</v>
          </cell>
          <cell r="S2524" t="e">
            <v>#VALUE!</v>
          </cell>
          <cell r="T2524" t="e">
            <v>#VALUE!</v>
          </cell>
        </row>
        <row r="2525">
          <cell r="A2525" t="str">
            <v>GRGM25000409</v>
          </cell>
          <cell r="B2525" t="str">
            <v>MKP000631004540</v>
          </cell>
          <cell r="C2525" t="str">
            <v/>
          </cell>
          <cell r="D2525" t="str">
            <v>Armário de Cozinha Completa 100% MDF 250cm Frentes Branco Brilho Acordes Madesa 04</v>
          </cell>
          <cell r="E2525" t="str">
            <v>ACORDES</v>
          </cell>
          <cell r="F2525" t="str">
            <v>COZINHA</v>
          </cell>
          <cell r="G2525" t="str">
            <v/>
          </cell>
          <cell r="H2525">
            <v>2389.9899999999998</v>
          </cell>
          <cell r="I2525">
            <v>1969.99</v>
          </cell>
          <cell r="J2525">
            <v>1471.7834</v>
          </cell>
          <cell r="K2525">
            <v>0</v>
          </cell>
          <cell r="L2525">
            <v>1471.7834</v>
          </cell>
          <cell r="M2525">
            <v>0</v>
          </cell>
          <cell r="N2525">
            <v>1969.99</v>
          </cell>
          <cell r="O2525" t="str">
            <v/>
          </cell>
          <cell r="P2525">
            <v>0</v>
          </cell>
          <cell r="Q2525">
            <v>0.33850538061510999</v>
          </cell>
          <cell r="R2525">
            <v>0.33850538061510999</v>
          </cell>
          <cell r="S2525" t="e">
            <v>#VALUE!</v>
          </cell>
          <cell r="T2525" t="e">
            <v>#VALUE!</v>
          </cell>
        </row>
        <row r="2526">
          <cell r="A2526" t="str">
            <v>G257029BGL</v>
          </cell>
          <cell r="B2526" t="str">
            <v>MKP000631003495</v>
          </cell>
          <cell r="C2526" t="str">
            <v/>
          </cell>
          <cell r="D2526" t="str">
            <v>Armário Aéreo de Cozinha Madesa Glamy 70 cm 1 Porta Basculante Branco/Rustic</v>
          </cell>
          <cell r="E2526" t="str">
            <v>GLAMY</v>
          </cell>
          <cell r="F2526" t="str">
            <v>MODULAÇÃO</v>
          </cell>
          <cell r="G2526" t="str">
            <v/>
          </cell>
          <cell r="H2526">
            <v>409.99</v>
          </cell>
          <cell r="I2526">
            <v>259.99</v>
          </cell>
          <cell r="J2526">
            <v>166.5847</v>
          </cell>
          <cell r="K2526">
            <v>0</v>
          </cell>
          <cell r="L2526">
            <v>166.5847</v>
          </cell>
          <cell r="M2526">
            <v>0</v>
          </cell>
          <cell r="N2526">
            <v>259.99</v>
          </cell>
          <cell r="O2526" t="str">
            <v/>
          </cell>
          <cell r="P2526">
            <v>0</v>
          </cell>
          <cell r="Q2526">
            <v>0.56070755597602895</v>
          </cell>
          <cell r="R2526">
            <v>0.56070755597602895</v>
          </cell>
          <cell r="S2526" t="e">
            <v>#VALUE!</v>
          </cell>
          <cell r="T2526" t="e">
            <v>#VALUE!</v>
          </cell>
        </row>
        <row r="2527">
          <cell r="A2527" t="str">
            <v>GRLX2400039R</v>
          </cell>
          <cell r="B2527" t="str">
            <v>MKP000631003365</v>
          </cell>
          <cell r="C2527" t="str">
            <v/>
          </cell>
          <cell r="D2527" t="str">
            <v>Armário de Cozinha Completa 240cm Branco/Cinza Lux Madesa 03</v>
          </cell>
          <cell r="E2527" t="str">
            <v>LUX</v>
          </cell>
          <cell r="F2527" t="str">
            <v>COZINHA</v>
          </cell>
          <cell r="G2527" t="str">
            <v/>
          </cell>
          <cell r="H2527">
            <v>4589.99</v>
          </cell>
          <cell r="I2527">
            <v>4519.99</v>
          </cell>
          <cell r="J2527">
            <v>2795.6320000000001</v>
          </cell>
          <cell r="K2527">
            <v>0</v>
          </cell>
          <cell r="L2527">
            <v>2795.6320000000001</v>
          </cell>
          <cell r="M2527">
            <v>0</v>
          </cell>
          <cell r="N2527">
            <v>4519.99</v>
          </cell>
          <cell r="O2527" t="str">
            <v>LOJA</v>
          </cell>
          <cell r="P2527">
            <v>3969.99</v>
          </cell>
          <cell r="Q2527">
            <v>0.61680435765508401</v>
          </cell>
          <cell r="R2527">
            <v>0.61680435765508401</v>
          </cell>
          <cell r="S2527" t="e">
            <v>#VALUE!</v>
          </cell>
          <cell r="T2527" t="e">
            <v>#VALUE!</v>
          </cell>
        </row>
        <row r="2528">
          <cell r="A2528" t="str">
            <v>G246007KGL</v>
          </cell>
          <cell r="B2528" t="str">
            <v>MKP000631001147</v>
          </cell>
          <cell r="C2528" t="str">
            <v/>
          </cell>
          <cell r="D2528" t="str">
            <v>Balcão Madesa Glamy 60 cm 1 Porta Rustic/Preto</v>
          </cell>
          <cell r="E2528" t="str">
            <v>GLAMY</v>
          </cell>
          <cell r="F2528" t="str">
            <v>MODULAÇÃO</v>
          </cell>
          <cell r="G2528" t="str">
            <v/>
          </cell>
          <cell r="H2528">
            <v>819.99</v>
          </cell>
          <cell r="I2528">
            <v>419.99</v>
          </cell>
          <cell r="J2528">
            <v>262.66820000000001</v>
          </cell>
          <cell r="K2528">
            <v>0</v>
          </cell>
          <cell r="L2528">
            <v>262.66820000000001</v>
          </cell>
          <cell r="M2528">
            <v>0</v>
          </cell>
          <cell r="N2528">
            <v>419.99</v>
          </cell>
          <cell r="O2528" t="str">
            <v/>
          </cell>
          <cell r="P2528">
            <v>0</v>
          </cell>
          <cell r="Q2528">
            <v>0.59893736660928099</v>
          </cell>
          <cell r="R2528">
            <v>0.59893736660928099</v>
          </cell>
          <cell r="S2528" t="e">
            <v>#VALUE!</v>
          </cell>
          <cell r="T2528" t="e">
            <v>#VALUE!</v>
          </cell>
        </row>
        <row r="2529">
          <cell r="A2529" t="str">
            <v>G26655F8AG</v>
          </cell>
          <cell r="B2529" t="str">
            <v>MKP000631002949</v>
          </cell>
          <cell r="C2529" t="str">
            <v/>
          </cell>
          <cell r="D2529" t="str">
            <v>Torre Quente Madesa Agata 60 cm 1 Porta 3 Gavetas Branco/Cinza</v>
          </cell>
          <cell r="E2529" t="str">
            <v>ÁGATA</v>
          </cell>
          <cell r="F2529" t="str">
            <v>MODULAÇÃO</v>
          </cell>
          <cell r="G2529" t="str">
            <v/>
          </cell>
          <cell r="H2529">
            <v>1359.99</v>
          </cell>
          <cell r="I2529">
            <v>919.99</v>
          </cell>
          <cell r="J2529">
            <v>547.2672</v>
          </cell>
          <cell r="K2529">
            <v>0</v>
          </cell>
          <cell r="L2529">
            <v>547.2672</v>
          </cell>
          <cell r="M2529">
            <v>0</v>
          </cell>
          <cell r="N2529">
            <v>919.99</v>
          </cell>
          <cell r="O2529" t="str">
            <v/>
          </cell>
          <cell r="P2529">
            <v>0</v>
          </cell>
          <cell r="Q2529">
            <v>0.68106182866431597</v>
          </cell>
          <cell r="R2529">
            <v>0.68106182866431597</v>
          </cell>
          <cell r="S2529" t="e">
            <v>#VALUE!</v>
          </cell>
          <cell r="T2529" t="e">
            <v>#VALUE!</v>
          </cell>
        </row>
        <row r="2530">
          <cell r="A2530" t="str">
            <v>G2560009AG</v>
          </cell>
          <cell r="B2530" t="str">
            <v>MKP000631004424</v>
          </cell>
          <cell r="C2530" t="str">
            <v/>
          </cell>
          <cell r="D2530" t="str">
            <v>Armário Aéreo Madesa Agata 60 cm 1 Porta Branco</v>
          </cell>
          <cell r="E2530" t="str">
            <v>ÁGATA</v>
          </cell>
          <cell r="F2530" t="str">
            <v>MODULAÇÃO</v>
          </cell>
          <cell r="G2530" t="str">
            <v/>
          </cell>
          <cell r="H2530">
            <v>439.99</v>
          </cell>
          <cell r="I2530">
            <v>319.99</v>
          </cell>
          <cell r="J2530">
            <v>183.3271</v>
          </cell>
          <cell r="K2530">
            <v>0</v>
          </cell>
          <cell r="L2530">
            <v>183.3271</v>
          </cell>
          <cell r="M2530">
            <v>0</v>
          </cell>
          <cell r="N2530">
            <v>319.99</v>
          </cell>
          <cell r="O2530" t="str">
            <v/>
          </cell>
          <cell r="P2530">
            <v>0</v>
          </cell>
          <cell r="Q2530">
            <v>0.74545934561775096</v>
          </cell>
          <cell r="R2530">
            <v>0.74545934561775096</v>
          </cell>
          <cell r="S2530" t="e">
            <v>#VALUE!</v>
          </cell>
          <cell r="T2530" t="e">
            <v>#VALUE!</v>
          </cell>
        </row>
        <row r="2531">
          <cell r="A2531" t="str">
            <v>GRLX270001H8</v>
          </cell>
          <cell r="B2531" t="str">
            <v>MKP000631003762</v>
          </cell>
          <cell r="C2531" t="str">
            <v/>
          </cell>
          <cell r="D2531" t="str">
            <v>Armário de Cozinha Completa 270cm Rustic Branco Veludo Lux Madesa 01</v>
          </cell>
          <cell r="E2531" t="str">
            <v>LUX</v>
          </cell>
          <cell r="F2531" t="str">
            <v>COZINHA</v>
          </cell>
          <cell r="G2531" t="str">
            <v/>
          </cell>
          <cell r="H2531">
            <v>3039.99</v>
          </cell>
          <cell r="I2531">
            <v>2939.99</v>
          </cell>
          <cell r="J2531">
            <v>1597.4603999999999</v>
          </cell>
          <cell r="K2531">
            <v>0</v>
          </cell>
          <cell r="L2531">
            <v>1597.4603999999999</v>
          </cell>
          <cell r="M2531">
            <v>0</v>
          </cell>
          <cell r="N2531">
            <v>2939.99</v>
          </cell>
          <cell r="O2531" t="str">
            <v>LOJA</v>
          </cell>
          <cell r="P2531">
            <v>2579.9899999999998</v>
          </cell>
          <cell r="Q2531">
            <v>0.840414948627208</v>
          </cell>
          <cell r="R2531">
            <v>0.840414948627208</v>
          </cell>
          <cell r="S2531" t="e">
            <v>#VALUE!</v>
          </cell>
          <cell r="T2531" t="e">
            <v>#VALUE!</v>
          </cell>
        </row>
        <row r="2532">
          <cell r="A2532" t="str">
            <v>MDJA0601376ESL</v>
          </cell>
          <cell r="B2532" t="str">
            <v>MKP000631005309</v>
          </cell>
          <cell r="C2532" t="str">
            <v/>
          </cell>
          <cell r="D2532" t="str">
            <v>Conjunto Sala de Jantar Mesa Tampo de Madeira 6 Cadeiras Rustic/Branco/Silver Britney Madesa</v>
          </cell>
          <cell r="E2532" t="str">
            <v>BRITNEY</v>
          </cell>
          <cell r="F2532" t="str">
            <v>SALA DE JANTAR</v>
          </cell>
          <cell r="G2532">
            <v>4256</v>
          </cell>
          <cell r="H2532">
            <v>1649.99</v>
          </cell>
          <cell r="I2532">
            <v>1549.99</v>
          </cell>
          <cell r="J2532">
            <v>1208.9081000000001</v>
          </cell>
          <cell r="K2532">
            <v>0</v>
          </cell>
          <cell r="L2532">
            <v>1208.9081000000001</v>
          </cell>
          <cell r="M2532">
            <v>0</v>
          </cell>
          <cell r="N2532">
            <v>1549.99</v>
          </cell>
          <cell r="O2532" t="str">
            <v/>
          </cell>
          <cell r="P2532">
            <v>0</v>
          </cell>
          <cell r="Q2532">
            <v>0.28214047039638501</v>
          </cell>
          <cell r="R2532">
            <v>0.28214047039638501</v>
          </cell>
          <cell r="S2532" t="e">
            <v>#VALUE!</v>
          </cell>
          <cell r="T2532" t="e">
            <v>#VALUE!</v>
          </cell>
        </row>
        <row r="2533">
          <cell r="A2533" t="str">
            <v>GRGL31500209</v>
          </cell>
          <cell r="B2533" t="str">
            <v>MKP000631004360</v>
          </cell>
          <cell r="C2533" t="str">
            <v/>
          </cell>
          <cell r="D2533" t="str">
            <v>Armário de Cozinha Completa 315cm Branco Glamy Madesa 02</v>
          </cell>
          <cell r="E2533" t="str">
            <v>GLAMY</v>
          </cell>
          <cell r="F2533" t="str">
            <v>COZINHA</v>
          </cell>
          <cell r="G2533" t="str">
            <v/>
          </cell>
          <cell r="H2533">
            <v>2599.9899999999998</v>
          </cell>
          <cell r="I2533">
            <v>2499.9899999999998</v>
          </cell>
          <cell r="J2533">
            <v>2108.5286999999998</v>
          </cell>
          <cell r="K2533">
            <v>0</v>
          </cell>
          <cell r="L2533">
            <v>2108.5286999999998</v>
          </cell>
          <cell r="M2533">
            <v>0</v>
          </cell>
          <cell r="N2533">
            <v>2499.9899999999998</v>
          </cell>
          <cell r="O2533" t="str">
            <v/>
          </cell>
          <cell r="P2533">
            <v>0</v>
          </cell>
          <cell r="Q2533">
            <v>0.185656140227069</v>
          </cell>
          <cell r="R2533">
            <v>0.185656140227069</v>
          </cell>
          <cell r="S2533" t="e">
            <v>#VALUE!</v>
          </cell>
          <cell r="T2533" t="e">
            <v>#VALUE!</v>
          </cell>
        </row>
        <row r="2534">
          <cell r="A2534" t="str">
            <v>GCGL3490015Z</v>
          </cell>
          <cell r="B2534" t="str">
            <v>MKP000631004506</v>
          </cell>
          <cell r="C2534" t="str">
            <v/>
          </cell>
          <cell r="D2534" t="str">
            <v>Armário de Cozinha Completa de Canto 349cm Rustic Glamy Madesa 01</v>
          </cell>
          <cell r="E2534" t="str">
            <v>GLAMY</v>
          </cell>
          <cell r="F2534" t="str">
            <v>COZINHA</v>
          </cell>
          <cell r="G2534" t="str">
            <v/>
          </cell>
          <cell r="H2534">
            <v>2639.99</v>
          </cell>
          <cell r="I2534">
            <v>2539.9899999999998</v>
          </cell>
          <cell r="J2534">
            <v>2079.7745</v>
          </cell>
          <cell r="K2534">
            <v>0</v>
          </cell>
          <cell r="L2534">
            <v>2079.7745</v>
          </cell>
          <cell r="M2534">
            <v>0</v>
          </cell>
          <cell r="N2534">
            <v>2539.9899999999998</v>
          </cell>
          <cell r="O2534" t="str">
            <v/>
          </cell>
          <cell r="P2534">
            <v>0</v>
          </cell>
          <cell r="Q2534">
            <v>0.22128144181015799</v>
          </cell>
          <cell r="R2534">
            <v>0.22128144181015799</v>
          </cell>
          <cell r="S2534" t="e">
            <v>#VALUE!</v>
          </cell>
          <cell r="T2534" t="e">
            <v>#VALUE!</v>
          </cell>
        </row>
        <row r="2535">
          <cell r="A2535" t="str">
            <v>GRAG260002F8</v>
          </cell>
          <cell r="B2535" t="str">
            <v>MKP000631004715</v>
          </cell>
          <cell r="C2535" t="str">
            <v/>
          </cell>
          <cell r="D2535" t="str">
            <v>Armário de Cozinha Completa 260cm Branco Cinza Agata Madesa 02</v>
          </cell>
          <cell r="E2535" t="str">
            <v>ÁGATA</v>
          </cell>
          <cell r="F2535" t="str">
            <v>COZINHA</v>
          </cell>
          <cell r="G2535" t="str">
            <v/>
          </cell>
          <cell r="H2535">
            <v>1799.99</v>
          </cell>
          <cell r="I2535">
            <v>1699.99</v>
          </cell>
          <cell r="J2535">
            <v>1382.2617</v>
          </cell>
          <cell r="K2535">
            <v>0</v>
          </cell>
          <cell r="L2535">
            <v>1382.2617</v>
          </cell>
          <cell r="M2535">
            <v>0</v>
          </cell>
          <cell r="N2535">
            <v>1699.99</v>
          </cell>
          <cell r="O2535" t="str">
            <v/>
          </cell>
          <cell r="P2535">
            <v>0</v>
          </cell>
          <cell r="Q2535">
            <v>0.22986117607107201</v>
          </cell>
          <cell r="R2535">
            <v>0.22986117607107201</v>
          </cell>
          <cell r="S2535" t="e">
            <v>#VALUE!</v>
          </cell>
          <cell r="T2535" t="e">
            <v>#VALUE!</v>
          </cell>
        </row>
        <row r="2536">
          <cell r="A2536" t="str">
            <v>XB10639B2ECP</v>
          </cell>
          <cell r="B2536" t="str">
            <v>MKP000631001480</v>
          </cell>
          <cell r="C2536" t="str">
            <v/>
          </cell>
          <cell r="D2536" t="str">
            <v>Guarda-Roupa Juvenil 100% MDF Madesa Kevin 3 Portas de Correr com Espelhos com Pés Branco/Rustic</v>
          </cell>
          <cell r="E2536" t="str">
            <v>KEVIN</v>
          </cell>
          <cell r="F2536" t="str">
            <v>QUARTO</v>
          </cell>
          <cell r="G2536" t="str">
            <v/>
          </cell>
          <cell r="H2536">
            <v>3349.99</v>
          </cell>
          <cell r="I2536">
            <v>2559.9899999999998</v>
          </cell>
          <cell r="J2536">
            <v>2080.0578999999998</v>
          </cell>
          <cell r="K2536">
            <v>0</v>
          </cell>
          <cell r="L2536">
            <v>2080.0578999999998</v>
          </cell>
          <cell r="M2536">
            <v>0</v>
          </cell>
          <cell r="N2536">
            <v>2559.9899999999998</v>
          </cell>
          <cell r="O2536" t="str">
            <v/>
          </cell>
          <cell r="P2536">
            <v>0</v>
          </cell>
          <cell r="Q2536">
            <v>0.23073016380938199</v>
          </cell>
          <cell r="R2536">
            <v>0.23073016380938199</v>
          </cell>
          <cell r="S2536" t="e">
            <v>#VALUE!</v>
          </cell>
          <cell r="T2536" t="e">
            <v>#VALUE!</v>
          </cell>
        </row>
        <row r="2537">
          <cell r="A2537" t="str">
            <v>GCGL45900173</v>
          </cell>
          <cell r="B2537" t="str">
            <v>MKP000631004319</v>
          </cell>
          <cell r="C2537" t="str">
            <v/>
          </cell>
          <cell r="D2537" t="str">
            <v>Armário de Cozinha Completa de Canto 459cm Branco Preto Glamy Madesa 01</v>
          </cell>
          <cell r="E2537" t="str">
            <v>GLAMY</v>
          </cell>
          <cell r="F2537" t="str">
            <v>COZINHA</v>
          </cell>
          <cell r="G2537" t="str">
            <v/>
          </cell>
          <cell r="H2537">
            <v>3599.99</v>
          </cell>
          <cell r="I2537">
            <v>3499.99</v>
          </cell>
          <cell r="J2537">
            <v>2819.9825999999998</v>
          </cell>
          <cell r="K2537">
            <v>0</v>
          </cell>
          <cell r="L2537">
            <v>2819.9825999999998</v>
          </cell>
          <cell r="M2537">
            <v>0</v>
          </cell>
          <cell r="N2537">
            <v>3499.99</v>
          </cell>
          <cell r="O2537" t="str">
            <v/>
          </cell>
          <cell r="P2537">
            <v>0</v>
          </cell>
          <cell r="Q2537">
            <v>0.24113886376461999</v>
          </cell>
          <cell r="R2537">
            <v>0.24113886376461999</v>
          </cell>
          <cell r="S2537" t="e">
            <v>#VALUE!</v>
          </cell>
          <cell r="T2537" t="e">
            <v>#VALUE!</v>
          </cell>
        </row>
        <row r="2538">
          <cell r="A2538" t="str">
            <v>MDFC0200168N</v>
          </cell>
          <cell r="B2538" t="str">
            <v>MKP000631004485</v>
          </cell>
          <cell r="C2538" t="str">
            <v/>
          </cell>
          <cell r="D2538" t="str">
            <v>Escrivaninha Madesa Alaska + Estante Escada Preto</v>
          </cell>
          <cell r="E2538" t="str">
            <v>ALASKA + ESTANTE ESCADA</v>
          </cell>
          <cell r="F2538" t="str">
            <v>ESCRITÓRIO</v>
          </cell>
          <cell r="G2538" t="str">
            <v/>
          </cell>
          <cell r="H2538">
            <v>859.99</v>
          </cell>
          <cell r="I2538">
            <v>649.99</v>
          </cell>
          <cell r="J2538">
            <v>481.81270000000001</v>
          </cell>
          <cell r="K2538">
            <v>0</v>
          </cell>
          <cell r="L2538">
            <v>481.81270000000001</v>
          </cell>
          <cell r="M2538">
            <v>0</v>
          </cell>
          <cell r="N2538">
            <v>649.99</v>
          </cell>
          <cell r="O2538" t="str">
            <v/>
          </cell>
          <cell r="P2538">
            <v>0</v>
          </cell>
          <cell r="Q2538">
            <v>0.34905119769570198</v>
          </cell>
          <cell r="R2538">
            <v>0.34905119769570198</v>
          </cell>
          <cell r="S2538" t="e">
            <v>#VALUE!</v>
          </cell>
          <cell r="T2538" t="e">
            <v>#VALUE!</v>
          </cell>
        </row>
        <row r="2539">
          <cell r="A2539" t="str">
            <v>GRSM190001C9</v>
          </cell>
          <cell r="B2539" t="str">
            <v>MKP000631003005</v>
          </cell>
          <cell r="C2539" t="str">
            <v/>
          </cell>
          <cell r="D2539" t="str">
            <v>Armário de Cozinha Compacta 100% MDF 190 cm Frentes Branco Brilho Smart Madesa 01</v>
          </cell>
          <cell r="E2539" t="str">
            <v>SMART</v>
          </cell>
          <cell r="F2539" t="str">
            <v>COZINHA</v>
          </cell>
          <cell r="G2539" t="str">
            <v/>
          </cell>
          <cell r="H2539">
            <v>2059.9899999999998</v>
          </cell>
          <cell r="I2539">
            <v>1459.99</v>
          </cell>
          <cell r="J2539">
            <v>1049.0814</v>
          </cell>
          <cell r="K2539">
            <v>0</v>
          </cell>
          <cell r="L2539">
            <v>1049.0814</v>
          </cell>
          <cell r="M2539">
            <v>0</v>
          </cell>
          <cell r="N2539">
            <v>1459.99</v>
          </cell>
          <cell r="O2539" t="str">
            <v>LOJA</v>
          </cell>
          <cell r="P2539">
            <v>1299.99</v>
          </cell>
          <cell r="Q2539">
            <v>0.391684191522221</v>
          </cell>
          <cell r="R2539">
            <v>0.391684191522221</v>
          </cell>
          <cell r="S2539" t="e">
            <v>#VALUE!</v>
          </cell>
          <cell r="T2539" t="e">
            <v>#VALUE!</v>
          </cell>
        </row>
        <row r="2540">
          <cell r="A2540" t="str">
            <v>GCSM138001A9</v>
          </cell>
          <cell r="B2540" t="str">
            <v>MKP000631000709</v>
          </cell>
          <cell r="C2540" t="str">
            <v/>
          </cell>
          <cell r="D2540" t="str">
            <v>Kit Canto Reto Madesa Smart 2 Portas e Nicho com tampo Rustic/Crema/Branco</v>
          </cell>
          <cell r="E2540" t="str">
            <v>SMART</v>
          </cell>
          <cell r="F2540" t="str">
            <v>MODULAÇÃO</v>
          </cell>
          <cell r="G2540" t="str">
            <v/>
          </cell>
          <cell r="H2540">
            <v>939.99</v>
          </cell>
          <cell r="I2540">
            <v>729.99</v>
          </cell>
          <cell r="J2540">
            <v>449.66860000000003</v>
          </cell>
          <cell r="K2540">
            <v>0</v>
          </cell>
          <cell r="L2540">
            <v>449.66860000000003</v>
          </cell>
          <cell r="M2540">
            <v>0</v>
          </cell>
          <cell r="N2540">
            <v>729.99</v>
          </cell>
          <cell r="O2540" t="str">
            <v/>
          </cell>
          <cell r="P2540">
            <v>0</v>
          </cell>
          <cell r="Q2540">
            <v>0.62339554062702995</v>
          </cell>
          <cell r="R2540">
            <v>0.62339554062702995</v>
          </cell>
          <cell r="S2540" t="e">
            <v>#VALUE!</v>
          </cell>
          <cell r="T2540" t="e">
            <v>#VALUE!</v>
          </cell>
        </row>
        <row r="2541">
          <cell r="A2541" t="str">
            <v>G251537KAG</v>
          </cell>
          <cell r="B2541" t="str">
            <v>MKP000631004435</v>
          </cell>
          <cell r="C2541" t="str">
            <v/>
          </cell>
          <cell r="D2541" t="str">
            <v>Armário Aéreo Madesa Agata 150 cm 2 Portas e 2 Nichos Rustic/Preto</v>
          </cell>
          <cell r="E2541" t="str">
            <v>ÁGATA</v>
          </cell>
          <cell r="F2541" t="str">
            <v>MODULAÇÃO</v>
          </cell>
          <cell r="G2541" t="str">
            <v/>
          </cell>
          <cell r="H2541">
            <v>939.99</v>
          </cell>
          <cell r="I2541">
            <v>579.99</v>
          </cell>
          <cell r="J2541">
            <v>339.77480000000003</v>
          </cell>
          <cell r="K2541">
            <v>0</v>
          </cell>
          <cell r="L2541">
            <v>339.77480000000003</v>
          </cell>
          <cell r="M2541">
            <v>0</v>
          </cell>
          <cell r="N2541">
            <v>579.99</v>
          </cell>
          <cell r="O2541" t="str">
            <v/>
          </cell>
          <cell r="P2541">
            <v>0</v>
          </cell>
          <cell r="Q2541">
            <v>0.70698356676245599</v>
          </cell>
          <cell r="R2541">
            <v>0.70698356676245599</v>
          </cell>
          <cell r="S2541" t="e">
            <v>#VALUE!</v>
          </cell>
          <cell r="T2541" t="e">
            <v>#VALUE!</v>
          </cell>
        </row>
        <row r="2542">
          <cell r="A2542" t="str">
            <v>1118D83E</v>
          </cell>
          <cell r="B2542" t="str">
            <v>MKP000631002687</v>
          </cell>
          <cell r="C2542" t="str">
            <v/>
          </cell>
          <cell r="D2542" t="str">
            <v>Guarda-Roupa Casal Madesa Istambul 3 Portas de Correr de Espelho 3 Gavetas Preto/Rustic</v>
          </cell>
          <cell r="E2542" t="str">
            <v>ISTAMBUL</v>
          </cell>
          <cell r="F2542" t="str">
            <v>QUARTO</v>
          </cell>
          <cell r="G2542" t="str">
            <v/>
          </cell>
          <cell r="H2542">
            <v>2589.9899999999998</v>
          </cell>
          <cell r="I2542">
            <v>2099.9899999999998</v>
          </cell>
          <cell r="J2542">
            <v>1766.2687000000001</v>
          </cell>
          <cell r="K2542">
            <v>0</v>
          </cell>
          <cell r="L2542">
            <v>1766.2687000000001</v>
          </cell>
          <cell r="M2542">
            <v>0</v>
          </cell>
          <cell r="N2542">
            <v>2099.9899999999998</v>
          </cell>
          <cell r="O2542" t="str">
            <v/>
          </cell>
          <cell r="P2542">
            <v>0</v>
          </cell>
          <cell r="Q2542">
            <v>0.18894141078308199</v>
          </cell>
          <cell r="R2542">
            <v>0.18894141078308199</v>
          </cell>
          <cell r="S2542" t="e">
            <v>#VALUE!</v>
          </cell>
          <cell r="T2542" t="e">
            <v>#VALUE!</v>
          </cell>
        </row>
        <row r="2543">
          <cell r="A2543" t="str">
            <v>GRGL1500016E</v>
          </cell>
          <cell r="B2543" t="str">
            <v>MKP000631004250</v>
          </cell>
          <cell r="C2543" t="str">
            <v/>
          </cell>
          <cell r="D2543" t="str">
            <v>Armário de Cozinha Compacta 150cm Rustic/Branco Glamy Madesa 01</v>
          </cell>
          <cell r="E2543" t="str">
            <v>GLAMY</v>
          </cell>
          <cell r="F2543" t="str">
            <v>COZINHA</v>
          </cell>
          <cell r="G2543" t="str">
            <v/>
          </cell>
          <cell r="H2543">
            <v>1199.99</v>
          </cell>
          <cell r="I2543">
            <v>1099.99</v>
          </cell>
          <cell r="J2543">
            <v>901.11389999999994</v>
          </cell>
          <cell r="K2543">
            <v>0</v>
          </cell>
          <cell r="L2543">
            <v>901.11389999999994</v>
          </cell>
          <cell r="M2543">
            <v>0</v>
          </cell>
          <cell r="N2543">
            <v>1099.99</v>
          </cell>
          <cell r="O2543" t="str">
            <v/>
          </cell>
          <cell r="P2543">
            <v>0</v>
          </cell>
          <cell r="Q2543">
            <v>0.22070029105088701</v>
          </cell>
          <cell r="R2543">
            <v>0.22070029105088701</v>
          </cell>
          <cell r="S2543" t="e">
            <v>#VALUE!</v>
          </cell>
          <cell r="T2543" t="e">
            <v>#VALUE!</v>
          </cell>
        </row>
        <row r="2544">
          <cell r="A2544" t="str">
            <v>GRAG15000173</v>
          </cell>
          <cell r="B2544" t="str">
            <v>MKP000631004667</v>
          </cell>
          <cell r="C2544" t="str">
            <v/>
          </cell>
          <cell r="D2544" t="str">
            <v>Armário de Cozinha Compacta 150cm Branco/Preto Agata Madesa 01</v>
          </cell>
          <cell r="E2544" t="str">
            <v>ÁGATA</v>
          </cell>
          <cell r="F2544" t="str">
            <v>COZINHA</v>
          </cell>
          <cell r="G2544" t="str">
            <v/>
          </cell>
          <cell r="H2544">
            <v>1269.99</v>
          </cell>
          <cell r="I2544">
            <v>1069.99</v>
          </cell>
          <cell r="J2544">
            <v>867.71630000000005</v>
          </cell>
          <cell r="K2544">
            <v>0</v>
          </cell>
          <cell r="L2544">
            <v>867.71630000000005</v>
          </cell>
          <cell r="M2544">
            <v>0</v>
          </cell>
          <cell r="N2544">
            <v>1069.99</v>
          </cell>
          <cell r="O2544" t="str">
            <v/>
          </cell>
          <cell r="P2544">
            <v>0</v>
          </cell>
          <cell r="Q2544">
            <v>0.233110407168794</v>
          </cell>
          <cell r="R2544">
            <v>0.233110407168794</v>
          </cell>
          <cell r="S2544" t="e">
            <v>#VALUE!</v>
          </cell>
          <cell r="T2544" t="e">
            <v>#VALUE!</v>
          </cell>
        </row>
        <row r="2545">
          <cell r="A2545" t="str">
            <v>GRAG280004F8</v>
          </cell>
          <cell r="B2545" t="str">
            <v>MKP000631004551</v>
          </cell>
          <cell r="C2545" t="str">
            <v/>
          </cell>
          <cell r="D2545" t="str">
            <v>Armário de Cozinha Compacta 280cm Branco/Cinza Agata Madesa 04</v>
          </cell>
          <cell r="E2545" t="str">
            <v>ÁGATA</v>
          </cell>
          <cell r="F2545" t="str">
            <v>COZINHA</v>
          </cell>
          <cell r="G2545" t="str">
            <v/>
          </cell>
          <cell r="H2545">
            <v>1899.99</v>
          </cell>
          <cell r="I2545">
            <v>1479.99</v>
          </cell>
          <cell r="J2545">
            <v>1188.645</v>
          </cell>
          <cell r="K2545">
            <v>0</v>
          </cell>
          <cell r="L2545">
            <v>1188.645</v>
          </cell>
          <cell r="M2545">
            <v>0</v>
          </cell>
          <cell r="N2545">
            <v>1479.99</v>
          </cell>
          <cell r="O2545" t="str">
            <v/>
          </cell>
          <cell r="P2545">
            <v>0</v>
          </cell>
          <cell r="Q2545">
            <v>0.245106823315624</v>
          </cell>
          <cell r="R2545">
            <v>0.245106823315624</v>
          </cell>
          <cell r="S2545" t="e">
            <v>#VALUE!</v>
          </cell>
          <cell r="T2545" t="e">
            <v>#VALUE!</v>
          </cell>
        </row>
        <row r="2546">
          <cell r="A2546" t="str">
            <v>GRAG2000015L</v>
          </cell>
          <cell r="B2546" t="str">
            <v>MKP000631005467</v>
          </cell>
          <cell r="C2546" t="str">
            <v/>
          </cell>
          <cell r="D2546" t="str">
            <v>Kit com 2 Balcões de Cozinha 3 Gavetas 4 Portas (Sem Tampo e Pia) Branco/Crema Agata Madesa</v>
          </cell>
          <cell r="E2546" t="str">
            <v>ÁGATA</v>
          </cell>
          <cell r="F2546" t="str">
            <v>COZINHA</v>
          </cell>
          <cell r="G2546" t="str">
            <v/>
          </cell>
          <cell r="H2546">
            <v>1129.99</v>
          </cell>
          <cell r="I2546">
            <v>1129.99</v>
          </cell>
          <cell r="J2546">
            <v>868.41390000000001</v>
          </cell>
          <cell r="K2546">
            <v>0</v>
          </cell>
          <cell r="L2546">
            <v>868.41390000000001</v>
          </cell>
          <cell r="M2546">
            <v>0</v>
          </cell>
          <cell r="N2546">
            <v>1129.99</v>
          </cell>
          <cell r="O2546" t="str">
            <v/>
          </cell>
          <cell r="P2546">
            <v>0</v>
          </cell>
          <cell r="Q2546">
            <v>0.30121132331023298</v>
          </cell>
          <cell r="R2546">
            <v>0.30121132331023298</v>
          </cell>
          <cell r="S2546" t="e">
            <v>#VALUE!</v>
          </cell>
          <cell r="T2546" t="e">
            <v>#VALUE!</v>
          </cell>
        </row>
        <row r="2547">
          <cell r="A2547" t="str">
            <v>G200267G</v>
          </cell>
          <cell r="B2547" t="str">
            <v>MKP000631005587</v>
          </cell>
          <cell r="C2547" t="str">
            <v/>
          </cell>
          <cell r="D2547" t="str">
            <v>Armário de Cozinha Compacta 120cm Rustic/Crema Easy Madesa</v>
          </cell>
          <cell r="E2547" t="str">
            <v>EASY</v>
          </cell>
          <cell r="F2547" t="str">
            <v>COZINHA</v>
          </cell>
          <cell r="G2547" t="str">
            <v/>
          </cell>
          <cell r="H2547">
            <v>479.99</v>
          </cell>
          <cell r="I2547">
            <v>479.99</v>
          </cell>
          <cell r="J2547">
            <v>340.81029999999998</v>
          </cell>
          <cell r="K2547">
            <v>0</v>
          </cell>
          <cell r="L2547">
            <v>340.81029999999998</v>
          </cell>
          <cell r="M2547">
            <v>0</v>
          </cell>
          <cell r="N2547">
            <v>479.99</v>
          </cell>
          <cell r="O2547" t="str">
            <v>MELI</v>
          </cell>
          <cell r="P2547">
            <v>544.44000000000005</v>
          </cell>
          <cell r="Q2547">
            <v>0.40837879606338201</v>
          </cell>
          <cell r="R2547">
            <v>0.40837879606338201</v>
          </cell>
          <cell r="S2547" t="e">
            <v>#VALUE!</v>
          </cell>
          <cell r="T2547" t="e">
            <v>#VALUE!</v>
          </cell>
        </row>
        <row r="2548">
          <cell r="A2548" t="str">
            <v>G22800H7LXCT</v>
          </cell>
          <cell r="B2548" t="str">
            <v>MKP000631005072</v>
          </cell>
          <cell r="C2548" t="str">
            <v/>
          </cell>
          <cell r="D2548" t="str">
            <v>Balcão 80 cm 2 Portas Branco/Branco Veludo Lux Madesa</v>
          </cell>
          <cell r="E2548" t="str">
            <v>LUX</v>
          </cell>
          <cell r="F2548" t="str">
            <v>MODULAÇÃO</v>
          </cell>
          <cell r="G2548" t="str">
            <v/>
          </cell>
          <cell r="H2548">
            <v>889.99</v>
          </cell>
          <cell r="I2548">
            <v>829.99</v>
          </cell>
          <cell r="J2548">
            <v>419.48649999999998</v>
          </cell>
          <cell r="K2548">
            <v>0</v>
          </cell>
          <cell r="L2548">
            <v>419.48649999999998</v>
          </cell>
          <cell r="M2548">
            <v>0</v>
          </cell>
          <cell r="N2548">
            <v>829.99</v>
          </cell>
          <cell r="O2548" t="str">
            <v>LOJA</v>
          </cell>
          <cell r="P2548">
            <v>819.99</v>
          </cell>
          <cell r="Q2548">
            <v>0.97858572325927096</v>
          </cell>
          <cell r="R2548">
            <v>0.97858572325927096</v>
          </cell>
          <cell r="S2548" t="e">
            <v>#VALUE!</v>
          </cell>
          <cell r="T2548" t="e">
            <v>#VALUE!</v>
          </cell>
        </row>
        <row r="2549">
          <cell r="A2549" t="str">
            <v>GCGL39900209</v>
          </cell>
          <cell r="B2549" t="str">
            <v>MKP000631004385</v>
          </cell>
          <cell r="C2549" t="str">
            <v/>
          </cell>
          <cell r="D2549" t="str">
            <v>Armário de Cozinha Completa de Canto 399cm Branco Glamy Madesa 02</v>
          </cell>
          <cell r="E2549" t="str">
            <v>GLAMY</v>
          </cell>
          <cell r="F2549" t="str">
            <v>COZINHA</v>
          </cell>
          <cell r="G2549" t="str">
            <v/>
          </cell>
          <cell r="H2549">
            <v>2999.99</v>
          </cell>
          <cell r="I2549">
            <v>2899.99</v>
          </cell>
          <cell r="J2549">
            <v>2430.6781999999998</v>
          </cell>
          <cell r="K2549">
            <v>0</v>
          </cell>
          <cell r="L2549">
            <v>2430.6781999999998</v>
          </cell>
          <cell r="M2549">
            <v>0</v>
          </cell>
          <cell r="N2549">
            <v>2899.99</v>
          </cell>
          <cell r="O2549" t="str">
            <v/>
          </cell>
          <cell r="P2549">
            <v>0</v>
          </cell>
          <cell r="Q2549">
            <v>0.193078540795733</v>
          </cell>
          <cell r="R2549">
            <v>0.193078540795733</v>
          </cell>
          <cell r="S2549" t="e">
            <v>#VALUE!</v>
          </cell>
          <cell r="T2549" t="e">
            <v>#VALUE!</v>
          </cell>
        </row>
        <row r="2550">
          <cell r="A2550" t="str">
            <v>10189B1E</v>
          </cell>
          <cell r="B2550" t="str">
            <v>MKP000631002374</v>
          </cell>
          <cell r="C2550" t="str">
            <v/>
          </cell>
          <cell r="D2550" t="str">
            <v>Guarda-Roupa Casal Madesa Kansas 3 Portas de Correr com Espelho 3 Gavetas Branco/Rustic</v>
          </cell>
          <cell r="E2550" t="str">
            <v>KANSAS</v>
          </cell>
          <cell r="F2550" t="str">
            <v>QUARTO</v>
          </cell>
          <cell r="G2550" t="str">
            <v/>
          </cell>
          <cell r="H2550">
            <v>2089.9899999999998</v>
          </cell>
          <cell r="I2550">
            <v>1559.99</v>
          </cell>
          <cell r="J2550">
            <v>1284.2162000000001</v>
          </cell>
          <cell r="K2550">
            <v>0</v>
          </cell>
          <cell r="L2550">
            <v>1284.2162000000001</v>
          </cell>
          <cell r="M2550">
            <v>0</v>
          </cell>
          <cell r="N2550">
            <v>1559.99</v>
          </cell>
          <cell r="O2550" t="str">
            <v/>
          </cell>
          <cell r="P2550">
            <v>0</v>
          </cell>
          <cell r="Q2550">
            <v>0.214740944710089</v>
          </cell>
          <cell r="R2550">
            <v>0.214740944710089</v>
          </cell>
          <cell r="S2550" t="e">
            <v>#VALUE!</v>
          </cell>
          <cell r="T2550" t="e">
            <v>#VALUE!</v>
          </cell>
        </row>
        <row r="2551">
          <cell r="A2551" t="str">
            <v>GRAG2900016E</v>
          </cell>
          <cell r="B2551" t="str">
            <v>MKP000631004461</v>
          </cell>
          <cell r="C2551" t="str">
            <v/>
          </cell>
          <cell r="D2551" t="str">
            <v>Armário de Cozinha Completa 290cm Rustic/Branco Agata Madesa 01</v>
          </cell>
          <cell r="E2551" t="str">
            <v>ÁGATA</v>
          </cell>
          <cell r="F2551" t="str">
            <v>COZINHA</v>
          </cell>
          <cell r="G2551" t="str">
            <v/>
          </cell>
          <cell r="H2551">
            <v>2599.9899999999998</v>
          </cell>
          <cell r="I2551">
            <v>2499.9899999999998</v>
          </cell>
          <cell r="J2551">
            <v>1998.4713999999999</v>
          </cell>
          <cell r="K2551">
            <v>0</v>
          </cell>
          <cell r="L2551">
            <v>1998.4713999999999</v>
          </cell>
          <cell r="M2551">
            <v>0</v>
          </cell>
          <cell r="N2551">
            <v>2499.9899999999998</v>
          </cell>
          <cell r="O2551" t="str">
            <v/>
          </cell>
          <cell r="P2551">
            <v>0</v>
          </cell>
          <cell r="Q2551">
            <v>0.25095110192720299</v>
          </cell>
          <cell r="R2551">
            <v>0.25095110192720299</v>
          </cell>
          <cell r="S2551" t="e">
            <v>#VALUE!</v>
          </cell>
          <cell r="T2551" t="e">
            <v>#VALUE!</v>
          </cell>
        </row>
        <row r="2552">
          <cell r="A2552" t="str">
            <v>MDJA0401187GFBM</v>
          </cell>
          <cell r="B2552" t="str">
            <v>MKP000631004163</v>
          </cell>
          <cell r="C2552" t="str">
            <v/>
          </cell>
          <cell r="D2552" t="str">
            <v>Conjunto Sala de Jantar Madesa Madu Mesa Tampo de Vidro Redondo 4 Cadeiras Rustic/Crema/Bege Marrom</v>
          </cell>
          <cell r="E2552" t="str">
            <v>MADU</v>
          </cell>
          <cell r="F2552" t="str">
            <v>SALA DE JANTAR</v>
          </cell>
          <cell r="G2552" t="str">
            <v>4291X</v>
          </cell>
          <cell r="H2552">
            <v>969.99</v>
          </cell>
          <cell r="I2552">
            <v>789.99</v>
          </cell>
          <cell r="J2552">
            <v>617.43050000000005</v>
          </cell>
          <cell r="K2552">
            <v>0</v>
          </cell>
          <cell r="L2552">
            <v>617.43050000000005</v>
          </cell>
          <cell r="M2552">
            <v>0</v>
          </cell>
          <cell r="N2552">
            <v>789.99</v>
          </cell>
          <cell r="O2552" t="str">
            <v/>
          </cell>
          <cell r="P2552">
            <v>0</v>
          </cell>
          <cell r="Q2552">
            <v>0.27948003864402599</v>
          </cell>
          <cell r="R2552">
            <v>0.27948003864402599</v>
          </cell>
          <cell r="S2552" t="e">
            <v>#VALUE!</v>
          </cell>
          <cell r="T2552" t="e">
            <v>#VALUE!</v>
          </cell>
        </row>
        <row r="2553">
          <cell r="A2553" t="str">
            <v>MDES0200147377</v>
          </cell>
          <cell r="B2553" t="str">
            <v>MKP000631002878</v>
          </cell>
          <cell r="C2553" t="str">
            <v/>
          </cell>
          <cell r="D2553" t="str">
            <v>Rack Madesa Dubai e Painel para TV até 65 Polegadas com Pés Branco/Preto 7377</v>
          </cell>
          <cell r="E2553" t="str">
            <v>DUBAI</v>
          </cell>
          <cell r="F2553" t="str">
            <v>SALA DE ESTAR</v>
          </cell>
          <cell r="G2553" t="str">
            <v/>
          </cell>
          <cell r="H2553">
            <v>1149.99</v>
          </cell>
          <cell r="I2553">
            <v>599.99</v>
          </cell>
          <cell r="J2553">
            <v>442.649</v>
          </cell>
          <cell r="K2553">
            <v>0</v>
          </cell>
          <cell r="L2553">
            <v>442.649</v>
          </cell>
          <cell r="M2553">
            <v>0</v>
          </cell>
          <cell r="N2553">
            <v>599.99</v>
          </cell>
          <cell r="O2553" t="str">
            <v/>
          </cell>
          <cell r="P2553">
            <v>0</v>
          </cell>
          <cell r="Q2553">
            <v>0.35545319203251302</v>
          </cell>
          <cell r="R2553">
            <v>0.35545319203251302</v>
          </cell>
          <cell r="S2553" t="e">
            <v>#VALUE!</v>
          </cell>
          <cell r="T2553" t="e">
            <v>#VALUE!</v>
          </cell>
        </row>
        <row r="2554">
          <cell r="A2554" t="str">
            <v>G2661209PR</v>
          </cell>
          <cell r="B2554" t="str">
            <v>MKP000631005592</v>
          </cell>
          <cell r="C2554" t="str">
            <v/>
          </cell>
          <cell r="D2554" t="str">
            <v>Paneleiro 60 cm com Nichos Abertos para Cozinha Madesa Glamy, Agata, Stella Branco</v>
          </cell>
          <cell r="E2554" t="str">
            <v>PR</v>
          </cell>
          <cell r="F2554" t="str">
            <v>MODULAÇÃO</v>
          </cell>
          <cell r="G2554" t="str">
            <v/>
          </cell>
          <cell r="H2554">
            <v>599.99</v>
          </cell>
          <cell r="I2554">
            <v>499.99</v>
          </cell>
          <cell r="J2554">
            <v>314.03989999999999</v>
          </cell>
          <cell r="K2554">
            <v>0</v>
          </cell>
          <cell r="L2554">
            <v>314.03989999999999</v>
          </cell>
          <cell r="M2554">
            <v>0</v>
          </cell>
          <cell r="N2554">
            <v>499.99</v>
          </cell>
          <cell r="O2554" t="str">
            <v/>
          </cell>
          <cell r="P2554">
            <v>0</v>
          </cell>
          <cell r="Q2554">
            <v>0.59212252965307899</v>
          </cell>
          <cell r="R2554">
            <v>0.59212252965307899</v>
          </cell>
          <cell r="S2554" t="e">
            <v>#VALUE!</v>
          </cell>
          <cell r="T2554" t="e">
            <v>#VALUE!</v>
          </cell>
        </row>
        <row r="2555">
          <cell r="A2555" t="str">
            <v>GRGL1800085Z</v>
          </cell>
          <cell r="B2555" t="str">
            <v>MKP000631004223</v>
          </cell>
          <cell r="C2555" t="str">
            <v/>
          </cell>
          <cell r="D2555" t="str">
            <v>Armário de Cozinha Compacta 180cm Rustic Glamy Madesa 08</v>
          </cell>
          <cell r="E2555" t="str">
            <v>GLAMY</v>
          </cell>
          <cell r="F2555" t="str">
            <v>COZINHA</v>
          </cell>
          <cell r="G2555" t="str">
            <v/>
          </cell>
          <cell r="H2555">
            <v>1599.99</v>
          </cell>
          <cell r="I2555">
            <v>1499.99</v>
          </cell>
          <cell r="J2555">
            <v>1270.7982999999999</v>
          </cell>
          <cell r="K2555">
            <v>0</v>
          </cell>
          <cell r="L2555">
            <v>1270.7982999999999</v>
          </cell>
          <cell r="M2555">
            <v>0</v>
          </cell>
          <cell r="N2555">
            <v>1499.99</v>
          </cell>
          <cell r="O2555" t="str">
            <v/>
          </cell>
          <cell r="P2555">
            <v>0</v>
          </cell>
          <cell r="Q2555">
            <v>0.18035253902999401</v>
          </cell>
          <cell r="R2555">
            <v>0.18035253902999401</v>
          </cell>
          <cell r="S2555" t="e">
            <v>#VALUE!</v>
          </cell>
          <cell r="T2555" t="e">
            <v>#VALUE!</v>
          </cell>
        </row>
        <row r="2556">
          <cell r="A2556" t="str">
            <v>XA1063092E</v>
          </cell>
          <cell r="B2556" t="str">
            <v>MKP000631001449</v>
          </cell>
          <cell r="C2556" t="str">
            <v/>
          </cell>
          <cell r="D2556" t="str">
            <v>Guarda-Roupa Infantil Madesa Logan 100% MDF 3 Portas de Correr com Espelhos Branco</v>
          </cell>
          <cell r="E2556" t="str">
            <v>LOGAN</v>
          </cell>
          <cell r="F2556" t="str">
            <v>QUARTO</v>
          </cell>
          <cell r="G2556" t="str">
            <v/>
          </cell>
          <cell r="H2556">
            <v>3189.99</v>
          </cell>
          <cell r="I2556">
            <v>2399.9899999999998</v>
          </cell>
          <cell r="J2556">
            <v>2033.8746000000001</v>
          </cell>
          <cell r="K2556">
            <v>0</v>
          </cell>
          <cell r="L2556">
            <v>2033.8746000000001</v>
          </cell>
          <cell r="M2556">
            <v>0</v>
          </cell>
          <cell r="N2556">
            <v>2399.9899999999998</v>
          </cell>
          <cell r="O2556" t="str">
            <v/>
          </cell>
          <cell r="P2556">
            <v>0</v>
          </cell>
          <cell r="Q2556">
            <v>0.180008836336321</v>
          </cell>
          <cell r="R2556">
            <v>0.180008836336321</v>
          </cell>
          <cell r="S2556" t="e">
            <v>#VALUE!</v>
          </cell>
          <cell r="T2556" t="e">
            <v>#VALUE!</v>
          </cell>
        </row>
        <row r="2557">
          <cell r="A2557" t="str">
            <v>GRGL3150029B</v>
          </cell>
          <cell r="B2557" t="str">
            <v>MKP000631004358</v>
          </cell>
          <cell r="C2557" t="str">
            <v/>
          </cell>
          <cell r="D2557" t="str">
            <v>Armário de Cozinha Completa 315cm Branco/Rustic Glamy Madesa 02</v>
          </cell>
          <cell r="E2557" t="str">
            <v>GLAMY</v>
          </cell>
          <cell r="F2557" t="str">
            <v>COZINHA</v>
          </cell>
          <cell r="G2557" t="str">
            <v/>
          </cell>
          <cell r="H2557">
            <v>2599.9899999999998</v>
          </cell>
          <cell r="I2557">
            <v>2499.9899999999998</v>
          </cell>
          <cell r="J2557">
            <v>2108.5286999999998</v>
          </cell>
          <cell r="K2557">
            <v>0</v>
          </cell>
          <cell r="L2557">
            <v>2108.5286999999998</v>
          </cell>
          <cell r="M2557">
            <v>0</v>
          </cell>
          <cell r="N2557">
            <v>2499.9899999999998</v>
          </cell>
          <cell r="O2557" t="str">
            <v/>
          </cell>
          <cell r="P2557">
            <v>0</v>
          </cell>
          <cell r="Q2557">
            <v>0.185656140227069</v>
          </cell>
          <cell r="R2557">
            <v>0.185656140227069</v>
          </cell>
          <cell r="S2557" t="e">
            <v>#VALUE!</v>
          </cell>
          <cell r="T2557" t="e">
            <v>#VALUE!</v>
          </cell>
        </row>
        <row r="2558">
          <cell r="A2558" t="str">
            <v>11186E2E</v>
          </cell>
          <cell r="B2558" t="str">
            <v>MKP000631002680</v>
          </cell>
          <cell r="C2558" t="str">
            <v/>
          </cell>
          <cell r="D2558" t="str">
            <v>Guarda-Roupa Casal Madesa Istambul 3 Portas de Correr com Espelhos 3 Gavetas Rustic/Branco</v>
          </cell>
          <cell r="E2558" t="str">
            <v>ISTAMBUL</v>
          </cell>
          <cell r="F2558" t="str">
            <v>QUARTO</v>
          </cell>
          <cell r="G2558" t="str">
            <v/>
          </cell>
          <cell r="H2558">
            <v>2389.9899999999998</v>
          </cell>
          <cell r="I2558">
            <v>1869.99</v>
          </cell>
          <cell r="J2558">
            <v>1565.7304999999999</v>
          </cell>
          <cell r="K2558">
            <v>0</v>
          </cell>
          <cell r="L2558">
            <v>1565.7304999999999</v>
          </cell>
          <cell r="M2558">
            <v>0</v>
          </cell>
          <cell r="N2558">
            <v>1869.99</v>
          </cell>
          <cell r="O2558" t="str">
            <v/>
          </cell>
          <cell r="P2558">
            <v>0</v>
          </cell>
          <cell r="Q2558">
            <v>0.194324310601345</v>
          </cell>
          <cell r="R2558">
            <v>0.194324310601345</v>
          </cell>
          <cell r="S2558" t="e">
            <v>#VALUE!</v>
          </cell>
          <cell r="T2558" t="e">
            <v>#VALUE!</v>
          </cell>
        </row>
        <row r="2559">
          <cell r="A2559" t="str">
            <v>10939B2E2G</v>
          </cell>
          <cell r="B2559" t="str">
            <v>MKP000631001855</v>
          </cell>
          <cell r="C2559" t="str">
            <v/>
          </cell>
          <cell r="D2559" t="str">
            <v>Guarda-Roupa Casal Madesa Lyon 3 Portas de Correr com Espelhos 2 Gavetas Branco/Rustic</v>
          </cell>
          <cell r="E2559" t="str">
            <v>LYON</v>
          </cell>
          <cell r="F2559" t="str">
            <v>QUARTO</v>
          </cell>
          <cell r="G2559" t="str">
            <v/>
          </cell>
          <cell r="H2559">
            <v>1469.99</v>
          </cell>
          <cell r="I2559">
            <v>1199.99</v>
          </cell>
          <cell r="J2559">
            <v>969.44600000000003</v>
          </cell>
          <cell r="K2559">
            <v>0</v>
          </cell>
          <cell r="L2559">
            <v>969.44600000000003</v>
          </cell>
          <cell r="M2559">
            <v>0</v>
          </cell>
          <cell r="N2559">
            <v>1199.99</v>
          </cell>
          <cell r="O2559" t="str">
            <v/>
          </cell>
          <cell r="P2559">
            <v>0</v>
          </cell>
          <cell r="Q2559">
            <v>0.237810048213103</v>
          </cell>
          <cell r="R2559">
            <v>0.237810048213103</v>
          </cell>
          <cell r="S2559" t="e">
            <v>#VALUE!</v>
          </cell>
          <cell r="T2559" t="e">
            <v>#VALUE!</v>
          </cell>
        </row>
        <row r="2560">
          <cell r="A2560" t="str">
            <v>GRTE2700066E</v>
          </cell>
          <cell r="B2560" t="str">
            <v>MKP000631005482</v>
          </cell>
          <cell r="C2560" t="str">
            <v/>
          </cell>
          <cell r="D2560" t="str">
            <v>Armário de Cozinha Completa 270cm Rustic/Branco Stella Madesa 06</v>
          </cell>
          <cell r="E2560" t="str">
            <v>STELLA</v>
          </cell>
          <cell r="F2560" t="str">
            <v>COZINHA</v>
          </cell>
          <cell r="G2560" t="str">
            <v/>
          </cell>
          <cell r="H2560">
            <v>1869.99</v>
          </cell>
          <cell r="I2560">
            <v>1869.99</v>
          </cell>
          <cell r="J2560">
            <v>1510.0315000000001</v>
          </cell>
          <cell r="K2560">
            <v>0</v>
          </cell>
          <cell r="L2560">
            <v>1510.0315000000001</v>
          </cell>
          <cell r="M2560">
            <v>0</v>
          </cell>
          <cell r="N2560">
            <v>1869.99</v>
          </cell>
          <cell r="O2560" t="str">
            <v/>
          </cell>
          <cell r="P2560">
            <v>0</v>
          </cell>
          <cell r="Q2560">
            <v>0.23837813979377301</v>
          </cell>
          <cell r="R2560">
            <v>0.23837813979377301</v>
          </cell>
          <cell r="S2560" t="e">
            <v>#VALUE!</v>
          </cell>
          <cell r="T2560" t="e">
            <v>#VALUE!</v>
          </cell>
        </row>
        <row r="2561">
          <cell r="A2561" t="str">
            <v>1018D8</v>
          </cell>
          <cell r="B2561" t="str">
            <v>MKP000631002370</v>
          </cell>
          <cell r="C2561" t="str">
            <v/>
          </cell>
          <cell r="D2561" t="str">
            <v>Guarda-Roupa Casal Madesa Kansas 3 Portas de Correr 3 Gavetas Preto/Rustic</v>
          </cell>
          <cell r="E2561" t="str">
            <v>KANSAS</v>
          </cell>
          <cell r="F2561" t="str">
            <v>QUARTO</v>
          </cell>
          <cell r="G2561" t="str">
            <v/>
          </cell>
          <cell r="H2561">
            <v>1979.99</v>
          </cell>
          <cell r="I2561">
            <v>1459.99</v>
          </cell>
          <cell r="J2561">
            <v>1164.6541</v>
          </cell>
          <cell r="K2561">
            <v>0</v>
          </cell>
          <cell r="L2561">
            <v>1164.6541</v>
          </cell>
          <cell r="M2561">
            <v>0</v>
          </cell>
          <cell r="N2561">
            <v>1459.99</v>
          </cell>
          <cell r="O2561" t="str">
            <v/>
          </cell>
          <cell r="P2561">
            <v>0</v>
          </cell>
          <cell r="Q2561">
            <v>0.25358250144828398</v>
          </cell>
          <cell r="R2561">
            <v>0.25358250144828398</v>
          </cell>
          <cell r="S2561" t="e">
            <v>#VALUE!</v>
          </cell>
          <cell r="T2561" t="e">
            <v>#VALUE!</v>
          </cell>
        </row>
        <row r="2562">
          <cell r="A2562" t="str">
            <v>1094732G</v>
          </cell>
          <cell r="B2562" t="str">
            <v>MKP000631002014</v>
          </cell>
          <cell r="C2562" t="str">
            <v/>
          </cell>
          <cell r="D2562" t="str">
            <v>Guarda-Roupa Solteiro Madesa Dallas 2 Portas de Correr 2 Gavetas Branco/Preto</v>
          </cell>
          <cell r="E2562" t="str">
            <v>DALLAS</v>
          </cell>
          <cell r="F2562" t="str">
            <v>QUARTO</v>
          </cell>
          <cell r="G2562" t="str">
            <v/>
          </cell>
          <cell r="H2562">
            <v>969.99</v>
          </cell>
          <cell r="I2562">
            <v>729.99</v>
          </cell>
          <cell r="J2562">
            <v>563.84609999999998</v>
          </cell>
          <cell r="K2562">
            <v>0</v>
          </cell>
          <cell r="L2562">
            <v>563.84609999999998</v>
          </cell>
          <cell r="M2562">
            <v>0</v>
          </cell>
          <cell r="N2562">
            <v>729.99</v>
          </cell>
          <cell r="O2562" t="str">
            <v/>
          </cell>
          <cell r="P2562">
            <v>0</v>
          </cell>
          <cell r="Q2562">
            <v>0.29466178803045701</v>
          </cell>
          <cell r="R2562">
            <v>0.29466178803045701</v>
          </cell>
          <cell r="S2562" t="e">
            <v>#VALUE!</v>
          </cell>
          <cell r="T2562" t="e">
            <v>#VALUE!</v>
          </cell>
        </row>
        <row r="2563">
          <cell r="A2563" t="str">
            <v>G266556EGL</v>
          </cell>
          <cell r="B2563" t="str">
            <v>MKP000631000856</v>
          </cell>
          <cell r="C2563" t="str">
            <v/>
          </cell>
          <cell r="D2563" t="str">
            <v>Torre Quente Madesa Glamy 60 cm 1 Porta 3 Gavetas Rustic/Branco</v>
          </cell>
          <cell r="E2563" t="str">
            <v>GLAMY</v>
          </cell>
          <cell r="F2563" t="str">
            <v>MODULAÇÃO</v>
          </cell>
          <cell r="G2563" t="str">
            <v/>
          </cell>
          <cell r="H2563">
            <v>1419.99</v>
          </cell>
          <cell r="I2563">
            <v>939.99</v>
          </cell>
          <cell r="J2563">
            <v>578.65920000000006</v>
          </cell>
          <cell r="K2563">
            <v>0</v>
          </cell>
          <cell r="L2563">
            <v>578.65920000000006</v>
          </cell>
          <cell r="M2563">
            <v>0</v>
          </cell>
          <cell r="N2563">
            <v>939.99</v>
          </cell>
          <cell r="O2563" t="str">
            <v/>
          </cell>
          <cell r="P2563">
            <v>0</v>
          </cell>
          <cell r="Q2563">
            <v>0.62442764238432602</v>
          </cell>
          <cell r="R2563">
            <v>0.62442764238432602</v>
          </cell>
          <cell r="S2563" t="e">
            <v>#VALUE!</v>
          </cell>
          <cell r="T2563" t="e">
            <v>#VALUE!</v>
          </cell>
        </row>
        <row r="2564">
          <cell r="A2564" t="str">
            <v>G257527KAG</v>
          </cell>
          <cell r="B2564" t="str">
            <v>MKP000631003064</v>
          </cell>
          <cell r="C2564" t="str">
            <v/>
          </cell>
          <cell r="D2564" t="str">
            <v>Armário Aéreo de Canto Madesa Agata 1 Porta Rustic/Preto</v>
          </cell>
          <cell r="E2564" t="str">
            <v>ÁGATA</v>
          </cell>
          <cell r="F2564" t="str">
            <v>MODULAÇÃO</v>
          </cell>
          <cell r="G2564" t="str">
            <v/>
          </cell>
          <cell r="H2564">
            <v>749.99</v>
          </cell>
          <cell r="I2564">
            <v>429.99</v>
          </cell>
          <cell r="J2564">
            <v>234.81870000000001</v>
          </cell>
          <cell r="K2564">
            <v>0</v>
          </cell>
          <cell r="L2564">
            <v>234.81870000000001</v>
          </cell>
          <cell r="M2564">
            <v>0</v>
          </cell>
          <cell r="N2564">
            <v>429.99</v>
          </cell>
          <cell r="O2564" t="str">
            <v/>
          </cell>
          <cell r="P2564">
            <v>0</v>
          </cell>
          <cell r="Q2564">
            <v>0.83115739930422905</v>
          </cell>
          <cell r="R2564">
            <v>0.83115739930422905</v>
          </cell>
          <cell r="S2564" t="e">
            <v>#VALUE!</v>
          </cell>
          <cell r="T2564" t="e">
            <v>#VALUE!</v>
          </cell>
        </row>
        <row r="2565">
          <cell r="A2565" t="str">
            <v>G248005ZGL</v>
          </cell>
          <cell r="B2565" t="str">
            <v>MKP000631000353</v>
          </cell>
          <cell r="C2565" t="str">
            <v/>
          </cell>
          <cell r="D2565" t="str">
            <v>Balcão Madesa Glamy 80 cm 2 Portas Rustic</v>
          </cell>
          <cell r="E2565" t="str">
            <v>GLAMY</v>
          </cell>
          <cell r="F2565" t="str">
            <v>MODULAÇÃO</v>
          </cell>
          <cell r="G2565" t="str">
            <v/>
          </cell>
          <cell r="H2565">
            <v>939.99</v>
          </cell>
          <cell r="I2565">
            <v>519.99</v>
          </cell>
          <cell r="J2565">
            <v>333.19119999999998</v>
          </cell>
          <cell r="K2565">
            <v>0</v>
          </cell>
          <cell r="L2565">
            <v>333.19119999999998</v>
          </cell>
          <cell r="M2565">
            <v>0</v>
          </cell>
          <cell r="N2565">
            <v>519.99</v>
          </cell>
          <cell r="O2565" t="str">
            <v/>
          </cell>
          <cell r="P2565">
            <v>0</v>
          </cell>
          <cell r="Q2565">
            <v>0.56063545495799405</v>
          </cell>
          <cell r="R2565">
            <v>0.56063545495799405</v>
          </cell>
          <cell r="S2565" t="e">
            <v>#VALUE!</v>
          </cell>
          <cell r="T2565" t="e">
            <v>#VALUE!</v>
          </cell>
        </row>
        <row r="2566">
          <cell r="A2566" t="str">
            <v>GRTE290002D9</v>
          </cell>
          <cell r="B2566" t="str">
            <v>MKP000631002009</v>
          </cell>
          <cell r="C2566" t="str">
            <v/>
          </cell>
          <cell r="D2566" t="str">
            <v>Armário de Cozinha Completa 290cm Rustic/Rustic/Branco Stella Madesa 02</v>
          </cell>
          <cell r="E2566" t="str">
            <v>STELLA</v>
          </cell>
          <cell r="F2566" t="str">
            <v>COZINHA</v>
          </cell>
          <cell r="G2566" t="str">
            <v/>
          </cell>
          <cell r="H2566">
            <v>2299.9899999999998</v>
          </cell>
          <cell r="I2566">
            <v>2199.9899999999998</v>
          </cell>
          <cell r="J2566">
            <v>1815.6566</v>
          </cell>
          <cell r="K2566">
            <v>0</v>
          </cell>
          <cell r="L2566">
            <v>1815.6566</v>
          </cell>
          <cell r="M2566">
            <v>0</v>
          </cell>
          <cell r="N2566">
            <v>2199.9899999999998</v>
          </cell>
          <cell r="O2566" t="str">
            <v/>
          </cell>
          <cell r="P2566">
            <v>0</v>
          </cell>
          <cell r="Q2566">
            <v>0.21167736233823001</v>
          </cell>
          <cell r="R2566">
            <v>0.21167736233823001</v>
          </cell>
          <cell r="S2566" t="e">
            <v>#VALUE!</v>
          </cell>
          <cell r="T2566" t="e">
            <v>#VALUE!</v>
          </cell>
        </row>
        <row r="2567">
          <cell r="A2567" t="str">
            <v>GREM1690067K</v>
          </cell>
          <cell r="B2567" t="str">
            <v>MKP000631001825</v>
          </cell>
          <cell r="C2567" t="str">
            <v/>
          </cell>
          <cell r="D2567" t="str">
            <v>Armário de Cozinha Completa 169cm Rustic/Preto Emilly Voice Madesa 06</v>
          </cell>
          <cell r="E2567" t="str">
            <v>VOICE/EMILLY</v>
          </cell>
          <cell r="F2567" t="str">
            <v>COZINHA</v>
          </cell>
          <cell r="G2567" t="str">
            <v/>
          </cell>
          <cell r="H2567">
            <v>1169.99</v>
          </cell>
          <cell r="I2567">
            <v>1069.99</v>
          </cell>
          <cell r="J2567">
            <v>857.02340000000004</v>
          </cell>
          <cell r="K2567">
            <v>0</v>
          </cell>
          <cell r="L2567">
            <v>857.02340000000004</v>
          </cell>
          <cell r="M2567">
            <v>0</v>
          </cell>
          <cell r="N2567">
            <v>1069.99</v>
          </cell>
          <cell r="O2567" t="str">
            <v/>
          </cell>
          <cell r="P2567">
            <v>0</v>
          </cell>
          <cell r="Q2567">
            <v>0.24849566534589401</v>
          </cell>
          <cell r="R2567">
            <v>0.24849566534589401</v>
          </cell>
          <cell r="S2567" t="e">
            <v>#VALUE!</v>
          </cell>
          <cell r="T2567" t="e">
            <v>#VALUE!</v>
          </cell>
        </row>
        <row r="2568">
          <cell r="A2568" t="str">
            <v>GREM1690025Z</v>
          </cell>
          <cell r="B2568" t="str">
            <v>MKP000631001512</v>
          </cell>
          <cell r="C2568" t="str">
            <v/>
          </cell>
          <cell r="D2568" t="str">
            <v>Cozinha Compacta Madesa Emilly Front com Balcão e Paneleiro Rustic</v>
          </cell>
          <cell r="E2568" t="str">
            <v>FRONT/EMILLY</v>
          </cell>
          <cell r="F2568" t="str">
            <v>COZINHA</v>
          </cell>
          <cell r="G2568" t="str">
            <v/>
          </cell>
          <cell r="H2568">
            <v>899.99</v>
          </cell>
          <cell r="I2568">
            <v>799.99</v>
          </cell>
          <cell r="J2568">
            <v>635.54629999999997</v>
          </cell>
          <cell r="K2568">
            <v>0</v>
          </cell>
          <cell r="L2568">
            <v>635.54629999999997</v>
          </cell>
          <cell r="M2568">
            <v>0</v>
          </cell>
          <cell r="N2568">
            <v>799.99</v>
          </cell>
          <cell r="O2568" t="str">
            <v/>
          </cell>
          <cell r="P2568">
            <v>0</v>
          </cell>
          <cell r="Q2568">
            <v>0.25874385548307</v>
          </cell>
          <cell r="R2568">
            <v>0.25874385548307</v>
          </cell>
          <cell r="S2568" t="e">
            <v>#VALUE!</v>
          </cell>
          <cell r="T2568" t="e">
            <v>#VALUE!</v>
          </cell>
        </row>
        <row r="2569">
          <cell r="A2569" t="str">
            <v>GRGL2400079B</v>
          </cell>
          <cell r="B2569" t="str">
            <v>MKP000631005041</v>
          </cell>
          <cell r="C2569" t="str">
            <v/>
          </cell>
          <cell r="D2569" t="str">
            <v>Armário de Cozinha Completa 240cm Branco/Rustic Glamy Madesa 07</v>
          </cell>
          <cell r="E2569" t="str">
            <v>GLAMY</v>
          </cell>
          <cell r="F2569" t="str">
            <v>COZINHA</v>
          </cell>
          <cell r="G2569" t="str">
            <v/>
          </cell>
          <cell r="H2569">
            <v>1779.99</v>
          </cell>
          <cell r="I2569">
            <v>1779.99</v>
          </cell>
          <cell r="J2569">
            <v>1345.278</v>
          </cell>
          <cell r="K2569">
            <v>0</v>
          </cell>
          <cell r="L2569">
            <v>1345.278</v>
          </cell>
          <cell r="M2569">
            <v>0</v>
          </cell>
          <cell r="N2569">
            <v>1779.99</v>
          </cell>
          <cell r="O2569" t="str">
            <v/>
          </cell>
          <cell r="P2569">
            <v>0</v>
          </cell>
          <cell r="Q2569">
            <v>0.32313915785436098</v>
          </cell>
          <cell r="R2569">
            <v>0.32313915785436098</v>
          </cell>
          <cell r="S2569" t="e">
            <v>#VALUE!</v>
          </cell>
          <cell r="T2569" t="e">
            <v>#VALUE!</v>
          </cell>
        </row>
        <row r="2570">
          <cell r="A2570" t="str">
            <v>GRGL2900047K</v>
          </cell>
          <cell r="B2570" t="str">
            <v>MKP000631001808</v>
          </cell>
          <cell r="C2570" t="str">
            <v/>
          </cell>
          <cell r="D2570" t="str">
            <v>Armário de Cozinha Completa 290cm Rustic/Preto Safira Madesa 04</v>
          </cell>
          <cell r="E2570" t="str">
            <v>SAFIRA/GLAMY</v>
          </cell>
          <cell r="F2570" t="str">
            <v>COZINHA</v>
          </cell>
          <cell r="G2570" t="str">
            <v/>
          </cell>
          <cell r="H2570">
            <v>3139.99</v>
          </cell>
          <cell r="I2570">
            <v>2319.9899999999998</v>
          </cell>
          <cell r="J2570">
            <v>1743.5204000000001</v>
          </cell>
          <cell r="K2570">
            <v>0</v>
          </cell>
          <cell r="L2570">
            <v>1743.5204000000001</v>
          </cell>
          <cell r="M2570">
            <v>0</v>
          </cell>
          <cell r="N2570">
            <v>2319.9899999999998</v>
          </cell>
          <cell r="O2570" t="str">
            <v/>
          </cell>
          <cell r="P2570">
            <v>0</v>
          </cell>
          <cell r="Q2570">
            <v>0.33063542015338598</v>
          </cell>
          <cell r="R2570">
            <v>0.33063542015338598</v>
          </cell>
          <cell r="S2570" t="e">
            <v>#VALUE!</v>
          </cell>
          <cell r="T2570" t="e">
            <v>#VALUE!</v>
          </cell>
        </row>
        <row r="2571">
          <cell r="A2571" t="str">
            <v>52515Z2A</v>
          </cell>
          <cell r="B2571" t="str">
            <v>MKP000631000100</v>
          </cell>
          <cell r="C2571" t="str">
            <v/>
          </cell>
          <cell r="D2571" t="str">
            <v>Mesa de Jantar Madesa com Tampo de Vidro 5251A Rustic</v>
          </cell>
          <cell r="E2571" t="str">
            <v>5251A</v>
          </cell>
          <cell r="F2571" t="str">
            <v>SALA DE JANTAR</v>
          </cell>
          <cell r="G2571" t="str">
            <v/>
          </cell>
          <cell r="H2571">
            <v>969.99</v>
          </cell>
          <cell r="I2571">
            <v>739.99</v>
          </cell>
          <cell r="J2571">
            <v>553.99249999999995</v>
          </cell>
          <cell r="K2571">
            <v>0</v>
          </cell>
          <cell r="L2571">
            <v>553.99249999999995</v>
          </cell>
          <cell r="M2571">
            <v>0</v>
          </cell>
          <cell r="N2571">
            <v>739.99</v>
          </cell>
          <cell r="O2571" t="str">
            <v/>
          </cell>
          <cell r="P2571">
            <v>0</v>
          </cell>
          <cell r="Q2571">
            <v>0.33574010478481198</v>
          </cell>
          <cell r="R2571">
            <v>0.33574010478481198</v>
          </cell>
          <cell r="S2571" t="e">
            <v>#VALUE!</v>
          </cell>
          <cell r="T2571" t="e">
            <v>#VALUE!</v>
          </cell>
        </row>
        <row r="2572">
          <cell r="A2572" t="str">
            <v>G251219BTE</v>
          </cell>
          <cell r="B2572" t="str">
            <v>MKP000631002962</v>
          </cell>
          <cell r="C2572" t="str">
            <v/>
          </cell>
          <cell r="D2572" t="str">
            <v>Armário Aéreo Madesa Stella 120 cm 2 Portas Branco/Rustic</v>
          </cell>
          <cell r="E2572" t="str">
            <v>STELLA</v>
          </cell>
          <cell r="F2572" t="str">
            <v>MODULAÇÃO</v>
          </cell>
          <cell r="G2572" t="str">
            <v/>
          </cell>
          <cell r="H2572">
            <v>819.99</v>
          </cell>
          <cell r="I2572">
            <v>479.99</v>
          </cell>
          <cell r="J2572">
            <v>310.49740000000003</v>
          </cell>
          <cell r="K2572">
            <v>0</v>
          </cell>
          <cell r="L2572">
            <v>310.49740000000003</v>
          </cell>
          <cell r="M2572">
            <v>0</v>
          </cell>
          <cell r="N2572">
            <v>479.99</v>
          </cell>
          <cell r="O2572" t="str">
            <v/>
          </cell>
          <cell r="P2572">
            <v>0</v>
          </cell>
          <cell r="Q2572">
            <v>0.54587445820802405</v>
          </cell>
          <cell r="R2572">
            <v>0.54587445820802405</v>
          </cell>
          <cell r="S2572" t="e">
            <v>#VALUE!</v>
          </cell>
          <cell r="T2572" t="e">
            <v>#VALUE!</v>
          </cell>
        </row>
        <row r="2573">
          <cell r="A2573" t="str">
            <v>G223509RLX</v>
          </cell>
          <cell r="B2573" t="str">
            <v>MKP000631003238</v>
          </cell>
          <cell r="C2573" t="str">
            <v/>
          </cell>
          <cell r="D2573" t="str">
            <v>Balcão Madesa Lux 35 cm 1 Porta (Sem Tampo) Branco/Cinza</v>
          </cell>
          <cell r="E2573" t="str">
            <v>LUX</v>
          </cell>
          <cell r="F2573" t="str">
            <v>MODULAÇÃO</v>
          </cell>
          <cell r="G2573" t="str">
            <v/>
          </cell>
          <cell r="H2573">
            <v>829.99</v>
          </cell>
          <cell r="I2573">
            <v>529.99</v>
          </cell>
          <cell r="J2573">
            <v>286.87709999999998</v>
          </cell>
          <cell r="K2573">
            <v>0</v>
          </cell>
          <cell r="L2573">
            <v>286.87709999999998</v>
          </cell>
          <cell r="M2573">
            <v>0</v>
          </cell>
          <cell r="N2573">
            <v>529.99</v>
          </cell>
          <cell r="O2573" t="str">
            <v>LOJA</v>
          </cell>
          <cell r="P2573">
            <v>519.99</v>
          </cell>
          <cell r="Q2573">
            <v>0.84744617120014099</v>
          </cell>
          <cell r="R2573">
            <v>0.84744617120014099</v>
          </cell>
          <cell r="S2573" t="e">
            <v>#VALUE!</v>
          </cell>
          <cell r="T2573" t="e">
            <v>#VALUE!</v>
          </cell>
        </row>
        <row r="2574">
          <cell r="A2574" t="str">
            <v>G226007KLX</v>
          </cell>
          <cell r="B2574" t="str">
            <v>MKP000631002761</v>
          </cell>
          <cell r="C2574" t="str">
            <v/>
          </cell>
          <cell r="D2574" t="str">
            <v>Balcão Madesa Lux 60 cm 1 Porta (Sem Tampo) Rustic/Preto</v>
          </cell>
          <cell r="E2574" t="str">
            <v>LUX</v>
          </cell>
          <cell r="F2574" t="str">
            <v>MODULAÇÃO</v>
          </cell>
          <cell r="G2574" t="str">
            <v/>
          </cell>
          <cell r="H2574">
            <v>989.99</v>
          </cell>
          <cell r="I2574">
            <v>679.99</v>
          </cell>
          <cell r="J2574">
            <v>361.89089999999999</v>
          </cell>
          <cell r="K2574">
            <v>0</v>
          </cell>
          <cell r="L2574">
            <v>361.89089999999999</v>
          </cell>
          <cell r="M2574">
            <v>0</v>
          </cell>
          <cell r="N2574">
            <v>679.99</v>
          </cell>
          <cell r="O2574" t="str">
            <v>LOJA</v>
          </cell>
          <cell r="P2574">
            <v>669.99</v>
          </cell>
          <cell r="Q2574">
            <v>0.87899170716920505</v>
          </cell>
          <cell r="R2574">
            <v>0.87899170716920505</v>
          </cell>
          <cell r="S2574" t="e">
            <v>#VALUE!</v>
          </cell>
          <cell r="T2574" t="e">
            <v>#VALUE!</v>
          </cell>
        </row>
        <row r="2575">
          <cell r="A2575" t="str">
            <v>G25804H7LX</v>
          </cell>
          <cell r="B2575" t="str">
            <v>MKP000631004692</v>
          </cell>
          <cell r="C2575" t="str">
            <v/>
          </cell>
          <cell r="D2575" t="str">
            <v>Armário Aéreo Madesa Lux 80 cm 1 Porta Basculante Branco/Branco Veludo</v>
          </cell>
          <cell r="E2575" t="str">
            <v>LUX</v>
          </cell>
          <cell r="F2575" t="str">
            <v>MODULAÇÃO</v>
          </cell>
          <cell r="G2575" t="str">
            <v/>
          </cell>
          <cell r="H2575">
            <v>539.99</v>
          </cell>
          <cell r="I2575">
            <v>359.99</v>
          </cell>
          <cell r="J2575">
            <v>187.57810000000001</v>
          </cell>
          <cell r="K2575">
            <v>0</v>
          </cell>
          <cell r="L2575">
            <v>187.57810000000001</v>
          </cell>
          <cell r="M2575">
            <v>0</v>
          </cell>
          <cell r="N2575">
            <v>359.99</v>
          </cell>
          <cell r="O2575" t="str">
            <v>LOJA</v>
          </cell>
          <cell r="P2575">
            <v>349.99</v>
          </cell>
          <cell r="Q2575">
            <v>0.91914727785386496</v>
          </cell>
          <cell r="R2575">
            <v>0.91914727785386496</v>
          </cell>
          <cell r="S2575" t="e">
            <v>#VALUE!</v>
          </cell>
          <cell r="T2575" t="e">
            <v>#VALUE!</v>
          </cell>
        </row>
        <row r="2576">
          <cell r="A2576" t="str">
            <v>GRLX320003H8</v>
          </cell>
          <cell r="B2576" t="str">
            <v>MKP000631003777</v>
          </cell>
          <cell r="C2576" t="str">
            <v/>
          </cell>
          <cell r="D2576" t="str">
            <v>Armário de Cozinha Completa 320cm Rustic Branco Veludo Lux Madesa 03</v>
          </cell>
          <cell r="E2576" t="str">
            <v>LUX</v>
          </cell>
          <cell r="F2576" t="str">
            <v>COZINHA</v>
          </cell>
          <cell r="G2576" t="str">
            <v/>
          </cell>
          <cell r="H2576">
            <v>5489.99</v>
          </cell>
          <cell r="I2576">
            <v>5439.99</v>
          </cell>
          <cell r="J2576">
            <v>2662.9027000000001</v>
          </cell>
          <cell r="K2576">
            <v>0</v>
          </cell>
          <cell r="L2576">
            <v>2662.9027000000001</v>
          </cell>
          <cell r="M2576">
            <v>0</v>
          </cell>
          <cell r="N2576">
            <v>5439.99</v>
          </cell>
          <cell r="O2576" t="str">
            <v>LOJA</v>
          </cell>
          <cell r="P2576">
            <v>4779.99</v>
          </cell>
          <cell r="Q2576">
            <v>1.0428797492300399</v>
          </cell>
          <cell r="R2576">
            <v>1.0428797492300399</v>
          </cell>
          <cell r="S2576" t="e">
            <v>#VALUE!</v>
          </cell>
          <cell r="T2576" t="e">
            <v>#VALUE!</v>
          </cell>
        </row>
        <row r="2577">
          <cell r="A2577" t="str">
            <v>G251215LAG</v>
          </cell>
          <cell r="B2577" t="str">
            <v>MKP000631005338</v>
          </cell>
          <cell r="C2577" t="str">
            <v/>
          </cell>
          <cell r="D2577" t="str">
            <v>Armário Aéreo 120 cm 2 Portas Branco/Crema Agata Madesa</v>
          </cell>
          <cell r="E2577" t="str">
            <v>ÁGATA</v>
          </cell>
          <cell r="F2577" t="str">
            <v>MODULAÇÃO</v>
          </cell>
          <cell r="G2577" t="str">
            <v/>
          </cell>
          <cell r="H2577">
            <v>629.99</v>
          </cell>
          <cell r="I2577">
            <v>529.99</v>
          </cell>
          <cell r="J2577">
            <v>307.46719999999999</v>
          </cell>
          <cell r="K2577">
            <v>0</v>
          </cell>
          <cell r="L2577">
            <v>307.46719999999999</v>
          </cell>
          <cell r="M2577">
            <v>0</v>
          </cell>
          <cell r="N2577">
            <v>529.99</v>
          </cell>
          <cell r="O2577" t="str">
            <v/>
          </cell>
          <cell r="P2577">
            <v>0</v>
          </cell>
          <cell r="Q2577">
            <v>0.72372857982900296</v>
          </cell>
          <cell r="R2577">
            <v>0.72372857982900296</v>
          </cell>
          <cell r="S2577" t="e">
            <v>#VALUE!</v>
          </cell>
          <cell r="T2577" t="e">
            <v>#VALUE!</v>
          </cell>
        </row>
        <row r="2578">
          <cell r="A2578" t="str">
            <v>MDFC0200188N6S</v>
          </cell>
          <cell r="B2578" t="str">
            <v>MKP000631005432</v>
          </cell>
          <cell r="C2578" t="str">
            <v/>
          </cell>
          <cell r="D2578" t="str">
            <v>Conjunto Escritório Home Office com Mesa Industrial + Estante Escada Preto/Cinza Madesa</v>
          </cell>
          <cell r="E2578" t="str">
            <v>9423 + 6990</v>
          </cell>
          <cell r="F2578" t="str">
            <v>ESCRITÓRIO</v>
          </cell>
          <cell r="G2578" t="str">
            <v/>
          </cell>
          <cell r="H2578">
            <v>699.99</v>
          </cell>
          <cell r="I2578">
            <v>599.99</v>
          </cell>
          <cell r="J2578">
            <v>469.45209999999997</v>
          </cell>
          <cell r="K2578">
            <v>0</v>
          </cell>
          <cell r="L2578">
            <v>469.45209999999997</v>
          </cell>
          <cell r="M2578">
            <v>0</v>
          </cell>
          <cell r="N2578">
            <v>599.99</v>
          </cell>
          <cell r="O2578" t="str">
            <v/>
          </cell>
          <cell r="P2578">
            <v>0</v>
          </cell>
          <cell r="Q2578">
            <v>0.27806436482018099</v>
          </cell>
          <cell r="R2578">
            <v>0.27806436482018099</v>
          </cell>
          <cell r="S2578" t="e">
            <v>#VALUE!</v>
          </cell>
          <cell r="T2578" t="e">
            <v>#VALUE!</v>
          </cell>
        </row>
        <row r="2579">
          <cell r="A2579" t="str">
            <v>GRRM2350018N</v>
          </cell>
          <cell r="B2579" t="str">
            <v>MKP000631003194</v>
          </cell>
          <cell r="C2579" t="str">
            <v/>
          </cell>
          <cell r="D2579" t="str">
            <v>Armário de Cozinha Completa 235cm Preto Reims Madesa 01</v>
          </cell>
          <cell r="E2579" t="str">
            <v>REIMS</v>
          </cell>
          <cell r="F2579" t="str">
            <v>COZINHA</v>
          </cell>
          <cell r="G2579" t="str">
            <v/>
          </cell>
          <cell r="H2579">
            <v>2619.9899999999998</v>
          </cell>
          <cell r="I2579">
            <v>1659.99</v>
          </cell>
          <cell r="J2579">
            <v>1458.8451</v>
          </cell>
          <cell r="K2579">
            <v>0</v>
          </cell>
          <cell r="L2579">
            <v>1458.8451</v>
          </cell>
          <cell r="M2579">
            <v>0</v>
          </cell>
          <cell r="N2579">
            <v>1659.99</v>
          </cell>
          <cell r="O2579" t="str">
            <v/>
          </cell>
          <cell r="P2579">
            <v>0</v>
          </cell>
          <cell r="Q2579">
            <v>0.13787954595042301</v>
          </cell>
          <cell r="R2579">
            <v>0.13787954595042301</v>
          </cell>
          <cell r="S2579" t="e">
            <v>#VALUE!</v>
          </cell>
          <cell r="T2579" t="e">
            <v>#VALUE!</v>
          </cell>
        </row>
        <row r="2580">
          <cell r="A2580" t="str">
            <v>GREM2010035Z</v>
          </cell>
          <cell r="B2580" t="str">
            <v>MKP000631001529</v>
          </cell>
          <cell r="C2580" t="str">
            <v/>
          </cell>
          <cell r="D2580" t="str">
            <v>Armário de Cozinha Completa 201cm Rustic Emilly West Madesa 03</v>
          </cell>
          <cell r="E2580" t="str">
            <v>WEST/EMILLY</v>
          </cell>
          <cell r="F2580" t="str">
            <v>COZINHA</v>
          </cell>
          <cell r="G2580" t="str">
            <v/>
          </cell>
          <cell r="H2580">
            <v>1259.99</v>
          </cell>
          <cell r="I2580">
            <v>1159.99</v>
          </cell>
          <cell r="J2580">
            <v>933.27980000000002</v>
          </cell>
          <cell r="K2580">
            <v>0</v>
          </cell>
          <cell r="L2580">
            <v>933.27980000000002</v>
          </cell>
          <cell r="M2580">
            <v>0</v>
          </cell>
          <cell r="N2580">
            <v>1159.99</v>
          </cell>
          <cell r="O2580" t="str">
            <v/>
          </cell>
          <cell r="P2580">
            <v>0</v>
          </cell>
          <cell r="Q2580">
            <v>0.24291771878058399</v>
          </cell>
          <cell r="R2580">
            <v>0.24291771878058399</v>
          </cell>
          <cell r="S2580" t="e">
            <v>#VALUE!</v>
          </cell>
          <cell r="T2580" t="e">
            <v>#VALUE!</v>
          </cell>
        </row>
        <row r="2581">
          <cell r="A2581" t="str">
            <v>GCGL34900109</v>
          </cell>
          <cell r="B2581" t="str">
            <v>MKP000631004501</v>
          </cell>
          <cell r="C2581" t="str">
            <v/>
          </cell>
          <cell r="D2581" t="str">
            <v>Armário de Cozinha Completa de Canto 349cm Branco Glamy Madesa 01</v>
          </cell>
          <cell r="E2581" t="str">
            <v>GLAMY</v>
          </cell>
          <cell r="F2581" t="str">
            <v>COZINHA</v>
          </cell>
          <cell r="G2581" t="str">
            <v/>
          </cell>
          <cell r="H2581">
            <v>2639.99</v>
          </cell>
          <cell r="I2581">
            <v>2539.9899999999998</v>
          </cell>
          <cell r="J2581">
            <v>2079.7745</v>
          </cell>
          <cell r="K2581">
            <v>0</v>
          </cell>
          <cell r="L2581">
            <v>2079.7745</v>
          </cell>
          <cell r="M2581">
            <v>0</v>
          </cell>
          <cell r="N2581">
            <v>2539.9899999999998</v>
          </cell>
          <cell r="O2581" t="str">
            <v/>
          </cell>
          <cell r="P2581">
            <v>0</v>
          </cell>
          <cell r="Q2581">
            <v>0.22128144181015799</v>
          </cell>
          <cell r="R2581">
            <v>0.22128144181015799</v>
          </cell>
          <cell r="S2581" t="e">
            <v>#VALUE!</v>
          </cell>
          <cell r="T2581" t="e">
            <v>#VALUE!</v>
          </cell>
        </row>
        <row r="2582">
          <cell r="A2582" t="str">
            <v>GCRM51200109</v>
          </cell>
          <cell r="B2582" t="str">
            <v>MKP000631004286</v>
          </cell>
          <cell r="C2582" t="str">
            <v/>
          </cell>
          <cell r="D2582" t="str">
            <v>Armário de Cozinha Completa de Canto 512cm Branco Reims Madesa 01</v>
          </cell>
          <cell r="E2582" t="str">
            <v>REIMS</v>
          </cell>
          <cell r="F2582" t="str">
            <v>COZINHA</v>
          </cell>
          <cell r="G2582" t="str">
            <v/>
          </cell>
          <cell r="H2582">
            <v>2559.9899999999998</v>
          </cell>
          <cell r="I2582">
            <v>2529.9899999999998</v>
          </cell>
          <cell r="J2582">
            <v>2050.3989999999999</v>
          </cell>
          <cell r="K2582">
            <v>0</v>
          </cell>
          <cell r="L2582">
            <v>2050.3989999999999</v>
          </cell>
          <cell r="M2582">
            <v>0</v>
          </cell>
          <cell r="N2582">
            <v>2529.9899999999998</v>
          </cell>
          <cell r="O2582" t="str">
            <v/>
          </cell>
          <cell r="P2582">
            <v>0</v>
          </cell>
          <cell r="Q2582">
            <v>0.23390130408764301</v>
          </cell>
          <cell r="R2582">
            <v>0.23390130408764301</v>
          </cell>
          <cell r="S2582" t="e">
            <v>#VALUE!</v>
          </cell>
          <cell r="T2582" t="e">
            <v>#VALUE!</v>
          </cell>
        </row>
        <row r="2583">
          <cell r="A2583" t="str">
            <v>GCGL4590015Z</v>
          </cell>
          <cell r="B2583" t="str">
            <v>MKP000631004318</v>
          </cell>
          <cell r="C2583" t="str">
            <v/>
          </cell>
          <cell r="D2583" t="str">
            <v>Armário de Cozinha Completa de Canto 459cm Rustic Glamy Madesa 01</v>
          </cell>
          <cell r="E2583" t="str">
            <v>GLAMY</v>
          </cell>
          <cell r="F2583" t="str">
            <v>COZINHA</v>
          </cell>
          <cell r="G2583" t="str">
            <v/>
          </cell>
          <cell r="H2583">
            <v>3599.99</v>
          </cell>
          <cell r="I2583">
            <v>3499.99</v>
          </cell>
          <cell r="J2583">
            <v>2819.9825999999998</v>
          </cell>
          <cell r="K2583">
            <v>0</v>
          </cell>
          <cell r="L2583">
            <v>2819.9825999999998</v>
          </cell>
          <cell r="M2583">
            <v>0</v>
          </cell>
          <cell r="N2583">
            <v>3499.99</v>
          </cell>
          <cell r="O2583" t="str">
            <v/>
          </cell>
          <cell r="P2583">
            <v>0</v>
          </cell>
          <cell r="Q2583">
            <v>0.24113886376461999</v>
          </cell>
          <cell r="R2583">
            <v>0.24113886376461999</v>
          </cell>
          <cell r="S2583" t="e">
            <v>#VALUE!</v>
          </cell>
          <cell r="T2583" t="e">
            <v>#VALUE!</v>
          </cell>
        </row>
        <row r="2584">
          <cell r="A2584" t="str">
            <v>G278018N</v>
          </cell>
          <cell r="B2584" t="str">
            <v>MKP000631004800</v>
          </cell>
          <cell r="C2584" t="str">
            <v/>
          </cell>
          <cell r="D2584" t="str">
            <v>Kit 2 Prateleiras Suspensas para Cozinha Madesa 80 cm com Mão Francesa Preto</v>
          </cell>
          <cell r="E2584" t="str">
            <v>PR</v>
          </cell>
          <cell r="F2584" t="str">
            <v>MODULAÇÃO</v>
          </cell>
          <cell r="G2584" t="str">
            <v/>
          </cell>
          <cell r="H2584">
            <v>299.99</v>
          </cell>
          <cell r="I2584">
            <v>199.99</v>
          </cell>
          <cell r="J2584">
            <v>127.72620000000001</v>
          </cell>
          <cell r="K2584">
            <v>0</v>
          </cell>
          <cell r="L2584">
            <v>127.72620000000001</v>
          </cell>
          <cell r="M2584">
            <v>0</v>
          </cell>
          <cell r="N2584">
            <v>199.99</v>
          </cell>
          <cell r="O2584" t="str">
            <v/>
          </cell>
          <cell r="P2584">
            <v>0</v>
          </cell>
          <cell r="Q2584">
            <v>0.56577115736630401</v>
          </cell>
          <cell r="R2584">
            <v>0.56577115736630401</v>
          </cell>
          <cell r="S2584" t="e">
            <v>#VALUE!</v>
          </cell>
          <cell r="T2584" t="e">
            <v>#VALUE!</v>
          </cell>
        </row>
        <row r="2585">
          <cell r="A2585" t="str">
            <v>G2512073GL</v>
          </cell>
          <cell r="B2585" t="str">
            <v>MKP000631002838</v>
          </cell>
          <cell r="C2585" t="str">
            <v/>
          </cell>
          <cell r="D2585" t="str">
            <v>Armário Aéreo Madesa Glamy 120 cm 2 Portas com Vidro Branco/Preto</v>
          </cell>
          <cell r="E2585" t="str">
            <v>GLAMY</v>
          </cell>
          <cell r="F2585" t="str">
            <v>MODULAÇÃO</v>
          </cell>
          <cell r="G2585" t="str">
            <v/>
          </cell>
          <cell r="H2585">
            <v>949.99</v>
          </cell>
          <cell r="I2585">
            <v>529.99</v>
          </cell>
          <cell r="J2585">
            <v>346.32569999999998</v>
          </cell>
          <cell r="K2585">
            <v>0</v>
          </cell>
          <cell r="L2585">
            <v>346.32569999999998</v>
          </cell>
          <cell r="M2585">
            <v>0</v>
          </cell>
          <cell r="N2585">
            <v>529.99</v>
          </cell>
          <cell r="O2585" t="str">
            <v/>
          </cell>
          <cell r="P2585">
            <v>0</v>
          </cell>
          <cell r="Q2585">
            <v>0.53032246812754602</v>
          </cell>
          <cell r="R2585">
            <v>0.53032246812754602</v>
          </cell>
          <cell r="S2585" t="e">
            <v>#VALUE!</v>
          </cell>
          <cell r="T2585" t="e">
            <v>#VALUE!</v>
          </cell>
        </row>
        <row r="2586">
          <cell r="A2586" t="str">
            <v>G221236EAGCT</v>
          </cell>
          <cell r="B2586" t="str">
            <v>MKP000631004865</v>
          </cell>
          <cell r="C2586" t="str">
            <v/>
          </cell>
          <cell r="D2586" t="str">
            <v>Balcão Gabinete de Pia 120 x 60 cm 1 Porta 2 Gavetas Rustic/Branco (Com Tampo) Agata Madesa</v>
          </cell>
          <cell r="E2586" t="str">
            <v>ÁGATA</v>
          </cell>
          <cell r="F2586" t="str">
            <v>MODULAÇÃO</v>
          </cell>
          <cell r="G2586" t="str">
            <v/>
          </cell>
          <cell r="H2586">
            <v>959.99</v>
          </cell>
          <cell r="I2586">
            <v>859.99</v>
          </cell>
          <cell r="J2586">
            <v>537.11929999999995</v>
          </cell>
          <cell r="K2586">
            <v>0</v>
          </cell>
          <cell r="L2586">
            <v>537.11929999999995</v>
          </cell>
          <cell r="M2586">
            <v>0</v>
          </cell>
          <cell r="N2586">
            <v>859.99</v>
          </cell>
          <cell r="O2586" t="str">
            <v/>
          </cell>
          <cell r="P2586">
            <v>0</v>
          </cell>
          <cell r="Q2586">
            <v>0.60111543189753203</v>
          </cell>
          <cell r="R2586">
            <v>0.60111543189753203</v>
          </cell>
          <cell r="S2586" t="e">
            <v>#VALUE!</v>
          </cell>
          <cell r="T2586" t="e">
            <v>#VALUE!</v>
          </cell>
        </row>
        <row r="2587">
          <cell r="A2587" t="str">
            <v>MDFC0100018N</v>
          </cell>
          <cell r="B2587" t="str">
            <v>MKP000631004905</v>
          </cell>
          <cell r="C2587" t="str">
            <v/>
          </cell>
          <cell r="D2587" t="str">
            <v>Escrivaninha Mesa para Computador Office Preto 9414 Madesa</v>
          </cell>
          <cell r="E2587" t="str">
            <v>GAMER</v>
          </cell>
          <cell r="F2587" t="str">
            <v>ESCRITÓRIO</v>
          </cell>
          <cell r="G2587" t="str">
            <v/>
          </cell>
          <cell r="H2587">
            <v>479.99</v>
          </cell>
          <cell r="I2587">
            <v>269.99</v>
          </cell>
          <cell r="J2587">
            <v>154.14779999999999</v>
          </cell>
          <cell r="K2587">
            <v>0</v>
          </cell>
          <cell r="L2587">
            <v>154.14779999999999</v>
          </cell>
          <cell r="M2587">
            <v>0</v>
          </cell>
          <cell r="N2587">
            <v>269.99</v>
          </cell>
          <cell r="O2587" t="str">
            <v>KABUM</v>
          </cell>
          <cell r="P2587">
            <v>268.8</v>
          </cell>
          <cell r="Q2587">
            <v>0.75150083231807396</v>
          </cell>
          <cell r="R2587">
            <v>0.75150083231807396</v>
          </cell>
          <cell r="S2587" t="e">
            <v>#VALUE!</v>
          </cell>
          <cell r="T2587" t="e">
            <v>#VALUE!</v>
          </cell>
        </row>
        <row r="2588">
          <cell r="A2588" t="str">
            <v>G24600F8AG</v>
          </cell>
          <cell r="B2588" t="str">
            <v>MKP000631002942</v>
          </cell>
          <cell r="C2588" t="str">
            <v/>
          </cell>
          <cell r="D2588" t="str">
            <v>Balcão Madesa Agata 60 cm 1 Porta Branco/Cinza</v>
          </cell>
          <cell r="E2588" t="str">
            <v>ÁGATA</v>
          </cell>
          <cell r="F2588" t="str">
            <v>MODULAÇÃO</v>
          </cell>
          <cell r="G2588" t="str">
            <v/>
          </cell>
          <cell r="H2588">
            <v>799.99</v>
          </cell>
          <cell r="I2588">
            <v>419.99</v>
          </cell>
          <cell r="J2588">
            <v>251.9753</v>
          </cell>
          <cell r="K2588">
            <v>0</v>
          </cell>
          <cell r="L2588">
            <v>251.9753</v>
          </cell>
          <cell r="M2588">
            <v>0</v>
          </cell>
          <cell r="N2588">
            <v>419.99</v>
          </cell>
          <cell r="O2588" t="str">
            <v/>
          </cell>
          <cell r="P2588">
            <v>0</v>
          </cell>
          <cell r="Q2588">
            <v>0.66679035603886605</v>
          </cell>
          <cell r="R2588">
            <v>0.66679035603886605</v>
          </cell>
          <cell r="S2588" t="e">
            <v>#VALUE!</v>
          </cell>
          <cell r="T2588" t="e">
            <v>#VALUE!</v>
          </cell>
        </row>
        <row r="2589">
          <cell r="A2589" t="str">
            <v>G2540073</v>
          </cell>
          <cell r="B2589" t="str">
            <v>MKP000631004902</v>
          </cell>
          <cell r="C2589" t="str">
            <v/>
          </cell>
          <cell r="D2589" t="str">
            <v>Armário Aéreo 100% MDF 40 cm 1 Porta Branco/Preto Acordes Madesa</v>
          </cell>
          <cell r="E2589" t="str">
            <v>ACORDES</v>
          </cell>
          <cell r="F2589" t="str">
            <v>MODULAÇÃO</v>
          </cell>
          <cell r="G2589" t="str">
            <v/>
          </cell>
          <cell r="H2589">
            <v>299.99</v>
          </cell>
          <cell r="I2589">
            <v>289.99</v>
          </cell>
          <cell r="J2589">
            <v>168.98269999999999</v>
          </cell>
          <cell r="K2589">
            <v>0</v>
          </cell>
          <cell r="L2589">
            <v>168.98269999999999</v>
          </cell>
          <cell r="M2589">
            <v>0</v>
          </cell>
          <cell r="N2589">
            <v>289.99</v>
          </cell>
          <cell r="O2589" t="str">
            <v/>
          </cell>
          <cell r="P2589">
            <v>0</v>
          </cell>
          <cell r="Q2589">
            <v>0.71609283080457298</v>
          </cell>
          <cell r="R2589">
            <v>0.71609283080457298</v>
          </cell>
          <cell r="S2589" t="e">
            <v>#VALUE!</v>
          </cell>
          <cell r="T2589" t="e">
            <v>#VALUE!</v>
          </cell>
        </row>
        <row r="2590">
          <cell r="A2590" t="str">
            <v>G256006ETE</v>
          </cell>
          <cell r="B2590" t="str">
            <v>MKP000631002147</v>
          </cell>
          <cell r="C2590" t="str">
            <v/>
          </cell>
          <cell r="D2590" t="str">
            <v>Armário Aéreo Madesa Stella 60 cm 1 Porta Rustic/Branco</v>
          </cell>
          <cell r="E2590" t="str">
            <v>STELLA</v>
          </cell>
          <cell r="F2590" t="str">
            <v>MODULAÇÃO</v>
          </cell>
          <cell r="G2590" t="str">
            <v/>
          </cell>
          <cell r="H2590">
            <v>439.99</v>
          </cell>
          <cell r="I2590">
            <v>319.99</v>
          </cell>
          <cell r="J2590">
            <v>184.84219999999999</v>
          </cell>
          <cell r="K2590">
            <v>0</v>
          </cell>
          <cell r="L2590">
            <v>184.84219999999999</v>
          </cell>
          <cell r="M2590">
            <v>0</v>
          </cell>
          <cell r="N2590">
            <v>319.99</v>
          </cell>
          <cell r="O2590" t="str">
            <v/>
          </cell>
          <cell r="P2590">
            <v>0</v>
          </cell>
          <cell r="Q2590">
            <v>0.73115230180121205</v>
          </cell>
          <cell r="R2590">
            <v>0.73115230180121205</v>
          </cell>
          <cell r="S2590" t="e">
            <v>#VALUE!</v>
          </cell>
          <cell r="T2590" t="e">
            <v>#VALUE!</v>
          </cell>
        </row>
        <row r="2591">
          <cell r="A2591" t="str">
            <v>GRLX260001H8</v>
          </cell>
          <cell r="B2591" t="str">
            <v>MKP000631003773</v>
          </cell>
          <cell r="C2591" t="str">
            <v/>
          </cell>
          <cell r="D2591" t="str">
            <v>Armário de Cozinha Completa 260cm Rustic Branco Veludo Lux Madesa 01</v>
          </cell>
          <cell r="E2591" t="str">
            <v>LUX</v>
          </cell>
          <cell r="F2591" t="str">
            <v>COZINHA</v>
          </cell>
          <cell r="G2591" t="str">
            <v/>
          </cell>
          <cell r="H2591">
            <v>3839.99</v>
          </cell>
          <cell r="I2591">
            <v>3739.99</v>
          </cell>
          <cell r="J2591">
            <v>2066.2148999999999</v>
          </cell>
          <cell r="K2591">
            <v>0</v>
          </cell>
          <cell r="L2591">
            <v>2066.2148999999999</v>
          </cell>
          <cell r="M2591">
            <v>0</v>
          </cell>
          <cell r="N2591">
            <v>3739.99</v>
          </cell>
          <cell r="O2591" t="str">
            <v>LOJA</v>
          </cell>
          <cell r="P2591">
            <v>3289.99</v>
          </cell>
          <cell r="Q2591">
            <v>0.81006825572693297</v>
          </cell>
          <cell r="R2591">
            <v>0.81006825572693297</v>
          </cell>
          <cell r="S2591" t="e">
            <v>#VALUE!</v>
          </cell>
          <cell r="T2591" t="e">
            <v>#VALUE!</v>
          </cell>
        </row>
        <row r="2592">
          <cell r="A2592" t="str">
            <v>11639B2E1R</v>
          </cell>
          <cell r="B2592" t="str">
            <v>MKP000631001193</v>
          </cell>
          <cell r="C2592" t="str">
            <v/>
          </cell>
          <cell r="D2592" t="str">
            <v>Guarda-Roupa Casal 100% MDF Madesa Eros 3 Portas de Correr com Espelhos Branco/Branco/Rustic</v>
          </cell>
          <cell r="E2592" t="str">
            <v>EROS</v>
          </cell>
          <cell r="F2592" t="str">
            <v>QUARTO</v>
          </cell>
          <cell r="G2592" t="str">
            <v/>
          </cell>
          <cell r="H2592">
            <v>2989.99</v>
          </cell>
          <cell r="I2592">
            <v>2159.9899999999998</v>
          </cell>
          <cell r="J2592">
            <v>1811.2094</v>
          </cell>
          <cell r="K2592">
            <v>0</v>
          </cell>
          <cell r="L2592">
            <v>1811.2094</v>
          </cell>
          <cell r="M2592">
            <v>0</v>
          </cell>
          <cell r="N2592">
            <v>2159.9899999999998</v>
          </cell>
          <cell r="O2592" t="str">
            <v/>
          </cell>
          <cell r="P2592">
            <v>0</v>
          </cell>
          <cell r="Q2592">
            <v>0.19256779475636501</v>
          </cell>
          <cell r="R2592">
            <v>0.19256779475636501</v>
          </cell>
          <cell r="S2592" t="e">
            <v>#VALUE!</v>
          </cell>
          <cell r="T2592" t="e">
            <v>#VALUE!</v>
          </cell>
        </row>
        <row r="2593">
          <cell r="A2593" t="str">
            <v>1118731E</v>
          </cell>
          <cell r="B2593" t="str">
            <v>MKP000631002665</v>
          </cell>
          <cell r="C2593" t="str">
            <v/>
          </cell>
          <cell r="D2593" t="str">
            <v>Guarda-Roupa Casal Madesa Istambul 3 Portas de Correr com Espelho 3 Gavetas Branco/Preto</v>
          </cell>
          <cell r="E2593" t="str">
            <v>ISTAMBUL</v>
          </cell>
          <cell r="F2593" t="str">
            <v>QUARTO</v>
          </cell>
          <cell r="G2593" t="str">
            <v/>
          </cell>
          <cell r="H2593">
            <v>2179.9899999999998</v>
          </cell>
          <cell r="I2593">
            <v>1659.99</v>
          </cell>
          <cell r="J2593">
            <v>1365.1922999999999</v>
          </cell>
          <cell r="K2593">
            <v>0</v>
          </cell>
          <cell r="L2593">
            <v>1365.1922999999999</v>
          </cell>
          <cell r="M2593">
            <v>0</v>
          </cell>
          <cell r="N2593">
            <v>1659.99</v>
          </cell>
          <cell r="O2593" t="str">
            <v/>
          </cell>
          <cell r="P2593">
            <v>0</v>
          </cell>
          <cell r="Q2593">
            <v>0.21593858975032301</v>
          </cell>
          <cell r="R2593">
            <v>0.21593858975032301</v>
          </cell>
          <cell r="S2593" t="e">
            <v>#VALUE!</v>
          </cell>
          <cell r="T2593" t="e">
            <v>#VALUE!</v>
          </cell>
        </row>
        <row r="2594">
          <cell r="A2594" t="str">
            <v>MDJA0401496ESM</v>
          </cell>
          <cell r="B2594" t="str">
            <v>MKP000631005302</v>
          </cell>
          <cell r="C2594" t="str">
            <v/>
          </cell>
          <cell r="D2594" t="str">
            <v>Conjunto Sala de Jantar Mesa Tampo de Madeira 4 Cadeiras Rustic/Branco/Imperial Ashley Madesa</v>
          </cell>
          <cell r="E2594" t="str">
            <v>ASHLEY</v>
          </cell>
          <cell r="F2594" t="str">
            <v>SALA DE JANTAR</v>
          </cell>
          <cell r="G2594">
            <v>4256</v>
          </cell>
          <cell r="H2594">
            <v>1279.99</v>
          </cell>
          <cell r="I2594">
            <v>1169.99</v>
          </cell>
          <cell r="J2594">
            <v>910.24810000000002</v>
          </cell>
          <cell r="K2594">
            <v>0</v>
          </cell>
          <cell r="L2594">
            <v>910.24810000000002</v>
          </cell>
          <cell r="M2594">
            <v>0</v>
          </cell>
          <cell r="N2594">
            <v>1169.99</v>
          </cell>
          <cell r="O2594" t="str">
            <v/>
          </cell>
          <cell r="P2594">
            <v>0</v>
          </cell>
          <cell r="Q2594">
            <v>0.28535286148908201</v>
          </cell>
          <cell r="R2594">
            <v>0.28535286148908201</v>
          </cell>
          <cell r="S2594" t="e">
            <v>#VALUE!</v>
          </cell>
          <cell r="T2594" t="e">
            <v>#VALUE!</v>
          </cell>
        </row>
        <row r="2595">
          <cell r="A2595" t="str">
            <v>GCAG4590017G</v>
          </cell>
          <cell r="B2595" t="str">
            <v>MKP000631005970</v>
          </cell>
          <cell r="C2595" t="str">
            <v/>
          </cell>
          <cell r="D2595" t="str">
            <v>Armário de Cozinha Completa de Canto 459cm Rustic/Crema Agata Madesa 01</v>
          </cell>
          <cell r="E2595" t="str">
            <v>ÁGATA</v>
          </cell>
          <cell r="F2595" t="str">
            <v>COZINHA</v>
          </cell>
          <cell r="G2595" t="str">
            <v/>
          </cell>
          <cell r="H2595">
            <v>3479.99</v>
          </cell>
          <cell r="I2595">
            <v>3379.99</v>
          </cell>
          <cell r="J2595">
            <v>2732.2485000000001</v>
          </cell>
          <cell r="K2595">
            <v>0</v>
          </cell>
          <cell r="L2595">
            <v>2732.2485000000001</v>
          </cell>
          <cell r="M2595">
            <v>0</v>
          </cell>
          <cell r="N2595">
            <v>3379.99</v>
          </cell>
          <cell r="O2595" t="str">
            <v/>
          </cell>
          <cell r="P2595">
            <v>0</v>
          </cell>
          <cell r="Q2595">
            <v>0.23707268939849299</v>
          </cell>
          <cell r="R2595">
            <v>0.23707268939849299</v>
          </cell>
          <cell r="S2595" t="e">
            <v>#VALUE!</v>
          </cell>
          <cell r="T2595" t="e">
            <v>#VALUE!</v>
          </cell>
        </row>
        <row r="2596">
          <cell r="A2596" t="str">
            <v>XA10949B1E2G</v>
          </cell>
          <cell r="B2596" t="str">
            <v>MKP000631001618</v>
          </cell>
          <cell r="C2596" t="str">
            <v/>
          </cell>
          <cell r="D2596" t="str">
            <v>Guarda-Roupa Infantil Madesa Bento 2 Portas de Correr com Espelho 2 Gavetas Branco/Rustic</v>
          </cell>
          <cell r="E2596" t="str">
            <v>BENTO</v>
          </cell>
          <cell r="F2596" t="str">
            <v>QUARTO</v>
          </cell>
          <cell r="G2596" t="str">
            <v/>
          </cell>
          <cell r="H2596">
            <v>1169.99</v>
          </cell>
          <cell r="I2596">
            <v>869.99</v>
          </cell>
          <cell r="J2596">
            <v>693.77409999999998</v>
          </cell>
          <cell r="K2596">
            <v>0</v>
          </cell>
          <cell r="L2596">
            <v>693.77409999999998</v>
          </cell>
          <cell r="M2596">
            <v>0</v>
          </cell>
          <cell r="N2596">
            <v>869.99</v>
          </cell>
          <cell r="O2596" t="str">
            <v/>
          </cell>
          <cell r="P2596">
            <v>0</v>
          </cell>
          <cell r="Q2596">
            <v>0.253996077397527</v>
          </cell>
          <cell r="R2596">
            <v>0.253996077397527</v>
          </cell>
          <cell r="S2596" t="e">
            <v>#VALUE!</v>
          </cell>
          <cell r="T2596" t="e">
            <v>#VALUE!</v>
          </cell>
        </row>
        <row r="2597">
          <cell r="A2597" t="str">
            <v>G241206ETE</v>
          </cell>
          <cell r="B2597" t="str">
            <v>MKP000631002153</v>
          </cell>
          <cell r="C2597" t="str">
            <v/>
          </cell>
          <cell r="D2597" t="str">
            <v>Balcão Gabinete de Pia Madesa Stella 2 Portas (Sem Tampo e Pia) Rustic/Branco</v>
          </cell>
          <cell r="E2597" t="str">
            <v>STELLA</v>
          </cell>
          <cell r="F2597" t="str">
            <v>MODULAÇÃO</v>
          </cell>
          <cell r="G2597" t="str">
            <v/>
          </cell>
          <cell r="H2597">
            <v>919.99</v>
          </cell>
          <cell r="I2597">
            <v>469.99</v>
          </cell>
          <cell r="J2597">
            <v>358.65359999999998</v>
          </cell>
          <cell r="K2597">
            <v>0</v>
          </cell>
          <cell r="L2597">
            <v>358.65359999999998</v>
          </cell>
          <cell r="M2597">
            <v>0</v>
          </cell>
          <cell r="N2597">
            <v>469.99</v>
          </cell>
          <cell r="O2597" t="str">
            <v/>
          </cell>
          <cell r="P2597">
            <v>0</v>
          </cell>
          <cell r="Q2597">
            <v>0.31042878142029001</v>
          </cell>
          <cell r="R2597">
            <v>0.31042878142029001</v>
          </cell>
          <cell r="S2597" t="e">
            <v>#VALUE!</v>
          </cell>
          <cell r="T2597" t="e">
            <v>#VALUE!</v>
          </cell>
        </row>
        <row r="2598">
          <cell r="A2598" t="str">
            <v>MDFC020003098N</v>
          </cell>
          <cell r="B2598" t="str">
            <v>MKP000631002344</v>
          </cell>
          <cell r="C2598" t="str">
            <v/>
          </cell>
          <cell r="D2598" t="str">
            <v>Mesa para Computador Gamer Madesa 9409 e Painel para TV até 58 Polegadas Branco/Preto</v>
          </cell>
          <cell r="E2598" t="str">
            <v>GAMER</v>
          </cell>
          <cell r="F2598" t="str">
            <v>ESCRITÓRIO</v>
          </cell>
          <cell r="G2598" t="str">
            <v/>
          </cell>
          <cell r="H2598">
            <v>709.99</v>
          </cell>
          <cell r="I2598">
            <v>479.99</v>
          </cell>
          <cell r="J2598">
            <v>347.12139999999999</v>
          </cell>
          <cell r="K2598">
            <v>0</v>
          </cell>
          <cell r="L2598">
            <v>347.12139999999999</v>
          </cell>
          <cell r="M2598">
            <v>0</v>
          </cell>
          <cell r="N2598">
            <v>479.99</v>
          </cell>
          <cell r="O2598" t="str">
            <v/>
          </cell>
          <cell r="P2598">
            <v>0</v>
          </cell>
          <cell r="Q2598">
            <v>0.38277271294711301</v>
          </cell>
          <cell r="R2598">
            <v>0.38277271294711301</v>
          </cell>
          <cell r="S2598" t="e">
            <v>#VALUE!</v>
          </cell>
          <cell r="T2598" t="e">
            <v>#VALUE!</v>
          </cell>
        </row>
        <row r="2599">
          <cell r="A2599" t="str">
            <v>G2512073</v>
          </cell>
          <cell r="B2599" t="str">
            <v>MKP000631004903</v>
          </cell>
          <cell r="C2599" t="str">
            <v/>
          </cell>
          <cell r="D2599" t="str">
            <v>Armário Aéreo 100% MDF 120 cm 2 Portas Vidro Reflex Branco/Preto Acordes Madesa</v>
          </cell>
          <cell r="E2599" t="str">
            <v>ACORDES</v>
          </cell>
          <cell r="F2599" t="str">
            <v>MODULAÇÃO</v>
          </cell>
          <cell r="G2599" t="str">
            <v/>
          </cell>
          <cell r="H2599">
            <v>799.99</v>
          </cell>
          <cell r="I2599">
            <v>529.99</v>
          </cell>
          <cell r="J2599">
            <v>350.40230000000003</v>
          </cell>
          <cell r="K2599">
            <v>0</v>
          </cell>
          <cell r="L2599">
            <v>350.40230000000003</v>
          </cell>
          <cell r="M2599">
            <v>0</v>
          </cell>
          <cell r="N2599">
            <v>529.99</v>
          </cell>
          <cell r="O2599" t="str">
            <v/>
          </cell>
          <cell r="P2599">
            <v>0</v>
          </cell>
          <cell r="Q2599">
            <v>0.51251861075112803</v>
          </cell>
          <cell r="R2599">
            <v>0.51251861075112803</v>
          </cell>
          <cell r="S2599" t="e">
            <v>#VALUE!</v>
          </cell>
          <cell r="T2599" t="e">
            <v>#VALUE!</v>
          </cell>
        </row>
        <row r="2600">
          <cell r="A2600" t="str">
            <v>G2660773GL</v>
          </cell>
          <cell r="B2600" t="str">
            <v>MKP000631002852</v>
          </cell>
          <cell r="C2600" t="str">
            <v/>
          </cell>
          <cell r="D2600" t="str">
            <v>Paneleiro Madesa Glamy 60 cm 3 Portas Branco/Preto</v>
          </cell>
          <cell r="E2600" t="str">
            <v>GLAMY</v>
          </cell>
          <cell r="F2600" t="str">
            <v>MODULAÇÃO</v>
          </cell>
          <cell r="G2600" t="str">
            <v/>
          </cell>
          <cell r="H2600">
            <v>1279.99</v>
          </cell>
          <cell r="I2600">
            <v>849.99</v>
          </cell>
          <cell r="J2600">
            <v>545.34879999999998</v>
          </cell>
          <cell r="K2600">
            <v>0</v>
          </cell>
          <cell r="L2600">
            <v>545.34879999999998</v>
          </cell>
          <cell r="M2600">
            <v>0</v>
          </cell>
          <cell r="N2600">
            <v>849.99</v>
          </cell>
          <cell r="O2600" t="str">
            <v/>
          </cell>
          <cell r="P2600">
            <v>0</v>
          </cell>
          <cell r="Q2600">
            <v>0.55861716391417804</v>
          </cell>
          <cell r="R2600">
            <v>0.55861716391417804</v>
          </cell>
          <cell r="S2600" t="e">
            <v>#VALUE!</v>
          </cell>
          <cell r="T2600" t="e">
            <v>#VALUE!</v>
          </cell>
        </row>
        <row r="2601">
          <cell r="A2601" t="str">
            <v>G258046E</v>
          </cell>
          <cell r="B2601" t="str">
            <v>MKP000631000803</v>
          </cell>
          <cell r="C2601" t="str">
            <v/>
          </cell>
          <cell r="D2601" t="str">
            <v>Armário Aéreo Madesa Acordes 100% MDF 80 cm 1 Porta Basculante Branco/Rustic</v>
          </cell>
          <cell r="E2601" t="str">
            <v>ACORDES</v>
          </cell>
          <cell r="F2601" t="str">
            <v>MODULAÇÃO</v>
          </cell>
          <cell r="G2601" t="str">
            <v/>
          </cell>
          <cell r="H2601">
            <v>409.99</v>
          </cell>
          <cell r="I2601">
            <v>299.99</v>
          </cell>
          <cell r="J2601">
            <v>177.34299999999999</v>
          </cell>
          <cell r="K2601">
            <v>0</v>
          </cell>
          <cell r="L2601">
            <v>177.34299999999999</v>
          </cell>
          <cell r="M2601">
            <v>0</v>
          </cell>
          <cell r="N2601">
            <v>299.99</v>
          </cell>
          <cell r="O2601" t="str">
            <v/>
          </cell>
          <cell r="P2601">
            <v>0</v>
          </cell>
          <cell r="Q2601">
            <v>0.69158072210349397</v>
          </cell>
          <cell r="R2601">
            <v>0.69158072210349397</v>
          </cell>
          <cell r="S2601" t="e">
            <v>#VALUE!</v>
          </cell>
          <cell r="T2601" t="e">
            <v>#VALUE!</v>
          </cell>
        </row>
        <row r="2602">
          <cell r="A2602" t="str">
            <v>G2475073K</v>
          </cell>
          <cell r="B2602" t="str">
            <v>MKP000631004949</v>
          </cell>
          <cell r="C2602" t="str">
            <v/>
          </cell>
          <cell r="D2602" t="str">
            <v>Balcão de Canto 100% MDF 1 Porta Branco/Preto Acordes Madesa</v>
          </cell>
          <cell r="E2602" t="str">
            <v>ACORDES</v>
          </cell>
          <cell r="F2602" t="str">
            <v>MODULAÇÃO</v>
          </cell>
          <cell r="G2602" t="str">
            <v/>
          </cell>
          <cell r="H2602">
            <v>699.99</v>
          </cell>
          <cell r="I2602">
            <v>579.99</v>
          </cell>
          <cell r="J2602">
            <v>355.3836</v>
          </cell>
          <cell r="K2602">
            <v>0</v>
          </cell>
          <cell r="L2602">
            <v>355.3836</v>
          </cell>
          <cell r="M2602">
            <v>0</v>
          </cell>
          <cell r="N2602">
            <v>579.99</v>
          </cell>
          <cell r="O2602" t="str">
            <v/>
          </cell>
          <cell r="P2602">
            <v>0</v>
          </cell>
          <cell r="Q2602">
            <v>0.63201115639551197</v>
          </cell>
          <cell r="R2602">
            <v>0.63201115639551197</v>
          </cell>
          <cell r="S2602" t="e">
            <v>#VALUE!</v>
          </cell>
          <cell r="T2602" t="e">
            <v>#VALUE!</v>
          </cell>
        </row>
        <row r="2603">
          <cell r="A2603" t="str">
            <v>MDJA060137F9SM</v>
          </cell>
          <cell r="B2603" t="str">
            <v>MKP000631005310</v>
          </cell>
          <cell r="C2603" t="str">
            <v/>
          </cell>
          <cell r="D2603" t="str">
            <v>Conjunto Sala de Jantar Mesa Tampo de Madeira 6 Cadeiras Rustic/Cinza/Imperial Britney Madesa</v>
          </cell>
          <cell r="E2603" t="str">
            <v>BRITNEY</v>
          </cell>
          <cell r="F2603" t="str">
            <v>SALA DE JANTAR</v>
          </cell>
          <cell r="G2603">
            <v>4256</v>
          </cell>
          <cell r="H2603">
            <v>1649.99</v>
          </cell>
          <cell r="I2603">
            <v>1549.99</v>
          </cell>
          <cell r="J2603">
            <v>1208.9081000000001</v>
          </cell>
          <cell r="K2603">
            <v>0</v>
          </cell>
          <cell r="L2603">
            <v>1208.9081000000001</v>
          </cell>
          <cell r="M2603">
            <v>0</v>
          </cell>
          <cell r="N2603">
            <v>1549.99</v>
          </cell>
          <cell r="O2603" t="str">
            <v/>
          </cell>
          <cell r="P2603">
            <v>0</v>
          </cell>
          <cell r="Q2603">
            <v>0.28214047039638501</v>
          </cell>
          <cell r="R2603">
            <v>0.28214047039638501</v>
          </cell>
          <cell r="S2603" t="e">
            <v>#VALUE!</v>
          </cell>
          <cell r="T2603" t="e">
            <v>#VALUE!</v>
          </cell>
        </row>
        <row r="2604">
          <cell r="A2604" t="str">
            <v>GCEM3850017K</v>
          </cell>
          <cell r="B2604" t="str">
            <v>MKP000631000437</v>
          </cell>
          <cell r="C2604" t="str">
            <v/>
          </cell>
          <cell r="D2604" t="str">
            <v>Armário de Cozinha Completa 385cm Rustic/Preto Emilly Love Madesa 01</v>
          </cell>
          <cell r="E2604" t="str">
            <v>LOVE/EMILLY</v>
          </cell>
          <cell r="F2604" t="str">
            <v>COZINHA</v>
          </cell>
          <cell r="G2604" t="str">
            <v/>
          </cell>
          <cell r="H2604">
            <v>2079.9899999999998</v>
          </cell>
          <cell r="I2604">
            <v>1449.99</v>
          </cell>
          <cell r="J2604">
            <v>1141.4698000000001</v>
          </cell>
          <cell r="K2604">
            <v>0</v>
          </cell>
          <cell r="L2604">
            <v>1141.4698000000001</v>
          </cell>
          <cell r="M2604">
            <v>0</v>
          </cell>
          <cell r="N2604">
            <v>1449.99</v>
          </cell>
          <cell r="O2604" t="str">
            <v/>
          </cell>
          <cell r="P2604">
            <v>0</v>
          </cell>
          <cell r="Q2604">
            <v>0.27028327862901003</v>
          </cell>
          <cell r="R2604">
            <v>0.27028327862901003</v>
          </cell>
          <cell r="S2604" t="e">
            <v>#VALUE!</v>
          </cell>
          <cell r="T2604" t="e">
            <v>#VALUE!</v>
          </cell>
        </row>
        <row r="2605">
          <cell r="A2605" t="str">
            <v>11639B2E1BCP</v>
          </cell>
          <cell r="B2605" t="str">
            <v>MKP000631001186</v>
          </cell>
          <cell r="C2605" t="str">
            <v/>
          </cell>
          <cell r="D2605" t="str">
            <v>Guarda-Roupa Casal 100% MDF Madesa Eros 3 Portas de Correr com Espelhos com Pés Branco/Rustic/Branco</v>
          </cell>
          <cell r="E2605" t="str">
            <v>EROS</v>
          </cell>
          <cell r="F2605" t="str">
            <v>QUARTO</v>
          </cell>
          <cell r="G2605" t="str">
            <v/>
          </cell>
          <cell r="H2605">
            <v>3049.99</v>
          </cell>
          <cell r="I2605">
            <v>2299.9899999999998</v>
          </cell>
          <cell r="J2605">
            <v>1857.3927000000001</v>
          </cell>
          <cell r="K2605">
            <v>0</v>
          </cell>
          <cell r="L2605">
            <v>1857.3927000000001</v>
          </cell>
          <cell r="M2605">
            <v>0</v>
          </cell>
          <cell r="N2605">
            <v>2299.9899999999998</v>
          </cell>
          <cell r="O2605" t="str">
            <v/>
          </cell>
          <cell r="P2605">
            <v>0</v>
          </cell>
          <cell r="Q2605">
            <v>0.23828956579833599</v>
          </cell>
          <cell r="R2605">
            <v>0.23828956579833599</v>
          </cell>
          <cell r="S2605" t="e">
            <v>#VALUE!</v>
          </cell>
          <cell r="T2605" t="e">
            <v>#VALUE!</v>
          </cell>
        </row>
        <row r="2606">
          <cell r="A2606" t="str">
            <v>GRAG2700057K</v>
          </cell>
          <cell r="B2606" t="str">
            <v>MKP000631004464</v>
          </cell>
          <cell r="C2606" t="str">
            <v/>
          </cell>
          <cell r="D2606" t="str">
            <v>Armário de Cozinha Completa 270cm Rustic/Preto Agata Madesa 05</v>
          </cell>
          <cell r="E2606" t="str">
            <v>ÁGATA</v>
          </cell>
          <cell r="F2606" t="str">
            <v>COZINHA</v>
          </cell>
          <cell r="G2606" t="str">
            <v/>
          </cell>
          <cell r="H2606">
            <v>1799.99</v>
          </cell>
          <cell r="I2606">
            <v>1699.99</v>
          </cell>
          <cell r="J2606">
            <v>1370.0536999999999</v>
          </cell>
          <cell r="K2606">
            <v>0</v>
          </cell>
          <cell r="L2606">
            <v>1370.0536999999999</v>
          </cell>
          <cell r="M2606">
            <v>0</v>
          </cell>
          <cell r="N2606">
            <v>1699.99</v>
          </cell>
          <cell r="O2606" t="str">
            <v/>
          </cell>
          <cell r="P2606">
            <v>0</v>
          </cell>
          <cell r="Q2606">
            <v>0.24081997661843499</v>
          </cell>
          <cell r="R2606">
            <v>0.24081997661843499</v>
          </cell>
          <cell r="S2606" t="e">
            <v>#VALUE!</v>
          </cell>
          <cell r="T2606" t="e">
            <v>#VALUE!</v>
          </cell>
        </row>
        <row r="2607">
          <cell r="A2607" t="str">
            <v>GRGM1900019B</v>
          </cell>
          <cell r="B2607" t="str">
            <v>MKP000631000178</v>
          </cell>
          <cell r="C2607" t="str">
            <v/>
          </cell>
          <cell r="D2607" t="str">
            <v>Armário de Cozinha Compacta 100% MDF 190cm Branco/Rustic Acordes Madesa 01</v>
          </cell>
          <cell r="E2607" t="str">
            <v>ACORDES</v>
          </cell>
          <cell r="F2607" t="str">
            <v>COZINHA</v>
          </cell>
          <cell r="G2607" t="str">
            <v/>
          </cell>
          <cell r="H2607">
            <v>2319.9899999999998</v>
          </cell>
          <cell r="I2607">
            <v>1559.99</v>
          </cell>
          <cell r="J2607">
            <v>1218.184</v>
          </cell>
          <cell r="K2607">
            <v>0</v>
          </cell>
          <cell r="L2607">
            <v>1218.184</v>
          </cell>
          <cell r="M2607">
            <v>0</v>
          </cell>
          <cell r="N2607">
            <v>1559.99</v>
          </cell>
          <cell r="O2607" t="str">
            <v/>
          </cell>
          <cell r="P2607">
            <v>0</v>
          </cell>
          <cell r="Q2607">
            <v>0.28058651238236598</v>
          </cell>
          <cell r="R2607">
            <v>0.28058651238236598</v>
          </cell>
          <cell r="S2607" t="e">
            <v>#VALUE!</v>
          </cell>
          <cell r="T2607" t="e">
            <v>#VALUE!</v>
          </cell>
        </row>
        <row r="2608">
          <cell r="A2608" t="str">
            <v>GRLX3000019R</v>
          </cell>
          <cell r="B2608" t="str">
            <v>MKP000631005130</v>
          </cell>
          <cell r="C2608" t="str">
            <v/>
          </cell>
          <cell r="D2608" t="str">
            <v>Armário de Cozinha Completa 300cm Branco/Cinza Lux da Sabrina Madesa</v>
          </cell>
          <cell r="E2608" t="str">
            <v>LUX</v>
          </cell>
          <cell r="F2608" t="str">
            <v>COZINHA</v>
          </cell>
          <cell r="G2608" t="str">
            <v/>
          </cell>
          <cell r="H2608">
            <v>5779.99</v>
          </cell>
          <cell r="I2608">
            <v>5729.99</v>
          </cell>
          <cell r="J2608">
            <v>3512.2197999999999</v>
          </cell>
          <cell r="K2608">
            <v>0</v>
          </cell>
          <cell r="L2608">
            <v>3512.2197999999999</v>
          </cell>
          <cell r="M2608">
            <v>0</v>
          </cell>
          <cell r="N2608">
            <v>5729.99</v>
          </cell>
          <cell r="O2608" t="str">
            <v>LOJA</v>
          </cell>
          <cell r="P2608">
            <v>5039.99</v>
          </cell>
          <cell r="Q2608">
            <v>0.63144402295095603</v>
          </cell>
          <cell r="R2608">
            <v>0.63144402295095603</v>
          </cell>
          <cell r="S2608" t="e">
            <v>#VALUE!</v>
          </cell>
          <cell r="T2608" t="e">
            <v>#VALUE!</v>
          </cell>
        </row>
        <row r="2609">
          <cell r="A2609" t="str">
            <v>G244005ZGL</v>
          </cell>
          <cell r="B2609" t="str">
            <v>MKP000631000375</v>
          </cell>
          <cell r="C2609" t="str">
            <v/>
          </cell>
          <cell r="D2609" t="str">
            <v>Balcão Madesa Glamy 40 cm 1 Porta Rustic</v>
          </cell>
          <cell r="E2609" t="str">
            <v>GLAMY</v>
          </cell>
          <cell r="F2609" t="str">
            <v>MODULAÇÃO</v>
          </cell>
          <cell r="G2609" t="str">
            <v/>
          </cell>
          <cell r="H2609">
            <v>509.99</v>
          </cell>
          <cell r="I2609">
            <v>349.99</v>
          </cell>
          <cell r="J2609">
            <v>223.8424</v>
          </cell>
          <cell r="K2609">
            <v>0</v>
          </cell>
          <cell r="L2609">
            <v>223.8424</v>
          </cell>
          <cell r="M2609">
            <v>0</v>
          </cell>
          <cell r="N2609">
            <v>349.99</v>
          </cell>
          <cell r="O2609" t="str">
            <v/>
          </cell>
          <cell r="P2609">
            <v>0</v>
          </cell>
          <cell r="Q2609">
            <v>0.56355543007044195</v>
          </cell>
          <cell r="R2609">
            <v>0.56355543007044195</v>
          </cell>
          <cell r="S2609" t="e">
            <v>#VALUE!</v>
          </cell>
          <cell r="T2609" t="e">
            <v>#VALUE!</v>
          </cell>
        </row>
        <row r="2610">
          <cell r="A2610" t="str">
            <v>G246009BGL</v>
          </cell>
          <cell r="B2610" t="str">
            <v>MKP000631000837</v>
          </cell>
          <cell r="C2610" t="str">
            <v/>
          </cell>
          <cell r="D2610" t="str">
            <v>Balcão Madesa Glamy 60 cm 1 Porta Branco/Rustic</v>
          </cell>
          <cell r="E2610" t="str">
            <v>GLAMY</v>
          </cell>
          <cell r="F2610" t="str">
            <v>MODULAÇÃO</v>
          </cell>
          <cell r="G2610" t="str">
            <v/>
          </cell>
          <cell r="H2610">
            <v>819.99</v>
          </cell>
          <cell r="I2610">
            <v>419.99</v>
          </cell>
          <cell r="J2610">
            <v>262.66820000000001</v>
          </cell>
          <cell r="K2610">
            <v>0</v>
          </cell>
          <cell r="L2610">
            <v>262.66820000000001</v>
          </cell>
          <cell r="M2610">
            <v>0</v>
          </cell>
          <cell r="N2610">
            <v>419.99</v>
          </cell>
          <cell r="O2610" t="str">
            <v/>
          </cell>
          <cell r="P2610">
            <v>0</v>
          </cell>
          <cell r="Q2610">
            <v>0.59893736660928099</v>
          </cell>
          <cell r="R2610">
            <v>0.59893736660928099</v>
          </cell>
          <cell r="S2610" t="e">
            <v>#VALUE!</v>
          </cell>
          <cell r="T2610" t="e">
            <v>#VALUE!</v>
          </cell>
        </row>
        <row r="2611">
          <cell r="A2611" t="str">
            <v>G246007GAG</v>
          </cell>
          <cell r="B2611" t="str">
            <v>MKP000631005379</v>
          </cell>
          <cell r="C2611" t="str">
            <v/>
          </cell>
          <cell r="D2611" t="str">
            <v>Balcão 60 cm 1 Porta Rustic/Crema Agata Madesa</v>
          </cell>
          <cell r="E2611" t="str">
            <v>ÁGATA</v>
          </cell>
          <cell r="F2611" t="str">
            <v>MODULAÇÃO</v>
          </cell>
          <cell r="G2611" t="str">
            <v/>
          </cell>
          <cell r="H2611">
            <v>549.99</v>
          </cell>
          <cell r="I2611">
            <v>449.99</v>
          </cell>
          <cell r="J2611">
            <v>251.9753</v>
          </cell>
          <cell r="K2611">
            <v>0</v>
          </cell>
          <cell r="L2611">
            <v>251.9753</v>
          </cell>
          <cell r="M2611">
            <v>0</v>
          </cell>
          <cell r="N2611">
            <v>449.99</v>
          </cell>
          <cell r="O2611" t="str">
            <v/>
          </cell>
          <cell r="P2611">
            <v>0</v>
          </cell>
          <cell r="Q2611">
            <v>0.78584964478661201</v>
          </cell>
          <cell r="R2611">
            <v>0.78584964478661201</v>
          </cell>
          <cell r="S2611" t="e">
            <v>#VALUE!</v>
          </cell>
          <cell r="T2611" t="e">
            <v>#VALUE!</v>
          </cell>
        </row>
        <row r="2612">
          <cell r="A2612" t="str">
            <v>G2275073LX</v>
          </cell>
          <cell r="B2612" t="str">
            <v>MKP000631003258</v>
          </cell>
          <cell r="C2612" t="str">
            <v/>
          </cell>
          <cell r="D2612" t="str">
            <v>Balcão de Canto Madesa Lux 1 Porta (Sem Tampo) Branco/Preto</v>
          </cell>
          <cell r="E2612" t="str">
            <v>LUX</v>
          </cell>
          <cell r="F2612" t="str">
            <v>MODULAÇÃO</v>
          </cell>
          <cell r="G2612" t="str">
            <v/>
          </cell>
          <cell r="H2612">
            <v>1069.99</v>
          </cell>
          <cell r="I2612">
            <v>749.99</v>
          </cell>
          <cell r="J2612">
            <v>368.99770000000001</v>
          </cell>
          <cell r="K2612">
            <v>0</v>
          </cell>
          <cell r="L2612">
            <v>368.99770000000001</v>
          </cell>
          <cell r="M2612">
            <v>0</v>
          </cell>
          <cell r="N2612">
            <v>749.99</v>
          </cell>
          <cell r="O2612" t="str">
            <v>LOJA</v>
          </cell>
          <cell r="P2612">
            <v>739.99</v>
          </cell>
          <cell r="Q2612">
            <v>1.0325058936681699</v>
          </cell>
          <cell r="R2612">
            <v>1.0325058936681699</v>
          </cell>
          <cell r="S2612" t="e">
            <v>#VALUE!</v>
          </cell>
          <cell r="T2612" t="e">
            <v>#VALUE!</v>
          </cell>
        </row>
        <row r="2613">
          <cell r="A2613" t="str">
            <v>MDFC0200188N5Z</v>
          </cell>
          <cell r="B2613" t="str">
            <v>MKP000631005430</v>
          </cell>
          <cell r="C2613" t="str">
            <v/>
          </cell>
          <cell r="D2613" t="str">
            <v>Conjunto Escritório Home Office com Mesa Industrial + Estante Escada Rustic/Preto Madesa</v>
          </cell>
          <cell r="E2613" t="str">
            <v>9423 + 6990</v>
          </cell>
          <cell r="F2613" t="str">
            <v>ESCRITÓRIO</v>
          </cell>
          <cell r="G2613" t="str">
            <v/>
          </cell>
          <cell r="H2613">
            <v>699.99</v>
          </cell>
          <cell r="I2613">
            <v>599.99</v>
          </cell>
          <cell r="J2613">
            <v>469.45209999999997</v>
          </cell>
          <cell r="K2613">
            <v>0</v>
          </cell>
          <cell r="L2613">
            <v>469.45209999999997</v>
          </cell>
          <cell r="M2613">
            <v>0</v>
          </cell>
          <cell r="N2613">
            <v>599.99</v>
          </cell>
          <cell r="O2613" t="str">
            <v/>
          </cell>
          <cell r="P2613">
            <v>0</v>
          </cell>
          <cell r="Q2613">
            <v>0.27806436482018099</v>
          </cell>
          <cell r="R2613">
            <v>0.27806436482018099</v>
          </cell>
          <cell r="S2613" t="e">
            <v>#VALUE!</v>
          </cell>
          <cell r="T2613" t="e">
            <v>#VALUE!</v>
          </cell>
        </row>
        <row r="2614">
          <cell r="A2614" t="str">
            <v>11187K3E</v>
          </cell>
          <cell r="B2614" t="str">
            <v>MKP000631002690</v>
          </cell>
          <cell r="C2614" t="str">
            <v/>
          </cell>
          <cell r="D2614" t="str">
            <v>Guarda-Roupa Casal Madesa Istambul 3 Portas de Correr de Espelho 3 Gavetas Rustic/Preto</v>
          </cell>
          <cell r="E2614" t="str">
            <v>ISTAMBUL</v>
          </cell>
          <cell r="F2614" t="str">
            <v>QUARTO</v>
          </cell>
          <cell r="G2614" t="str">
            <v/>
          </cell>
          <cell r="H2614">
            <v>2589.9899999999998</v>
          </cell>
          <cell r="I2614">
            <v>2099.9899999999998</v>
          </cell>
          <cell r="J2614">
            <v>1766.2687000000001</v>
          </cell>
          <cell r="K2614">
            <v>0</v>
          </cell>
          <cell r="L2614">
            <v>1766.2687000000001</v>
          </cell>
          <cell r="M2614">
            <v>0</v>
          </cell>
          <cell r="N2614">
            <v>2099.9899999999998</v>
          </cell>
          <cell r="O2614" t="str">
            <v/>
          </cell>
          <cell r="P2614">
            <v>0</v>
          </cell>
          <cell r="Q2614">
            <v>0.18894141078308199</v>
          </cell>
          <cell r="R2614">
            <v>0.18894141078308199</v>
          </cell>
          <cell r="S2614" t="e">
            <v>#VALUE!</v>
          </cell>
          <cell r="T2614" t="e">
            <v>#VALUE!</v>
          </cell>
        </row>
        <row r="2615">
          <cell r="A2615" t="str">
            <v>GRGL290003C3SR</v>
          </cell>
          <cell r="B2615" t="str">
            <v>MKP000631001159</v>
          </cell>
          <cell r="C2615" t="str">
            <v/>
          </cell>
          <cell r="D2615" t="str">
            <v>Armário de Cozinha Completa 290cm Rustic/Preto/Crema Safira Madesa 03</v>
          </cell>
          <cell r="E2615" t="str">
            <v>SAFIRA/GLAMY</v>
          </cell>
          <cell r="F2615" t="str">
            <v>COZINHA</v>
          </cell>
          <cell r="G2615" t="str">
            <v/>
          </cell>
          <cell r="H2615">
            <v>2799.99</v>
          </cell>
          <cell r="I2615">
            <v>2099.9899999999998</v>
          </cell>
          <cell r="J2615">
            <v>1760.9930999999999</v>
          </cell>
          <cell r="K2615">
            <v>0</v>
          </cell>
          <cell r="L2615">
            <v>1760.9930999999999</v>
          </cell>
          <cell r="M2615">
            <v>0</v>
          </cell>
          <cell r="N2615">
            <v>2099.9899999999998</v>
          </cell>
          <cell r="O2615" t="str">
            <v/>
          </cell>
          <cell r="P2615">
            <v>0</v>
          </cell>
          <cell r="Q2615">
            <v>0.19250325285204101</v>
          </cell>
          <cell r="R2615">
            <v>0.19250325285204101</v>
          </cell>
          <cell r="S2615" t="e">
            <v>#VALUE!</v>
          </cell>
          <cell r="T2615" t="e">
            <v>#VALUE!</v>
          </cell>
        </row>
        <row r="2616">
          <cell r="A2616" t="str">
            <v>GRGL19000409</v>
          </cell>
          <cell r="B2616" t="str">
            <v>MKP000631000536</v>
          </cell>
          <cell r="C2616" t="str">
            <v/>
          </cell>
          <cell r="D2616" t="str">
            <v>Cozinha Compacta Madesa Lívia 6 Portas 2 Gavetas (Sem Tampo e Pia) Branco</v>
          </cell>
          <cell r="E2616" t="str">
            <v>GLAMY</v>
          </cell>
          <cell r="F2616" t="str">
            <v>COZINHA</v>
          </cell>
          <cell r="G2616" t="str">
            <v/>
          </cell>
          <cell r="H2616">
            <v>1699.99</v>
          </cell>
          <cell r="I2616">
            <v>1599.99</v>
          </cell>
          <cell r="J2616">
            <v>1311.8695</v>
          </cell>
          <cell r="K2616">
            <v>0</v>
          </cell>
          <cell r="L2616">
            <v>1311.8695</v>
          </cell>
          <cell r="M2616">
            <v>0</v>
          </cell>
          <cell r="N2616">
            <v>1599.99</v>
          </cell>
          <cell r="O2616" t="str">
            <v/>
          </cell>
          <cell r="P2616">
            <v>0</v>
          </cell>
          <cell r="Q2616">
            <v>0.21962588504420599</v>
          </cell>
          <cell r="R2616">
            <v>0.21962588504420599</v>
          </cell>
          <cell r="S2616" t="e">
            <v>#VALUE!</v>
          </cell>
          <cell r="T2616" t="e">
            <v>#VALUE!</v>
          </cell>
        </row>
        <row r="2617">
          <cell r="A2617" t="str">
            <v>GCAG479001F8</v>
          </cell>
          <cell r="B2617" t="str">
            <v>MKP000631004522</v>
          </cell>
          <cell r="C2617" t="str">
            <v/>
          </cell>
          <cell r="D2617" t="str">
            <v>Armário de Cozinha Completa de Canto 479cm Branco Cinza Agata Madesa 01</v>
          </cell>
          <cell r="E2617" t="str">
            <v>ÁGATA</v>
          </cell>
          <cell r="F2617" t="str">
            <v>COZINHA</v>
          </cell>
          <cell r="G2617" t="str">
            <v/>
          </cell>
          <cell r="H2617">
            <v>4069.99</v>
          </cell>
          <cell r="I2617">
            <v>3579.99</v>
          </cell>
          <cell r="J2617">
            <v>2881.8182999999999</v>
          </cell>
          <cell r="K2617">
            <v>0</v>
          </cell>
          <cell r="L2617">
            <v>2881.8182999999999</v>
          </cell>
          <cell r="M2617">
            <v>0</v>
          </cell>
          <cell r="N2617">
            <v>3579.99</v>
          </cell>
          <cell r="O2617" t="str">
            <v/>
          </cell>
          <cell r="P2617">
            <v>0</v>
          </cell>
          <cell r="Q2617">
            <v>0.24226777239911301</v>
          </cell>
          <cell r="R2617">
            <v>0.24226777239911301</v>
          </cell>
          <cell r="S2617" t="e">
            <v>#VALUE!</v>
          </cell>
          <cell r="T2617" t="e">
            <v>#VALUE!</v>
          </cell>
        </row>
        <row r="2618">
          <cell r="A2618" t="str">
            <v>GRGL2600037K</v>
          </cell>
          <cell r="B2618" t="str">
            <v>MKP000631005027</v>
          </cell>
          <cell r="C2618" t="str">
            <v/>
          </cell>
          <cell r="D2618" t="str">
            <v>Armário de Cozinha Completa 260cm Rustic/Preto Glamy Madesa 03</v>
          </cell>
          <cell r="E2618" t="str">
            <v>GLAMY</v>
          </cell>
          <cell r="F2618" t="str">
            <v>COZINHA</v>
          </cell>
          <cell r="G2618" t="str">
            <v/>
          </cell>
          <cell r="H2618">
            <v>1889.99</v>
          </cell>
          <cell r="I2618">
            <v>1799.99</v>
          </cell>
          <cell r="J2618">
            <v>1407.5279</v>
          </cell>
          <cell r="K2618">
            <v>0</v>
          </cell>
          <cell r="L2618">
            <v>1407.5279</v>
          </cell>
          <cell r="M2618">
            <v>0</v>
          </cell>
          <cell r="N2618">
            <v>1799.99</v>
          </cell>
          <cell r="O2618" t="str">
            <v/>
          </cell>
          <cell r="P2618">
            <v>0</v>
          </cell>
          <cell r="Q2618">
            <v>0.27883077841654202</v>
          </cell>
          <cell r="R2618">
            <v>0.27883077841654202</v>
          </cell>
          <cell r="S2618" t="e">
            <v>#VALUE!</v>
          </cell>
          <cell r="T2618" t="e">
            <v>#VALUE!</v>
          </cell>
        </row>
        <row r="2619">
          <cell r="A2619" t="str">
            <v>GIGL1200019B</v>
          </cell>
          <cell r="B2619" t="str">
            <v>MKP000631006011</v>
          </cell>
          <cell r="C2619" t="str">
            <v/>
          </cell>
          <cell r="D2619" t="str">
            <v>Ilha de Cozinha com Bancada e Balcão 120 cm Branco/Rustic Glamy Madesa</v>
          </cell>
          <cell r="E2619" t="str">
            <v>GLAMY</v>
          </cell>
          <cell r="F2619" t="str">
            <v>MODULAÇÃO</v>
          </cell>
          <cell r="G2619" t="str">
            <v/>
          </cell>
          <cell r="H2619">
            <v>979.99</v>
          </cell>
          <cell r="I2619">
            <v>979.99</v>
          </cell>
          <cell r="J2619">
            <v>757.44100000000003</v>
          </cell>
          <cell r="K2619">
            <v>0</v>
          </cell>
          <cell r="L2619">
            <v>757.44100000000003</v>
          </cell>
          <cell r="M2619">
            <v>0</v>
          </cell>
          <cell r="N2619">
            <v>979.99</v>
          </cell>
          <cell r="O2619" t="str">
            <v/>
          </cell>
          <cell r="P2619">
            <v>0</v>
          </cell>
          <cell r="Q2619">
            <v>0.293816944158027</v>
          </cell>
          <cell r="R2619">
            <v>0.293816944158027</v>
          </cell>
          <cell r="S2619" t="e">
            <v>#VALUE!</v>
          </cell>
          <cell r="T2619" t="e">
            <v>#VALUE!</v>
          </cell>
        </row>
        <row r="2620">
          <cell r="A2620" t="str">
            <v>GRAG27000809</v>
          </cell>
          <cell r="B2620" t="str">
            <v>MKP000631005257</v>
          </cell>
          <cell r="C2620" t="str">
            <v/>
          </cell>
          <cell r="D2620" t="str">
            <v>Armário de  Cozinha Completa 270cm Branco Agata Madesa 08</v>
          </cell>
          <cell r="E2620" t="str">
            <v>ÁGATA</v>
          </cell>
          <cell r="F2620" t="str">
            <v>COZINHA</v>
          </cell>
          <cell r="G2620" t="str">
            <v/>
          </cell>
          <cell r="H2620">
            <v>2119.9899999999998</v>
          </cell>
          <cell r="I2620">
            <v>1999.99</v>
          </cell>
          <cell r="J2620">
            <v>1532.6162999999999</v>
          </cell>
          <cell r="K2620">
            <v>0</v>
          </cell>
          <cell r="L2620">
            <v>1532.6162999999999</v>
          </cell>
          <cell r="M2620">
            <v>0</v>
          </cell>
          <cell r="N2620">
            <v>1999.99</v>
          </cell>
          <cell r="O2620" t="str">
            <v/>
          </cell>
          <cell r="P2620">
            <v>0</v>
          </cell>
          <cell r="Q2620">
            <v>0.30495153940356801</v>
          </cell>
          <cell r="R2620">
            <v>0.30495153940356801</v>
          </cell>
          <cell r="S2620" t="e">
            <v>#VALUE!</v>
          </cell>
          <cell r="T2620" t="e">
            <v>#VALUE!</v>
          </cell>
        </row>
        <row r="2621">
          <cell r="A2621" t="str">
            <v>G2461073K</v>
          </cell>
          <cell r="B2621" t="str">
            <v>MKP000631004950</v>
          </cell>
          <cell r="C2621" t="str">
            <v/>
          </cell>
          <cell r="D2621" t="str">
            <v>Balcão 100% MDF 60 cm 3 Gavetas Branco/Preto Acordes Madesa</v>
          </cell>
          <cell r="E2621" t="str">
            <v>ACORDES</v>
          </cell>
          <cell r="F2621" t="str">
            <v>MODULAÇÃO</v>
          </cell>
          <cell r="G2621" t="str">
            <v/>
          </cell>
          <cell r="H2621">
            <v>679.99</v>
          </cell>
          <cell r="I2621">
            <v>619.99</v>
          </cell>
          <cell r="J2621">
            <v>404.4554</v>
          </cell>
          <cell r="K2621">
            <v>0</v>
          </cell>
          <cell r="L2621">
            <v>404.4554</v>
          </cell>
          <cell r="M2621">
            <v>0</v>
          </cell>
          <cell r="N2621">
            <v>619.99</v>
          </cell>
          <cell r="O2621" t="str">
            <v/>
          </cell>
          <cell r="P2621">
            <v>0</v>
          </cell>
          <cell r="Q2621">
            <v>0.53290078461061396</v>
          </cell>
          <cell r="R2621">
            <v>0.53290078461061396</v>
          </cell>
          <cell r="S2621" t="e">
            <v>#VALUE!</v>
          </cell>
          <cell r="T2621" t="e">
            <v>#VALUE!</v>
          </cell>
        </row>
        <row r="2622">
          <cell r="A2622" t="str">
            <v>G251288NPRNT</v>
          </cell>
          <cell r="B2622" t="str">
            <v>MKP000631005781</v>
          </cell>
          <cell r="C2622" t="str">
            <v/>
          </cell>
          <cell r="D2622" t="str">
            <v>Armário Aéreo 120cm 2 Portas Correr Vidro Neutral 1 Nicho Preto Reims Madesa</v>
          </cell>
          <cell r="E2622" t="str">
            <v>REIMS</v>
          </cell>
          <cell r="F2622" t="str">
            <v>MODULAÇÃO</v>
          </cell>
          <cell r="G2622" t="str">
            <v/>
          </cell>
          <cell r="H2622">
            <v>479.99</v>
          </cell>
          <cell r="I2622">
            <v>379.99</v>
          </cell>
          <cell r="J2622">
            <v>240.41040000000001</v>
          </cell>
          <cell r="K2622">
            <v>0</v>
          </cell>
          <cell r="L2622">
            <v>240.41040000000001</v>
          </cell>
          <cell r="M2622">
            <v>0</v>
          </cell>
          <cell r="N2622">
            <v>379.99</v>
          </cell>
          <cell r="O2622" t="str">
            <v/>
          </cell>
          <cell r="P2622">
            <v>0</v>
          </cell>
          <cell r="Q2622">
            <v>0.58058885971655105</v>
          </cell>
          <cell r="R2622">
            <v>0.58058885971655105</v>
          </cell>
          <cell r="S2622" t="e">
            <v>#VALUE!</v>
          </cell>
          <cell r="T2622" t="e">
            <v>#VALUE!</v>
          </cell>
        </row>
        <row r="2623">
          <cell r="A2623" t="str">
            <v>GRLX3400017K</v>
          </cell>
          <cell r="B2623" t="str">
            <v>MKP000631004770</v>
          </cell>
          <cell r="C2623" t="str">
            <v/>
          </cell>
          <cell r="D2623" t="str">
            <v>Armário de Cozinha Completa 340cm Rustic/Preto Lux Madesa 01</v>
          </cell>
          <cell r="E2623" t="str">
            <v>LUX</v>
          </cell>
          <cell r="F2623" t="str">
            <v>COZINHA</v>
          </cell>
          <cell r="G2623" t="str">
            <v/>
          </cell>
          <cell r="H2623">
            <v>4219.99</v>
          </cell>
          <cell r="I2623">
            <v>4139.99</v>
          </cell>
          <cell r="J2623">
            <v>2569.9911000000002</v>
          </cell>
          <cell r="K2623">
            <v>0</v>
          </cell>
          <cell r="L2623">
            <v>2569.9911000000002</v>
          </cell>
          <cell r="M2623">
            <v>0</v>
          </cell>
          <cell r="N2623">
            <v>4139.99</v>
          </cell>
          <cell r="O2623" t="str">
            <v>LOJA</v>
          </cell>
          <cell r="P2623">
            <v>3639.99</v>
          </cell>
          <cell r="Q2623">
            <v>0.61089662917509702</v>
          </cell>
          <cell r="R2623">
            <v>0.61089662917509702</v>
          </cell>
          <cell r="S2623" t="e">
            <v>#VALUE!</v>
          </cell>
          <cell r="T2623" t="e">
            <v>#VALUE!</v>
          </cell>
        </row>
        <row r="2624">
          <cell r="A2624" t="str">
            <v>G251536EGL</v>
          </cell>
          <cell r="B2624" t="str">
            <v>MKP000631004434</v>
          </cell>
          <cell r="C2624" t="str">
            <v/>
          </cell>
          <cell r="D2624" t="str">
            <v>Armário Aéreo Madesa Glamy 150 cm 2 Portas e 2 Nichos Rustic/Branco</v>
          </cell>
          <cell r="E2624" t="str">
            <v>GLAMY</v>
          </cell>
          <cell r="F2624" t="str">
            <v>MODULAÇÃO</v>
          </cell>
          <cell r="G2624" t="str">
            <v/>
          </cell>
          <cell r="H2624">
            <v>949.99</v>
          </cell>
          <cell r="I2624">
            <v>589.99</v>
          </cell>
          <cell r="J2624">
            <v>361.16059999999999</v>
          </cell>
          <cell r="K2624">
            <v>0</v>
          </cell>
          <cell r="L2624">
            <v>361.16059999999999</v>
          </cell>
          <cell r="M2624">
            <v>0</v>
          </cell>
          <cell r="N2624">
            <v>589.99</v>
          </cell>
          <cell r="O2624" t="str">
            <v/>
          </cell>
          <cell r="P2624">
            <v>0</v>
          </cell>
          <cell r="Q2624">
            <v>0.63359458368382404</v>
          </cell>
          <cell r="R2624">
            <v>0.63359458368382404</v>
          </cell>
          <cell r="S2624" t="e">
            <v>#VALUE!</v>
          </cell>
          <cell r="T2624" t="e">
            <v>#VALUE!</v>
          </cell>
        </row>
        <row r="2625">
          <cell r="A2625" t="str">
            <v>G2515373GL</v>
          </cell>
          <cell r="B2625" t="str">
            <v>MKP000631004708</v>
          </cell>
          <cell r="C2625" t="str">
            <v/>
          </cell>
          <cell r="D2625" t="str">
            <v>Armário Aéreo Madesa Glamy 150 cm 2 Portas e 2 Nichos Branco/Preto</v>
          </cell>
          <cell r="E2625" t="str">
            <v>GLAMY</v>
          </cell>
          <cell r="F2625" t="str">
            <v>MODULAÇÃO</v>
          </cell>
          <cell r="G2625" t="str">
            <v/>
          </cell>
          <cell r="H2625">
            <v>949.99</v>
          </cell>
          <cell r="I2625">
            <v>589.99</v>
          </cell>
          <cell r="J2625">
            <v>361.16059999999999</v>
          </cell>
          <cell r="K2625">
            <v>0</v>
          </cell>
          <cell r="L2625">
            <v>361.16059999999999</v>
          </cell>
          <cell r="M2625">
            <v>0</v>
          </cell>
          <cell r="N2625">
            <v>589.99</v>
          </cell>
          <cell r="O2625" t="str">
            <v/>
          </cell>
          <cell r="P2625">
            <v>0</v>
          </cell>
          <cell r="Q2625">
            <v>0.63359458368382404</v>
          </cell>
          <cell r="R2625">
            <v>0.63359458368382404</v>
          </cell>
          <cell r="S2625" t="e">
            <v>#VALUE!</v>
          </cell>
          <cell r="T2625" t="e">
            <v>#VALUE!</v>
          </cell>
        </row>
        <row r="2626">
          <cell r="A2626" t="str">
            <v>G257526E</v>
          </cell>
          <cell r="B2626" t="str">
            <v>MKP000631000912</v>
          </cell>
          <cell r="C2626" t="str">
            <v/>
          </cell>
          <cell r="D2626" t="str">
            <v>Armário Aéreo de Canto Madesa Acordes 100% MDF 1 Porta Branco/Rustic</v>
          </cell>
          <cell r="E2626" t="str">
            <v>ACORDES</v>
          </cell>
          <cell r="F2626" t="str">
            <v>MODULAÇÃO</v>
          </cell>
          <cell r="G2626" t="str">
            <v/>
          </cell>
          <cell r="H2626">
            <v>799.99</v>
          </cell>
          <cell r="I2626">
            <v>439.99</v>
          </cell>
          <cell r="J2626">
            <v>253.70840000000001</v>
          </cell>
          <cell r="K2626">
            <v>0</v>
          </cell>
          <cell r="L2626">
            <v>253.70840000000001</v>
          </cell>
          <cell r="M2626">
            <v>0</v>
          </cell>
          <cell r="N2626">
            <v>439.99</v>
          </cell>
          <cell r="O2626" t="str">
            <v/>
          </cell>
          <cell r="P2626">
            <v>0</v>
          </cell>
          <cell r="Q2626">
            <v>0.73423505094825403</v>
          </cell>
          <cell r="R2626">
            <v>0.73423505094825403</v>
          </cell>
          <cell r="S2626" t="e">
            <v>#VALUE!</v>
          </cell>
          <cell r="T2626" t="e">
            <v>#VALUE!</v>
          </cell>
        </row>
        <row r="2627">
          <cell r="A2627" t="str">
            <v>G25602H8LX</v>
          </cell>
          <cell r="B2627" t="str">
            <v>MKP000631004766</v>
          </cell>
          <cell r="C2627" t="str">
            <v/>
          </cell>
          <cell r="D2627" t="str">
            <v>Armário Aéreo Madesa Lux 60 cm 1 Porta Basculante Rustic/Branco Veludo</v>
          </cell>
          <cell r="E2627" t="str">
            <v>LUX</v>
          </cell>
          <cell r="F2627" t="str">
            <v>MODULAÇÃO</v>
          </cell>
          <cell r="G2627" t="str">
            <v/>
          </cell>
          <cell r="H2627">
            <v>499.99</v>
          </cell>
          <cell r="I2627">
            <v>299.99</v>
          </cell>
          <cell r="J2627">
            <v>169.5059</v>
          </cell>
          <cell r="K2627">
            <v>0</v>
          </cell>
          <cell r="L2627">
            <v>169.5059</v>
          </cell>
          <cell r="M2627">
            <v>0</v>
          </cell>
          <cell r="N2627">
            <v>299.99</v>
          </cell>
          <cell r="O2627" t="str">
            <v>LOJA</v>
          </cell>
          <cell r="P2627">
            <v>289.99</v>
          </cell>
          <cell r="Q2627">
            <v>0.76979090403342898</v>
          </cell>
          <cell r="R2627">
            <v>0.76979090403342898</v>
          </cell>
          <cell r="S2627" t="e">
            <v>#VALUE!</v>
          </cell>
          <cell r="T2627" t="e">
            <v>#VALUE!</v>
          </cell>
        </row>
        <row r="2628">
          <cell r="A2628" t="str">
            <v>GCRM3670018N</v>
          </cell>
          <cell r="B2628" t="str">
            <v>MKP000631003396</v>
          </cell>
          <cell r="C2628" t="str">
            <v/>
          </cell>
          <cell r="D2628" t="str">
            <v>Armário de Cozinha Completa de Canto 367cm Preto Reims Madesa 01</v>
          </cell>
          <cell r="E2628" t="str">
            <v>REIMS</v>
          </cell>
          <cell r="F2628" t="str">
            <v>COZINHA</v>
          </cell>
          <cell r="G2628" t="str">
            <v/>
          </cell>
          <cell r="H2628">
            <v>3219.99</v>
          </cell>
          <cell r="I2628">
            <v>1979.99</v>
          </cell>
          <cell r="J2628">
            <v>1712.1393</v>
          </cell>
          <cell r="K2628">
            <v>0</v>
          </cell>
          <cell r="L2628">
            <v>1712.1393</v>
          </cell>
          <cell r="M2628">
            <v>0</v>
          </cell>
          <cell r="N2628">
            <v>1979.99</v>
          </cell>
          <cell r="O2628" t="str">
            <v/>
          </cell>
          <cell r="P2628">
            <v>0</v>
          </cell>
          <cell r="Q2628">
            <v>0.156442118932729</v>
          </cell>
          <cell r="R2628">
            <v>0.156442118932729</v>
          </cell>
          <cell r="S2628" t="e">
            <v>#VALUE!</v>
          </cell>
          <cell r="T2628" t="e">
            <v>#VALUE!</v>
          </cell>
        </row>
        <row r="2629">
          <cell r="A2629" t="str">
            <v>GREM1690087K</v>
          </cell>
          <cell r="B2629" t="str">
            <v>MKP000631001819</v>
          </cell>
          <cell r="C2629" t="str">
            <v/>
          </cell>
          <cell r="D2629" t="str">
            <v>Armário de Cozinha Compacta 169cm Rustic/Preto Emilly Winter Madesa 08</v>
          </cell>
          <cell r="E2629" t="str">
            <v>WINTER/EMILLY</v>
          </cell>
          <cell r="F2629" t="str">
            <v>COZINHA</v>
          </cell>
          <cell r="G2629" t="str">
            <v/>
          </cell>
          <cell r="H2629">
            <v>1269.99</v>
          </cell>
          <cell r="I2629">
            <v>999.99</v>
          </cell>
          <cell r="J2629">
            <v>840.5317</v>
          </cell>
          <cell r="K2629">
            <v>0</v>
          </cell>
          <cell r="L2629">
            <v>840.5317</v>
          </cell>
          <cell r="M2629">
            <v>0</v>
          </cell>
          <cell r="N2629">
            <v>999.99</v>
          </cell>
          <cell r="O2629" t="str">
            <v/>
          </cell>
          <cell r="P2629">
            <v>0</v>
          </cell>
          <cell r="Q2629">
            <v>0.189711226834157</v>
          </cell>
          <cell r="R2629">
            <v>0.189711226834157</v>
          </cell>
          <cell r="S2629" t="e">
            <v>#VALUE!</v>
          </cell>
          <cell r="T2629" t="e">
            <v>#VALUE!</v>
          </cell>
        </row>
        <row r="2630">
          <cell r="A2630" t="str">
            <v>GRGL27000309</v>
          </cell>
          <cell r="B2630" t="str">
            <v>MKP000631000585</v>
          </cell>
          <cell r="C2630" t="str">
            <v/>
          </cell>
          <cell r="D2630" t="str">
            <v>Armário de Cozinha Completa 270cm Branco Atenas Madesa 03</v>
          </cell>
          <cell r="E2630" t="str">
            <v>ATENAS/GLAMY</v>
          </cell>
          <cell r="F2630" t="str">
            <v>COZINHA</v>
          </cell>
          <cell r="G2630" t="str">
            <v/>
          </cell>
          <cell r="H2630">
            <v>2799.99</v>
          </cell>
          <cell r="I2630">
            <v>2299.9899999999998</v>
          </cell>
          <cell r="J2630">
            <v>1947.2850000000001</v>
          </cell>
          <cell r="K2630">
            <v>0</v>
          </cell>
          <cell r="L2630">
            <v>1947.2850000000001</v>
          </cell>
          <cell r="M2630">
            <v>0</v>
          </cell>
          <cell r="N2630">
            <v>2299.9899999999998</v>
          </cell>
          <cell r="O2630" t="str">
            <v/>
          </cell>
          <cell r="P2630">
            <v>0</v>
          </cell>
          <cell r="Q2630">
            <v>0.181126542853254</v>
          </cell>
          <cell r="R2630">
            <v>0.181126542853254</v>
          </cell>
          <cell r="S2630" t="e">
            <v>#VALUE!</v>
          </cell>
          <cell r="T2630" t="e">
            <v>#VALUE!</v>
          </cell>
        </row>
        <row r="2631">
          <cell r="A2631" t="str">
            <v>GRGL22000273</v>
          </cell>
          <cell r="B2631" t="str">
            <v>MKP000631002954</v>
          </cell>
          <cell r="C2631" t="str">
            <v/>
          </cell>
          <cell r="D2631" t="str">
            <v>Armário de Cozinha Completa 220cm Branco/Preto Parma Madesa 02</v>
          </cell>
          <cell r="E2631" t="str">
            <v>PARMA/GLAMY</v>
          </cell>
          <cell r="F2631" t="str">
            <v>COZINHA</v>
          </cell>
          <cell r="G2631" t="str">
            <v/>
          </cell>
          <cell r="H2631">
            <v>1969.99</v>
          </cell>
          <cell r="I2631">
            <v>1869.99</v>
          </cell>
          <cell r="J2631">
            <v>1558.7654</v>
          </cell>
          <cell r="K2631">
            <v>0</v>
          </cell>
          <cell r="L2631">
            <v>1558.7654</v>
          </cell>
          <cell r="M2631">
            <v>0</v>
          </cell>
          <cell r="N2631">
            <v>1869.99</v>
          </cell>
          <cell r="O2631" t="str">
            <v/>
          </cell>
          <cell r="P2631">
            <v>0</v>
          </cell>
          <cell r="Q2631">
            <v>0.199660962451438</v>
          </cell>
          <cell r="R2631">
            <v>0.199660962451438</v>
          </cell>
          <cell r="S2631" t="e">
            <v>#VALUE!</v>
          </cell>
          <cell r="T2631" t="e">
            <v>#VALUE!</v>
          </cell>
        </row>
        <row r="2632">
          <cell r="A2632" t="str">
            <v>GRGL31000173</v>
          </cell>
          <cell r="B2632" t="str">
            <v>MKP000631004744</v>
          </cell>
          <cell r="C2632" t="str">
            <v/>
          </cell>
          <cell r="D2632" t="str">
            <v>Armário de Cozinha Completa 310cm Branco Preto Glamy Madesa 01</v>
          </cell>
          <cell r="E2632" t="str">
            <v>GLAMY</v>
          </cell>
          <cell r="F2632" t="str">
            <v>COZINHA</v>
          </cell>
          <cell r="G2632" t="str">
            <v/>
          </cell>
          <cell r="H2632">
            <v>2579.9</v>
          </cell>
          <cell r="I2632">
            <v>2469.9899999999998</v>
          </cell>
          <cell r="J2632">
            <v>2041.7117000000001</v>
          </cell>
          <cell r="K2632">
            <v>0</v>
          </cell>
          <cell r="L2632">
            <v>2041.7117000000001</v>
          </cell>
          <cell r="M2632">
            <v>0</v>
          </cell>
          <cell r="N2632">
            <v>2469.9899999999998</v>
          </cell>
          <cell r="O2632" t="str">
            <v/>
          </cell>
          <cell r="P2632">
            <v>0</v>
          </cell>
          <cell r="Q2632">
            <v>0.20976433646337</v>
          </cell>
          <cell r="R2632">
            <v>0.20976433646337</v>
          </cell>
          <cell r="S2632" t="e">
            <v>#VALUE!</v>
          </cell>
          <cell r="T2632" t="e">
            <v>#VALUE!</v>
          </cell>
        </row>
        <row r="2633">
          <cell r="A2633" t="str">
            <v>GREM229012F9</v>
          </cell>
          <cell r="B2633" t="str">
            <v>MKP000631005515</v>
          </cell>
          <cell r="C2633" t="str">
            <v/>
          </cell>
          <cell r="D2633" t="str">
            <v>Armário de Cozinha Compacta 229cm com Pia Rustic/Cinza Emilly Madesa 12</v>
          </cell>
          <cell r="E2633" t="str">
            <v>EMILLY</v>
          </cell>
          <cell r="F2633" t="str">
            <v>COZINHA</v>
          </cell>
          <cell r="G2633" t="str">
            <v/>
          </cell>
          <cell r="H2633">
            <v>1339.99</v>
          </cell>
          <cell r="I2633">
            <v>1239.99</v>
          </cell>
          <cell r="J2633">
            <v>991.74739999999997</v>
          </cell>
          <cell r="K2633">
            <v>0</v>
          </cell>
          <cell r="L2633">
            <v>991.74739999999997</v>
          </cell>
          <cell r="M2633">
            <v>0</v>
          </cell>
          <cell r="N2633">
            <v>1239.99</v>
          </cell>
          <cell r="O2633" t="str">
            <v/>
          </cell>
          <cell r="P2633">
            <v>0</v>
          </cell>
          <cell r="Q2633">
            <v>0.25030829422895401</v>
          </cell>
          <cell r="R2633">
            <v>0.25030829422895401</v>
          </cell>
          <cell r="S2633" t="e">
            <v>#VALUE!</v>
          </cell>
          <cell r="T2633" t="e">
            <v>#VALUE!</v>
          </cell>
        </row>
        <row r="2634">
          <cell r="A2634" t="str">
            <v>GREM165009J1</v>
          </cell>
          <cell r="B2634" t="str">
            <v>MKP000631006039</v>
          </cell>
          <cell r="C2634" t="str">
            <v/>
          </cell>
          <cell r="D2634" t="str">
            <v>Armário de Cozinha Compacta 165cm com Pia Rustic/Cinza Emilly Madesa 09</v>
          </cell>
          <cell r="E2634" t="str">
            <v>EMILLY</v>
          </cell>
          <cell r="F2634" t="str">
            <v>COZINHA</v>
          </cell>
          <cell r="G2634" t="str">
            <v/>
          </cell>
          <cell r="H2634">
            <v>1149.99</v>
          </cell>
          <cell r="I2634">
            <v>1049.99</v>
          </cell>
          <cell r="J2634">
            <v>836.62950000000001</v>
          </cell>
          <cell r="K2634">
            <v>0</v>
          </cell>
          <cell r="L2634">
            <v>836.62950000000001</v>
          </cell>
          <cell r="M2634">
            <v>0</v>
          </cell>
          <cell r="N2634">
            <v>1049.99</v>
          </cell>
          <cell r="O2634" t="str">
            <v/>
          </cell>
          <cell r="P2634">
            <v>0</v>
          </cell>
          <cell r="Q2634">
            <v>0.25502387855078001</v>
          </cell>
          <cell r="R2634">
            <v>0.25502387855078001</v>
          </cell>
          <cell r="S2634" t="e">
            <v>#VALUE!</v>
          </cell>
          <cell r="T2634" t="e">
            <v>#VALUE!</v>
          </cell>
        </row>
        <row r="2635">
          <cell r="A2635" t="str">
            <v>GRAG22000109</v>
          </cell>
          <cell r="B2635" t="str">
            <v>MKP000631005022</v>
          </cell>
          <cell r="C2635" t="str">
            <v/>
          </cell>
          <cell r="D2635" t="str">
            <v>Armário de Cozinha Completa 220cm Branco Agata da Thêmis Madesa</v>
          </cell>
          <cell r="E2635" t="str">
            <v>ÁGATA</v>
          </cell>
          <cell r="F2635" t="str">
            <v>COZINHA</v>
          </cell>
          <cell r="G2635" t="str">
            <v/>
          </cell>
          <cell r="H2635">
            <v>2299.9899999999998</v>
          </cell>
          <cell r="I2635">
            <v>2199.9899999999998</v>
          </cell>
          <cell r="J2635">
            <v>1717.7963999999999</v>
          </cell>
          <cell r="K2635">
            <v>0</v>
          </cell>
          <cell r="L2635">
            <v>1717.7963999999999</v>
          </cell>
          <cell r="M2635">
            <v>0</v>
          </cell>
          <cell r="N2635">
            <v>2199.9899999999998</v>
          </cell>
          <cell r="O2635" t="str">
            <v/>
          </cell>
          <cell r="P2635">
            <v>0</v>
          </cell>
          <cell r="Q2635">
            <v>0.28070474475321999</v>
          </cell>
          <cell r="R2635">
            <v>0.28070474475321999</v>
          </cell>
          <cell r="S2635" t="e">
            <v>#VALUE!</v>
          </cell>
          <cell r="T2635" t="e">
            <v>#VALUE!</v>
          </cell>
        </row>
        <row r="2636">
          <cell r="A2636" t="str">
            <v>GRAG220001F8</v>
          </cell>
          <cell r="B2636" t="str">
            <v>MKP000631005014</v>
          </cell>
          <cell r="C2636" t="str">
            <v/>
          </cell>
          <cell r="D2636" t="str">
            <v>Armário de Cozinha Completa 220cm Branco/Cinza Agata da Thêmis Madesa</v>
          </cell>
          <cell r="E2636" t="str">
            <v>ÁGATA</v>
          </cell>
          <cell r="F2636" t="str">
            <v>COZINHA</v>
          </cell>
          <cell r="G2636" t="str">
            <v/>
          </cell>
          <cell r="H2636">
            <v>2259.9899999999998</v>
          </cell>
          <cell r="I2636">
            <v>2199.9899999999998</v>
          </cell>
          <cell r="J2636">
            <v>1717.7963999999999</v>
          </cell>
          <cell r="K2636">
            <v>0</v>
          </cell>
          <cell r="L2636">
            <v>1717.7963999999999</v>
          </cell>
          <cell r="M2636">
            <v>0</v>
          </cell>
          <cell r="N2636">
            <v>2199.9899999999998</v>
          </cell>
          <cell r="O2636" t="str">
            <v/>
          </cell>
          <cell r="P2636">
            <v>0</v>
          </cell>
          <cell r="Q2636">
            <v>0.28070474475321999</v>
          </cell>
          <cell r="R2636">
            <v>0.28070474475321999</v>
          </cell>
          <cell r="S2636" t="e">
            <v>#VALUE!</v>
          </cell>
          <cell r="T2636" t="e">
            <v>#VALUE!</v>
          </cell>
        </row>
        <row r="2637">
          <cell r="A2637" t="str">
            <v>MDFC0200029B</v>
          </cell>
          <cell r="B2637" t="str">
            <v>MKP000631002649</v>
          </cell>
          <cell r="C2637" t="str">
            <v/>
          </cell>
          <cell r="D2637" t="str">
            <v>Mesa para Computador Gamer Madesa 9409 e Painel para TV até 65 Polegadas Branco/Rustic</v>
          </cell>
          <cell r="E2637" t="str">
            <v>GAMER</v>
          </cell>
          <cell r="F2637" t="str">
            <v>ESCRITÓRIO</v>
          </cell>
          <cell r="G2637" t="str">
            <v/>
          </cell>
          <cell r="H2637">
            <v>859.99</v>
          </cell>
          <cell r="I2637">
            <v>589.99</v>
          </cell>
          <cell r="J2637">
            <v>434.67020000000002</v>
          </cell>
          <cell r="K2637">
            <v>0</v>
          </cell>
          <cell r="L2637">
            <v>434.67020000000002</v>
          </cell>
          <cell r="M2637">
            <v>0</v>
          </cell>
          <cell r="N2637">
            <v>589.99</v>
          </cell>
          <cell r="O2637" t="str">
            <v/>
          </cell>
          <cell r="P2637">
            <v>0</v>
          </cell>
          <cell r="Q2637">
            <v>0.35732792356135801</v>
          </cell>
          <cell r="R2637">
            <v>0.35732792356135801</v>
          </cell>
          <cell r="S2637" t="e">
            <v>#VALUE!</v>
          </cell>
          <cell r="T2637" t="e">
            <v>#VALUE!</v>
          </cell>
        </row>
        <row r="2638">
          <cell r="A2638" t="str">
            <v>G2675509AG</v>
          </cell>
          <cell r="B2638" t="str">
            <v>MKP000631004408</v>
          </cell>
          <cell r="C2638" t="str">
            <v/>
          </cell>
          <cell r="D2638" t="str">
            <v>Torre Quente Madesa Agata 70 cm 3 Portas Branco</v>
          </cell>
          <cell r="E2638" t="str">
            <v>ÁGATA</v>
          </cell>
          <cell r="F2638" t="str">
            <v>MODULAÇÃO</v>
          </cell>
          <cell r="G2638" t="str">
            <v/>
          </cell>
          <cell r="H2638">
            <v>939.99</v>
          </cell>
          <cell r="I2638">
            <v>889.99</v>
          </cell>
          <cell r="J2638">
            <v>520.20249999999999</v>
          </cell>
          <cell r="K2638">
            <v>0</v>
          </cell>
          <cell r="L2638">
            <v>520.20249999999999</v>
          </cell>
          <cell r="M2638">
            <v>0</v>
          </cell>
          <cell r="N2638">
            <v>889.99</v>
          </cell>
          <cell r="O2638" t="str">
            <v/>
          </cell>
          <cell r="P2638">
            <v>0</v>
          </cell>
          <cell r="Q2638">
            <v>0.71085298513559603</v>
          </cell>
          <cell r="R2638">
            <v>0.71085298513559603</v>
          </cell>
          <cell r="S2638" t="e">
            <v>#VALUE!</v>
          </cell>
          <cell r="T2638" t="e">
            <v>#VALUE!</v>
          </cell>
        </row>
        <row r="2639">
          <cell r="A2639" t="str">
            <v>G257576EAG</v>
          </cell>
          <cell r="B2639" t="str">
            <v>MKP000631004414</v>
          </cell>
          <cell r="C2639" t="str">
            <v/>
          </cell>
          <cell r="D2639" t="str">
            <v>Armário Aéreo de Canto Madesa Agata 1 Porta para linha de 60 cm de profundidade Rustic/Branco</v>
          </cell>
          <cell r="E2639" t="str">
            <v>ÁGATA</v>
          </cell>
          <cell r="F2639" t="str">
            <v>MODULAÇÃO</v>
          </cell>
          <cell r="G2639" t="str">
            <v/>
          </cell>
          <cell r="H2639">
            <v>579.99</v>
          </cell>
          <cell r="I2639">
            <v>519.99</v>
          </cell>
          <cell r="J2639">
            <v>284.86059999999998</v>
          </cell>
          <cell r="K2639">
            <v>0</v>
          </cell>
          <cell r="L2639">
            <v>284.86059999999998</v>
          </cell>
          <cell r="M2639">
            <v>0</v>
          </cell>
          <cell r="N2639">
            <v>519.99</v>
          </cell>
          <cell r="O2639" t="str">
            <v/>
          </cell>
          <cell r="P2639">
            <v>0</v>
          </cell>
          <cell r="Q2639">
            <v>0.82541916993785802</v>
          </cell>
          <cell r="R2639">
            <v>0.82541916993785802</v>
          </cell>
          <cell r="S2639" t="e">
            <v>#VALUE!</v>
          </cell>
          <cell r="T2639" t="e">
            <v>#VALUE!</v>
          </cell>
        </row>
        <row r="2640">
          <cell r="A2640" t="str">
            <v>GRGL3150026E</v>
          </cell>
          <cell r="B2640" t="str">
            <v>MKP000631004726</v>
          </cell>
          <cell r="C2640" t="str">
            <v/>
          </cell>
          <cell r="D2640" t="str">
            <v>Armário de Cozinha Completa 315cm Rustic/Branco Glamy Madesa 02</v>
          </cell>
          <cell r="E2640" t="str">
            <v>GLAMY</v>
          </cell>
          <cell r="F2640" t="str">
            <v>COZINHA</v>
          </cell>
          <cell r="G2640" t="str">
            <v/>
          </cell>
          <cell r="H2640">
            <v>2599.9899999999998</v>
          </cell>
          <cell r="I2640">
            <v>2499.9899999999998</v>
          </cell>
          <cell r="J2640">
            <v>2108.5286999999998</v>
          </cell>
          <cell r="K2640">
            <v>0</v>
          </cell>
          <cell r="L2640">
            <v>2108.5286999999998</v>
          </cell>
          <cell r="M2640">
            <v>0</v>
          </cell>
          <cell r="N2640">
            <v>2499.9899999999998</v>
          </cell>
          <cell r="O2640" t="str">
            <v/>
          </cell>
          <cell r="P2640">
            <v>0</v>
          </cell>
          <cell r="Q2640">
            <v>0.185656140227069</v>
          </cell>
          <cell r="R2640">
            <v>0.185656140227069</v>
          </cell>
          <cell r="S2640" t="e">
            <v>#VALUE!</v>
          </cell>
          <cell r="T2640" t="e">
            <v>#VALUE!</v>
          </cell>
        </row>
        <row r="2641">
          <cell r="A2641" t="str">
            <v>GRGM3300069B</v>
          </cell>
          <cell r="B2641" t="str">
            <v>MKP000631004341</v>
          </cell>
          <cell r="C2641" t="str">
            <v/>
          </cell>
          <cell r="D2641" t="str">
            <v>Armário de Cozinha Completa 100% MDF 330cm Branco/Rustic Acordes Madesa 06</v>
          </cell>
          <cell r="E2641" t="str">
            <v>ACORDES</v>
          </cell>
          <cell r="F2641" t="str">
            <v>COZINHA</v>
          </cell>
          <cell r="G2641" t="str">
            <v/>
          </cell>
          <cell r="H2641">
            <v>2399.9899999999998</v>
          </cell>
          <cell r="I2641">
            <v>2299.9899999999998</v>
          </cell>
          <cell r="J2641">
            <v>1928.4716000000001</v>
          </cell>
          <cell r="K2641">
            <v>0</v>
          </cell>
          <cell r="L2641">
            <v>1928.4716000000001</v>
          </cell>
          <cell r="M2641">
            <v>0</v>
          </cell>
          <cell r="N2641">
            <v>2299.9899999999998</v>
          </cell>
          <cell r="O2641" t="str">
            <v/>
          </cell>
          <cell r="P2641">
            <v>0</v>
          </cell>
          <cell r="Q2641">
            <v>0.19264914246079601</v>
          </cell>
          <cell r="R2641">
            <v>0.19264914246079601</v>
          </cell>
          <cell r="S2641" t="e">
            <v>#VALUE!</v>
          </cell>
          <cell r="T2641" t="e">
            <v>#VALUE!</v>
          </cell>
        </row>
        <row r="2642">
          <cell r="A2642" t="str">
            <v>GRGL290007C7</v>
          </cell>
          <cell r="B2642" t="str">
            <v>MKP000631000229</v>
          </cell>
          <cell r="C2642" t="str">
            <v/>
          </cell>
          <cell r="D2642" t="str">
            <v>Armário de Cozinha Completa 290cm Branco/Preto/Branco Vicenza Madesa 07</v>
          </cell>
          <cell r="E2642" t="str">
            <v>VICENZA/GLAMY</v>
          </cell>
          <cell r="F2642" t="str">
            <v>COZINHA</v>
          </cell>
          <cell r="G2642" t="str">
            <v/>
          </cell>
          <cell r="H2642">
            <v>2599.9899999999998</v>
          </cell>
          <cell r="I2642">
            <v>2499.9899999999998</v>
          </cell>
          <cell r="J2642">
            <v>2076.7116000000001</v>
          </cell>
          <cell r="K2642">
            <v>0</v>
          </cell>
          <cell r="L2642">
            <v>2076.7116000000001</v>
          </cell>
          <cell r="M2642">
            <v>0</v>
          </cell>
          <cell r="N2642">
            <v>2499.9899999999998</v>
          </cell>
          <cell r="O2642" t="str">
            <v/>
          </cell>
          <cell r="P2642">
            <v>0</v>
          </cell>
          <cell r="Q2642">
            <v>0.20382146466557999</v>
          </cell>
          <cell r="R2642">
            <v>0.20382146466557999</v>
          </cell>
          <cell r="S2642" t="e">
            <v>#VALUE!</v>
          </cell>
          <cell r="T2642" t="e">
            <v>#VALUE!</v>
          </cell>
        </row>
        <row r="2643">
          <cell r="A2643" t="str">
            <v>G241537KAGFF</v>
          </cell>
          <cell r="B2643" t="str">
            <v>MKP000631005612</v>
          </cell>
          <cell r="C2643" t="str">
            <v/>
          </cell>
          <cell r="D2643" t="str">
            <v>Balcão Gabinete de Pia Madesa Agata 150 cm 2 Portas e 2 Gavetas (Sem Tampo e Pia) Rustic/Preto</v>
          </cell>
          <cell r="E2643" t="str">
            <v>ÁGATA</v>
          </cell>
          <cell r="F2643" t="str">
            <v>MODULAÇÃO</v>
          </cell>
          <cell r="G2643" t="str">
            <v/>
          </cell>
          <cell r="H2643">
            <v>689.99</v>
          </cell>
          <cell r="I2643">
            <v>649.99</v>
          </cell>
          <cell r="J2643">
            <v>477.38729999999998</v>
          </cell>
          <cell r="K2643">
            <v>0</v>
          </cell>
          <cell r="L2643">
            <v>477.38729999999998</v>
          </cell>
          <cell r="M2643">
            <v>0</v>
          </cell>
          <cell r="N2643">
            <v>649.99</v>
          </cell>
          <cell r="O2643" t="str">
            <v/>
          </cell>
          <cell r="P2643">
            <v>0</v>
          </cell>
          <cell r="Q2643">
            <v>0.36155695805062299</v>
          </cell>
          <cell r="R2643">
            <v>0.36155695805062299</v>
          </cell>
          <cell r="S2643" t="e">
            <v>#VALUE!</v>
          </cell>
          <cell r="T2643" t="e">
            <v>#VALUE!</v>
          </cell>
        </row>
        <row r="2644">
          <cell r="A2644" t="str">
            <v>G248006ETE</v>
          </cell>
          <cell r="B2644" t="str">
            <v>MKP000631002160</v>
          </cell>
          <cell r="C2644" t="str">
            <v/>
          </cell>
          <cell r="D2644" t="str">
            <v>Balcão Madesa Stella 80 cm 2 Portas Rustic/Branco</v>
          </cell>
          <cell r="E2644" t="str">
            <v>STELLA</v>
          </cell>
          <cell r="F2644" t="str">
            <v>MODULAÇÃO</v>
          </cell>
          <cell r="G2644" t="str">
            <v/>
          </cell>
          <cell r="H2644">
            <v>879.99</v>
          </cell>
          <cell r="I2644">
            <v>519.99</v>
          </cell>
          <cell r="J2644">
            <v>332.10120000000001</v>
          </cell>
          <cell r="K2644">
            <v>0</v>
          </cell>
          <cell r="L2644">
            <v>332.10120000000001</v>
          </cell>
          <cell r="M2644">
            <v>0</v>
          </cell>
          <cell r="N2644">
            <v>519.99</v>
          </cell>
          <cell r="O2644" t="str">
            <v/>
          </cell>
          <cell r="P2644">
            <v>0</v>
          </cell>
          <cell r="Q2644">
            <v>0.56575766663896399</v>
          </cell>
          <cell r="R2644">
            <v>0.56575766663896399</v>
          </cell>
          <cell r="S2644" t="e">
            <v>#VALUE!</v>
          </cell>
          <cell r="T2644" t="e">
            <v>#VALUE!</v>
          </cell>
        </row>
        <row r="2645">
          <cell r="A2645" t="str">
            <v>G266556ETE</v>
          </cell>
          <cell r="B2645" t="str">
            <v>MKP000631002162</v>
          </cell>
          <cell r="C2645" t="str">
            <v/>
          </cell>
          <cell r="D2645" t="str">
            <v>Torre Quente Madesa Stella 60 cm 1 Porta 3 Gavetas Rustic/Branco</v>
          </cell>
          <cell r="E2645" t="str">
            <v>STELLA</v>
          </cell>
          <cell r="F2645" t="str">
            <v>MODULAÇÃO</v>
          </cell>
          <cell r="G2645" t="str">
            <v/>
          </cell>
          <cell r="H2645">
            <v>1339.99</v>
          </cell>
          <cell r="I2645">
            <v>899.99</v>
          </cell>
          <cell r="J2645">
            <v>553.40390000000002</v>
          </cell>
          <cell r="K2645">
            <v>0</v>
          </cell>
          <cell r="L2645">
            <v>553.40390000000002</v>
          </cell>
          <cell r="M2645">
            <v>0</v>
          </cell>
          <cell r="N2645">
            <v>899.99</v>
          </cell>
          <cell r="O2645" t="str">
            <v/>
          </cell>
          <cell r="P2645">
            <v>0</v>
          </cell>
          <cell r="Q2645">
            <v>0.626280552052488</v>
          </cell>
          <cell r="R2645">
            <v>0.626280552052488</v>
          </cell>
          <cell r="S2645" t="e">
            <v>#VALUE!</v>
          </cell>
          <cell r="T2645" t="e">
            <v>#VALUE!</v>
          </cell>
        </row>
        <row r="2646">
          <cell r="A2646" t="str">
            <v>GRLX24000273</v>
          </cell>
          <cell r="B2646" t="str">
            <v>MKP000631003337</v>
          </cell>
          <cell r="C2646" t="str">
            <v/>
          </cell>
          <cell r="D2646" t="str">
            <v>Armário de Cozinha Completa 240cm Branco/Preto Lux Madesa 02</v>
          </cell>
          <cell r="E2646" t="str">
            <v>LUX</v>
          </cell>
          <cell r="F2646" t="str">
            <v>COZINHA</v>
          </cell>
          <cell r="G2646" t="str">
            <v/>
          </cell>
          <cell r="H2646">
            <v>4819.99</v>
          </cell>
          <cell r="I2646">
            <v>4759.99</v>
          </cell>
          <cell r="J2646">
            <v>2641.7676000000001</v>
          </cell>
          <cell r="K2646">
            <v>0</v>
          </cell>
          <cell r="L2646">
            <v>2641.7676000000001</v>
          </cell>
          <cell r="M2646">
            <v>0</v>
          </cell>
          <cell r="N2646">
            <v>4759.99</v>
          </cell>
          <cell r="O2646" t="str">
            <v>LOJA</v>
          </cell>
          <cell r="P2646">
            <v>4179.99</v>
          </cell>
          <cell r="Q2646">
            <v>0.80182011468381997</v>
          </cell>
          <cell r="R2646">
            <v>0.80182011468381997</v>
          </cell>
          <cell r="S2646" t="e">
            <v>#VALUE!</v>
          </cell>
          <cell r="T2646" t="e">
            <v>#VALUE!</v>
          </cell>
        </row>
        <row r="2647">
          <cell r="A2647" t="str">
            <v>GRGL22000309</v>
          </cell>
          <cell r="B2647" t="str">
            <v>MKP000631001234</v>
          </cell>
          <cell r="C2647" t="str">
            <v/>
          </cell>
          <cell r="D2647" t="str">
            <v>Armário de Cozinha Completa 220cm Branco Parma Madesa 03</v>
          </cell>
          <cell r="E2647" t="str">
            <v>PARMA/GLAMY</v>
          </cell>
          <cell r="F2647" t="str">
            <v>COZINHA</v>
          </cell>
          <cell r="G2647" t="str">
            <v/>
          </cell>
          <cell r="H2647">
            <v>1899.99</v>
          </cell>
          <cell r="I2647">
            <v>1799.99</v>
          </cell>
          <cell r="J2647">
            <v>1541.2927</v>
          </cell>
          <cell r="K2647">
            <v>0</v>
          </cell>
          <cell r="L2647">
            <v>1541.2927</v>
          </cell>
          <cell r="M2647">
            <v>0</v>
          </cell>
          <cell r="N2647">
            <v>1799.99</v>
          </cell>
          <cell r="O2647" t="str">
            <v/>
          </cell>
          <cell r="P2647">
            <v>0</v>
          </cell>
          <cell r="Q2647">
            <v>0.16784436856153301</v>
          </cell>
          <cell r="R2647">
            <v>0.16784436856153301</v>
          </cell>
          <cell r="S2647" t="e">
            <v>#VALUE!</v>
          </cell>
          <cell r="T2647" t="e">
            <v>#VALUE!</v>
          </cell>
        </row>
        <row r="2648">
          <cell r="A2648" t="str">
            <v>XB1063091E</v>
          </cell>
          <cell r="B2648" t="str">
            <v>MKP000631001445</v>
          </cell>
          <cell r="C2648" t="str">
            <v/>
          </cell>
          <cell r="D2648" t="str">
            <v>Guarda-Roupa Juvenil 100% MDF Madesa Kevin 3 Portas de Correr com Espelho Branco</v>
          </cell>
          <cell r="E2648" t="str">
            <v>KEVIN</v>
          </cell>
          <cell r="F2648" t="str">
            <v>QUARTO</v>
          </cell>
          <cell r="G2648" t="str">
            <v/>
          </cell>
          <cell r="H2648">
            <v>3269.99</v>
          </cell>
          <cell r="I2648">
            <v>2129.9899999999998</v>
          </cell>
          <cell r="J2648">
            <v>1792.614</v>
          </cell>
          <cell r="K2648">
            <v>0</v>
          </cell>
          <cell r="L2648">
            <v>1792.614</v>
          </cell>
          <cell r="M2648">
            <v>0</v>
          </cell>
          <cell r="N2648">
            <v>2129.9899999999998</v>
          </cell>
          <cell r="O2648" t="str">
            <v/>
          </cell>
          <cell r="P2648">
            <v>0</v>
          </cell>
          <cell r="Q2648">
            <v>0.18820337228204201</v>
          </cell>
          <cell r="R2648">
            <v>0.18820337228204201</v>
          </cell>
          <cell r="S2648" t="e">
            <v>#VALUE!</v>
          </cell>
          <cell r="T2648" t="e">
            <v>#VALUE!</v>
          </cell>
        </row>
        <row r="2649">
          <cell r="A2649" t="str">
            <v>MDES0200205Z5Z</v>
          </cell>
          <cell r="B2649" t="str">
            <v>MKP000631002797</v>
          </cell>
          <cell r="C2649" t="str">
            <v/>
          </cell>
          <cell r="D2649" t="str">
            <v>Rack Madesa Cancun com Pés e Painel para TV até 65 Polegadas Rustic</v>
          </cell>
          <cell r="E2649" t="str">
            <v>CANCUN</v>
          </cell>
          <cell r="F2649" t="str">
            <v>SALA DE ESTAR</v>
          </cell>
          <cell r="G2649" t="str">
            <v/>
          </cell>
          <cell r="H2649">
            <v>699.99</v>
          </cell>
          <cell r="I2649">
            <v>599.99</v>
          </cell>
          <cell r="J2649">
            <v>470.45490000000001</v>
          </cell>
          <cell r="K2649">
            <v>0</v>
          </cell>
          <cell r="L2649">
            <v>470.45490000000001</v>
          </cell>
          <cell r="M2649">
            <v>0</v>
          </cell>
          <cell r="N2649">
            <v>599.99</v>
          </cell>
          <cell r="O2649" t="str">
            <v/>
          </cell>
          <cell r="P2649">
            <v>0</v>
          </cell>
          <cell r="Q2649">
            <v>0.27534010167605799</v>
          </cell>
          <cell r="R2649">
            <v>0.27534010167605799</v>
          </cell>
          <cell r="S2649" t="e">
            <v>#VALUE!</v>
          </cell>
          <cell r="T2649" t="e">
            <v>#VALUE!</v>
          </cell>
        </row>
        <row r="2650">
          <cell r="A2650" t="str">
            <v>G241535ZGLCT</v>
          </cell>
          <cell r="B2650" t="str">
            <v>MKP000631002397</v>
          </cell>
          <cell r="C2650" t="str">
            <v/>
          </cell>
          <cell r="D2650" t="str">
            <v>Balcão de Pia Madesa Glamy 150 cm 2 Portas e 2 Gavetas (Com Tampo) Rustic</v>
          </cell>
          <cell r="E2650" t="str">
            <v>GLAMY</v>
          </cell>
          <cell r="F2650" t="str">
            <v>MODULAÇÃO</v>
          </cell>
          <cell r="G2650" t="str">
            <v/>
          </cell>
          <cell r="H2650">
            <v>1349.99</v>
          </cell>
          <cell r="I2650">
            <v>689.99</v>
          </cell>
          <cell r="J2650">
            <v>539.95330000000001</v>
          </cell>
          <cell r="K2650">
            <v>0</v>
          </cell>
          <cell r="L2650">
            <v>539.95330000000001</v>
          </cell>
          <cell r="M2650">
            <v>0</v>
          </cell>
          <cell r="N2650">
            <v>689.99</v>
          </cell>
          <cell r="O2650" t="str">
            <v/>
          </cell>
          <cell r="P2650">
            <v>0</v>
          </cell>
          <cell r="Q2650">
            <v>0.277869771330224</v>
          </cell>
          <cell r="R2650">
            <v>0.277869771330224</v>
          </cell>
          <cell r="S2650" t="e">
            <v>#VALUE!</v>
          </cell>
          <cell r="T2650" t="e">
            <v>#VALUE!</v>
          </cell>
        </row>
        <row r="2651">
          <cell r="A2651" t="str">
            <v>MDES020024778N</v>
          </cell>
          <cell r="B2651" t="str">
            <v>MKP000631002864</v>
          </cell>
          <cell r="C2651" t="str">
            <v/>
          </cell>
          <cell r="D2651" t="str">
            <v>Rack Madesa Cancun e Painel para TV até 58 Polegadas Preto/Branco 778N</v>
          </cell>
          <cell r="E2651" t="str">
            <v>CANCUN</v>
          </cell>
          <cell r="F2651" t="str">
            <v>SALA DE ESTAR</v>
          </cell>
          <cell r="G2651" t="str">
            <v/>
          </cell>
          <cell r="H2651">
            <v>689.99</v>
          </cell>
          <cell r="I2651">
            <v>469.99</v>
          </cell>
          <cell r="J2651">
            <v>361.60750000000002</v>
          </cell>
          <cell r="K2651">
            <v>0</v>
          </cell>
          <cell r="L2651">
            <v>361.60750000000002</v>
          </cell>
          <cell r="M2651">
            <v>0</v>
          </cell>
          <cell r="N2651">
            <v>469.99</v>
          </cell>
          <cell r="O2651" t="str">
            <v/>
          </cell>
          <cell r="P2651">
            <v>0</v>
          </cell>
          <cell r="Q2651">
            <v>0.29972414842059403</v>
          </cell>
          <cell r="R2651">
            <v>0.29972414842059403</v>
          </cell>
          <cell r="S2651" t="e">
            <v>#VALUE!</v>
          </cell>
          <cell r="T2651" t="e">
            <v>#VALUE!</v>
          </cell>
        </row>
        <row r="2652">
          <cell r="A2652" t="str">
            <v>GRGL24000873</v>
          </cell>
          <cell r="B2652" t="str">
            <v>MKP000631005042</v>
          </cell>
          <cell r="C2652" t="str">
            <v/>
          </cell>
          <cell r="D2652" t="str">
            <v>Armário de Cozinha Completa 240cm Branco/Preto Glamy Madesa 08</v>
          </cell>
          <cell r="E2652" t="str">
            <v>GLAMY</v>
          </cell>
          <cell r="F2652" t="str">
            <v>COZINHA</v>
          </cell>
          <cell r="G2652" t="str">
            <v/>
          </cell>
          <cell r="H2652">
            <v>1799.99</v>
          </cell>
          <cell r="I2652">
            <v>1799.99</v>
          </cell>
          <cell r="J2652">
            <v>1391.3414</v>
          </cell>
          <cell r="K2652">
            <v>0</v>
          </cell>
          <cell r="L2652">
            <v>1391.3414</v>
          </cell>
          <cell r="M2652">
            <v>0</v>
          </cell>
          <cell r="N2652">
            <v>1799.99</v>
          </cell>
          <cell r="O2652" t="str">
            <v/>
          </cell>
          <cell r="P2652">
            <v>0</v>
          </cell>
          <cell r="Q2652">
            <v>0.293708359429253</v>
          </cell>
          <cell r="R2652">
            <v>0.293708359429253</v>
          </cell>
          <cell r="S2652" t="e">
            <v>#VALUE!</v>
          </cell>
          <cell r="T2652" t="e">
            <v>#VALUE!</v>
          </cell>
        </row>
        <row r="2653">
          <cell r="A2653" t="str">
            <v>GRAG290004F8</v>
          </cell>
          <cell r="B2653" t="str">
            <v>MKP000631004550</v>
          </cell>
          <cell r="C2653" t="str">
            <v/>
          </cell>
          <cell r="D2653" t="str">
            <v>Armário de Cozinha Completa 290cm Branco Cinza Agata Madesa 04</v>
          </cell>
          <cell r="E2653" t="str">
            <v>ÁGATA</v>
          </cell>
          <cell r="F2653" t="str">
            <v>COZINHA</v>
          </cell>
          <cell r="G2653" t="str">
            <v/>
          </cell>
          <cell r="H2653">
            <v>2799.99</v>
          </cell>
          <cell r="I2653">
            <v>2299.9899999999998</v>
          </cell>
          <cell r="J2653">
            <v>1750.3547000000001</v>
          </cell>
          <cell r="K2653">
            <v>0</v>
          </cell>
          <cell r="L2653">
            <v>1750.3547000000001</v>
          </cell>
          <cell r="M2653">
            <v>0</v>
          </cell>
          <cell r="N2653">
            <v>2299.9899999999998</v>
          </cell>
          <cell r="O2653" t="str">
            <v/>
          </cell>
          <cell r="P2653">
            <v>0</v>
          </cell>
          <cell r="Q2653">
            <v>0.31401366820107901</v>
          </cell>
          <cell r="R2653">
            <v>0.31401366820107901</v>
          </cell>
          <cell r="S2653" t="e">
            <v>#VALUE!</v>
          </cell>
          <cell r="T2653" t="e">
            <v>#VALUE!</v>
          </cell>
        </row>
        <row r="2654">
          <cell r="A2654" t="str">
            <v>G241206EGLCT</v>
          </cell>
          <cell r="B2654" t="str">
            <v>MKP000631003118</v>
          </cell>
          <cell r="C2654" t="str">
            <v/>
          </cell>
          <cell r="D2654" t="str">
            <v>Balcão de Pia Madesa Glamy 120 cm 2 Portas (Com Tampo) Rustic/Branco</v>
          </cell>
          <cell r="E2654" t="str">
            <v>GLAMY</v>
          </cell>
          <cell r="F2654" t="str">
            <v>MODULAÇÃO</v>
          </cell>
          <cell r="G2654" t="str">
            <v/>
          </cell>
          <cell r="H2654">
            <v>1149.99</v>
          </cell>
          <cell r="I2654">
            <v>619.99</v>
          </cell>
          <cell r="J2654">
            <v>467.7081</v>
          </cell>
          <cell r="K2654">
            <v>0</v>
          </cell>
          <cell r="L2654">
            <v>467.7081</v>
          </cell>
          <cell r="M2654">
            <v>0</v>
          </cell>
          <cell r="N2654">
            <v>619.99</v>
          </cell>
          <cell r="O2654" t="str">
            <v/>
          </cell>
          <cell r="P2654">
            <v>0</v>
          </cell>
          <cell r="Q2654">
            <v>0.32559175263374801</v>
          </cell>
          <cell r="R2654">
            <v>0.32559175263374801</v>
          </cell>
          <cell r="S2654" t="e">
            <v>#VALUE!</v>
          </cell>
          <cell r="T2654" t="e">
            <v>#VALUE!</v>
          </cell>
        </row>
        <row r="2655">
          <cell r="A2655" t="str">
            <v>GRLX3000019N</v>
          </cell>
          <cell r="B2655" t="str">
            <v>MKP000631005127</v>
          </cell>
          <cell r="C2655" t="str">
            <v/>
          </cell>
          <cell r="D2655" t="str">
            <v>Armário de Cozinha Completa 300cm Rustic/Cinza Lux da Sabrina Madesa</v>
          </cell>
          <cell r="E2655" t="str">
            <v>LUX</v>
          </cell>
          <cell r="F2655" t="str">
            <v>COZINHA</v>
          </cell>
          <cell r="G2655" t="str">
            <v/>
          </cell>
          <cell r="H2655">
            <v>5779.99</v>
          </cell>
          <cell r="I2655">
            <v>5729.99</v>
          </cell>
          <cell r="J2655">
            <v>3512.2197999999999</v>
          </cell>
          <cell r="K2655">
            <v>0</v>
          </cell>
          <cell r="L2655">
            <v>3512.2197999999999</v>
          </cell>
          <cell r="M2655">
            <v>0</v>
          </cell>
          <cell r="N2655">
            <v>5729.99</v>
          </cell>
          <cell r="O2655" t="str">
            <v>LOJA</v>
          </cell>
          <cell r="P2655">
            <v>5039.99</v>
          </cell>
          <cell r="Q2655">
            <v>0.63144402295095603</v>
          </cell>
          <cell r="R2655">
            <v>0.63144402295095603</v>
          </cell>
          <cell r="S2655" t="e">
            <v>#VALUE!</v>
          </cell>
          <cell r="T2655" t="e">
            <v>#VALUE!</v>
          </cell>
        </row>
        <row r="2656">
          <cell r="A2656" t="str">
            <v>G273506SPR</v>
          </cell>
          <cell r="B2656" t="str">
            <v>MKP000631003270</v>
          </cell>
          <cell r="C2656" t="str">
            <v/>
          </cell>
          <cell r="D2656" t="str">
            <v>Tampo para Balcão de 35 x 60 cm para Cozinhas Madesa Glamy, Lux e Stella Mood</v>
          </cell>
          <cell r="E2656" t="str">
            <v>PR</v>
          </cell>
          <cell r="F2656" t="str">
            <v>MODULAÇÃO</v>
          </cell>
          <cell r="G2656" t="str">
            <v/>
          </cell>
          <cell r="H2656">
            <v>269.99</v>
          </cell>
          <cell r="I2656">
            <v>119.99</v>
          </cell>
          <cell r="J2656">
            <v>58.652900000000002</v>
          </cell>
          <cell r="K2656">
            <v>0</v>
          </cell>
          <cell r="L2656">
            <v>58.652900000000002</v>
          </cell>
          <cell r="M2656">
            <v>0</v>
          </cell>
          <cell r="N2656">
            <v>119.99</v>
          </cell>
          <cell r="O2656" t="str">
            <v/>
          </cell>
          <cell r="P2656">
            <v>0</v>
          </cell>
          <cell r="Q2656">
            <v>1.0457641480642901</v>
          </cell>
          <cell r="R2656">
            <v>1.0457641480642901</v>
          </cell>
          <cell r="S2656" t="e">
            <v>#VALUE!</v>
          </cell>
          <cell r="T2656" t="e">
            <v>#VALUE!</v>
          </cell>
        </row>
        <row r="2657">
          <cell r="A2657" t="str">
            <v>GRGL3100025Z</v>
          </cell>
          <cell r="B2657" t="str">
            <v>MKP000631004355</v>
          </cell>
          <cell r="C2657" t="str">
            <v/>
          </cell>
          <cell r="D2657" t="str">
            <v>Armário de Cozinha Completa 310cm Rustic Glamy Madesa 02</v>
          </cell>
          <cell r="E2657" t="str">
            <v>GLAMY</v>
          </cell>
          <cell r="F2657" t="str">
            <v>COZINHA</v>
          </cell>
          <cell r="G2657" t="str">
            <v/>
          </cell>
          <cell r="H2657">
            <v>2599.9899999999998</v>
          </cell>
          <cell r="I2657">
            <v>2499.9899999999998</v>
          </cell>
          <cell r="J2657">
            <v>2091.3067000000001</v>
          </cell>
          <cell r="K2657">
            <v>0</v>
          </cell>
          <cell r="L2657">
            <v>2091.3067000000001</v>
          </cell>
          <cell r="M2657">
            <v>0</v>
          </cell>
          <cell r="N2657">
            <v>2499.9899999999998</v>
          </cell>
          <cell r="O2657" t="str">
            <v/>
          </cell>
          <cell r="P2657">
            <v>0</v>
          </cell>
          <cell r="Q2657">
            <v>0.195420069184496</v>
          </cell>
          <cell r="R2657">
            <v>0.195420069184496</v>
          </cell>
          <cell r="S2657" t="e">
            <v>#VALUE!</v>
          </cell>
          <cell r="T2657" t="e">
            <v>#VALUE!</v>
          </cell>
        </row>
        <row r="2658">
          <cell r="A2658" t="str">
            <v>GCAG39900173</v>
          </cell>
          <cell r="B2658" t="str">
            <v>MKP000631004398</v>
          </cell>
          <cell r="C2658" t="str">
            <v/>
          </cell>
          <cell r="D2658" t="str">
            <v>Armário de Cozinha Completa de Canto 399cm Branco Preto Agata Madesa 01</v>
          </cell>
          <cell r="E2658" t="str">
            <v>ÁGATA</v>
          </cell>
          <cell r="F2658" t="str">
            <v>COZINHA</v>
          </cell>
          <cell r="G2658" t="str">
            <v/>
          </cell>
          <cell r="H2658">
            <v>3239.99</v>
          </cell>
          <cell r="I2658">
            <v>2859.99</v>
          </cell>
          <cell r="J2658">
            <v>2348.3069</v>
          </cell>
          <cell r="K2658">
            <v>0</v>
          </cell>
          <cell r="L2658">
            <v>2348.3069</v>
          </cell>
          <cell r="M2658">
            <v>0</v>
          </cell>
          <cell r="N2658">
            <v>2859.99</v>
          </cell>
          <cell r="O2658" t="str">
            <v/>
          </cell>
          <cell r="P2658">
            <v>0</v>
          </cell>
          <cell r="Q2658">
            <v>0.217894475377132</v>
          </cell>
          <cell r="R2658">
            <v>0.217894475377132</v>
          </cell>
          <cell r="S2658" t="e">
            <v>#VALUE!</v>
          </cell>
          <cell r="T2658" t="e">
            <v>#VALUE!</v>
          </cell>
        </row>
        <row r="2659">
          <cell r="A2659" t="str">
            <v>MDJA0601377KSM</v>
          </cell>
          <cell r="B2659" t="str">
            <v>MKP000631005305</v>
          </cell>
          <cell r="C2659" t="str">
            <v/>
          </cell>
          <cell r="D2659" t="str">
            <v>Conjunto Sala de Jantar Mesa Tampo de Madeira 6 Cadeiras Rustic/Preto/Imperial Britney Madesa</v>
          </cell>
          <cell r="E2659" t="str">
            <v>BRITNEY</v>
          </cell>
          <cell r="F2659" t="str">
            <v>SALA DE JANTAR</v>
          </cell>
          <cell r="G2659">
            <v>4256</v>
          </cell>
          <cell r="H2659">
            <v>1619.99</v>
          </cell>
          <cell r="I2659">
            <v>1549.99</v>
          </cell>
          <cell r="J2659">
            <v>1208.9081000000001</v>
          </cell>
          <cell r="K2659">
            <v>0</v>
          </cell>
          <cell r="L2659">
            <v>1208.9081000000001</v>
          </cell>
          <cell r="M2659">
            <v>0</v>
          </cell>
          <cell r="N2659">
            <v>1549.99</v>
          </cell>
          <cell r="O2659" t="str">
            <v/>
          </cell>
          <cell r="P2659">
            <v>0</v>
          </cell>
          <cell r="Q2659">
            <v>0.28214047039638501</v>
          </cell>
          <cell r="R2659">
            <v>0.28214047039638501</v>
          </cell>
          <cell r="S2659" t="e">
            <v>#VALUE!</v>
          </cell>
          <cell r="T2659" t="e">
            <v>#VALUE!</v>
          </cell>
        </row>
        <row r="2660">
          <cell r="A2660" t="str">
            <v>GRAG26000209</v>
          </cell>
          <cell r="B2660" t="str">
            <v>MKP000631004717</v>
          </cell>
          <cell r="C2660" t="str">
            <v/>
          </cell>
          <cell r="D2660" t="str">
            <v>Armário de Cozinha Completa 260cm Branco Agata Madesa 02</v>
          </cell>
          <cell r="E2660" t="str">
            <v>ÁGATA</v>
          </cell>
          <cell r="F2660" t="str">
            <v>COZINHA</v>
          </cell>
          <cell r="G2660" t="str">
            <v/>
          </cell>
          <cell r="H2660">
            <v>1799.99</v>
          </cell>
          <cell r="I2660">
            <v>1699.99</v>
          </cell>
          <cell r="J2660">
            <v>1382.2617</v>
          </cell>
          <cell r="K2660">
            <v>0</v>
          </cell>
          <cell r="L2660">
            <v>1382.2617</v>
          </cell>
          <cell r="M2660">
            <v>0</v>
          </cell>
          <cell r="N2660">
            <v>1699.99</v>
          </cell>
          <cell r="O2660" t="str">
            <v/>
          </cell>
          <cell r="P2660">
            <v>0</v>
          </cell>
          <cell r="Q2660">
            <v>0.22986117607107201</v>
          </cell>
          <cell r="R2660">
            <v>0.22986117607107201</v>
          </cell>
          <cell r="S2660" t="e">
            <v>#VALUE!</v>
          </cell>
          <cell r="T2660" t="e">
            <v>#VALUE!</v>
          </cell>
        </row>
        <row r="2661">
          <cell r="A2661" t="str">
            <v>MDJA0401057KSIM</v>
          </cell>
          <cell r="B2661" t="str">
            <v>MKP000631003205</v>
          </cell>
          <cell r="C2661" t="str">
            <v/>
          </cell>
          <cell r="D2661" t="str">
            <v>Conjunto Sala de Jantar Madesa Flavia Mesa Tampo de Madeira com 4 Cadeiras Rustic/Preto/Imperial</v>
          </cell>
          <cell r="E2661" t="str">
            <v>FLAVIA</v>
          </cell>
          <cell r="F2661" t="str">
            <v>SALA DE JANTAR</v>
          </cell>
          <cell r="G2661">
            <v>4255</v>
          </cell>
          <cell r="H2661">
            <v>2039.99</v>
          </cell>
          <cell r="I2661">
            <v>1089.99</v>
          </cell>
          <cell r="J2661">
            <v>833.90449999999998</v>
          </cell>
          <cell r="K2661">
            <v>0</v>
          </cell>
          <cell r="L2661">
            <v>833.90449999999998</v>
          </cell>
          <cell r="M2661">
            <v>0</v>
          </cell>
          <cell r="N2661">
            <v>1089.99</v>
          </cell>
          <cell r="O2661" t="str">
            <v/>
          </cell>
          <cell r="P2661">
            <v>0</v>
          </cell>
          <cell r="Q2661">
            <v>0.307092119061595</v>
          </cell>
          <cell r="R2661">
            <v>0.307092119061595</v>
          </cell>
          <cell r="S2661" t="e">
            <v>#VALUE!</v>
          </cell>
          <cell r="T2661" t="e">
            <v>#VALUE!</v>
          </cell>
        </row>
        <row r="2662">
          <cell r="A2662" t="str">
            <v>G241537KGLCT</v>
          </cell>
          <cell r="B2662" t="str">
            <v>MKP000631003510</v>
          </cell>
          <cell r="C2662" t="str">
            <v/>
          </cell>
          <cell r="D2662" t="str">
            <v>Balcão de Pia Madesa Glamy 150 cm 2 Portas e 2 Gavetas (Com Tampo) Rustic/Preto</v>
          </cell>
          <cell r="E2662" t="str">
            <v>GLAMY</v>
          </cell>
          <cell r="F2662" t="str">
            <v>MODULAÇÃO</v>
          </cell>
          <cell r="G2662" t="str">
            <v/>
          </cell>
          <cell r="H2662">
            <v>1349.99</v>
          </cell>
          <cell r="I2662">
            <v>689.99</v>
          </cell>
          <cell r="J2662">
            <v>539.95330000000001</v>
          </cell>
          <cell r="K2662">
            <v>0</v>
          </cell>
          <cell r="L2662">
            <v>539.95330000000001</v>
          </cell>
          <cell r="M2662">
            <v>0</v>
          </cell>
          <cell r="N2662">
            <v>689.99</v>
          </cell>
          <cell r="O2662" t="str">
            <v/>
          </cell>
          <cell r="P2662">
            <v>0</v>
          </cell>
          <cell r="Q2662">
            <v>0.277869771330224</v>
          </cell>
          <cell r="R2662">
            <v>0.277869771330224</v>
          </cell>
          <cell r="S2662" t="e">
            <v>#VALUE!</v>
          </cell>
          <cell r="T2662" t="e">
            <v>#VALUE!</v>
          </cell>
        </row>
        <row r="2663">
          <cell r="A2663" t="str">
            <v>MDJA0401697GFLH</v>
          </cell>
          <cell r="B2663" t="str">
            <v>MKP000631005723</v>
          </cell>
          <cell r="C2663" t="str">
            <v/>
          </cell>
          <cell r="D2663" t="str">
            <v>Conjunto Sala de Jantar Mesa Tampo de Madeira 4 Cadeiras Rustic/Crema/Hibiscos Marilyn Madesa</v>
          </cell>
          <cell r="E2663" t="str">
            <v>MARILYN</v>
          </cell>
          <cell r="F2663" t="str">
            <v>SALA DE JANTAR</v>
          </cell>
          <cell r="G2663" t="str">
            <v>4290X</v>
          </cell>
          <cell r="H2663">
            <v>699.99</v>
          </cell>
          <cell r="I2663">
            <v>599.99</v>
          </cell>
          <cell r="J2663">
            <v>465.66980000000001</v>
          </cell>
          <cell r="K2663">
            <v>0</v>
          </cell>
          <cell r="L2663">
            <v>465.66980000000001</v>
          </cell>
          <cell r="M2663">
            <v>0</v>
          </cell>
          <cell r="N2663">
            <v>599.99</v>
          </cell>
          <cell r="O2663" t="str">
            <v/>
          </cell>
          <cell r="P2663">
            <v>0</v>
          </cell>
          <cell r="Q2663">
            <v>0.28844516006835702</v>
          </cell>
          <cell r="R2663">
            <v>0.28844516006835702</v>
          </cell>
          <cell r="S2663" t="e">
            <v>#VALUE!</v>
          </cell>
          <cell r="T2663" t="e">
            <v>#VALUE!</v>
          </cell>
        </row>
        <row r="2664">
          <cell r="A2664" t="str">
            <v>G221237KAGCT</v>
          </cell>
          <cell r="B2664" t="str">
            <v>MKP000631004861</v>
          </cell>
          <cell r="C2664" t="str">
            <v/>
          </cell>
          <cell r="D2664" t="str">
            <v>Balcão Gabinete de Pia 120 x 60 cm 1 Porta 2 Gavetas Rustic/Preto (Com Tampo) Agata Madesa</v>
          </cell>
          <cell r="E2664" t="str">
            <v>ÁGATA</v>
          </cell>
          <cell r="F2664" t="str">
            <v>MODULAÇÃO</v>
          </cell>
          <cell r="G2664" t="str">
            <v/>
          </cell>
          <cell r="H2664">
            <v>959.99</v>
          </cell>
          <cell r="I2664">
            <v>859.99</v>
          </cell>
          <cell r="J2664">
            <v>537.11929999999995</v>
          </cell>
          <cell r="K2664">
            <v>0</v>
          </cell>
          <cell r="L2664">
            <v>537.11929999999995</v>
          </cell>
          <cell r="M2664">
            <v>0</v>
          </cell>
          <cell r="N2664">
            <v>859.99</v>
          </cell>
          <cell r="O2664" t="str">
            <v/>
          </cell>
          <cell r="P2664">
            <v>0</v>
          </cell>
          <cell r="Q2664">
            <v>0.60111543189753203</v>
          </cell>
          <cell r="R2664">
            <v>0.60111543189753203</v>
          </cell>
          <cell r="S2664" t="e">
            <v>#VALUE!</v>
          </cell>
          <cell r="T2664" t="e">
            <v>#VALUE!</v>
          </cell>
        </row>
        <row r="2665">
          <cell r="A2665" t="str">
            <v>G266076EAG</v>
          </cell>
          <cell r="B2665" t="str">
            <v>MKP000631004772</v>
          </cell>
          <cell r="C2665" t="str">
            <v/>
          </cell>
          <cell r="D2665" t="str">
            <v>Paneleiro Madesa Agata 60 cm 3 Portas Rustic/Branco</v>
          </cell>
          <cell r="E2665" t="str">
            <v>ÁGATA</v>
          </cell>
          <cell r="F2665" t="str">
            <v>MODULAÇÃO</v>
          </cell>
          <cell r="G2665" t="str">
            <v/>
          </cell>
          <cell r="H2665">
            <v>939.99</v>
          </cell>
          <cell r="I2665">
            <v>829.99</v>
          </cell>
          <cell r="J2665">
            <v>513.92409999999995</v>
          </cell>
          <cell r="K2665">
            <v>0</v>
          </cell>
          <cell r="L2665">
            <v>513.92409999999995</v>
          </cell>
          <cell r="M2665">
            <v>0</v>
          </cell>
          <cell r="N2665">
            <v>829.99</v>
          </cell>
          <cell r="O2665" t="str">
            <v/>
          </cell>
          <cell r="P2665">
            <v>0</v>
          </cell>
          <cell r="Q2665">
            <v>0.61500501727784296</v>
          </cell>
          <cell r="R2665">
            <v>0.61500501727784296</v>
          </cell>
          <cell r="S2665" t="e">
            <v>#VALUE!</v>
          </cell>
          <cell r="T2665" t="e">
            <v>#VALUE!</v>
          </cell>
        </row>
        <row r="2666">
          <cell r="A2666" t="str">
            <v>GRLX27000173</v>
          </cell>
          <cell r="B2666" t="str">
            <v>MKP000631004765</v>
          </cell>
          <cell r="C2666" t="str">
            <v/>
          </cell>
          <cell r="D2666" t="str">
            <v>Armário de Cozinha Completa 270cm Branco Preto Lux Madesa 01</v>
          </cell>
          <cell r="E2666" t="str">
            <v>LUX</v>
          </cell>
          <cell r="F2666" t="str">
            <v>COZINHA</v>
          </cell>
          <cell r="G2666" t="str">
            <v/>
          </cell>
          <cell r="H2666">
            <v>3889.99</v>
          </cell>
          <cell r="I2666">
            <v>3799.99</v>
          </cell>
          <cell r="J2666">
            <v>2292.5425</v>
          </cell>
          <cell r="K2666">
            <v>0</v>
          </cell>
          <cell r="L2666">
            <v>2292.5425</v>
          </cell>
          <cell r="M2666">
            <v>0</v>
          </cell>
          <cell r="N2666">
            <v>3799.99</v>
          </cell>
          <cell r="O2666" t="str">
            <v>LOJA</v>
          </cell>
          <cell r="P2666">
            <v>3339.99</v>
          </cell>
          <cell r="Q2666">
            <v>0.65754397137675802</v>
          </cell>
          <cell r="R2666">
            <v>0.65754397137675802</v>
          </cell>
          <cell r="S2666" t="e">
            <v>#VALUE!</v>
          </cell>
          <cell r="T2666" t="e">
            <v>#VALUE!</v>
          </cell>
        </row>
        <row r="2667">
          <cell r="A2667" t="str">
            <v>G267559BGL</v>
          </cell>
          <cell r="B2667" t="str">
            <v>MKP000631000871</v>
          </cell>
          <cell r="C2667" t="str">
            <v/>
          </cell>
          <cell r="D2667" t="str">
            <v>Torre Quente Madesa Glamy 70 cm 3 Portas Branco/Rustic</v>
          </cell>
          <cell r="E2667" t="str">
            <v>GLAMY</v>
          </cell>
          <cell r="F2667" t="str">
            <v>MODULAÇÃO</v>
          </cell>
          <cell r="G2667" t="str">
            <v/>
          </cell>
          <cell r="H2667">
            <v>1279.99</v>
          </cell>
          <cell r="I2667">
            <v>869.99</v>
          </cell>
          <cell r="J2667">
            <v>535.41890000000001</v>
          </cell>
          <cell r="K2667">
            <v>0</v>
          </cell>
          <cell r="L2667">
            <v>535.41890000000001</v>
          </cell>
          <cell r="M2667">
            <v>0</v>
          </cell>
          <cell r="N2667">
            <v>869.99</v>
          </cell>
          <cell r="O2667" t="str">
            <v/>
          </cell>
          <cell r="P2667">
            <v>0</v>
          </cell>
          <cell r="Q2667">
            <v>0.62487726899442697</v>
          </cell>
          <cell r="R2667">
            <v>0.62487726899442697</v>
          </cell>
          <cell r="S2667" t="e">
            <v>#VALUE!</v>
          </cell>
          <cell r="T2667" t="e">
            <v>#VALUE!</v>
          </cell>
        </row>
        <row r="2668">
          <cell r="A2668" t="str">
            <v>G258045LGL</v>
          </cell>
          <cell r="B2668" t="str">
            <v>MKP000631000006</v>
          </cell>
          <cell r="C2668" t="str">
            <v/>
          </cell>
          <cell r="D2668" t="str">
            <v>Armário Aéreo Madesa Glamy 80 cm 1 Porta Basculante Branco/Crema</v>
          </cell>
          <cell r="E2668" t="str">
            <v>GLAMY</v>
          </cell>
          <cell r="F2668" t="str">
            <v>MODULAÇÃO</v>
          </cell>
          <cell r="G2668" t="str">
            <v/>
          </cell>
          <cell r="H2668">
            <v>389.99</v>
          </cell>
          <cell r="I2668">
            <v>319.99</v>
          </cell>
          <cell r="J2668">
            <v>174.38910000000001</v>
          </cell>
          <cell r="K2668">
            <v>0</v>
          </cell>
          <cell r="L2668">
            <v>174.38910000000001</v>
          </cell>
          <cell r="M2668">
            <v>0</v>
          </cell>
          <cell r="N2668">
            <v>319.99</v>
          </cell>
          <cell r="O2668" t="str">
            <v/>
          </cell>
          <cell r="P2668">
            <v>0</v>
          </cell>
          <cell r="Q2668">
            <v>0.83491972835458195</v>
          </cell>
          <cell r="R2668">
            <v>0.83491972835458195</v>
          </cell>
          <cell r="S2668" t="e">
            <v>#VALUE!</v>
          </cell>
          <cell r="T2668" t="e">
            <v>#VALUE!</v>
          </cell>
        </row>
        <row r="2669">
          <cell r="A2669" t="str">
            <v>MDFC03000173</v>
          </cell>
          <cell r="B2669" t="str">
            <v>MKP000631002984</v>
          </cell>
          <cell r="C2669" t="str">
            <v/>
          </cell>
          <cell r="D2669" t="str">
            <v>Escrivaninha Madesa Rubi + Estante 6908 + Estante 6907 Branco/Preto</v>
          </cell>
          <cell r="E2669" t="str">
            <v>RUBI + 6908 + 6907</v>
          </cell>
          <cell r="F2669" t="str">
            <v>ESCRITÓRIO</v>
          </cell>
          <cell r="G2669" t="str">
            <v/>
          </cell>
          <cell r="H2669">
            <v>799.99</v>
          </cell>
          <cell r="I2669">
            <v>699.99</v>
          </cell>
          <cell r="J2669">
            <v>514.83969999999999</v>
          </cell>
          <cell r="K2669">
            <v>0</v>
          </cell>
          <cell r="L2669">
            <v>514.83969999999999</v>
          </cell>
          <cell r="M2669">
            <v>0</v>
          </cell>
          <cell r="N2669">
            <v>699.99</v>
          </cell>
          <cell r="O2669" t="str">
            <v/>
          </cell>
          <cell r="P2669">
            <v>0</v>
          </cell>
          <cell r="Q2669">
            <v>0.35962708392534598</v>
          </cell>
          <cell r="R2669">
            <v>0.35962708392534598</v>
          </cell>
          <cell r="S2669" t="e">
            <v>#VALUE!</v>
          </cell>
          <cell r="T2669" t="e">
            <v>#VALUE!</v>
          </cell>
        </row>
        <row r="2670">
          <cell r="A2670" t="str">
            <v>XA10639B2E</v>
          </cell>
          <cell r="B2670" t="str">
            <v>MKP000631001444</v>
          </cell>
          <cell r="C2670" t="str">
            <v/>
          </cell>
          <cell r="D2670" t="str">
            <v>Guarda-Roupa Infantil Madesa Logan 100% MDF 3 Portas de Correr com Espelhos Branco/Rustic</v>
          </cell>
          <cell r="E2670" t="str">
            <v>LOGAN</v>
          </cell>
          <cell r="F2670" t="str">
            <v>QUARTO</v>
          </cell>
          <cell r="G2670" t="str">
            <v/>
          </cell>
          <cell r="H2670">
            <v>3189.99</v>
          </cell>
          <cell r="I2670">
            <v>2399.9899999999998</v>
          </cell>
          <cell r="J2670">
            <v>2033.8746000000001</v>
          </cell>
          <cell r="K2670">
            <v>0</v>
          </cell>
          <cell r="L2670">
            <v>2033.8746000000001</v>
          </cell>
          <cell r="M2670">
            <v>0</v>
          </cell>
          <cell r="N2670">
            <v>2399.9899999999998</v>
          </cell>
          <cell r="O2670" t="str">
            <v/>
          </cell>
          <cell r="P2670">
            <v>0</v>
          </cell>
          <cell r="Q2670">
            <v>0.180008836336321</v>
          </cell>
          <cell r="R2670">
            <v>0.180008836336321</v>
          </cell>
          <cell r="S2670" t="e">
            <v>#VALUE!</v>
          </cell>
          <cell r="T2670" t="e">
            <v>#VALUE!</v>
          </cell>
        </row>
        <row r="2671">
          <cell r="A2671" t="str">
            <v>GCGL3990026E</v>
          </cell>
          <cell r="B2671" t="str">
            <v>MKP000631004595</v>
          </cell>
          <cell r="C2671" t="str">
            <v/>
          </cell>
          <cell r="D2671" t="str">
            <v>Armário de Cozinha Completa de Canto 399cm Rustic Branco Glamy Madesa 02</v>
          </cell>
          <cell r="E2671" t="str">
            <v>GLAMY</v>
          </cell>
          <cell r="F2671" t="str">
            <v>COZINHA</v>
          </cell>
          <cell r="G2671" t="str">
            <v/>
          </cell>
          <cell r="H2671">
            <v>2999.99</v>
          </cell>
          <cell r="I2671">
            <v>2899.99</v>
          </cell>
          <cell r="J2671">
            <v>2430.6781999999998</v>
          </cell>
          <cell r="K2671">
            <v>0</v>
          </cell>
          <cell r="L2671">
            <v>2430.6781999999998</v>
          </cell>
          <cell r="M2671">
            <v>0</v>
          </cell>
          <cell r="N2671">
            <v>2899.99</v>
          </cell>
          <cell r="O2671" t="str">
            <v/>
          </cell>
          <cell r="P2671">
            <v>0</v>
          </cell>
          <cell r="Q2671">
            <v>0.193078540795733</v>
          </cell>
          <cell r="R2671">
            <v>0.193078540795733</v>
          </cell>
          <cell r="S2671" t="e">
            <v>#VALUE!</v>
          </cell>
          <cell r="T2671" t="e">
            <v>#VALUE!</v>
          </cell>
        </row>
        <row r="2672">
          <cell r="A2672" t="str">
            <v>GRGL29001009</v>
          </cell>
          <cell r="B2672" t="str">
            <v>MKP000631001204</v>
          </cell>
          <cell r="C2672" t="str">
            <v/>
          </cell>
          <cell r="D2672" t="str">
            <v>Armário de Cozinha Completa 290cm Branco Cristal Madesa 09</v>
          </cell>
          <cell r="E2672" t="str">
            <v>CRISTAL/GLAMY</v>
          </cell>
          <cell r="F2672" t="str">
            <v>COZINHA</v>
          </cell>
          <cell r="G2672" t="str">
            <v/>
          </cell>
          <cell r="H2672">
            <v>2199.9899999999998</v>
          </cell>
          <cell r="I2672">
            <v>2099.9899999999998</v>
          </cell>
          <cell r="J2672">
            <v>1743.5204000000001</v>
          </cell>
          <cell r="K2672">
            <v>0</v>
          </cell>
          <cell r="L2672">
            <v>1743.5204000000001</v>
          </cell>
          <cell r="M2672">
            <v>0</v>
          </cell>
          <cell r="N2672">
            <v>2099.9899999999998</v>
          </cell>
          <cell r="O2672" t="str">
            <v/>
          </cell>
          <cell r="P2672">
            <v>0</v>
          </cell>
          <cell r="Q2672">
            <v>0.20445393125311301</v>
          </cell>
          <cell r="R2672">
            <v>0.20445393125311301</v>
          </cell>
          <cell r="S2672" t="e">
            <v>#VALUE!</v>
          </cell>
          <cell r="T2672" t="e">
            <v>#VALUE!</v>
          </cell>
        </row>
        <row r="2673">
          <cell r="A2673" t="str">
            <v>GRTE2900025Z</v>
          </cell>
          <cell r="B2673" t="str">
            <v>MKP000631002005</v>
          </cell>
          <cell r="C2673" t="str">
            <v/>
          </cell>
          <cell r="D2673" t="str">
            <v>Armário de Cozinha Completa 290cm Rustic Stella Madesa 02</v>
          </cell>
          <cell r="E2673" t="str">
            <v>STELLA</v>
          </cell>
          <cell r="F2673" t="str">
            <v>COZINHA</v>
          </cell>
          <cell r="G2673" t="str">
            <v/>
          </cell>
          <cell r="H2673">
            <v>2299.9899999999998</v>
          </cell>
          <cell r="I2673">
            <v>2199.9899999999998</v>
          </cell>
          <cell r="J2673">
            <v>1815.6566</v>
          </cell>
          <cell r="K2673">
            <v>0</v>
          </cell>
          <cell r="L2673">
            <v>1815.6566</v>
          </cell>
          <cell r="M2673">
            <v>0</v>
          </cell>
          <cell r="N2673">
            <v>2199.9899999999998</v>
          </cell>
          <cell r="O2673" t="str">
            <v/>
          </cell>
          <cell r="P2673">
            <v>0</v>
          </cell>
          <cell r="Q2673">
            <v>0.21167736233823001</v>
          </cell>
          <cell r="R2673">
            <v>0.21167736233823001</v>
          </cell>
          <cell r="S2673" t="e">
            <v>#VALUE!</v>
          </cell>
          <cell r="T2673" t="e">
            <v>#VALUE!</v>
          </cell>
        </row>
        <row r="2674">
          <cell r="A2674" t="str">
            <v>XB10639B1BCP</v>
          </cell>
          <cell r="B2674" t="str">
            <v>MKP000631001487</v>
          </cell>
          <cell r="C2674" t="str">
            <v/>
          </cell>
          <cell r="D2674" t="str">
            <v>Guarda-Roupa Juvenil 100% MDF Madesa Kevin 3 Portas de Correr com Pés Branco/Rustic/Branco</v>
          </cell>
          <cell r="E2674" t="str">
            <v>KEVIN</v>
          </cell>
          <cell r="F2674" t="str">
            <v>QUARTO</v>
          </cell>
          <cell r="G2674" t="str">
            <v/>
          </cell>
          <cell r="H2674">
            <v>2589.9899999999998</v>
          </cell>
          <cell r="I2674">
            <v>1969.99</v>
          </cell>
          <cell r="J2674">
            <v>1597.5367000000001</v>
          </cell>
          <cell r="K2674">
            <v>0</v>
          </cell>
          <cell r="L2674">
            <v>1597.5367000000001</v>
          </cell>
          <cell r="M2674">
            <v>0</v>
          </cell>
          <cell r="N2674">
            <v>1969.99</v>
          </cell>
          <cell r="O2674" t="str">
            <v/>
          </cell>
          <cell r="P2674">
            <v>0</v>
          </cell>
          <cell r="Q2674">
            <v>0.23314224956459501</v>
          </cell>
          <cell r="R2674">
            <v>0.23314224956459501</v>
          </cell>
          <cell r="S2674" t="e">
            <v>#VALUE!</v>
          </cell>
          <cell r="T2674" t="e">
            <v>#VALUE!</v>
          </cell>
        </row>
        <row r="2675">
          <cell r="A2675" t="str">
            <v>XB10639B1RCP</v>
          </cell>
          <cell r="B2675" t="str">
            <v>MKP000631001478</v>
          </cell>
          <cell r="C2675" t="str">
            <v/>
          </cell>
          <cell r="D2675" t="str">
            <v>Guarda-Roupa Juvenil 100% MDF Madesa Kevin 3 Portas de Correr com Pés Branco/Branco/Rustic</v>
          </cell>
          <cell r="E2675" t="str">
            <v>KEVIN</v>
          </cell>
          <cell r="F2675" t="str">
            <v>QUARTO</v>
          </cell>
          <cell r="G2675" t="str">
            <v/>
          </cell>
          <cell r="H2675">
            <v>2589.9899999999998</v>
          </cell>
          <cell r="I2675">
            <v>1969.99</v>
          </cell>
          <cell r="J2675">
            <v>1597.5367000000001</v>
          </cell>
          <cell r="K2675">
            <v>0</v>
          </cell>
          <cell r="L2675">
            <v>1597.5367000000001</v>
          </cell>
          <cell r="M2675">
            <v>0</v>
          </cell>
          <cell r="N2675">
            <v>1969.99</v>
          </cell>
          <cell r="O2675" t="str">
            <v/>
          </cell>
          <cell r="P2675">
            <v>0</v>
          </cell>
          <cell r="Q2675">
            <v>0.23314224956459501</v>
          </cell>
          <cell r="R2675">
            <v>0.23314224956459501</v>
          </cell>
          <cell r="S2675" t="e">
            <v>#VALUE!</v>
          </cell>
          <cell r="T2675" t="e">
            <v>#VALUE!</v>
          </cell>
        </row>
        <row r="2676">
          <cell r="A2676" t="str">
            <v>10939B1E4GCP</v>
          </cell>
          <cell r="B2676" t="str">
            <v>MKP000631001062</v>
          </cell>
          <cell r="C2676" t="str">
            <v/>
          </cell>
          <cell r="D2676" t="str">
            <v>Guarda-Roupa Casal Madesa Lyon Plus 3 Portas de Correr com Espelho 4 Gavetas com Pés Branco/Rustic</v>
          </cell>
          <cell r="E2676" t="str">
            <v>LYON PLUS</v>
          </cell>
          <cell r="F2676" t="str">
            <v>QUARTO</v>
          </cell>
          <cell r="G2676" t="str">
            <v/>
          </cell>
          <cell r="H2676">
            <v>1539.99</v>
          </cell>
          <cell r="I2676">
            <v>1239.99</v>
          </cell>
          <cell r="J2676">
            <v>974.43820000000005</v>
          </cell>
          <cell r="K2676">
            <v>0</v>
          </cell>
          <cell r="L2676">
            <v>974.43820000000005</v>
          </cell>
          <cell r="M2676">
            <v>0</v>
          </cell>
          <cell r="N2676">
            <v>1239.99</v>
          </cell>
          <cell r="O2676" t="str">
            <v/>
          </cell>
          <cell r="P2676">
            <v>0</v>
          </cell>
          <cell r="Q2676">
            <v>0.27251784669361301</v>
          </cell>
          <cell r="R2676">
            <v>0.27251784669361301</v>
          </cell>
          <cell r="S2676" t="e">
            <v>#VALUE!</v>
          </cell>
          <cell r="T2676" t="e">
            <v>#VALUE!</v>
          </cell>
        </row>
        <row r="2677">
          <cell r="A2677" t="str">
            <v>MDJA0401397KOXF</v>
          </cell>
          <cell r="B2677" t="str">
            <v>MKP000631006067</v>
          </cell>
          <cell r="C2677" t="str">
            <v/>
          </cell>
          <cell r="D2677" t="str">
            <v>Conjunto Sala de Jantar Mesa Tampo de Madeira 4 Cadeiras Rustic/Preto/Oxford Karina Madesa</v>
          </cell>
          <cell r="E2677" t="str">
            <v>KARINA</v>
          </cell>
          <cell r="F2677" t="str">
            <v>SALA DE JANTAR</v>
          </cell>
          <cell r="G2677">
            <v>4255</v>
          </cell>
          <cell r="H2677">
            <v>969.99</v>
          </cell>
          <cell r="I2677">
            <v>869.99</v>
          </cell>
          <cell r="J2677">
            <v>691.69219999999996</v>
          </cell>
          <cell r="K2677">
            <v>0</v>
          </cell>
          <cell r="L2677">
            <v>691.69219999999996</v>
          </cell>
          <cell r="M2677">
            <v>0</v>
          </cell>
          <cell r="N2677">
            <v>869.99</v>
          </cell>
          <cell r="O2677" t="str">
            <v/>
          </cell>
          <cell r="P2677">
            <v>0</v>
          </cell>
          <cell r="Q2677">
            <v>0.25777043604077099</v>
          </cell>
          <cell r="R2677">
            <v>0.25777043604077099</v>
          </cell>
          <cell r="S2677" t="e">
            <v>#VALUE!</v>
          </cell>
          <cell r="T2677" t="e">
            <v>#VALUE!</v>
          </cell>
        </row>
        <row r="2678">
          <cell r="A2678" t="str">
            <v>GRAG180009F9</v>
          </cell>
          <cell r="B2678" t="str">
            <v>MKP000631005268</v>
          </cell>
          <cell r="C2678" t="str">
            <v/>
          </cell>
          <cell r="D2678" t="str">
            <v>Armário de  Cozinha Compacta 180cm Rustic/Cinza Agata Madesa 09</v>
          </cell>
          <cell r="E2678" t="str">
            <v>ÁGATA</v>
          </cell>
          <cell r="F2678" t="str">
            <v>COZINHA</v>
          </cell>
          <cell r="G2678" t="str">
            <v/>
          </cell>
          <cell r="H2678">
            <v>1299.99</v>
          </cell>
          <cell r="I2678">
            <v>1299.99</v>
          </cell>
          <cell r="J2678">
            <v>999.91150000000005</v>
          </cell>
          <cell r="K2678">
            <v>0</v>
          </cell>
          <cell r="L2678">
            <v>999.91150000000005</v>
          </cell>
          <cell r="M2678">
            <v>0</v>
          </cell>
          <cell r="N2678">
            <v>1299.99</v>
          </cell>
          <cell r="O2678" t="str">
            <v>LOJA</v>
          </cell>
          <cell r="P2678">
            <v>1289.99</v>
          </cell>
          <cell r="Q2678">
            <v>0.300105059297748</v>
          </cell>
          <cell r="R2678">
            <v>0.300105059297748</v>
          </cell>
          <cell r="S2678" t="e">
            <v>#VALUE!</v>
          </cell>
          <cell r="T2678" t="e">
            <v>#VALUE!</v>
          </cell>
        </row>
        <row r="2679">
          <cell r="A2679" t="str">
            <v>XAMDFC0200018N</v>
          </cell>
          <cell r="B2679" t="str">
            <v>MKP000631003380</v>
          </cell>
          <cell r="C2679" t="str">
            <v/>
          </cell>
          <cell r="D2679" t="str">
            <v>Mesa para Computador Gamer e Painel para TV até 50 Madesa Preto</v>
          </cell>
          <cell r="E2679" t="str">
            <v>GAMER</v>
          </cell>
          <cell r="F2679" t="str">
            <v>ESCRITÓRIO</v>
          </cell>
          <cell r="G2679" t="str">
            <v/>
          </cell>
          <cell r="H2679">
            <v>699.99</v>
          </cell>
          <cell r="I2679">
            <v>469.99</v>
          </cell>
          <cell r="J2679">
            <v>340.625</v>
          </cell>
          <cell r="K2679">
            <v>0</v>
          </cell>
          <cell r="L2679">
            <v>340.625</v>
          </cell>
          <cell r="M2679">
            <v>0</v>
          </cell>
          <cell r="N2679">
            <v>469.99</v>
          </cell>
          <cell r="O2679" t="str">
            <v/>
          </cell>
          <cell r="P2679">
            <v>0</v>
          </cell>
          <cell r="Q2679">
            <v>0.37978715596330298</v>
          </cell>
          <cell r="R2679">
            <v>0.37978715596330298</v>
          </cell>
          <cell r="S2679" t="e">
            <v>#VALUE!</v>
          </cell>
          <cell r="T2679" t="e">
            <v>#VALUE!</v>
          </cell>
        </row>
        <row r="2680">
          <cell r="A2680" t="str">
            <v>G244017GAG</v>
          </cell>
          <cell r="B2680" t="str">
            <v>MKP000631005380</v>
          </cell>
          <cell r="C2680" t="str">
            <v/>
          </cell>
          <cell r="D2680" t="str">
            <v>Balcão 40 cm 3 Gavetas Rustic/Crema Agata Madesa</v>
          </cell>
          <cell r="E2680" t="str">
            <v>ÁGATA</v>
          </cell>
          <cell r="F2680" t="str">
            <v>MODULAÇÃO</v>
          </cell>
          <cell r="G2680" t="str">
            <v/>
          </cell>
          <cell r="H2680">
            <v>679.99</v>
          </cell>
          <cell r="I2680">
            <v>579.99</v>
          </cell>
          <cell r="J2680">
            <v>340.39609999999999</v>
          </cell>
          <cell r="K2680">
            <v>0</v>
          </cell>
          <cell r="L2680">
            <v>340.39609999999999</v>
          </cell>
          <cell r="M2680">
            <v>0</v>
          </cell>
          <cell r="N2680">
            <v>579.99</v>
          </cell>
          <cell r="O2680" t="str">
            <v/>
          </cell>
          <cell r="P2680">
            <v>0</v>
          </cell>
          <cell r="Q2680">
            <v>0.70386793503215805</v>
          </cell>
          <cell r="R2680">
            <v>0.70386793503215805</v>
          </cell>
          <cell r="S2680" t="e">
            <v>#VALUE!</v>
          </cell>
          <cell r="T2680" t="e">
            <v>#VALUE!</v>
          </cell>
        </row>
        <row r="2681">
          <cell r="A2681" t="str">
            <v>G25400F8AG</v>
          </cell>
          <cell r="B2681" t="str">
            <v>MKP000631002630</v>
          </cell>
          <cell r="C2681" t="str">
            <v/>
          </cell>
          <cell r="D2681" t="str">
            <v>Armário Aéreo Madesa Agata 40 cm 1 Porta Branco/Cinza</v>
          </cell>
          <cell r="E2681" t="str">
            <v>ÁGATA</v>
          </cell>
          <cell r="F2681" t="str">
            <v>MODULAÇÃO</v>
          </cell>
          <cell r="G2681" t="str">
            <v/>
          </cell>
          <cell r="H2681">
            <v>369.99</v>
          </cell>
          <cell r="I2681">
            <v>289.99</v>
          </cell>
          <cell r="J2681">
            <v>166.9117</v>
          </cell>
          <cell r="K2681">
            <v>0</v>
          </cell>
          <cell r="L2681">
            <v>166.9117</v>
          </cell>
          <cell r="M2681">
            <v>0</v>
          </cell>
          <cell r="N2681">
            <v>289.99</v>
          </cell>
          <cell r="O2681" t="str">
            <v/>
          </cell>
          <cell r="P2681">
            <v>0</v>
          </cell>
          <cell r="Q2681">
            <v>0.73738569555040201</v>
          </cell>
          <cell r="R2681">
            <v>0.73738569555040201</v>
          </cell>
          <cell r="S2681" t="e">
            <v>#VALUE!</v>
          </cell>
          <cell r="T2681" t="e">
            <v>#VALUE!</v>
          </cell>
        </row>
        <row r="2682">
          <cell r="A2682" t="str">
            <v>G25600F8AG</v>
          </cell>
          <cell r="B2682" t="str">
            <v>MKP000631002919</v>
          </cell>
          <cell r="C2682" t="str">
            <v/>
          </cell>
          <cell r="D2682" t="str">
            <v>Armário Aéreo Madesa Agata 60 cm 1 Porta Branco/Cinza</v>
          </cell>
          <cell r="E2682" t="str">
            <v>ÁGATA</v>
          </cell>
          <cell r="F2682" t="str">
            <v>MODULAÇÃO</v>
          </cell>
          <cell r="G2682" t="str">
            <v/>
          </cell>
          <cell r="H2682">
            <v>619.99</v>
          </cell>
          <cell r="I2682">
            <v>319.99</v>
          </cell>
          <cell r="J2682">
            <v>183.3271</v>
          </cell>
          <cell r="K2682">
            <v>0</v>
          </cell>
          <cell r="L2682">
            <v>183.3271</v>
          </cell>
          <cell r="M2682">
            <v>0</v>
          </cell>
          <cell r="N2682">
            <v>319.99</v>
          </cell>
          <cell r="O2682" t="str">
            <v/>
          </cell>
          <cell r="P2682">
            <v>0</v>
          </cell>
          <cell r="Q2682">
            <v>0.74545934561775096</v>
          </cell>
          <cell r="R2682">
            <v>0.74545934561775096</v>
          </cell>
          <cell r="S2682" t="e">
            <v>#VALUE!</v>
          </cell>
          <cell r="T2682" t="e">
            <v>#VALUE!</v>
          </cell>
        </row>
        <row r="2683">
          <cell r="A2683" t="str">
            <v>5363F91</v>
          </cell>
          <cell r="B2683" t="str">
            <v>MKP000631005595</v>
          </cell>
          <cell r="C2683" t="str">
            <v/>
          </cell>
          <cell r="D2683" t="str">
            <v>Mesa de Jantar Quadrada Tampo de Madeira Madesa 5363 Rustic/Cinza</v>
          </cell>
          <cell r="E2683">
            <v>5363</v>
          </cell>
          <cell r="F2683" t="str">
            <v>SALA DE JANTAR</v>
          </cell>
          <cell r="G2683" t="str">
            <v/>
          </cell>
          <cell r="H2683">
            <v>499.99</v>
          </cell>
          <cell r="I2683">
            <v>269.99</v>
          </cell>
          <cell r="J2683">
            <v>143.29140000000001</v>
          </cell>
          <cell r="K2683">
            <v>0</v>
          </cell>
          <cell r="L2683">
            <v>143.29140000000001</v>
          </cell>
          <cell r="M2683">
            <v>0</v>
          </cell>
          <cell r="N2683">
            <v>269.99</v>
          </cell>
          <cell r="O2683" t="str">
            <v/>
          </cell>
          <cell r="P2683">
            <v>0</v>
          </cell>
          <cell r="Q2683">
            <v>0.88420240153979901</v>
          </cell>
          <cell r="R2683">
            <v>0.88420240153979901</v>
          </cell>
          <cell r="S2683" t="e">
            <v>#VALUE!</v>
          </cell>
          <cell r="T2683" t="e">
            <v>#VALUE!</v>
          </cell>
        </row>
        <row r="2684">
          <cell r="A2684" t="str">
            <v>GRGL2700125Z</v>
          </cell>
          <cell r="B2684" t="str">
            <v>MKP000631004208</v>
          </cell>
          <cell r="C2684" t="str">
            <v/>
          </cell>
          <cell r="D2684" t="str">
            <v>Armário de Cozinha Completa 270cm Rustic Glamy Madesa 12</v>
          </cell>
          <cell r="E2684" t="str">
            <v>GLAMY</v>
          </cell>
          <cell r="F2684" t="str">
            <v>COZINHA</v>
          </cell>
          <cell r="G2684" t="str">
            <v/>
          </cell>
          <cell r="H2684">
            <v>1799.99</v>
          </cell>
          <cell r="I2684">
            <v>1699.99</v>
          </cell>
          <cell r="J2684">
            <v>1419.5397</v>
          </cell>
          <cell r="K2684">
            <v>0</v>
          </cell>
          <cell r="L2684">
            <v>1419.5397</v>
          </cell>
          <cell r="M2684">
            <v>0</v>
          </cell>
          <cell r="N2684">
            <v>1699.99</v>
          </cell>
          <cell r="O2684" t="str">
            <v/>
          </cell>
          <cell r="P2684">
            <v>0</v>
          </cell>
          <cell r="Q2684">
            <v>0.197564252694025</v>
          </cell>
          <cell r="R2684">
            <v>0.197564252694025</v>
          </cell>
          <cell r="S2684" t="e">
            <v>#VALUE!</v>
          </cell>
          <cell r="T2684" t="e">
            <v>#VALUE!</v>
          </cell>
        </row>
        <row r="2685">
          <cell r="A2685" t="str">
            <v>GRGL2200025Z7K</v>
          </cell>
          <cell r="B2685" t="str">
            <v>MKP000631002960</v>
          </cell>
          <cell r="C2685" t="str">
            <v/>
          </cell>
          <cell r="D2685" t="str">
            <v>Armário de Cozinha Completa 220cm Rustic/Rustic/Preto Parma Madesa 02</v>
          </cell>
          <cell r="E2685" t="str">
            <v>PARMA/GLAMY</v>
          </cell>
          <cell r="F2685" t="str">
            <v>COZINHA</v>
          </cell>
          <cell r="G2685" t="str">
            <v/>
          </cell>
          <cell r="H2685">
            <v>1969.99</v>
          </cell>
          <cell r="I2685">
            <v>1869.99</v>
          </cell>
          <cell r="J2685">
            <v>1558.7654</v>
          </cell>
          <cell r="K2685">
            <v>0</v>
          </cell>
          <cell r="L2685">
            <v>1558.7654</v>
          </cell>
          <cell r="M2685">
            <v>0</v>
          </cell>
          <cell r="N2685">
            <v>1869.99</v>
          </cell>
          <cell r="O2685" t="str">
            <v/>
          </cell>
          <cell r="P2685">
            <v>0</v>
          </cell>
          <cell r="Q2685">
            <v>0.199660962451438</v>
          </cell>
          <cell r="R2685">
            <v>0.199660962451438</v>
          </cell>
          <cell r="S2685" t="e">
            <v>#VALUE!</v>
          </cell>
          <cell r="T2685" t="e">
            <v>#VALUE!</v>
          </cell>
        </row>
        <row r="2686">
          <cell r="A2686" t="str">
            <v>MDJA0401715ZSIL</v>
          </cell>
          <cell r="B2686" t="str">
            <v>MKP000631005895</v>
          </cell>
          <cell r="C2686" t="str">
            <v/>
          </cell>
          <cell r="D2686" t="str">
            <v>Conjunto Sala de Jantar Mesa Tampo de Vidro 4 Cadeiras Rustic/Silver Noemi Madesa</v>
          </cell>
          <cell r="E2686" t="str">
            <v>NOEMI</v>
          </cell>
          <cell r="F2686" t="str">
            <v>SALA DE JANTAR</v>
          </cell>
          <cell r="G2686">
            <v>4256</v>
          </cell>
          <cell r="H2686">
            <v>1159.99</v>
          </cell>
          <cell r="I2686">
            <v>1069.99</v>
          </cell>
          <cell r="J2686">
            <v>833.99170000000004</v>
          </cell>
          <cell r="K2686">
            <v>0</v>
          </cell>
          <cell r="L2686">
            <v>833.99170000000004</v>
          </cell>
          <cell r="M2686">
            <v>0</v>
          </cell>
          <cell r="N2686">
            <v>1069.99</v>
          </cell>
          <cell r="O2686" t="str">
            <v>MADEIRAMADEIRA</v>
          </cell>
          <cell r="P2686">
            <v>1049.99</v>
          </cell>
          <cell r="Q2686">
            <v>0.28297439890588799</v>
          </cell>
          <cell r="R2686">
            <v>0.28297439890588799</v>
          </cell>
          <cell r="S2686" t="e">
            <v>#VALUE!</v>
          </cell>
          <cell r="T2686" t="e">
            <v>#VALUE!</v>
          </cell>
        </row>
        <row r="2687">
          <cell r="A2687" t="str">
            <v>GRGL3300035Z</v>
          </cell>
          <cell r="B2687" t="str">
            <v>MKP000631004346</v>
          </cell>
          <cell r="C2687" t="str">
            <v/>
          </cell>
          <cell r="D2687" t="str">
            <v>Armário de Cozinha Completa 330cm Rustic Glamy Madesa 03</v>
          </cell>
          <cell r="E2687" t="str">
            <v>GLAMY</v>
          </cell>
          <cell r="F2687" t="str">
            <v>COZINHA</v>
          </cell>
          <cell r="G2687" t="str">
            <v/>
          </cell>
          <cell r="H2687">
            <v>2799.99</v>
          </cell>
          <cell r="I2687">
            <v>2699.99</v>
          </cell>
          <cell r="J2687">
            <v>2173.8415</v>
          </cell>
          <cell r="K2687">
            <v>0</v>
          </cell>
          <cell r="L2687">
            <v>2173.8415</v>
          </cell>
          <cell r="M2687">
            <v>0</v>
          </cell>
          <cell r="N2687">
            <v>2699.99</v>
          </cell>
          <cell r="O2687" t="str">
            <v/>
          </cell>
          <cell r="P2687">
            <v>0</v>
          </cell>
          <cell r="Q2687">
            <v>0.242036275413824</v>
          </cell>
          <cell r="R2687">
            <v>0.242036275413824</v>
          </cell>
          <cell r="S2687" t="e">
            <v>#VALUE!</v>
          </cell>
          <cell r="T2687" t="e">
            <v>#VALUE!</v>
          </cell>
        </row>
        <row r="2688">
          <cell r="A2688" t="str">
            <v>10939B4GCP</v>
          </cell>
          <cell r="B2688" t="str">
            <v>MKP000631001059</v>
          </cell>
          <cell r="C2688" t="str">
            <v/>
          </cell>
          <cell r="D2688" t="str">
            <v>Guarda-Roupa Casal Madesa Lyon Plus 3 Portas de Correr 4 Gavetas com Pés Branco/Rustic</v>
          </cell>
          <cell r="E2688" t="str">
            <v>LYON PLUS</v>
          </cell>
          <cell r="F2688" t="str">
            <v>QUARTO</v>
          </cell>
          <cell r="G2688" t="str">
            <v/>
          </cell>
          <cell r="H2688">
            <v>1369.99</v>
          </cell>
          <cell r="I2688">
            <v>1069.99</v>
          </cell>
          <cell r="J2688">
            <v>844.51020000000005</v>
          </cell>
          <cell r="K2688">
            <v>0</v>
          </cell>
          <cell r="L2688">
            <v>844.51020000000005</v>
          </cell>
          <cell r="M2688">
            <v>0</v>
          </cell>
          <cell r="N2688">
            <v>1069.99</v>
          </cell>
          <cell r="O2688" t="str">
            <v/>
          </cell>
          <cell r="P2688">
            <v>0</v>
          </cell>
          <cell r="Q2688">
            <v>0.26699476217101897</v>
          </cell>
          <cell r="R2688">
            <v>0.26699476217101897</v>
          </cell>
          <cell r="S2688" t="e">
            <v>#VALUE!</v>
          </cell>
          <cell r="T2688" t="e">
            <v>#VALUE!</v>
          </cell>
        </row>
        <row r="2689">
          <cell r="A2689" t="str">
            <v>MDJA060150J7PT</v>
          </cell>
          <cell r="B2689" t="str">
            <v>MKP000631005731</v>
          </cell>
          <cell r="C2689" t="str">
            <v/>
          </cell>
          <cell r="D2689" t="str">
            <v>Conjunto Sala de Jantar Mesa Tampo de Madeira 6 Cadeiras Rustic/Crema/Preto Wendy Madesa</v>
          </cell>
          <cell r="E2689" t="str">
            <v>WENDY</v>
          </cell>
          <cell r="F2689" t="str">
            <v>SALA DE JANTAR</v>
          </cell>
          <cell r="G2689" t="str">
            <v>4291X</v>
          </cell>
          <cell r="H2689">
            <v>839.99</v>
          </cell>
          <cell r="I2689">
            <v>739.99</v>
          </cell>
          <cell r="J2689">
            <v>590.49659999999994</v>
          </cell>
          <cell r="K2689">
            <v>0</v>
          </cell>
          <cell r="L2689">
            <v>590.49659999999994</v>
          </cell>
          <cell r="M2689">
            <v>0</v>
          </cell>
          <cell r="N2689">
            <v>739.99</v>
          </cell>
          <cell r="O2689" t="str">
            <v/>
          </cell>
          <cell r="P2689">
            <v>0</v>
          </cell>
          <cell r="Q2689">
            <v>0.253165555906672</v>
          </cell>
          <cell r="R2689">
            <v>0.253165555906672</v>
          </cell>
          <cell r="S2689" t="e">
            <v>#VALUE!</v>
          </cell>
          <cell r="T2689" t="e">
            <v>#VALUE!</v>
          </cell>
        </row>
        <row r="2690">
          <cell r="A2690" t="str">
            <v>MDES0200208ND8</v>
          </cell>
          <cell r="B2690" t="str">
            <v>MKP000631002794</v>
          </cell>
          <cell r="C2690" t="str">
            <v/>
          </cell>
          <cell r="D2690" t="str">
            <v>Rack Madesa Cancun com Pés e Painel para TV até 65 Polegadas Preto/Preto 8ND8</v>
          </cell>
          <cell r="E2690" t="str">
            <v>CANCUN</v>
          </cell>
          <cell r="F2690" t="str">
            <v>SALA DE ESTAR</v>
          </cell>
          <cell r="G2690" t="str">
            <v/>
          </cell>
          <cell r="H2690">
            <v>1159.99</v>
          </cell>
          <cell r="I2690">
            <v>569.99</v>
          </cell>
          <cell r="J2690">
            <v>434.58300000000003</v>
          </cell>
          <cell r="K2690">
            <v>0</v>
          </cell>
          <cell r="L2690">
            <v>434.58300000000003</v>
          </cell>
          <cell r="M2690">
            <v>0</v>
          </cell>
          <cell r="N2690">
            <v>569.99</v>
          </cell>
          <cell r="O2690" t="str">
            <v/>
          </cell>
          <cell r="P2690">
            <v>0</v>
          </cell>
          <cell r="Q2690">
            <v>0.31157914598592201</v>
          </cell>
          <cell r="R2690">
            <v>0.31157914598592201</v>
          </cell>
          <cell r="S2690" t="e">
            <v>#VALUE!</v>
          </cell>
          <cell r="T2690" t="e">
            <v>#VALUE!</v>
          </cell>
        </row>
        <row r="2691">
          <cell r="A2691" t="str">
            <v>G267556ETE</v>
          </cell>
          <cell r="B2691" t="str">
            <v>MKP000631002163</v>
          </cell>
          <cell r="C2691" t="str">
            <v/>
          </cell>
          <cell r="D2691" t="str">
            <v>Torre Quente Madesa Stella 70 cm 3 Portas Rustic/Branco</v>
          </cell>
          <cell r="E2691" t="str">
            <v>STELLA</v>
          </cell>
          <cell r="F2691" t="str">
            <v>MODULAÇÃO</v>
          </cell>
          <cell r="G2691" t="str">
            <v/>
          </cell>
          <cell r="H2691">
            <v>1259.99</v>
          </cell>
          <cell r="I2691">
            <v>869.99</v>
          </cell>
          <cell r="J2691">
            <v>529.32579999999996</v>
          </cell>
          <cell r="K2691">
            <v>0</v>
          </cell>
          <cell r="L2691">
            <v>529.32579999999996</v>
          </cell>
          <cell r="M2691">
            <v>0</v>
          </cell>
          <cell r="N2691">
            <v>869.99</v>
          </cell>
          <cell r="O2691" t="str">
            <v/>
          </cell>
          <cell r="P2691">
            <v>0</v>
          </cell>
          <cell r="Q2691">
            <v>0.64358132552768099</v>
          </cell>
          <cell r="R2691">
            <v>0.64358132552768099</v>
          </cell>
          <cell r="S2691" t="e">
            <v>#VALUE!</v>
          </cell>
          <cell r="T2691" t="e">
            <v>#VALUE!</v>
          </cell>
        </row>
        <row r="2692">
          <cell r="A2692" t="str">
            <v>GRLX3200047K</v>
          </cell>
          <cell r="B2692" t="str">
            <v>MKP000631002721</v>
          </cell>
          <cell r="C2692" t="str">
            <v/>
          </cell>
          <cell r="D2692" t="str">
            <v>Armário de Cozinha Planejada 320cm Rustic/Preto Lux Madesa 04</v>
          </cell>
          <cell r="E2692" t="str">
            <v>LUX</v>
          </cell>
          <cell r="F2692" t="str">
            <v>COZINHA</v>
          </cell>
          <cell r="G2692" t="str">
            <v/>
          </cell>
          <cell r="H2692">
            <v>6229.99</v>
          </cell>
          <cell r="I2692">
            <v>6199.99</v>
          </cell>
          <cell r="J2692">
            <v>3663.0430999999999</v>
          </cell>
          <cell r="K2692">
            <v>0</v>
          </cell>
          <cell r="L2692">
            <v>3663.0430999999999</v>
          </cell>
          <cell r="M2692">
            <v>0</v>
          </cell>
          <cell r="N2692">
            <v>6199.99</v>
          </cell>
          <cell r="O2692" t="str">
            <v>LOJA</v>
          </cell>
          <cell r="P2692">
            <v>5449.99</v>
          </cell>
          <cell r="Q2692">
            <v>0.692579047186204</v>
          </cell>
          <cell r="R2692">
            <v>0.692579047186204</v>
          </cell>
          <cell r="S2692" t="e">
            <v>#VALUE!</v>
          </cell>
          <cell r="T2692" t="e">
            <v>#VALUE!</v>
          </cell>
        </row>
        <row r="2693">
          <cell r="A2693" t="str">
            <v>G2515309AG</v>
          </cell>
          <cell r="B2693" t="str">
            <v>MKP000631004438</v>
          </cell>
          <cell r="C2693" t="str">
            <v/>
          </cell>
          <cell r="D2693" t="str">
            <v>Armário Aéreo Madesa Agata 150 cm 2 Portas e 2 Nichos Branco</v>
          </cell>
          <cell r="E2693" t="str">
            <v>ÁGATA</v>
          </cell>
          <cell r="F2693" t="str">
            <v>MODULAÇÃO</v>
          </cell>
          <cell r="G2693" t="str">
            <v/>
          </cell>
          <cell r="H2693">
            <v>669.99</v>
          </cell>
          <cell r="I2693">
            <v>579.99</v>
          </cell>
          <cell r="J2693">
            <v>339.77480000000003</v>
          </cell>
          <cell r="K2693">
            <v>0</v>
          </cell>
          <cell r="L2693">
            <v>339.77480000000003</v>
          </cell>
          <cell r="M2693">
            <v>0</v>
          </cell>
          <cell r="N2693">
            <v>579.99</v>
          </cell>
          <cell r="O2693" t="str">
            <v/>
          </cell>
          <cell r="P2693">
            <v>0</v>
          </cell>
          <cell r="Q2693">
            <v>0.70698356676245599</v>
          </cell>
          <cell r="R2693">
            <v>0.70698356676245599</v>
          </cell>
          <cell r="S2693" t="e">
            <v>#VALUE!</v>
          </cell>
          <cell r="T2693" t="e">
            <v>#VALUE!</v>
          </cell>
        </row>
        <row r="2694">
          <cell r="A2694" t="str">
            <v>G257525ZGL</v>
          </cell>
          <cell r="B2694" t="str">
            <v>MKP000631000362</v>
          </cell>
          <cell r="C2694" t="str">
            <v/>
          </cell>
          <cell r="D2694" t="str">
            <v>Armário Aéreo de Canto Madesa Glamy 1 Porta Rustic</v>
          </cell>
          <cell r="E2694" t="str">
            <v>GLAMY</v>
          </cell>
          <cell r="F2694" t="str">
            <v>MODULAÇÃO</v>
          </cell>
          <cell r="G2694" t="str">
            <v/>
          </cell>
          <cell r="H2694">
            <v>759.99</v>
          </cell>
          <cell r="I2694">
            <v>429.99</v>
          </cell>
          <cell r="J2694">
            <v>245.51159999999999</v>
          </cell>
          <cell r="K2694">
            <v>0</v>
          </cell>
          <cell r="L2694">
            <v>245.51159999999999</v>
          </cell>
          <cell r="M2694">
            <v>0</v>
          </cell>
          <cell r="N2694">
            <v>429.99</v>
          </cell>
          <cell r="O2694" t="str">
            <v/>
          </cell>
          <cell r="P2694">
            <v>0</v>
          </cell>
          <cell r="Q2694">
            <v>0.75140400697971099</v>
          </cell>
          <cell r="R2694">
            <v>0.75140400697971099</v>
          </cell>
          <cell r="S2694" t="e">
            <v>#VALUE!</v>
          </cell>
          <cell r="T2694" t="e">
            <v>#VALUE!</v>
          </cell>
        </row>
        <row r="2695">
          <cell r="A2695" t="str">
            <v>G2412073AG</v>
          </cell>
          <cell r="B2695" t="str">
            <v>MKP000631003053</v>
          </cell>
          <cell r="C2695" t="str">
            <v/>
          </cell>
          <cell r="D2695" t="str">
            <v>Balcão Gabinete de Pia Madesa Agata 2 Portas (Sem Tampo e Pia) Branco/Preto</v>
          </cell>
          <cell r="E2695" t="str">
            <v>ÁGATA</v>
          </cell>
          <cell r="F2695" t="str">
            <v>MODULAÇÃO</v>
          </cell>
          <cell r="G2695" t="str">
            <v/>
          </cell>
          <cell r="H2695">
            <v>939.99</v>
          </cell>
          <cell r="I2695">
            <v>489.99</v>
          </cell>
          <cell r="J2695">
            <v>355.6234</v>
          </cell>
          <cell r="K2695">
            <v>0</v>
          </cell>
          <cell r="L2695">
            <v>355.6234</v>
          </cell>
          <cell r="M2695">
            <v>0</v>
          </cell>
          <cell r="N2695">
            <v>489.99</v>
          </cell>
          <cell r="O2695" t="str">
            <v/>
          </cell>
          <cell r="P2695">
            <v>0</v>
          </cell>
          <cell r="Q2695">
            <v>0.37783396705616101</v>
          </cell>
          <cell r="R2695">
            <v>0.37783396705616101</v>
          </cell>
          <cell r="S2695" t="e">
            <v>#VALUE!</v>
          </cell>
          <cell r="T2695" t="e">
            <v>#VALUE!</v>
          </cell>
        </row>
        <row r="2696">
          <cell r="A2696" t="str">
            <v>GRGL2200035Z</v>
          </cell>
          <cell r="B2696" t="str">
            <v>MKP000631001253</v>
          </cell>
          <cell r="C2696" t="str">
            <v/>
          </cell>
          <cell r="D2696" t="str">
            <v>Armário de Cozinha Completa 220cm Rustic Parma Madesa 03</v>
          </cell>
          <cell r="E2696" t="str">
            <v>PARMA/GLAMY</v>
          </cell>
          <cell r="F2696" t="str">
            <v>COZINHA</v>
          </cell>
          <cell r="G2696" t="str">
            <v/>
          </cell>
          <cell r="H2696">
            <v>1899.99</v>
          </cell>
          <cell r="I2696">
            <v>1799.99</v>
          </cell>
          <cell r="J2696">
            <v>1541.2927</v>
          </cell>
          <cell r="K2696">
            <v>0</v>
          </cell>
          <cell r="L2696">
            <v>1541.2927</v>
          </cell>
          <cell r="M2696">
            <v>0</v>
          </cell>
          <cell r="N2696">
            <v>1799.99</v>
          </cell>
          <cell r="O2696" t="str">
            <v/>
          </cell>
          <cell r="P2696">
            <v>0</v>
          </cell>
          <cell r="Q2696">
            <v>0.16784436856153301</v>
          </cell>
          <cell r="R2696">
            <v>0.16784436856153301</v>
          </cell>
          <cell r="S2696" t="e">
            <v>#VALUE!</v>
          </cell>
          <cell r="T2696" t="e">
            <v>#VALUE!</v>
          </cell>
        </row>
        <row r="2697">
          <cell r="A2697" t="str">
            <v>GRGL2800019B09</v>
          </cell>
          <cell r="B2697" t="str">
            <v>MKP000631000189</v>
          </cell>
          <cell r="C2697" t="str">
            <v/>
          </cell>
          <cell r="D2697" t="str">
            <v>Armário de Cozinha Compacta 280cm Branco/Rustic/Branco Marina Madesa 01</v>
          </cell>
          <cell r="E2697" t="str">
            <v>MARINA/GLAMY</v>
          </cell>
          <cell r="F2697" t="str">
            <v>COZINHA</v>
          </cell>
          <cell r="G2697" t="str">
            <v/>
          </cell>
          <cell r="H2697">
            <v>1599.99</v>
          </cell>
          <cell r="I2697">
            <v>1499.99</v>
          </cell>
          <cell r="J2697">
            <v>1253.0640000000001</v>
          </cell>
          <cell r="K2697">
            <v>0</v>
          </cell>
          <cell r="L2697">
            <v>1253.0640000000001</v>
          </cell>
          <cell r="M2697">
            <v>0</v>
          </cell>
          <cell r="N2697">
            <v>1499.99</v>
          </cell>
          <cell r="O2697" t="str">
            <v/>
          </cell>
          <cell r="P2697">
            <v>0</v>
          </cell>
          <cell r="Q2697">
            <v>0.1970577719893</v>
          </cell>
          <cell r="R2697">
            <v>0.1970577719893</v>
          </cell>
          <cell r="S2697" t="e">
            <v>#VALUE!</v>
          </cell>
          <cell r="T2697" t="e">
            <v>#VALUE!</v>
          </cell>
        </row>
        <row r="2698">
          <cell r="A2698" t="str">
            <v>GRGL1200087K</v>
          </cell>
          <cell r="B2698" t="str">
            <v>MKP000631004228</v>
          </cell>
          <cell r="C2698" t="str">
            <v/>
          </cell>
          <cell r="D2698" t="str">
            <v>Armário de Cozinha Compacta 120cm Rustic/Preto Glamy Madesa 08</v>
          </cell>
          <cell r="E2698" t="str">
            <v>GLAMY</v>
          </cell>
          <cell r="F2698" t="str">
            <v>COZINHA</v>
          </cell>
          <cell r="G2698" t="str">
            <v/>
          </cell>
          <cell r="H2698">
            <v>1199.99</v>
          </cell>
          <cell r="I2698">
            <v>1099.99</v>
          </cell>
          <cell r="J2698">
            <v>907.50130000000001</v>
          </cell>
          <cell r="K2698">
            <v>0</v>
          </cell>
          <cell r="L2698">
            <v>907.50130000000001</v>
          </cell>
          <cell r="M2698">
            <v>0</v>
          </cell>
          <cell r="N2698">
            <v>1099.99</v>
          </cell>
          <cell r="O2698" t="str">
            <v/>
          </cell>
          <cell r="P2698">
            <v>0</v>
          </cell>
          <cell r="Q2698">
            <v>0.21210845648375401</v>
          </cell>
          <cell r="R2698">
            <v>0.21210845648375401</v>
          </cell>
          <cell r="S2698" t="e">
            <v>#VALUE!</v>
          </cell>
          <cell r="T2698" t="e">
            <v>#VALUE!</v>
          </cell>
        </row>
        <row r="2699">
          <cell r="A2699" t="str">
            <v>XA10945Z1E4G</v>
          </cell>
          <cell r="B2699" t="str">
            <v>MKP000631001597</v>
          </cell>
          <cell r="C2699" t="str">
            <v/>
          </cell>
          <cell r="D2699" t="str">
            <v>Guarda-Roupa Infantil Madesa Theo 2 Portas de Correr com Espelho 4 Gavetas Rustic</v>
          </cell>
          <cell r="E2699" t="str">
            <v>THEO</v>
          </cell>
          <cell r="F2699" t="str">
            <v>QUARTO</v>
          </cell>
          <cell r="G2699" t="str">
            <v/>
          </cell>
          <cell r="H2699">
            <v>1259.99</v>
          </cell>
          <cell r="I2699">
            <v>969.99</v>
          </cell>
          <cell r="J2699">
            <v>782.51099999999997</v>
          </cell>
          <cell r="K2699">
            <v>0</v>
          </cell>
          <cell r="L2699">
            <v>782.51099999999997</v>
          </cell>
          <cell r="M2699">
            <v>0</v>
          </cell>
          <cell r="N2699">
            <v>969.99</v>
          </cell>
          <cell r="O2699" t="str">
            <v/>
          </cell>
          <cell r="P2699">
            <v>0</v>
          </cell>
          <cell r="Q2699">
            <v>0.23958640836997799</v>
          </cell>
          <cell r="R2699">
            <v>0.23958640836997799</v>
          </cell>
          <cell r="S2699" t="e">
            <v>#VALUE!</v>
          </cell>
          <cell r="T2699" t="e">
            <v>#VALUE!</v>
          </cell>
        </row>
        <row r="2700">
          <cell r="A2700" t="str">
            <v>MDJA0401867KOXF</v>
          </cell>
          <cell r="B2700" t="str">
            <v>MKP000631006056</v>
          </cell>
          <cell r="C2700" t="str">
            <v/>
          </cell>
          <cell r="D2700" t="str">
            <v>Conjunto Sala de Jantar Mesa Tampo de Vidro 4 Cadeiras Rustic/Preto/Oxford Marilia Madesa</v>
          </cell>
          <cell r="E2700" t="str">
            <v>MARILIA</v>
          </cell>
          <cell r="F2700" t="str">
            <v>SALA DE JANTAR</v>
          </cell>
          <cell r="G2700">
            <v>4256</v>
          </cell>
          <cell r="H2700">
            <v>1569.99</v>
          </cell>
          <cell r="I2700">
            <v>1469.99</v>
          </cell>
          <cell r="J2700">
            <v>1112.5848000000001</v>
          </cell>
          <cell r="K2700">
            <v>0</v>
          </cell>
          <cell r="L2700">
            <v>1112.5848000000001</v>
          </cell>
          <cell r="M2700">
            <v>0</v>
          </cell>
          <cell r="N2700">
            <v>1469.99</v>
          </cell>
          <cell r="O2700" t="str">
            <v>MADEIRAMADEIRA</v>
          </cell>
          <cell r="P2700">
            <v>1439.99</v>
          </cell>
          <cell r="Q2700">
            <v>0.32123861480041799</v>
          </cell>
          <cell r="R2700">
            <v>0.32123861480041799</v>
          </cell>
          <cell r="S2700" t="e">
            <v>#VALUE!</v>
          </cell>
          <cell r="T2700" t="e">
            <v>#VALUE!</v>
          </cell>
        </row>
        <row r="2701">
          <cell r="A2701" t="str">
            <v>MDJA040188D8PT</v>
          </cell>
          <cell r="B2701" t="str">
            <v>MKP000631006103</v>
          </cell>
          <cell r="C2701" t="str">
            <v/>
          </cell>
          <cell r="D2701" t="str">
            <v>Conjunto Sala de Jantar Mesa Tampo de Vidro 4 Cadeiras Preto/Rustic Kiara Madesa</v>
          </cell>
          <cell r="E2701" t="str">
            <v>KIARA</v>
          </cell>
          <cell r="F2701" t="str">
            <v>SALA DE JANTAR</v>
          </cell>
          <cell r="G2701" t="str">
            <v>4290X</v>
          </cell>
          <cell r="H2701">
            <v>869.99</v>
          </cell>
          <cell r="I2701">
            <v>769.99</v>
          </cell>
          <cell r="J2701">
            <v>617.41959999999995</v>
          </cell>
          <cell r="K2701">
            <v>0</v>
          </cell>
          <cell r="L2701">
            <v>617.41959999999995</v>
          </cell>
          <cell r="M2701">
            <v>0</v>
          </cell>
          <cell r="N2701">
            <v>769.99</v>
          </cell>
          <cell r="O2701" t="str">
            <v/>
          </cell>
          <cell r="P2701">
            <v>0</v>
          </cell>
          <cell r="Q2701">
            <v>0.24710974513928599</v>
          </cell>
          <cell r="R2701">
            <v>0.24710974513928599</v>
          </cell>
          <cell r="S2701" t="e">
            <v>#VALUE!</v>
          </cell>
          <cell r="T2701" t="e">
            <v>#VALUE!</v>
          </cell>
        </row>
        <row r="2702">
          <cell r="A2702" t="str">
            <v>GCRM4720018N</v>
          </cell>
          <cell r="B2702" t="str">
            <v>MKP000631004287</v>
          </cell>
          <cell r="C2702" t="str">
            <v/>
          </cell>
          <cell r="D2702" t="str">
            <v>Armário de Cozinha Completa de Canto 472cm Preto Reims Madesa 01</v>
          </cell>
          <cell r="E2702" t="str">
            <v>REIMS</v>
          </cell>
          <cell r="F2702" t="str">
            <v>COZINHA</v>
          </cell>
          <cell r="G2702" t="str">
            <v/>
          </cell>
          <cell r="H2702">
            <v>2469.9899999999998</v>
          </cell>
          <cell r="I2702">
            <v>2369.9899999999998</v>
          </cell>
          <cell r="J2702">
            <v>1839.8436999999999</v>
          </cell>
          <cell r="K2702">
            <v>0</v>
          </cell>
          <cell r="L2702">
            <v>1839.8436999999999</v>
          </cell>
          <cell r="M2702">
            <v>0</v>
          </cell>
          <cell r="N2702">
            <v>2369.9899999999998</v>
          </cell>
          <cell r="O2702" t="str">
            <v/>
          </cell>
          <cell r="P2702">
            <v>0</v>
          </cell>
          <cell r="Q2702">
            <v>0.28814746600485702</v>
          </cell>
          <cell r="R2702">
            <v>0.28814746600485702</v>
          </cell>
          <cell r="S2702" t="e">
            <v>#VALUE!</v>
          </cell>
          <cell r="T2702" t="e">
            <v>#VALUE!</v>
          </cell>
        </row>
        <row r="2703">
          <cell r="A2703" t="str">
            <v>G244016ETE</v>
          </cell>
          <cell r="B2703" t="str">
            <v>MKP000631002157</v>
          </cell>
          <cell r="C2703" t="str">
            <v/>
          </cell>
          <cell r="D2703" t="str">
            <v>Balcão Madesa Stella 40 cm 3 Gavetas Rustic/Branco</v>
          </cell>
          <cell r="E2703" t="str">
            <v>STELLA</v>
          </cell>
          <cell r="F2703" t="str">
            <v>MODULAÇÃO</v>
          </cell>
          <cell r="G2703" t="str">
            <v/>
          </cell>
          <cell r="H2703">
            <v>939.99</v>
          </cell>
          <cell r="I2703">
            <v>519.99</v>
          </cell>
          <cell r="J2703">
            <v>344.87599999999998</v>
          </cell>
          <cell r="K2703">
            <v>0</v>
          </cell>
          <cell r="L2703">
            <v>344.87599999999998</v>
          </cell>
          <cell r="M2703">
            <v>0</v>
          </cell>
          <cell r="N2703">
            <v>519.99</v>
          </cell>
          <cell r="O2703" t="str">
            <v/>
          </cell>
          <cell r="P2703">
            <v>0</v>
          </cell>
          <cell r="Q2703">
            <v>0.507759310592793</v>
          </cell>
          <cell r="R2703">
            <v>0.507759310592793</v>
          </cell>
          <cell r="S2703" t="e">
            <v>#VALUE!</v>
          </cell>
          <cell r="T2703" t="e">
            <v>#VALUE!</v>
          </cell>
        </row>
        <row r="2704">
          <cell r="A2704" t="str">
            <v>G24800F8AG</v>
          </cell>
          <cell r="B2704" t="str">
            <v>MKP000631002641</v>
          </cell>
          <cell r="C2704" t="str">
            <v/>
          </cell>
          <cell r="D2704" t="str">
            <v>Balcão Madesa Agata 80 cm 2 Portas Branco/Cinza</v>
          </cell>
          <cell r="E2704" t="str">
            <v>ÁGATA</v>
          </cell>
          <cell r="F2704" t="str">
            <v>MODULAÇÃO</v>
          </cell>
          <cell r="G2704" t="str">
            <v/>
          </cell>
          <cell r="H2704">
            <v>919.99</v>
          </cell>
          <cell r="I2704">
            <v>529.99</v>
          </cell>
          <cell r="J2704">
            <v>325.82279999999997</v>
          </cell>
          <cell r="K2704">
            <v>0</v>
          </cell>
          <cell r="L2704">
            <v>325.82279999999997</v>
          </cell>
          <cell r="M2704">
            <v>0</v>
          </cell>
          <cell r="N2704">
            <v>529.99</v>
          </cell>
          <cell r="O2704" t="str">
            <v/>
          </cell>
          <cell r="P2704">
            <v>0</v>
          </cell>
          <cell r="Q2704">
            <v>0.62662035928731796</v>
          </cell>
          <cell r="R2704">
            <v>0.62662035928731796</v>
          </cell>
          <cell r="S2704" t="e">
            <v>#VALUE!</v>
          </cell>
          <cell r="T2704" t="e">
            <v>#VALUE!</v>
          </cell>
        </row>
        <row r="2705">
          <cell r="A2705" t="str">
            <v>G270806EGL</v>
          </cell>
          <cell r="B2705" t="str">
            <v>MKP000631003166</v>
          </cell>
          <cell r="C2705" t="str">
            <v/>
          </cell>
          <cell r="D2705" t="str">
            <v>Porta-Geladeira Madesa Glamy 1 Porta Basculante Rustic/Branco</v>
          </cell>
          <cell r="E2705" t="str">
            <v>GLAMY</v>
          </cell>
          <cell r="F2705" t="str">
            <v>MODULAÇÃO</v>
          </cell>
          <cell r="G2705" t="str">
            <v/>
          </cell>
          <cell r="H2705">
            <v>979.99</v>
          </cell>
          <cell r="I2705">
            <v>629.99</v>
          </cell>
          <cell r="J2705">
            <v>365.48790000000002</v>
          </cell>
          <cell r="K2705">
            <v>0</v>
          </cell>
          <cell r="L2705">
            <v>365.48790000000002</v>
          </cell>
          <cell r="M2705">
            <v>0</v>
          </cell>
          <cell r="N2705">
            <v>629.99</v>
          </cell>
          <cell r="O2705" t="str">
            <v/>
          </cell>
          <cell r="P2705">
            <v>0</v>
          </cell>
          <cell r="Q2705">
            <v>0.72369591442014902</v>
          </cell>
          <cell r="R2705">
            <v>0.72369591442014902</v>
          </cell>
          <cell r="S2705" t="e">
            <v>#VALUE!</v>
          </cell>
          <cell r="T2705" t="e">
            <v>#VALUE!</v>
          </cell>
        </row>
        <row r="2706">
          <cell r="A2706" t="str">
            <v>GCLX54600173</v>
          </cell>
          <cell r="B2706" t="str">
            <v>MKP000631003394</v>
          </cell>
          <cell r="C2706" t="str">
            <v/>
          </cell>
          <cell r="D2706" t="str">
            <v>Armário de Cozinha Completa de Canto 546cm Branco/Preto Lux Madesa 01</v>
          </cell>
          <cell r="E2706" t="str">
            <v>LUX</v>
          </cell>
          <cell r="F2706" t="str">
            <v>COZINHA</v>
          </cell>
          <cell r="G2706" t="str">
            <v/>
          </cell>
          <cell r="H2706">
            <v>9049.99</v>
          </cell>
          <cell r="I2706">
            <v>8949.99</v>
          </cell>
          <cell r="J2706">
            <v>5172.1589999999997</v>
          </cell>
          <cell r="K2706">
            <v>0</v>
          </cell>
          <cell r="L2706">
            <v>5172.1589999999997</v>
          </cell>
          <cell r="M2706">
            <v>0</v>
          </cell>
          <cell r="N2706">
            <v>8949.99</v>
          </cell>
          <cell r="O2706" t="str">
            <v>LOJA</v>
          </cell>
          <cell r="P2706">
            <v>7869.99</v>
          </cell>
          <cell r="Q2706">
            <v>0.73041664032370202</v>
          </cell>
          <cell r="R2706">
            <v>0.73041664032370202</v>
          </cell>
          <cell r="S2706" t="e">
            <v>#VALUE!</v>
          </cell>
          <cell r="T2706" t="e">
            <v>#VALUE!</v>
          </cell>
        </row>
        <row r="2707">
          <cell r="A2707" t="str">
            <v>G258006EAG</v>
          </cell>
          <cell r="B2707" t="str">
            <v>MKP000631004413</v>
          </cell>
          <cell r="C2707" t="str">
            <v/>
          </cell>
          <cell r="D2707" t="str">
            <v>Armário Aéreo Madesa Agata 80 cm 2 Portas Rustic/Branco</v>
          </cell>
          <cell r="E2707" t="str">
            <v>ÁGATA</v>
          </cell>
          <cell r="F2707" t="str">
            <v>MODULAÇÃO</v>
          </cell>
          <cell r="G2707" t="str">
            <v/>
          </cell>
          <cell r="H2707">
            <v>529.99</v>
          </cell>
          <cell r="I2707">
            <v>439.99</v>
          </cell>
          <cell r="J2707">
            <v>252.3895</v>
          </cell>
          <cell r="K2707">
            <v>0</v>
          </cell>
          <cell r="L2707">
            <v>252.3895</v>
          </cell>
          <cell r="M2707">
            <v>0</v>
          </cell>
          <cell r="N2707">
            <v>439.99</v>
          </cell>
          <cell r="O2707" t="str">
            <v/>
          </cell>
          <cell r="P2707">
            <v>0</v>
          </cell>
          <cell r="Q2707">
            <v>0.74329756190332796</v>
          </cell>
          <cell r="R2707">
            <v>0.74329756190332796</v>
          </cell>
          <cell r="S2707" t="e">
            <v>#VALUE!</v>
          </cell>
          <cell r="T2707" t="e">
            <v>#VALUE!</v>
          </cell>
        </row>
        <row r="2708">
          <cell r="A2708" t="str">
            <v>G258007KLX</v>
          </cell>
          <cell r="B2708" t="str">
            <v>MKP000631002756</v>
          </cell>
          <cell r="C2708" t="str">
            <v/>
          </cell>
          <cell r="D2708" t="str">
            <v>Armário Aéreo Madesa Lux 80 cm 2 Portas Rustic/Preto</v>
          </cell>
          <cell r="E2708" t="str">
            <v>LUX</v>
          </cell>
          <cell r="F2708" t="str">
            <v>MODULAÇÃO</v>
          </cell>
          <cell r="G2708" t="str">
            <v/>
          </cell>
          <cell r="H2708">
            <v>1059.99</v>
          </cell>
          <cell r="I2708">
            <v>759.99</v>
          </cell>
          <cell r="J2708">
            <v>431.73809999999997</v>
          </cell>
          <cell r="K2708">
            <v>0</v>
          </cell>
          <cell r="L2708">
            <v>431.73809999999997</v>
          </cell>
          <cell r="M2708">
            <v>0</v>
          </cell>
          <cell r="N2708">
            <v>759.99</v>
          </cell>
          <cell r="O2708" t="str">
            <v>LOJA</v>
          </cell>
          <cell r="P2708">
            <v>749.99</v>
          </cell>
          <cell r="Q2708">
            <v>0.76030329498369498</v>
          </cell>
          <cell r="R2708">
            <v>0.76030329498369498</v>
          </cell>
          <cell r="S2708" t="e">
            <v>#VALUE!</v>
          </cell>
          <cell r="T2708" t="e">
            <v>#VALUE!</v>
          </cell>
        </row>
        <row r="2709">
          <cell r="A2709" t="str">
            <v>GCLX546005H8</v>
          </cell>
          <cell r="B2709" t="str">
            <v>MKP000631004973</v>
          </cell>
          <cell r="C2709" t="str">
            <v/>
          </cell>
          <cell r="D2709" t="str">
            <v>Armário de Cozinha Completa de Canto 546cm Rustic/Branco Veludo Lux Madesa 05</v>
          </cell>
          <cell r="E2709" t="str">
            <v>LUX</v>
          </cell>
          <cell r="F2709" t="str">
            <v>COZINHA</v>
          </cell>
          <cell r="G2709" t="str">
            <v/>
          </cell>
          <cell r="H2709">
            <v>7489.99</v>
          </cell>
          <cell r="I2709">
            <v>7479.99</v>
          </cell>
          <cell r="J2709">
            <v>4135.6234999999997</v>
          </cell>
          <cell r="K2709">
            <v>0</v>
          </cell>
          <cell r="L2709">
            <v>4135.6234999999997</v>
          </cell>
          <cell r="M2709">
            <v>0</v>
          </cell>
          <cell r="N2709">
            <v>7479.99</v>
          </cell>
          <cell r="O2709" t="str">
            <v>LOJA</v>
          </cell>
          <cell r="P2709">
            <v>6579.99</v>
          </cell>
          <cell r="Q2709">
            <v>0.80867286395872295</v>
          </cell>
          <cell r="R2709">
            <v>0.80867286395872295</v>
          </cell>
          <cell r="S2709" t="e">
            <v>#VALUE!</v>
          </cell>
          <cell r="T2709" t="e">
            <v>#VALUE!</v>
          </cell>
        </row>
        <row r="2710">
          <cell r="A2710" t="str">
            <v>MDFC01000209</v>
          </cell>
          <cell r="B2710" t="str">
            <v>MKP000631005904</v>
          </cell>
          <cell r="C2710" t="str">
            <v/>
          </cell>
          <cell r="D2710" t="str">
            <v>Armário Aéreo para Escritório com Nicho e Prateleira 120cm Branco Madesa</v>
          </cell>
          <cell r="E2710" t="str">
            <v>PR</v>
          </cell>
          <cell r="F2710" t="str">
            <v>MODULAÇÃO</v>
          </cell>
          <cell r="G2710" t="str">
            <v/>
          </cell>
          <cell r="H2710">
            <v>349.99</v>
          </cell>
          <cell r="I2710">
            <v>249.99</v>
          </cell>
          <cell r="J2710">
            <v>179.25049999999999</v>
          </cell>
          <cell r="K2710">
            <v>0</v>
          </cell>
          <cell r="L2710">
            <v>179.25049999999999</v>
          </cell>
          <cell r="M2710">
            <v>0</v>
          </cell>
          <cell r="N2710">
            <v>249.99</v>
          </cell>
          <cell r="O2710" t="str">
            <v/>
          </cell>
          <cell r="P2710">
            <v>0</v>
          </cell>
          <cell r="Q2710">
            <v>0.39464046125394397</v>
          </cell>
          <cell r="R2710">
            <v>0.39464046125394397</v>
          </cell>
          <cell r="S2710" t="e">
            <v>#VALUE!</v>
          </cell>
          <cell r="T2710" t="e">
            <v>#VALUE!</v>
          </cell>
        </row>
        <row r="2711">
          <cell r="A2711" t="str">
            <v>G254005ZTE</v>
          </cell>
          <cell r="B2711" t="str">
            <v>MKP000631002166</v>
          </cell>
          <cell r="C2711" t="str">
            <v/>
          </cell>
          <cell r="D2711" t="str">
            <v>Armário Aéreo Madesa Stella 40 cm 1 Porta Rustic</v>
          </cell>
          <cell r="E2711" t="str">
            <v>STELLA</v>
          </cell>
          <cell r="F2711" t="str">
            <v>MODULAÇÃO</v>
          </cell>
          <cell r="G2711" t="str">
            <v/>
          </cell>
          <cell r="H2711">
            <v>399.99</v>
          </cell>
          <cell r="I2711">
            <v>289.99</v>
          </cell>
          <cell r="J2711">
            <v>170.05090000000001</v>
          </cell>
          <cell r="K2711">
            <v>0</v>
          </cell>
          <cell r="L2711">
            <v>170.05090000000001</v>
          </cell>
          <cell r="M2711">
            <v>0</v>
          </cell>
          <cell r="N2711">
            <v>289.99</v>
          </cell>
          <cell r="O2711" t="str">
            <v/>
          </cell>
          <cell r="P2711">
            <v>0</v>
          </cell>
          <cell r="Q2711">
            <v>0.70531293865542599</v>
          </cell>
          <cell r="R2711">
            <v>0.70531293865542599</v>
          </cell>
          <cell r="S2711" t="e">
            <v>#VALUE!</v>
          </cell>
          <cell r="T2711" t="e">
            <v>#VALUE!</v>
          </cell>
        </row>
        <row r="2712">
          <cell r="A2712" t="str">
            <v>GRGL290003C5</v>
          </cell>
          <cell r="B2712" t="str">
            <v>MKP000631001144</v>
          </cell>
          <cell r="C2712" t="str">
            <v/>
          </cell>
          <cell r="D2712" t="str">
            <v>Armário de Cozinha Completa 290cm Branco/Preto/Crema Safira Madesa 03</v>
          </cell>
          <cell r="E2712" t="str">
            <v>SAFIRA/GLAMY</v>
          </cell>
          <cell r="F2712" t="str">
            <v>COZINHA</v>
          </cell>
          <cell r="G2712" t="str">
            <v/>
          </cell>
          <cell r="H2712">
            <v>2799.99</v>
          </cell>
          <cell r="I2712">
            <v>2099.9899999999998</v>
          </cell>
          <cell r="J2712">
            <v>1760.9930999999999</v>
          </cell>
          <cell r="K2712">
            <v>0</v>
          </cell>
          <cell r="L2712">
            <v>1760.9930999999999</v>
          </cell>
          <cell r="M2712">
            <v>0</v>
          </cell>
          <cell r="N2712">
            <v>2099.9899999999998</v>
          </cell>
          <cell r="O2712" t="str">
            <v/>
          </cell>
          <cell r="P2712">
            <v>0</v>
          </cell>
          <cell r="Q2712">
            <v>0.19250325285204101</v>
          </cell>
          <cell r="R2712">
            <v>0.19250325285204101</v>
          </cell>
          <cell r="S2712" t="e">
            <v>#VALUE!</v>
          </cell>
          <cell r="T2712" t="e">
            <v>#VALUE!</v>
          </cell>
        </row>
        <row r="2713">
          <cell r="A2713" t="str">
            <v>10936E2E4GCP</v>
          </cell>
          <cell r="B2713" t="str">
            <v>MKP000631001868</v>
          </cell>
          <cell r="C2713" t="str">
            <v/>
          </cell>
          <cell r="D2713" t="str">
            <v>Guarda-Roupa Casal Madesa Lyon Plus 3 Portas de Correr com Espelhos 4 Gavetas com Pés Rustic/Branco</v>
          </cell>
          <cell r="E2713" t="str">
            <v>LYON PLUS</v>
          </cell>
          <cell r="F2713" t="str">
            <v>QUARTO</v>
          </cell>
          <cell r="G2713" t="str">
            <v/>
          </cell>
          <cell r="H2713">
            <v>1689.99</v>
          </cell>
          <cell r="I2713">
            <v>1369.99</v>
          </cell>
          <cell r="J2713">
            <v>1104.3661999999999</v>
          </cell>
          <cell r="K2713">
            <v>0</v>
          </cell>
          <cell r="L2713">
            <v>1104.3661999999999</v>
          </cell>
          <cell r="M2713">
            <v>0</v>
          </cell>
          <cell r="N2713">
            <v>1369.99</v>
          </cell>
          <cell r="O2713" t="str">
            <v/>
          </cell>
          <cell r="P2713">
            <v>0</v>
          </cell>
          <cell r="Q2713">
            <v>0.240521486441726</v>
          </cell>
          <cell r="R2713">
            <v>0.240521486441726</v>
          </cell>
          <cell r="S2713" t="e">
            <v>#VALUE!</v>
          </cell>
          <cell r="T2713" t="e">
            <v>#VALUE!</v>
          </cell>
        </row>
        <row r="2714">
          <cell r="A2714" t="str">
            <v>10189B</v>
          </cell>
          <cell r="B2714" t="str">
            <v>MKP000631002368</v>
          </cell>
          <cell r="C2714" t="str">
            <v/>
          </cell>
          <cell r="D2714" t="str">
            <v>Guarda-Roupa Casal Madesa Kansas 3 Portas de Correr 3 Gavetas Branco/Rustic</v>
          </cell>
          <cell r="E2714" t="str">
            <v>KANSAS</v>
          </cell>
          <cell r="F2714" t="str">
            <v>QUARTO</v>
          </cell>
          <cell r="G2714" t="str">
            <v/>
          </cell>
          <cell r="H2714">
            <v>2319.9899999999998</v>
          </cell>
          <cell r="I2714">
            <v>1459.99</v>
          </cell>
          <cell r="J2714">
            <v>1164.6541</v>
          </cell>
          <cell r="K2714">
            <v>0</v>
          </cell>
          <cell r="L2714">
            <v>1164.6541</v>
          </cell>
          <cell r="M2714">
            <v>0</v>
          </cell>
          <cell r="N2714">
            <v>1459.99</v>
          </cell>
          <cell r="O2714" t="str">
            <v/>
          </cell>
          <cell r="P2714">
            <v>0</v>
          </cell>
          <cell r="Q2714">
            <v>0.25358250144828398</v>
          </cell>
          <cell r="R2714">
            <v>0.25358250144828398</v>
          </cell>
          <cell r="S2714" t="e">
            <v>#VALUE!</v>
          </cell>
          <cell r="T2714" t="e">
            <v>#VALUE!</v>
          </cell>
        </row>
        <row r="2715">
          <cell r="A2715" t="str">
            <v>XAMDFC02000177</v>
          </cell>
          <cell r="B2715" t="str">
            <v>MKP000631003381</v>
          </cell>
          <cell r="C2715" t="str">
            <v/>
          </cell>
          <cell r="D2715" t="str">
            <v>Mesa para Computador Gamer e Painel para TV até 50 Madesa Preto/Branco</v>
          </cell>
          <cell r="E2715" t="str">
            <v>GAMER</v>
          </cell>
          <cell r="F2715" t="str">
            <v>ESCRITÓRIO</v>
          </cell>
          <cell r="G2715" t="str">
            <v/>
          </cell>
          <cell r="H2715">
            <v>699.99</v>
          </cell>
          <cell r="I2715">
            <v>469.99</v>
          </cell>
          <cell r="J2715">
            <v>340.625</v>
          </cell>
          <cell r="K2715">
            <v>0</v>
          </cell>
          <cell r="L2715">
            <v>340.625</v>
          </cell>
          <cell r="M2715">
            <v>0</v>
          </cell>
          <cell r="N2715">
            <v>469.99</v>
          </cell>
          <cell r="O2715" t="str">
            <v/>
          </cell>
          <cell r="P2715">
            <v>0</v>
          </cell>
          <cell r="Q2715">
            <v>0.37978715596330298</v>
          </cell>
          <cell r="R2715">
            <v>0.37978715596330298</v>
          </cell>
          <cell r="S2715" t="e">
            <v>#VALUE!</v>
          </cell>
          <cell r="T2715" t="e">
            <v>#VALUE!</v>
          </cell>
        </row>
        <row r="2716">
          <cell r="A2716" t="str">
            <v>G241207GAG</v>
          </cell>
          <cell r="B2716" t="str">
            <v>MKP000631005372</v>
          </cell>
          <cell r="C2716" t="str">
            <v/>
          </cell>
          <cell r="D2716" t="str">
            <v>Balcão Gabinete de Pia 2 Portas Rustic/Crema Agata Madesa</v>
          </cell>
          <cell r="E2716" t="str">
            <v>ÁGATA</v>
          </cell>
          <cell r="F2716" t="str">
            <v>MODULAÇÃO</v>
          </cell>
          <cell r="G2716" t="str">
            <v/>
          </cell>
          <cell r="H2716">
            <v>629.99</v>
          </cell>
          <cell r="I2716">
            <v>529.99</v>
          </cell>
          <cell r="J2716">
            <v>355.6234</v>
          </cell>
          <cell r="K2716">
            <v>0</v>
          </cell>
          <cell r="L2716">
            <v>355.6234</v>
          </cell>
          <cell r="M2716">
            <v>0</v>
          </cell>
          <cell r="N2716">
            <v>529.99</v>
          </cell>
          <cell r="O2716" t="str">
            <v/>
          </cell>
          <cell r="P2716">
            <v>0</v>
          </cell>
          <cell r="Q2716">
            <v>0.490312504745188</v>
          </cell>
          <cell r="R2716">
            <v>0.490312504745188</v>
          </cell>
          <cell r="S2716" t="e">
            <v>#VALUE!</v>
          </cell>
          <cell r="T2716" t="e">
            <v>#VALUE!</v>
          </cell>
        </row>
        <row r="2717">
          <cell r="A2717" t="str">
            <v>G2480273K</v>
          </cell>
          <cell r="B2717" t="str">
            <v>MKP000631004910</v>
          </cell>
          <cell r="C2717" t="str">
            <v/>
          </cell>
          <cell r="D2717" t="str">
            <v>Balcão 100% MDF 80cm 2 Gavetas Branco/Preto Acordes Madesa</v>
          </cell>
          <cell r="E2717" t="str">
            <v>ACORDES</v>
          </cell>
          <cell r="F2717" t="str">
            <v>MODULAÇÃO</v>
          </cell>
          <cell r="G2717" t="str">
            <v/>
          </cell>
          <cell r="H2717">
            <v>759.99</v>
          </cell>
          <cell r="I2717">
            <v>669.99</v>
          </cell>
          <cell r="J2717">
            <v>439.52069999999998</v>
          </cell>
          <cell r="K2717">
            <v>0</v>
          </cell>
          <cell r="L2717">
            <v>439.52069999999998</v>
          </cell>
          <cell r="M2717">
            <v>0</v>
          </cell>
          <cell r="N2717">
            <v>669.99</v>
          </cell>
          <cell r="O2717" t="str">
            <v/>
          </cell>
          <cell r="P2717">
            <v>0</v>
          </cell>
          <cell r="Q2717">
            <v>0.52436506403452698</v>
          </cell>
          <cell r="R2717">
            <v>0.52436506403452698</v>
          </cell>
          <cell r="S2717" t="e">
            <v>#VALUE!</v>
          </cell>
          <cell r="T2717" t="e">
            <v>#VALUE!</v>
          </cell>
        </row>
        <row r="2718">
          <cell r="A2718" t="str">
            <v>GRLX2600017K</v>
          </cell>
          <cell r="B2718" t="str">
            <v>MKP000631002729</v>
          </cell>
          <cell r="C2718" t="str">
            <v/>
          </cell>
          <cell r="D2718" t="str">
            <v>Armário de Cozinha Completa 260cm Rustic/Preto Lux Madesa 01</v>
          </cell>
          <cell r="E2718" t="str">
            <v>LUX</v>
          </cell>
          <cell r="F2718" t="str">
            <v>COZINHA</v>
          </cell>
          <cell r="G2718" t="str">
            <v/>
          </cell>
          <cell r="H2718">
            <v>4929.99</v>
          </cell>
          <cell r="I2718">
            <v>4869.99</v>
          </cell>
          <cell r="J2718">
            <v>2919.0853999999999</v>
          </cell>
          <cell r="K2718">
            <v>0</v>
          </cell>
          <cell r="L2718">
            <v>2919.0853999999999</v>
          </cell>
          <cell r="M2718">
            <v>0</v>
          </cell>
          <cell r="N2718">
            <v>4869.99</v>
          </cell>
          <cell r="O2718" t="str">
            <v>LOJA</v>
          </cell>
          <cell r="P2718">
            <v>4279.99</v>
          </cell>
          <cell r="Q2718">
            <v>0.66832734664083504</v>
          </cell>
          <cell r="R2718">
            <v>0.66832734664083504</v>
          </cell>
          <cell r="S2718" t="e">
            <v>#VALUE!</v>
          </cell>
          <cell r="T2718" t="e">
            <v>#VALUE!</v>
          </cell>
        </row>
        <row r="2719">
          <cell r="A2719" t="str">
            <v>G266079BTE</v>
          </cell>
          <cell r="B2719" t="str">
            <v>MKP000631002122</v>
          </cell>
          <cell r="C2719" t="str">
            <v/>
          </cell>
          <cell r="D2719" t="str">
            <v>Paneleiro Madesa Stella 60 cm 3 Portas Branco/Rustic</v>
          </cell>
          <cell r="E2719" t="str">
            <v>STELLA</v>
          </cell>
          <cell r="F2719" t="str">
            <v>MODULAÇÃO</v>
          </cell>
          <cell r="G2719" t="str">
            <v/>
          </cell>
          <cell r="H2719">
            <v>1219.99</v>
          </cell>
          <cell r="I2719">
            <v>819.99</v>
          </cell>
          <cell r="J2719">
            <v>520.87829999999997</v>
          </cell>
          <cell r="K2719">
            <v>0</v>
          </cell>
          <cell r="L2719">
            <v>520.87829999999997</v>
          </cell>
          <cell r="M2719">
            <v>0</v>
          </cell>
          <cell r="N2719">
            <v>819.99</v>
          </cell>
          <cell r="O2719" t="str">
            <v/>
          </cell>
          <cell r="P2719">
            <v>0</v>
          </cell>
          <cell r="Q2719">
            <v>0.57424488599352297</v>
          </cell>
          <cell r="R2719">
            <v>0.57424488599352297</v>
          </cell>
          <cell r="S2719" t="e">
            <v>#VALUE!</v>
          </cell>
          <cell r="T2719" t="e">
            <v>#VALUE!</v>
          </cell>
        </row>
        <row r="2720">
          <cell r="A2720" t="str">
            <v>GRLX300001H7</v>
          </cell>
          <cell r="B2720" t="str">
            <v>MKP000631005131</v>
          </cell>
          <cell r="C2720" t="str">
            <v/>
          </cell>
          <cell r="D2720" t="str">
            <v>Armário de Cozinha Completa 300cm Branco Veludo Lux da Sabrina Madesa</v>
          </cell>
          <cell r="E2720" t="str">
            <v>LUX</v>
          </cell>
          <cell r="F2720" t="str">
            <v>COZINHA</v>
          </cell>
          <cell r="G2720" t="str">
            <v/>
          </cell>
          <cell r="H2720">
            <v>4929.99</v>
          </cell>
          <cell r="I2720">
            <v>4869.99</v>
          </cell>
          <cell r="J2720">
            <v>2643.4789000000001</v>
          </cell>
          <cell r="K2720">
            <v>0</v>
          </cell>
          <cell r="L2720">
            <v>2643.4789000000001</v>
          </cell>
          <cell r="M2720">
            <v>0</v>
          </cell>
          <cell r="N2720">
            <v>4869.99</v>
          </cell>
          <cell r="O2720" t="str">
            <v>LOJA</v>
          </cell>
          <cell r="P2720">
            <v>4279.99</v>
          </cell>
          <cell r="Q2720">
            <v>0.84226550853120097</v>
          </cell>
          <cell r="R2720">
            <v>0.84226550853120097</v>
          </cell>
          <cell r="S2720" t="e">
            <v>#VALUE!</v>
          </cell>
          <cell r="T2720" t="e">
            <v>#VALUE!</v>
          </cell>
        </row>
        <row r="2721">
          <cell r="A2721" t="str">
            <v>GRLX320004H7</v>
          </cell>
          <cell r="B2721" t="str">
            <v>MKP000631003764</v>
          </cell>
          <cell r="C2721" t="str">
            <v/>
          </cell>
          <cell r="D2721" t="str">
            <v>Armário de Cozinha Planejada 320cm Branco Branco Veludo Lux Madesa 04</v>
          </cell>
          <cell r="E2721" t="str">
            <v>LUX</v>
          </cell>
          <cell r="F2721" t="str">
            <v>COZINHA</v>
          </cell>
          <cell r="G2721" t="str">
            <v/>
          </cell>
          <cell r="H2721">
            <v>4929.99</v>
          </cell>
          <cell r="I2721">
            <v>4869.99</v>
          </cell>
          <cell r="J2721">
            <v>2595.181</v>
          </cell>
          <cell r="K2721">
            <v>0</v>
          </cell>
          <cell r="L2721">
            <v>2595.181</v>
          </cell>
          <cell r="M2721">
            <v>0</v>
          </cell>
          <cell r="N2721">
            <v>4869.99</v>
          </cell>
          <cell r="O2721" t="str">
            <v>LOJA</v>
          </cell>
          <cell r="P2721">
            <v>4279.99</v>
          </cell>
          <cell r="Q2721">
            <v>0.87655119238311296</v>
          </cell>
          <cell r="R2721">
            <v>0.87655119238311296</v>
          </cell>
          <cell r="S2721" t="e">
            <v>#VALUE!</v>
          </cell>
          <cell r="T2721" t="e">
            <v>#VALUE!</v>
          </cell>
        </row>
        <row r="2722">
          <cell r="A2722" t="str">
            <v>GCGL3990029B</v>
          </cell>
          <cell r="B2722" t="str">
            <v>MKP000631004388</v>
          </cell>
          <cell r="C2722" t="str">
            <v/>
          </cell>
          <cell r="D2722" t="str">
            <v>Armário de Cozinha Completa de Canto 399cm Branco Rustic Glamy Madesa 02</v>
          </cell>
          <cell r="E2722" t="str">
            <v>GLAMY</v>
          </cell>
          <cell r="F2722" t="str">
            <v>COZINHA</v>
          </cell>
          <cell r="G2722" t="str">
            <v/>
          </cell>
          <cell r="H2722">
            <v>2999.99</v>
          </cell>
          <cell r="I2722">
            <v>2899.99</v>
          </cell>
          <cell r="J2722">
            <v>2430.6781999999998</v>
          </cell>
          <cell r="K2722">
            <v>0</v>
          </cell>
          <cell r="L2722">
            <v>2430.6781999999998</v>
          </cell>
          <cell r="M2722">
            <v>0</v>
          </cell>
          <cell r="N2722">
            <v>2899.99</v>
          </cell>
          <cell r="O2722" t="str">
            <v/>
          </cell>
          <cell r="P2722">
            <v>0</v>
          </cell>
          <cell r="Q2722">
            <v>0.193078540795733</v>
          </cell>
          <cell r="R2722">
            <v>0.193078540795733</v>
          </cell>
          <cell r="S2722" t="e">
            <v>#VALUE!</v>
          </cell>
          <cell r="T2722" t="e">
            <v>#VALUE!</v>
          </cell>
        </row>
        <row r="2723">
          <cell r="A2723" t="str">
            <v>GRAG250001F9</v>
          </cell>
          <cell r="B2723" t="str">
            <v>MKP000631005628</v>
          </cell>
          <cell r="C2723" t="str">
            <v/>
          </cell>
          <cell r="D2723" t="str">
            <v>Armário de Cozinha Completa 250cm Rustic/Cinza Agata Madesa 01</v>
          </cell>
          <cell r="E2723" t="str">
            <v>ÁGATA</v>
          </cell>
          <cell r="F2723" t="str">
            <v>COZINHA</v>
          </cell>
          <cell r="G2723" t="str">
            <v/>
          </cell>
          <cell r="H2723">
            <v>2149.9899999999998</v>
          </cell>
          <cell r="I2723">
            <v>1999.99</v>
          </cell>
          <cell r="J2723">
            <v>1674.4907000000001</v>
          </cell>
          <cell r="K2723">
            <v>0</v>
          </cell>
          <cell r="L2723">
            <v>1674.4907000000001</v>
          </cell>
          <cell r="M2723">
            <v>0</v>
          </cell>
          <cell r="N2723">
            <v>1999.99</v>
          </cell>
          <cell r="O2723" t="str">
            <v/>
          </cell>
          <cell r="P2723">
            <v>0</v>
          </cell>
          <cell r="Q2723">
            <v>0.194387045565556</v>
          </cell>
          <cell r="R2723">
            <v>0.194387045565556</v>
          </cell>
          <cell r="S2723" t="e">
            <v>#VALUE!</v>
          </cell>
          <cell r="T2723" t="e">
            <v>#VALUE!</v>
          </cell>
        </row>
        <row r="2724">
          <cell r="A2724" t="str">
            <v>GRGL290014A8</v>
          </cell>
          <cell r="B2724" t="str">
            <v>MKP000631001262</v>
          </cell>
          <cell r="C2724" t="str">
            <v/>
          </cell>
          <cell r="D2724" t="str">
            <v>Armário de Cozinha Completa 290cm Branco/Rustic/Branco Safira Madesa 14</v>
          </cell>
          <cell r="E2724" t="str">
            <v>SAFIRA/GLAMY</v>
          </cell>
          <cell r="F2724" t="str">
            <v>COZINHA</v>
          </cell>
          <cell r="G2724" t="str">
            <v/>
          </cell>
          <cell r="H2724">
            <v>2999.99</v>
          </cell>
          <cell r="I2724">
            <v>2199.9899999999998</v>
          </cell>
          <cell r="J2724">
            <v>1834.2193</v>
          </cell>
          <cell r="K2724">
            <v>0</v>
          </cell>
          <cell r="L2724">
            <v>1834.2193</v>
          </cell>
          <cell r="M2724">
            <v>0</v>
          </cell>
          <cell r="N2724">
            <v>2199.9899999999998</v>
          </cell>
          <cell r="O2724" t="str">
            <v/>
          </cell>
          <cell r="P2724">
            <v>0</v>
          </cell>
          <cell r="Q2724">
            <v>0.199414922741245</v>
          </cell>
          <cell r="R2724">
            <v>0.199414922741245</v>
          </cell>
          <cell r="S2724" t="e">
            <v>#VALUE!</v>
          </cell>
          <cell r="T2724" t="e">
            <v>#VALUE!</v>
          </cell>
        </row>
        <row r="2725">
          <cell r="A2725" t="str">
            <v>MDJA0401667GSIM</v>
          </cell>
          <cell r="B2725" t="str">
            <v>MKP000631005705</v>
          </cell>
          <cell r="C2725" t="str">
            <v/>
          </cell>
          <cell r="D2725" t="str">
            <v>Conjunto Sala de Jantar Mesa Tampo de Madeira 4 Cadeiras Rustic/Crema/Imperial Gisele Madesa</v>
          </cell>
          <cell r="E2725" t="str">
            <v>GISELE</v>
          </cell>
          <cell r="F2725" t="str">
            <v>SALA DE JANTAR</v>
          </cell>
          <cell r="G2725">
            <v>4256</v>
          </cell>
          <cell r="H2725">
            <v>1099.99</v>
          </cell>
          <cell r="I2725">
            <v>999.99</v>
          </cell>
          <cell r="J2725">
            <v>806.1422</v>
          </cell>
          <cell r="K2725">
            <v>0</v>
          </cell>
          <cell r="L2725">
            <v>806.1422</v>
          </cell>
          <cell r="M2725">
            <v>0</v>
          </cell>
          <cell r="N2725">
            <v>999.99</v>
          </cell>
          <cell r="O2725" t="str">
            <v/>
          </cell>
          <cell r="P2725">
            <v>0</v>
          </cell>
          <cell r="Q2725">
            <v>0.240463531123913</v>
          </cell>
          <cell r="R2725">
            <v>0.240463531123913</v>
          </cell>
          <cell r="S2725" t="e">
            <v>#VALUE!</v>
          </cell>
          <cell r="T2725" t="e">
            <v>#VALUE!</v>
          </cell>
        </row>
        <row r="2726">
          <cell r="A2726" t="str">
            <v>GRGL12000873</v>
          </cell>
          <cell r="B2726" t="str">
            <v>MKP000631004541</v>
          </cell>
          <cell r="C2726" t="str">
            <v/>
          </cell>
          <cell r="D2726" t="str">
            <v>Armário de Cozinha Compacta 120cm Branco/Preto Glamy Madesa 08</v>
          </cell>
          <cell r="E2726" t="str">
            <v>GLAMY</v>
          </cell>
          <cell r="F2726" t="str">
            <v>COZINHA</v>
          </cell>
          <cell r="G2726" t="str">
            <v/>
          </cell>
          <cell r="H2726">
            <v>1199.99</v>
          </cell>
          <cell r="I2726">
            <v>1099.99</v>
          </cell>
          <cell r="J2726">
            <v>907.50130000000001</v>
          </cell>
          <cell r="K2726">
            <v>0</v>
          </cell>
          <cell r="L2726">
            <v>907.50130000000001</v>
          </cell>
          <cell r="M2726">
            <v>0</v>
          </cell>
          <cell r="N2726">
            <v>1099.99</v>
          </cell>
          <cell r="O2726" t="str">
            <v/>
          </cell>
          <cell r="P2726">
            <v>0</v>
          </cell>
          <cell r="Q2726">
            <v>0.21210845648375401</v>
          </cell>
          <cell r="R2726">
            <v>0.21210845648375401</v>
          </cell>
          <cell r="S2726" t="e">
            <v>#VALUE!</v>
          </cell>
          <cell r="T2726" t="e">
            <v>#VALUE!</v>
          </cell>
        </row>
        <row r="2727">
          <cell r="A2727" t="str">
            <v>1018731E</v>
          </cell>
          <cell r="B2727" t="str">
            <v>MKP000631002373</v>
          </cell>
          <cell r="C2727" t="str">
            <v/>
          </cell>
          <cell r="D2727" t="str">
            <v>Guarda-Roupa Casal Madesa Kansas 3 Portas de Correr com Espelho 3 Gavetas Branco/Preto</v>
          </cell>
          <cell r="E2727" t="str">
            <v>KANSAS</v>
          </cell>
          <cell r="F2727" t="str">
            <v>QUARTO</v>
          </cell>
          <cell r="G2727" t="str">
            <v/>
          </cell>
          <cell r="H2727">
            <v>2089.9899999999998</v>
          </cell>
          <cell r="I2727">
            <v>1559.99</v>
          </cell>
          <cell r="J2727">
            <v>1284.2162000000001</v>
          </cell>
          <cell r="K2727">
            <v>0</v>
          </cell>
          <cell r="L2727">
            <v>1284.2162000000001</v>
          </cell>
          <cell r="M2727">
            <v>0</v>
          </cell>
          <cell r="N2727">
            <v>1559.99</v>
          </cell>
          <cell r="O2727" t="str">
            <v/>
          </cell>
          <cell r="P2727">
            <v>0</v>
          </cell>
          <cell r="Q2727">
            <v>0.214740944710089</v>
          </cell>
          <cell r="R2727">
            <v>0.214740944710089</v>
          </cell>
          <cell r="S2727" t="e">
            <v>#VALUE!</v>
          </cell>
          <cell r="T2727" t="e">
            <v>#VALUE!</v>
          </cell>
        </row>
        <row r="2728">
          <cell r="A2728" t="str">
            <v>MDJA0401547GSIL</v>
          </cell>
          <cell r="B2728" t="str">
            <v>MKP000631005363</v>
          </cell>
          <cell r="C2728" t="str">
            <v/>
          </cell>
          <cell r="D2728" t="str">
            <v>Conjunto Sala de Jantar Mesa Tampo de Madeira 4 Cadeiras Rustic/Crema/Silver Keila Madesa</v>
          </cell>
          <cell r="E2728" t="str">
            <v>KEILA</v>
          </cell>
          <cell r="F2728" t="str">
            <v>SALA DE JANTAR</v>
          </cell>
          <cell r="G2728">
            <v>4255</v>
          </cell>
          <cell r="H2728">
            <v>1149.99</v>
          </cell>
          <cell r="I2728">
            <v>1049.99</v>
          </cell>
          <cell r="J2728">
            <v>803.80960000000005</v>
          </cell>
          <cell r="K2728">
            <v>0</v>
          </cell>
          <cell r="L2728">
            <v>803.80960000000005</v>
          </cell>
          <cell r="M2728">
            <v>0</v>
          </cell>
          <cell r="N2728">
            <v>1049.99</v>
          </cell>
          <cell r="O2728" t="str">
            <v/>
          </cell>
          <cell r="P2728">
            <v>0</v>
          </cell>
          <cell r="Q2728">
            <v>0.30626705627800399</v>
          </cell>
          <cell r="R2728">
            <v>0.30626705627800399</v>
          </cell>
          <cell r="S2728" t="e">
            <v>#VALUE!</v>
          </cell>
          <cell r="T2728" t="e">
            <v>#VALUE!</v>
          </cell>
        </row>
        <row r="2729">
          <cell r="A2729" t="str">
            <v>GRAG27000109</v>
          </cell>
          <cell r="B2729" t="str">
            <v>MKP000631004587</v>
          </cell>
          <cell r="C2729" t="str">
            <v/>
          </cell>
          <cell r="D2729" t="str">
            <v>Armário de Cozinha Completa 270cm Branco Agata Madesa 01</v>
          </cell>
          <cell r="E2729" t="str">
            <v>ÁGATA</v>
          </cell>
          <cell r="F2729" t="str">
            <v>COZINHA</v>
          </cell>
          <cell r="G2729" t="str">
            <v/>
          </cell>
          <cell r="H2729">
            <v>2399.9899999999998</v>
          </cell>
          <cell r="I2729">
            <v>2299.9899999999998</v>
          </cell>
          <cell r="J2729">
            <v>1858.4391000000001</v>
          </cell>
          <cell r="K2729">
            <v>0</v>
          </cell>
          <cell r="L2729">
            <v>1858.4391000000001</v>
          </cell>
          <cell r="M2729">
            <v>0</v>
          </cell>
          <cell r="N2729">
            <v>2299.9899999999998</v>
          </cell>
          <cell r="O2729" t="str">
            <v/>
          </cell>
          <cell r="P2729">
            <v>0</v>
          </cell>
          <cell r="Q2729">
            <v>0.237592342950598</v>
          </cell>
          <cell r="R2729">
            <v>0.237592342950598</v>
          </cell>
          <cell r="S2729" t="e">
            <v>#VALUE!</v>
          </cell>
          <cell r="T2729" t="e">
            <v>#VALUE!</v>
          </cell>
        </row>
        <row r="2730">
          <cell r="A2730" t="str">
            <v>GRAG270001F8</v>
          </cell>
          <cell r="B2730" t="str">
            <v>MKP000631004268</v>
          </cell>
          <cell r="C2730" t="str">
            <v/>
          </cell>
          <cell r="D2730" t="str">
            <v>Armário de Cozinha Completa 270cm Branco Cinza Agata Madesa 01</v>
          </cell>
          <cell r="E2730" t="str">
            <v>ÁGATA</v>
          </cell>
          <cell r="F2730" t="str">
            <v>COZINHA</v>
          </cell>
          <cell r="G2730" t="str">
            <v/>
          </cell>
          <cell r="H2730">
            <v>2799.99</v>
          </cell>
          <cell r="I2730">
            <v>2299.9899999999998</v>
          </cell>
          <cell r="J2730">
            <v>1858.4391000000001</v>
          </cell>
          <cell r="K2730">
            <v>0</v>
          </cell>
          <cell r="L2730">
            <v>1858.4391000000001</v>
          </cell>
          <cell r="M2730">
            <v>0</v>
          </cell>
          <cell r="N2730">
            <v>2299.9899999999998</v>
          </cell>
          <cell r="O2730" t="str">
            <v/>
          </cell>
          <cell r="P2730">
            <v>0</v>
          </cell>
          <cell r="Q2730">
            <v>0.237592342950598</v>
          </cell>
          <cell r="R2730">
            <v>0.237592342950598</v>
          </cell>
          <cell r="S2730" t="e">
            <v>#VALUE!</v>
          </cell>
          <cell r="T2730" t="e">
            <v>#VALUE!</v>
          </cell>
        </row>
        <row r="2731">
          <cell r="A2731" t="str">
            <v>G2480273GL</v>
          </cell>
          <cell r="B2731" t="str">
            <v>MKP000631005047</v>
          </cell>
          <cell r="C2731" t="str">
            <v/>
          </cell>
          <cell r="D2731" t="str">
            <v>Balcão 80 cm 2 Gavetas Branco/Preto Glamy Madesa</v>
          </cell>
          <cell r="E2731" t="str">
            <v>GLAMY</v>
          </cell>
          <cell r="F2731" t="str">
            <v>MODULAÇÃO</v>
          </cell>
          <cell r="G2731" t="str">
            <v/>
          </cell>
          <cell r="H2731">
            <v>699.99</v>
          </cell>
          <cell r="I2731">
            <v>599.99</v>
          </cell>
          <cell r="J2731">
            <v>392.3673</v>
          </cell>
          <cell r="K2731">
            <v>0</v>
          </cell>
          <cell r="L2731">
            <v>392.3673</v>
          </cell>
          <cell r="M2731">
            <v>0</v>
          </cell>
          <cell r="N2731">
            <v>599.99</v>
          </cell>
          <cell r="O2731" t="str">
            <v/>
          </cell>
          <cell r="P2731">
            <v>0</v>
          </cell>
          <cell r="Q2731">
            <v>0.52915393306221004</v>
          </cell>
          <cell r="R2731">
            <v>0.52915393306221004</v>
          </cell>
          <cell r="S2731" t="e">
            <v>#VALUE!</v>
          </cell>
          <cell r="T2731" t="e">
            <v>#VALUE!</v>
          </cell>
        </row>
        <row r="2732">
          <cell r="A2732" t="str">
            <v>GRLX200003H8</v>
          </cell>
          <cell r="B2732" t="str">
            <v>MKP000631004536</v>
          </cell>
          <cell r="C2732" t="str">
            <v/>
          </cell>
          <cell r="D2732" t="str">
            <v>Kit com 2 Balcões de Cozinha Madesa Lux 4 Portas 3 Gavetas (Sem Tampo e Pia) Rustic/Branco Veludo</v>
          </cell>
          <cell r="E2732" t="str">
            <v>LUX</v>
          </cell>
          <cell r="F2732" t="str">
            <v>COZINHA</v>
          </cell>
          <cell r="G2732" t="str">
            <v/>
          </cell>
          <cell r="H2732">
            <v>1879.99</v>
          </cell>
          <cell r="I2732">
            <v>1739.99</v>
          </cell>
          <cell r="J2732">
            <v>1033.4290000000001</v>
          </cell>
          <cell r="K2732">
            <v>0</v>
          </cell>
          <cell r="L2732">
            <v>1033.4290000000001</v>
          </cell>
          <cell r="M2732">
            <v>0</v>
          </cell>
          <cell r="N2732">
            <v>1739.99</v>
          </cell>
          <cell r="O2732" t="str">
            <v>LOJA</v>
          </cell>
          <cell r="P2732">
            <v>1529.99</v>
          </cell>
          <cell r="Q2732">
            <v>0.683705411789296</v>
          </cell>
          <cell r="R2732">
            <v>0.683705411789296</v>
          </cell>
          <cell r="S2732" t="e">
            <v>#VALUE!</v>
          </cell>
          <cell r="T2732" t="e">
            <v>#VALUE!</v>
          </cell>
        </row>
        <row r="2733">
          <cell r="A2733" t="str">
            <v>G22601H7LXCT</v>
          </cell>
          <cell r="B2733" t="str">
            <v>MKP000631005084</v>
          </cell>
          <cell r="C2733" t="str">
            <v/>
          </cell>
          <cell r="D2733" t="str">
            <v>Balcão 60 cm 3 Gavetas Branco/Branco Veludo Lux Madesa</v>
          </cell>
          <cell r="E2733" t="str">
            <v>LUX</v>
          </cell>
          <cell r="F2733" t="str">
            <v>MODULAÇÃO</v>
          </cell>
          <cell r="G2733" t="str">
            <v/>
          </cell>
          <cell r="H2733">
            <v>1089.99</v>
          </cell>
          <cell r="I2733">
            <v>919.99</v>
          </cell>
          <cell r="J2733">
            <v>471.6103</v>
          </cell>
          <cell r="K2733">
            <v>0</v>
          </cell>
          <cell r="L2733">
            <v>471.6103</v>
          </cell>
          <cell r="M2733">
            <v>0</v>
          </cell>
          <cell r="N2733">
            <v>919.99</v>
          </cell>
          <cell r="O2733" t="str">
            <v>LOJA</v>
          </cell>
          <cell r="P2733">
            <v>899.99</v>
          </cell>
          <cell r="Q2733">
            <v>0.95074195792585503</v>
          </cell>
          <cell r="R2733">
            <v>0.95074195792585503</v>
          </cell>
          <cell r="S2733" t="e">
            <v>#VALUE!</v>
          </cell>
          <cell r="T2733" t="e">
            <v>#VALUE!</v>
          </cell>
        </row>
        <row r="2734">
          <cell r="A2734" t="str">
            <v>G22700H7LX</v>
          </cell>
          <cell r="B2734" t="str">
            <v>MKP000631005188</v>
          </cell>
          <cell r="C2734" t="str">
            <v/>
          </cell>
          <cell r="D2734" t="str">
            <v>Balcão Madesa Lux 70 cm 2 Portas - Branco/Branco Veludo (Sem Tampo)</v>
          </cell>
          <cell r="E2734" t="str">
            <v>LUX</v>
          </cell>
          <cell r="F2734" t="str">
            <v>MODULAÇÃO</v>
          </cell>
          <cell r="G2734" t="str">
            <v/>
          </cell>
          <cell r="H2734">
            <v>729.99</v>
          </cell>
          <cell r="I2734">
            <v>639.99</v>
          </cell>
          <cell r="J2734">
            <v>320.65620000000001</v>
          </cell>
          <cell r="K2734">
            <v>0</v>
          </cell>
          <cell r="L2734">
            <v>320.65620000000001</v>
          </cell>
          <cell r="M2734">
            <v>0</v>
          </cell>
          <cell r="N2734">
            <v>639.99</v>
          </cell>
          <cell r="O2734" t="str">
            <v>LOJA</v>
          </cell>
          <cell r="P2734">
            <v>629.99</v>
          </cell>
          <cell r="Q2734">
            <v>0.99587595686595198</v>
          </cell>
          <cell r="R2734">
            <v>0.99587595686595198</v>
          </cell>
          <cell r="S2734" t="e">
            <v>#VALUE!</v>
          </cell>
          <cell r="T2734" t="e">
            <v>#VALUE!</v>
          </cell>
        </row>
        <row r="2735">
          <cell r="A2735" t="str">
            <v>G22600H7LXCT</v>
          </cell>
          <cell r="B2735" t="str">
            <v>MKP000631005090</v>
          </cell>
          <cell r="C2735" t="str">
            <v/>
          </cell>
          <cell r="D2735" t="str">
            <v>Balcão 60 cm 1 Porta Branco/Branco Veludo Lux Madesa</v>
          </cell>
          <cell r="E2735" t="str">
            <v>LUX</v>
          </cell>
          <cell r="F2735" t="str">
            <v>MODULAÇÃO</v>
          </cell>
          <cell r="G2735" t="str">
            <v/>
          </cell>
          <cell r="H2735">
            <v>769.99</v>
          </cell>
          <cell r="I2735">
            <v>649.99</v>
          </cell>
          <cell r="J2735">
            <v>325.12520000000001</v>
          </cell>
          <cell r="K2735">
            <v>0</v>
          </cell>
          <cell r="L2735">
            <v>325.12520000000001</v>
          </cell>
          <cell r="M2735">
            <v>0</v>
          </cell>
          <cell r="N2735">
            <v>649.99</v>
          </cell>
          <cell r="O2735" t="str">
            <v>LOJA</v>
          </cell>
          <cell r="P2735">
            <v>639.99</v>
          </cell>
          <cell r="Q2735">
            <v>0.99919907777065597</v>
          </cell>
          <cell r="R2735">
            <v>0.99919907777065597</v>
          </cell>
          <cell r="S2735" t="e">
            <v>#VALUE!</v>
          </cell>
          <cell r="T2735" t="e">
            <v>#VALUE!</v>
          </cell>
        </row>
        <row r="2736">
          <cell r="A2736" t="str">
            <v>MDES020024738N</v>
          </cell>
          <cell r="B2736" t="str">
            <v>MKP000631002862</v>
          </cell>
          <cell r="C2736" t="str">
            <v/>
          </cell>
          <cell r="D2736" t="str">
            <v>Rack Madesa Cancun e Painel para TV até 58 Polegadas Branco/Preto 738N</v>
          </cell>
          <cell r="E2736" t="str">
            <v>CANCUN</v>
          </cell>
          <cell r="F2736" t="str">
            <v>SALA DE ESTAR</v>
          </cell>
          <cell r="G2736" t="str">
            <v/>
          </cell>
          <cell r="H2736">
            <v>689.99</v>
          </cell>
          <cell r="I2736">
            <v>469.99</v>
          </cell>
          <cell r="J2736">
            <v>361.60750000000002</v>
          </cell>
          <cell r="K2736">
            <v>0</v>
          </cell>
          <cell r="L2736">
            <v>361.60750000000002</v>
          </cell>
          <cell r="M2736">
            <v>0</v>
          </cell>
          <cell r="N2736">
            <v>469.99</v>
          </cell>
          <cell r="O2736" t="str">
            <v/>
          </cell>
          <cell r="P2736">
            <v>0</v>
          </cell>
          <cell r="Q2736">
            <v>0.29972414842059403</v>
          </cell>
          <cell r="R2736">
            <v>0.29972414842059403</v>
          </cell>
          <cell r="S2736" t="e">
            <v>#VALUE!</v>
          </cell>
          <cell r="T2736" t="e">
            <v>#VALUE!</v>
          </cell>
        </row>
        <row r="2737">
          <cell r="A2737" t="str">
            <v>MDES0200158N77</v>
          </cell>
          <cell r="B2737" t="str">
            <v>MKP000631002875</v>
          </cell>
          <cell r="C2737" t="str">
            <v/>
          </cell>
          <cell r="D2737" t="str">
            <v>Rack Madesa Dubai com Pés e Painel para TV até 58 Polegadas Preto/Preto 8N77</v>
          </cell>
          <cell r="E2737" t="str">
            <v>DUBAI</v>
          </cell>
          <cell r="F2737" t="str">
            <v>SALA DE ESTAR</v>
          </cell>
          <cell r="G2737" t="str">
            <v/>
          </cell>
          <cell r="H2737">
            <v>599.99</v>
          </cell>
          <cell r="I2737">
            <v>499.99</v>
          </cell>
          <cell r="J2737">
            <v>355.10019999999997</v>
          </cell>
          <cell r="K2737">
            <v>0</v>
          </cell>
          <cell r="L2737">
            <v>355.10019999999997</v>
          </cell>
          <cell r="M2737">
            <v>0</v>
          </cell>
          <cell r="N2737">
            <v>499.99</v>
          </cell>
          <cell r="O2737" t="str">
            <v/>
          </cell>
          <cell r="P2737">
            <v>0</v>
          </cell>
          <cell r="Q2737">
            <v>0.40802511516467799</v>
          </cell>
          <cell r="R2737">
            <v>0.40802511516467799</v>
          </cell>
          <cell r="S2737" t="e">
            <v>#VALUE!</v>
          </cell>
          <cell r="T2737" t="e">
            <v>#VALUE!</v>
          </cell>
        </row>
        <row r="2738">
          <cell r="A2738" t="str">
            <v>G2540073AG</v>
          </cell>
          <cell r="B2738" t="str">
            <v>MKP000631003046</v>
          </cell>
          <cell r="C2738" t="str">
            <v/>
          </cell>
          <cell r="D2738" t="str">
            <v>Armário Aéreo Madesa Agata 40 cm 1 Porta Branco/Preto</v>
          </cell>
          <cell r="E2738" t="str">
            <v>ÁGATA</v>
          </cell>
          <cell r="F2738" t="str">
            <v>MODULAÇÃO</v>
          </cell>
          <cell r="G2738" t="str">
            <v/>
          </cell>
          <cell r="H2738">
            <v>369.99</v>
          </cell>
          <cell r="I2738">
            <v>289.99</v>
          </cell>
          <cell r="J2738">
            <v>166.9117</v>
          </cell>
          <cell r="K2738">
            <v>0</v>
          </cell>
          <cell r="L2738">
            <v>166.9117</v>
          </cell>
          <cell r="M2738">
            <v>0</v>
          </cell>
          <cell r="N2738">
            <v>289.99</v>
          </cell>
          <cell r="O2738" t="str">
            <v/>
          </cell>
          <cell r="P2738">
            <v>0</v>
          </cell>
          <cell r="Q2738">
            <v>0.73738569555040201</v>
          </cell>
          <cell r="R2738">
            <v>0.73738569555040201</v>
          </cell>
          <cell r="S2738" t="e">
            <v>#VALUE!</v>
          </cell>
          <cell r="T2738" t="e">
            <v>#VALUE!</v>
          </cell>
        </row>
        <row r="2739">
          <cell r="A2739" t="str">
            <v>MDFC02000173</v>
          </cell>
          <cell r="B2739" t="str">
            <v>MKP000631002338</v>
          </cell>
          <cell r="C2739" t="str">
            <v/>
          </cell>
          <cell r="D2739" t="str">
            <v>Mesa para Computador Gamer Madesa 9409 e Painel para TV até 50 Polegadas Branco/Preto</v>
          </cell>
          <cell r="E2739" t="str">
            <v>GAMER</v>
          </cell>
          <cell r="F2739" t="str">
            <v>ESCRITÓRIO</v>
          </cell>
          <cell r="G2739" t="str">
            <v/>
          </cell>
          <cell r="H2739">
            <v>569.99</v>
          </cell>
          <cell r="I2739">
            <v>469.99</v>
          </cell>
          <cell r="J2739">
            <v>340.625</v>
          </cell>
          <cell r="K2739">
            <v>0</v>
          </cell>
          <cell r="L2739">
            <v>340.625</v>
          </cell>
          <cell r="M2739">
            <v>0</v>
          </cell>
          <cell r="N2739">
            <v>469.99</v>
          </cell>
          <cell r="O2739" t="str">
            <v/>
          </cell>
          <cell r="P2739">
            <v>0</v>
          </cell>
          <cell r="Q2739">
            <v>0.37978715596330298</v>
          </cell>
          <cell r="R2739">
            <v>0.37978715596330298</v>
          </cell>
          <cell r="S2739" t="e">
            <v>#VALUE!</v>
          </cell>
          <cell r="T2739" t="e">
            <v>#VALUE!</v>
          </cell>
        </row>
        <row r="2740">
          <cell r="A2740" t="str">
            <v>GRSM18000109</v>
          </cell>
          <cell r="B2740" t="str">
            <v>MKP000631001292</v>
          </cell>
          <cell r="C2740" t="str">
            <v/>
          </cell>
          <cell r="D2740" t="str">
            <v>Armário de Cozinha Compacta 100% MDF 180 cm Branco Smart Madesa 01</v>
          </cell>
          <cell r="E2740" t="str">
            <v>SMART</v>
          </cell>
          <cell r="F2740" t="str">
            <v>COZINHA</v>
          </cell>
          <cell r="G2740" t="str">
            <v/>
          </cell>
          <cell r="H2740">
            <v>1469.99</v>
          </cell>
          <cell r="I2740">
            <v>1179.99</v>
          </cell>
          <cell r="J2740">
            <v>930.16240000000005</v>
          </cell>
          <cell r="K2740">
            <v>0</v>
          </cell>
          <cell r="L2740">
            <v>930.16240000000005</v>
          </cell>
          <cell r="M2740">
            <v>0</v>
          </cell>
          <cell r="N2740">
            <v>1179.99</v>
          </cell>
          <cell r="O2740" t="str">
            <v>MADEIRAMADEIRA</v>
          </cell>
          <cell r="P2740">
            <v>1169.99</v>
          </cell>
          <cell r="Q2740">
            <v>0.26858492667516998</v>
          </cell>
          <cell r="R2740">
            <v>0.26858492667516998</v>
          </cell>
          <cell r="S2740" t="e">
            <v>#VALUE!</v>
          </cell>
          <cell r="T2740" t="e">
            <v>#VALUE!</v>
          </cell>
        </row>
        <row r="2741">
          <cell r="A2741" t="str">
            <v>GRGL1800056E</v>
          </cell>
          <cell r="B2741" t="str">
            <v>MKP000631004242</v>
          </cell>
          <cell r="C2741" t="str">
            <v/>
          </cell>
          <cell r="D2741" t="str">
            <v>Armário de Cozinha Compacta 180cm Rustic Branco Glamy Madesa 05</v>
          </cell>
          <cell r="E2741" t="str">
            <v>GLAMY</v>
          </cell>
          <cell r="F2741" t="str">
            <v>COZINHA</v>
          </cell>
          <cell r="G2741" t="str">
            <v/>
          </cell>
          <cell r="H2741">
            <v>1699.99</v>
          </cell>
          <cell r="I2741">
            <v>1599.99</v>
          </cell>
          <cell r="J2741">
            <v>1343.5012999999999</v>
          </cell>
          <cell r="K2741">
            <v>0</v>
          </cell>
          <cell r="L2741">
            <v>1343.5012999999999</v>
          </cell>
          <cell r="M2741">
            <v>0</v>
          </cell>
          <cell r="N2741">
            <v>1599.99</v>
          </cell>
          <cell r="O2741" t="str">
            <v/>
          </cell>
          <cell r="P2741">
            <v>0</v>
          </cell>
          <cell r="Q2741">
            <v>0.19091064519252801</v>
          </cell>
          <cell r="R2741">
            <v>0.19091064519252801</v>
          </cell>
          <cell r="S2741" t="e">
            <v>#VALUE!</v>
          </cell>
          <cell r="T2741" t="e">
            <v>#VALUE!</v>
          </cell>
        </row>
        <row r="2742">
          <cell r="A2742" t="str">
            <v>GCEM5130019B</v>
          </cell>
          <cell r="B2742" t="str">
            <v>MKP000631000450</v>
          </cell>
          <cell r="C2742" t="str">
            <v/>
          </cell>
          <cell r="D2742" t="str">
            <v>Armário de Cozinha Completa de Canto 513cm Rustic/Branco Emilly Live Madesa 01</v>
          </cell>
          <cell r="E2742" t="str">
            <v>LIVE/EMILLY</v>
          </cell>
          <cell r="F2742" t="str">
            <v>COZINHA</v>
          </cell>
          <cell r="G2742" t="str">
            <v/>
          </cell>
          <cell r="H2742">
            <v>2499.9899999999998</v>
          </cell>
          <cell r="I2742">
            <v>1769.99</v>
          </cell>
          <cell r="J2742">
            <v>1399.5382</v>
          </cell>
          <cell r="K2742">
            <v>0</v>
          </cell>
          <cell r="L2742">
            <v>1399.5382</v>
          </cell>
          <cell r="M2742">
            <v>0</v>
          </cell>
          <cell r="N2742">
            <v>1769.99</v>
          </cell>
          <cell r="O2742" t="str">
            <v/>
          </cell>
          <cell r="P2742">
            <v>0</v>
          </cell>
          <cell r="Q2742">
            <v>0.264695740352067</v>
          </cell>
          <cell r="R2742">
            <v>0.264695740352067</v>
          </cell>
          <cell r="S2742" t="e">
            <v>#VALUE!</v>
          </cell>
          <cell r="T2742" t="e">
            <v>#VALUE!</v>
          </cell>
        </row>
        <row r="2743">
          <cell r="A2743" t="str">
            <v>GRGL1500029B</v>
          </cell>
          <cell r="B2743" t="str">
            <v>MKP000631004247</v>
          </cell>
          <cell r="C2743" t="str">
            <v/>
          </cell>
          <cell r="D2743" t="str">
            <v>Armário de Cozinha Compacta 150cm Branco/Rustic Glamy Madesa 02</v>
          </cell>
          <cell r="E2743" t="str">
            <v>GLAMY</v>
          </cell>
          <cell r="F2743" t="str">
            <v>COZINHA</v>
          </cell>
          <cell r="G2743" t="str">
            <v/>
          </cell>
          <cell r="H2743">
            <v>1379.99</v>
          </cell>
          <cell r="I2743">
            <v>979.99</v>
          </cell>
          <cell r="J2743">
            <v>797.41129999999998</v>
          </cell>
          <cell r="K2743">
            <v>0</v>
          </cell>
          <cell r="L2743">
            <v>797.41129999999998</v>
          </cell>
          <cell r="M2743">
            <v>0</v>
          </cell>
          <cell r="N2743">
            <v>979.99</v>
          </cell>
          <cell r="O2743" t="str">
            <v/>
          </cell>
          <cell r="P2743">
            <v>0</v>
          </cell>
          <cell r="Q2743">
            <v>0.22896427477263001</v>
          </cell>
          <cell r="R2743">
            <v>0.22896427477263001</v>
          </cell>
          <cell r="S2743" t="e">
            <v>#VALUE!</v>
          </cell>
          <cell r="T2743" t="e">
            <v>#VALUE!</v>
          </cell>
        </row>
        <row r="2744">
          <cell r="A2744" t="str">
            <v>MDES0200146E09</v>
          </cell>
          <cell r="B2744" t="str">
            <v>MKP000631002892</v>
          </cell>
          <cell r="C2744" t="str">
            <v/>
          </cell>
          <cell r="D2744" t="str">
            <v>Rack Madesa Dubai e Painel para TV até 65 Polegadas com Pés Rustic/Branco 6E09</v>
          </cell>
          <cell r="E2744" t="str">
            <v>DUBAI</v>
          </cell>
          <cell r="F2744" t="str">
            <v>SALA DE ESTAR</v>
          </cell>
          <cell r="G2744" t="str">
            <v/>
          </cell>
          <cell r="H2744">
            <v>1149.99</v>
          </cell>
          <cell r="I2744">
            <v>599.99</v>
          </cell>
          <cell r="J2744">
            <v>442.649</v>
          </cell>
          <cell r="K2744">
            <v>0</v>
          </cell>
          <cell r="L2744">
            <v>442.649</v>
          </cell>
          <cell r="M2744">
            <v>0</v>
          </cell>
          <cell r="N2744">
            <v>599.99</v>
          </cell>
          <cell r="O2744" t="str">
            <v/>
          </cell>
          <cell r="P2744">
            <v>0</v>
          </cell>
          <cell r="Q2744">
            <v>0.35545319203251302</v>
          </cell>
          <cell r="R2744">
            <v>0.35545319203251302</v>
          </cell>
          <cell r="S2744" t="e">
            <v>#VALUE!</v>
          </cell>
          <cell r="T2744" t="e">
            <v>#VALUE!</v>
          </cell>
        </row>
        <row r="2745">
          <cell r="A2745" t="str">
            <v>XAMDFC0200019B</v>
          </cell>
          <cell r="B2745" t="str">
            <v>MKP000631003379</v>
          </cell>
          <cell r="C2745" t="str">
            <v/>
          </cell>
          <cell r="D2745" t="str">
            <v>Mesa para Computador Gamer e Painel para TV até 50 Madesa Branco/Rustic</v>
          </cell>
          <cell r="E2745" t="str">
            <v>GAMER</v>
          </cell>
          <cell r="F2745" t="str">
            <v>ESCRITÓRIO</v>
          </cell>
          <cell r="G2745" t="str">
            <v/>
          </cell>
          <cell r="H2745">
            <v>699.99</v>
          </cell>
          <cell r="I2745">
            <v>509.99</v>
          </cell>
          <cell r="J2745">
            <v>340.625</v>
          </cell>
          <cell r="K2745">
            <v>0</v>
          </cell>
          <cell r="L2745">
            <v>340.625</v>
          </cell>
          <cell r="M2745">
            <v>0</v>
          </cell>
          <cell r="N2745">
            <v>509.99</v>
          </cell>
          <cell r="O2745" t="str">
            <v>WEB (MELI)</v>
          </cell>
          <cell r="P2745">
            <v>509.99</v>
          </cell>
          <cell r="Q2745">
            <v>0.497218348623853</v>
          </cell>
          <cell r="R2745">
            <v>0.497218348623853</v>
          </cell>
          <cell r="S2745" t="e">
            <v>#VALUE!</v>
          </cell>
          <cell r="T2745" t="e">
            <v>#VALUE!</v>
          </cell>
        </row>
        <row r="2746">
          <cell r="A2746" t="str">
            <v>XAMDFC020002D8</v>
          </cell>
          <cell r="B2746" t="str">
            <v>MKP000631003388</v>
          </cell>
          <cell r="C2746" t="str">
            <v/>
          </cell>
          <cell r="D2746" t="str">
            <v>Mesa para Computador Gamer e Painel TV Madesa Preto/Rustic</v>
          </cell>
          <cell r="E2746" t="str">
            <v>GAMER</v>
          </cell>
          <cell r="F2746" t="str">
            <v>ESCRITÓRIO</v>
          </cell>
          <cell r="G2746" t="str">
            <v/>
          </cell>
          <cell r="H2746">
            <v>859.99</v>
          </cell>
          <cell r="I2746">
            <v>589.99</v>
          </cell>
          <cell r="J2746">
            <v>434.67020000000002</v>
          </cell>
          <cell r="K2746">
            <v>0</v>
          </cell>
          <cell r="L2746">
            <v>434.67020000000002</v>
          </cell>
          <cell r="M2746">
            <v>0</v>
          </cell>
          <cell r="N2746">
            <v>589.99</v>
          </cell>
          <cell r="O2746" t="str">
            <v/>
          </cell>
          <cell r="P2746">
            <v>0</v>
          </cell>
          <cell r="Q2746">
            <v>0.35732792356135801</v>
          </cell>
          <cell r="R2746">
            <v>0.35732792356135801</v>
          </cell>
          <cell r="S2746" t="e">
            <v>#VALUE!</v>
          </cell>
          <cell r="T2746" t="e">
            <v>#VALUE!</v>
          </cell>
        </row>
        <row r="2747">
          <cell r="A2747" t="str">
            <v>G24400F9AG</v>
          </cell>
          <cell r="B2747" t="str">
            <v>MKP000631002939</v>
          </cell>
          <cell r="C2747" t="str">
            <v/>
          </cell>
          <cell r="D2747" t="str">
            <v>Balcão Madesa Agata 40 cm 1 Porta Rustic/Cinza</v>
          </cell>
          <cell r="E2747" t="str">
            <v>ÁGATA</v>
          </cell>
          <cell r="F2747" t="str">
            <v>MODULAÇÃO</v>
          </cell>
          <cell r="G2747" t="str">
            <v/>
          </cell>
          <cell r="H2747">
            <v>509.99</v>
          </cell>
          <cell r="I2747">
            <v>359.99</v>
          </cell>
          <cell r="J2747">
            <v>220.15819999999999</v>
          </cell>
          <cell r="K2747">
            <v>0</v>
          </cell>
          <cell r="L2747">
            <v>220.15819999999999</v>
          </cell>
          <cell r="M2747">
            <v>0</v>
          </cell>
          <cell r="N2747">
            <v>359.99</v>
          </cell>
          <cell r="O2747" t="str">
            <v/>
          </cell>
          <cell r="P2747">
            <v>0</v>
          </cell>
          <cell r="Q2747">
            <v>0.63514236580785999</v>
          </cell>
          <cell r="R2747">
            <v>0.63514236580785999</v>
          </cell>
          <cell r="S2747" t="e">
            <v>#VALUE!</v>
          </cell>
          <cell r="T2747" t="e">
            <v>#VALUE!</v>
          </cell>
        </row>
        <row r="2748">
          <cell r="A2748" t="str">
            <v>GREM1690085Z</v>
          </cell>
          <cell r="B2748" t="str">
            <v>MKP000631001694</v>
          </cell>
          <cell r="C2748" t="str">
            <v/>
          </cell>
          <cell r="D2748" t="str">
            <v>Armário de Cozinha Compacta 169cm Rustic Emilly Winter Madesa 08</v>
          </cell>
          <cell r="E2748" t="str">
            <v>WINTER/EMILLY</v>
          </cell>
          <cell r="F2748" t="str">
            <v>COZINHA</v>
          </cell>
          <cell r="G2748" t="str">
            <v/>
          </cell>
          <cell r="H2748">
            <v>1269.99</v>
          </cell>
          <cell r="I2748">
            <v>999.99</v>
          </cell>
          <cell r="J2748">
            <v>840.5317</v>
          </cell>
          <cell r="K2748">
            <v>0</v>
          </cell>
          <cell r="L2748">
            <v>840.5317</v>
          </cell>
          <cell r="M2748">
            <v>0</v>
          </cell>
          <cell r="N2748">
            <v>999.99</v>
          </cell>
          <cell r="O2748" t="str">
            <v/>
          </cell>
          <cell r="P2748">
            <v>0</v>
          </cell>
          <cell r="Q2748">
            <v>0.189711226834157</v>
          </cell>
          <cell r="R2748">
            <v>0.189711226834157</v>
          </cell>
          <cell r="S2748" t="e">
            <v>#VALUE!</v>
          </cell>
          <cell r="T2748" t="e">
            <v>#VALUE!</v>
          </cell>
        </row>
        <row r="2749">
          <cell r="A2749" t="str">
            <v>GRGL290009C3</v>
          </cell>
          <cell r="B2749" t="str">
            <v>MKP000631001212</v>
          </cell>
          <cell r="C2749" t="str">
            <v/>
          </cell>
          <cell r="D2749" t="str">
            <v>Armário de Cozinha Completa 290cm Rustic/Preto/Crema Cristal Madesa 09</v>
          </cell>
          <cell r="E2749" t="str">
            <v>CRISTAL/GLAMY</v>
          </cell>
          <cell r="F2749" t="str">
            <v>COZINHA</v>
          </cell>
          <cell r="G2749" t="str">
            <v/>
          </cell>
          <cell r="H2749">
            <v>2199.9899999999998</v>
          </cell>
          <cell r="I2749">
            <v>2099.9899999999998</v>
          </cell>
          <cell r="J2749">
            <v>1760.9930999999999</v>
          </cell>
          <cell r="K2749">
            <v>0</v>
          </cell>
          <cell r="L2749">
            <v>1760.9930999999999</v>
          </cell>
          <cell r="M2749">
            <v>0</v>
          </cell>
          <cell r="N2749">
            <v>2099.9899999999998</v>
          </cell>
          <cell r="O2749" t="str">
            <v/>
          </cell>
          <cell r="P2749">
            <v>0</v>
          </cell>
          <cell r="Q2749">
            <v>0.19250325285204101</v>
          </cell>
          <cell r="R2749">
            <v>0.19250325285204101</v>
          </cell>
          <cell r="S2749" t="e">
            <v>#VALUE!</v>
          </cell>
          <cell r="T2749" t="e">
            <v>#VALUE!</v>
          </cell>
        </row>
        <row r="2750">
          <cell r="A2750" t="str">
            <v>10936E2E2GCP</v>
          </cell>
          <cell r="B2750" t="str">
            <v>MKP000631001872</v>
          </cell>
          <cell r="C2750" t="str">
            <v/>
          </cell>
          <cell r="D2750" t="str">
            <v>Guarda-Roupa Casal Madesa Lyon 3 Portas de Correr com Espelhos 2 Gavetas com Pés Rustic/Branco</v>
          </cell>
          <cell r="E2750" t="str">
            <v>LYON</v>
          </cell>
          <cell r="F2750" t="str">
            <v>QUARTO</v>
          </cell>
          <cell r="G2750" t="str">
            <v/>
          </cell>
          <cell r="H2750">
            <v>1519.99</v>
          </cell>
          <cell r="I2750">
            <v>1269.99</v>
          </cell>
          <cell r="J2750">
            <v>1015.6292999999999</v>
          </cell>
          <cell r="K2750">
            <v>0</v>
          </cell>
          <cell r="L2750">
            <v>1015.6292999999999</v>
          </cell>
          <cell r="M2750">
            <v>0</v>
          </cell>
          <cell r="N2750">
            <v>1269.99</v>
          </cell>
          <cell r="O2750" t="str">
            <v/>
          </cell>
          <cell r="P2750">
            <v>0</v>
          </cell>
          <cell r="Q2750">
            <v>0.25044639811001901</v>
          </cell>
          <cell r="R2750">
            <v>0.25044639811001901</v>
          </cell>
          <cell r="S2750" t="e">
            <v>#VALUE!</v>
          </cell>
          <cell r="T2750" t="e">
            <v>#VALUE!</v>
          </cell>
        </row>
        <row r="2751">
          <cell r="A2751" t="str">
            <v>GCEM2930027K</v>
          </cell>
          <cell r="B2751" t="str">
            <v>MKP000631002195</v>
          </cell>
          <cell r="C2751" t="str">
            <v/>
          </cell>
          <cell r="D2751" t="str">
            <v>Armário de Cozinha Completa de Canto 293cm Rustic/Preto Emilly Music Madesa 02</v>
          </cell>
          <cell r="E2751" t="str">
            <v>MUSIC/EMILLY</v>
          </cell>
          <cell r="F2751" t="str">
            <v>COZINHA</v>
          </cell>
          <cell r="G2751" t="str">
            <v/>
          </cell>
          <cell r="H2751">
            <v>1699.99</v>
          </cell>
          <cell r="I2751">
            <v>1199.99</v>
          </cell>
          <cell r="J2751">
            <v>942.67560000000003</v>
          </cell>
          <cell r="K2751">
            <v>0</v>
          </cell>
          <cell r="L2751">
            <v>942.67560000000003</v>
          </cell>
          <cell r="M2751">
            <v>0</v>
          </cell>
          <cell r="N2751">
            <v>1199.99</v>
          </cell>
          <cell r="O2751" t="str">
            <v/>
          </cell>
          <cell r="P2751">
            <v>0</v>
          </cell>
          <cell r="Q2751">
            <v>0.27296176966922597</v>
          </cell>
          <cell r="R2751">
            <v>0.27296176966922597</v>
          </cell>
          <cell r="S2751" t="e">
            <v>#VALUE!</v>
          </cell>
          <cell r="T2751" t="e">
            <v>#VALUE!</v>
          </cell>
        </row>
        <row r="2752">
          <cell r="A2752" t="str">
            <v>GRGM2700079B</v>
          </cell>
          <cell r="B2752" t="str">
            <v>MKP000631004331</v>
          </cell>
          <cell r="C2752" t="str">
            <v/>
          </cell>
          <cell r="D2752" t="str">
            <v>Armário de Cozinha Completa 100% MDF 270cm Branco/Rustic Acordes Madesa 07</v>
          </cell>
          <cell r="E2752" t="str">
            <v>ACORDES</v>
          </cell>
          <cell r="F2752" t="str">
            <v>COZINHA</v>
          </cell>
          <cell r="G2752" t="str">
            <v/>
          </cell>
          <cell r="H2752">
            <v>3019.99</v>
          </cell>
          <cell r="I2752">
            <v>2219.9899999999998</v>
          </cell>
          <cell r="J2752">
            <v>1713.8506</v>
          </cell>
          <cell r="K2752">
            <v>0</v>
          </cell>
          <cell r="L2752">
            <v>1713.8506</v>
          </cell>
          <cell r="M2752">
            <v>0</v>
          </cell>
          <cell r="N2752">
            <v>2219.9899999999998</v>
          </cell>
          <cell r="O2752" t="str">
            <v/>
          </cell>
          <cell r="P2752">
            <v>0</v>
          </cell>
          <cell r="Q2752">
            <v>0.29532294121786301</v>
          </cell>
          <cell r="R2752">
            <v>0.29532294121786301</v>
          </cell>
          <cell r="S2752" t="e">
            <v>#VALUE!</v>
          </cell>
          <cell r="T2752" t="e">
            <v>#VALUE!</v>
          </cell>
        </row>
        <row r="2753">
          <cell r="A2753" t="str">
            <v>MDJA0401657GFLH</v>
          </cell>
          <cell r="B2753" t="str">
            <v>MKP000631005567</v>
          </cell>
          <cell r="C2753" t="str">
            <v/>
          </cell>
          <cell r="D2753" t="str">
            <v>Conjunto Sala de Jantar Mesa Tampo de Vidro 4 Cadeiras Rustic/Crema/Hibiscos Tifani Madesa</v>
          </cell>
          <cell r="E2753" t="str">
            <v>TIFANI</v>
          </cell>
          <cell r="F2753" t="str">
            <v>SALA DE JANTAR</v>
          </cell>
          <cell r="G2753" t="str">
            <v>4291X</v>
          </cell>
          <cell r="H2753">
            <v>759.99</v>
          </cell>
          <cell r="I2753">
            <v>659.99</v>
          </cell>
          <cell r="J2753">
            <v>512.69240000000002</v>
          </cell>
          <cell r="K2753">
            <v>0</v>
          </cell>
          <cell r="L2753">
            <v>512.69240000000002</v>
          </cell>
          <cell r="M2753">
            <v>0</v>
          </cell>
          <cell r="N2753">
            <v>659.99</v>
          </cell>
          <cell r="O2753" t="str">
            <v/>
          </cell>
          <cell r="P2753">
            <v>0</v>
          </cell>
          <cell r="Q2753">
            <v>0.28730209380907501</v>
          </cell>
          <cell r="R2753">
            <v>0.28730209380907501</v>
          </cell>
          <cell r="S2753" t="e">
            <v>#VALUE!</v>
          </cell>
          <cell r="T2753" t="e">
            <v>#VALUE!</v>
          </cell>
        </row>
        <row r="2754">
          <cell r="A2754" t="str">
            <v>MDES0200147309</v>
          </cell>
          <cell r="B2754" t="str">
            <v>MKP000631002877</v>
          </cell>
          <cell r="C2754" t="str">
            <v/>
          </cell>
          <cell r="D2754" t="str">
            <v>Rack Madesa Dubai e Painel para TV até 65 Polegadas com Pés Branco/Preto 7309</v>
          </cell>
          <cell r="E2754" t="str">
            <v>DUBAI</v>
          </cell>
          <cell r="F2754" t="str">
            <v>SALA DE ESTAR</v>
          </cell>
          <cell r="G2754" t="str">
            <v/>
          </cell>
          <cell r="H2754">
            <v>1149.99</v>
          </cell>
          <cell r="I2754">
            <v>599.99</v>
          </cell>
          <cell r="J2754">
            <v>442.649</v>
          </cell>
          <cell r="K2754">
            <v>0</v>
          </cell>
          <cell r="L2754">
            <v>442.649</v>
          </cell>
          <cell r="M2754">
            <v>0</v>
          </cell>
          <cell r="N2754">
            <v>599.99</v>
          </cell>
          <cell r="O2754" t="str">
            <v/>
          </cell>
          <cell r="P2754">
            <v>0</v>
          </cell>
          <cell r="Q2754">
            <v>0.35545319203251302</v>
          </cell>
          <cell r="R2754">
            <v>0.35545319203251302</v>
          </cell>
          <cell r="S2754" t="e">
            <v>#VALUE!</v>
          </cell>
          <cell r="T2754" t="e">
            <v>#VALUE!</v>
          </cell>
        </row>
        <row r="2755">
          <cell r="A2755" t="str">
            <v>G251216EGL</v>
          </cell>
          <cell r="B2755" t="str">
            <v>MKP000631000547</v>
          </cell>
          <cell r="C2755" t="str">
            <v/>
          </cell>
          <cell r="D2755" t="str">
            <v>Armário Aéreo Madesa Glamy 120 cm 2 Portas Rustic/Branco</v>
          </cell>
          <cell r="E2755" t="str">
            <v>GLAMY</v>
          </cell>
          <cell r="F2755" t="str">
            <v>MODULAÇÃO</v>
          </cell>
          <cell r="G2755" t="str">
            <v/>
          </cell>
          <cell r="H2755">
            <v>839.99</v>
          </cell>
          <cell r="I2755">
            <v>519.99</v>
          </cell>
          <cell r="J2755">
            <v>328.85300000000001</v>
          </cell>
          <cell r="K2755">
            <v>0</v>
          </cell>
          <cell r="L2755">
            <v>328.85300000000001</v>
          </cell>
          <cell r="M2755">
            <v>0</v>
          </cell>
          <cell r="N2755">
            <v>519.99</v>
          </cell>
          <cell r="O2755" t="str">
            <v/>
          </cell>
          <cell r="P2755">
            <v>0</v>
          </cell>
          <cell r="Q2755">
            <v>0.58122322131773196</v>
          </cell>
          <cell r="R2755">
            <v>0.58122322131773196</v>
          </cell>
          <cell r="S2755" t="e">
            <v>#VALUE!</v>
          </cell>
          <cell r="T2755" t="e">
            <v>#VALUE!</v>
          </cell>
        </row>
        <row r="2756">
          <cell r="A2756" t="str">
            <v>G2560273</v>
          </cell>
          <cell r="B2756" t="str">
            <v>MKP000631004901</v>
          </cell>
          <cell r="C2756" t="str">
            <v/>
          </cell>
          <cell r="D2756" t="str">
            <v>Armário Aéreo 100% MDF 60 cm 1 Porta Basculante Branco/Preto Acordes Madesa</v>
          </cell>
          <cell r="E2756" t="str">
            <v>ACORDES</v>
          </cell>
          <cell r="F2756" t="str">
            <v>MODULAÇÃO</v>
          </cell>
          <cell r="G2756" t="str">
            <v/>
          </cell>
          <cell r="H2756">
            <v>499.99</v>
          </cell>
          <cell r="I2756">
            <v>259.99</v>
          </cell>
          <cell r="J2756">
            <v>162.46449999999999</v>
          </cell>
          <cell r="K2756">
            <v>0</v>
          </cell>
          <cell r="L2756">
            <v>162.46449999999999</v>
          </cell>
          <cell r="M2756">
            <v>0</v>
          </cell>
          <cell r="N2756">
            <v>259.99</v>
          </cell>
          <cell r="O2756" t="str">
            <v/>
          </cell>
          <cell r="P2756">
            <v>0</v>
          </cell>
          <cell r="Q2756">
            <v>0.60028806293067105</v>
          </cell>
          <cell r="R2756">
            <v>0.60028806293067105</v>
          </cell>
          <cell r="S2756" t="e">
            <v>#VALUE!</v>
          </cell>
          <cell r="T2756" t="e">
            <v>#VALUE!</v>
          </cell>
        </row>
        <row r="2757">
          <cell r="A2757" t="str">
            <v>G2675573GL</v>
          </cell>
          <cell r="B2757" t="str">
            <v>MKP000631001162</v>
          </cell>
          <cell r="C2757" t="str">
            <v/>
          </cell>
          <cell r="D2757" t="str">
            <v>Torre Quente Madesa Glamy 70 cm 3 Portas Branco/Preto</v>
          </cell>
          <cell r="E2757" t="str">
            <v>GLAMY</v>
          </cell>
          <cell r="F2757" t="str">
            <v>MODULAÇÃO</v>
          </cell>
          <cell r="G2757" t="str">
            <v/>
          </cell>
          <cell r="H2757">
            <v>1279.99</v>
          </cell>
          <cell r="I2757">
            <v>869.99</v>
          </cell>
          <cell r="J2757">
            <v>535.41890000000001</v>
          </cell>
          <cell r="K2757">
            <v>0</v>
          </cell>
          <cell r="L2757">
            <v>535.41890000000001</v>
          </cell>
          <cell r="M2757">
            <v>0</v>
          </cell>
          <cell r="N2757">
            <v>869.99</v>
          </cell>
          <cell r="O2757" t="str">
            <v/>
          </cell>
          <cell r="P2757">
            <v>0</v>
          </cell>
          <cell r="Q2757">
            <v>0.62487726899442697</v>
          </cell>
          <cell r="R2757">
            <v>0.62487726899442697</v>
          </cell>
          <cell r="S2757" t="e">
            <v>#VALUE!</v>
          </cell>
          <cell r="T2757" t="e">
            <v>#VALUE!</v>
          </cell>
        </row>
        <row r="2758">
          <cell r="A2758" t="str">
            <v>G2570073GL</v>
          </cell>
          <cell r="B2758" t="str">
            <v>MKP000631005454</v>
          </cell>
          <cell r="C2758" t="str">
            <v/>
          </cell>
          <cell r="D2758" t="str">
            <v>Armário Aéreo 70 cm 2 Portas Branco/Preto Glamy Madesa</v>
          </cell>
          <cell r="E2758" t="str">
            <v>GLAMY</v>
          </cell>
          <cell r="F2758" t="str">
            <v>MODULAÇÃO</v>
          </cell>
          <cell r="G2758" t="str">
            <v/>
          </cell>
          <cell r="H2758">
            <v>519.99</v>
          </cell>
          <cell r="I2758">
            <v>419.99</v>
          </cell>
          <cell r="J2758">
            <v>249.31569999999999</v>
          </cell>
          <cell r="K2758">
            <v>0</v>
          </cell>
          <cell r="L2758">
            <v>249.31569999999999</v>
          </cell>
          <cell r="M2758">
            <v>0</v>
          </cell>
          <cell r="N2758">
            <v>419.99</v>
          </cell>
          <cell r="O2758" t="str">
            <v/>
          </cell>
          <cell r="P2758">
            <v>0</v>
          </cell>
          <cell r="Q2758">
            <v>0.68457100776244695</v>
          </cell>
          <cell r="R2758">
            <v>0.68457100776244695</v>
          </cell>
          <cell r="S2758" t="e">
            <v>#VALUE!</v>
          </cell>
          <cell r="T2758" t="e">
            <v>#VALUE!</v>
          </cell>
        </row>
        <row r="2759">
          <cell r="A2759" t="str">
            <v>G258045ZTE</v>
          </cell>
          <cell r="B2759" t="str">
            <v>MKP000631002207</v>
          </cell>
          <cell r="C2759" t="str">
            <v/>
          </cell>
          <cell r="D2759" t="str">
            <v>Armário Aéreo Madesa Stella 80 cm 1 Porta Basculante Rustic</v>
          </cell>
          <cell r="E2759" t="str">
            <v>STELLA</v>
          </cell>
          <cell r="F2759" t="str">
            <v>MODULAÇÃO</v>
          </cell>
          <cell r="G2759" t="str">
            <v/>
          </cell>
          <cell r="H2759">
            <v>389.99</v>
          </cell>
          <cell r="I2759">
            <v>279.99</v>
          </cell>
          <cell r="J2759">
            <v>165.22219999999999</v>
          </cell>
          <cell r="K2759">
            <v>0</v>
          </cell>
          <cell r="L2759">
            <v>165.22219999999999</v>
          </cell>
          <cell r="M2759">
            <v>0</v>
          </cell>
          <cell r="N2759">
            <v>279.99</v>
          </cell>
          <cell r="O2759" t="str">
            <v/>
          </cell>
          <cell r="P2759">
            <v>0</v>
          </cell>
          <cell r="Q2759">
            <v>0.69462699322488097</v>
          </cell>
          <cell r="R2759">
            <v>0.69462699322488097</v>
          </cell>
          <cell r="S2759" t="e">
            <v>#VALUE!</v>
          </cell>
          <cell r="T2759" t="e">
            <v>#VALUE!</v>
          </cell>
        </row>
        <row r="2760">
          <cell r="A2760" t="str">
            <v>G2708073GL</v>
          </cell>
          <cell r="B2760" t="str">
            <v>MKP000631003348</v>
          </cell>
          <cell r="C2760" t="str">
            <v/>
          </cell>
          <cell r="D2760" t="str">
            <v>Porta-Geladeira Madesa Glamy 1 Porta Basculante Branco/Preto</v>
          </cell>
          <cell r="E2760" t="str">
            <v>GLAMY</v>
          </cell>
          <cell r="F2760" t="str">
            <v>MODULAÇÃO</v>
          </cell>
          <cell r="G2760" t="str">
            <v/>
          </cell>
          <cell r="H2760">
            <v>979.99</v>
          </cell>
          <cell r="I2760">
            <v>629.99</v>
          </cell>
          <cell r="J2760">
            <v>365.48790000000002</v>
          </cell>
          <cell r="K2760">
            <v>0</v>
          </cell>
          <cell r="L2760">
            <v>365.48790000000002</v>
          </cell>
          <cell r="M2760">
            <v>0</v>
          </cell>
          <cell r="N2760">
            <v>629.99</v>
          </cell>
          <cell r="O2760" t="str">
            <v/>
          </cell>
          <cell r="P2760">
            <v>0</v>
          </cell>
          <cell r="Q2760">
            <v>0.72369591442014902</v>
          </cell>
          <cell r="R2760">
            <v>0.72369591442014902</v>
          </cell>
          <cell r="S2760" t="e">
            <v>#VALUE!</v>
          </cell>
          <cell r="T2760" t="e">
            <v>#VALUE!</v>
          </cell>
        </row>
        <row r="2761">
          <cell r="A2761" t="str">
            <v>G226019NLXCT</v>
          </cell>
          <cell r="B2761" t="str">
            <v>MKP000631005080</v>
          </cell>
          <cell r="C2761" t="str">
            <v/>
          </cell>
          <cell r="D2761" t="str">
            <v>Balcão 60 cm 3 Gavetas Rustic/Cinza Lux Madesa</v>
          </cell>
          <cell r="E2761" t="str">
            <v>LUX</v>
          </cell>
          <cell r="F2761" t="str">
            <v>MODULAÇÃO</v>
          </cell>
          <cell r="G2761" t="str">
            <v/>
          </cell>
          <cell r="H2761">
            <v>1289.99</v>
          </cell>
          <cell r="I2761">
            <v>1039.99</v>
          </cell>
          <cell r="J2761">
            <v>580.10889999999995</v>
          </cell>
          <cell r="K2761">
            <v>0</v>
          </cell>
          <cell r="L2761">
            <v>580.10889999999995</v>
          </cell>
          <cell r="M2761">
            <v>0</v>
          </cell>
          <cell r="N2761">
            <v>1039.99</v>
          </cell>
          <cell r="O2761" t="str">
            <v>LOJA</v>
          </cell>
          <cell r="P2761">
            <v>1029.99</v>
          </cell>
          <cell r="Q2761">
            <v>0.79274960270390604</v>
          </cell>
          <cell r="R2761">
            <v>0.79274960270390604</v>
          </cell>
          <cell r="S2761" t="e">
            <v>#VALUE!</v>
          </cell>
          <cell r="T2761" t="e">
            <v>#VALUE!</v>
          </cell>
        </row>
        <row r="2762">
          <cell r="A2762" t="str">
            <v>G22800H8LX</v>
          </cell>
          <cell r="B2762" t="str">
            <v>MKP000631004651</v>
          </cell>
          <cell r="C2762" t="str">
            <v/>
          </cell>
          <cell r="D2762" t="str">
            <v>Balcão Madesa Lux 80 cm 2 Portas (Sem Tampo) Rustic/Branco Veludo</v>
          </cell>
          <cell r="E2762" t="str">
            <v>LUX</v>
          </cell>
          <cell r="F2762" t="str">
            <v>MODULAÇÃO</v>
          </cell>
          <cell r="G2762" t="str">
            <v/>
          </cell>
          <cell r="H2762">
            <v>1019.99</v>
          </cell>
          <cell r="I2762">
            <v>679.99</v>
          </cell>
          <cell r="J2762">
            <v>339.05540000000002</v>
          </cell>
          <cell r="K2762">
            <v>0</v>
          </cell>
          <cell r="L2762">
            <v>339.05540000000002</v>
          </cell>
          <cell r="M2762">
            <v>0</v>
          </cell>
          <cell r="N2762">
            <v>679.99</v>
          </cell>
          <cell r="O2762" t="str">
            <v>LOJA</v>
          </cell>
          <cell r="P2762">
            <v>669.99</v>
          </cell>
          <cell r="Q2762">
            <v>1.00554245707339</v>
          </cell>
          <cell r="R2762">
            <v>1.00554245707339</v>
          </cell>
          <cell r="S2762" t="e">
            <v>#VALUE!</v>
          </cell>
          <cell r="T2762" t="e">
            <v>#VALUE!</v>
          </cell>
        </row>
        <row r="2763">
          <cell r="A2763" t="str">
            <v>XB10639B1E</v>
          </cell>
          <cell r="B2763" t="str">
            <v>MKP000631001439</v>
          </cell>
          <cell r="C2763" t="str">
            <v/>
          </cell>
          <cell r="D2763" t="str">
            <v>Guarda-Roupa Juvenil 100% MDF Madesa Kevin 3 Portas de Correr com Espelho Branco/Rustic</v>
          </cell>
          <cell r="E2763" t="str">
            <v>KEVIN</v>
          </cell>
          <cell r="F2763" t="str">
            <v>QUARTO</v>
          </cell>
          <cell r="G2763" t="str">
            <v/>
          </cell>
          <cell r="H2763">
            <v>2489.9899999999998</v>
          </cell>
          <cell r="I2763">
            <v>2129.9899999999998</v>
          </cell>
          <cell r="J2763">
            <v>1792.614</v>
          </cell>
          <cell r="K2763">
            <v>0</v>
          </cell>
          <cell r="L2763">
            <v>1792.614</v>
          </cell>
          <cell r="M2763">
            <v>0</v>
          </cell>
          <cell r="N2763">
            <v>2129.9899999999998</v>
          </cell>
          <cell r="O2763" t="str">
            <v/>
          </cell>
          <cell r="P2763">
            <v>0</v>
          </cell>
          <cell r="Q2763">
            <v>0.18820337228204201</v>
          </cell>
          <cell r="R2763">
            <v>0.18820337228204201</v>
          </cell>
          <cell r="S2763" t="e">
            <v>#VALUE!</v>
          </cell>
          <cell r="T2763" t="e">
            <v>#VALUE!</v>
          </cell>
        </row>
        <row r="2764">
          <cell r="A2764" t="str">
            <v>MDJA0601405ZSIL</v>
          </cell>
          <cell r="B2764" t="str">
            <v>MKP000631005351</v>
          </cell>
          <cell r="C2764" t="str">
            <v/>
          </cell>
          <cell r="D2764" t="str">
            <v>Conjunto Sala de Jantar Mesa Tampo de Madeira 6 Cadeiras Rustic/Silver Renata Madesa</v>
          </cell>
          <cell r="E2764" t="str">
            <v>RENATA</v>
          </cell>
          <cell r="F2764" t="str">
            <v>SALA DE JANTAR</v>
          </cell>
          <cell r="G2764">
            <v>4255</v>
          </cell>
          <cell r="H2764">
            <v>1469.99</v>
          </cell>
          <cell r="I2764">
            <v>1369.99</v>
          </cell>
          <cell r="J2764">
            <v>1064.2978000000001</v>
          </cell>
          <cell r="K2764">
            <v>0</v>
          </cell>
          <cell r="L2764">
            <v>1064.2978000000001</v>
          </cell>
          <cell r="M2764">
            <v>0</v>
          </cell>
          <cell r="N2764">
            <v>1369.99</v>
          </cell>
          <cell r="O2764" t="str">
            <v/>
          </cell>
          <cell r="P2764">
            <v>0</v>
          </cell>
          <cell r="Q2764">
            <v>0.28722430883536498</v>
          </cell>
          <cell r="R2764">
            <v>0.28722430883536498</v>
          </cell>
          <cell r="S2764" t="e">
            <v>#VALUE!</v>
          </cell>
          <cell r="T2764" t="e">
            <v>#VALUE!</v>
          </cell>
        </row>
        <row r="2765">
          <cell r="A2765" t="str">
            <v>G247506EAG</v>
          </cell>
          <cell r="B2765" t="str">
            <v>MKP000631004632</v>
          </cell>
          <cell r="C2765" t="str">
            <v/>
          </cell>
          <cell r="D2765" t="str">
            <v>Balcão de Canto Madesa Agata 1 Porta Rustic/Branco</v>
          </cell>
          <cell r="E2765" t="str">
            <v>ÁGATA</v>
          </cell>
          <cell r="F2765" t="str">
            <v>MODULAÇÃO</v>
          </cell>
          <cell r="G2765" t="str">
            <v/>
          </cell>
          <cell r="H2765">
            <v>729.99</v>
          </cell>
          <cell r="I2765">
            <v>539.99</v>
          </cell>
          <cell r="J2765">
            <v>314.9228</v>
          </cell>
          <cell r="K2765">
            <v>0</v>
          </cell>
          <cell r="L2765">
            <v>314.9228</v>
          </cell>
          <cell r="M2765">
            <v>0</v>
          </cell>
          <cell r="N2765">
            <v>539.99</v>
          </cell>
          <cell r="O2765" t="str">
            <v/>
          </cell>
          <cell r="P2765">
            <v>0</v>
          </cell>
          <cell r="Q2765">
            <v>0.71467419951810396</v>
          </cell>
          <cell r="R2765">
            <v>0.71467419951810396</v>
          </cell>
          <cell r="S2765" t="e">
            <v>#VALUE!</v>
          </cell>
          <cell r="T2765" t="e">
            <v>#VALUE!</v>
          </cell>
        </row>
        <row r="2766">
          <cell r="A2766" t="str">
            <v>GRGL31500273</v>
          </cell>
          <cell r="B2766" t="str">
            <v>MKP000631004357</v>
          </cell>
          <cell r="C2766" t="str">
            <v/>
          </cell>
          <cell r="D2766" t="str">
            <v>Armário de Cozinha Completa 315cm Branco/Preto Glamy Madesa 02</v>
          </cell>
          <cell r="E2766" t="str">
            <v>GLAMY</v>
          </cell>
          <cell r="F2766" t="str">
            <v>COZINHA</v>
          </cell>
          <cell r="G2766" t="str">
            <v/>
          </cell>
          <cell r="H2766">
            <v>2599.9899999999998</v>
          </cell>
          <cell r="I2766">
            <v>2499.9899999999998</v>
          </cell>
          <cell r="J2766">
            <v>2108.5286999999998</v>
          </cell>
          <cell r="K2766">
            <v>0</v>
          </cell>
          <cell r="L2766">
            <v>2108.5286999999998</v>
          </cell>
          <cell r="M2766">
            <v>0</v>
          </cell>
          <cell r="N2766">
            <v>2499.9899999999998</v>
          </cell>
          <cell r="O2766" t="str">
            <v/>
          </cell>
          <cell r="P2766">
            <v>0</v>
          </cell>
          <cell r="Q2766">
            <v>0.185656140227069</v>
          </cell>
          <cell r="R2766">
            <v>0.185656140227069</v>
          </cell>
          <cell r="S2766" t="e">
            <v>#VALUE!</v>
          </cell>
          <cell r="T2766" t="e">
            <v>#VALUE!</v>
          </cell>
        </row>
        <row r="2767">
          <cell r="A2767" t="str">
            <v>GRAG20000109</v>
          </cell>
          <cell r="B2767" t="str">
            <v>MKP000631004911</v>
          </cell>
          <cell r="C2767" t="str">
            <v/>
          </cell>
          <cell r="D2767" t="str">
            <v>Kit com 2 Balcões de Cozinha Madesa Agata 3 Gavetas 4 Portas (Sem Tampo e Pia) Branco</v>
          </cell>
          <cell r="E2767" t="str">
            <v>ÁGATA</v>
          </cell>
          <cell r="F2767" t="str">
            <v>COZINHA</v>
          </cell>
          <cell r="G2767" t="str">
            <v/>
          </cell>
          <cell r="H2767">
            <v>1169.99</v>
          </cell>
          <cell r="I2767">
            <v>1069.99</v>
          </cell>
          <cell r="J2767">
            <v>868.41390000000001</v>
          </cell>
          <cell r="K2767">
            <v>0</v>
          </cell>
          <cell r="L2767">
            <v>868.41390000000001</v>
          </cell>
          <cell r="M2767">
            <v>0</v>
          </cell>
          <cell r="N2767">
            <v>1069.99</v>
          </cell>
          <cell r="O2767" t="str">
            <v/>
          </cell>
          <cell r="P2767">
            <v>0</v>
          </cell>
          <cell r="Q2767">
            <v>0.23211984515678499</v>
          </cell>
          <cell r="R2767">
            <v>0.23211984515678499</v>
          </cell>
          <cell r="S2767" t="e">
            <v>#VALUE!</v>
          </cell>
          <cell r="T2767" t="e">
            <v>#VALUE!</v>
          </cell>
        </row>
        <row r="2768">
          <cell r="A2768" t="str">
            <v>GRGL290011A5</v>
          </cell>
          <cell r="B2768" t="str">
            <v>MKP000631001222</v>
          </cell>
          <cell r="C2768" t="str">
            <v/>
          </cell>
          <cell r="D2768" t="str">
            <v>Armário de Cozinha Completa 290cm Branco/Crema Vicenza Madesa 11</v>
          </cell>
          <cell r="E2768" t="str">
            <v>VICENZA/GLAMY</v>
          </cell>
          <cell r="F2768" t="str">
            <v>COZINHA</v>
          </cell>
          <cell r="G2768" t="str">
            <v/>
          </cell>
          <cell r="H2768">
            <v>2799.99</v>
          </cell>
          <cell r="I2768">
            <v>2699.99</v>
          </cell>
          <cell r="J2768">
            <v>2184.8832000000002</v>
          </cell>
          <cell r="K2768">
            <v>0</v>
          </cell>
          <cell r="L2768">
            <v>2184.8832000000002</v>
          </cell>
          <cell r="M2768">
            <v>0</v>
          </cell>
          <cell r="N2768">
            <v>2699.99</v>
          </cell>
          <cell r="O2768" t="str">
            <v/>
          </cell>
          <cell r="P2768">
            <v>0</v>
          </cell>
          <cell r="Q2768">
            <v>0.235759421830879</v>
          </cell>
          <cell r="R2768">
            <v>0.235759421830879</v>
          </cell>
          <cell r="S2768" t="e">
            <v>#VALUE!</v>
          </cell>
          <cell r="T2768" t="e">
            <v>#VALUE!</v>
          </cell>
        </row>
        <row r="2769">
          <cell r="A2769" t="str">
            <v>XA10639B1BCP</v>
          </cell>
          <cell r="B2769" t="str">
            <v>MKP000631001464</v>
          </cell>
          <cell r="C2769" t="str">
            <v/>
          </cell>
          <cell r="D2769" t="str">
            <v>Guarda-Roupa Infantil Madesa Logan 100% MDF 3 Portas de Correr com Pés Branco/Rustic/Branco</v>
          </cell>
          <cell r="E2769" t="str">
            <v>LOGAN</v>
          </cell>
          <cell r="F2769" t="str">
            <v>QUARTO</v>
          </cell>
          <cell r="G2769" t="str">
            <v/>
          </cell>
          <cell r="H2769">
            <v>2589.9899999999998</v>
          </cell>
          <cell r="I2769">
            <v>1969.99</v>
          </cell>
          <cell r="J2769">
            <v>1597.5367000000001</v>
          </cell>
          <cell r="K2769">
            <v>0</v>
          </cell>
          <cell r="L2769">
            <v>1597.5367000000001</v>
          </cell>
          <cell r="M2769">
            <v>0</v>
          </cell>
          <cell r="N2769">
            <v>1969.99</v>
          </cell>
          <cell r="O2769" t="str">
            <v/>
          </cell>
          <cell r="P2769">
            <v>0</v>
          </cell>
          <cell r="Q2769">
            <v>0.23314224956459501</v>
          </cell>
          <cell r="R2769">
            <v>0.23314224956459501</v>
          </cell>
          <cell r="S2769" t="e">
            <v>#VALUE!</v>
          </cell>
          <cell r="T2769" t="e">
            <v>#VALUE!</v>
          </cell>
        </row>
        <row r="2770">
          <cell r="A2770" t="str">
            <v>GCAG499001F8</v>
          </cell>
          <cell r="B2770" t="str">
            <v>MKP000631005620</v>
          </cell>
          <cell r="C2770" t="str">
            <v/>
          </cell>
          <cell r="D2770" t="str">
            <v>Armário de Cozinha Planejada de Canto 499cm Branco/Cinza Agata Madesa 01</v>
          </cell>
          <cell r="E2770" t="str">
            <v>ÁGATA</v>
          </cell>
          <cell r="F2770" t="str">
            <v>COZINHA</v>
          </cell>
          <cell r="G2770" t="str">
            <v/>
          </cell>
          <cell r="H2770">
            <v>4219.99</v>
          </cell>
          <cell r="I2770">
            <v>4099.99</v>
          </cell>
          <cell r="J2770">
            <v>3274.9268000000002</v>
          </cell>
          <cell r="K2770">
            <v>0</v>
          </cell>
          <cell r="L2770">
            <v>3274.9268000000002</v>
          </cell>
          <cell r="M2770">
            <v>0</v>
          </cell>
          <cell r="N2770">
            <v>4099.99</v>
          </cell>
          <cell r="O2770" t="str">
            <v/>
          </cell>
          <cell r="P2770">
            <v>0</v>
          </cell>
          <cell r="Q2770">
            <v>0.25193332565478999</v>
          </cell>
          <cell r="R2770">
            <v>0.25193332565478999</v>
          </cell>
          <cell r="S2770" t="e">
            <v>#VALUE!</v>
          </cell>
          <cell r="T2770" t="e">
            <v>#VALUE!</v>
          </cell>
        </row>
        <row r="2771">
          <cell r="A2771" t="str">
            <v>GCTE4890016E</v>
          </cell>
          <cell r="B2771" t="str">
            <v>MKP000631005122</v>
          </cell>
          <cell r="C2771" t="str">
            <v/>
          </cell>
          <cell r="D2771" t="str">
            <v>Armário de Cozinha Completa de Canto 489cm Rustic/Branco Stella Madesa</v>
          </cell>
          <cell r="E2771" t="str">
            <v>STELLA</v>
          </cell>
          <cell r="F2771" t="str">
            <v>COZINHA</v>
          </cell>
          <cell r="G2771" t="str">
            <v/>
          </cell>
          <cell r="H2771">
            <v>3499.99</v>
          </cell>
          <cell r="I2771">
            <v>3499.99</v>
          </cell>
          <cell r="J2771">
            <v>2727.3980000000001</v>
          </cell>
          <cell r="K2771">
            <v>0</v>
          </cell>
          <cell r="L2771">
            <v>2727.3980000000001</v>
          </cell>
          <cell r="M2771">
            <v>0</v>
          </cell>
          <cell r="N2771">
            <v>3499.99</v>
          </cell>
          <cell r="O2771" t="str">
            <v/>
          </cell>
          <cell r="P2771">
            <v>0</v>
          </cell>
          <cell r="Q2771">
            <v>0.28327072176484702</v>
          </cell>
          <cell r="R2771">
            <v>0.28327072176484702</v>
          </cell>
          <cell r="S2771" t="e">
            <v>#VALUE!</v>
          </cell>
          <cell r="T2771" t="e">
            <v>#VALUE!</v>
          </cell>
        </row>
        <row r="2772">
          <cell r="A2772" t="str">
            <v>G241239BGL</v>
          </cell>
          <cell r="B2772" t="str">
            <v>MKP000631000831</v>
          </cell>
          <cell r="C2772" t="str">
            <v/>
          </cell>
          <cell r="D2772" t="str">
            <v>Balcão Gabinete de Pia Madesa Glamy 120 cm 1 Porta 2 Gavetas (Sem Tampo e Pia) Branco/Rustic</v>
          </cell>
          <cell r="E2772" t="str">
            <v>GLAMY</v>
          </cell>
          <cell r="F2772" t="str">
            <v>MODULAÇÃO</v>
          </cell>
          <cell r="G2772" t="str">
            <v/>
          </cell>
          <cell r="H2772">
            <v>1149.99</v>
          </cell>
          <cell r="I2772">
            <v>579.99</v>
          </cell>
          <cell r="J2772">
            <v>447.5976</v>
          </cell>
          <cell r="K2772">
            <v>0</v>
          </cell>
          <cell r="L2772">
            <v>447.5976</v>
          </cell>
          <cell r="M2772">
            <v>0</v>
          </cell>
          <cell r="N2772">
            <v>579.99</v>
          </cell>
          <cell r="O2772" t="str">
            <v/>
          </cell>
          <cell r="P2772">
            <v>0</v>
          </cell>
          <cell r="Q2772">
            <v>0.29578442779853997</v>
          </cell>
          <cell r="R2772">
            <v>0.29578442779853997</v>
          </cell>
          <cell r="S2772" t="e">
            <v>#VALUE!</v>
          </cell>
          <cell r="T2772" t="e">
            <v>#VALUE!</v>
          </cell>
        </row>
        <row r="2773">
          <cell r="A2773" t="str">
            <v>G24601F8AG</v>
          </cell>
          <cell r="B2773" t="str">
            <v>MKP000631002640</v>
          </cell>
          <cell r="C2773" t="str">
            <v/>
          </cell>
          <cell r="D2773" t="str">
            <v>Balcão Madesa Agata 60 cm 3 Gavetas Branco/Cinza</v>
          </cell>
          <cell r="E2773" t="str">
            <v>ÁGATA</v>
          </cell>
          <cell r="F2773" t="str">
            <v>MODULAÇÃO</v>
          </cell>
          <cell r="G2773" t="str">
            <v/>
          </cell>
          <cell r="H2773">
            <v>1019.99</v>
          </cell>
          <cell r="I2773">
            <v>579.99</v>
          </cell>
          <cell r="J2773">
            <v>373.48849999999999</v>
          </cell>
          <cell r="K2773">
            <v>0</v>
          </cell>
          <cell r="L2773">
            <v>373.48849999999999</v>
          </cell>
          <cell r="M2773">
            <v>0</v>
          </cell>
          <cell r="N2773">
            <v>579.99</v>
          </cell>
          <cell r="O2773" t="str">
            <v/>
          </cell>
          <cell r="P2773">
            <v>0</v>
          </cell>
          <cell r="Q2773">
            <v>0.55289921911919704</v>
          </cell>
          <cell r="R2773">
            <v>0.55289921911919704</v>
          </cell>
          <cell r="S2773" t="e">
            <v>#VALUE!</v>
          </cell>
          <cell r="T2773" t="e">
            <v>#VALUE!</v>
          </cell>
        </row>
        <row r="2774">
          <cell r="A2774" t="str">
            <v>G24700F8AG</v>
          </cell>
          <cell r="B2774" t="str">
            <v>MKP000631003443</v>
          </cell>
          <cell r="C2774" t="str">
            <v/>
          </cell>
          <cell r="D2774" t="str">
            <v>Balcão de Cozinha Madesa Agata 70 cm 2 Portas Branco/Cinza</v>
          </cell>
          <cell r="E2774" t="str">
            <v>ÁGATA</v>
          </cell>
          <cell r="F2774" t="str">
            <v>MODULAÇÃO</v>
          </cell>
          <cell r="G2774" t="str">
            <v/>
          </cell>
          <cell r="H2774">
            <v>869.99</v>
          </cell>
          <cell r="I2774">
            <v>519.99</v>
          </cell>
          <cell r="J2774">
            <v>316.08909999999997</v>
          </cell>
          <cell r="K2774">
            <v>0</v>
          </cell>
          <cell r="L2774">
            <v>316.08909999999997</v>
          </cell>
          <cell r="M2774">
            <v>0</v>
          </cell>
          <cell r="N2774">
            <v>519.99</v>
          </cell>
          <cell r="O2774" t="str">
            <v/>
          </cell>
          <cell r="P2774">
            <v>0</v>
          </cell>
          <cell r="Q2774">
            <v>0.64507412625111105</v>
          </cell>
          <cell r="R2774">
            <v>0.64507412625111105</v>
          </cell>
          <cell r="S2774" t="e">
            <v>#VALUE!</v>
          </cell>
          <cell r="T2774" t="e">
            <v>#VALUE!</v>
          </cell>
        </row>
        <row r="2775">
          <cell r="A2775" t="str">
            <v>G258046EGL</v>
          </cell>
          <cell r="B2775" t="str">
            <v>MKP000631000552</v>
          </cell>
          <cell r="C2775" t="str">
            <v/>
          </cell>
          <cell r="D2775" t="str">
            <v>Armário Aéreo Madesa Glamy 80 cm 1 Porta Basculante Rustic/Branco</v>
          </cell>
          <cell r="E2775" t="str">
            <v>GLAMY</v>
          </cell>
          <cell r="F2775" t="str">
            <v>MODULAÇÃO</v>
          </cell>
          <cell r="G2775" t="str">
            <v/>
          </cell>
          <cell r="H2775">
            <v>399.99</v>
          </cell>
          <cell r="I2775">
            <v>289.99</v>
          </cell>
          <cell r="J2775">
            <v>174.38910000000001</v>
          </cell>
          <cell r="K2775">
            <v>0</v>
          </cell>
          <cell r="L2775">
            <v>174.38910000000001</v>
          </cell>
          <cell r="M2775">
            <v>0</v>
          </cell>
          <cell r="N2775">
            <v>289.99</v>
          </cell>
          <cell r="O2775" t="str">
            <v/>
          </cell>
          <cell r="P2775">
            <v>0</v>
          </cell>
          <cell r="Q2775">
            <v>0.66289062791195097</v>
          </cell>
          <cell r="R2775">
            <v>0.66289062791195097</v>
          </cell>
          <cell r="S2775" t="e">
            <v>#VALUE!</v>
          </cell>
          <cell r="T2775" t="e">
            <v>#VALUE!</v>
          </cell>
        </row>
        <row r="2776">
          <cell r="A2776" t="str">
            <v>G2665509AG</v>
          </cell>
          <cell r="B2776" t="str">
            <v>MKP000631004746</v>
          </cell>
          <cell r="C2776" t="str">
            <v/>
          </cell>
          <cell r="D2776" t="str">
            <v>Torre Quente Madesa Agata 60 cm 1 Porta 3 Gavetas Branco</v>
          </cell>
          <cell r="E2776" t="str">
            <v>ÁGATA</v>
          </cell>
          <cell r="F2776" t="str">
            <v>MODULAÇÃO</v>
          </cell>
          <cell r="G2776" t="str">
            <v/>
          </cell>
          <cell r="H2776">
            <v>1019.99</v>
          </cell>
          <cell r="I2776">
            <v>919.99</v>
          </cell>
          <cell r="J2776">
            <v>547.2672</v>
          </cell>
          <cell r="K2776">
            <v>0</v>
          </cell>
          <cell r="L2776">
            <v>547.2672</v>
          </cell>
          <cell r="M2776">
            <v>0</v>
          </cell>
          <cell r="N2776">
            <v>919.99</v>
          </cell>
          <cell r="O2776" t="str">
            <v/>
          </cell>
          <cell r="P2776">
            <v>0</v>
          </cell>
          <cell r="Q2776">
            <v>0.68106182866431597</v>
          </cell>
          <cell r="R2776">
            <v>0.68106182866431597</v>
          </cell>
          <cell r="S2776" t="e">
            <v>#VALUE!</v>
          </cell>
          <cell r="T2776" t="e">
            <v>#VALUE!</v>
          </cell>
        </row>
        <row r="2777">
          <cell r="A2777" t="str">
            <v>105500A</v>
          </cell>
          <cell r="B2777" t="str">
            <v>MKP000631002834</v>
          </cell>
          <cell r="C2777" t="str">
            <v/>
          </cell>
          <cell r="D2777" t="str">
            <v>Kit Madesa com 6 Espelhos de 30 x 59,5 cm para Guarda-Roupa</v>
          </cell>
          <cell r="E2777" t="str">
            <v>KIT ESPELHO</v>
          </cell>
          <cell r="F2777" t="str">
            <v>QUARTO</v>
          </cell>
          <cell r="G2777" t="str">
            <v/>
          </cell>
          <cell r="H2777">
            <v>409.99</v>
          </cell>
          <cell r="I2777">
            <v>299.99</v>
          </cell>
          <cell r="J2777">
            <v>173.0266</v>
          </cell>
          <cell r="K2777">
            <v>0</v>
          </cell>
          <cell r="L2777">
            <v>173.0266</v>
          </cell>
          <cell r="M2777">
            <v>0</v>
          </cell>
          <cell r="N2777">
            <v>299.99</v>
          </cell>
          <cell r="O2777" t="str">
            <v/>
          </cell>
          <cell r="P2777">
            <v>0</v>
          </cell>
          <cell r="Q2777">
            <v>0.73377966162428199</v>
          </cell>
          <cell r="R2777">
            <v>0.73377966162428199</v>
          </cell>
          <cell r="S2777" t="e">
            <v>#VALUE!</v>
          </cell>
          <cell r="T2777" t="e">
            <v>#VALUE!</v>
          </cell>
        </row>
        <row r="2778">
          <cell r="A2778" t="str">
            <v>G270805ZTE</v>
          </cell>
          <cell r="B2778" t="str">
            <v>MKP000631003168</v>
          </cell>
          <cell r="C2778" t="str">
            <v/>
          </cell>
          <cell r="D2778" t="str">
            <v>Porta-Geladeira Madesa Stella 1 Porta Basculante Rustic</v>
          </cell>
          <cell r="E2778" t="str">
            <v>STELLA</v>
          </cell>
          <cell r="F2778" t="str">
            <v>MODULAÇÃO</v>
          </cell>
          <cell r="G2778" t="str">
            <v/>
          </cell>
          <cell r="H2778">
            <v>949.99</v>
          </cell>
          <cell r="I2778">
            <v>619.99</v>
          </cell>
          <cell r="J2778">
            <v>356.32100000000003</v>
          </cell>
          <cell r="K2778">
            <v>0</v>
          </cell>
          <cell r="L2778">
            <v>356.32100000000003</v>
          </cell>
          <cell r="M2778">
            <v>0</v>
          </cell>
          <cell r="N2778">
            <v>619.99</v>
          </cell>
          <cell r="O2778" t="str">
            <v/>
          </cell>
          <cell r="P2778">
            <v>0</v>
          </cell>
          <cell r="Q2778">
            <v>0.73997603284678704</v>
          </cell>
          <cell r="R2778">
            <v>0.73997603284678704</v>
          </cell>
          <cell r="S2778" t="e">
            <v>#VALUE!</v>
          </cell>
          <cell r="T2778" t="e">
            <v>#VALUE!</v>
          </cell>
        </row>
        <row r="2779">
          <cell r="A2779" t="str">
            <v>G256006EAG</v>
          </cell>
          <cell r="B2779" t="str">
            <v>MKP000631004420</v>
          </cell>
          <cell r="C2779" t="str">
            <v/>
          </cell>
          <cell r="D2779" t="str">
            <v>Armário Aéreo Madesa Agata 60 cm 1 Porta Rustic/Branco</v>
          </cell>
          <cell r="E2779" t="str">
            <v>ÁGATA</v>
          </cell>
          <cell r="F2779" t="str">
            <v>MODULAÇÃO</v>
          </cell>
          <cell r="G2779" t="str">
            <v/>
          </cell>
          <cell r="H2779">
            <v>439.99</v>
          </cell>
          <cell r="I2779">
            <v>319.99</v>
          </cell>
          <cell r="J2779">
            <v>183.3271</v>
          </cell>
          <cell r="K2779">
            <v>0</v>
          </cell>
          <cell r="L2779">
            <v>183.3271</v>
          </cell>
          <cell r="M2779">
            <v>0</v>
          </cell>
          <cell r="N2779">
            <v>319.99</v>
          </cell>
          <cell r="O2779" t="str">
            <v/>
          </cell>
          <cell r="P2779">
            <v>0</v>
          </cell>
          <cell r="Q2779">
            <v>0.74545934561775096</v>
          </cell>
          <cell r="R2779">
            <v>0.74545934561775096</v>
          </cell>
          <cell r="S2779" t="e">
            <v>#VALUE!</v>
          </cell>
          <cell r="T2779" t="e">
            <v>#VALUE!</v>
          </cell>
        </row>
        <row r="2780">
          <cell r="A2780" t="str">
            <v>G267557GAG</v>
          </cell>
          <cell r="B2780" t="str">
            <v>MKP000631005373</v>
          </cell>
          <cell r="C2780" t="str">
            <v/>
          </cell>
          <cell r="D2780" t="str">
            <v>Torre Quente 70 cm 3 Portas Rustic/Crema Agata Madesa</v>
          </cell>
          <cell r="E2780" t="str">
            <v>ÁGATA</v>
          </cell>
          <cell r="F2780" t="str">
            <v>MODULAÇÃO</v>
          </cell>
          <cell r="G2780" t="str">
            <v/>
          </cell>
          <cell r="H2780">
            <v>1049.99</v>
          </cell>
          <cell r="I2780">
            <v>949.99</v>
          </cell>
          <cell r="J2780">
            <v>520.20249999999999</v>
          </cell>
          <cell r="K2780">
            <v>0</v>
          </cell>
          <cell r="L2780">
            <v>520.20249999999999</v>
          </cell>
          <cell r="M2780">
            <v>0</v>
          </cell>
          <cell r="N2780">
            <v>949.99</v>
          </cell>
          <cell r="O2780" t="str">
            <v/>
          </cell>
          <cell r="P2780">
            <v>0</v>
          </cell>
          <cell r="Q2780">
            <v>0.82619268457956296</v>
          </cell>
          <cell r="R2780">
            <v>0.82619268457956296</v>
          </cell>
          <cell r="S2780" t="e">
            <v>#VALUE!</v>
          </cell>
          <cell r="T2780" t="e">
            <v>#VALUE!</v>
          </cell>
        </row>
        <row r="2781">
          <cell r="A2781" t="str">
            <v>G257577GAG</v>
          </cell>
          <cell r="B2781" t="str">
            <v>MKP000631005400</v>
          </cell>
          <cell r="C2781" t="str">
            <v/>
          </cell>
          <cell r="D2781" t="str">
            <v>Armário Aéreo de Canto 1 Porta para linha de 60 cm de profundidade Rustic/Crema Agata Madesa</v>
          </cell>
          <cell r="E2781" t="str">
            <v>ÁGATA</v>
          </cell>
          <cell r="F2781" t="str">
            <v>MODULAÇÃO</v>
          </cell>
          <cell r="G2781" t="str">
            <v/>
          </cell>
          <cell r="H2781">
            <v>669.99</v>
          </cell>
          <cell r="I2781">
            <v>569.99</v>
          </cell>
          <cell r="J2781">
            <v>284.86059999999998</v>
          </cell>
          <cell r="K2781">
            <v>0</v>
          </cell>
          <cell r="L2781">
            <v>284.86059999999998</v>
          </cell>
          <cell r="M2781">
            <v>0</v>
          </cell>
          <cell r="N2781">
            <v>569.99</v>
          </cell>
          <cell r="O2781" t="str">
            <v/>
          </cell>
          <cell r="P2781">
            <v>0</v>
          </cell>
          <cell r="Q2781">
            <v>1.0009436194405299</v>
          </cell>
          <cell r="R2781">
            <v>1.0009436194405299</v>
          </cell>
          <cell r="S2781" t="e">
            <v>#VALUE!</v>
          </cell>
          <cell r="T2781" t="e">
            <v>#VALUE!</v>
          </cell>
        </row>
        <row r="2782">
          <cell r="A2782" t="str">
            <v>GRSM30000109</v>
          </cell>
          <cell r="B2782" t="str">
            <v>MKP000631001796</v>
          </cell>
          <cell r="C2782" t="str">
            <v/>
          </cell>
          <cell r="D2782" t="str">
            <v>Armário de Cozinha Completa 100% MDF 300 cm Frentes Branco Smart Madesa 01</v>
          </cell>
          <cell r="E2782" t="str">
            <v>SMART</v>
          </cell>
          <cell r="F2782" t="str">
            <v>COZINHA</v>
          </cell>
          <cell r="G2782" t="str">
            <v/>
          </cell>
          <cell r="H2782">
            <v>2499.9899999999998</v>
          </cell>
          <cell r="I2782">
            <v>1999.99</v>
          </cell>
          <cell r="J2782">
            <v>1648.9738</v>
          </cell>
          <cell r="K2782">
            <v>0</v>
          </cell>
          <cell r="L2782">
            <v>1648.9738</v>
          </cell>
          <cell r="M2782">
            <v>0</v>
          </cell>
          <cell r="N2782">
            <v>1999.99</v>
          </cell>
          <cell r="O2782" t="str">
            <v>IMPÉRIO</v>
          </cell>
          <cell r="P2782">
            <v>2159</v>
          </cell>
          <cell r="Q2782">
            <v>0.212869482826228</v>
          </cell>
          <cell r="R2782">
            <v>0.212869482826228</v>
          </cell>
          <cell r="S2782" t="e">
            <v>#VALUE!</v>
          </cell>
          <cell r="T2782" t="e">
            <v>#VALUE!</v>
          </cell>
        </row>
        <row r="2783">
          <cell r="A2783" t="str">
            <v>GRGL27001373</v>
          </cell>
          <cell r="B2783" t="str">
            <v>MKP000631004606</v>
          </cell>
          <cell r="C2783" t="str">
            <v/>
          </cell>
          <cell r="D2783" t="str">
            <v>Armário de Cozinha Completa 270cm Branco/Preto Glamy Madesa 13</v>
          </cell>
          <cell r="E2783" t="str">
            <v>GLAMY</v>
          </cell>
          <cell r="F2783" t="str">
            <v>COZINHA</v>
          </cell>
          <cell r="G2783" t="str">
            <v/>
          </cell>
          <cell r="H2783">
            <v>2299.9899999999998</v>
          </cell>
          <cell r="I2783">
            <v>2199.9899999999998</v>
          </cell>
          <cell r="J2783">
            <v>1819.4498000000001</v>
          </cell>
          <cell r="K2783">
            <v>0</v>
          </cell>
          <cell r="L2783">
            <v>1819.4498000000001</v>
          </cell>
          <cell r="M2783">
            <v>0</v>
          </cell>
          <cell r="N2783">
            <v>2199.9899999999998</v>
          </cell>
          <cell r="O2783" t="str">
            <v/>
          </cell>
          <cell r="P2783">
            <v>0</v>
          </cell>
          <cell r="Q2783">
            <v>0.20915125000975501</v>
          </cell>
          <cell r="R2783">
            <v>0.20915125000975501</v>
          </cell>
          <cell r="S2783" t="e">
            <v>#VALUE!</v>
          </cell>
          <cell r="T2783" t="e">
            <v>#VALUE!</v>
          </cell>
        </row>
        <row r="2784">
          <cell r="A2784" t="str">
            <v>XA10639B2ECP</v>
          </cell>
          <cell r="B2784" t="str">
            <v>MKP000631001488</v>
          </cell>
          <cell r="C2784" t="str">
            <v/>
          </cell>
          <cell r="D2784" t="str">
            <v>Guarda-Roupa Infantil Madesa Logan 100% MDF 3 Portas de Correr com Espelhos com Pés Branco/Rustic</v>
          </cell>
          <cell r="E2784" t="str">
            <v>LOGAN</v>
          </cell>
          <cell r="F2784" t="str">
            <v>QUARTO</v>
          </cell>
          <cell r="G2784" t="str">
            <v/>
          </cell>
          <cell r="H2784">
            <v>4119.99</v>
          </cell>
          <cell r="I2784">
            <v>2559.9899999999998</v>
          </cell>
          <cell r="J2784">
            <v>2080.0578999999998</v>
          </cell>
          <cell r="K2784">
            <v>0</v>
          </cell>
          <cell r="L2784">
            <v>2080.0578999999998</v>
          </cell>
          <cell r="M2784">
            <v>0</v>
          </cell>
          <cell r="N2784">
            <v>2559.9899999999998</v>
          </cell>
          <cell r="O2784" t="str">
            <v/>
          </cell>
          <cell r="P2784">
            <v>0</v>
          </cell>
          <cell r="Q2784">
            <v>0.23073016380938199</v>
          </cell>
          <cell r="R2784">
            <v>0.23073016380938199</v>
          </cell>
          <cell r="S2784" t="e">
            <v>#VALUE!</v>
          </cell>
          <cell r="T2784" t="e">
            <v>#VALUE!</v>
          </cell>
        </row>
        <row r="2785">
          <cell r="A2785" t="str">
            <v>GRAG1500016E</v>
          </cell>
          <cell r="B2785" t="str">
            <v>MKP000631004669</v>
          </cell>
          <cell r="C2785" t="str">
            <v/>
          </cell>
          <cell r="D2785" t="str">
            <v>Armário de Cozinha Compacta 150cm Rustic/Branco Agata Madesa 01</v>
          </cell>
          <cell r="E2785" t="str">
            <v>ÁGATA</v>
          </cell>
          <cell r="F2785" t="str">
            <v>COZINHA</v>
          </cell>
          <cell r="G2785" t="str">
            <v/>
          </cell>
          <cell r="H2785">
            <v>1249.99</v>
          </cell>
          <cell r="I2785">
            <v>1069.99</v>
          </cell>
          <cell r="J2785">
            <v>867.71630000000005</v>
          </cell>
          <cell r="K2785">
            <v>0</v>
          </cell>
          <cell r="L2785">
            <v>867.71630000000005</v>
          </cell>
          <cell r="M2785">
            <v>0</v>
          </cell>
          <cell r="N2785">
            <v>1069.99</v>
          </cell>
          <cell r="O2785" t="str">
            <v/>
          </cell>
          <cell r="P2785">
            <v>0</v>
          </cell>
          <cell r="Q2785">
            <v>0.233110407168794</v>
          </cell>
          <cell r="R2785">
            <v>0.233110407168794</v>
          </cell>
          <cell r="S2785" t="e">
            <v>#VALUE!</v>
          </cell>
          <cell r="T2785" t="e">
            <v>#VALUE!</v>
          </cell>
        </row>
        <row r="2786">
          <cell r="A2786" t="str">
            <v>GRAG12000173</v>
          </cell>
          <cell r="B2786" t="str">
            <v>MKP000631004285</v>
          </cell>
          <cell r="C2786" t="str">
            <v/>
          </cell>
          <cell r="D2786" t="str">
            <v>Armário de Cozinha Compacta 120cm Branco/Preto Agata Madesa 01</v>
          </cell>
          <cell r="E2786" t="str">
            <v>ÁGATA</v>
          </cell>
          <cell r="F2786" t="str">
            <v>COZINHA</v>
          </cell>
          <cell r="G2786" t="str">
            <v/>
          </cell>
          <cell r="H2786">
            <v>1389.99</v>
          </cell>
          <cell r="I2786">
            <v>1059.99</v>
          </cell>
          <cell r="J2786">
            <v>850.05830000000003</v>
          </cell>
          <cell r="K2786">
            <v>0</v>
          </cell>
          <cell r="L2786">
            <v>850.05830000000003</v>
          </cell>
          <cell r="M2786">
            <v>0</v>
          </cell>
          <cell r="N2786">
            <v>1059.99</v>
          </cell>
          <cell r="O2786" t="str">
            <v/>
          </cell>
          <cell r="P2786">
            <v>0</v>
          </cell>
          <cell r="Q2786">
            <v>0.246961531932574</v>
          </cell>
          <cell r="R2786">
            <v>0.246961531932574</v>
          </cell>
          <cell r="S2786" t="e">
            <v>#VALUE!</v>
          </cell>
          <cell r="T2786" t="e">
            <v>#VALUE!</v>
          </cell>
        </row>
        <row r="2787">
          <cell r="A2787" t="str">
            <v>GRAG15000273</v>
          </cell>
          <cell r="B2787" t="str">
            <v>MKP000631004277</v>
          </cell>
          <cell r="C2787" t="str">
            <v/>
          </cell>
          <cell r="D2787" t="str">
            <v>Armário de Cozinha Compacta 150cm Branco/Preto Agata Madesa 02</v>
          </cell>
          <cell r="E2787" t="str">
            <v>ÁGATA</v>
          </cell>
          <cell r="F2787" t="str">
            <v>COZINHA</v>
          </cell>
          <cell r="G2787" t="str">
            <v/>
          </cell>
          <cell r="H2787">
            <v>1169.99</v>
          </cell>
          <cell r="I2787">
            <v>959.99</v>
          </cell>
          <cell r="J2787">
            <v>764.01369999999997</v>
          </cell>
          <cell r="K2787">
            <v>0</v>
          </cell>
          <cell r="L2787">
            <v>764.01369999999997</v>
          </cell>
          <cell r="M2787">
            <v>0</v>
          </cell>
          <cell r="N2787">
            <v>959.99</v>
          </cell>
          <cell r="O2787" t="str">
            <v/>
          </cell>
          <cell r="P2787">
            <v>0</v>
          </cell>
          <cell r="Q2787">
            <v>0.25650888197423699</v>
          </cell>
          <cell r="R2787">
            <v>0.25650888197423699</v>
          </cell>
          <cell r="S2787" t="e">
            <v>#VALUE!</v>
          </cell>
          <cell r="T2787" t="e">
            <v>#VALUE!</v>
          </cell>
        </row>
        <row r="2788">
          <cell r="A2788" t="str">
            <v>GRGL2400077K</v>
          </cell>
          <cell r="B2788" t="str">
            <v>MKP000631005036</v>
          </cell>
          <cell r="C2788" t="str">
            <v/>
          </cell>
          <cell r="D2788" t="str">
            <v>Armário de Cozinha Completa 240cm Rustic/Preto Glamy Madesa 07</v>
          </cell>
          <cell r="E2788" t="str">
            <v>GLAMY</v>
          </cell>
          <cell r="F2788" t="str">
            <v>COZINHA</v>
          </cell>
          <cell r="G2788" t="str">
            <v/>
          </cell>
          <cell r="H2788">
            <v>1779.99</v>
          </cell>
          <cell r="I2788">
            <v>1779.99</v>
          </cell>
          <cell r="J2788">
            <v>1345.278</v>
          </cell>
          <cell r="K2788">
            <v>0</v>
          </cell>
          <cell r="L2788">
            <v>1345.278</v>
          </cell>
          <cell r="M2788">
            <v>0</v>
          </cell>
          <cell r="N2788">
            <v>1779.99</v>
          </cell>
          <cell r="O2788" t="str">
            <v/>
          </cell>
          <cell r="P2788">
            <v>0</v>
          </cell>
          <cell r="Q2788">
            <v>0.32313915785436098</v>
          </cell>
          <cell r="R2788">
            <v>0.32313915785436098</v>
          </cell>
          <cell r="S2788" t="e">
            <v>#VALUE!</v>
          </cell>
          <cell r="T2788" t="e">
            <v>#VALUE!</v>
          </cell>
        </row>
        <row r="2789">
          <cell r="A2789" t="str">
            <v>GRAG1800097G</v>
          </cell>
          <cell r="B2789" t="str">
            <v>MKP000631005424</v>
          </cell>
          <cell r="C2789" t="str">
            <v/>
          </cell>
          <cell r="D2789" t="str">
            <v>Armário de Cozinha Compacta 180cm Rustic/Crema Agata Madesa 09</v>
          </cell>
          <cell r="E2789" t="str">
            <v>ÁGATA</v>
          </cell>
          <cell r="F2789" t="str">
            <v>COZINHA</v>
          </cell>
          <cell r="G2789" t="str">
            <v/>
          </cell>
          <cell r="H2789">
            <v>1339.99</v>
          </cell>
          <cell r="I2789">
            <v>1339.99</v>
          </cell>
          <cell r="J2789">
            <v>999.91150000000005</v>
          </cell>
          <cell r="K2789">
            <v>0</v>
          </cell>
          <cell r="L2789">
            <v>999.91150000000005</v>
          </cell>
          <cell r="M2789">
            <v>0</v>
          </cell>
          <cell r="N2789">
            <v>1339.99</v>
          </cell>
          <cell r="O2789" t="str">
            <v/>
          </cell>
          <cell r="P2789">
            <v>0</v>
          </cell>
          <cell r="Q2789">
            <v>0.34010859961106599</v>
          </cell>
          <cell r="R2789">
            <v>0.34010859961106599</v>
          </cell>
          <cell r="S2789" t="e">
            <v>#VALUE!</v>
          </cell>
          <cell r="T2789" t="e">
            <v>#VALUE!</v>
          </cell>
        </row>
        <row r="2790">
          <cell r="A2790" t="str">
            <v>GRAG2700085L</v>
          </cell>
          <cell r="B2790" t="str">
            <v>MKP000631005420</v>
          </cell>
          <cell r="C2790" t="str">
            <v/>
          </cell>
          <cell r="D2790" t="str">
            <v>Armário de Cozinha Completa 270cm Branco/Crema Agata Madesa 08</v>
          </cell>
          <cell r="E2790" t="str">
            <v>ÁGATA</v>
          </cell>
          <cell r="F2790" t="str">
            <v>COZINHA</v>
          </cell>
          <cell r="G2790" t="str">
            <v/>
          </cell>
          <cell r="H2790">
            <v>2099.9899999999998</v>
          </cell>
          <cell r="I2790">
            <v>2099.9899999999998</v>
          </cell>
          <cell r="J2790">
            <v>1532.6162999999999</v>
          </cell>
          <cell r="K2790">
            <v>0</v>
          </cell>
          <cell r="L2790">
            <v>1532.6162999999999</v>
          </cell>
          <cell r="M2790">
            <v>0</v>
          </cell>
          <cell r="N2790">
            <v>2099.9899999999998</v>
          </cell>
          <cell r="O2790" t="str">
            <v/>
          </cell>
          <cell r="P2790">
            <v>0</v>
          </cell>
          <cell r="Q2790">
            <v>0.37019944261326199</v>
          </cell>
          <cell r="R2790">
            <v>0.37019944261326199</v>
          </cell>
          <cell r="S2790" t="e">
            <v>#VALUE!</v>
          </cell>
          <cell r="T2790" t="e">
            <v>#VALUE!</v>
          </cell>
        </row>
        <row r="2791">
          <cell r="A2791" t="str">
            <v>MDES0200157KD8</v>
          </cell>
          <cell r="B2791" t="str">
            <v>MKP000631002910</v>
          </cell>
          <cell r="C2791" t="str">
            <v/>
          </cell>
          <cell r="D2791" t="str">
            <v>Rack Madesa Dubai com Pés e Painel para TV até 58 Polegadas Rustic/Preto 7KD8</v>
          </cell>
          <cell r="E2791" t="str">
            <v>DUBAI</v>
          </cell>
          <cell r="F2791" t="str">
            <v>SALA DE ESTAR</v>
          </cell>
          <cell r="G2791" t="str">
            <v/>
          </cell>
          <cell r="H2791">
            <v>599.99</v>
          </cell>
          <cell r="I2791">
            <v>499.99</v>
          </cell>
          <cell r="J2791">
            <v>311.77269999999999</v>
          </cell>
          <cell r="K2791">
            <v>0</v>
          </cell>
          <cell r="L2791">
            <v>311.77269999999999</v>
          </cell>
          <cell r="M2791">
            <v>0</v>
          </cell>
          <cell r="N2791">
            <v>499.99</v>
          </cell>
          <cell r="O2791" t="str">
            <v/>
          </cell>
          <cell r="P2791">
            <v>0</v>
          </cell>
          <cell r="Q2791">
            <v>0.603700388135331</v>
          </cell>
          <cell r="R2791">
            <v>0.603700388135331</v>
          </cell>
          <cell r="S2791" t="e">
            <v>#VALUE!</v>
          </cell>
          <cell r="T2791" t="e">
            <v>#VALUE!</v>
          </cell>
        </row>
        <row r="2792">
          <cell r="A2792" t="str">
            <v>G246005ZTE</v>
          </cell>
          <cell r="B2792" t="str">
            <v>MKP000631002175</v>
          </cell>
          <cell r="C2792" t="str">
            <v/>
          </cell>
          <cell r="D2792" t="str">
            <v>Balcão Madesa Stella 60 cm 1 Porta Rustic</v>
          </cell>
          <cell r="E2792" t="str">
            <v>STELLA</v>
          </cell>
          <cell r="F2792" t="str">
            <v>MODULAÇÃO</v>
          </cell>
          <cell r="G2792" t="str">
            <v/>
          </cell>
          <cell r="H2792">
            <v>789.99</v>
          </cell>
          <cell r="I2792">
            <v>399.99</v>
          </cell>
          <cell r="J2792">
            <v>253.49039999999999</v>
          </cell>
          <cell r="K2792">
            <v>0</v>
          </cell>
          <cell r="L2792">
            <v>253.49039999999999</v>
          </cell>
          <cell r="M2792">
            <v>0</v>
          </cell>
          <cell r="N2792">
            <v>399.99</v>
          </cell>
          <cell r="O2792" t="str">
            <v/>
          </cell>
          <cell r="P2792">
            <v>0</v>
          </cell>
          <cell r="Q2792">
            <v>0.577929578398235</v>
          </cell>
          <cell r="R2792">
            <v>0.577929578398235</v>
          </cell>
          <cell r="S2792" t="e">
            <v>#VALUE!</v>
          </cell>
          <cell r="T2792" t="e">
            <v>#VALUE!</v>
          </cell>
        </row>
        <row r="2793">
          <cell r="A2793" t="str">
            <v>G2470009AG</v>
          </cell>
          <cell r="B2793" t="str">
            <v>MKP000631004447</v>
          </cell>
          <cell r="C2793" t="str">
            <v/>
          </cell>
          <cell r="D2793" t="str">
            <v>Balcão de Cozinha Madesa Agata 70 cm 2 Portas Branco</v>
          </cell>
          <cell r="E2793" t="str">
            <v>ÁGATA</v>
          </cell>
          <cell r="F2793" t="str">
            <v>MODULAÇÃO</v>
          </cell>
          <cell r="G2793" t="str">
            <v/>
          </cell>
          <cell r="H2793">
            <v>639.99</v>
          </cell>
          <cell r="I2793">
            <v>519.99</v>
          </cell>
          <cell r="J2793">
            <v>316.08909999999997</v>
          </cell>
          <cell r="K2793">
            <v>0</v>
          </cell>
          <cell r="L2793">
            <v>316.08909999999997</v>
          </cell>
          <cell r="M2793">
            <v>0</v>
          </cell>
          <cell r="N2793">
            <v>519.99</v>
          </cell>
          <cell r="O2793" t="str">
            <v/>
          </cell>
          <cell r="P2793">
            <v>0</v>
          </cell>
          <cell r="Q2793">
            <v>0.64507412625111105</v>
          </cell>
          <cell r="R2793">
            <v>0.64507412625111105</v>
          </cell>
          <cell r="S2793" t="e">
            <v>#VALUE!</v>
          </cell>
          <cell r="T2793" t="e">
            <v>#VALUE!</v>
          </cell>
        </row>
        <row r="2794">
          <cell r="A2794" t="str">
            <v>G246006EAG</v>
          </cell>
          <cell r="B2794" t="str">
            <v>MKP000631004448</v>
          </cell>
          <cell r="C2794" t="str">
            <v/>
          </cell>
          <cell r="D2794" t="str">
            <v>Balcão Madesa Agata 60 cm 1 Porta Rustic/Branco</v>
          </cell>
          <cell r="E2794" t="str">
            <v>ÁGATA</v>
          </cell>
          <cell r="F2794" t="str">
            <v>MODULAÇÃO</v>
          </cell>
          <cell r="G2794" t="str">
            <v/>
          </cell>
          <cell r="H2794">
            <v>539.99</v>
          </cell>
          <cell r="I2794">
            <v>419.99</v>
          </cell>
          <cell r="J2794">
            <v>251.9753</v>
          </cell>
          <cell r="K2794">
            <v>0</v>
          </cell>
          <cell r="L2794">
            <v>251.9753</v>
          </cell>
          <cell r="M2794">
            <v>0</v>
          </cell>
          <cell r="N2794">
            <v>419.99</v>
          </cell>
          <cell r="O2794" t="str">
            <v/>
          </cell>
          <cell r="P2794">
            <v>0</v>
          </cell>
          <cell r="Q2794">
            <v>0.66679035603886605</v>
          </cell>
          <cell r="R2794">
            <v>0.66679035603886605</v>
          </cell>
          <cell r="S2794" t="e">
            <v>#VALUE!</v>
          </cell>
          <cell r="T2794" t="e">
            <v>#VALUE!</v>
          </cell>
        </row>
        <row r="2795">
          <cell r="A2795" t="str">
            <v>G247507GAG</v>
          </cell>
          <cell r="B2795" t="str">
            <v>MKP000631005376</v>
          </cell>
          <cell r="C2795" t="str">
            <v/>
          </cell>
          <cell r="D2795" t="str">
            <v>Balcão de Canto 1 Porta Rustic/Crema Agata Madesa</v>
          </cell>
          <cell r="E2795" t="str">
            <v>ÁGATA</v>
          </cell>
          <cell r="F2795" t="str">
            <v>MODULAÇÃO</v>
          </cell>
          <cell r="G2795" t="str">
            <v/>
          </cell>
          <cell r="H2795">
            <v>689.99</v>
          </cell>
          <cell r="I2795">
            <v>589.99</v>
          </cell>
          <cell r="J2795">
            <v>314.9228</v>
          </cell>
          <cell r="K2795">
            <v>0</v>
          </cell>
          <cell r="L2795">
            <v>314.9228</v>
          </cell>
          <cell r="M2795">
            <v>0</v>
          </cell>
          <cell r="N2795">
            <v>589.99</v>
          </cell>
          <cell r="O2795" t="str">
            <v/>
          </cell>
          <cell r="P2795">
            <v>0</v>
          </cell>
          <cell r="Q2795">
            <v>0.87344326927107196</v>
          </cell>
          <cell r="R2795">
            <v>0.87344326927107196</v>
          </cell>
          <cell r="S2795" t="e">
            <v>#VALUE!</v>
          </cell>
          <cell r="T2795" t="e">
            <v>#VALUE!</v>
          </cell>
        </row>
        <row r="2796">
          <cell r="A2796" t="str">
            <v>GRGL2000066E</v>
          </cell>
          <cell r="B2796" t="str">
            <v>MKP000631005641</v>
          </cell>
          <cell r="C2796" t="str">
            <v/>
          </cell>
          <cell r="D2796" t="str">
            <v>Kit com 2 Balcões de Cozinha Madesa Glamy 4 Portas 3 Gavetas (Sem Tampo e Pia) Rustic/Branco Rustic/Branco</v>
          </cell>
          <cell r="E2796" t="str">
            <v>GLAMY</v>
          </cell>
          <cell r="F2796" t="str">
            <v>COZINHA</v>
          </cell>
          <cell r="G2796" t="str">
            <v/>
          </cell>
          <cell r="H2796">
            <v>1199.99</v>
          </cell>
          <cell r="I2796">
            <v>1099.99</v>
          </cell>
          <cell r="J2796">
            <v>891.15129999999999</v>
          </cell>
          <cell r="K2796">
            <v>0</v>
          </cell>
          <cell r="L2796">
            <v>891.15129999999999</v>
          </cell>
          <cell r="M2796">
            <v>0</v>
          </cell>
          <cell r="N2796">
            <v>1099.99</v>
          </cell>
          <cell r="O2796" t="str">
            <v/>
          </cell>
          <cell r="P2796">
            <v>0</v>
          </cell>
          <cell r="Q2796">
            <v>0.234347074396907</v>
          </cell>
          <cell r="R2796">
            <v>0.234347074396907</v>
          </cell>
          <cell r="S2796" t="e">
            <v>#VALUE!</v>
          </cell>
          <cell r="T2796" t="e">
            <v>#VALUE!</v>
          </cell>
        </row>
        <row r="2797">
          <cell r="A2797" t="str">
            <v>G251085ZEM</v>
          </cell>
          <cell r="B2797" t="str">
            <v>MKP000631005906</v>
          </cell>
          <cell r="C2797" t="str">
            <v/>
          </cell>
          <cell r="D2797" t="str">
            <v>Armário Aéreo Cozinha 105cm 2 Portas 1 Nicho Rustic Emilly Madesa</v>
          </cell>
          <cell r="E2797" t="str">
            <v>EMILLY</v>
          </cell>
          <cell r="F2797" t="str">
            <v>MODULAÇÃO</v>
          </cell>
          <cell r="G2797" t="str">
            <v/>
          </cell>
          <cell r="H2797">
            <v>199.99</v>
          </cell>
          <cell r="I2797">
            <v>199.99</v>
          </cell>
          <cell r="J2797">
            <v>151.77160000000001</v>
          </cell>
          <cell r="K2797">
            <v>0</v>
          </cell>
          <cell r="L2797">
            <v>151.77160000000001</v>
          </cell>
          <cell r="M2797">
            <v>0</v>
          </cell>
          <cell r="N2797">
            <v>199.99</v>
          </cell>
          <cell r="O2797" t="str">
            <v/>
          </cell>
          <cell r="P2797">
            <v>0</v>
          </cell>
          <cell r="Q2797">
            <v>0.31770370741298098</v>
          </cell>
          <cell r="R2797">
            <v>0.31770370741298098</v>
          </cell>
          <cell r="S2797" t="e">
            <v>#VALUE!</v>
          </cell>
          <cell r="T2797" t="e">
            <v>#VALUE!</v>
          </cell>
        </row>
        <row r="2798">
          <cell r="A2798" t="str">
            <v>G251536EAG</v>
          </cell>
          <cell r="B2798" t="str">
            <v>MKP000631004436</v>
          </cell>
          <cell r="C2798" t="str">
            <v/>
          </cell>
          <cell r="D2798" t="str">
            <v>Armário Aéreo Madesa Agata 150 cm 2 Portas e 2 Nichos Rustic/Branco</v>
          </cell>
          <cell r="E2798" t="str">
            <v>ÁGATA</v>
          </cell>
          <cell r="F2798" t="str">
            <v>MODULAÇÃO</v>
          </cell>
          <cell r="G2798" t="str">
            <v/>
          </cell>
          <cell r="H2798">
            <v>669.99</v>
          </cell>
          <cell r="I2798">
            <v>579.99</v>
          </cell>
          <cell r="J2798">
            <v>339.77480000000003</v>
          </cell>
          <cell r="K2798">
            <v>0</v>
          </cell>
          <cell r="L2798">
            <v>339.77480000000003</v>
          </cell>
          <cell r="M2798">
            <v>0</v>
          </cell>
          <cell r="N2798">
            <v>579.99</v>
          </cell>
          <cell r="O2798" t="str">
            <v/>
          </cell>
          <cell r="P2798">
            <v>0</v>
          </cell>
          <cell r="Q2798">
            <v>0.70698356676245599</v>
          </cell>
          <cell r="R2798">
            <v>0.70698356676245599</v>
          </cell>
          <cell r="S2798" t="e">
            <v>#VALUE!</v>
          </cell>
          <cell r="T2798" t="e">
            <v>#VALUE!</v>
          </cell>
        </row>
        <row r="2799">
          <cell r="A2799" t="str">
            <v>GRAG2500016E</v>
          </cell>
          <cell r="B2799" t="str">
            <v>MKP000631005672</v>
          </cell>
          <cell r="C2799" t="str">
            <v/>
          </cell>
          <cell r="D2799" t="str">
            <v>Armário de Cozinha Completa 250cm Rustic/Branco Agata Madesa 01</v>
          </cell>
          <cell r="E2799" t="str">
            <v>ÁGATA</v>
          </cell>
          <cell r="F2799" t="str">
            <v>COZINHA</v>
          </cell>
          <cell r="G2799" t="str">
            <v/>
          </cell>
          <cell r="H2799">
            <v>2149.9899999999998</v>
          </cell>
          <cell r="I2799">
            <v>1999.99</v>
          </cell>
          <cell r="J2799">
            <v>1674.4907000000001</v>
          </cell>
          <cell r="K2799">
            <v>0</v>
          </cell>
          <cell r="L2799">
            <v>1674.4907000000001</v>
          </cell>
          <cell r="M2799">
            <v>0</v>
          </cell>
          <cell r="N2799">
            <v>1999.99</v>
          </cell>
          <cell r="O2799" t="str">
            <v/>
          </cell>
          <cell r="P2799">
            <v>0</v>
          </cell>
          <cell r="Q2799">
            <v>0.194387045565556</v>
          </cell>
          <cell r="R2799">
            <v>0.194387045565556</v>
          </cell>
          <cell r="S2799" t="e">
            <v>#VALUE!</v>
          </cell>
          <cell r="T2799" t="e">
            <v>#VALUE!</v>
          </cell>
        </row>
        <row r="2800">
          <cell r="A2800" t="str">
            <v>GRGL28000209</v>
          </cell>
          <cell r="B2800" t="str">
            <v>MKP000631000594</v>
          </cell>
          <cell r="C2800" t="str">
            <v/>
          </cell>
          <cell r="D2800" t="str">
            <v>Armário de Cozinha Completa 280cm Branco Mariana Madesa 02</v>
          </cell>
          <cell r="E2800" t="str">
            <v>MARIANA/GLAMY</v>
          </cell>
          <cell r="F2800" t="str">
            <v>COZINHA</v>
          </cell>
          <cell r="G2800" t="str">
            <v/>
          </cell>
          <cell r="H2800">
            <v>1999.99</v>
          </cell>
          <cell r="I2800">
            <v>1899.99</v>
          </cell>
          <cell r="J2800">
            <v>1586.2552000000001</v>
          </cell>
          <cell r="K2800">
            <v>0</v>
          </cell>
          <cell r="L2800">
            <v>1586.2552000000001</v>
          </cell>
          <cell r="M2800">
            <v>0</v>
          </cell>
          <cell r="N2800">
            <v>1899.99</v>
          </cell>
          <cell r="O2800" t="str">
            <v/>
          </cell>
          <cell r="P2800">
            <v>0</v>
          </cell>
          <cell r="Q2800">
            <v>0.19778330750310499</v>
          </cell>
          <cell r="R2800">
            <v>0.19778330750310499</v>
          </cell>
          <cell r="S2800" t="e">
            <v>#VALUE!</v>
          </cell>
          <cell r="T2800" t="e">
            <v>#VALUE!</v>
          </cell>
        </row>
        <row r="2801">
          <cell r="A2801" t="str">
            <v>GRGL2700136E</v>
          </cell>
          <cell r="B2801" t="str">
            <v>MKP000631004212</v>
          </cell>
          <cell r="C2801" t="str">
            <v/>
          </cell>
          <cell r="D2801" t="str">
            <v>Armário de Cozinha Completa 270cm Rustic/Branco Glamy Madesa 13</v>
          </cell>
          <cell r="E2801" t="str">
            <v>GLAMY</v>
          </cell>
          <cell r="F2801" t="str">
            <v>COZINHA</v>
          </cell>
          <cell r="G2801" t="str">
            <v/>
          </cell>
          <cell r="H2801">
            <v>2299.9899999999998</v>
          </cell>
          <cell r="I2801">
            <v>2199.9899999999998</v>
          </cell>
          <cell r="J2801">
            <v>1819.4498000000001</v>
          </cell>
          <cell r="K2801">
            <v>0</v>
          </cell>
          <cell r="L2801">
            <v>1819.4498000000001</v>
          </cell>
          <cell r="M2801">
            <v>0</v>
          </cell>
          <cell r="N2801">
            <v>2199.9899999999998</v>
          </cell>
          <cell r="O2801" t="str">
            <v/>
          </cell>
          <cell r="P2801">
            <v>0</v>
          </cell>
          <cell r="Q2801">
            <v>0.20915125000975501</v>
          </cell>
          <cell r="R2801">
            <v>0.20915125000975501</v>
          </cell>
          <cell r="S2801" t="e">
            <v>#VALUE!</v>
          </cell>
          <cell r="T2801" t="e">
            <v>#VALUE!</v>
          </cell>
        </row>
        <row r="2802">
          <cell r="A2802" t="str">
            <v>GREM2290105Z</v>
          </cell>
          <cell r="B2802" t="str">
            <v>MKP000631005505</v>
          </cell>
          <cell r="C2802" t="str">
            <v/>
          </cell>
          <cell r="D2802" t="str">
            <v>Armário de Cozinha Compacta 229cm com Pia Rustic Emilly Madesa 10</v>
          </cell>
          <cell r="E2802" t="str">
            <v>EMILLY</v>
          </cell>
          <cell r="F2802" t="str">
            <v>COZINHA</v>
          </cell>
          <cell r="G2802" t="str">
            <v/>
          </cell>
          <cell r="H2802">
            <v>1339.99</v>
          </cell>
          <cell r="I2802">
            <v>1239.99</v>
          </cell>
          <cell r="J2802">
            <v>991.74739999999997</v>
          </cell>
          <cell r="K2802">
            <v>0</v>
          </cell>
          <cell r="L2802">
            <v>991.74739999999997</v>
          </cell>
          <cell r="M2802">
            <v>0</v>
          </cell>
          <cell r="N2802">
            <v>1239.99</v>
          </cell>
          <cell r="O2802" t="str">
            <v/>
          </cell>
          <cell r="P2802">
            <v>0</v>
          </cell>
          <cell r="Q2802">
            <v>0.25030829422895401</v>
          </cell>
          <cell r="R2802">
            <v>0.25030829422895401</v>
          </cell>
          <cell r="S2802" t="e">
            <v>#VALUE!</v>
          </cell>
          <cell r="T2802" t="e">
            <v>#VALUE!</v>
          </cell>
        </row>
        <row r="2803">
          <cell r="A2803" t="str">
            <v>GRGL280003D9</v>
          </cell>
          <cell r="B2803" t="str">
            <v>MKP000631001500</v>
          </cell>
          <cell r="C2803" t="str">
            <v/>
          </cell>
          <cell r="D2803" t="str">
            <v>Armário de Cozinha Completa 280cm Rustic/Rustic/Branco Marcela Madesa 03</v>
          </cell>
          <cell r="E2803" t="str">
            <v>MARCELA/GLAMY</v>
          </cell>
          <cell r="F2803" t="str">
            <v>COZINHA</v>
          </cell>
          <cell r="G2803" t="str">
            <v/>
          </cell>
          <cell r="H2803">
            <v>2149.9899999999998</v>
          </cell>
          <cell r="I2803">
            <v>2049.9899999999998</v>
          </cell>
          <cell r="J2803">
            <v>1671.624</v>
          </cell>
          <cell r="K2803">
            <v>0</v>
          </cell>
          <cell r="L2803">
            <v>1671.624</v>
          </cell>
          <cell r="M2803">
            <v>0</v>
          </cell>
          <cell r="N2803">
            <v>2049.9899999999998</v>
          </cell>
          <cell r="O2803" t="str">
            <v/>
          </cell>
          <cell r="P2803">
            <v>0</v>
          </cell>
          <cell r="Q2803">
            <v>0.226346355400497</v>
          </cell>
          <cell r="R2803">
            <v>0.226346355400497</v>
          </cell>
          <cell r="S2803" t="e">
            <v>#VALUE!</v>
          </cell>
          <cell r="T2803" t="e">
            <v>#VALUE!</v>
          </cell>
        </row>
        <row r="2804">
          <cell r="A2804" t="str">
            <v>XA10639B</v>
          </cell>
          <cell r="B2804" t="str">
            <v>MKP000631001442</v>
          </cell>
          <cell r="C2804" t="str">
            <v/>
          </cell>
          <cell r="D2804" t="str">
            <v>Guarda-Roupa Infantil Madesa Logan 100% MDF 3 Portas de Correr Branco/Rustic</v>
          </cell>
          <cell r="E2804" t="str">
            <v>LOGAN</v>
          </cell>
          <cell r="F2804" t="str">
            <v>QUARTO</v>
          </cell>
          <cell r="G2804" t="str">
            <v/>
          </cell>
          <cell r="H2804">
            <v>2469.9899999999998</v>
          </cell>
          <cell r="I2804">
            <v>1899.99</v>
          </cell>
          <cell r="J2804">
            <v>1551.3534</v>
          </cell>
          <cell r="K2804">
            <v>0</v>
          </cell>
          <cell r="L2804">
            <v>1551.3534</v>
          </cell>
          <cell r="M2804">
            <v>0</v>
          </cell>
          <cell r="N2804">
            <v>1899.99</v>
          </cell>
          <cell r="O2804" t="str">
            <v/>
          </cell>
          <cell r="P2804">
            <v>0</v>
          </cell>
          <cell r="Q2804">
            <v>0.22473061263797101</v>
          </cell>
          <cell r="R2804">
            <v>0.22473061263797101</v>
          </cell>
          <cell r="S2804" t="e">
            <v>#VALUE!</v>
          </cell>
          <cell r="T2804" t="e">
            <v>#VALUE!</v>
          </cell>
        </row>
        <row r="2805">
          <cell r="A2805" t="str">
            <v>GRGM2600039B</v>
          </cell>
          <cell r="B2805" t="str">
            <v>MKP000631004338</v>
          </cell>
          <cell r="C2805" t="str">
            <v/>
          </cell>
          <cell r="D2805" t="str">
            <v>Armário de Cozinha Completa 100% MDF 260cm Branco/Rustic Acordes Madesa 03</v>
          </cell>
          <cell r="E2805" t="str">
            <v>ACORDES</v>
          </cell>
          <cell r="F2805" t="str">
            <v>COZINHA</v>
          </cell>
          <cell r="G2805" t="str">
            <v/>
          </cell>
          <cell r="H2805">
            <v>1899.99</v>
          </cell>
          <cell r="I2805">
            <v>1799.99</v>
          </cell>
          <cell r="J2805">
            <v>1466.4205999999999</v>
          </cell>
          <cell r="K2805">
            <v>0</v>
          </cell>
          <cell r="L2805">
            <v>1466.4205999999999</v>
          </cell>
          <cell r="M2805">
            <v>0</v>
          </cell>
          <cell r="N2805">
            <v>1799.99</v>
          </cell>
          <cell r="O2805" t="str">
            <v/>
          </cell>
          <cell r="P2805">
            <v>0</v>
          </cell>
          <cell r="Q2805">
            <v>0.22747184539006099</v>
          </cell>
          <cell r="R2805">
            <v>0.22747184539006099</v>
          </cell>
          <cell r="S2805" t="e">
            <v>#VALUE!</v>
          </cell>
          <cell r="T2805" t="e">
            <v>#VALUE!</v>
          </cell>
        </row>
        <row r="2806">
          <cell r="A2806" t="str">
            <v>MDJA0401067KOXF</v>
          </cell>
          <cell r="B2806" t="str">
            <v>MKP000631006065</v>
          </cell>
          <cell r="C2806" t="str">
            <v/>
          </cell>
          <cell r="D2806" t="str">
            <v>Conjunto Sala de Jantar  Mesa Tampo de Vidro  4 Cadeiras Rustic/Preto/Oxford Sabrina Madesa</v>
          </cell>
          <cell r="E2806" t="str">
            <v>SABRINA</v>
          </cell>
          <cell r="F2806" t="str">
            <v>SALA DE JANTAR</v>
          </cell>
          <cell r="G2806">
            <v>4255</v>
          </cell>
          <cell r="H2806">
            <v>1499.99</v>
          </cell>
          <cell r="I2806">
            <v>1419.99</v>
          </cell>
          <cell r="J2806">
            <v>1066.3361</v>
          </cell>
          <cell r="K2806">
            <v>0</v>
          </cell>
          <cell r="L2806">
            <v>1066.3361</v>
          </cell>
          <cell r="M2806">
            <v>0</v>
          </cell>
          <cell r="N2806">
            <v>1419.99</v>
          </cell>
          <cell r="O2806" t="str">
            <v>MADEIRAMADEIRA</v>
          </cell>
          <cell r="P2806">
            <v>1399.99</v>
          </cell>
          <cell r="Q2806">
            <v>0.33165331268443399</v>
          </cell>
          <cell r="R2806">
            <v>0.33165331268443399</v>
          </cell>
          <cell r="S2806" t="e">
            <v>#VALUE!</v>
          </cell>
          <cell r="T2806" t="e">
            <v>#VALUE!</v>
          </cell>
        </row>
        <row r="2807">
          <cell r="A2807" t="str">
            <v>10935Z2E4GCP</v>
          </cell>
          <cell r="B2807" t="str">
            <v>MKP000631001870</v>
          </cell>
          <cell r="C2807" t="str">
            <v/>
          </cell>
          <cell r="D2807" t="str">
            <v>Guarda-Roupa Casal Madesa Lyon Plus 3 Portas de Correr com Espelhos 4 Gavetas com Pés Rustic</v>
          </cell>
          <cell r="E2807" t="str">
            <v>LYON PLUS</v>
          </cell>
          <cell r="F2807" t="str">
            <v>QUARTO</v>
          </cell>
          <cell r="G2807" t="str">
            <v/>
          </cell>
          <cell r="H2807">
            <v>1689.99</v>
          </cell>
          <cell r="I2807">
            <v>1369.99</v>
          </cell>
          <cell r="J2807">
            <v>1104.3661999999999</v>
          </cell>
          <cell r="K2807">
            <v>0</v>
          </cell>
          <cell r="L2807">
            <v>1104.3661999999999</v>
          </cell>
          <cell r="M2807">
            <v>0</v>
          </cell>
          <cell r="N2807">
            <v>1369.99</v>
          </cell>
          <cell r="O2807" t="str">
            <v/>
          </cell>
          <cell r="P2807">
            <v>0</v>
          </cell>
          <cell r="Q2807">
            <v>0.240521486441726</v>
          </cell>
          <cell r="R2807">
            <v>0.240521486441726</v>
          </cell>
          <cell r="S2807" t="e">
            <v>#VALUE!</v>
          </cell>
          <cell r="T2807" t="e">
            <v>#VALUE!</v>
          </cell>
        </row>
        <row r="2808">
          <cell r="A2808" t="str">
            <v>MDJA0401187GFLH</v>
          </cell>
          <cell r="B2808" t="str">
            <v>MKP000631004177</v>
          </cell>
          <cell r="C2808" t="str">
            <v/>
          </cell>
          <cell r="D2808" t="str">
            <v>Conjunto Sala de Jantar Madesa Madu Mesa Tampo de Vidro Redondo 4 Cadeiras Rustic/Crema/Hibiscos</v>
          </cell>
          <cell r="E2808" t="str">
            <v>MADU</v>
          </cell>
          <cell r="F2808" t="str">
            <v>SALA DE JANTAR</v>
          </cell>
          <cell r="G2808" t="str">
            <v>4291X</v>
          </cell>
          <cell r="H2808">
            <v>869.99</v>
          </cell>
          <cell r="I2808">
            <v>769.99</v>
          </cell>
          <cell r="J2808">
            <v>617.43050000000005</v>
          </cell>
          <cell r="K2808">
            <v>0</v>
          </cell>
          <cell r="L2808">
            <v>617.43050000000005</v>
          </cell>
          <cell r="M2808">
            <v>0</v>
          </cell>
          <cell r="N2808">
            <v>769.99</v>
          </cell>
          <cell r="O2808" t="str">
            <v/>
          </cell>
          <cell r="P2808">
            <v>0</v>
          </cell>
          <cell r="Q2808">
            <v>0.24708772890228101</v>
          </cell>
          <cell r="R2808">
            <v>0.24708772890228101</v>
          </cell>
          <cell r="S2808" t="e">
            <v>#VALUE!</v>
          </cell>
          <cell r="T2808" t="e">
            <v>#VALUE!</v>
          </cell>
        </row>
        <row r="2809">
          <cell r="A2809" t="str">
            <v>1093734G</v>
          </cell>
          <cell r="B2809" t="str">
            <v>MKP000631002289</v>
          </cell>
          <cell r="C2809" t="str">
            <v/>
          </cell>
          <cell r="D2809" t="str">
            <v>Guarda-Roupa Casal Madesa Lyon Plus 3 Portas de Correr 4 Gavetas Branco/Preto</v>
          </cell>
          <cell r="E2809" t="str">
            <v>LYON PLUS</v>
          </cell>
          <cell r="F2809" t="str">
            <v>QUARTO</v>
          </cell>
          <cell r="G2809" t="str">
            <v/>
          </cell>
          <cell r="H2809">
            <v>1319.99</v>
          </cell>
          <cell r="I2809">
            <v>1029.99</v>
          </cell>
          <cell r="J2809">
            <v>798.32690000000002</v>
          </cell>
          <cell r="K2809">
            <v>0</v>
          </cell>
          <cell r="L2809">
            <v>798.32690000000002</v>
          </cell>
          <cell r="M2809">
            <v>0</v>
          </cell>
          <cell r="N2809">
            <v>1029.99</v>
          </cell>
          <cell r="O2809" t="str">
            <v/>
          </cell>
          <cell r="P2809">
            <v>0</v>
          </cell>
          <cell r="Q2809">
            <v>0.29018576224852199</v>
          </cell>
          <cell r="R2809">
            <v>0.29018576224852199</v>
          </cell>
          <cell r="S2809" t="e">
            <v>#VALUE!</v>
          </cell>
          <cell r="T2809" t="e">
            <v>#VALUE!</v>
          </cell>
        </row>
        <row r="2810">
          <cell r="A2810" t="str">
            <v>G241235ZTE</v>
          </cell>
          <cell r="B2810" t="str">
            <v>MKP000631002210</v>
          </cell>
          <cell r="C2810" t="str">
            <v/>
          </cell>
          <cell r="D2810" t="str">
            <v>Balcão Gabinete de Pia Madesa Stella 1 Porta e 2 Gavetas (Sem Tampo e Pia) Rustic</v>
          </cell>
          <cell r="E2810" t="str">
            <v>STELLA</v>
          </cell>
          <cell r="F2810" t="str">
            <v>MODULAÇÃO</v>
          </cell>
          <cell r="G2810" t="str">
            <v/>
          </cell>
          <cell r="H2810">
            <v>1119.99</v>
          </cell>
          <cell r="I2810">
            <v>559.99</v>
          </cell>
          <cell r="J2810">
            <v>429.73250000000002</v>
          </cell>
          <cell r="K2810">
            <v>0</v>
          </cell>
          <cell r="L2810">
            <v>429.73250000000002</v>
          </cell>
          <cell r="M2810">
            <v>0</v>
          </cell>
          <cell r="N2810">
            <v>559.99</v>
          </cell>
          <cell r="O2810" t="str">
            <v/>
          </cell>
          <cell r="P2810">
            <v>0</v>
          </cell>
          <cell r="Q2810">
            <v>0.303112983076681</v>
          </cell>
          <cell r="R2810">
            <v>0.303112983076681</v>
          </cell>
          <cell r="S2810" t="e">
            <v>#VALUE!</v>
          </cell>
          <cell r="T2810" t="e">
            <v>#VALUE!</v>
          </cell>
        </row>
        <row r="2811">
          <cell r="A2811" t="str">
            <v>10946E4GCP</v>
          </cell>
          <cell r="B2811" t="str">
            <v>MKP000631001007</v>
          </cell>
          <cell r="C2811" t="str">
            <v/>
          </cell>
          <cell r="D2811" t="str">
            <v>Guarda-Roupa Solteiro Madesa Dallas Plus 2 Portas de Correr 4 Gavetas com Pés Rustic/Branco</v>
          </cell>
          <cell r="E2811" t="str">
            <v>DALLAS PLUS</v>
          </cell>
          <cell r="F2811" t="str">
            <v>QUARTO</v>
          </cell>
          <cell r="G2811" t="str">
            <v/>
          </cell>
          <cell r="H2811">
            <v>1109.99</v>
          </cell>
          <cell r="I2811">
            <v>919.99</v>
          </cell>
          <cell r="J2811">
            <v>689.17430000000002</v>
          </cell>
          <cell r="K2811">
            <v>0</v>
          </cell>
          <cell r="L2811">
            <v>689.17430000000002</v>
          </cell>
          <cell r="M2811">
            <v>0</v>
          </cell>
          <cell r="N2811">
            <v>919.99</v>
          </cell>
          <cell r="O2811" t="str">
            <v/>
          </cell>
          <cell r="P2811">
            <v>0</v>
          </cell>
          <cell r="Q2811">
            <v>0.33491629040723098</v>
          </cell>
          <cell r="R2811">
            <v>0.33491629040723098</v>
          </cell>
          <cell r="S2811" t="e">
            <v>#VALUE!</v>
          </cell>
          <cell r="T2811" t="e">
            <v>#VALUE!</v>
          </cell>
        </row>
        <row r="2812">
          <cell r="A2812" t="str">
            <v>G241536EAGCT</v>
          </cell>
          <cell r="B2812" t="str">
            <v>MKP000631004640</v>
          </cell>
          <cell r="C2812" t="str">
            <v/>
          </cell>
          <cell r="D2812" t="str">
            <v>Balcão de Pia Madesa Agata 150 cm 2 Portas e 2 Gavetas (Com Tampo) Rustic/Branco</v>
          </cell>
          <cell r="E2812" t="str">
            <v>ÁGATA</v>
          </cell>
          <cell r="F2812" t="str">
            <v>MODULAÇÃO</v>
          </cell>
          <cell r="G2812" t="str">
            <v/>
          </cell>
          <cell r="H2812">
            <v>1079.99</v>
          </cell>
          <cell r="I2812">
            <v>719.99</v>
          </cell>
          <cell r="J2812">
            <v>527.94150000000002</v>
          </cell>
          <cell r="K2812">
            <v>0</v>
          </cell>
          <cell r="L2812">
            <v>527.94150000000002</v>
          </cell>
          <cell r="M2812">
            <v>0</v>
          </cell>
          <cell r="N2812">
            <v>719.99</v>
          </cell>
          <cell r="O2812" t="str">
            <v/>
          </cell>
          <cell r="P2812">
            <v>0</v>
          </cell>
          <cell r="Q2812">
            <v>0.36376852359589101</v>
          </cell>
          <cell r="R2812">
            <v>0.36376852359589101</v>
          </cell>
          <cell r="S2812" t="e">
            <v>#VALUE!</v>
          </cell>
          <cell r="T2812" t="e">
            <v>#VALUE!</v>
          </cell>
        </row>
        <row r="2813">
          <cell r="A2813" t="str">
            <v>G241206EAG</v>
          </cell>
          <cell r="B2813" t="str">
            <v>MKP000631004476</v>
          </cell>
          <cell r="C2813" t="str">
            <v/>
          </cell>
          <cell r="D2813" t="str">
            <v>Balcão de Pia Madesa Agata 2 Portas Rustic/Branco</v>
          </cell>
          <cell r="E2813" t="str">
            <v>ÁGATA</v>
          </cell>
          <cell r="F2813" t="str">
            <v>MODULAÇÃO</v>
          </cell>
          <cell r="G2813" t="str">
            <v/>
          </cell>
          <cell r="H2813">
            <v>669.99</v>
          </cell>
          <cell r="I2813">
            <v>489.99</v>
          </cell>
          <cell r="J2813">
            <v>355.6234</v>
          </cell>
          <cell r="K2813">
            <v>0</v>
          </cell>
          <cell r="L2813">
            <v>355.6234</v>
          </cell>
          <cell r="M2813">
            <v>0</v>
          </cell>
          <cell r="N2813">
            <v>489.99</v>
          </cell>
          <cell r="O2813" t="str">
            <v/>
          </cell>
          <cell r="P2813">
            <v>0</v>
          </cell>
          <cell r="Q2813">
            <v>0.37783396705616101</v>
          </cell>
          <cell r="R2813">
            <v>0.37783396705616101</v>
          </cell>
          <cell r="S2813" t="e">
            <v>#VALUE!</v>
          </cell>
          <cell r="T2813" t="e">
            <v>#VALUE!</v>
          </cell>
        </row>
        <row r="2814">
          <cell r="A2814" t="str">
            <v>G2480009AG</v>
          </cell>
          <cell r="B2814" t="str">
            <v>MKP000631004631</v>
          </cell>
          <cell r="C2814" t="str">
            <v/>
          </cell>
          <cell r="D2814" t="str">
            <v>Balcão Madesa Agata 80 cm 2 Portas Branco</v>
          </cell>
          <cell r="E2814" t="str">
            <v>ÁGATA</v>
          </cell>
          <cell r="F2814" t="str">
            <v>MODULAÇÃO</v>
          </cell>
          <cell r="G2814" t="str">
            <v/>
          </cell>
          <cell r="H2814">
            <v>659.99</v>
          </cell>
          <cell r="I2814">
            <v>529.99</v>
          </cell>
          <cell r="J2814">
            <v>325.82279999999997</v>
          </cell>
          <cell r="K2814">
            <v>0</v>
          </cell>
          <cell r="L2814">
            <v>325.82279999999997</v>
          </cell>
          <cell r="M2814">
            <v>0</v>
          </cell>
          <cell r="N2814">
            <v>529.99</v>
          </cell>
          <cell r="O2814" t="str">
            <v/>
          </cell>
          <cell r="P2814">
            <v>0</v>
          </cell>
          <cell r="Q2814">
            <v>0.62662035928731796</v>
          </cell>
          <cell r="R2814">
            <v>0.62662035928731796</v>
          </cell>
          <cell r="S2814" t="e">
            <v>#VALUE!</v>
          </cell>
          <cell r="T2814" t="e">
            <v>#VALUE!</v>
          </cell>
        </row>
        <row r="2815">
          <cell r="A2815" t="str">
            <v>G228007KLXCT</v>
          </cell>
          <cell r="B2815" t="str">
            <v>MKP000631005068</v>
          </cell>
          <cell r="C2815" t="str">
            <v/>
          </cell>
          <cell r="D2815" t="str">
            <v>Balcão 80 cm 2 Portas Rustic/Preto Lux Madesa</v>
          </cell>
          <cell r="E2815" t="str">
            <v>LUX</v>
          </cell>
          <cell r="F2815" t="str">
            <v>MODULAÇÃO</v>
          </cell>
          <cell r="G2815" t="str">
            <v/>
          </cell>
          <cell r="H2815">
            <v>1149.99</v>
          </cell>
          <cell r="I2815">
            <v>1069.99</v>
          </cell>
          <cell r="J2815">
            <v>569.05629999999996</v>
          </cell>
          <cell r="K2815">
            <v>0</v>
          </cell>
          <cell r="L2815">
            <v>569.05629999999996</v>
          </cell>
          <cell r="M2815">
            <v>0</v>
          </cell>
          <cell r="N2815">
            <v>1069.99</v>
          </cell>
          <cell r="O2815" t="str">
            <v>LOJA</v>
          </cell>
          <cell r="P2815">
            <v>1059.99</v>
          </cell>
          <cell r="Q2815">
            <v>0.88028847057839399</v>
          </cell>
          <cell r="R2815">
            <v>0.88028847057839399</v>
          </cell>
          <cell r="S2815" t="e">
            <v>#VALUE!</v>
          </cell>
          <cell r="T2815" t="e">
            <v>#VALUE!</v>
          </cell>
        </row>
        <row r="2816">
          <cell r="A2816" t="str">
            <v>GCLX546001H8</v>
          </cell>
          <cell r="B2816" t="str">
            <v>MKP000631004676</v>
          </cell>
          <cell r="C2816" t="str">
            <v/>
          </cell>
          <cell r="D2816" t="str">
            <v>Armário de Cozinha Completa de Canto 546cm Rustic/Branco Veludo Lux Madesa 01</v>
          </cell>
          <cell r="E2816" t="str">
            <v>LUX</v>
          </cell>
          <cell r="F2816" t="str">
            <v>COZINHA</v>
          </cell>
          <cell r="G2816" t="str">
            <v/>
          </cell>
          <cell r="H2816">
            <v>7269.99</v>
          </cell>
          <cell r="I2816">
            <v>7259.99</v>
          </cell>
          <cell r="J2816">
            <v>3804.0673000000002</v>
          </cell>
          <cell r="K2816">
            <v>0</v>
          </cell>
          <cell r="L2816">
            <v>3804.0673000000002</v>
          </cell>
          <cell r="M2816">
            <v>0</v>
          </cell>
          <cell r="N2816">
            <v>7259.99</v>
          </cell>
          <cell r="O2816" t="str">
            <v>LOJA</v>
          </cell>
          <cell r="P2816">
            <v>6379.99</v>
          </cell>
          <cell r="Q2816">
            <v>0.908480956685493</v>
          </cell>
          <cell r="R2816">
            <v>0.908480956685493</v>
          </cell>
          <cell r="S2816" t="e">
            <v>#VALUE!</v>
          </cell>
          <cell r="T2816" t="e">
            <v>#VALUE!</v>
          </cell>
        </row>
        <row r="2817">
          <cell r="A2817" t="str">
            <v>GRLX260005H8</v>
          </cell>
          <cell r="B2817" t="str">
            <v>MKP000631003752</v>
          </cell>
          <cell r="C2817" t="str">
            <v/>
          </cell>
          <cell r="D2817" t="str">
            <v>Armário de Cozinha Completa 260cm Rustic Branco Veludo Lux Madesa 05</v>
          </cell>
          <cell r="E2817" t="str">
            <v>LUX</v>
          </cell>
          <cell r="F2817" t="str">
            <v>COZINHA</v>
          </cell>
          <cell r="G2817" t="str">
            <v/>
          </cell>
          <cell r="H2817">
            <v>3149.99</v>
          </cell>
          <cell r="I2817">
            <v>3049.99</v>
          </cell>
          <cell r="J2817">
            <v>1593.2747999999999</v>
          </cell>
          <cell r="K2817">
            <v>0</v>
          </cell>
          <cell r="L2817">
            <v>1593.2747999999999</v>
          </cell>
          <cell r="M2817">
            <v>0</v>
          </cell>
          <cell r="N2817">
            <v>3049.99</v>
          </cell>
          <cell r="O2817" t="str">
            <v>LOJA</v>
          </cell>
          <cell r="P2817">
            <v>2679.99</v>
          </cell>
          <cell r="Q2817">
            <v>0.91428998939793704</v>
          </cell>
          <cell r="R2817">
            <v>0.91428998939793704</v>
          </cell>
          <cell r="S2817" t="e">
            <v>#VALUE!</v>
          </cell>
          <cell r="T2817" t="e">
            <v>#VALUE!</v>
          </cell>
        </row>
        <row r="2818">
          <cell r="A2818" t="str">
            <v>5364F92</v>
          </cell>
          <cell r="B2818" t="str">
            <v>MKP000631005276</v>
          </cell>
          <cell r="C2818" t="str">
            <v/>
          </cell>
          <cell r="D2818" t="str">
            <v>Mesa de Jantar Retangular Tampo de Madeira Rustic/Cinza 5364 Madesa</v>
          </cell>
          <cell r="E2818">
            <v>5364</v>
          </cell>
          <cell r="F2818" t="str">
            <v>SALA DE JANTAR</v>
          </cell>
          <cell r="G2818" t="str">
            <v/>
          </cell>
          <cell r="H2818">
            <v>699.99</v>
          </cell>
          <cell r="I2818">
            <v>699.99</v>
          </cell>
          <cell r="J2818">
            <v>312.92809999999997</v>
          </cell>
          <cell r="K2818">
            <v>0</v>
          </cell>
          <cell r="L2818">
            <v>312.92809999999997</v>
          </cell>
          <cell r="M2818">
            <v>0</v>
          </cell>
          <cell r="N2818">
            <v>699.99</v>
          </cell>
          <cell r="O2818" t="str">
            <v/>
          </cell>
          <cell r="P2818">
            <v>0</v>
          </cell>
          <cell r="Q2818">
            <v>1.2369036209915301</v>
          </cell>
          <cell r="R2818">
            <v>1.2369036209915301</v>
          </cell>
          <cell r="S2818" t="e">
            <v>#VALUE!</v>
          </cell>
          <cell r="T2818" t="e">
            <v>#VALUE!</v>
          </cell>
        </row>
        <row r="2819">
          <cell r="A2819" t="str">
            <v>G241246ECT</v>
          </cell>
          <cell r="B2819" t="str">
            <v>MKP000631005846</v>
          </cell>
          <cell r="C2819" t="str">
            <v/>
          </cell>
          <cell r="D2819" t="str">
            <v>Balcão de Pia Cozinha 100% MDF 120 cm 3 Portas e 2 Gavetas Branco/Rustic Acordes Madesa</v>
          </cell>
          <cell r="E2819" t="str">
            <v>ACORDES</v>
          </cell>
          <cell r="F2819" t="str">
            <v>MODULAÇÃO</v>
          </cell>
          <cell r="G2819" t="str">
            <v/>
          </cell>
          <cell r="H2819">
            <v>839.99</v>
          </cell>
          <cell r="I2819">
            <v>739.99</v>
          </cell>
          <cell r="J2819">
            <v>578.2559</v>
          </cell>
          <cell r="K2819">
            <v>0</v>
          </cell>
          <cell r="L2819">
            <v>578.2559</v>
          </cell>
          <cell r="M2819">
            <v>0</v>
          </cell>
          <cell r="N2819">
            <v>739.99</v>
          </cell>
          <cell r="O2819" t="str">
            <v/>
          </cell>
          <cell r="P2819">
            <v>0</v>
          </cell>
          <cell r="Q2819">
            <v>0.27969295254920901</v>
          </cell>
          <cell r="R2819">
            <v>0.27969295254920901</v>
          </cell>
          <cell r="S2819" t="e">
            <v>#VALUE!</v>
          </cell>
          <cell r="T2819" t="e">
            <v>#VALUE!</v>
          </cell>
        </row>
        <row r="2820">
          <cell r="A2820" t="str">
            <v>GRGL1800055Z</v>
          </cell>
          <cell r="B2820" t="str">
            <v>MKP000631004227</v>
          </cell>
          <cell r="C2820" t="str">
            <v/>
          </cell>
          <cell r="D2820" t="str">
            <v>Armário de Cozinha Compacta 180cm Rustic Glamy Madesa 05</v>
          </cell>
          <cell r="E2820" t="str">
            <v>GLAMY</v>
          </cell>
          <cell r="F2820" t="str">
            <v>COZINHA</v>
          </cell>
          <cell r="G2820" t="str">
            <v/>
          </cell>
          <cell r="H2820">
            <v>1699.99</v>
          </cell>
          <cell r="I2820">
            <v>1599.99</v>
          </cell>
          <cell r="J2820">
            <v>1343.5012999999999</v>
          </cell>
          <cell r="K2820">
            <v>0</v>
          </cell>
          <cell r="L2820">
            <v>1343.5012999999999</v>
          </cell>
          <cell r="M2820">
            <v>0</v>
          </cell>
          <cell r="N2820">
            <v>1599.99</v>
          </cell>
          <cell r="O2820" t="str">
            <v/>
          </cell>
          <cell r="P2820">
            <v>0</v>
          </cell>
          <cell r="Q2820">
            <v>0.19091064519252801</v>
          </cell>
          <cell r="R2820">
            <v>0.19091064519252801</v>
          </cell>
          <cell r="S2820" t="e">
            <v>#VALUE!</v>
          </cell>
          <cell r="T2820" t="e">
            <v>#VALUE!</v>
          </cell>
        </row>
        <row r="2821">
          <cell r="A2821" t="str">
            <v>11186E3E</v>
          </cell>
          <cell r="B2821" t="str">
            <v>MKP000631002689</v>
          </cell>
          <cell r="C2821" t="str">
            <v/>
          </cell>
          <cell r="D2821" t="str">
            <v>Guarda-Roupa Casal Madesa Istambul 3 Portas de Correr de Espelho 3 Gavetas Rustic/Branco</v>
          </cell>
          <cell r="E2821" t="str">
            <v>ISTAMBUL</v>
          </cell>
          <cell r="F2821" t="str">
            <v>QUARTO</v>
          </cell>
          <cell r="G2821" t="str">
            <v/>
          </cell>
          <cell r="H2821">
            <v>2589.9899999999998</v>
          </cell>
          <cell r="I2821">
            <v>2099.9899999999998</v>
          </cell>
          <cell r="J2821">
            <v>1766.2687000000001</v>
          </cell>
          <cell r="K2821">
            <v>0</v>
          </cell>
          <cell r="L2821">
            <v>1766.2687000000001</v>
          </cell>
          <cell r="M2821">
            <v>0</v>
          </cell>
          <cell r="N2821">
            <v>2099.9899999999998</v>
          </cell>
          <cell r="O2821" t="str">
            <v/>
          </cell>
          <cell r="P2821">
            <v>0</v>
          </cell>
          <cell r="Q2821">
            <v>0.18894141078308199</v>
          </cell>
          <cell r="R2821">
            <v>0.18894141078308199</v>
          </cell>
          <cell r="S2821" t="e">
            <v>#VALUE!</v>
          </cell>
          <cell r="T2821" t="e">
            <v>#VALUE!</v>
          </cell>
        </row>
        <row r="2822">
          <cell r="A2822" t="str">
            <v>GRGL18000709</v>
          </cell>
          <cell r="B2822" t="str">
            <v>MKP000631004225</v>
          </cell>
          <cell r="C2822" t="str">
            <v/>
          </cell>
          <cell r="D2822" t="str">
            <v>Armário de Cozinha Compacta 180cm Branco Glamy Madesa 07</v>
          </cell>
          <cell r="E2822" t="str">
            <v>GLAMY</v>
          </cell>
          <cell r="F2822" t="str">
            <v>COZINHA</v>
          </cell>
          <cell r="G2822" t="str">
            <v/>
          </cell>
          <cell r="H2822">
            <v>1679.99</v>
          </cell>
          <cell r="I2822">
            <v>1579.99</v>
          </cell>
          <cell r="J2822">
            <v>1307.6839</v>
          </cell>
          <cell r="K2822">
            <v>0</v>
          </cell>
          <cell r="L2822">
            <v>1307.6839</v>
          </cell>
          <cell r="M2822">
            <v>0</v>
          </cell>
          <cell r="N2822">
            <v>1579.99</v>
          </cell>
          <cell r="O2822" t="str">
            <v/>
          </cell>
          <cell r="P2822">
            <v>0</v>
          </cell>
          <cell r="Q2822">
            <v>0.208235415301817</v>
          </cell>
          <cell r="R2822">
            <v>0.208235415301817</v>
          </cell>
          <cell r="S2822" t="e">
            <v>#VALUE!</v>
          </cell>
          <cell r="T2822" t="e">
            <v>#VALUE!</v>
          </cell>
        </row>
        <row r="2823">
          <cell r="A2823" t="str">
            <v>1118771E</v>
          </cell>
          <cell r="B2823" t="str">
            <v>MKP000631002668</v>
          </cell>
          <cell r="C2823" t="str">
            <v/>
          </cell>
          <cell r="D2823" t="str">
            <v>Guarda-Roupa Casal Madesa Istambul 3 Portas de Correr com Espelho 3 Gavetas Preto/Branco</v>
          </cell>
          <cell r="E2823" t="str">
            <v>ISTAMBUL</v>
          </cell>
          <cell r="F2823" t="str">
            <v>QUARTO</v>
          </cell>
          <cell r="G2823" t="str">
            <v/>
          </cell>
          <cell r="H2823">
            <v>2179.9899999999998</v>
          </cell>
          <cell r="I2823">
            <v>1659.99</v>
          </cell>
          <cell r="J2823">
            <v>1365.1922999999999</v>
          </cell>
          <cell r="K2823">
            <v>0</v>
          </cell>
          <cell r="L2823">
            <v>1365.1922999999999</v>
          </cell>
          <cell r="M2823">
            <v>0</v>
          </cell>
          <cell r="N2823">
            <v>1659.99</v>
          </cell>
          <cell r="O2823" t="str">
            <v/>
          </cell>
          <cell r="P2823">
            <v>0</v>
          </cell>
          <cell r="Q2823">
            <v>0.21593858975032301</v>
          </cell>
          <cell r="R2823">
            <v>0.21593858975032301</v>
          </cell>
          <cell r="S2823" t="e">
            <v>#VALUE!</v>
          </cell>
          <cell r="T2823" t="e">
            <v>#VALUE!</v>
          </cell>
        </row>
        <row r="2824">
          <cell r="A2824" t="str">
            <v>XC106373</v>
          </cell>
          <cell r="B2824" t="str">
            <v>MKP000631003126</v>
          </cell>
          <cell r="C2824" t="str">
            <v/>
          </cell>
          <cell r="D2824" t="str">
            <v>Guarda-Roupa Casal 100% MDF Madesa Zurique 3 Portas de Correr Branco/Preto</v>
          </cell>
          <cell r="E2824" t="str">
            <v>ZURIQUE</v>
          </cell>
          <cell r="F2824" t="str">
            <v>QUARTO</v>
          </cell>
          <cell r="G2824" t="str">
            <v/>
          </cell>
          <cell r="H2824">
            <v>2469.9899999999998</v>
          </cell>
          <cell r="I2824">
            <v>1899.99</v>
          </cell>
          <cell r="J2824">
            <v>1551.3534</v>
          </cell>
          <cell r="K2824">
            <v>0</v>
          </cell>
          <cell r="L2824">
            <v>1551.3534</v>
          </cell>
          <cell r="M2824">
            <v>0</v>
          </cell>
          <cell r="N2824">
            <v>1899.99</v>
          </cell>
          <cell r="O2824" t="str">
            <v/>
          </cell>
          <cell r="P2824">
            <v>0</v>
          </cell>
          <cell r="Q2824">
            <v>0.22473061263797101</v>
          </cell>
          <cell r="R2824">
            <v>0.22473061263797101</v>
          </cell>
          <cell r="S2824" t="e">
            <v>#VALUE!</v>
          </cell>
          <cell r="T2824" t="e">
            <v>#VALUE!</v>
          </cell>
        </row>
        <row r="2825">
          <cell r="A2825" t="str">
            <v>GRAG260002F9</v>
          </cell>
          <cell r="B2825" t="str">
            <v>MKP000631004588</v>
          </cell>
          <cell r="C2825" t="str">
            <v/>
          </cell>
          <cell r="D2825" t="str">
            <v>Armário de Cozinha Completa 260cm Rustic Cinza Agata Madesa 02</v>
          </cell>
          <cell r="E2825" t="str">
            <v>ÁGATA</v>
          </cell>
          <cell r="F2825" t="str">
            <v>COZINHA</v>
          </cell>
          <cell r="G2825" t="str">
            <v/>
          </cell>
          <cell r="H2825">
            <v>1939.99</v>
          </cell>
          <cell r="I2825">
            <v>1699.99</v>
          </cell>
          <cell r="J2825">
            <v>1382.2617</v>
          </cell>
          <cell r="K2825">
            <v>0</v>
          </cell>
          <cell r="L2825">
            <v>1382.2617</v>
          </cell>
          <cell r="M2825">
            <v>0</v>
          </cell>
          <cell r="N2825">
            <v>1699.99</v>
          </cell>
          <cell r="O2825" t="str">
            <v>LOJA</v>
          </cell>
          <cell r="P2825">
            <v>1819.99</v>
          </cell>
          <cell r="Q2825">
            <v>0.22986117607107201</v>
          </cell>
          <cell r="R2825">
            <v>0.22986117607107201</v>
          </cell>
          <cell r="S2825" t="e">
            <v>#VALUE!</v>
          </cell>
          <cell r="T2825" t="e">
            <v>#VALUE!</v>
          </cell>
        </row>
        <row r="2826">
          <cell r="A2826" t="str">
            <v>XA10639B1B</v>
          </cell>
          <cell r="B2826" t="str">
            <v>MKP000631001437</v>
          </cell>
          <cell r="C2826" t="str">
            <v/>
          </cell>
          <cell r="D2826" t="str">
            <v>Guarda-Roupa Infantil Madesa Logan 100% MDF 3 Portas de Correr Branco/Rustic/Branco</v>
          </cell>
          <cell r="E2826" t="str">
            <v>LOGAN</v>
          </cell>
          <cell r="F2826" t="str">
            <v>QUARTO</v>
          </cell>
          <cell r="G2826" t="str">
            <v/>
          </cell>
          <cell r="H2826">
            <v>2469.9899999999998</v>
          </cell>
          <cell r="I2826">
            <v>1899.99</v>
          </cell>
          <cell r="J2826">
            <v>1551.3534</v>
          </cell>
          <cell r="K2826">
            <v>0</v>
          </cell>
          <cell r="L2826">
            <v>1551.3534</v>
          </cell>
          <cell r="M2826">
            <v>0</v>
          </cell>
          <cell r="N2826">
            <v>1899.99</v>
          </cell>
          <cell r="O2826" t="str">
            <v/>
          </cell>
          <cell r="P2826">
            <v>0</v>
          </cell>
          <cell r="Q2826">
            <v>0.22473061263797101</v>
          </cell>
          <cell r="R2826">
            <v>0.22473061263797101</v>
          </cell>
          <cell r="S2826" t="e">
            <v>#VALUE!</v>
          </cell>
          <cell r="T2826" t="e">
            <v>#VALUE!</v>
          </cell>
        </row>
        <row r="2827">
          <cell r="A2827" t="str">
            <v>GRGL27000109</v>
          </cell>
          <cell r="B2827" t="str">
            <v>MKP000631000184</v>
          </cell>
          <cell r="C2827" t="str">
            <v/>
          </cell>
          <cell r="D2827" t="str">
            <v>Armário de Cozinha Completa 270cm Branco Marselha Madesa 01</v>
          </cell>
          <cell r="E2827" t="str">
            <v>MARSELHA/GLAMY</v>
          </cell>
          <cell r="F2827" t="str">
            <v>COZINHA</v>
          </cell>
          <cell r="G2827" t="str">
            <v/>
          </cell>
          <cell r="H2827">
            <v>2099.9899999999998</v>
          </cell>
          <cell r="I2827">
            <v>1999.99</v>
          </cell>
          <cell r="J2827">
            <v>1614.0938000000001</v>
          </cell>
          <cell r="K2827">
            <v>0</v>
          </cell>
          <cell r="L2827">
            <v>1614.0938000000001</v>
          </cell>
          <cell r="M2827">
            <v>0</v>
          </cell>
          <cell r="N2827">
            <v>1999.99</v>
          </cell>
          <cell r="O2827" t="str">
            <v/>
          </cell>
          <cell r="P2827">
            <v>0</v>
          </cell>
          <cell r="Q2827">
            <v>0.239079166278936</v>
          </cell>
          <cell r="R2827">
            <v>0.239079166278936</v>
          </cell>
          <cell r="S2827" t="e">
            <v>#VALUE!</v>
          </cell>
          <cell r="T2827" t="e">
            <v>#VALUE!</v>
          </cell>
        </row>
        <row r="2828">
          <cell r="A2828" t="str">
            <v>101873</v>
          </cell>
          <cell r="B2828" t="str">
            <v>MKP000631002367</v>
          </cell>
          <cell r="C2828" t="str">
            <v/>
          </cell>
          <cell r="D2828" t="str">
            <v>Guarda-Roupa Casal Madesa Kansas 3 Portas de Correr 3 Gavetas Branco/Preto</v>
          </cell>
          <cell r="E2828" t="str">
            <v>KANSAS</v>
          </cell>
          <cell r="F2828" t="str">
            <v>QUARTO</v>
          </cell>
          <cell r="G2828" t="str">
            <v/>
          </cell>
          <cell r="H2828">
            <v>1979.99</v>
          </cell>
          <cell r="I2828">
            <v>1459.99</v>
          </cell>
          <cell r="J2828">
            <v>1164.6541</v>
          </cell>
          <cell r="K2828">
            <v>0</v>
          </cell>
          <cell r="L2828">
            <v>1164.6541</v>
          </cell>
          <cell r="M2828">
            <v>0</v>
          </cell>
          <cell r="N2828">
            <v>1459.99</v>
          </cell>
          <cell r="O2828" t="str">
            <v/>
          </cell>
          <cell r="P2828">
            <v>0</v>
          </cell>
          <cell r="Q2828">
            <v>0.25358250144828398</v>
          </cell>
          <cell r="R2828">
            <v>0.25358250144828398</v>
          </cell>
          <cell r="S2828" t="e">
            <v>#VALUE!</v>
          </cell>
          <cell r="T2828" t="e">
            <v>#VALUE!</v>
          </cell>
        </row>
        <row r="2829">
          <cell r="A2829" t="str">
            <v>MDES0200206E9B</v>
          </cell>
          <cell r="B2829" t="str">
            <v>MKP000631002803</v>
          </cell>
          <cell r="C2829" t="str">
            <v/>
          </cell>
          <cell r="D2829" t="str">
            <v>Rack Madesa Cancun com Pés e Painel para TV até 65 Polegadas Rustic/Branco 6E9B</v>
          </cell>
          <cell r="E2829" t="str">
            <v>CANCUN</v>
          </cell>
          <cell r="F2829" t="str">
            <v>SALA DE ESTAR</v>
          </cell>
          <cell r="G2829" t="str">
            <v/>
          </cell>
          <cell r="H2829">
            <v>699.99</v>
          </cell>
          <cell r="I2829">
            <v>599.99</v>
          </cell>
          <cell r="J2829">
            <v>470.45490000000001</v>
          </cell>
          <cell r="K2829">
            <v>0</v>
          </cell>
          <cell r="L2829">
            <v>470.45490000000001</v>
          </cell>
          <cell r="M2829">
            <v>0</v>
          </cell>
          <cell r="N2829">
            <v>599.99</v>
          </cell>
          <cell r="O2829" t="str">
            <v/>
          </cell>
          <cell r="P2829">
            <v>0</v>
          </cell>
          <cell r="Q2829">
            <v>0.27534010167605799</v>
          </cell>
          <cell r="R2829">
            <v>0.27534010167605799</v>
          </cell>
          <cell r="S2829" t="e">
            <v>#VALUE!</v>
          </cell>
          <cell r="T2829" t="e">
            <v>#VALUE!</v>
          </cell>
        </row>
        <row r="2830">
          <cell r="A2830" t="str">
            <v>G241239BTE</v>
          </cell>
          <cell r="B2830" t="str">
            <v>MKP000631002208</v>
          </cell>
          <cell r="C2830" t="str">
            <v/>
          </cell>
          <cell r="D2830" t="str">
            <v>Balcão Gabinete de Pia Madesa Stella 1 Porta e 2 Gavetas (Sem Tampo e Pia) Branco/Rustic</v>
          </cell>
          <cell r="E2830" t="str">
            <v>STELLA</v>
          </cell>
          <cell r="F2830" t="str">
            <v>MODULAÇÃO</v>
          </cell>
          <cell r="G2830" t="str">
            <v/>
          </cell>
          <cell r="H2830">
            <v>1119.99</v>
          </cell>
          <cell r="I2830">
            <v>559.99</v>
          </cell>
          <cell r="J2830">
            <v>429.73250000000002</v>
          </cell>
          <cell r="K2830">
            <v>0</v>
          </cell>
          <cell r="L2830">
            <v>429.73250000000002</v>
          </cell>
          <cell r="M2830">
            <v>0</v>
          </cell>
          <cell r="N2830">
            <v>559.99</v>
          </cell>
          <cell r="O2830" t="str">
            <v/>
          </cell>
          <cell r="P2830">
            <v>0</v>
          </cell>
          <cell r="Q2830">
            <v>0.303112983076681</v>
          </cell>
          <cell r="R2830">
            <v>0.303112983076681</v>
          </cell>
          <cell r="S2830" t="e">
            <v>#VALUE!</v>
          </cell>
          <cell r="T2830" t="e">
            <v>#VALUE!</v>
          </cell>
        </row>
        <row r="2831">
          <cell r="A2831" t="str">
            <v>G246016EGL</v>
          </cell>
          <cell r="B2831" t="str">
            <v>MKP000631000840</v>
          </cell>
          <cell r="C2831" t="str">
            <v/>
          </cell>
          <cell r="D2831" t="str">
            <v>Balcão Madesa Glamy 60 cm 3 Gavetas Rustic/Branco</v>
          </cell>
          <cell r="E2831" t="str">
            <v>GLAMY</v>
          </cell>
          <cell r="F2831" t="str">
            <v>MODULAÇÃO</v>
          </cell>
          <cell r="G2831" t="str">
            <v/>
          </cell>
          <cell r="H2831">
            <v>989.99</v>
          </cell>
          <cell r="I2831">
            <v>589.99</v>
          </cell>
          <cell r="J2831">
            <v>394.18759999999997</v>
          </cell>
          <cell r="K2831">
            <v>0</v>
          </cell>
          <cell r="L2831">
            <v>394.18759999999997</v>
          </cell>
          <cell r="M2831">
            <v>0</v>
          </cell>
          <cell r="N2831">
            <v>589.99</v>
          </cell>
          <cell r="O2831" t="str">
            <v/>
          </cell>
          <cell r="P2831">
            <v>0</v>
          </cell>
          <cell r="Q2831">
            <v>0.496723894917039</v>
          </cell>
          <cell r="R2831">
            <v>0.496723894917039</v>
          </cell>
          <cell r="S2831" t="e">
            <v>#VALUE!</v>
          </cell>
          <cell r="T2831" t="e">
            <v>#VALUE!</v>
          </cell>
        </row>
        <row r="2832">
          <cell r="A2832" t="str">
            <v>GILX1200019N</v>
          </cell>
          <cell r="B2832" t="str">
            <v>MKP000631006001</v>
          </cell>
          <cell r="C2832" t="str">
            <v/>
          </cell>
          <cell r="D2832" t="str">
            <v>Ilha de Cozinha com Bancada e Balcão 120 cm Rustic/Cinza Lux Madesa</v>
          </cell>
          <cell r="E2832" t="str">
            <v>LUX</v>
          </cell>
          <cell r="F2832" t="str">
            <v>MODULAÇÃO</v>
          </cell>
          <cell r="G2832" t="str">
            <v/>
          </cell>
          <cell r="H2832">
            <v>1429.99</v>
          </cell>
          <cell r="I2832">
            <v>1429.99</v>
          </cell>
          <cell r="J2832">
            <v>925.91139999999996</v>
          </cell>
          <cell r="K2832">
            <v>0</v>
          </cell>
          <cell r="L2832">
            <v>925.91139999999996</v>
          </cell>
          <cell r="M2832">
            <v>0</v>
          </cell>
          <cell r="N2832">
            <v>1429.99</v>
          </cell>
          <cell r="O2832" t="str">
            <v/>
          </cell>
          <cell r="P2832">
            <v>0</v>
          </cell>
          <cell r="Q2832">
            <v>0.54441342875787002</v>
          </cell>
          <cell r="R2832">
            <v>0.54441342875787002</v>
          </cell>
          <cell r="S2832" t="e">
            <v>#VALUE!</v>
          </cell>
          <cell r="T2832" t="e">
            <v>#VALUE!</v>
          </cell>
        </row>
        <row r="2833">
          <cell r="A2833" t="str">
            <v>GRLX26000873</v>
          </cell>
          <cell r="B2833" t="str">
            <v>MKP000631004856</v>
          </cell>
          <cell r="C2833" t="str">
            <v/>
          </cell>
          <cell r="D2833" t="str">
            <v>Armário de Cozinha Completa 260cm Branco/Preto Lux Madesa 08</v>
          </cell>
          <cell r="E2833" t="str">
            <v>LUX</v>
          </cell>
          <cell r="F2833" t="str">
            <v>COZINHA</v>
          </cell>
          <cell r="G2833" t="str">
            <v/>
          </cell>
          <cell r="H2833">
            <v>4839.99</v>
          </cell>
          <cell r="I2833">
            <v>4769.99</v>
          </cell>
          <cell r="J2833">
            <v>3061.5374999999999</v>
          </cell>
          <cell r="K2833">
            <v>0</v>
          </cell>
          <cell r="L2833">
            <v>3061.5374999999999</v>
          </cell>
          <cell r="M2833">
            <v>0</v>
          </cell>
          <cell r="N2833">
            <v>4769.99</v>
          </cell>
          <cell r="O2833" t="str">
            <v>LOJA</v>
          </cell>
          <cell r="P2833">
            <v>4189.99</v>
          </cell>
          <cell r="Q2833">
            <v>0.55803742400672796</v>
          </cell>
          <cell r="R2833">
            <v>0.55803742400672796</v>
          </cell>
          <cell r="S2833" t="e">
            <v>#VALUE!</v>
          </cell>
          <cell r="T2833" t="e">
            <v>#VALUE!</v>
          </cell>
        </row>
        <row r="2834">
          <cell r="A2834" t="str">
            <v>1051001</v>
          </cell>
          <cell r="B2834" t="str">
            <v>MKP000631002835</v>
          </cell>
          <cell r="C2834" t="str">
            <v/>
          </cell>
          <cell r="D2834" t="str">
            <v>Kit Madesa com 3 Espelhos de 66,7 x 72,9 cm para Guarda-Roupa</v>
          </cell>
          <cell r="E2834" t="str">
            <v>KIT ESPELHO</v>
          </cell>
          <cell r="F2834" t="str">
            <v>QUARTO</v>
          </cell>
          <cell r="G2834" t="str">
            <v/>
          </cell>
          <cell r="H2834">
            <v>499.99</v>
          </cell>
          <cell r="I2834">
            <v>379.99</v>
          </cell>
          <cell r="J2834">
            <v>241.26060000000001</v>
          </cell>
          <cell r="K2834">
            <v>0</v>
          </cell>
          <cell r="L2834">
            <v>241.26060000000001</v>
          </cell>
          <cell r="M2834">
            <v>0</v>
          </cell>
          <cell r="N2834">
            <v>379.99</v>
          </cell>
          <cell r="O2834" t="str">
            <v/>
          </cell>
          <cell r="P2834">
            <v>0</v>
          </cell>
          <cell r="Q2834">
            <v>0.57501887999946899</v>
          </cell>
          <cell r="R2834">
            <v>0.57501887999946899</v>
          </cell>
          <cell r="S2834" t="e">
            <v>#VALUE!</v>
          </cell>
          <cell r="T2834" t="e">
            <v>#VALUE!</v>
          </cell>
        </row>
        <row r="2835">
          <cell r="A2835" t="str">
            <v>G247006EAG</v>
          </cell>
          <cell r="B2835" t="str">
            <v>MKP000631004446</v>
          </cell>
          <cell r="C2835" t="str">
            <v/>
          </cell>
          <cell r="D2835" t="str">
            <v>Balcão de Cozinha Madesa Agata 70 cm 2 Portas Rustic/Branco</v>
          </cell>
          <cell r="E2835" t="str">
            <v>ÁGATA</v>
          </cell>
          <cell r="F2835" t="str">
            <v>MODULAÇÃO</v>
          </cell>
          <cell r="G2835" t="str">
            <v/>
          </cell>
          <cell r="H2835">
            <v>639.99</v>
          </cell>
          <cell r="I2835">
            <v>519.99</v>
          </cell>
          <cell r="J2835">
            <v>316.08909999999997</v>
          </cell>
          <cell r="K2835">
            <v>0</v>
          </cell>
          <cell r="L2835">
            <v>316.08909999999997</v>
          </cell>
          <cell r="M2835">
            <v>0</v>
          </cell>
          <cell r="N2835">
            <v>519.99</v>
          </cell>
          <cell r="O2835" t="str">
            <v/>
          </cell>
          <cell r="P2835">
            <v>0</v>
          </cell>
          <cell r="Q2835">
            <v>0.64507412625111105</v>
          </cell>
          <cell r="R2835">
            <v>0.64507412625111105</v>
          </cell>
          <cell r="S2835" t="e">
            <v>#VALUE!</v>
          </cell>
          <cell r="T2835" t="e">
            <v>#VALUE!</v>
          </cell>
        </row>
        <row r="2836">
          <cell r="A2836" t="str">
            <v>G258006ETE</v>
          </cell>
          <cell r="B2836" t="str">
            <v>MKP000631002150</v>
          </cell>
          <cell r="C2836" t="str">
            <v/>
          </cell>
          <cell r="D2836" t="str">
            <v>Armário Aéreo Madesa Stella 80 cm 2 Portas Rustic/Branco</v>
          </cell>
          <cell r="E2836" t="str">
            <v>STELLA</v>
          </cell>
          <cell r="F2836" t="str">
            <v>MODULAÇÃO</v>
          </cell>
          <cell r="G2836" t="str">
            <v/>
          </cell>
          <cell r="H2836">
            <v>489.99</v>
          </cell>
          <cell r="I2836">
            <v>429.99</v>
          </cell>
          <cell r="J2836">
            <v>258.66789999999997</v>
          </cell>
          <cell r="K2836">
            <v>0</v>
          </cell>
          <cell r="L2836">
            <v>258.66789999999997</v>
          </cell>
          <cell r="M2836">
            <v>0</v>
          </cell>
          <cell r="N2836">
            <v>429.99</v>
          </cell>
          <cell r="O2836" t="str">
            <v/>
          </cell>
          <cell r="P2836">
            <v>0</v>
          </cell>
          <cell r="Q2836">
            <v>0.66232454819480902</v>
          </cell>
          <cell r="R2836">
            <v>0.66232454819480902</v>
          </cell>
          <cell r="S2836" t="e">
            <v>#VALUE!</v>
          </cell>
          <cell r="T2836" t="e">
            <v>#VALUE!</v>
          </cell>
        </row>
        <row r="2837">
          <cell r="A2837" t="str">
            <v>G224007KLXCT</v>
          </cell>
          <cell r="B2837" t="str">
            <v>MKP000631005100</v>
          </cell>
          <cell r="C2837" t="str">
            <v/>
          </cell>
          <cell r="D2837" t="str">
            <v>Balcão 40 cm 1 Porta Rustic/Preto Lux Madesa</v>
          </cell>
          <cell r="E2837" t="str">
            <v>LUX</v>
          </cell>
          <cell r="F2837" t="str">
            <v>MODULAÇÃO</v>
          </cell>
          <cell r="G2837" t="str">
            <v/>
          </cell>
          <cell r="H2837">
            <v>819.99</v>
          </cell>
          <cell r="I2837">
            <v>689.99</v>
          </cell>
          <cell r="J2837">
            <v>363.51499999999999</v>
          </cell>
          <cell r="K2837">
            <v>0</v>
          </cell>
          <cell r="L2837">
            <v>363.51499999999999</v>
          </cell>
          <cell r="M2837">
            <v>0</v>
          </cell>
          <cell r="N2837">
            <v>689.99</v>
          </cell>
          <cell r="O2837" t="str">
            <v>LOJA</v>
          </cell>
          <cell r="P2837">
            <v>679.99</v>
          </cell>
          <cell r="Q2837">
            <v>0.89810599287512205</v>
          </cell>
          <cell r="R2837">
            <v>0.89810599287512205</v>
          </cell>
          <cell r="S2837" t="e">
            <v>#VALUE!</v>
          </cell>
          <cell r="T2837" t="e">
            <v>#VALUE!</v>
          </cell>
        </row>
        <row r="2838">
          <cell r="A2838" t="str">
            <v>1118D81E</v>
          </cell>
          <cell r="B2838" t="str">
            <v>MKP000631002669</v>
          </cell>
          <cell r="C2838" t="str">
            <v/>
          </cell>
          <cell r="D2838" t="str">
            <v>Guarda-Roupa Casal Madesa Istambul 3 Portas de Correr com Espelho 3 Gavetas Preto/Rustic</v>
          </cell>
          <cell r="E2838" t="str">
            <v>ISTAMBUL</v>
          </cell>
          <cell r="F2838" t="str">
            <v>QUARTO</v>
          </cell>
          <cell r="G2838" t="str">
            <v/>
          </cell>
          <cell r="H2838">
            <v>2179.9899999999998</v>
          </cell>
          <cell r="I2838">
            <v>1659.99</v>
          </cell>
          <cell r="J2838">
            <v>1365.1922999999999</v>
          </cell>
          <cell r="K2838">
            <v>0</v>
          </cell>
          <cell r="L2838">
            <v>1365.1922999999999</v>
          </cell>
          <cell r="M2838">
            <v>0</v>
          </cell>
          <cell r="N2838">
            <v>1659.99</v>
          </cell>
          <cell r="O2838" t="str">
            <v/>
          </cell>
          <cell r="P2838">
            <v>0</v>
          </cell>
          <cell r="Q2838">
            <v>0.21593858975032301</v>
          </cell>
          <cell r="R2838">
            <v>0.21593858975032301</v>
          </cell>
          <cell r="S2838" t="e">
            <v>#VALUE!</v>
          </cell>
          <cell r="T2838" t="e">
            <v>#VALUE!</v>
          </cell>
        </row>
        <row r="2839">
          <cell r="A2839" t="str">
            <v>MDJA0401647GFBM</v>
          </cell>
          <cell r="B2839" t="str">
            <v>MKP000631005577</v>
          </cell>
          <cell r="C2839" t="str">
            <v/>
          </cell>
          <cell r="D2839" t="str">
            <v>Conjunto Sala de Jantar Mesa Tampo de Vidro 4 Cadeiras Rustic/Crema/Bege Marrom Perla Madesa</v>
          </cell>
          <cell r="E2839" t="str">
            <v>PERLA</v>
          </cell>
          <cell r="F2839" t="str">
            <v>SALA DE JANTAR</v>
          </cell>
          <cell r="G2839" t="str">
            <v>4290X</v>
          </cell>
          <cell r="H2839">
            <v>759.99</v>
          </cell>
          <cell r="I2839">
            <v>659.99</v>
          </cell>
          <cell r="J2839">
            <v>512.16920000000005</v>
          </cell>
          <cell r="K2839">
            <v>0</v>
          </cell>
          <cell r="L2839">
            <v>512.16920000000005</v>
          </cell>
          <cell r="M2839">
            <v>0</v>
          </cell>
          <cell r="N2839">
            <v>659.99</v>
          </cell>
          <cell r="O2839" t="str">
            <v/>
          </cell>
          <cell r="P2839">
            <v>0</v>
          </cell>
          <cell r="Q2839">
            <v>0.28861712106077397</v>
          </cell>
          <cell r="R2839">
            <v>0.28861712106077397</v>
          </cell>
          <cell r="S2839" t="e">
            <v>#VALUE!</v>
          </cell>
          <cell r="T2839" t="e">
            <v>#VALUE!</v>
          </cell>
        </row>
        <row r="2840">
          <cell r="A2840" t="str">
            <v>XAGRGL30000109</v>
          </cell>
          <cell r="B2840" t="str">
            <v>MKP000631001967</v>
          </cell>
          <cell r="C2840" t="str">
            <v/>
          </cell>
          <cell r="D2840" t="str">
            <v>Armário de Cozinha Completa 300cm Branco Verona Madesa XA01</v>
          </cell>
          <cell r="E2840" t="str">
            <v>VERONA/GLAMY</v>
          </cell>
          <cell r="F2840" t="str">
            <v>COZINHA</v>
          </cell>
          <cell r="G2840" t="str">
            <v/>
          </cell>
          <cell r="H2840">
            <v>2999.99</v>
          </cell>
          <cell r="I2840">
            <v>2399.9899999999998</v>
          </cell>
          <cell r="J2840">
            <v>2019.9553000000001</v>
          </cell>
          <cell r="K2840">
            <v>0</v>
          </cell>
          <cell r="L2840">
            <v>2019.9553000000001</v>
          </cell>
          <cell r="M2840">
            <v>0</v>
          </cell>
          <cell r="N2840">
            <v>2399.9899999999998</v>
          </cell>
          <cell r="O2840" t="str">
            <v/>
          </cell>
          <cell r="P2840">
            <v>0</v>
          </cell>
          <cell r="Q2840">
            <v>0.188140153398444</v>
          </cell>
          <cell r="R2840">
            <v>0.188140153398444</v>
          </cell>
          <cell r="S2840" t="e">
            <v>#VALUE!</v>
          </cell>
          <cell r="T2840" t="e">
            <v>#VALUE!</v>
          </cell>
        </row>
        <row r="2841">
          <cell r="A2841" t="str">
            <v>GRGL3100029B</v>
          </cell>
          <cell r="B2841" t="str">
            <v>MKP000631004741</v>
          </cell>
          <cell r="C2841" t="str">
            <v/>
          </cell>
          <cell r="D2841" t="str">
            <v>Armário de Cozinha Completa 310cm Branco/Rustic Glamy Madesa 02</v>
          </cell>
          <cell r="E2841" t="str">
            <v>GLAMY</v>
          </cell>
          <cell r="F2841" t="str">
            <v>COZINHA</v>
          </cell>
          <cell r="G2841" t="str">
            <v/>
          </cell>
          <cell r="H2841">
            <v>2599.9899999999998</v>
          </cell>
          <cell r="I2841">
            <v>2499.9899999999998</v>
          </cell>
          <cell r="J2841">
            <v>2091.3067000000001</v>
          </cell>
          <cell r="K2841">
            <v>0</v>
          </cell>
          <cell r="L2841">
            <v>2091.3067000000001</v>
          </cell>
          <cell r="M2841">
            <v>0</v>
          </cell>
          <cell r="N2841">
            <v>2499.9899999999998</v>
          </cell>
          <cell r="O2841" t="str">
            <v/>
          </cell>
          <cell r="P2841">
            <v>0</v>
          </cell>
          <cell r="Q2841">
            <v>0.195420069184496</v>
          </cell>
          <cell r="R2841">
            <v>0.195420069184496</v>
          </cell>
          <cell r="S2841" t="e">
            <v>#VALUE!</v>
          </cell>
          <cell r="T2841" t="e">
            <v>#VALUE!</v>
          </cell>
        </row>
        <row r="2842">
          <cell r="A2842" t="str">
            <v>G241249BGLCT</v>
          </cell>
          <cell r="B2842" t="str">
            <v>MKP000631002998</v>
          </cell>
          <cell r="C2842" t="str">
            <v/>
          </cell>
          <cell r="D2842" t="str">
            <v>Balcão de Pia Madesa Glamy 120 cm 2 Portas e 3 Gavetas (Com Tampo) Branco/Rustic</v>
          </cell>
          <cell r="E2842" t="str">
            <v>GLAMY</v>
          </cell>
          <cell r="F2842" t="str">
            <v>MODULAÇÃO</v>
          </cell>
          <cell r="G2842" t="str">
            <v/>
          </cell>
          <cell r="H2842">
            <v>1469.99</v>
          </cell>
          <cell r="I2842">
            <v>829.99</v>
          </cell>
          <cell r="J2842">
            <v>648.65899999999999</v>
          </cell>
          <cell r="K2842">
            <v>0</v>
          </cell>
          <cell r="L2842">
            <v>648.65899999999999</v>
          </cell>
          <cell r="M2842">
            <v>0</v>
          </cell>
          <cell r="N2842">
            <v>829.99</v>
          </cell>
          <cell r="O2842" t="str">
            <v/>
          </cell>
          <cell r="P2842">
            <v>0</v>
          </cell>
          <cell r="Q2842">
            <v>0.27954749722118999</v>
          </cell>
          <cell r="R2842">
            <v>0.27954749722118999</v>
          </cell>
          <cell r="S2842" t="e">
            <v>#VALUE!</v>
          </cell>
          <cell r="T2842" t="e">
            <v>#VALUE!</v>
          </cell>
        </row>
        <row r="2843">
          <cell r="A2843" t="str">
            <v>70087309PP</v>
          </cell>
          <cell r="B2843" t="str">
            <v>MKP000631001665</v>
          </cell>
          <cell r="C2843" t="str">
            <v/>
          </cell>
          <cell r="D2843" t="str">
            <v>Rack para TV até 65 Polegadas Madesa Cancun com Pés Branco/Preto 7309</v>
          </cell>
          <cell r="E2843" t="str">
            <v>CANCUN</v>
          </cell>
          <cell r="F2843" t="str">
            <v>SALA DE ESTAR</v>
          </cell>
          <cell r="G2843" t="str">
            <v/>
          </cell>
          <cell r="H2843">
            <v>459.99</v>
          </cell>
          <cell r="I2843">
            <v>359.99</v>
          </cell>
          <cell r="J2843">
            <v>271.62799999999999</v>
          </cell>
          <cell r="K2843">
            <v>0</v>
          </cell>
          <cell r="L2843">
            <v>271.62799999999999</v>
          </cell>
          <cell r="M2843">
            <v>0</v>
          </cell>
          <cell r="N2843">
            <v>359.99</v>
          </cell>
          <cell r="O2843" t="str">
            <v/>
          </cell>
          <cell r="P2843">
            <v>0</v>
          </cell>
          <cell r="Q2843">
            <v>0.32530519681328901</v>
          </cell>
          <cell r="R2843">
            <v>0.32530519681328901</v>
          </cell>
          <cell r="S2843" t="e">
            <v>#VALUE!</v>
          </cell>
          <cell r="T2843" t="e">
            <v>#VALUE!</v>
          </cell>
        </row>
        <row r="2844">
          <cell r="A2844" t="str">
            <v>XAGRLX2400057K</v>
          </cell>
          <cell r="B2844" t="str">
            <v>MKP000631005330</v>
          </cell>
          <cell r="C2844" t="str">
            <v/>
          </cell>
          <cell r="D2844" t="str">
            <v>Armário de Cozinha Completa 240cm Rustic/Preto Lux Madesa 05</v>
          </cell>
          <cell r="E2844" t="str">
            <v>LUX</v>
          </cell>
          <cell r="F2844" t="str">
            <v>COZINHA</v>
          </cell>
          <cell r="G2844" t="str">
            <v/>
          </cell>
          <cell r="H2844">
            <v>4779.99</v>
          </cell>
          <cell r="I2844">
            <v>3679.99</v>
          </cell>
          <cell r="J2844">
            <v>2550.6327000000001</v>
          </cell>
          <cell r="K2844">
            <v>0</v>
          </cell>
          <cell r="L2844">
            <v>2550.6327000000001</v>
          </cell>
          <cell r="M2844">
            <v>0</v>
          </cell>
          <cell r="N2844">
            <v>3679.99</v>
          </cell>
          <cell r="O2844" t="str">
            <v/>
          </cell>
          <cell r="P2844">
            <v>0</v>
          </cell>
          <cell r="Q2844">
            <v>0.44277535530694001</v>
          </cell>
          <cell r="R2844">
            <v>0.44277535530694001</v>
          </cell>
          <cell r="S2844" t="e">
            <v>#VALUE!</v>
          </cell>
          <cell r="T2844" t="e">
            <v>#VALUE!</v>
          </cell>
        </row>
        <row r="2845">
          <cell r="A2845" t="str">
            <v>GILX1200017K</v>
          </cell>
          <cell r="B2845" t="str">
            <v>MKP000631006000</v>
          </cell>
          <cell r="C2845" t="str">
            <v/>
          </cell>
          <cell r="D2845" t="str">
            <v>Ilha de Cozinha com Bancada e Balcão 120 cm Rustic/Preto Lux Madesa</v>
          </cell>
          <cell r="E2845" t="str">
            <v>LUX</v>
          </cell>
          <cell r="F2845" t="str">
            <v>MODULAÇÃO</v>
          </cell>
          <cell r="G2845" t="str">
            <v/>
          </cell>
          <cell r="H2845">
            <v>1479.99</v>
          </cell>
          <cell r="I2845">
            <v>1479.99</v>
          </cell>
          <cell r="J2845">
            <v>925.91139999999996</v>
          </cell>
          <cell r="K2845">
            <v>0</v>
          </cell>
          <cell r="L2845">
            <v>925.91139999999996</v>
          </cell>
          <cell r="M2845">
            <v>0</v>
          </cell>
          <cell r="N2845">
            <v>1479.99</v>
          </cell>
          <cell r="O2845" t="str">
            <v/>
          </cell>
          <cell r="P2845">
            <v>0</v>
          </cell>
          <cell r="Q2845">
            <v>0.59841427592316099</v>
          </cell>
          <cell r="R2845">
            <v>0.59841427592316099</v>
          </cell>
          <cell r="S2845" t="e">
            <v>#VALUE!</v>
          </cell>
          <cell r="T2845" t="e">
            <v>#VALUE!</v>
          </cell>
        </row>
        <row r="2846">
          <cell r="A2846" t="str">
            <v>G257009NLX</v>
          </cell>
          <cell r="B2846" t="str">
            <v>MKP000631005458</v>
          </cell>
          <cell r="C2846" t="str">
            <v/>
          </cell>
          <cell r="D2846" t="str">
            <v>Armário Aéreo 70 cm 2 Portas Rustic/Cinza Lux Madesa</v>
          </cell>
          <cell r="E2846" t="str">
            <v>LUX</v>
          </cell>
          <cell r="F2846" t="str">
            <v>MODULAÇÃO</v>
          </cell>
          <cell r="G2846" t="str">
            <v/>
          </cell>
          <cell r="H2846">
            <v>729.99</v>
          </cell>
          <cell r="I2846">
            <v>679.99</v>
          </cell>
          <cell r="J2846">
            <v>400.52050000000003</v>
          </cell>
          <cell r="K2846">
            <v>0</v>
          </cell>
          <cell r="L2846">
            <v>400.52050000000003</v>
          </cell>
          <cell r="M2846">
            <v>0</v>
          </cell>
          <cell r="N2846">
            <v>679.99</v>
          </cell>
          <cell r="O2846" t="str">
            <v>LOJA</v>
          </cell>
          <cell r="P2846">
            <v>669.99</v>
          </cell>
          <cell r="Q2846">
            <v>0.69776578227581298</v>
          </cell>
          <cell r="R2846">
            <v>0.69776578227581298</v>
          </cell>
          <cell r="S2846" t="e">
            <v>#VALUE!</v>
          </cell>
          <cell r="T2846" t="e">
            <v>#VALUE!</v>
          </cell>
        </row>
        <row r="2847">
          <cell r="A2847" t="str">
            <v>MDJA040157F9BE</v>
          </cell>
          <cell r="B2847" t="str">
            <v>MKP000631005546</v>
          </cell>
          <cell r="C2847" t="str">
            <v/>
          </cell>
          <cell r="D2847" t="str">
            <v>Conjunto Sala de Jantar Mesa Tampo de Madeira 4 Cadeiras Rustic/Cinza/Sintético Bege Samara Madesa</v>
          </cell>
          <cell r="E2847" t="str">
            <v>SAMARA</v>
          </cell>
          <cell r="F2847" t="str">
            <v>SALA DE JANTAR</v>
          </cell>
          <cell r="G2847" t="str">
            <v>4290X</v>
          </cell>
          <cell r="H2847">
            <v>619.99</v>
          </cell>
          <cell r="I2847">
            <v>519.99</v>
          </cell>
          <cell r="J2847">
            <v>400.13900000000001</v>
          </cell>
          <cell r="K2847">
            <v>0</v>
          </cell>
          <cell r="L2847">
            <v>400.13900000000001</v>
          </cell>
          <cell r="M2847">
            <v>0</v>
          </cell>
          <cell r="N2847">
            <v>519.99</v>
          </cell>
          <cell r="O2847" t="str">
            <v/>
          </cell>
          <cell r="P2847">
            <v>0</v>
          </cell>
          <cell r="Q2847">
            <v>0.299523415613074</v>
          </cell>
          <cell r="R2847">
            <v>0.299523415613074</v>
          </cell>
          <cell r="S2847" t="e">
            <v>#VALUE!</v>
          </cell>
          <cell r="T2847" t="e">
            <v>#VALUE!</v>
          </cell>
        </row>
        <row r="2848">
          <cell r="A2848" t="str">
            <v>G2560073AG</v>
          </cell>
          <cell r="B2848" t="str">
            <v>MKP000631003047</v>
          </cell>
          <cell r="C2848" t="str">
            <v/>
          </cell>
          <cell r="D2848" t="str">
            <v>Armário Aéreo Madesa Agata 60 cm 1 Porta Branco/Preto</v>
          </cell>
          <cell r="E2848" t="str">
            <v>ÁGATA</v>
          </cell>
          <cell r="F2848" t="str">
            <v>MODULAÇÃO</v>
          </cell>
          <cell r="G2848" t="str">
            <v/>
          </cell>
          <cell r="H2848">
            <v>619.99</v>
          </cell>
          <cell r="I2848">
            <v>319.99</v>
          </cell>
          <cell r="J2848">
            <v>183.3271</v>
          </cell>
          <cell r="K2848">
            <v>0</v>
          </cell>
          <cell r="L2848">
            <v>183.3271</v>
          </cell>
          <cell r="M2848">
            <v>0</v>
          </cell>
          <cell r="N2848">
            <v>319.99</v>
          </cell>
          <cell r="O2848" t="str">
            <v/>
          </cell>
          <cell r="P2848">
            <v>0</v>
          </cell>
          <cell r="Q2848">
            <v>0.74545934561775096</v>
          </cell>
          <cell r="R2848">
            <v>0.74545934561775096</v>
          </cell>
          <cell r="S2848" t="e">
            <v>#VALUE!</v>
          </cell>
          <cell r="T2848" t="e">
            <v>#VALUE!</v>
          </cell>
        </row>
        <row r="2849">
          <cell r="A2849" t="str">
            <v>GRGL27001009</v>
          </cell>
          <cell r="B2849" t="str">
            <v>MKP000631004374</v>
          </cell>
          <cell r="C2849" t="str">
            <v/>
          </cell>
          <cell r="D2849" t="str">
            <v>Armário de Cozinha Completa 270cm Branco Glamy Madesa 10</v>
          </cell>
          <cell r="E2849" t="str">
            <v>GLAMY</v>
          </cell>
          <cell r="F2849" t="str">
            <v>COZINHA</v>
          </cell>
          <cell r="G2849" t="str">
            <v/>
          </cell>
          <cell r="H2849">
            <v>2199.9899999999998</v>
          </cell>
          <cell r="I2849">
            <v>2099.9899999999998</v>
          </cell>
          <cell r="J2849">
            <v>1752.7309</v>
          </cell>
          <cell r="K2849">
            <v>0</v>
          </cell>
          <cell r="L2849">
            <v>1752.7309</v>
          </cell>
          <cell r="M2849">
            <v>0</v>
          </cell>
          <cell r="N2849">
            <v>2099.9899999999998</v>
          </cell>
          <cell r="O2849" t="str">
            <v/>
          </cell>
          <cell r="P2849">
            <v>0</v>
          </cell>
          <cell r="Q2849">
            <v>0.198124595167461</v>
          </cell>
          <cell r="R2849">
            <v>0.198124595167461</v>
          </cell>
          <cell r="S2849" t="e">
            <v>#VALUE!</v>
          </cell>
          <cell r="T2849" t="e">
            <v>#VALUE!</v>
          </cell>
        </row>
        <row r="2850">
          <cell r="A2850" t="str">
            <v>GRTE29000209</v>
          </cell>
          <cell r="B2850" t="str">
            <v>MKP000631001996</v>
          </cell>
          <cell r="C2850" t="str">
            <v/>
          </cell>
          <cell r="D2850" t="str">
            <v>Armário de Cozinha Completa 290cm Branco Stella Madesa 02</v>
          </cell>
          <cell r="E2850" t="str">
            <v>STELLA</v>
          </cell>
          <cell r="F2850" t="str">
            <v>COZINHA</v>
          </cell>
          <cell r="G2850" t="str">
            <v/>
          </cell>
          <cell r="H2850">
            <v>2299.9899999999998</v>
          </cell>
          <cell r="I2850">
            <v>2199.9899999999998</v>
          </cell>
          <cell r="J2850">
            <v>1815.6566</v>
          </cell>
          <cell r="K2850">
            <v>0</v>
          </cell>
          <cell r="L2850">
            <v>1815.6566</v>
          </cell>
          <cell r="M2850">
            <v>0</v>
          </cell>
          <cell r="N2850">
            <v>2199.9899999999998</v>
          </cell>
          <cell r="O2850" t="str">
            <v/>
          </cell>
          <cell r="P2850">
            <v>0</v>
          </cell>
          <cell r="Q2850">
            <v>0.21167736233823001</v>
          </cell>
          <cell r="R2850">
            <v>0.21167736233823001</v>
          </cell>
          <cell r="S2850" t="e">
            <v>#VALUE!</v>
          </cell>
          <cell r="T2850" t="e">
            <v>#VALUE!</v>
          </cell>
        </row>
        <row r="2851">
          <cell r="A2851" t="str">
            <v>1063731P</v>
          </cell>
          <cell r="B2851" t="str">
            <v>MKP000631003120</v>
          </cell>
          <cell r="C2851" t="str">
            <v/>
          </cell>
          <cell r="D2851" t="str">
            <v>Guarda-Roupa Casal 100% MDF Madesa Royale 3 Portas de Correr Branco/Branco/Preto</v>
          </cell>
          <cell r="E2851" t="str">
            <v>ROYALE</v>
          </cell>
          <cell r="F2851" t="str">
            <v>QUARTO</v>
          </cell>
          <cell r="G2851" t="str">
            <v/>
          </cell>
          <cell r="H2851">
            <v>2469.9899999999998</v>
          </cell>
          <cell r="I2851">
            <v>1899.99</v>
          </cell>
          <cell r="J2851">
            <v>1551.3534</v>
          </cell>
          <cell r="K2851">
            <v>0</v>
          </cell>
          <cell r="L2851">
            <v>1551.3534</v>
          </cell>
          <cell r="M2851">
            <v>0</v>
          </cell>
          <cell r="N2851">
            <v>1899.99</v>
          </cell>
          <cell r="O2851" t="str">
            <v/>
          </cell>
          <cell r="P2851">
            <v>0</v>
          </cell>
          <cell r="Q2851">
            <v>0.22473061263797101</v>
          </cell>
          <cell r="R2851">
            <v>0.22473061263797101</v>
          </cell>
          <cell r="S2851" t="e">
            <v>#VALUE!</v>
          </cell>
          <cell r="T2851" t="e">
            <v>#VALUE!</v>
          </cell>
        </row>
        <row r="2852">
          <cell r="A2852" t="str">
            <v>GRAG27000173</v>
          </cell>
          <cell r="B2852" t="str">
            <v>MKP000631004267</v>
          </cell>
          <cell r="C2852" t="str">
            <v/>
          </cell>
          <cell r="D2852" t="str">
            <v>Armário de Cozinha Completa 270cm Branco/Preto Agata Madesa 01</v>
          </cell>
          <cell r="E2852" t="str">
            <v>ÁGATA</v>
          </cell>
          <cell r="F2852" t="str">
            <v>COZINHA</v>
          </cell>
          <cell r="G2852" t="str">
            <v/>
          </cell>
          <cell r="H2852">
            <v>2399.9899999999998</v>
          </cell>
          <cell r="I2852">
            <v>2299.9899999999998</v>
          </cell>
          <cell r="J2852">
            <v>1858.4391000000001</v>
          </cell>
          <cell r="K2852">
            <v>0</v>
          </cell>
          <cell r="L2852">
            <v>1858.4391000000001</v>
          </cell>
          <cell r="M2852">
            <v>0</v>
          </cell>
          <cell r="N2852">
            <v>2299.9899999999998</v>
          </cell>
          <cell r="O2852" t="str">
            <v/>
          </cell>
          <cell r="P2852">
            <v>0</v>
          </cell>
          <cell r="Q2852">
            <v>0.237592342950598</v>
          </cell>
          <cell r="R2852">
            <v>0.237592342950598</v>
          </cell>
          <cell r="S2852" t="e">
            <v>#VALUE!</v>
          </cell>
          <cell r="T2852" t="e">
            <v>#VALUE!</v>
          </cell>
        </row>
        <row r="2853">
          <cell r="A2853" t="str">
            <v>GRAG120001F8</v>
          </cell>
          <cell r="B2853" t="str">
            <v>MKP000631004282</v>
          </cell>
          <cell r="C2853" t="str">
            <v/>
          </cell>
          <cell r="D2853" t="str">
            <v>Armário de Cozinha Compacta 120cm Branco/Cinza Agata Madesa 01</v>
          </cell>
          <cell r="E2853" t="str">
            <v>ÁGATA</v>
          </cell>
          <cell r="F2853" t="str">
            <v>COZINHA</v>
          </cell>
          <cell r="G2853" t="str">
            <v/>
          </cell>
          <cell r="H2853">
            <v>1389.99</v>
          </cell>
          <cell r="I2853">
            <v>1059.99</v>
          </cell>
          <cell r="J2853">
            <v>850.05830000000003</v>
          </cell>
          <cell r="K2853">
            <v>0</v>
          </cell>
          <cell r="L2853">
            <v>850.05830000000003</v>
          </cell>
          <cell r="M2853">
            <v>0</v>
          </cell>
          <cell r="N2853">
            <v>1059.99</v>
          </cell>
          <cell r="O2853" t="str">
            <v/>
          </cell>
          <cell r="P2853">
            <v>0</v>
          </cell>
          <cell r="Q2853">
            <v>0.246961531932574</v>
          </cell>
          <cell r="R2853">
            <v>0.246961531932574</v>
          </cell>
          <cell r="S2853" t="e">
            <v>#VALUE!</v>
          </cell>
          <cell r="T2853" t="e">
            <v>#VALUE!</v>
          </cell>
        </row>
        <row r="2854">
          <cell r="A2854" t="str">
            <v>GRAG290003F8</v>
          </cell>
          <cell r="B2854" t="str">
            <v>MKP000631004460</v>
          </cell>
          <cell r="C2854" t="str">
            <v/>
          </cell>
          <cell r="D2854" t="str">
            <v>Armário de Cozinha Completa 290cm Branco Cinza Agata Madesa 03</v>
          </cell>
          <cell r="E2854" t="str">
            <v>ÁGATA</v>
          </cell>
          <cell r="F2854" t="str">
            <v>COZINHA</v>
          </cell>
          <cell r="G2854" t="str">
            <v/>
          </cell>
          <cell r="H2854">
            <v>2689.99</v>
          </cell>
          <cell r="I2854">
            <v>2099.9899999999998</v>
          </cell>
          <cell r="J2854">
            <v>1659.6558</v>
          </cell>
          <cell r="K2854">
            <v>0</v>
          </cell>
          <cell r="L2854">
            <v>1659.6558</v>
          </cell>
          <cell r="M2854">
            <v>0</v>
          </cell>
          <cell r="N2854">
            <v>2099.9899999999998</v>
          </cell>
          <cell r="O2854" t="str">
            <v/>
          </cell>
          <cell r="P2854">
            <v>0</v>
          </cell>
          <cell r="Q2854">
            <v>0.26531657949798998</v>
          </cell>
          <cell r="R2854">
            <v>0.26531657949798998</v>
          </cell>
          <cell r="S2854" t="e">
            <v>#VALUE!</v>
          </cell>
          <cell r="T2854" t="e">
            <v>#VALUE!</v>
          </cell>
        </row>
        <row r="2855">
          <cell r="A2855" t="str">
            <v>G200816E09</v>
          </cell>
          <cell r="B2855" t="str">
            <v>MKP000631000194</v>
          </cell>
          <cell r="C2855" t="str">
            <v/>
          </cell>
          <cell r="D2855" t="str">
            <v>Armário de Cozinha Completa 250cm Branco Reims Madesa</v>
          </cell>
          <cell r="E2855" t="str">
            <v>REIMS</v>
          </cell>
          <cell r="F2855" t="str">
            <v>COZINHA</v>
          </cell>
          <cell r="G2855" t="str">
            <v/>
          </cell>
          <cell r="H2855">
            <v>2579.9899999999998</v>
          </cell>
          <cell r="I2855">
            <v>1699.99</v>
          </cell>
          <cell r="J2855">
            <v>1333.1244999999999</v>
          </cell>
          <cell r="K2855">
            <v>0</v>
          </cell>
          <cell r="L2855">
            <v>1333.1244999999999</v>
          </cell>
          <cell r="M2855">
            <v>0</v>
          </cell>
          <cell r="N2855">
            <v>1699.99</v>
          </cell>
          <cell r="O2855" t="str">
            <v/>
          </cell>
          <cell r="P2855">
            <v>0</v>
          </cell>
          <cell r="Q2855">
            <v>0.27519222698255102</v>
          </cell>
          <cell r="R2855">
            <v>0.27519222698255102</v>
          </cell>
          <cell r="S2855" t="e">
            <v>#VALUE!</v>
          </cell>
          <cell r="T2855" t="e">
            <v>#VALUE!</v>
          </cell>
        </row>
        <row r="2856">
          <cell r="A2856" t="str">
            <v>GCTE48900109</v>
          </cell>
          <cell r="B2856" t="str">
            <v>MKP000631005125</v>
          </cell>
          <cell r="C2856" t="str">
            <v/>
          </cell>
          <cell r="D2856" t="str">
            <v>Armário de Cozinha Completa de Canto 489cm Branco Stella Madesa</v>
          </cell>
          <cell r="E2856" t="str">
            <v>STELLA</v>
          </cell>
          <cell r="F2856" t="str">
            <v>COZINHA</v>
          </cell>
          <cell r="G2856" t="str">
            <v/>
          </cell>
          <cell r="H2856">
            <v>3499.99</v>
          </cell>
          <cell r="I2856">
            <v>3499.99</v>
          </cell>
          <cell r="J2856">
            <v>2727.3980000000001</v>
          </cell>
          <cell r="K2856">
            <v>0</v>
          </cell>
          <cell r="L2856">
            <v>2727.3980000000001</v>
          </cell>
          <cell r="M2856">
            <v>0</v>
          </cell>
          <cell r="N2856">
            <v>3499.99</v>
          </cell>
          <cell r="O2856" t="str">
            <v/>
          </cell>
          <cell r="P2856">
            <v>0</v>
          </cell>
          <cell r="Q2856">
            <v>0.28327072176484702</v>
          </cell>
          <cell r="R2856">
            <v>0.28327072176484702</v>
          </cell>
          <cell r="S2856" t="e">
            <v>#VALUE!</v>
          </cell>
          <cell r="T2856" t="e">
            <v>#VALUE!</v>
          </cell>
        </row>
        <row r="2857">
          <cell r="A2857" t="str">
            <v>G241537GAGCT</v>
          </cell>
          <cell r="B2857" t="str">
            <v>MKP000631005371</v>
          </cell>
          <cell r="C2857" t="str">
            <v/>
          </cell>
          <cell r="D2857" t="str">
            <v>Balcão de Pia 150 cm 2 Portas e 2 Gavetas (Com Tampo) Rustic/Crema Agata Madesa</v>
          </cell>
          <cell r="E2857" t="str">
            <v>ÁGATA</v>
          </cell>
          <cell r="F2857" t="str">
            <v>MODULAÇÃO</v>
          </cell>
          <cell r="G2857" t="str">
            <v/>
          </cell>
          <cell r="H2857">
            <v>859.99</v>
          </cell>
          <cell r="I2857">
            <v>759.99</v>
          </cell>
          <cell r="J2857">
            <v>527.94150000000002</v>
          </cell>
          <cell r="K2857">
            <v>0</v>
          </cell>
          <cell r="L2857">
            <v>527.94150000000002</v>
          </cell>
          <cell r="M2857">
            <v>0</v>
          </cell>
          <cell r="N2857">
            <v>759.99</v>
          </cell>
          <cell r="O2857" t="str">
            <v/>
          </cell>
          <cell r="P2857">
            <v>0</v>
          </cell>
          <cell r="Q2857">
            <v>0.43953449387858301</v>
          </cell>
          <cell r="R2857">
            <v>0.43953449387858301</v>
          </cell>
          <cell r="S2857" t="e">
            <v>#VALUE!</v>
          </cell>
          <cell r="T2857" t="e">
            <v>#VALUE!</v>
          </cell>
        </row>
        <row r="2858">
          <cell r="A2858" t="str">
            <v>G258007KGL</v>
          </cell>
          <cell r="B2858" t="str">
            <v>MKP000631001305</v>
          </cell>
          <cell r="C2858" t="str">
            <v/>
          </cell>
          <cell r="D2858" t="str">
            <v>Armário Aéreo Madesa Glamy 80 cm 2 Portas Rustic/Preto</v>
          </cell>
          <cell r="E2858" t="str">
            <v>GLAMY</v>
          </cell>
          <cell r="F2858" t="str">
            <v>MODULAÇÃO</v>
          </cell>
          <cell r="G2858" t="str">
            <v/>
          </cell>
          <cell r="H2858">
            <v>549.99</v>
          </cell>
          <cell r="I2858">
            <v>429.99</v>
          </cell>
          <cell r="J2858">
            <v>259.75790000000001</v>
          </cell>
          <cell r="K2858">
            <v>0</v>
          </cell>
          <cell r="L2858">
            <v>259.75790000000001</v>
          </cell>
          <cell r="M2858">
            <v>0</v>
          </cell>
          <cell r="N2858">
            <v>429.99</v>
          </cell>
          <cell r="O2858" t="str">
            <v/>
          </cell>
          <cell r="P2858">
            <v>0</v>
          </cell>
          <cell r="Q2858">
            <v>0.65534907696743805</v>
          </cell>
          <cell r="R2858">
            <v>0.65534907696743805</v>
          </cell>
          <cell r="S2858" t="e">
            <v>#VALUE!</v>
          </cell>
          <cell r="T2858" t="e">
            <v>#VALUE!</v>
          </cell>
        </row>
        <row r="2859">
          <cell r="A2859" t="str">
            <v>G257026EAG</v>
          </cell>
          <cell r="B2859" t="str">
            <v>MKP000631004721</v>
          </cell>
          <cell r="C2859" t="str">
            <v/>
          </cell>
          <cell r="D2859" t="str">
            <v>Armário Aéreo de Cozinha Madesa Agata 70 cm 1 Porta Basculante Rustic/Branco</v>
          </cell>
          <cell r="E2859" t="str">
            <v>ÁGATA</v>
          </cell>
          <cell r="F2859" t="str">
            <v>MODULAÇÃO</v>
          </cell>
          <cell r="G2859" t="str">
            <v/>
          </cell>
          <cell r="H2859">
            <v>379.99</v>
          </cell>
          <cell r="I2859">
            <v>259.99</v>
          </cell>
          <cell r="J2859">
            <v>156.62209999999999</v>
          </cell>
          <cell r="K2859">
            <v>0</v>
          </cell>
          <cell r="L2859">
            <v>156.62209999999999</v>
          </cell>
          <cell r="M2859">
            <v>0</v>
          </cell>
          <cell r="N2859">
            <v>259.99</v>
          </cell>
          <cell r="O2859" t="str">
            <v/>
          </cell>
          <cell r="P2859">
            <v>0</v>
          </cell>
          <cell r="Q2859">
            <v>0.65998285044064597</v>
          </cell>
          <cell r="R2859">
            <v>0.65998285044064597</v>
          </cell>
          <cell r="S2859" t="e">
            <v>#VALUE!</v>
          </cell>
          <cell r="T2859" t="e">
            <v>#VALUE!</v>
          </cell>
        </row>
        <row r="2860">
          <cell r="A2860" t="str">
            <v>GRGL2000065Z</v>
          </cell>
          <cell r="B2860" t="str">
            <v>MKP000631005642</v>
          </cell>
          <cell r="C2860" t="str">
            <v/>
          </cell>
          <cell r="D2860" t="str">
            <v>Kit com 2 Balcões de Cozinha Madesa Glamy 4 Portas 3 Gavetas (Sem Tampo e Pia) Rustic Rustic</v>
          </cell>
          <cell r="E2860" t="str">
            <v>GLAMY</v>
          </cell>
          <cell r="F2860" t="str">
            <v>COZINHA</v>
          </cell>
          <cell r="G2860" t="str">
            <v/>
          </cell>
          <cell r="H2860">
            <v>1169.99</v>
          </cell>
          <cell r="I2860">
            <v>1069.99</v>
          </cell>
          <cell r="J2860">
            <v>891.15129999999999</v>
          </cell>
          <cell r="K2860">
            <v>0</v>
          </cell>
          <cell r="L2860">
            <v>891.15129999999999</v>
          </cell>
          <cell r="M2860">
            <v>0</v>
          </cell>
          <cell r="N2860">
            <v>1069.99</v>
          </cell>
          <cell r="O2860" t="str">
            <v/>
          </cell>
          <cell r="P2860">
            <v>0</v>
          </cell>
          <cell r="Q2860">
            <v>0.20068275723774401</v>
          </cell>
          <cell r="R2860">
            <v>0.20068275723774401</v>
          </cell>
          <cell r="S2860" t="e">
            <v>#VALUE!</v>
          </cell>
          <cell r="T2860" t="e">
            <v>#VALUE!</v>
          </cell>
        </row>
        <row r="2861">
          <cell r="A2861" t="str">
            <v>GCGL3290026E</v>
          </cell>
          <cell r="B2861" t="str">
            <v>MKP000631004598</v>
          </cell>
          <cell r="C2861" t="str">
            <v/>
          </cell>
          <cell r="D2861" t="str">
            <v>Armário de Cozinha Completa de Canto 329cm Rustic Branco Glamy Madesa 02</v>
          </cell>
          <cell r="E2861" t="str">
            <v>GLAMY</v>
          </cell>
          <cell r="F2861" t="str">
            <v>COZINHA</v>
          </cell>
          <cell r="G2861" t="str">
            <v/>
          </cell>
          <cell r="H2861">
            <v>2299.9899999999998</v>
          </cell>
          <cell r="I2861">
            <v>2199.9899999999998</v>
          </cell>
          <cell r="J2861">
            <v>1895.2592999999999</v>
          </cell>
          <cell r="K2861">
            <v>0</v>
          </cell>
          <cell r="L2861">
            <v>1895.2592999999999</v>
          </cell>
          <cell r="M2861">
            <v>0</v>
          </cell>
          <cell r="N2861">
            <v>2199.9899999999998</v>
          </cell>
          <cell r="O2861" t="str">
            <v/>
          </cell>
          <cell r="P2861">
            <v>0</v>
          </cell>
          <cell r="Q2861">
            <v>0.160785756334239</v>
          </cell>
          <cell r="R2861">
            <v>0.160785756334239</v>
          </cell>
          <cell r="S2861" t="e">
            <v>#VALUE!</v>
          </cell>
          <cell r="T2861" t="e">
            <v>#VALUE!</v>
          </cell>
        </row>
        <row r="2862">
          <cell r="A2862" t="str">
            <v>GRGL3150025Z</v>
          </cell>
          <cell r="B2862" t="str">
            <v>MKP000631004728</v>
          </cell>
          <cell r="C2862" t="str">
            <v/>
          </cell>
          <cell r="D2862" t="str">
            <v>Armário de Cozinha Completa 315cm Rustic Glamy Madesa 02</v>
          </cell>
          <cell r="E2862" t="str">
            <v>GLAMY</v>
          </cell>
          <cell r="F2862" t="str">
            <v>COZINHA</v>
          </cell>
          <cell r="G2862" t="str">
            <v/>
          </cell>
          <cell r="H2862">
            <v>2599.9899999999998</v>
          </cell>
          <cell r="I2862">
            <v>2499.9899999999998</v>
          </cell>
          <cell r="J2862">
            <v>2108.5286999999998</v>
          </cell>
          <cell r="K2862">
            <v>0</v>
          </cell>
          <cell r="L2862">
            <v>2108.5286999999998</v>
          </cell>
          <cell r="M2862">
            <v>0</v>
          </cell>
          <cell r="N2862">
            <v>2499.9899999999998</v>
          </cell>
          <cell r="O2862" t="str">
            <v/>
          </cell>
          <cell r="P2862">
            <v>0</v>
          </cell>
          <cell r="Q2862">
            <v>0.185656140227069</v>
          </cell>
          <cell r="R2862">
            <v>0.185656140227069</v>
          </cell>
          <cell r="S2862" t="e">
            <v>#VALUE!</v>
          </cell>
          <cell r="T2862" t="e">
            <v>#VALUE!</v>
          </cell>
        </row>
        <row r="2863">
          <cell r="A2863" t="str">
            <v>GRGL1800057K</v>
          </cell>
          <cell r="B2863" t="str">
            <v>MKP000631004245</v>
          </cell>
          <cell r="C2863" t="str">
            <v/>
          </cell>
          <cell r="D2863" t="str">
            <v>Armário de Cozinha Compacta 180cm Rustic Preto Glamy Madesa 05</v>
          </cell>
          <cell r="E2863" t="str">
            <v>GLAMY</v>
          </cell>
          <cell r="F2863" t="str">
            <v>COZINHA</v>
          </cell>
          <cell r="G2863" t="str">
            <v/>
          </cell>
          <cell r="H2863">
            <v>1699.99</v>
          </cell>
          <cell r="I2863">
            <v>1599.99</v>
          </cell>
          <cell r="J2863">
            <v>1343.5012999999999</v>
          </cell>
          <cell r="K2863">
            <v>0</v>
          </cell>
          <cell r="L2863">
            <v>1343.5012999999999</v>
          </cell>
          <cell r="M2863">
            <v>0</v>
          </cell>
          <cell r="N2863">
            <v>1599.99</v>
          </cell>
          <cell r="O2863" t="str">
            <v/>
          </cell>
          <cell r="P2863">
            <v>0</v>
          </cell>
          <cell r="Q2863">
            <v>0.19091064519252801</v>
          </cell>
          <cell r="R2863">
            <v>0.19091064519252801</v>
          </cell>
          <cell r="S2863" t="e">
            <v>#VALUE!</v>
          </cell>
          <cell r="T2863" t="e">
            <v>#VALUE!</v>
          </cell>
        </row>
        <row r="2864">
          <cell r="A2864" t="str">
            <v>GRGL1200085Z</v>
          </cell>
          <cell r="B2864" t="str">
            <v>MKP000631004254</v>
          </cell>
          <cell r="C2864" t="str">
            <v/>
          </cell>
          <cell r="D2864" t="str">
            <v>Armário de Cozinha Compacta 120cm Rustic Glamy Madesa 08</v>
          </cell>
          <cell r="E2864" t="str">
            <v>GLAMY</v>
          </cell>
          <cell r="F2864" t="str">
            <v>COZINHA</v>
          </cell>
          <cell r="G2864" t="str">
            <v/>
          </cell>
          <cell r="H2864">
            <v>1199.99</v>
          </cell>
          <cell r="I2864">
            <v>1099.99</v>
          </cell>
          <cell r="J2864">
            <v>907.50130000000001</v>
          </cell>
          <cell r="K2864">
            <v>0</v>
          </cell>
          <cell r="L2864">
            <v>907.50130000000001</v>
          </cell>
          <cell r="M2864">
            <v>0</v>
          </cell>
          <cell r="N2864">
            <v>1099.99</v>
          </cell>
          <cell r="O2864" t="str">
            <v/>
          </cell>
          <cell r="P2864">
            <v>0</v>
          </cell>
          <cell r="Q2864">
            <v>0.21210845648375401</v>
          </cell>
          <cell r="R2864">
            <v>0.21210845648375401</v>
          </cell>
          <cell r="S2864" t="e">
            <v>#VALUE!</v>
          </cell>
          <cell r="T2864" t="e">
            <v>#VALUE!</v>
          </cell>
        </row>
        <row r="2865">
          <cell r="A2865" t="str">
            <v>1093774G</v>
          </cell>
          <cell r="B2865" t="str">
            <v>MKP000631002290</v>
          </cell>
          <cell r="C2865" t="str">
            <v/>
          </cell>
          <cell r="D2865" t="str">
            <v>Guarda-Roupa Casal Madesa Lyon Plus 3 Portas de Correr 4 Gavetas Preto/Branco</v>
          </cell>
          <cell r="E2865" t="str">
            <v>LYON PLUS</v>
          </cell>
          <cell r="F2865" t="str">
            <v>QUARTO</v>
          </cell>
          <cell r="G2865" t="str">
            <v/>
          </cell>
          <cell r="H2865">
            <v>1319.99</v>
          </cell>
          <cell r="I2865">
            <v>1029.99</v>
          </cell>
          <cell r="J2865">
            <v>798.32690000000002</v>
          </cell>
          <cell r="K2865">
            <v>0</v>
          </cell>
          <cell r="L2865">
            <v>798.32690000000002</v>
          </cell>
          <cell r="M2865">
            <v>0</v>
          </cell>
          <cell r="N2865">
            <v>1029.99</v>
          </cell>
          <cell r="O2865" t="str">
            <v/>
          </cell>
          <cell r="P2865">
            <v>0</v>
          </cell>
          <cell r="Q2865">
            <v>0.29018576224852199</v>
          </cell>
          <cell r="R2865">
            <v>0.29018576224852199</v>
          </cell>
          <cell r="S2865" t="e">
            <v>#VALUE!</v>
          </cell>
          <cell r="T2865" t="e">
            <v>#VALUE!</v>
          </cell>
        </row>
        <row r="2866">
          <cell r="A2866" t="str">
            <v>G2660773AG</v>
          </cell>
          <cell r="B2866" t="str">
            <v>MKP000631003061</v>
          </cell>
          <cell r="C2866" t="str">
            <v/>
          </cell>
          <cell r="D2866" t="str">
            <v>Paneleiro Madesa Agata 60 cm 3 Portas Branco/Preto</v>
          </cell>
          <cell r="E2866" t="str">
            <v>ÁGATA</v>
          </cell>
          <cell r="F2866" t="str">
            <v>MODULAÇÃO</v>
          </cell>
          <cell r="G2866" t="str">
            <v/>
          </cell>
          <cell r="H2866">
            <v>1229.99</v>
          </cell>
          <cell r="I2866">
            <v>829.99</v>
          </cell>
          <cell r="J2866">
            <v>513.92409999999995</v>
          </cell>
          <cell r="K2866">
            <v>0</v>
          </cell>
          <cell r="L2866">
            <v>513.92409999999995</v>
          </cell>
          <cell r="M2866">
            <v>0</v>
          </cell>
          <cell r="N2866">
            <v>829.99</v>
          </cell>
          <cell r="O2866" t="str">
            <v/>
          </cell>
          <cell r="P2866">
            <v>0</v>
          </cell>
          <cell r="Q2866">
            <v>0.61500501727784296</v>
          </cell>
          <cell r="R2866">
            <v>0.61500501727784296</v>
          </cell>
          <cell r="S2866" t="e">
            <v>#VALUE!</v>
          </cell>
          <cell r="T2866" t="e">
            <v>#VALUE!</v>
          </cell>
        </row>
        <row r="2867">
          <cell r="A2867" t="str">
            <v>GRLX3000017K</v>
          </cell>
          <cell r="B2867" t="str">
            <v>MKP000631005126</v>
          </cell>
          <cell r="C2867" t="str">
            <v/>
          </cell>
          <cell r="D2867" t="str">
            <v>Armário de Cozinha Completa 300cm Rustic/Preto Lux da Sabrina Madesa</v>
          </cell>
          <cell r="E2867" t="str">
            <v>LUX</v>
          </cell>
          <cell r="F2867" t="str">
            <v>COZINHA</v>
          </cell>
          <cell r="G2867" t="str">
            <v/>
          </cell>
          <cell r="H2867">
            <v>6009.99</v>
          </cell>
          <cell r="I2867">
            <v>5969.99</v>
          </cell>
          <cell r="J2867">
            <v>3512.2197999999999</v>
          </cell>
          <cell r="K2867">
            <v>0</v>
          </cell>
          <cell r="L2867">
            <v>3512.2197999999999</v>
          </cell>
          <cell r="M2867">
            <v>0</v>
          </cell>
          <cell r="N2867">
            <v>5969.99</v>
          </cell>
          <cell r="O2867" t="str">
            <v>LOJA</v>
          </cell>
          <cell r="P2867">
            <v>5249.99</v>
          </cell>
          <cell r="Q2867">
            <v>0.69977687615108797</v>
          </cell>
          <cell r="R2867">
            <v>0.69977687615108797</v>
          </cell>
          <cell r="S2867" t="e">
            <v>#VALUE!</v>
          </cell>
          <cell r="T2867" t="e">
            <v>#VALUE!</v>
          </cell>
        </row>
        <row r="2868">
          <cell r="A2868" t="str">
            <v>G22124H7LXCT</v>
          </cell>
          <cell r="B2868" t="str">
            <v>MKP000631005112</v>
          </cell>
          <cell r="C2868" t="str">
            <v/>
          </cell>
          <cell r="D2868" t="str">
            <v>Balcão de Pia 120 cm 2 Portas 3 Gavetas Branco/Branco Veludo Lux Madesa</v>
          </cell>
          <cell r="E2868" t="str">
            <v>LUX</v>
          </cell>
          <cell r="F2868" t="str">
            <v>MODULAÇÃO</v>
          </cell>
          <cell r="G2868" t="str">
            <v/>
          </cell>
          <cell r="H2868">
            <v>1419.99</v>
          </cell>
          <cell r="I2868">
            <v>1249.99</v>
          </cell>
          <cell r="J2868">
            <v>712.65290000000005</v>
          </cell>
          <cell r="K2868">
            <v>0</v>
          </cell>
          <cell r="L2868">
            <v>712.65290000000005</v>
          </cell>
          <cell r="M2868">
            <v>0</v>
          </cell>
          <cell r="N2868">
            <v>1249.99</v>
          </cell>
          <cell r="O2868" t="str">
            <v>LOJA</v>
          </cell>
          <cell r="P2868">
            <v>1239.99</v>
          </cell>
          <cell r="Q2868">
            <v>0.75399552853850704</v>
          </cell>
          <cell r="R2868">
            <v>0.75399552853850704</v>
          </cell>
          <cell r="S2868" t="e">
            <v>#VALUE!</v>
          </cell>
          <cell r="T2868" t="e">
            <v>#VALUE!</v>
          </cell>
        </row>
        <row r="2869">
          <cell r="A2869" t="str">
            <v>G22124H8LXCT</v>
          </cell>
          <cell r="B2869" t="str">
            <v>MKP000631005109</v>
          </cell>
          <cell r="C2869" t="str">
            <v/>
          </cell>
          <cell r="D2869" t="str">
            <v>Balcão de Pia 120 cm 2 Portas 3 Gavetas Rustic/Branco Veludo Lux Madesa</v>
          </cell>
          <cell r="E2869" t="str">
            <v>LUX</v>
          </cell>
          <cell r="F2869" t="str">
            <v>MODULAÇÃO</v>
          </cell>
          <cell r="G2869" t="str">
            <v/>
          </cell>
          <cell r="H2869">
            <v>1419.99</v>
          </cell>
          <cell r="I2869">
            <v>1249.99</v>
          </cell>
          <cell r="J2869">
            <v>712.65290000000005</v>
          </cell>
          <cell r="K2869">
            <v>0</v>
          </cell>
          <cell r="L2869">
            <v>712.65290000000005</v>
          </cell>
          <cell r="M2869">
            <v>0</v>
          </cell>
          <cell r="N2869">
            <v>1249.99</v>
          </cell>
          <cell r="O2869" t="str">
            <v>LOJA</v>
          </cell>
          <cell r="P2869">
            <v>1239.99</v>
          </cell>
          <cell r="Q2869">
            <v>0.75399552853850704</v>
          </cell>
          <cell r="R2869">
            <v>0.75399552853850704</v>
          </cell>
          <cell r="S2869" t="e">
            <v>#VALUE!</v>
          </cell>
          <cell r="T2869" t="e">
            <v>#VALUE!</v>
          </cell>
        </row>
        <row r="2870">
          <cell r="A2870" t="str">
            <v>G2708073AG</v>
          </cell>
          <cell r="B2870" t="str">
            <v>MKP000631003346</v>
          </cell>
          <cell r="C2870" t="str">
            <v/>
          </cell>
          <cell r="D2870" t="str">
            <v>Porta-Geladeira Madesa Agata 1 Porta Basculante Branco/Preto</v>
          </cell>
          <cell r="E2870" t="str">
            <v>ÁGATA</v>
          </cell>
          <cell r="F2870" t="str">
            <v>MODULAÇÃO</v>
          </cell>
          <cell r="G2870" t="str">
            <v/>
          </cell>
          <cell r="H2870">
            <v>959.99</v>
          </cell>
          <cell r="I2870">
            <v>629.99</v>
          </cell>
          <cell r="J2870">
            <v>353.45429999999999</v>
          </cell>
          <cell r="K2870">
            <v>0</v>
          </cell>
          <cell r="L2870">
            <v>353.45429999999999</v>
          </cell>
          <cell r="M2870">
            <v>0</v>
          </cell>
          <cell r="N2870">
            <v>629.99</v>
          </cell>
          <cell r="O2870" t="str">
            <v/>
          </cell>
          <cell r="P2870">
            <v>0</v>
          </cell>
          <cell r="Q2870">
            <v>0.78238035299047204</v>
          </cell>
          <cell r="R2870">
            <v>0.78238035299047204</v>
          </cell>
          <cell r="S2870" t="e">
            <v>#VALUE!</v>
          </cell>
          <cell r="T2870" t="e">
            <v>#VALUE!</v>
          </cell>
        </row>
        <row r="2871">
          <cell r="A2871" t="str">
            <v>G228007KLX</v>
          </cell>
          <cell r="B2871" t="str">
            <v>MKP000631002764</v>
          </cell>
          <cell r="C2871" t="str">
            <v/>
          </cell>
          <cell r="D2871" t="str">
            <v>Balcão Madesa Lux 80 cm 2 Portas (Sem Tampo) Rustic/Preto</v>
          </cell>
          <cell r="E2871" t="str">
            <v>LUX</v>
          </cell>
          <cell r="F2871" t="str">
            <v>MODULAÇÃO</v>
          </cell>
          <cell r="G2871" t="str">
            <v/>
          </cell>
          <cell r="H2871">
            <v>1179.99</v>
          </cell>
          <cell r="I2871">
            <v>919.99</v>
          </cell>
          <cell r="J2871">
            <v>488.62520000000001</v>
          </cell>
          <cell r="K2871">
            <v>0</v>
          </cell>
          <cell r="L2871">
            <v>488.62520000000001</v>
          </cell>
          <cell r="M2871">
            <v>0</v>
          </cell>
          <cell r="N2871">
            <v>919.99</v>
          </cell>
          <cell r="O2871" t="str">
            <v>LOJA</v>
          </cell>
          <cell r="P2871">
            <v>899.99</v>
          </cell>
          <cell r="Q2871">
            <v>0.88281324827290897</v>
          </cell>
          <cell r="R2871">
            <v>0.88281324827290897</v>
          </cell>
          <cell r="S2871" t="e">
            <v>#VALUE!</v>
          </cell>
          <cell r="T2871" t="e">
            <v>#VALUE!</v>
          </cell>
        </row>
        <row r="2872">
          <cell r="A2872" t="str">
            <v>G22813H7LXCT</v>
          </cell>
          <cell r="B2872" t="str">
            <v>MKP000631005066</v>
          </cell>
          <cell r="C2872" t="str">
            <v/>
          </cell>
          <cell r="D2872" t="str">
            <v>Balcão 80 cm 2 Gavetas Branco/Branco Veludo Lux Madesa</v>
          </cell>
          <cell r="E2872" t="str">
            <v>LUX</v>
          </cell>
          <cell r="F2872" t="str">
            <v>MODULAÇÃO</v>
          </cell>
          <cell r="G2872" t="str">
            <v/>
          </cell>
          <cell r="H2872">
            <v>1149.99</v>
          </cell>
          <cell r="I2872">
            <v>929.99</v>
          </cell>
          <cell r="J2872">
            <v>472.94009999999997</v>
          </cell>
          <cell r="K2872">
            <v>0</v>
          </cell>
          <cell r="L2872">
            <v>472.94009999999997</v>
          </cell>
          <cell r="M2872">
            <v>0</v>
          </cell>
          <cell r="N2872">
            <v>929.99</v>
          </cell>
          <cell r="O2872" t="str">
            <v>LOJA</v>
          </cell>
          <cell r="P2872">
            <v>919.99</v>
          </cell>
          <cell r="Q2872">
            <v>0.966401241933175</v>
          </cell>
          <cell r="R2872">
            <v>0.966401241933175</v>
          </cell>
          <cell r="S2872" t="e">
            <v>#VALUE!</v>
          </cell>
          <cell r="T2872" t="e">
            <v>#VALUE!</v>
          </cell>
        </row>
        <row r="2873">
          <cell r="A2873" t="str">
            <v>MDJA0601377GSL</v>
          </cell>
          <cell r="B2873" t="str">
            <v>MKP000631005306</v>
          </cell>
          <cell r="C2873" t="str">
            <v/>
          </cell>
          <cell r="D2873" t="str">
            <v>Conjunto Sala de Jantar Mesa Tampo de Madeira 6 Cadeiras Rustic/Crema/Silver Britney Madesa</v>
          </cell>
          <cell r="E2873" t="str">
            <v>BRITNEY</v>
          </cell>
          <cell r="F2873" t="str">
            <v>SALA DE JANTAR</v>
          </cell>
          <cell r="G2873">
            <v>4256</v>
          </cell>
          <cell r="H2873">
            <v>1649.99</v>
          </cell>
          <cell r="I2873">
            <v>1549.99</v>
          </cell>
          <cell r="J2873">
            <v>1208.9081000000001</v>
          </cell>
          <cell r="K2873">
            <v>0</v>
          </cell>
          <cell r="L2873">
            <v>1208.9081000000001</v>
          </cell>
          <cell r="M2873">
            <v>0</v>
          </cell>
          <cell r="N2873">
            <v>1549.99</v>
          </cell>
          <cell r="O2873" t="str">
            <v/>
          </cell>
          <cell r="P2873">
            <v>0</v>
          </cell>
          <cell r="Q2873">
            <v>0.28214047039638501</v>
          </cell>
          <cell r="R2873">
            <v>0.28214047039638501</v>
          </cell>
          <cell r="S2873" t="e">
            <v>#VALUE!</v>
          </cell>
          <cell r="T2873" t="e">
            <v>#VALUE!</v>
          </cell>
        </row>
        <row r="2874">
          <cell r="A2874" t="str">
            <v>GRGL1800059B</v>
          </cell>
          <cell r="B2874" t="str">
            <v>MKP000631004240</v>
          </cell>
          <cell r="C2874" t="str">
            <v/>
          </cell>
          <cell r="D2874" t="str">
            <v>Armário de Cozinha Compacta 180cm Branco Rustic Glamy Madesa 05</v>
          </cell>
          <cell r="E2874" t="str">
            <v>GLAMY</v>
          </cell>
          <cell r="F2874" t="str">
            <v>COZINHA</v>
          </cell>
          <cell r="G2874" t="str">
            <v/>
          </cell>
          <cell r="H2874">
            <v>1699.99</v>
          </cell>
          <cell r="I2874">
            <v>1599.99</v>
          </cell>
          <cell r="J2874">
            <v>1343.5012999999999</v>
          </cell>
          <cell r="K2874">
            <v>0</v>
          </cell>
          <cell r="L2874">
            <v>1343.5012999999999</v>
          </cell>
          <cell r="M2874">
            <v>0</v>
          </cell>
          <cell r="N2874">
            <v>1599.99</v>
          </cell>
          <cell r="O2874" t="str">
            <v/>
          </cell>
          <cell r="P2874">
            <v>0</v>
          </cell>
          <cell r="Q2874">
            <v>0.19091064519252801</v>
          </cell>
          <cell r="R2874">
            <v>0.19091064519252801</v>
          </cell>
          <cell r="S2874" t="e">
            <v>#VALUE!</v>
          </cell>
          <cell r="T2874" t="e">
            <v>#VALUE!</v>
          </cell>
        </row>
        <row r="2875">
          <cell r="A2875" t="str">
            <v>G20161286EST</v>
          </cell>
          <cell r="B2875" t="str">
            <v>MKP000631000220</v>
          </cell>
          <cell r="C2875" t="str">
            <v/>
          </cell>
          <cell r="D2875" t="str">
            <v>Armário de Cozinha Completa 290cm Branco/Rustic Vicenza Madesa</v>
          </cell>
          <cell r="E2875" t="str">
            <v>VICENZA/GLAMY</v>
          </cell>
          <cell r="F2875" t="str">
            <v>COZINHA</v>
          </cell>
          <cell r="G2875" t="str">
            <v/>
          </cell>
          <cell r="H2875">
            <v>2599.9899999999998</v>
          </cell>
          <cell r="I2875">
            <v>2499.9899999999998</v>
          </cell>
          <cell r="J2875">
            <v>2076.7116000000001</v>
          </cell>
          <cell r="K2875">
            <v>0</v>
          </cell>
          <cell r="L2875">
            <v>2076.7116000000001</v>
          </cell>
          <cell r="M2875">
            <v>0</v>
          </cell>
          <cell r="N2875">
            <v>2499.9899999999998</v>
          </cell>
          <cell r="O2875" t="str">
            <v/>
          </cell>
          <cell r="P2875">
            <v>0</v>
          </cell>
          <cell r="Q2875">
            <v>0.20382146466557999</v>
          </cell>
          <cell r="R2875">
            <v>0.20382146466557999</v>
          </cell>
          <cell r="S2875" t="e">
            <v>#VALUE!</v>
          </cell>
          <cell r="T2875" t="e">
            <v>#VALUE!</v>
          </cell>
        </row>
        <row r="2876">
          <cell r="A2876" t="str">
            <v>GRGL3500019B</v>
          </cell>
          <cell r="B2876" t="str">
            <v>MKP000631004599</v>
          </cell>
          <cell r="C2876" t="str">
            <v/>
          </cell>
          <cell r="D2876" t="str">
            <v>Armário de Cozinha Completa 350cm Branco/Rustic Glamy Madesa 01</v>
          </cell>
          <cell r="E2876" t="str">
            <v>GLAMY</v>
          </cell>
          <cell r="F2876" t="str">
            <v>COZINHA</v>
          </cell>
          <cell r="G2876" t="str">
            <v/>
          </cell>
          <cell r="H2876">
            <v>2099.9899999999998</v>
          </cell>
          <cell r="I2876">
            <v>1999.99</v>
          </cell>
          <cell r="J2876">
            <v>1660.6477</v>
          </cell>
          <cell r="K2876">
            <v>0</v>
          </cell>
          <cell r="L2876">
            <v>1660.6477</v>
          </cell>
          <cell r="M2876">
            <v>0</v>
          </cell>
          <cell r="N2876">
            <v>1999.99</v>
          </cell>
          <cell r="O2876" t="str">
            <v/>
          </cell>
          <cell r="P2876">
            <v>0</v>
          </cell>
          <cell r="Q2876">
            <v>0.20434334145646901</v>
          </cell>
          <cell r="R2876">
            <v>0.20434334145646901</v>
          </cell>
          <cell r="S2876" t="e">
            <v>#VALUE!</v>
          </cell>
          <cell r="T2876" t="e">
            <v>#VALUE!</v>
          </cell>
        </row>
        <row r="2877">
          <cell r="A2877" t="str">
            <v>GRGL27001409</v>
          </cell>
          <cell r="B2877" t="str">
            <v>MKP000631004211</v>
          </cell>
          <cell r="C2877" t="str">
            <v/>
          </cell>
          <cell r="D2877" t="str">
            <v>Armário de Cozinha Completa 270cm Branco Glamy Madesa 14</v>
          </cell>
          <cell r="E2877" t="str">
            <v>GLAMY</v>
          </cell>
          <cell r="F2877" t="str">
            <v>COZINHA</v>
          </cell>
          <cell r="G2877" t="str">
            <v/>
          </cell>
          <cell r="H2877">
            <v>1999.99</v>
          </cell>
          <cell r="I2877">
            <v>1899.99</v>
          </cell>
          <cell r="J2877">
            <v>1576.9575</v>
          </cell>
          <cell r="K2877">
            <v>0</v>
          </cell>
          <cell r="L2877">
            <v>1576.9575</v>
          </cell>
          <cell r="M2877">
            <v>0</v>
          </cell>
          <cell r="N2877">
            <v>1899.99</v>
          </cell>
          <cell r="O2877" t="str">
            <v/>
          </cell>
          <cell r="P2877">
            <v>0</v>
          </cell>
          <cell r="Q2877">
            <v>0.20484540642344501</v>
          </cell>
          <cell r="R2877">
            <v>0.20484540642344501</v>
          </cell>
          <cell r="S2877" t="e">
            <v>#VALUE!</v>
          </cell>
          <cell r="T2877" t="e">
            <v>#VALUE!</v>
          </cell>
        </row>
        <row r="2878">
          <cell r="A2878" t="str">
            <v>GREM2610065Z</v>
          </cell>
          <cell r="B2878" t="str">
            <v>MKP000631005161</v>
          </cell>
          <cell r="C2878" t="str">
            <v/>
          </cell>
          <cell r="D2878" t="str">
            <v>Armário de Cozinha Completa 261cm Rustic Emilly Madesa 06</v>
          </cell>
          <cell r="E2878" t="str">
            <v>EMILLY</v>
          </cell>
          <cell r="F2878" t="str">
            <v>COZINHA</v>
          </cell>
          <cell r="G2878" t="str">
            <v/>
          </cell>
          <cell r="H2878">
            <v>1479.99</v>
          </cell>
          <cell r="I2878">
            <v>1379.99</v>
          </cell>
          <cell r="J2878">
            <v>1119.1684</v>
          </cell>
          <cell r="K2878">
            <v>0</v>
          </cell>
          <cell r="L2878">
            <v>1119.1684</v>
          </cell>
          <cell r="M2878">
            <v>0</v>
          </cell>
          <cell r="N2878">
            <v>1379.99</v>
          </cell>
          <cell r="O2878" t="str">
            <v/>
          </cell>
          <cell r="P2878">
            <v>0</v>
          </cell>
          <cell r="Q2878">
            <v>0.233049467801271</v>
          </cell>
          <cell r="R2878">
            <v>0.233049467801271</v>
          </cell>
          <cell r="S2878" t="e">
            <v>#VALUE!</v>
          </cell>
          <cell r="T2878" t="e">
            <v>#VALUE!</v>
          </cell>
        </row>
        <row r="2879">
          <cell r="A2879" t="str">
            <v>1018771E</v>
          </cell>
          <cell r="B2879" t="str">
            <v>MKP000631002375</v>
          </cell>
          <cell r="C2879" t="str">
            <v/>
          </cell>
          <cell r="D2879" t="str">
            <v>Guarda-Roupa Casal Madesa Kansas 3 Portas de Correr com Espelho 3 Gavetas Preto/Branco</v>
          </cell>
          <cell r="E2879" t="str">
            <v>KANSAS</v>
          </cell>
          <cell r="F2879" t="str">
            <v>QUARTO</v>
          </cell>
          <cell r="G2879" t="str">
            <v/>
          </cell>
          <cell r="H2879">
            <v>2089.9899999999998</v>
          </cell>
          <cell r="I2879">
            <v>1559.99</v>
          </cell>
          <cell r="J2879">
            <v>1284.2162000000001</v>
          </cell>
          <cell r="K2879">
            <v>0</v>
          </cell>
          <cell r="L2879">
            <v>1284.2162000000001</v>
          </cell>
          <cell r="M2879">
            <v>0</v>
          </cell>
          <cell r="N2879">
            <v>1559.99</v>
          </cell>
          <cell r="O2879" t="str">
            <v/>
          </cell>
          <cell r="P2879">
            <v>0</v>
          </cell>
          <cell r="Q2879">
            <v>0.214740944710089</v>
          </cell>
          <cell r="R2879">
            <v>0.214740944710089</v>
          </cell>
          <cell r="S2879" t="e">
            <v>#VALUE!</v>
          </cell>
          <cell r="T2879" t="e">
            <v>#VALUE!</v>
          </cell>
        </row>
        <row r="2880">
          <cell r="A2880" t="str">
            <v>GCGL349001A5</v>
          </cell>
          <cell r="B2880" t="str">
            <v>MKP000631004500</v>
          </cell>
          <cell r="C2880" t="str">
            <v/>
          </cell>
          <cell r="D2880" t="str">
            <v>Armário de Cozinha Completa de Canto 349cm Branco/Branco/Crema Glamy Madesa 01</v>
          </cell>
          <cell r="E2880" t="str">
            <v>GLAMY</v>
          </cell>
          <cell r="F2880" t="str">
            <v>COZINHA</v>
          </cell>
          <cell r="G2880" t="str">
            <v/>
          </cell>
          <cell r="H2880">
            <v>2639.99</v>
          </cell>
          <cell r="I2880">
            <v>2539.9899999999998</v>
          </cell>
          <cell r="J2880">
            <v>2079.7745</v>
          </cell>
          <cell r="K2880">
            <v>0</v>
          </cell>
          <cell r="L2880">
            <v>2079.7745</v>
          </cell>
          <cell r="M2880">
            <v>0</v>
          </cell>
          <cell r="N2880">
            <v>2539.9899999999998</v>
          </cell>
          <cell r="O2880" t="str">
            <v/>
          </cell>
          <cell r="P2880">
            <v>0</v>
          </cell>
          <cell r="Q2880">
            <v>0.22128144181015799</v>
          </cell>
          <cell r="R2880">
            <v>0.22128144181015799</v>
          </cell>
          <cell r="S2880" t="e">
            <v>#VALUE!</v>
          </cell>
          <cell r="T2880" t="e">
            <v>#VALUE!</v>
          </cell>
        </row>
        <row r="2881">
          <cell r="A2881" t="str">
            <v>XC1063731P</v>
          </cell>
          <cell r="B2881" t="str">
            <v>MKP000631003125</v>
          </cell>
          <cell r="C2881" t="str">
            <v/>
          </cell>
          <cell r="D2881" t="str">
            <v>Guarda-Roupa Casal 100% MDF Madesa Zurique 3 Portas de Correr Branco/Branco/Preto</v>
          </cell>
          <cell r="E2881" t="str">
            <v>ZURIQUE</v>
          </cell>
          <cell r="F2881" t="str">
            <v>QUARTO</v>
          </cell>
          <cell r="G2881" t="str">
            <v/>
          </cell>
          <cell r="H2881">
            <v>2469.9899999999998</v>
          </cell>
          <cell r="I2881">
            <v>1899.99</v>
          </cell>
          <cell r="J2881">
            <v>1551.3534</v>
          </cell>
          <cell r="K2881">
            <v>0</v>
          </cell>
          <cell r="L2881">
            <v>1551.3534</v>
          </cell>
          <cell r="M2881">
            <v>0</v>
          </cell>
          <cell r="N2881">
            <v>1899.99</v>
          </cell>
          <cell r="O2881" t="str">
            <v/>
          </cell>
          <cell r="P2881">
            <v>0</v>
          </cell>
          <cell r="Q2881">
            <v>0.22473061263797101</v>
          </cell>
          <cell r="R2881">
            <v>0.22473061263797101</v>
          </cell>
          <cell r="S2881" t="e">
            <v>#VALUE!</v>
          </cell>
          <cell r="T2881" t="e">
            <v>#VALUE!</v>
          </cell>
        </row>
        <row r="2882">
          <cell r="A2882" t="str">
            <v>MDJA0601457KPT</v>
          </cell>
          <cell r="B2882" t="str">
            <v>MKP000631005555</v>
          </cell>
          <cell r="C2882" t="str">
            <v/>
          </cell>
          <cell r="D2882" t="str">
            <v>Conjunto Sala de Jantar Mesa Tampo de Vidro 6 Cadeiras Rustic/Preto Yolanda Madesa</v>
          </cell>
          <cell r="E2882" t="str">
            <v>YOLANDA</v>
          </cell>
          <cell r="F2882" t="str">
            <v>SALA DE JANTAR</v>
          </cell>
          <cell r="G2882" t="str">
            <v>4291X</v>
          </cell>
          <cell r="H2882">
            <v>1249.99</v>
          </cell>
          <cell r="I2882">
            <v>1149.99</v>
          </cell>
          <cell r="J2882">
            <v>935.66690000000006</v>
          </cell>
          <cell r="K2882">
            <v>0</v>
          </cell>
          <cell r="L2882">
            <v>935.66690000000006</v>
          </cell>
          <cell r="M2882">
            <v>0</v>
          </cell>
          <cell r="N2882">
            <v>1149.99</v>
          </cell>
          <cell r="O2882" t="str">
            <v/>
          </cell>
          <cell r="P2882">
            <v>0</v>
          </cell>
          <cell r="Q2882">
            <v>0.229059187623288</v>
          </cell>
          <cell r="R2882">
            <v>0.229059187623288</v>
          </cell>
          <cell r="S2882" t="e">
            <v>#VALUE!</v>
          </cell>
          <cell r="T2882" t="e">
            <v>#VALUE!</v>
          </cell>
        </row>
        <row r="2883">
          <cell r="A2883" t="str">
            <v>GRAG2700077K</v>
          </cell>
          <cell r="B2883" t="str">
            <v>MKP000631005261</v>
          </cell>
          <cell r="C2883" t="str">
            <v/>
          </cell>
          <cell r="D2883" t="str">
            <v>Armário de  Cozinha Completa 270cm Rustic/Preto Agata Madesa 07</v>
          </cell>
          <cell r="E2883" t="str">
            <v>ÁGATA</v>
          </cell>
          <cell r="F2883" t="str">
            <v>COZINHA</v>
          </cell>
          <cell r="G2883" t="str">
            <v/>
          </cell>
          <cell r="H2883">
            <v>2219.9899999999998</v>
          </cell>
          <cell r="I2883">
            <v>2099.9899999999998</v>
          </cell>
          <cell r="J2883">
            <v>1623.3152</v>
          </cell>
          <cell r="K2883">
            <v>0</v>
          </cell>
          <cell r="L2883">
            <v>1623.3152</v>
          </cell>
          <cell r="M2883">
            <v>0</v>
          </cell>
          <cell r="N2883">
            <v>2099.9899999999998</v>
          </cell>
          <cell r="O2883" t="str">
            <v/>
          </cell>
          <cell r="P2883">
            <v>0</v>
          </cell>
          <cell r="Q2883">
            <v>0.29364278730341398</v>
          </cell>
          <cell r="R2883">
            <v>0.29364278730341398</v>
          </cell>
          <cell r="S2883" t="e">
            <v>#VALUE!</v>
          </cell>
          <cell r="T2883" t="e">
            <v>#VALUE!</v>
          </cell>
        </row>
        <row r="2884">
          <cell r="A2884" t="str">
            <v>G246019BGL</v>
          </cell>
          <cell r="B2884" t="str">
            <v>MKP000631000839</v>
          </cell>
          <cell r="C2884" t="str">
            <v/>
          </cell>
          <cell r="D2884" t="str">
            <v>Balcão Madesa Glamy 60 cm 3 Gavetas Branco/Rustic</v>
          </cell>
          <cell r="E2884" t="str">
            <v>GLAMY</v>
          </cell>
          <cell r="F2884" t="str">
            <v>MODULAÇÃO</v>
          </cell>
          <cell r="G2884" t="str">
            <v/>
          </cell>
          <cell r="H2884">
            <v>989.99</v>
          </cell>
          <cell r="I2884">
            <v>589.99</v>
          </cell>
          <cell r="J2884">
            <v>394.18759999999997</v>
          </cell>
          <cell r="K2884">
            <v>0</v>
          </cell>
          <cell r="L2884">
            <v>394.18759999999997</v>
          </cell>
          <cell r="M2884">
            <v>0</v>
          </cell>
          <cell r="N2884">
            <v>589.99</v>
          </cell>
          <cell r="O2884" t="str">
            <v/>
          </cell>
          <cell r="P2884">
            <v>0</v>
          </cell>
          <cell r="Q2884">
            <v>0.496723894917039</v>
          </cell>
          <cell r="R2884">
            <v>0.496723894917039</v>
          </cell>
          <cell r="S2884" t="e">
            <v>#VALUE!</v>
          </cell>
          <cell r="T2884" t="e">
            <v>#VALUE!</v>
          </cell>
        </row>
        <row r="2885">
          <cell r="A2885" t="str">
            <v>G246015ZTE</v>
          </cell>
          <cell r="B2885" t="str">
            <v>MKP000631002213</v>
          </cell>
          <cell r="C2885" t="str">
            <v/>
          </cell>
          <cell r="D2885" t="str">
            <v>Balcão Madesa Stella 60 cm 3 Gavetas Rustic</v>
          </cell>
          <cell r="E2885" t="str">
            <v>STELLA</v>
          </cell>
          <cell r="F2885" t="str">
            <v>MODULAÇÃO</v>
          </cell>
          <cell r="G2885" t="str">
            <v/>
          </cell>
          <cell r="H2885">
            <v>989.99</v>
          </cell>
          <cell r="I2885">
            <v>569.99</v>
          </cell>
          <cell r="J2885">
            <v>378.11009999999999</v>
          </cell>
          <cell r="K2885">
            <v>0</v>
          </cell>
          <cell r="L2885">
            <v>378.11009999999999</v>
          </cell>
          <cell r="M2885">
            <v>0</v>
          </cell>
          <cell r="N2885">
            <v>569.99</v>
          </cell>
          <cell r="O2885" t="str">
            <v/>
          </cell>
          <cell r="P2885">
            <v>0</v>
          </cell>
          <cell r="Q2885">
            <v>0.50747097207929703</v>
          </cell>
          <cell r="R2885">
            <v>0.50747097207929703</v>
          </cell>
          <cell r="S2885" t="e">
            <v>#VALUE!</v>
          </cell>
          <cell r="T2885" t="e">
            <v>#VALUE!</v>
          </cell>
        </row>
        <row r="2886">
          <cell r="A2886" t="str">
            <v>GRLX2600039R</v>
          </cell>
          <cell r="B2886" t="str">
            <v>MKP000631003283</v>
          </cell>
          <cell r="C2886" t="str">
            <v/>
          </cell>
          <cell r="D2886" t="str">
            <v>Armário de Cozinha Completa 260cm Branco/Cinza Lux Madesa 03</v>
          </cell>
          <cell r="E2886" t="str">
            <v>LUX</v>
          </cell>
          <cell r="F2886" t="str">
            <v>COZINHA</v>
          </cell>
          <cell r="G2886" t="str">
            <v/>
          </cell>
          <cell r="H2886">
            <v>3709.99</v>
          </cell>
          <cell r="I2886">
            <v>3619.99</v>
          </cell>
          <cell r="J2886">
            <v>2310.8326999999999</v>
          </cell>
          <cell r="K2886">
            <v>0</v>
          </cell>
          <cell r="L2886">
            <v>2310.8326999999999</v>
          </cell>
          <cell r="M2886">
            <v>0</v>
          </cell>
          <cell r="N2886">
            <v>3619.99</v>
          </cell>
          <cell r="O2886" t="str">
            <v>LOJA</v>
          </cell>
          <cell r="P2886">
            <v>3179.99</v>
          </cell>
          <cell r="Q2886">
            <v>0.56653054113350498</v>
          </cell>
          <cell r="R2886">
            <v>0.56653054113350498</v>
          </cell>
          <cell r="S2886" t="e">
            <v>#VALUE!</v>
          </cell>
          <cell r="T2886" t="e">
            <v>#VALUE!</v>
          </cell>
        </row>
        <row r="2887">
          <cell r="A2887" t="str">
            <v>G221209NLXCT</v>
          </cell>
          <cell r="B2887" t="str">
            <v>MKP000631005116</v>
          </cell>
          <cell r="C2887" t="str">
            <v/>
          </cell>
          <cell r="D2887" t="str">
            <v>Balcão de Pia 120 cm 2 Portas Rustic/Cinza Lux Madesa</v>
          </cell>
          <cell r="E2887" t="str">
            <v>LUX</v>
          </cell>
          <cell r="F2887" t="str">
            <v>MODULAÇÃO</v>
          </cell>
          <cell r="G2887" t="str">
            <v/>
          </cell>
          <cell r="H2887">
            <v>1299.99</v>
          </cell>
          <cell r="I2887">
            <v>1159.99</v>
          </cell>
          <cell r="J2887">
            <v>726.43050000000005</v>
          </cell>
          <cell r="K2887">
            <v>0</v>
          </cell>
          <cell r="L2887">
            <v>726.43050000000005</v>
          </cell>
          <cell r="M2887">
            <v>0</v>
          </cell>
          <cell r="N2887">
            <v>1159.99</v>
          </cell>
          <cell r="O2887" t="str">
            <v>LOJA</v>
          </cell>
          <cell r="P2887">
            <v>1149.99</v>
          </cell>
          <cell r="Q2887">
            <v>0.59683548529418795</v>
          </cell>
          <cell r="R2887">
            <v>0.59683548529418795</v>
          </cell>
          <cell r="S2887" t="e">
            <v>#VALUE!</v>
          </cell>
          <cell r="T2887" t="e">
            <v>#VALUE!</v>
          </cell>
        </row>
        <row r="2888">
          <cell r="A2888" t="str">
            <v>G221249NLXCT</v>
          </cell>
          <cell r="B2888" t="str">
            <v>MKP000631005113</v>
          </cell>
          <cell r="C2888" t="str">
            <v/>
          </cell>
          <cell r="D2888" t="str">
            <v>Balcão de Pia 120 cm 2 Portas 3 Gavetas - Rustic/Cinza Lux Madesa</v>
          </cell>
          <cell r="E2888" t="str">
            <v>LUX</v>
          </cell>
          <cell r="F2888" t="str">
            <v>MODULAÇÃO</v>
          </cell>
          <cell r="G2888" t="str">
            <v/>
          </cell>
          <cell r="H2888">
            <v>1699.99</v>
          </cell>
          <cell r="I2888">
            <v>1489.99</v>
          </cell>
          <cell r="J2888">
            <v>930.38040000000001</v>
          </cell>
          <cell r="K2888">
            <v>0</v>
          </cell>
          <cell r="L2888">
            <v>930.38040000000001</v>
          </cell>
          <cell r="M2888">
            <v>0</v>
          </cell>
          <cell r="N2888">
            <v>1489.99</v>
          </cell>
          <cell r="O2888" t="str">
            <v>LOJA</v>
          </cell>
          <cell r="P2888">
            <v>1479.99</v>
          </cell>
          <cell r="Q2888">
            <v>0.60148472603249203</v>
          </cell>
          <cell r="R2888">
            <v>0.60148472603249203</v>
          </cell>
          <cell r="S2888" t="e">
            <v>#VALUE!</v>
          </cell>
          <cell r="T2888" t="e">
            <v>#VALUE!</v>
          </cell>
        </row>
        <row r="2889">
          <cell r="A2889" t="str">
            <v>GRLX2400039N</v>
          </cell>
          <cell r="B2889" t="str">
            <v>MKP000631002730</v>
          </cell>
          <cell r="C2889" t="str">
            <v/>
          </cell>
          <cell r="D2889" t="str">
            <v>Armário de Cozinha Completa 240cm Rustic/Cinza Lux Madesa 03</v>
          </cell>
          <cell r="E2889" t="str">
            <v>LUX</v>
          </cell>
          <cell r="F2889" t="str">
            <v>COZINHA</v>
          </cell>
          <cell r="G2889" t="str">
            <v/>
          </cell>
          <cell r="H2889">
            <v>4589.99</v>
          </cell>
          <cell r="I2889">
            <v>4519.99</v>
          </cell>
          <cell r="J2889">
            <v>2795.6320000000001</v>
          </cell>
          <cell r="K2889">
            <v>0</v>
          </cell>
          <cell r="L2889">
            <v>2795.6320000000001</v>
          </cell>
          <cell r="M2889">
            <v>0</v>
          </cell>
          <cell r="N2889">
            <v>4519.99</v>
          </cell>
          <cell r="O2889" t="str">
            <v>LOJA</v>
          </cell>
          <cell r="P2889">
            <v>3969.99</v>
          </cell>
          <cell r="Q2889">
            <v>0.61680435765508401</v>
          </cell>
          <cell r="R2889">
            <v>0.61680435765508401</v>
          </cell>
          <cell r="S2889" t="e">
            <v>#VALUE!</v>
          </cell>
          <cell r="T2889" t="e">
            <v>#VALUE!</v>
          </cell>
        </row>
        <row r="2890">
          <cell r="A2890" t="str">
            <v>G2212473LX</v>
          </cell>
          <cell r="B2890" t="str">
            <v>MKP000631003552</v>
          </cell>
          <cell r="C2890" t="str">
            <v/>
          </cell>
          <cell r="D2890" t="str">
            <v>Balcão Gabinete de Pia Madesa Lux 120 cm 2 Portas 3 Gavetas (Sem Tampo) Branco/Preto</v>
          </cell>
          <cell r="E2890" t="str">
            <v>LUX</v>
          </cell>
          <cell r="F2890" t="str">
            <v>MODULAÇÃO</v>
          </cell>
          <cell r="G2890" t="str">
            <v/>
          </cell>
          <cell r="H2890">
            <v>1889.99</v>
          </cell>
          <cell r="I2890">
            <v>1389.99</v>
          </cell>
          <cell r="J2890">
            <v>831.67</v>
          </cell>
          <cell r="K2890">
            <v>0</v>
          </cell>
          <cell r="L2890">
            <v>831.67</v>
          </cell>
          <cell r="M2890">
            <v>0</v>
          </cell>
          <cell r="N2890">
            <v>1389.99</v>
          </cell>
          <cell r="O2890" t="str">
            <v>LOJA</v>
          </cell>
          <cell r="P2890">
            <v>1379.99</v>
          </cell>
          <cell r="Q2890">
            <v>0.67132396262940797</v>
          </cell>
          <cell r="R2890">
            <v>0.67132396262940797</v>
          </cell>
          <cell r="S2890" t="e">
            <v>#VALUE!</v>
          </cell>
          <cell r="T2890" t="e">
            <v>#VALUE!</v>
          </cell>
        </row>
        <row r="2891">
          <cell r="A2891" t="str">
            <v>G277506SPR</v>
          </cell>
          <cell r="B2891" t="str">
            <v>MKP000631003274</v>
          </cell>
          <cell r="C2891" t="str">
            <v/>
          </cell>
          <cell r="D2891" t="str">
            <v>Tampo para Balcão de Canto de 64 x 102 cm para Cozinhas Madesa Glamy, Lux e Stella Mood</v>
          </cell>
          <cell r="E2891" t="str">
            <v>PR</v>
          </cell>
          <cell r="F2891" t="str">
            <v>MODULAÇÃO</v>
          </cell>
          <cell r="G2891" t="str">
            <v/>
          </cell>
          <cell r="H2891">
            <v>349.99</v>
          </cell>
          <cell r="I2891">
            <v>169.99</v>
          </cell>
          <cell r="J2891">
            <v>98.971999999999994</v>
          </cell>
          <cell r="K2891">
            <v>0</v>
          </cell>
          <cell r="L2891">
            <v>98.971999999999994</v>
          </cell>
          <cell r="M2891">
            <v>0</v>
          </cell>
          <cell r="N2891">
            <v>169.99</v>
          </cell>
          <cell r="O2891" t="str">
            <v/>
          </cell>
          <cell r="P2891">
            <v>0</v>
          </cell>
          <cell r="Q2891">
            <v>0.71755648062078203</v>
          </cell>
          <cell r="R2891">
            <v>0.71755648062078203</v>
          </cell>
          <cell r="S2891" t="e">
            <v>#VALUE!</v>
          </cell>
          <cell r="T2891" t="e">
            <v>#VALUE!</v>
          </cell>
        </row>
        <row r="2892">
          <cell r="A2892" t="str">
            <v>G247007GAG</v>
          </cell>
          <cell r="B2892" t="str">
            <v>MKP000631005377</v>
          </cell>
          <cell r="C2892" t="str">
            <v/>
          </cell>
          <cell r="D2892" t="str">
            <v>Balcão de Cozinha 70 cm 2 Portas Rustic/Crema Agata Madesa</v>
          </cell>
          <cell r="E2892" t="str">
            <v>ÁGATA</v>
          </cell>
          <cell r="F2892" t="str">
            <v>MODULAÇÃO</v>
          </cell>
          <cell r="G2892" t="str">
            <v/>
          </cell>
          <cell r="H2892">
            <v>649.99</v>
          </cell>
          <cell r="I2892">
            <v>549.99</v>
          </cell>
          <cell r="J2892">
            <v>316.08909999999997</v>
          </cell>
          <cell r="K2892">
            <v>0</v>
          </cell>
          <cell r="L2892">
            <v>316.08909999999997</v>
          </cell>
          <cell r="M2892">
            <v>0</v>
          </cell>
          <cell r="N2892">
            <v>549.99</v>
          </cell>
          <cell r="O2892" t="str">
            <v/>
          </cell>
          <cell r="P2892">
            <v>0</v>
          </cell>
          <cell r="Q2892">
            <v>0.73998407411074896</v>
          </cell>
          <cell r="R2892">
            <v>0.73998407411074896</v>
          </cell>
          <cell r="S2892" t="e">
            <v>#VALUE!</v>
          </cell>
          <cell r="T2892" t="e">
            <v>#VALUE!</v>
          </cell>
        </row>
        <row r="2893">
          <cell r="A2893" t="str">
            <v>G253507KLX</v>
          </cell>
          <cell r="B2893" t="str">
            <v>MKP000631002751</v>
          </cell>
          <cell r="C2893" t="str">
            <v/>
          </cell>
          <cell r="D2893" t="str">
            <v>Armário Aéreo Madesa Lux 35 cm 1 Porta Rustic/Preto</v>
          </cell>
          <cell r="E2893" t="str">
            <v>LUX</v>
          </cell>
          <cell r="F2893" t="str">
            <v>MODULAÇÃO</v>
          </cell>
          <cell r="G2893" t="str">
            <v/>
          </cell>
          <cell r="H2893">
            <v>799.99</v>
          </cell>
          <cell r="I2893">
            <v>429.99</v>
          </cell>
          <cell r="J2893">
            <v>240.56299999999999</v>
          </cell>
          <cell r="K2893">
            <v>0</v>
          </cell>
          <cell r="L2893">
            <v>240.56299999999999</v>
          </cell>
          <cell r="M2893">
            <v>0</v>
          </cell>
          <cell r="N2893">
            <v>429.99</v>
          </cell>
          <cell r="O2893" t="str">
            <v>LOJA</v>
          </cell>
          <cell r="P2893">
            <v>419.99</v>
          </cell>
          <cell r="Q2893">
            <v>0.78743198247444501</v>
          </cell>
          <cell r="R2893">
            <v>0.78743198247444501</v>
          </cell>
          <cell r="S2893" t="e">
            <v>#VALUE!</v>
          </cell>
          <cell r="T2893" t="e">
            <v>#VALUE!</v>
          </cell>
        </row>
        <row r="2894">
          <cell r="A2894" t="str">
            <v>G266555LAG</v>
          </cell>
          <cell r="B2894" t="str">
            <v>MKP000631005386</v>
          </cell>
          <cell r="C2894" t="str">
            <v/>
          </cell>
          <cell r="D2894" t="str">
            <v>Torre Quente 60 cm 1 Porta 3 Gavetas Branco/Crema Agata Madesa</v>
          </cell>
          <cell r="E2894" t="str">
            <v>ÁGATA</v>
          </cell>
          <cell r="F2894" t="str">
            <v>MODULAÇÃO</v>
          </cell>
          <cell r="G2894" t="str">
            <v/>
          </cell>
          <cell r="H2894">
            <v>1089.99</v>
          </cell>
          <cell r="I2894">
            <v>989.99</v>
          </cell>
          <cell r="J2894">
            <v>547.2672</v>
          </cell>
          <cell r="K2894">
            <v>0</v>
          </cell>
          <cell r="L2894">
            <v>547.2672</v>
          </cell>
          <cell r="M2894">
            <v>0</v>
          </cell>
          <cell r="N2894">
            <v>989.99</v>
          </cell>
          <cell r="O2894" t="str">
            <v/>
          </cell>
          <cell r="P2894">
            <v>0</v>
          </cell>
          <cell r="Q2894">
            <v>0.80897009723951996</v>
          </cell>
          <cell r="R2894">
            <v>0.80897009723951996</v>
          </cell>
          <cell r="S2894" t="e">
            <v>#VALUE!</v>
          </cell>
          <cell r="T2894" t="e">
            <v>#VALUE!</v>
          </cell>
        </row>
        <row r="2895">
          <cell r="A2895" t="str">
            <v>MDES0200237K5Z</v>
          </cell>
          <cell r="B2895" t="str">
            <v>MKP000631001648</v>
          </cell>
          <cell r="C2895" t="str">
            <v/>
          </cell>
          <cell r="D2895" t="str">
            <v>Rack Madesa Cancun e Painel para TV até 65 Polegadas Rustic/Preto 7K5Z</v>
          </cell>
          <cell r="E2895" t="str">
            <v>CANCUN</v>
          </cell>
          <cell r="F2895" t="str">
            <v>SALA DE ESTAR</v>
          </cell>
          <cell r="G2895" t="str">
            <v/>
          </cell>
          <cell r="H2895">
            <v>1149.99</v>
          </cell>
          <cell r="I2895">
            <v>569.99</v>
          </cell>
          <cell r="J2895">
            <v>449.15629999999999</v>
          </cell>
          <cell r="K2895">
            <v>0</v>
          </cell>
          <cell r="L2895">
            <v>449.15629999999999</v>
          </cell>
          <cell r="M2895">
            <v>0</v>
          </cell>
          <cell r="N2895">
            <v>569.99</v>
          </cell>
          <cell r="O2895" t="str">
            <v/>
          </cell>
          <cell r="P2895">
            <v>0</v>
          </cell>
          <cell r="Q2895">
            <v>0.26902372292228799</v>
          </cell>
          <cell r="R2895">
            <v>0.26902372292228799</v>
          </cell>
          <cell r="S2895" t="e">
            <v>#VALUE!</v>
          </cell>
          <cell r="T2895" t="e">
            <v>#VALUE!</v>
          </cell>
        </row>
        <row r="2896">
          <cell r="A2896" t="str">
            <v>GRTE2900019B</v>
          </cell>
          <cell r="B2896" t="str">
            <v>MKP000631001981</v>
          </cell>
          <cell r="C2896" t="str">
            <v/>
          </cell>
          <cell r="D2896" t="str">
            <v>Armário de Cozinha Completa 290cm Branco/Rustic Stella Madesa 01</v>
          </cell>
          <cell r="E2896" t="str">
            <v>STELLA</v>
          </cell>
          <cell r="F2896" t="str">
            <v>COZINHA</v>
          </cell>
          <cell r="G2896" t="str">
            <v/>
          </cell>
          <cell r="H2896">
            <v>3069.99</v>
          </cell>
          <cell r="I2896">
            <v>2499.9899999999998</v>
          </cell>
          <cell r="J2896">
            <v>2147.7577999999999</v>
          </cell>
          <cell r="K2896">
            <v>0</v>
          </cell>
          <cell r="L2896">
            <v>2147.7577999999999</v>
          </cell>
          <cell r="M2896">
            <v>0</v>
          </cell>
          <cell r="N2896">
            <v>2499.9899999999998</v>
          </cell>
          <cell r="O2896" t="str">
            <v/>
          </cell>
          <cell r="P2896">
            <v>0</v>
          </cell>
          <cell r="Q2896">
            <v>0.16399996312433299</v>
          </cell>
          <cell r="R2896">
            <v>0.16399996312433299</v>
          </cell>
          <cell r="S2896" t="e">
            <v>#VALUE!</v>
          </cell>
          <cell r="T2896" t="e">
            <v>#VALUE!</v>
          </cell>
        </row>
        <row r="2897">
          <cell r="A2897" t="str">
            <v>GRGL3500016E</v>
          </cell>
          <cell r="B2897" t="str">
            <v>MKP000631004337</v>
          </cell>
          <cell r="C2897" t="str">
            <v/>
          </cell>
          <cell r="D2897" t="str">
            <v>Armário de Cozinha Completa 350cm Rustic/Branco Glamy Madesa 01</v>
          </cell>
          <cell r="E2897" t="str">
            <v>GLAMY</v>
          </cell>
          <cell r="F2897" t="str">
            <v>COZINHA</v>
          </cell>
          <cell r="G2897" t="str">
            <v/>
          </cell>
          <cell r="H2897">
            <v>2099.9899999999998</v>
          </cell>
          <cell r="I2897">
            <v>1999.99</v>
          </cell>
          <cell r="J2897">
            <v>1660.6477</v>
          </cell>
          <cell r="K2897">
            <v>0</v>
          </cell>
          <cell r="L2897">
            <v>1660.6477</v>
          </cell>
          <cell r="M2897">
            <v>0</v>
          </cell>
          <cell r="N2897">
            <v>1999.99</v>
          </cell>
          <cell r="O2897" t="str">
            <v/>
          </cell>
          <cell r="P2897">
            <v>0</v>
          </cell>
          <cell r="Q2897">
            <v>0.20434334145646901</v>
          </cell>
          <cell r="R2897">
            <v>0.20434334145646901</v>
          </cell>
          <cell r="S2897" t="e">
            <v>#VALUE!</v>
          </cell>
          <cell r="T2897" t="e">
            <v>#VALUE!</v>
          </cell>
        </row>
        <row r="2898">
          <cell r="A2898" t="str">
            <v>GRGL2600045Z</v>
          </cell>
          <cell r="B2898" t="str">
            <v>MKP000631005199</v>
          </cell>
          <cell r="C2898" t="str">
            <v/>
          </cell>
          <cell r="D2898" t="str">
            <v>Armário de Cozinha Completa 260cm Rustic Glamy Madesa 04</v>
          </cell>
          <cell r="E2898" t="str">
            <v>GLAMY</v>
          </cell>
          <cell r="F2898" t="str">
            <v>COZINHA</v>
          </cell>
          <cell r="G2898" t="str">
            <v/>
          </cell>
          <cell r="H2898">
            <v>1699.99</v>
          </cell>
          <cell r="I2898">
            <v>1699.99</v>
          </cell>
          <cell r="J2898">
            <v>1407.5279</v>
          </cell>
          <cell r="K2898">
            <v>0</v>
          </cell>
          <cell r="L2898">
            <v>1407.5279</v>
          </cell>
          <cell r="M2898">
            <v>0</v>
          </cell>
          <cell r="N2898">
            <v>1699.99</v>
          </cell>
          <cell r="O2898" t="str">
            <v/>
          </cell>
          <cell r="P2898">
            <v>0</v>
          </cell>
          <cell r="Q2898">
            <v>0.20778422935701699</v>
          </cell>
          <cell r="R2898">
            <v>0.20778422935701699</v>
          </cell>
          <cell r="S2898" t="e">
            <v>#VALUE!</v>
          </cell>
          <cell r="T2898" t="e">
            <v>#VALUE!</v>
          </cell>
        </row>
        <row r="2899">
          <cell r="A2899" t="str">
            <v>GRGL2000039B</v>
          </cell>
          <cell r="B2899" t="str">
            <v>MKP000631004615</v>
          </cell>
          <cell r="C2899" t="str">
            <v/>
          </cell>
          <cell r="D2899" t="str">
            <v>Armário de Cozinha Compacta 200cm Branco Rustic Glamy Madesa 03</v>
          </cell>
          <cell r="E2899" t="str">
            <v>GLAMY</v>
          </cell>
          <cell r="F2899" t="str">
            <v>COZINHA</v>
          </cell>
          <cell r="G2899" t="str">
            <v/>
          </cell>
          <cell r="H2899">
            <v>1749.99</v>
          </cell>
          <cell r="I2899">
            <v>1649.99</v>
          </cell>
          <cell r="J2899">
            <v>1357.5078000000001</v>
          </cell>
          <cell r="K2899">
            <v>0</v>
          </cell>
          <cell r="L2899">
            <v>1357.5078000000001</v>
          </cell>
          <cell r="M2899">
            <v>0</v>
          </cell>
          <cell r="N2899">
            <v>1649.99</v>
          </cell>
          <cell r="O2899" t="str">
            <v/>
          </cell>
          <cell r="P2899">
            <v>0</v>
          </cell>
          <cell r="Q2899">
            <v>0.21545526294581899</v>
          </cell>
          <cell r="R2899">
            <v>0.21545526294581899</v>
          </cell>
          <cell r="S2899" t="e">
            <v>#VALUE!</v>
          </cell>
          <cell r="T2899" t="e">
            <v>#VALUE!</v>
          </cell>
        </row>
        <row r="2900">
          <cell r="A2900" t="str">
            <v>GCGL3490019B</v>
          </cell>
          <cell r="B2900" t="str">
            <v>MKP000631004392</v>
          </cell>
          <cell r="C2900" t="str">
            <v/>
          </cell>
          <cell r="D2900" t="str">
            <v>Armário de Cozinha Completa de Canto 349cm Branco/Rustic Glamy Madesa 01</v>
          </cell>
          <cell r="E2900" t="str">
            <v>GLAMY</v>
          </cell>
          <cell r="F2900" t="str">
            <v>COZINHA</v>
          </cell>
          <cell r="G2900" t="str">
            <v/>
          </cell>
          <cell r="H2900">
            <v>2639.99</v>
          </cell>
          <cell r="I2900">
            <v>2539.9899999999998</v>
          </cell>
          <cell r="J2900">
            <v>2079.7745</v>
          </cell>
          <cell r="K2900">
            <v>0</v>
          </cell>
          <cell r="L2900">
            <v>2079.7745</v>
          </cell>
          <cell r="M2900">
            <v>0</v>
          </cell>
          <cell r="N2900">
            <v>2539.9899999999998</v>
          </cell>
          <cell r="O2900" t="str">
            <v/>
          </cell>
          <cell r="P2900">
            <v>0</v>
          </cell>
          <cell r="Q2900">
            <v>0.22128144181015799</v>
          </cell>
          <cell r="R2900">
            <v>0.22128144181015799</v>
          </cell>
          <cell r="S2900" t="e">
            <v>#VALUE!</v>
          </cell>
          <cell r="T2900" t="e">
            <v>#VALUE!</v>
          </cell>
        </row>
        <row r="2901">
          <cell r="A2901" t="str">
            <v>MDJA0401687GBE</v>
          </cell>
          <cell r="B2901" t="str">
            <v>MKP000631005715</v>
          </cell>
          <cell r="C2901" t="str">
            <v/>
          </cell>
          <cell r="D2901" t="str">
            <v>Conjunto Sala de Jantar Mesa Tampo de Madeira 4 Cadeiras Rustic/Crema/Bege Angel Madesa</v>
          </cell>
          <cell r="E2901" t="str">
            <v>ANGEL</v>
          </cell>
          <cell r="F2901" t="str">
            <v>SALA DE JANTAR</v>
          </cell>
          <cell r="G2901" t="str">
            <v>4284X</v>
          </cell>
          <cell r="H2901">
            <v>699.99</v>
          </cell>
          <cell r="I2901">
            <v>599.99</v>
          </cell>
          <cell r="J2901">
            <v>491.56819999999999</v>
          </cell>
          <cell r="K2901">
            <v>0</v>
          </cell>
          <cell r="L2901">
            <v>491.56819999999999</v>
          </cell>
          <cell r="M2901">
            <v>0</v>
          </cell>
          <cell r="N2901">
            <v>599.99</v>
          </cell>
          <cell r="O2901" t="str">
            <v/>
          </cell>
          <cell r="P2901">
            <v>0</v>
          </cell>
          <cell r="Q2901">
            <v>0.22056308768549299</v>
          </cell>
          <cell r="R2901">
            <v>0.22056308768549299</v>
          </cell>
          <cell r="S2901" t="e">
            <v>#VALUE!</v>
          </cell>
          <cell r="T2901" t="e">
            <v>#VALUE!</v>
          </cell>
        </row>
        <row r="2902">
          <cell r="A2902" t="str">
            <v>XC1063771P</v>
          </cell>
          <cell r="B2902" t="str">
            <v>MKP000631003106</v>
          </cell>
          <cell r="C2902" t="str">
            <v/>
          </cell>
          <cell r="D2902" t="str">
            <v>Guarda-Roupa Casal 100% MDF Madesa Zurique 3 Portas de Correr Preto/Branco/Preto</v>
          </cell>
          <cell r="E2902" t="str">
            <v>ZURIQUE</v>
          </cell>
          <cell r="F2902" t="str">
            <v>QUARTO</v>
          </cell>
          <cell r="G2902" t="str">
            <v/>
          </cell>
          <cell r="H2902">
            <v>2469.9899999999998</v>
          </cell>
          <cell r="I2902">
            <v>1899.99</v>
          </cell>
          <cell r="J2902">
            <v>1551.3534</v>
          </cell>
          <cell r="K2902">
            <v>0</v>
          </cell>
          <cell r="L2902">
            <v>1551.3534</v>
          </cell>
          <cell r="M2902">
            <v>0</v>
          </cell>
          <cell r="N2902">
            <v>1899.99</v>
          </cell>
          <cell r="O2902" t="str">
            <v/>
          </cell>
          <cell r="P2902">
            <v>0</v>
          </cell>
          <cell r="Q2902">
            <v>0.22473061263797101</v>
          </cell>
          <cell r="R2902">
            <v>0.22473061263797101</v>
          </cell>
          <cell r="S2902" t="e">
            <v>#VALUE!</v>
          </cell>
          <cell r="T2902" t="e">
            <v>#VALUE!</v>
          </cell>
        </row>
        <row r="2903">
          <cell r="A2903" t="str">
            <v>MDJA0601497GFBM</v>
          </cell>
          <cell r="B2903" t="str">
            <v>MKP000631005720</v>
          </cell>
          <cell r="C2903" t="str">
            <v/>
          </cell>
          <cell r="D2903" t="str">
            <v>Conjunto Sala de Jantar Mesa Tampo de Madeira 6 Cadeiras Rustic/Crema/Bege Marrom Sharon Madesa</v>
          </cell>
          <cell r="E2903" t="str">
            <v>MARILYN</v>
          </cell>
          <cell r="F2903" t="str">
            <v>SALA DE JANTAR</v>
          </cell>
          <cell r="G2903" t="str">
            <v>4290X</v>
          </cell>
          <cell r="H2903">
            <v>839.99</v>
          </cell>
          <cell r="I2903">
            <v>739.99</v>
          </cell>
          <cell r="J2903">
            <v>588.73080000000004</v>
          </cell>
          <cell r="K2903">
            <v>0</v>
          </cell>
          <cell r="L2903">
            <v>588.73080000000004</v>
          </cell>
          <cell r="M2903">
            <v>0</v>
          </cell>
          <cell r="N2903">
            <v>739.99</v>
          </cell>
          <cell r="O2903" t="str">
            <v/>
          </cell>
          <cell r="P2903">
            <v>0</v>
          </cell>
          <cell r="Q2903">
            <v>0.256924217316301</v>
          </cell>
          <cell r="R2903">
            <v>0.256924217316301</v>
          </cell>
          <cell r="S2903" t="e">
            <v>#VALUE!</v>
          </cell>
          <cell r="T2903" t="e">
            <v>#VALUE!</v>
          </cell>
        </row>
        <row r="2904">
          <cell r="A2904" t="str">
            <v>GCGL4690019B</v>
          </cell>
          <cell r="B2904" t="str">
            <v>MKP000631005058</v>
          </cell>
          <cell r="C2904" t="str">
            <v/>
          </cell>
          <cell r="D2904" t="str">
            <v>Armário de Cozinha Completa de Canto 469cm Branco/Rustic Glamy Madesa 01</v>
          </cell>
          <cell r="E2904" t="str">
            <v>GLAMY</v>
          </cell>
          <cell r="F2904" t="str">
            <v>COZINHA</v>
          </cell>
          <cell r="G2904" t="str">
            <v/>
          </cell>
          <cell r="H2904">
            <v>3399.99</v>
          </cell>
          <cell r="I2904">
            <v>3299.99</v>
          </cell>
          <cell r="J2904">
            <v>2599.2467000000001</v>
          </cell>
          <cell r="K2904">
            <v>0</v>
          </cell>
          <cell r="L2904">
            <v>2599.2467000000001</v>
          </cell>
          <cell r="M2904">
            <v>0</v>
          </cell>
          <cell r="N2904">
            <v>3299.99</v>
          </cell>
          <cell r="O2904" t="str">
            <v/>
          </cell>
          <cell r="P2904">
            <v>0</v>
          </cell>
          <cell r="Q2904">
            <v>0.26959476374443397</v>
          </cell>
          <cell r="R2904">
            <v>0.26959476374443397</v>
          </cell>
          <cell r="S2904" t="e">
            <v>#VALUE!</v>
          </cell>
          <cell r="T2904" t="e">
            <v>#VALUE!</v>
          </cell>
        </row>
        <row r="2905">
          <cell r="A2905" t="str">
            <v>GRGL2400076E</v>
          </cell>
          <cell r="B2905" t="str">
            <v>MKP000631005038</v>
          </cell>
          <cell r="C2905" t="str">
            <v/>
          </cell>
          <cell r="D2905" t="str">
            <v>Armário de Cozinha Completa 240cm Rustic/Branco Glamy Madesa 07</v>
          </cell>
          <cell r="E2905" t="str">
            <v>GLAMY</v>
          </cell>
          <cell r="F2905" t="str">
            <v>COZINHA</v>
          </cell>
          <cell r="G2905" t="str">
            <v/>
          </cell>
          <cell r="H2905">
            <v>1879.99</v>
          </cell>
          <cell r="I2905">
            <v>1779.99</v>
          </cell>
          <cell r="J2905">
            <v>1345.278</v>
          </cell>
          <cell r="K2905">
            <v>0</v>
          </cell>
          <cell r="L2905">
            <v>1345.278</v>
          </cell>
          <cell r="M2905">
            <v>0</v>
          </cell>
          <cell r="N2905">
            <v>1779.99</v>
          </cell>
          <cell r="O2905" t="str">
            <v/>
          </cell>
          <cell r="P2905">
            <v>0</v>
          </cell>
          <cell r="Q2905">
            <v>0.32313915785436098</v>
          </cell>
          <cell r="R2905">
            <v>0.32313915785436098</v>
          </cell>
          <cell r="S2905" t="e">
            <v>#VALUE!</v>
          </cell>
          <cell r="T2905" t="e">
            <v>#VALUE!</v>
          </cell>
        </row>
        <row r="2906">
          <cell r="A2906" t="str">
            <v>MDES0200155ZD8</v>
          </cell>
          <cell r="B2906" t="str">
            <v>MKP000631002908</v>
          </cell>
          <cell r="C2906" t="str">
            <v/>
          </cell>
          <cell r="D2906" t="str">
            <v>Rack Madesa Dubai com Pés e Painel para TV até 58 Polegadas Rustic/Preto 5ZD8</v>
          </cell>
          <cell r="E2906" t="str">
            <v>DUBAI</v>
          </cell>
          <cell r="F2906" t="str">
            <v>SALA DE ESTAR</v>
          </cell>
          <cell r="G2906" t="str">
            <v/>
          </cell>
          <cell r="H2906">
            <v>599.99</v>
          </cell>
          <cell r="I2906">
            <v>499.99</v>
          </cell>
          <cell r="J2906">
            <v>355.10019999999997</v>
          </cell>
          <cell r="K2906">
            <v>0</v>
          </cell>
          <cell r="L2906">
            <v>355.10019999999997</v>
          </cell>
          <cell r="M2906">
            <v>0</v>
          </cell>
          <cell r="N2906">
            <v>499.99</v>
          </cell>
          <cell r="O2906" t="str">
            <v/>
          </cell>
          <cell r="P2906">
            <v>0</v>
          </cell>
          <cell r="Q2906">
            <v>0.40802511516467799</v>
          </cell>
          <cell r="R2906">
            <v>0.40802511516467799</v>
          </cell>
          <cell r="S2906" t="e">
            <v>#VALUE!</v>
          </cell>
          <cell r="T2906" t="e">
            <v>#VALUE!</v>
          </cell>
        </row>
        <row r="2907">
          <cell r="A2907" t="str">
            <v>G2440073K</v>
          </cell>
          <cell r="B2907" t="str">
            <v>MKP000631004947</v>
          </cell>
          <cell r="C2907" t="str">
            <v/>
          </cell>
          <cell r="D2907" t="str">
            <v>Balcão 100% MDF 40 cm 1 Porta Branco/Preto Acordes Madesa</v>
          </cell>
          <cell r="E2907" t="str">
            <v>ACORDES</v>
          </cell>
          <cell r="F2907" t="str">
            <v>MODULAÇÃO</v>
          </cell>
          <cell r="G2907" t="str">
            <v/>
          </cell>
          <cell r="H2907">
            <v>399.99</v>
          </cell>
          <cell r="I2907">
            <v>379.99</v>
          </cell>
          <cell r="J2907">
            <v>244.49789999999999</v>
          </cell>
          <cell r="K2907">
            <v>0</v>
          </cell>
          <cell r="L2907">
            <v>244.49789999999999</v>
          </cell>
          <cell r="M2907">
            <v>0</v>
          </cell>
          <cell r="N2907">
            <v>379.99</v>
          </cell>
          <cell r="O2907" t="str">
            <v/>
          </cell>
          <cell r="P2907">
            <v>0</v>
          </cell>
          <cell r="Q2907">
            <v>0.55416467789702895</v>
          </cell>
          <cell r="R2907">
            <v>0.55416467789702895</v>
          </cell>
          <cell r="S2907" t="e">
            <v>#VALUE!</v>
          </cell>
          <cell r="T2907" t="e">
            <v>#VALUE!</v>
          </cell>
        </row>
        <row r="2908">
          <cell r="A2908" t="str">
            <v>G2435009TE</v>
          </cell>
          <cell r="B2908" t="str">
            <v>MKP000631001912</v>
          </cell>
          <cell r="C2908" t="str">
            <v/>
          </cell>
          <cell r="D2908" t="str">
            <v>Balcão Madesa Stella 35 cm 1 Porta Branco</v>
          </cell>
          <cell r="E2908" t="str">
            <v>STELLA</v>
          </cell>
          <cell r="F2908" t="str">
            <v>MODULAÇÃO</v>
          </cell>
          <cell r="G2908" t="str">
            <v/>
          </cell>
          <cell r="H2908">
            <v>489.99</v>
          </cell>
          <cell r="I2908">
            <v>339.99</v>
          </cell>
          <cell r="J2908">
            <v>217.48769999999999</v>
          </cell>
          <cell r="K2908">
            <v>0</v>
          </cell>
          <cell r="L2908">
            <v>217.48769999999999</v>
          </cell>
          <cell r="M2908">
            <v>0</v>
          </cell>
          <cell r="N2908">
            <v>339.99</v>
          </cell>
          <cell r="O2908" t="str">
            <v/>
          </cell>
          <cell r="P2908">
            <v>0</v>
          </cell>
          <cell r="Q2908">
            <v>0.56326081888768897</v>
          </cell>
          <cell r="R2908">
            <v>0.56326081888768897</v>
          </cell>
          <cell r="S2908" t="e">
            <v>#VALUE!</v>
          </cell>
          <cell r="T2908" t="e">
            <v>#VALUE!</v>
          </cell>
        </row>
        <row r="2909">
          <cell r="A2909" t="str">
            <v>G2212373GL</v>
          </cell>
          <cell r="B2909" t="str">
            <v>MKP000631004877</v>
          </cell>
          <cell r="C2909" t="str">
            <v/>
          </cell>
          <cell r="D2909" t="str">
            <v>Balcão Gabinete de Pia 120 x 60 cm 1 Porta 2 Gavetas Branco/Preto (Sem Tampo) Glamy Madesa</v>
          </cell>
          <cell r="E2909" t="str">
            <v>GLAMY</v>
          </cell>
          <cell r="F2909" t="str">
            <v>MODULAÇÃO</v>
          </cell>
          <cell r="G2909" t="str">
            <v/>
          </cell>
          <cell r="H2909">
            <v>759.99</v>
          </cell>
          <cell r="I2909">
            <v>719.99</v>
          </cell>
          <cell r="J2909">
            <v>460.64490000000001</v>
          </cell>
          <cell r="K2909">
            <v>0</v>
          </cell>
          <cell r="L2909">
            <v>460.64490000000001</v>
          </cell>
          <cell r="M2909">
            <v>0</v>
          </cell>
          <cell r="N2909">
            <v>719.99</v>
          </cell>
          <cell r="O2909" t="str">
            <v/>
          </cell>
          <cell r="P2909">
            <v>0</v>
          </cell>
          <cell r="Q2909">
            <v>0.56300438797867902</v>
          </cell>
          <cell r="R2909">
            <v>0.56300438797867902</v>
          </cell>
          <cell r="S2909" t="e">
            <v>#VALUE!</v>
          </cell>
          <cell r="T2909" t="e">
            <v>#VALUE!</v>
          </cell>
        </row>
        <row r="2910">
          <cell r="A2910" t="str">
            <v>G24750F8AG</v>
          </cell>
          <cell r="B2910" t="str">
            <v>MKP000631002926</v>
          </cell>
          <cell r="C2910" t="str">
            <v/>
          </cell>
          <cell r="D2910" t="str">
            <v>Balcão de Canto Madesa Agata 1 Porta Branco/Cinza</v>
          </cell>
          <cell r="E2910" t="str">
            <v>ÁGATA</v>
          </cell>
          <cell r="F2910" t="str">
            <v>MODULAÇÃO</v>
          </cell>
          <cell r="G2910" t="str">
            <v/>
          </cell>
          <cell r="H2910">
            <v>999.99</v>
          </cell>
          <cell r="I2910">
            <v>539.99</v>
          </cell>
          <cell r="J2910">
            <v>314.9228</v>
          </cell>
          <cell r="K2910">
            <v>0</v>
          </cell>
          <cell r="L2910">
            <v>314.9228</v>
          </cell>
          <cell r="M2910">
            <v>0</v>
          </cell>
          <cell r="N2910">
            <v>539.99</v>
          </cell>
          <cell r="O2910" t="str">
            <v/>
          </cell>
          <cell r="P2910">
            <v>0</v>
          </cell>
          <cell r="Q2910">
            <v>0.71467419951810396</v>
          </cell>
          <cell r="R2910">
            <v>0.71467419951810396</v>
          </cell>
          <cell r="S2910" t="e">
            <v>#VALUE!</v>
          </cell>
          <cell r="T2910" t="e">
            <v>#VALUE!</v>
          </cell>
        </row>
        <row r="2911">
          <cell r="A2911" t="str">
            <v>G257525ZTE</v>
          </cell>
          <cell r="B2911" t="str">
            <v>MKP000631002164</v>
          </cell>
          <cell r="C2911" t="str">
            <v/>
          </cell>
          <cell r="D2911" t="str">
            <v>Armário Aéreo de Canto Madesa Stella 1 Porta Rustic</v>
          </cell>
          <cell r="E2911" t="str">
            <v>STELLA</v>
          </cell>
          <cell r="F2911" t="str">
            <v>MODULAÇÃO</v>
          </cell>
          <cell r="G2911" t="str">
            <v/>
          </cell>
          <cell r="H2911">
            <v>739.99</v>
          </cell>
          <cell r="I2911">
            <v>419.99</v>
          </cell>
          <cell r="J2911">
            <v>236.3338</v>
          </cell>
          <cell r="K2911">
            <v>0</v>
          </cell>
          <cell r="L2911">
            <v>236.3338</v>
          </cell>
          <cell r="M2911">
            <v>0</v>
          </cell>
          <cell r="N2911">
            <v>419.99</v>
          </cell>
          <cell r="O2911" t="str">
            <v/>
          </cell>
          <cell r="P2911">
            <v>0</v>
          </cell>
          <cell r="Q2911">
            <v>0.77710509457386101</v>
          </cell>
          <cell r="R2911">
            <v>0.77710509457386101</v>
          </cell>
          <cell r="S2911" t="e">
            <v>#VALUE!</v>
          </cell>
          <cell r="T2911" t="e">
            <v>#VALUE!</v>
          </cell>
        </row>
        <row r="2912">
          <cell r="A2912" t="str">
            <v>5275F92</v>
          </cell>
          <cell r="B2912" t="str">
            <v>MKP000631005639</v>
          </cell>
          <cell r="C2912" t="str">
            <v/>
          </cell>
          <cell r="D2912" t="str">
            <v>Mesa de Jantar Retangular Tampo de Madeira Rustic/Cinza 5275 Madesa</v>
          </cell>
          <cell r="E2912">
            <v>5363</v>
          </cell>
          <cell r="F2912" t="str">
            <v>SALA DE JANTAR</v>
          </cell>
          <cell r="G2912" t="str">
            <v/>
          </cell>
          <cell r="H2912">
            <v>749.99</v>
          </cell>
          <cell r="I2912">
            <v>539.99</v>
          </cell>
          <cell r="J2912">
            <v>282.83319999999998</v>
          </cell>
          <cell r="K2912">
            <v>0</v>
          </cell>
          <cell r="L2912">
            <v>282.83319999999998</v>
          </cell>
          <cell r="M2912">
            <v>0</v>
          </cell>
          <cell r="N2912">
            <v>539.99</v>
          </cell>
          <cell r="O2912" t="str">
            <v/>
          </cell>
          <cell r="P2912">
            <v>0</v>
          </cell>
          <cell r="Q2912">
            <v>0.90921716403873398</v>
          </cell>
          <cell r="R2912">
            <v>0.90921716403873398</v>
          </cell>
          <cell r="S2912" t="e">
            <v>#VALUE!</v>
          </cell>
          <cell r="T2912" t="e">
            <v>#VALUE!</v>
          </cell>
        </row>
        <row r="2913">
          <cell r="A2913" t="str">
            <v>G226017KLX</v>
          </cell>
          <cell r="B2913" t="str">
            <v>MKP000631002762</v>
          </cell>
          <cell r="C2913" t="str">
            <v/>
          </cell>
          <cell r="D2913" t="str">
            <v>Balcão Madesa Lux 60 cm 3 Gavetas (Sem Tampo) Rustic/Preto</v>
          </cell>
          <cell r="E2913" t="str">
            <v>LUX</v>
          </cell>
          <cell r="F2913" t="str">
            <v>MODULAÇÃO</v>
          </cell>
          <cell r="G2913" t="str">
            <v/>
          </cell>
          <cell r="H2913">
            <v>1259.99</v>
          </cell>
          <cell r="I2913">
            <v>959.99</v>
          </cell>
          <cell r="J2913">
            <v>509.37880000000001</v>
          </cell>
          <cell r="K2913">
            <v>0</v>
          </cell>
          <cell r="L2913">
            <v>509.37880000000001</v>
          </cell>
          <cell r="M2913">
            <v>0</v>
          </cell>
          <cell r="N2913">
            <v>959.99</v>
          </cell>
          <cell r="O2913" t="str">
            <v>LOJA</v>
          </cell>
          <cell r="P2913">
            <v>949.99</v>
          </cell>
          <cell r="Q2913">
            <v>0.88462888522255001</v>
          </cell>
          <cell r="R2913">
            <v>0.88462888522255001</v>
          </cell>
          <cell r="S2913" t="e">
            <v>#VALUE!</v>
          </cell>
          <cell r="T2913" t="e">
            <v>#VALUE!</v>
          </cell>
        </row>
        <row r="2914">
          <cell r="A2914" t="str">
            <v>GRTE24000109</v>
          </cell>
          <cell r="B2914" t="str">
            <v>MKP000631005492</v>
          </cell>
          <cell r="C2914" t="str">
            <v/>
          </cell>
          <cell r="D2914" t="str">
            <v>Armário de Cozinha Compacta 240cm Branco Stella Madesa 01</v>
          </cell>
          <cell r="E2914" t="str">
            <v>STELLA</v>
          </cell>
          <cell r="F2914" t="str">
            <v>COZINHA</v>
          </cell>
          <cell r="G2914" t="str">
            <v/>
          </cell>
          <cell r="H2914">
            <v>1249.99</v>
          </cell>
          <cell r="I2914">
            <v>1249.99</v>
          </cell>
          <cell r="J2914">
            <v>990.25409999999999</v>
          </cell>
          <cell r="K2914">
            <v>0</v>
          </cell>
          <cell r="L2914">
            <v>990.25409999999999</v>
          </cell>
          <cell r="M2914">
            <v>0</v>
          </cell>
          <cell r="N2914">
            <v>1249.99</v>
          </cell>
          <cell r="O2914" t="str">
            <v/>
          </cell>
          <cell r="P2914">
            <v>0</v>
          </cell>
          <cell r="Q2914">
            <v>0.26229217329168297</v>
          </cell>
          <cell r="R2914">
            <v>0.26229217329168297</v>
          </cell>
          <cell r="S2914" t="e">
            <v>#VALUE!</v>
          </cell>
          <cell r="T2914" t="e">
            <v>#VALUE!</v>
          </cell>
        </row>
        <row r="2915">
          <cell r="A2915" t="str">
            <v>GRAG270008F9</v>
          </cell>
          <cell r="B2915" t="str">
            <v>MKP000631005256</v>
          </cell>
          <cell r="C2915" t="str">
            <v/>
          </cell>
          <cell r="D2915" t="str">
            <v>Armário de  Cozinha Completa 270cm Rustic/Cinza Agata Madesa 08</v>
          </cell>
          <cell r="E2915" t="str">
            <v>ÁGATA</v>
          </cell>
          <cell r="F2915" t="str">
            <v>COZINHA</v>
          </cell>
          <cell r="G2915" t="str">
            <v/>
          </cell>
          <cell r="H2915">
            <v>2119.9899999999998</v>
          </cell>
          <cell r="I2915">
            <v>1999.99</v>
          </cell>
          <cell r="J2915">
            <v>1532.6162999999999</v>
          </cell>
          <cell r="K2915">
            <v>0</v>
          </cell>
          <cell r="L2915">
            <v>1532.6162999999999</v>
          </cell>
          <cell r="M2915">
            <v>0</v>
          </cell>
          <cell r="N2915">
            <v>1999.99</v>
          </cell>
          <cell r="O2915" t="str">
            <v/>
          </cell>
          <cell r="P2915">
            <v>0</v>
          </cell>
          <cell r="Q2915">
            <v>0.30495153940356801</v>
          </cell>
          <cell r="R2915">
            <v>0.30495153940356801</v>
          </cell>
          <cell r="S2915" t="e">
            <v>#VALUE!</v>
          </cell>
          <cell r="T2915" t="e">
            <v>#VALUE!</v>
          </cell>
        </row>
        <row r="2916">
          <cell r="A2916" t="str">
            <v>GCGL3490035Z</v>
          </cell>
          <cell r="B2916" t="str">
            <v>MKP000631004492</v>
          </cell>
          <cell r="C2916" t="str">
            <v/>
          </cell>
          <cell r="D2916" t="str">
            <v>Armário de Cozinha Completa de Canto 349cm Rustic Glamy Madesa 03</v>
          </cell>
          <cell r="E2916" t="str">
            <v>GLAMY</v>
          </cell>
          <cell r="F2916" t="str">
            <v>COZINHA</v>
          </cell>
          <cell r="G2916" t="str">
            <v/>
          </cell>
          <cell r="H2916">
            <v>2569.9899999999998</v>
          </cell>
          <cell r="I2916">
            <v>2469.9899999999998</v>
          </cell>
          <cell r="J2916">
            <v>2062.3018000000002</v>
          </cell>
          <cell r="K2916">
            <v>0</v>
          </cell>
          <cell r="L2916">
            <v>2062.3018000000002</v>
          </cell>
          <cell r="M2916">
            <v>0</v>
          </cell>
          <cell r="N2916">
            <v>2469.9899999999998</v>
          </cell>
          <cell r="O2916" t="str">
            <v/>
          </cell>
          <cell r="P2916">
            <v>0</v>
          </cell>
          <cell r="Q2916">
            <v>0.19768600308645401</v>
          </cell>
          <cell r="R2916">
            <v>0.19768600308645401</v>
          </cell>
          <cell r="S2916" t="e">
            <v>#VALUE!</v>
          </cell>
          <cell r="T2916" t="e">
            <v>#VALUE!</v>
          </cell>
        </row>
        <row r="2917">
          <cell r="A2917" t="str">
            <v>GCGL3290025Z</v>
          </cell>
          <cell r="B2917" t="str">
            <v>MKP000631004505</v>
          </cell>
          <cell r="C2917" t="str">
            <v/>
          </cell>
          <cell r="D2917" t="str">
            <v>Armário de Cozinha Completa de Canto 329cm Rustic Glamy Madesa 02</v>
          </cell>
          <cell r="E2917" t="str">
            <v>GLAMY</v>
          </cell>
          <cell r="F2917" t="str">
            <v>COZINHA</v>
          </cell>
          <cell r="G2917" t="str">
            <v/>
          </cell>
          <cell r="H2917">
            <v>2299.9899999999998</v>
          </cell>
          <cell r="I2917">
            <v>2199.9899999999998</v>
          </cell>
          <cell r="J2917">
            <v>1895.2592999999999</v>
          </cell>
          <cell r="K2917">
            <v>0</v>
          </cell>
          <cell r="L2917">
            <v>1895.2592999999999</v>
          </cell>
          <cell r="M2917">
            <v>0</v>
          </cell>
          <cell r="N2917">
            <v>2199.9899999999998</v>
          </cell>
          <cell r="O2917" t="str">
            <v/>
          </cell>
          <cell r="P2917">
            <v>0</v>
          </cell>
          <cell r="Q2917">
            <v>0.160785756334239</v>
          </cell>
          <cell r="R2917">
            <v>0.160785756334239</v>
          </cell>
          <cell r="S2917" t="e">
            <v>#VALUE!</v>
          </cell>
          <cell r="T2917" t="e">
            <v>#VALUE!</v>
          </cell>
        </row>
        <row r="2918">
          <cell r="A2918" t="str">
            <v>GRGL1800065Z</v>
          </cell>
          <cell r="B2918" t="str">
            <v>MKP000631004241</v>
          </cell>
          <cell r="C2918" t="str">
            <v/>
          </cell>
          <cell r="D2918" t="str">
            <v>Armário de Cozinha Compacta 180cm Rustic Glamy Madesa 06</v>
          </cell>
          <cell r="E2918" t="str">
            <v>GLAMY</v>
          </cell>
          <cell r="F2918" t="str">
            <v>COZINHA</v>
          </cell>
          <cell r="G2918" t="str">
            <v/>
          </cell>
          <cell r="H2918">
            <v>1679.99</v>
          </cell>
          <cell r="I2918">
            <v>1579.99</v>
          </cell>
          <cell r="J2918">
            <v>1306.6157000000001</v>
          </cell>
          <cell r="K2918">
            <v>0</v>
          </cell>
          <cell r="L2918">
            <v>1306.6157000000001</v>
          </cell>
          <cell r="M2918">
            <v>0</v>
          </cell>
          <cell r="N2918">
            <v>1579.99</v>
          </cell>
          <cell r="O2918" t="str">
            <v/>
          </cell>
          <cell r="P2918">
            <v>0</v>
          </cell>
          <cell r="Q2918">
            <v>0.20922318628193401</v>
          </cell>
          <cell r="R2918">
            <v>0.20922318628193401</v>
          </cell>
          <cell r="S2918" t="e">
            <v>#VALUE!</v>
          </cell>
          <cell r="T2918" t="e">
            <v>#VALUE!</v>
          </cell>
        </row>
        <row r="2919">
          <cell r="A2919" t="str">
            <v>GRGL18000609</v>
          </cell>
          <cell r="B2919" t="str">
            <v>MKP000631004621</v>
          </cell>
          <cell r="C2919" t="str">
            <v/>
          </cell>
          <cell r="D2919" t="str">
            <v>Armário de Cozinha Compacta 180cm Branco Glamy Madesa 06</v>
          </cell>
          <cell r="E2919" t="str">
            <v>GLAMY</v>
          </cell>
          <cell r="F2919" t="str">
            <v>COZINHA</v>
          </cell>
          <cell r="G2919" t="str">
            <v/>
          </cell>
          <cell r="H2919">
            <v>1679.99</v>
          </cell>
          <cell r="I2919">
            <v>1579.99</v>
          </cell>
          <cell r="J2919">
            <v>1306.6157000000001</v>
          </cell>
          <cell r="K2919">
            <v>0</v>
          </cell>
          <cell r="L2919">
            <v>1306.6157000000001</v>
          </cell>
          <cell r="M2919">
            <v>0</v>
          </cell>
          <cell r="N2919">
            <v>1579.99</v>
          </cell>
          <cell r="O2919" t="str">
            <v/>
          </cell>
          <cell r="P2919">
            <v>0</v>
          </cell>
          <cell r="Q2919">
            <v>0.20922318628193401</v>
          </cell>
          <cell r="R2919">
            <v>0.20922318628193401</v>
          </cell>
          <cell r="S2919" t="e">
            <v>#VALUE!</v>
          </cell>
          <cell r="T2919" t="e">
            <v>#VALUE!</v>
          </cell>
        </row>
        <row r="2920">
          <cell r="A2920" t="str">
            <v>GRGL12000809</v>
          </cell>
          <cell r="B2920" t="str">
            <v>MKP000631004258</v>
          </cell>
          <cell r="C2920" t="str">
            <v/>
          </cell>
          <cell r="D2920" t="str">
            <v>Armário de Cozinha Compacta 120cm Branco Glamy Madesa 08</v>
          </cell>
          <cell r="E2920" t="str">
            <v>GLAMY</v>
          </cell>
          <cell r="F2920" t="str">
            <v>COZINHA</v>
          </cell>
          <cell r="G2920" t="str">
            <v/>
          </cell>
          <cell r="H2920">
            <v>1199.99</v>
          </cell>
          <cell r="I2920">
            <v>1099.99</v>
          </cell>
          <cell r="J2920">
            <v>907.50130000000001</v>
          </cell>
          <cell r="K2920">
            <v>0</v>
          </cell>
          <cell r="L2920">
            <v>907.50130000000001</v>
          </cell>
          <cell r="M2920">
            <v>0</v>
          </cell>
          <cell r="N2920">
            <v>1099.99</v>
          </cell>
          <cell r="O2920" t="str">
            <v/>
          </cell>
          <cell r="P2920">
            <v>0</v>
          </cell>
          <cell r="Q2920">
            <v>0.21210845648375401</v>
          </cell>
          <cell r="R2920">
            <v>0.21210845648375401</v>
          </cell>
          <cell r="S2920" t="e">
            <v>#VALUE!</v>
          </cell>
          <cell r="T2920" t="e">
            <v>#VALUE!</v>
          </cell>
        </row>
        <row r="2921">
          <cell r="A2921" t="str">
            <v>GRGL28000309</v>
          </cell>
          <cell r="B2921" t="str">
            <v>MKP000631000589</v>
          </cell>
          <cell r="C2921" t="str">
            <v/>
          </cell>
          <cell r="D2921" t="str">
            <v>Armário de Cozinha Completa 280cm Branco Marcela Madesa 03</v>
          </cell>
          <cell r="E2921" t="str">
            <v>MARCELA/GLAMY</v>
          </cell>
          <cell r="F2921" t="str">
            <v>COZINHA</v>
          </cell>
          <cell r="G2921" t="str">
            <v/>
          </cell>
          <cell r="H2921">
            <v>2149.9899999999998</v>
          </cell>
          <cell r="I2921">
            <v>2049.9899999999998</v>
          </cell>
          <cell r="J2921">
            <v>1671.624</v>
          </cell>
          <cell r="K2921">
            <v>0</v>
          </cell>
          <cell r="L2921">
            <v>1671.624</v>
          </cell>
          <cell r="M2921">
            <v>0</v>
          </cell>
          <cell r="N2921">
            <v>2049.9899999999998</v>
          </cell>
          <cell r="O2921" t="str">
            <v/>
          </cell>
          <cell r="P2921">
            <v>0</v>
          </cell>
          <cell r="Q2921">
            <v>0.226346355400497</v>
          </cell>
          <cell r="R2921">
            <v>0.226346355400497</v>
          </cell>
          <cell r="S2921" t="e">
            <v>#VALUE!</v>
          </cell>
          <cell r="T2921" t="e">
            <v>#VALUE!</v>
          </cell>
        </row>
        <row r="2922">
          <cell r="A2922" t="str">
            <v>GRAG3100027K</v>
          </cell>
          <cell r="B2922" t="str">
            <v>MKP000631005659</v>
          </cell>
          <cell r="C2922" t="str">
            <v/>
          </cell>
          <cell r="D2922" t="str">
            <v>Armário de Cozinha Completa 310cm Rustic/Preto Agata Madesa 02</v>
          </cell>
          <cell r="E2922" t="str">
            <v>ÁGATA</v>
          </cell>
          <cell r="F2922" t="str">
            <v>COZINHA</v>
          </cell>
          <cell r="G2922" t="str">
            <v/>
          </cell>
          <cell r="H2922">
            <v>2599.9899999999998</v>
          </cell>
          <cell r="I2922">
            <v>2499.9899999999998</v>
          </cell>
          <cell r="J2922">
            <v>2000.3897999999999</v>
          </cell>
          <cell r="K2922">
            <v>0</v>
          </cell>
          <cell r="L2922">
            <v>2000.3897999999999</v>
          </cell>
          <cell r="M2922">
            <v>0</v>
          </cell>
          <cell r="N2922">
            <v>2499.9899999999998</v>
          </cell>
          <cell r="O2922" t="str">
            <v/>
          </cell>
          <cell r="P2922">
            <v>0</v>
          </cell>
          <cell r="Q2922">
            <v>0.24975142344757001</v>
          </cell>
          <cell r="R2922">
            <v>0.24975142344757001</v>
          </cell>
          <cell r="S2922" t="e">
            <v>#VALUE!</v>
          </cell>
          <cell r="T2922" t="e">
            <v>#VALUE!</v>
          </cell>
        </row>
        <row r="2923">
          <cell r="A2923" t="str">
            <v>GCGL4690017K</v>
          </cell>
          <cell r="B2923" t="str">
            <v>MKP000631005056</v>
          </cell>
          <cell r="C2923" t="str">
            <v/>
          </cell>
          <cell r="D2923" t="str">
            <v>Armário de Cozinha Completa de Canto 469cm Rustic/Preto Glamy Madesa 01</v>
          </cell>
          <cell r="E2923" t="str">
            <v>GLAMY</v>
          </cell>
          <cell r="F2923" t="str">
            <v>COZINHA</v>
          </cell>
          <cell r="G2923" t="str">
            <v/>
          </cell>
          <cell r="H2923">
            <v>3399.99</v>
          </cell>
          <cell r="I2923">
            <v>3299.99</v>
          </cell>
          <cell r="J2923">
            <v>2599.2467000000001</v>
          </cell>
          <cell r="K2923">
            <v>0</v>
          </cell>
          <cell r="L2923">
            <v>2599.2467000000001</v>
          </cell>
          <cell r="M2923">
            <v>0</v>
          </cell>
          <cell r="N2923">
            <v>3299.99</v>
          </cell>
          <cell r="O2923" t="str">
            <v/>
          </cell>
          <cell r="P2923">
            <v>0</v>
          </cell>
          <cell r="Q2923">
            <v>0.26959476374443397</v>
          </cell>
          <cell r="R2923">
            <v>0.26959476374443397</v>
          </cell>
          <cell r="S2923" t="e">
            <v>#VALUE!</v>
          </cell>
          <cell r="T2923" t="e">
            <v>#VALUE!</v>
          </cell>
        </row>
        <row r="2924">
          <cell r="A2924" t="str">
            <v>G2412409CT</v>
          </cell>
          <cell r="B2924" t="str">
            <v>MKP000631005848</v>
          </cell>
          <cell r="C2924" t="str">
            <v/>
          </cell>
          <cell r="D2924" t="str">
            <v>Balcão de Pia Cozinha 100% MDF 120 cm 3 Portas e 2 Gavetas Branco Acordes Madesa</v>
          </cell>
          <cell r="E2924" t="str">
            <v>ACORDES</v>
          </cell>
          <cell r="F2924" t="str">
            <v>MODULAÇÃO</v>
          </cell>
          <cell r="G2924" t="str">
            <v/>
          </cell>
          <cell r="H2924">
            <v>839.99</v>
          </cell>
          <cell r="I2924">
            <v>739.99</v>
          </cell>
          <cell r="J2924">
            <v>578.2559</v>
          </cell>
          <cell r="K2924">
            <v>0</v>
          </cell>
          <cell r="L2924">
            <v>578.2559</v>
          </cell>
          <cell r="M2924">
            <v>0</v>
          </cell>
          <cell r="N2924">
            <v>739.99</v>
          </cell>
          <cell r="O2924" t="str">
            <v/>
          </cell>
          <cell r="P2924">
            <v>0</v>
          </cell>
          <cell r="Q2924">
            <v>0.27969295254920901</v>
          </cell>
          <cell r="R2924">
            <v>0.27969295254920901</v>
          </cell>
          <cell r="S2924" t="e">
            <v>#VALUE!</v>
          </cell>
          <cell r="T2924" t="e">
            <v>#VALUE!</v>
          </cell>
        </row>
        <row r="2925">
          <cell r="A2925" t="str">
            <v>GRGL26000373</v>
          </cell>
          <cell r="B2925" t="str">
            <v>MKP000631005032</v>
          </cell>
          <cell r="C2925" t="str">
            <v/>
          </cell>
          <cell r="D2925" t="str">
            <v>Armário de Cozinha Completa 260cm Branco/Preto Glamy Madesa 03</v>
          </cell>
          <cell r="E2925" t="str">
            <v>GLAMY</v>
          </cell>
          <cell r="F2925" t="str">
            <v>COZINHA</v>
          </cell>
          <cell r="G2925" t="str">
            <v/>
          </cell>
          <cell r="H2925">
            <v>1889.99</v>
          </cell>
          <cell r="I2925">
            <v>1799.99</v>
          </cell>
          <cell r="J2925">
            <v>1407.5279</v>
          </cell>
          <cell r="K2925">
            <v>0</v>
          </cell>
          <cell r="L2925">
            <v>1407.5279</v>
          </cell>
          <cell r="M2925">
            <v>0</v>
          </cell>
          <cell r="N2925">
            <v>1799.99</v>
          </cell>
          <cell r="O2925" t="str">
            <v/>
          </cell>
          <cell r="P2925">
            <v>0</v>
          </cell>
          <cell r="Q2925">
            <v>0.27883077841654202</v>
          </cell>
          <cell r="R2925">
            <v>0.27883077841654202</v>
          </cell>
          <cell r="S2925" t="e">
            <v>#VALUE!</v>
          </cell>
          <cell r="T2925" t="e">
            <v>#VALUE!</v>
          </cell>
        </row>
        <row r="2926">
          <cell r="A2926" t="str">
            <v>G247505ZGL</v>
          </cell>
          <cell r="B2926" t="str">
            <v>MKP000631000373</v>
          </cell>
          <cell r="C2926" t="str">
            <v/>
          </cell>
          <cell r="D2926" t="str">
            <v>Balcão de Canto Madesa Glamy 1 Porta Rustic</v>
          </cell>
          <cell r="E2926" t="str">
            <v>GLAMY</v>
          </cell>
          <cell r="F2926" t="str">
            <v>MODULAÇÃO</v>
          </cell>
          <cell r="G2926" t="str">
            <v/>
          </cell>
          <cell r="H2926">
            <v>1019.99</v>
          </cell>
          <cell r="I2926">
            <v>529.99</v>
          </cell>
          <cell r="J2926">
            <v>318.60700000000003</v>
          </cell>
          <cell r="K2926">
            <v>0</v>
          </cell>
          <cell r="L2926">
            <v>318.60700000000003</v>
          </cell>
          <cell r="M2926">
            <v>0</v>
          </cell>
          <cell r="N2926">
            <v>529.99</v>
          </cell>
          <cell r="O2926" t="str">
            <v/>
          </cell>
          <cell r="P2926">
            <v>0</v>
          </cell>
          <cell r="Q2926">
            <v>0.66345999930949395</v>
          </cell>
          <cell r="R2926">
            <v>0.66345999930949395</v>
          </cell>
          <cell r="S2926" t="e">
            <v>#VALUE!</v>
          </cell>
          <cell r="T2926" t="e">
            <v>#VALUE!</v>
          </cell>
        </row>
        <row r="2927">
          <cell r="A2927" t="str">
            <v>G258005ZGL</v>
          </cell>
          <cell r="B2927" t="str">
            <v>MKP000631000372</v>
          </cell>
          <cell r="C2927" t="str">
            <v/>
          </cell>
          <cell r="D2927" t="str">
            <v>Armário Aéreo Madesa Glamy 80 cm 2 Portas Rustic</v>
          </cell>
          <cell r="E2927" t="str">
            <v>GLAMY</v>
          </cell>
          <cell r="F2927" t="str">
            <v>MODULAÇÃO</v>
          </cell>
          <cell r="G2927" t="str">
            <v/>
          </cell>
          <cell r="H2927">
            <v>719.99</v>
          </cell>
          <cell r="I2927">
            <v>429.99</v>
          </cell>
          <cell r="J2927">
            <v>259.75790000000001</v>
          </cell>
          <cell r="K2927">
            <v>0</v>
          </cell>
          <cell r="L2927">
            <v>259.75790000000001</v>
          </cell>
          <cell r="M2927">
            <v>0</v>
          </cell>
          <cell r="N2927">
            <v>429.99</v>
          </cell>
          <cell r="O2927" t="str">
            <v/>
          </cell>
          <cell r="P2927">
            <v>0</v>
          </cell>
          <cell r="Q2927">
            <v>0.65534907696743805</v>
          </cell>
          <cell r="R2927">
            <v>0.65534907696743805</v>
          </cell>
          <cell r="S2927" t="e">
            <v>#VALUE!</v>
          </cell>
          <cell r="T2927" t="e">
            <v>#VALUE!</v>
          </cell>
        </row>
        <row r="2928">
          <cell r="A2928" t="str">
            <v>GILX120001H7</v>
          </cell>
          <cell r="B2928" t="str">
            <v>MKP000631006004</v>
          </cell>
          <cell r="C2928" t="str">
            <v/>
          </cell>
          <cell r="D2928" t="str">
            <v>Ilha de Cozinha com Bancada e Balcão 120 cm Branco Lux Madesa</v>
          </cell>
          <cell r="E2928" t="str">
            <v>LUX</v>
          </cell>
          <cell r="F2928" t="str">
            <v>MODULAÇÃO</v>
          </cell>
          <cell r="G2928" t="str">
            <v/>
          </cell>
          <cell r="H2928">
            <v>1179.99</v>
          </cell>
          <cell r="I2928">
            <v>1179.99</v>
          </cell>
          <cell r="J2928">
            <v>710.91980000000001</v>
          </cell>
          <cell r="K2928">
            <v>0</v>
          </cell>
          <cell r="L2928">
            <v>710.91980000000001</v>
          </cell>
          <cell r="M2928">
            <v>0</v>
          </cell>
          <cell r="N2928">
            <v>1179.99</v>
          </cell>
          <cell r="O2928" t="str">
            <v/>
          </cell>
          <cell r="P2928">
            <v>0</v>
          </cell>
          <cell r="Q2928">
            <v>0.65980747758045299</v>
          </cell>
          <cell r="R2928">
            <v>0.65980747758045299</v>
          </cell>
          <cell r="S2928" t="e">
            <v>#VALUE!</v>
          </cell>
          <cell r="T2928" t="e">
            <v>#VALUE!</v>
          </cell>
        </row>
        <row r="2929">
          <cell r="A2929" t="str">
            <v>G224009NLX</v>
          </cell>
          <cell r="B2929" t="str">
            <v>MKP000631002705</v>
          </cell>
          <cell r="C2929" t="str">
            <v/>
          </cell>
          <cell r="D2929" t="str">
            <v>Balcão Madesa Lux 40 cm 1 Porta (Sem Tampo) Rustic/Cinza</v>
          </cell>
          <cell r="E2929" t="str">
            <v>LUX</v>
          </cell>
          <cell r="F2929" t="str">
            <v>MODULAÇÃO</v>
          </cell>
          <cell r="G2929" t="str">
            <v/>
          </cell>
          <cell r="H2929">
            <v>819.99</v>
          </cell>
          <cell r="I2929">
            <v>549.99</v>
          </cell>
          <cell r="J2929">
            <v>302.15890000000002</v>
          </cell>
          <cell r="K2929">
            <v>0</v>
          </cell>
          <cell r="L2929">
            <v>302.15890000000002</v>
          </cell>
          <cell r="M2929">
            <v>0</v>
          </cell>
          <cell r="N2929">
            <v>549.99</v>
          </cell>
          <cell r="O2929" t="str">
            <v>LOJA</v>
          </cell>
          <cell r="P2929">
            <v>539.99</v>
          </cell>
          <cell r="Q2929">
            <v>0.82020122524936401</v>
          </cell>
          <cell r="R2929">
            <v>0.82020122524936401</v>
          </cell>
          <cell r="S2929" t="e">
            <v>#VALUE!</v>
          </cell>
          <cell r="T2929" t="e">
            <v>#VALUE!</v>
          </cell>
        </row>
        <row r="2930">
          <cell r="A2930" t="str">
            <v>G224009RLX</v>
          </cell>
          <cell r="B2930" t="str">
            <v>MKP000631003239</v>
          </cell>
          <cell r="C2930" t="str">
            <v/>
          </cell>
          <cell r="D2930" t="str">
            <v>Balcão Madesa Lux 40 cm 1 Porta (Sem Tampo) Branco/Cinza</v>
          </cell>
          <cell r="E2930" t="str">
            <v>LUX</v>
          </cell>
          <cell r="F2930" t="str">
            <v>MODULAÇÃO</v>
          </cell>
          <cell r="G2930" t="str">
            <v/>
          </cell>
          <cell r="H2930">
            <v>819.99</v>
          </cell>
          <cell r="I2930">
            <v>549.99</v>
          </cell>
          <cell r="J2930">
            <v>302.15890000000002</v>
          </cell>
          <cell r="K2930">
            <v>0</v>
          </cell>
          <cell r="L2930">
            <v>302.15890000000002</v>
          </cell>
          <cell r="M2930">
            <v>0</v>
          </cell>
          <cell r="N2930">
            <v>549.99</v>
          </cell>
          <cell r="O2930" t="str">
            <v>LOJA</v>
          </cell>
          <cell r="P2930">
            <v>539.99</v>
          </cell>
          <cell r="Q2930">
            <v>0.82020122524936401</v>
          </cell>
          <cell r="R2930">
            <v>0.82020122524936401</v>
          </cell>
          <cell r="S2930" t="e">
            <v>#VALUE!</v>
          </cell>
          <cell r="T2930" t="e">
            <v>#VALUE!</v>
          </cell>
        </row>
        <row r="2931">
          <cell r="A2931" t="str">
            <v>G227509NLXCT</v>
          </cell>
          <cell r="B2931" t="str">
            <v>MKP000631005073</v>
          </cell>
          <cell r="C2931" t="str">
            <v/>
          </cell>
          <cell r="D2931" t="str">
            <v>Balcão de Canto Madesa Lux 1 Porta 60 cm Profundidade (Com Tampo) Rustic/Cinza</v>
          </cell>
          <cell r="E2931" t="str">
            <v>LUX</v>
          </cell>
          <cell r="F2931" t="str">
            <v>MODULAÇÃO</v>
          </cell>
          <cell r="G2931" t="str">
            <v/>
          </cell>
          <cell r="H2931">
            <v>1039.99</v>
          </cell>
          <cell r="I2931">
            <v>919.99</v>
          </cell>
          <cell r="J2931">
            <v>467.96969999999999</v>
          </cell>
          <cell r="K2931">
            <v>0</v>
          </cell>
          <cell r="L2931">
            <v>467.96969999999999</v>
          </cell>
          <cell r="M2931">
            <v>0</v>
          </cell>
          <cell r="N2931">
            <v>919.99</v>
          </cell>
          <cell r="O2931" t="str">
            <v>LOJA</v>
          </cell>
          <cell r="P2931">
            <v>899.99</v>
          </cell>
          <cell r="Q2931">
            <v>0.96591787887121805</v>
          </cell>
          <cell r="R2931">
            <v>0.96591787887121805</v>
          </cell>
          <cell r="S2931" t="e">
            <v>#VALUE!</v>
          </cell>
          <cell r="T2931" t="e">
            <v>#VALUE!</v>
          </cell>
        </row>
        <row r="2932">
          <cell r="A2932" t="str">
            <v>G227507KLX</v>
          </cell>
          <cell r="B2932" t="str">
            <v>MKP000631002757</v>
          </cell>
          <cell r="C2932" t="str">
            <v/>
          </cell>
          <cell r="D2932" t="str">
            <v>Balcão de Canto Madesa Lux 1 Porta (Sem Tampo) Rustic/Preto</v>
          </cell>
          <cell r="E2932" t="str">
            <v>LUX</v>
          </cell>
          <cell r="F2932" t="str">
            <v>MODULAÇÃO</v>
          </cell>
          <cell r="G2932" t="str">
            <v/>
          </cell>
          <cell r="H2932">
            <v>1069.99</v>
          </cell>
          <cell r="I2932">
            <v>749.99</v>
          </cell>
          <cell r="J2932">
            <v>368.99770000000001</v>
          </cell>
          <cell r="K2932">
            <v>0</v>
          </cell>
          <cell r="L2932">
            <v>368.99770000000001</v>
          </cell>
          <cell r="M2932">
            <v>0</v>
          </cell>
          <cell r="N2932">
            <v>749.99</v>
          </cell>
          <cell r="O2932" t="str">
            <v>LOJA</v>
          </cell>
          <cell r="P2932">
            <v>739.99</v>
          </cell>
          <cell r="Q2932">
            <v>1.0325058936681699</v>
          </cell>
          <cell r="R2932">
            <v>1.0325058936681699</v>
          </cell>
          <cell r="S2932" t="e">
            <v>#VALUE!</v>
          </cell>
          <cell r="T2932" t="e">
            <v>#VALUE!</v>
          </cell>
        </row>
        <row r="2933">
          <cell r="A2933" t="str">
            <v>GRGL290014C7</v>
          </cell>
          <cell r="B2933" t="str">
            <v>MKP000631001265</v>
          </cell>
          <cell r="C2933" t="str">
            <v/>
          </cell>
          <cell r="D2933" t="str">
            <v>Armário de Cozinha Completa 290cm Branco/Preto/Branco Safira Madesa 14</v>
          </cell>
          <cell r="E2933" t="str">
            <v>SAFIRA/GLAMY</v>
          </cell>
          <cell r="F2933" t="str">
            <v>COZINHA</v>
          </cell>
          <cell r="G2933" t="str">
            <v/>
          </cell>
          <cell r="H2933">
            <v>2999.99</v>
          </cell>
          <cell r="I2933">
            <v>2199.9899999999998</v>
          </cell>
          <cell r="J2933">
            <v>1834.2193</v>
          </cell>
          <cell r="K2933">
            <v>0</v>
          </cell>
          <cell r="L2933">
            <v>1834.2193</v>
          </cell>
          <cell r="M2933">
            <v>0</v>
          </cell>
          <cell r="N2933">
            <v>2199.9899999999998</v>
          </cell>
          <cell r="O2933" t="str">
            <v/>
          </cell>
          <cell r="P2933">
            <v>0</v>
          </cell>
          <cell r="Q2933">
            <v>0.199414922741245</v>
          </cell>
          <cell r="R2933">
            <v>0.199414922741245</v>
          </cell>
          <cell r="S2933" t="e">
            <v>#VALUE!</v>
          </cell>
          <cell r="T2933" t="e">
            <v>#VALUE!</v>
          </cell>
        </row>
        <row r="2934">
          <cell r="A2934" t="str">
            <v>GRTE2900025Z9B</v>
          </cell>
          <cell r="B2934" t="str">
            <v>MKP000631002007</v>
          </cell>
          <cell r="C2934" t="str">
            <v/>
          </cell>
          <cell r="D2934" t="str">
            <v>Armário de Cozinha Completa 290cm Rustic/Branco/Rustic Stella Madesa 02</v>
          </cell>
          <cell r="E2934" t="str">
            <v>STELLA</v>
          </cell>
          <cell r="F2934" t="str">
            <v>COZINHA</v>
          </cell>
          <cell r="G2934" t="str">
            <v/>
          </cell>
          <cell r="H2934">
            <v>2299.9899999999998</v>
          </cell>
          <cell r="I2934">
            <v>2199.9899999999998</v>
          </cell>
          <cell r="J2934">
            <v>1815.6566</v>
          </cell>
          <cell r="K2934">
            <v>0</v>
          </cell>
          <cell r="L2934">
            <v>1815.6566</v>
          </cell>
          <cell r="M2934">
            <v>0</v>
          </cell>
          <cell r="N2934">
            <v>2199.9899999999998</v>
          </cell>
          <cell r="O2934" t="str">
            <v/>
          </cell>
          <cell r="P2934">
            <v>0</v>
          </cell>
          <cell r="Q2934">
            <v>0.21167736233823001</v>
          </cell>
          <cell r="R2934">
            <v>0.21167736233823001</v>
          </cell>
          <cell r="S2934" t="e">
            <v>#VALUE!</v>
          </cell>
          <cell r="T2934" t="e">
            <v>#VALUE!</v>
          </cell>
        </row>
        <row r="2935">
          <cell r="A2935" t="str">
            <v>GREM2290065Z</v>
          </cell>
          <cell r="B2935" t="str">
            <v>MKP000631005174</v>
          </cell>
          <cell r="C2935" t="str">
            <v/>
          </cell>
          <cell r="D2935" t="str">
            <v>Armário de Cozinha Completa 229cm Rustic Emilly Madesa 06</v>
          </cell>
          <cell r="E2935" t="str">
            <v>EMILLY</v>
          </cell>
          <cell r="F2935" t="str">
            <v>COZINHA</v>
          </cell>
          <cell r="G2935" t="str">
            <v/>
          </cell>
          <cell r="H2935">
            <v>1249.99</v>
          </cell>
          <cell r="I2935">
            <v>1149.99</v>
          </cell>
          <cell r="J2935">
            <v>930.74009999999998</v>
          </cell>
          <cell r="K2935">
            <v>0</v>
          </cell>
          <cell r="L2935">
            <v>930.74009999999998</v>
          </cell>
          <cell r="M2935">
            <v>0</v>
          </cell>
          <cell r="N2935">
            <v>1149.99</v>
          </cell>
          <cell r="O2935" t="str">
            <v/>
          </cell>
          <cell r="P2935">
            <v>0</v>
          </cell>
          <cell r="Q2935">
            <v>0.23556511640575101</v>
          </cell>
          <cell r="R2935">
            <v>0.23556511640575101</v>
          </cell>
          <cell r="S2935" t="e">
            <v>#VALUE!</v>
          </cell>
          <cell r="T2935" t="e">
            <v>#VALUE!</v>
          </cell>
        </row>
        <row r="2936">
          <cell r="A2936" t="str">
            <v>GRGL270009A8</v>
          </cell>
          <cell r="B2936" t="str">
            <v>MKP000631001215</v>
          </cell>
          <cell r="C2936" t="str">
            <v/>
          </cell>
          <cell r="D2936" t="str">
            <v>Armário de Cozinha Completa 270cm Branco/Rustic/Branco Jade Madesa 09</v>
          </cell>
          <cell r="E2936" t="str">
            <v>JADE/GLAMY</v>
          </cell>
          <cell r="F2936" t="str">
            <v>COZINHA</v>
          </cell>
          <cell r="G2936" t="str">
            <v/>
          </cell>
          <cell r="H2936">
            <v>2699.99</v>
          </cell>
          <cell r="I2936">
            <v>2099.9899999999998</v>
          </cell>
          <cell r="J2936">
            <v>1727.3339000000001</v>
          </cell>
          <cell r="K2936">
            <v>0</v>
          </cell>
          <cell r="L2936">
            <v>1727.3339000000001</v>
          </cell>
          <cell r="M2936">
            <v>0</v>
          </cell>
          <cell r="N2936">
            <v>2099.9899999999998</v>
          </cell>
          <cell r="O2936" t="str">
            <v/>
          </cell>
          <cell r="P2936">
            <v>0</v>
          </cell>
          <cell r="Q2936">
            <v>0.21574062779639799</v>
          </cell>
          <cell r="R2936">
            <v>0.21574062779639799</v>
          </cell>
          <cell r="S2936" t="e">
            <v>#VALUE!</v>
          </cell>
          <cell r="T2936" t="e">
            <v>#VALUE!</v>
          </cell>
        </row>
        <row r="2937">
          <cell r="A2937" t="str">
            <v>GRAG31000173</v>
          </cell>
          <cell r="B2937" t="str">
            <v>MKP000631003092</v>
          </cell>
          <cell r="C2937" t="str">
            <v/>
          </cell>
          <cell r="D2937" t="str">
            <v>Armário de Cozinha Completa 310cm Branco/Preto Agata Madesa 01</v>
          </cell>
          <cell r="E2937" t="str">
            <v>ÁGATA</v>
          </cell>
          <cell r="F2937" t="str">
            <v>COZINHA</v>
          </cell>
          <cell r="G2937" t="str">
            <v/>
          </cell>
          <cell r="H2937">
            <v>2499.9899999999998</v>
          </cell>
          <cell r="I2937">
            <v>2399.9899999999998</v>
          </cell>
          <cell r="J2937">
            <v>1961.4876999999999</v>
          </cell>
          <cell r="K2937">
            <v>0</v>
          </cell>
          <cell r="L2937">
            <v>1961.4876999999999</v>
          </cell>
          <cell r="M2937">
            <v>0</v>
          </cell>
          <cell r="N2937">
            <v>2399.9899999999998</v>
          </cell>
          <cell r="O2937" t="str">
            <v/>
          </cell>
          <cell r="P2937">
            <v>0</v>
          </cell>
          <cell r="Q2937">
            <v>0.22355597743488301</v>
          </cell>
          <cell r="R2937">
            <v>0.22355597743488301</v>
          </cell>
          <cell r="S2937" t="e">
            <v>#VALUE!</v>
          </cell>
          <cell r="T2937" t="e">
            <v>#VALUE!</v>
          </cell>
        </row>
        <row r="2938">
          <cell r="A2938" t="str">
            <v>GCSM44800109</v>
          </cell>
          <cell r="B2938" t="str">
            <v>MKP000631001757</v>
          </cell>
          <cell r="C2938" t="str">
            <v/>
          </cell>
          <cell r="D2938" t="str">
            <v>Armário de Cozinha Completa de Canto 100% MDF 448cm Branco Smart Madesa 01</v>
          </cell>
          <cell r="E2938" t="str">
            <v>SMART</v>
          </cell>
          <cell r="F2938" t="str">
            <v>COZINHA</v>
          </cell>
          <cell r="G2938" t="str">
            <v/>
          </cell>
          <cell r="H2938">
            <v>2699.99</v>
          </cell>
          <cell r="I2938">
            <v>2599.9899999999998</v>
          </cell>
          <cell r="J2938">
            <v>2058.8791999999999</v>
          </cell>
          <cell r="K2938">
            <v>0</v>
          </cell>
          <cell r="L2938">
            <v>2058.8791999999999</v>
          </cell>
          <cell r="M2938">
            <v>0</v>
          </cell>
          <cell r="N2938">
            <v>2599.9899999999998</v>
          </cell>
          <cell r="O2938" t="str">
            <v>MADEIRAMADEIRA</v>
          </cell>
          <cell r="P2938">
            <v>2489.9899999999998</v>
          </cell>
          <cell r="Q2938">
            <v>0.26281813911180402</v>
          </cell>
          <cell r="R2938">
            <v>0.26281813911180402</v>
          </cell>
          <cell r="S2938" t="e">
            <v>#VALUE!</v>
          </cell>
          <cell r="T2938" t="e">
            <v>#VALUE!</v>
          </cell>
        </row>
        <row r="2939">
          <cell r="A2939" t="str">
            <v>MDES020020099B</v>
          </cell>
          <cell r="B2939" t="str">
            <v>MKP000631002780</v>
          </cell>
          <cell r="C2939" t="str">
            <v/>
          </cell>
          <cell r="D2939" t="str">
            <v>Rack Madesa Cancun com Pés e Painel para TV até 65 Polegadas Branco/Branco 099B</v>
          </cell>
          <cell r="E2939" t="str">
            <v>CANCUN</v>
          </cell>
          <cell r="F2939" t="str">
            <v>SALA DE ESTAR</v>
          </cell>
          <cell r="G2939" t="str">
            <v/>
          </cell>
          <cell r="H2939">
            <v>699.99</v>
          </cell>
          <cell r="I2939">
            <v>599.99</v>
          </cell>
          <cell r="J2939">
            <v>470.45490000000001</v>
          </cell>
          <cell r="K2939">
            <v>0</v>
          </cell>
          <cell r="L2939">
            <v>470.45490000000001</v>
          </cell>
          <cell r="M2939">
            <v>0</v>
          </cell>
          <cell r="N2939">
            <v>599.99</v>
          </cell>
          <cell r="O2939" t="str">
            <v/>
          </cell>
          <cell r="P2939">
            <v>0</v>
          </cell>
          <cell r="Q2939">
            <v>0.27534010167605799</v>
          </cell>
          <cell r="R2939">
            <v>0.27534010167605799</v>
          </cell>
          <cell r="S2939" t="e">
            <v>#VALUE!</v>
          </cell>
          <cell r="T2939" t="e">
            <v>#VALUE!</v>
          </cell>
        </row>
        <row r="2940">
          <cell r="A2940" t="str">
            <v>GRAG3500017K</v>
          </cell>
          <cell r="B2940" t="str">
            <v>MKP000631004455</v>
          </cell>
          <cell r="C2940" t="str">
            <v/>
          </cell>
          <cell r="D2940" t="str">
            <v>Armário de Cozinha Completa 350cm Rustic/Preto Agata Madesa 01</v>
          </cell>
          <cell r="E2940" t="str">
            <v>ÁGATA</v>
          </cell>
          <cell r="F2940" t="str">
            <v>COZINHA</v>
          </cell>
          <cell r="G2940" t="str">
            <v/>
          </cell>
          <cell r="H2940">
            <v>2029.99</v>
          </cell>
          <cell r="I2940">
            <v>1999.99</v>
          </cell>
          <cell r="J2940">
            <v>1577.7422999999999</v>
          </cell>
          <cell r="K2940">
            <v>0</v>
          </cell>
          <cell r="L2940">
            <v>1577.7422999999999</v>
          </cell>
          <cell r="M2940">
            <v>0</v>
          </cell>
          <cell r="N2940">
            <v>1999.99</v>
          </cell>
          <cell r="O2940" t="str">
            <v/>
          </cell>
          <cell r="P2940">
            <v>0</v>
          </cell>
          <cell r="Q2940">
            <v>0.26762779954622501</v>
          </cell>
          <cell r="R2940">
            <v>0.26762779954622501</v>
          </cell>
          <cell r="S2940" t="e">
            <v>#VALUE!</v>
          </cell>
          <cell r="T2940" t="e">
            <v>#VALUE!</v>
          </cell>
        </row>
        <row r="2941">
          <cell r="A2941" t="str">
            <v>XA10945Z2G</v>
          </cell>
          <cell r="B2941" t="str">
            <v>MKP000631001621</v>
          </cell>
          <cell r="C2941" t="str">
            <v/>
          </cell>
          <cell r="D2941" t="str">
            <v>Guarda-Roupa Infantil Madesa Bento 2 Portas de Correr 2 Gavetas Rustic</v>
          </cell>
          <cell r="E2941" t="str">
            <v>BENTO</v>
          </cell>
          <cell r="F2941" t="str">
            <v>QUARTO</v>
          </cell>
          <cell r="G2941" t="str">
            <v/>
          </cell>
          <cell r="H2941">
            <v>969.99</v>
          </cell>
          <cell r="I2941">
            <v>729.99</v>
          </cell>
          <cell r="J2941">
            <v>563.84609999999998</v>
          </cell>
          <cell r="K2941">
            <v>0</v>
          </cell>
          <cell r="L2941">
            <v>563.84609999999998</v>
          </cell>
          <cell r="M2941">
            <v>0</v>
          </cell>
          <cell r="N2941">
            <v>729.99</v>
          </cell>
          <cell r="O2941" t="str">
            <v/>
          </cell>
          <cell r="P2941">
            <v>0</v>
          </cell>
          <cell r="Q2941">
            <v>0.29466178803045701</v>
          </cell>
          <cell r="R2941">
            <v>0.29466178803045701</v>
          </cell>
          <cell r="S2941" t="e">
            <v>#VALUE!</v>
          </cell>
          <cell r="T2941" t="e">
            <v>#VALUE!</v>
          </cell>
        </row>
        <row r="2942">
          <cell r="A2942" t="str">
            <v>MDJA0401457KOXF</v>
          </cell>
          <cell r="B2942" t="str">
            <v>MKP000631006079</v>
          </cell>
          <cell r="C2942" t="str">
            <v/>
          </cell>
          <cell r="D2942" t="str">
            <v>Conjunto Sala de Jantar Mesa Tampo de Vidro 4 Cadeiras Rustic/Preto/Oxford Aryeli Madesa</v>
          </cell>
          <cell r="E2942" t="str">
            <v>ARYELI</v>
          </cell>
          <cell r="F2942" t="str">
            <v>SALA DE JANTAR</v>
          </cell>
          <cell r="G2942">
            <v>4256</v>
          </cell>
          <cell r="H2942">
            <v>1639.99</v>
          </cell>
          <cell r="I2942">
            <v>1539.99</v>
          </cell>
          <cell r="J2942">
            <v>1142.6796999999999</v>
          </cell>
          <cell r="K2942">
            <v>0</v>
          </cell>
          <cell r="L2942">
            <v>1142.6796999999999</v>
          </cell>
          <cell r="M2942">
            <v>0</v>
          </cell>
          <cell r="N2942">
            <v>1539.99</v>
          </cell>
          <cell r="O2942" t="str">
            <v>MADEIRAMADEIRA</v>
          </cell>
          <cell r="P2942">
            <v>1499.99</v>
          </cell>
          <cell r="Q2942">
            <v>0.34770049734846997</v>
          </cell>
          <cell r="R2942">
            <v>0.34770049734846997</v>
          </cell>
          <cell r="S2942" t="e">
            <v>#VALUE!</v>
          </cell>
          <cell r="T2942" t="e">
            <v>#VALUE!</v>
          </cell>
        </row>
        <row r="2943">
          <cell r="A2943" t="str">
            <v>GRAG2700087G</v>
          </cell>
          <cell r="B2943" t="str">
            <v>MKP000631005421</v>
          </cell>
          <cell r="C2943" t="str">
            <v/>
          </cell>
          <cell r="D2943" t="str">
            <v>Armário de Cozinha Completa 270cm Rustic/Crema Agata Madesa 08</v>
          </cell>
          <cell r="E2943" t="str">
            <v>ÁGATA</v>
          </cell>
          <cell r="F2943" t="str">
            <v>COZINHA</v>
          </cell>
          <cell r="G2943" t="str">
            <v/>
          </cell>
          <cell r="H2943">
            <v>2099.9899999999998</v>
          </cell>
          <cell r="I2943">
            <v>2099.9899999999998</v>
          </cell>
          <cell r="J2943">
            <v>1532.6162999999999</v>
          </cell>
          <cell r="K2943">
            <v>0</v>
          </cell>
          <cell r="L2943">
            <v>1532.6162999999999</v>
          </cell>
          <cell r="M2943">
            <v>0</v>
          </cell>
          <cell r="N2943">
            <v>2099.9899999999998</v>
          </cell>
          <cell r="O2943" t="str">
            <v/>
          </cell>
          <cell r="P2943">
            <v>0</v>
          </cell>
          <cell r="Q2943">
            <v>0.37019944261326199</v>
          </cell>
          <cell r="R2943">
            <v>0.37019944261326199</v>
          </cell>
          <cell r="S2943" t="e">
            <v>#VALUE!</v>
          </cell>
          <cell r="T2943" t="e">
            <v>#VALUE!</v>
          </cell>
        </row>
        <row r="2944">
          <cell r="A2944" t="str">
            <v>XAMDFC020001D8</v>
          </cell>
          <cell r="B2944" t="str">
            <v>MKP000631003382</v>
          </cell>
          <cell r="C2944" t="str">
            <v/>
          </cell>
          <cell r="D2944" t="str">
            <v>Mesa para Computador Gamer e Painel para TV até 50 Madesa Preto/Rustic</v>
          </cell>
          <cell r="E2944" t="str">
            <v>GAMER</v>
          </cell>
          <cell r="F2944" t="str">
            <v>ESCRITÓRIO</v>
          </cell>
          <cell r="G2944" t="str">
            <v/>
          </cell>
          <cell r="H2944">
            <v>699.99</v>
          </cell>
          <cell r="I2944">
            <v>469.99</v>
          </cell>
          <cell r="J2944">
            <v>340.625</v>
          </cell>
          <cell r="K2944">
            <v>0</v>
          </cell>
          <cell r="L2944">
            <v>340.625</v>
          </cell>
          <cell r="M2944">
            <v>0</v>
          </cell>
          <cell r="N2944">
            <v>469.99</v>
          </cell>
          <cell r="O2944" t="str">
            <v/>
          </cell>
          <cell r="P2944">
            <v>0</v>
          </cell>
          <cell r="Q2944">
            <v>0.37978715596330298</v>
          </cell>
          <cell r="R2944">
            <v>0.37978715596330298</v>
          </cell>
          <cell r="S2944" t="e">
            <v>#VALUE!</v>
          </cell>
          <cell r="T2944" t="e">
            <v>#VALUE!</v>
          </cell>
        </row>
        <row r="2945">
          <cell r="A2945" t="str">
            <v>G251206EGL</v>
          </cell>
          <cell r="B2945" t="str">
            <v>MKP000631000848</v>
          </cell>
          <cell r="C2945" t="str">
            <v/>
          </cell>
          <cell r="D2945" t="str">
            <v>Armário Aéreo Madesa Glamy 120 cm 2 Portas com Vidro Rustic/Branco</v>
          </cell>
          <cell r="E2945" t="str">
            <v>GLAMY</v>
          </cell>
          <cell r="F2945" t="str">
            <v>MODULAÇÃO</v>
          </cell>
          <cell r="G2945" t="str">
            <v/>
          </cell>
          <cell r="H2945">
            <v>949.99</v>
          </cell>
          <cell r="I2945">
            <v>529.99</v>
          </cell>
          <cell r="J2945">
            <v>346.32569999999998</v>
          </cell>
          <cell r="K2945">
            <v>0</v>
          </cell>
          <cell r="L2945">
            <v>346.32569999999998</v>
          </cell>
          <cell r="M2945">
            <v>0</v>
          </cell>
          <cell r="N2945">
            <v>529.99</v>
          </cell>
          <cell r="O2945" t="str">
            <v/>
          </cell>
          <cell r="P2945">
            <v>0</v>
          </cell>
          <cell r="Q2945">
            <v>0.53032246812754602</v>
          </cell>
          <cell r="R2945">
            <v>0.53032246812754602</v>
          </cell>
          <cell r="S2945" t="e">
            <v>#VALUE!</v>
          </cell>
          <cell r="T2945" t="e">
            <v>#VALUE!</v>
          </cell>
        </row>
        <row r="2946">
          <cell r="A2946" t="str">
            <v>G246006EGL</v>
          </cell>
          <cell r="B2946" t="str">
            <v>MKP000631000838</v>
          </cell>
          <cell r="C2946" t="str">
            <v/>
          </cell>
          <cell r="D2946" t="str">
            <v>Balcão Madesa Glamy 60 cm 1 Porta Rustic/Branco</v>
          </cell>
          <cell r="E2946" t="str">
            <v>GLAMY</v>
          </cell>
          <cell r="F2946" t="str">
            <v>MODULAÇÃO</v>
          </cell>
          <cell r="G2946" t="str">
            <v/>
          </cell>
          <cell r="H2946">
            <v>819.99</v>
          </cell>
          <cell r="I2946">
            <v>419.99</v>
          </cell>
          <cell r="J2946">
            <v>262.66820000000001</v>
          </cell>
          <cell r="K2946">
            <v>0</v>
          </cell>
          <cell r="L2946">
            <v>262.66820000000001</v>
          </cell>
          <cell r="M2946">
            <v>0</v>
          </cell>
          <cell r="N2946">
            <v>419.99</v>
          </cell>
          <cell r="O2946" t="str">
            <v/>
          </cell>
          <cell r="P2946">
            <v>0</v>
          </cell>
          <cell r="Q2946">
            <v>0.59893736660928099</v>
          </cell>
          <cell r="R2946">
            <v>0.59893736660928099</v>
          </cell>
          <cell r="S2946" t="e">
            <v>#VALUE!</v>
          </cell>
          <cell r="T2946" t="e">
            <v>#VALUE!</v>
          </cell>
        </row>
        <row r="2947">
          <cell r="A2947" t="str">
            <v>G254009RLX</v>
          </cell>
          <cell r="B2947" t="str">
            <v>MKP000631003231</v>
          </cell>
          <cell r="C2947" t="str">
            <v/>
          </cell>
          <cell r="D2947" t="str">
            <v>Armário Aéreo Madesa Lux 40 cm 1 Porta Branco/Cinza</v>
          </cell>
          <cell r="E2947" t="str">
            <v>LUX</v>
          </cell>
          <cell r="F2947" t="str">
            <v>MODULAÇÃO</v>
          </cell>
          <cell r="G2947" t="str">
            <v/>
          </cell>
          <cell r="H2947">
            <v>789.99</v>
          </cell>
          <cell r="I2947">
            <v>439.99</v>
          </cell>
          <cell r="J2947">
            <v>256.58600000000001</v>
          </cell>
          <cell r="K2947">
            <v>0</v>
          </cell>
          <cell r="L2947">
            <v>256.58600000000001</v>
          </cell>
          <cell r="M2947">
            <v>0</v>
          </cell>
          <cell r="N2947">
            <v>439.99</v>
          </cell>
          <cell r="O2947" t="str">
            <v>LOJA</v>
          </cell>
          <cell r="P2947">
            <v>429.99</v>
          </cell>
          <cell r="Q2947">
            <v>0.71478568589088998</v>
          </cell>
          <cell r="R2947">
            <v>0.71478568589088998</v>
          </cell>
          <cell r="S2947" t="e">
            <v>#VALUE!</v>
          </cell>
          <cell r="T2947" t="e">
            <v>#VALUE!</v>
          </cell>
        </row>
        <row r="2948">
          <cell r="A2948" t="str">
            <v>G270809BGL</v>
          </cell>
          <cell r="B2948" t="str">
            <v>MKP000631003349</v>
          </cell>
          <cell r="C2948" t="str">
            <v/>
          </cell>
          <cell r="D2948" t="str">
            <v>Porta-Geladeira Madesa Glamy 1 Porta Basculante Branco/Rustic</v>
          </cell>
          <cell r="E2948" t="str">
            <v>GLAMY</v>
          </cell>
          <cell r="F2948" t="str">
            <v>MODULAÇÃO</v>
          </cell>
          <cell r="G2948" t="str">
            <v/>
          </cell>
          <cell r="H2948">
            <v>979.99</v>
          </cell>
          <cell r="I2948">
            <v>629.99</v>
          </cell>
          <cell r="J2948">
            <v>365.48790000000002</v>
          </cell>
          <cell r="K2948">
            <v>0</v>
          </cell>
          <cell r="L2948">
            <v>365.48790000000002</v>
          </cell>
          <cell r="M2948">
            <v>0</v>
          </cell>
          <cell r="N2948">
            <v>629.99</v>
          </cell>
          <cell r="O2948" t="str">
            <v/>
          </cell>
          <cell r="P2948">
            <v>0</v>
          </cell>
          <cell r="Q2948">
            <v>0.72369591442014902</v>
          </cell>
          <cell r="R2948">
            <v>0.72369591442014902</v>
          </cell>
          <cell r="S2948" t="e">
            <v>#VALUE!</v>
          </cell>
          <cell r="T2948" t="e">
            <v>#VALUE!</v>
          </cell>
        </row>
        <row r="2949">
          <cell r="A2949" t="str">
            <v>G2580073AG</v>
          </cell>
          <cell r="B2949" t="str">
            <v>MKP000631003050</v>
          </cell>
          <cell r="C2949" t="str">
            <v/>
          </cell>
          <cell r="D2949" t="str">
            <v>Armário Aéreo Madesa Agata 80 cm 2 Portas Branco/Preto</v>
          </cell>
          <cell r="E2949" t="str">
            <v>ÁGATA</v>
          </cell>
          <cell r="F2949" t="str">
            <v>MODULAÇÃO</v>
          </cell>
          <cell r="G2949" t="str">
            <v/>
          </cell>
          <cell r="H2949">
            <v>699.99</v>
          </cell>
          <cell r="I2949">
            <v>439.99</v>
          </cell>
          <cell r="J2949">
            <v>252.3895</v>
          </cell>
          <cell r="K2949">
            <v>0</v>
          </cell>
          <cell r="L2949">
            <v>252.3895</v>
          </cell>
          <cell r="M2949">
            <v>0</v>
          </cell>
          <cell r="N2949">
            <v>439.99</v>
          </cell>
          <cell r="O2949" t="str">
            <v/>
          </cell>
          <cell r="P2949">
            <v>0</v>
          </cell>
          <cell r="Q2949">
            <v>0.74329756190332796</v>
          </cell>
          <cell r="R2949">
            <v>0.74329756190332796</v>
          </cell>
          <cell r="S2949" t="e">
            <v>#VALUE!</v>
          </cell>
          <cell r="T2949" t="e">
            <v>#VALUE!</v>
          </cell>
        </row>
        <row r="2950">
          <cell r="A2950" t="str">
            <v>G257526ETE</v>
          </cell>
          <cell r="B2950" t="str">
            <v>MKP000631002143</v>
          </cell>
          <cell r="C2950" t="str">
            <v/>
          </cell>
          <cell r="D2950" t="str">
            <v>Armário Aéreo de Canto Madesa Stella 1 Porta Rustic/Branco</v>
          </cell>
          <cell r="E2950" t="str">
            <v>STELLA</v>
          </cell>
          <cell r="F2950" t="str">
            <v>MODULAÇÃO</v>
          </cell>
          <cell r="G2950" t="str">
            <v/>
          </cell>
          <cell r="H2950">
            <v>739.99</v>
          </cell>
          <cell r="I2950">
            <v>419.99</v>
          </cell>
          <cell r="J2950">
            <v>236.3338</v>
          </cell>
          <cell r="K2950">
            <v>0</v>
          </cell>
          <cell r="L2950">
            <v>236.3338</v>
          </cell>
          <cell r="M2950">
            <v>0</v>
          </cell>
          <cell r="N2950">
            <v>419.99</v>
          </cell>
          <cell r="O2950" t="str">
            <v/>
          </cell>
          <cell r="P2950">
            <v>0</v>
          </cell>
          <cell r="Q2950">
            <v>0.77710509457386101</v>
          </cell>
          <cell r="R2950">
            <v>0.77710509457386101</v>
          </cell>
          <cell r="S2950" t="e">
            <v>#VALUE!</v>
          </cell>
          <cell r="T2950" t="e">
            <v>#VALUE!</v>
          </cell>
        </row>
        <row r="2951">
          <cell r="A2951" t="str">
            <v>G257007GAG</v>
          </cell>
          <cell r="B2951" t="str">
            <v>MKP000631005403</v>
          </cell>
          <cell r="C2951" t="str">
            <v/>
          </cell>
          <cell r="D2951" t="str">
            <v>Armário Aéreo 70 cm 2 Portas Rustic/Crema Agata Madesa</v>
          </cell>
          <cell r="E2951" t="str">
            <v>ÁGATA</v>
          </cell>
          <cell r="F2951" t="str">
            <v>MODULAÇÃO</v>
          </cell>
          <cell r="G2951" t="str">
            <v/>
          </cell>
          <cell r="H2951">
            <v>559.99</v>
          </cell>
          <cell r="I2951">
            <v>459.99</v>
          </cell>
          <cell r="J2951">
            <v>244.06190000000001</v>
          </cell>
          <cell r="K2951">
            <v>0</v>
          </cell>
          <cell r="L2951">
            <v>244.06190000000001</v>
          </cell>
          <cell r="M2951">
            <v>0</v>
          </cell>
          <cell r="N2951">
            <v>459.99</v>
          </cell>
          <cell r="O2951" t="str">
            <v/>
          </cell>
          <cell r="P2951">
            <v>0</v>
          </cell>
          <cell r="Q2951">
            <v>0.88472678447557795</v>
          </cell>
          <cell r="R2951">
            <v>0.88472678447557795</v>
          </cell>
          <cell r="S2951" t="e">
            <v>#VALUE!</v>
          </cell>
          <cell r="T2951" t="e">
            <v>#VALUE!</v>
          </cell>
        </row>
        <row r="2952">
          <cell r="A2952" t="str">
            <v>GRLX240003H8</v>
          </cell>
          <cell r="B2952" t="str">
            <v>MKP000631003775</v>
          </cell>
          <cell r="C2952" t="str">
            <v/>
          </cell>
          <cell r="D2952" t="str">
            <v>Armário de Cozinha Completa 240cm Rustic Branco Veludo Lux Madesa 03</v>
          </cell>
          <cell r="E2952" t="str">
            <v>LUX</v>
          </cell>
          <cell r="F2952" t="str">
            <v>COZINHA</v>
          </cell>
          <cell r="G2952" t="str">
            <v/>
          </cell>
          <cell r="H2952">
            <v>3819.99</v>
          </cell>
          <cell r="I2952">
            <v>3729.99</v>
          </cell>
          <cell r="J2952">
            <v>1934.6628000000001</v>
          </cell>
          <cell r="K2952">
            <v>0</v>
          </cell>
          <cell r="L2952">
            <v>1934.6628000000001</v>
          </cell>
          <cell r="M2952">
            <v>0</v>
          </cell>
          <cell r="N2952">
            <v>3729.99</v>
          </cell>
          <cell r="O2952" t="str">
            <v>LOJA</v>
          </cell>
          <cell r="P2952">
            <v>3279.99</v>
          </cell>
          <cell r="Q2952">
            <v>0.92797938741572905</v>
          </cell>
          <cell r="R2952">
            <v>0.92797938741572905</v>
          </cell>
          <cell r="S2952" t="e">
            <v>#VALUE!</v>
          </cell>
          <cell r="T2952" t="e">
            <v>#VALUE!</v>
          </cell>
        </row>
        <row r="2953">
          <cell r="A2953" t="str">
            <v>52865Z2A</v>
          </cell>
          <cell r="B2953" t="str">
            <v>MKP000631000103</v>
          </cell>
          <cell r="C2953" t="str">
            <v/>
          </cell>
          <cell r="D2953" t="str">
            <v>Mesa de Jantar Madesa Quadrada Tampo de Madeira 5286A Rustic</v>
          </cell>
          <cell r="E2953">
            <v>5286</v>
          </cell>
          <cell r="F2953" t="str">
            <v>SALA DE JANTAR</v>
          </cell>
          <cell r="G2953" t="str">
            <v/>
          </cell>
          <cell r="H2953">
            <v>869.99</v>
          </cell>
          <cell r="I2953">
            <v>739.99</v>
          </cell>
          <cell r="J2953">
            <v>354.76229999999998</v>
          </cell>
          <cell r="K2953">
            <v>0</v>
          </cell>
          <cell r="L2953">
            <v>354.76229999999998</v>
          </cell>
          <cell r="M2953">
            <v>0</v>
          </cell>
          <cell r="N2953">
            <v>739.99</v>
          </cell>
          <cell r="O2953" t="str">
            <v/>
          </cell>
          <cell r="P2953">
            <v>0</v>
          </cell>
          <cell r="Q2953">
            <v>1.08587552848767</v>
          </cell>
          <cell r="R2953">
            <v>1.08587552848767</v>
          </cell>
          <cell r="S2953" t="e">
            <v>#VALUE!</v>
          </cell>
          <cell r="T2953" t="e">
            <v>#VALUE!</v>
          </cell>
        </row>
        <row r="2954">
          <cell r="A2954" t="str">
            <v>G244019BGL</v>
          </cell>
          <cell r="B2954" t="str">
            <v>MKP000631000835</v>
          </cell>
          <cell r="C2954" t="str">
            <v/>
          </cell>
          <cell r="D2954" t="str">
            <v>Balcão Madesa Glamy 40 cm 3 Gavetas Branco/Rustic</v>
          </cell>
          <cell r="E2954" t="str">
            <v>GLAMY</v>
          </cell>
          <cell r="F2954" t="str">
            <v>MODULAÇÃO</v>
          </cell>
          <cell r="G2954" t="str">
            <v/>
          </cell>
          <cell r="H2954">
            <v>979.99</v>
          </cell>
          <cell r="I2954">
            <v>529.99</v>
          </cell>
          <cell r="J2954">
            <v>348.39670000000001</v>
          </cell>
          <cell r="K2954">
            <v>0</v>
          </cell>
          <cell r="L2954">
            <v>348.39670000000001</v>
          </cell>
          <cell r="M2954">
            <v>0</v>
          </cell>
          <cell r="N2954">
            <v>529.99</v>
          </cell>
          <cell r="O2954" t="str">
            <v/>
          </cell>
          <cell r="P2954">
            <v>0</v>
          </cell>
          <cell r="Q2954">
            <v>0.52122566028897499</v>
          </cell>
          <cell r="R2954">
            <v>0.52122566028897499</v>
          </cell>
          <cell r="S2954" t="e">
            <v>#VALUE!</v>
          </cell>
          <cell r="T2954" t="e">
            <v>#VALUE!</v>
          </cell>
        </row>
        <row r="2955">
          <cell r="A2955" t="str">
            <v>GCEM3250035Z</v>
          </cell>
          <cell r="B2955" t="str">
            <v>MKP000631002067</v>
          </cell>
          <cell r="C2955" t="str">
            <v/>
          </cell>
          <cell r="D2955" t="str">
            <v>Armário de Cozinha Completa de Canto 325cm Rustic Emilly Space Madesa 03</v>
          </cell>
          <cell r="E2955" t="str">
            <v>SPACE/EMILLY</v>
          </cell>
          <cell r="F2955" t="str">
            <v>COZINHA</v>
          </cell>
          <cell r="G2955" t="str">
            <v/>
          </cell>
          <cell r="H2955">
            <v>2299.9899999999998</v>
          </cell>
          <cell r="I2955">
            <v>1499.99</v>
          </cell>
          <cell r="J2955">
            <v>1247.0254</v>
          </cell>
          <cell r="K2955">
            <v>0</v>
          </cell>
          <cell r="L2955">
            <v>1247.0254</v>
          </cell>
          <cell r="M2955">
            <v>0</v>
          </cell>
          <cell r="N2955">
            <v>1499.99</v>
          </cell>
          <cell r="O2955" t="str">
            <v/>
          </cell>
          <cell r="P2955">
            <v>0</v>
          </cell>
          <cell r="Q2955">
            <v>0.202854408579007</v>
          </cell>
          <cell r="R2955">
            <v>0.202854408579007</v>
          </cell>
          <cell r="S2955" t="e">
            <v>#VALUE!</v>
          </cell>
          <cell r="T2955" t="e">
            <v>#VALUE!</v>
          </cell>
        </row>
        <row r="2956">
          <cell r="A2956" t="str">
            <v>GREM2290117K</v>
          </cell>
          <cell r="B2956" t="str">
            <v>MKP000631005500</v>
          </cell>
          <cell r="C2956" t="str">
            <v/>
          </cell>
          <cell r="D2956" t="str">
            <v>Armário de Cozinha Compacta 229cm com Pia Rustic/Preto Emilly Madesa 11</v>
          </cell>
          <cell r="E2956" t="str">
            <v>EMILLY</v>
          </cell>
          <cell r="F2956" t="str">
            <v>COZINHA</v>
          </cell>
          <cell r="G2956" t="str">
            <v/>
          </cell>
          <cell r="H2956">
            <v>1639.99</v>
          </cell>
          <cell r="I2956">
            <v>1539.99</v>
          </cell>
          <cell r="J2956">
            <v>1253.4673</v>
          </cell>
          <cell r="K2956">
            <v>0</v>
          </cell>
          <cell r="L2956">
            <v>1253.4673</v>
          </cell>
          <cell r="M2956">
            <v>0</v>
          </cell>
          <cell r="N2956">
            <v>1539.99</v>
          </cell>
          <cell r="O2956" t="str">
            <v/>
          </cell>
          <cell r="P2956">
            <v>0</v>
          </cell>
          <cell r="Q2956">
            <v>0.22858410426821699</v>
          </cell>
          <cell r="R2956">
            <v>0.22858410426821699</v>
          </cell>
          <cell r="S2956" t="e">
            <v>#VALUE!</v>
          </cell>
          <cell r="T2956" t="e">
            <v>#VALUE!</v>
          </cell>
        </row>
        <row r="2957">
          <cell r="A2957" t="str">
            <v>GREM2290087K</v>
          </cell>
          <cell r="B2957" t="str">
            <v>MKP000631005166</v>
          </cell>
          <cell r="C2957" t="str">
            <v/>
          </cell>
          <cell r="D2957" t="str">
            <v>Armário de Cozinha Completa 229cm Rustic/Preto Emilly Madesa 08</v>
          </cell>
          <cell r="E2957" t="str">
            <v>EMILLY</v>
          </cell>
          <cell r="F2957" t="str">
            <v>COZINHA</v>
          </cell>
          <cell r="G2957" t="str">
            <v/>
          </cell>
          <cell r="H2957">
            <v>1259.99</v>
          </cell>
          <cell r="I2957">
            <v>1159.99</v>
          </cell>
          <cell r="J2957">
            <v>937.35640000000001</v>
          </cell>
          <cell r="K2957">
            <v>0</v>
          </cell>
          <cell r="L2957">
            <v>937.35640000000001</v>
          </cell>
          <cell r="M2957">
            <v>0</v>
          </cell>
          <cell r="N2957">
            <v>1159.99</v>
          </cell>
          <cell r="O2957" t="str">
            <v/>
          </cell>
          <cell r="P2957">
            <v>0</v>
          </cell>
          <cell r="Q2957">
            <v>0.237512220538527</v>
          </cell>
          <cell r="R2957">
            <v>0.237512220538527</v>
          </cell>
          <cell r="S2957" t="e">
            <v>#VALUE!</v>
          </cell>
          <cell r="T2957" t="e">
            <v>#VALUE!</v>
          </cell>
        </row>
        <row r="2958">
          <cell r="A2958" t="str">
            <v>11189B1E</v>
          </cell>
          <cell r="B2958" t="str">
            <v>MKP000631002666</v>
          </cell>
          <cell r="C2958" t="str">
            <v/>
          </cell>
          <cell r="D2958" t="str">
            <v>Guarda-Roupa Casal Madesa Istambul 3 Portas de Correr com Espelho 3 Gavetas Branco/Rustic</v>
          </cell>
          <cell r="E2958" t="str">
            <v>ISTAMBUL</v>
          </cell>
          <cell r="F2958" t="str">
            <v>QUARTO</v>
          </cell>
          <cell r="G2958" t="str">
            <v/>
          </cell>
          <cell r="H2958">
            <v>2179.9899999999998</v>
          </cell>
          <cell r="I2958">
            <v>1659.99</v>
          </cell>
          <cell r="J2958">
            <v>1365.1922999999999</v>
          </cell>
          <cell r="K2958">
            <v>0</v>
          </cell>
          <cell r="L2958">
            <v>1365.1922999999999</v>
          </cell>
          <cell r="M2958">
            <v>0</v>
          </cell>
          <cell r="N2958">
            <v>1659.99</v>
          </cell>
          <cell r="O2958" t="str">
            <v/>
          </cell>
          <cell r="P2958">
            <v>0</v>
          </cell>
          <cell r="Q2958">
            <v>0.21593858975032301</v>
          </cell>
          <cell r="R2958">
            <v>0.21593858975032301</v>
          </cell>
          <cell r="S2958" t="e">
            <v>#VALUE!</v>
          </cell>
          <cell r="T2958" t="e">
            <v>#VALUE!</v>
          </cell>
        </row>
        <row r="2959">
          <cell r="A2959" t="str">
            <v>MDJA0401545ZSIM</v>
          </cell>
          <cell r="B2959" t="str">
            <v>MKP000631005359</v>
          </cell>
          <cell r="C2959" t="str">
            <v/>
          </cell>
          <cell r="D2959" t="str">
            <v>Conjunto Sala de Jantar Mesa Tampo de Madeira 4 Cadeiras Rustic/Imperial Keila Madesa</v>
          </cell>
          <cell r="E2959" t="str">
            <v>KEILA</v>
          </cell>
          <cell r="F2959" t="str">
            <v>SALA DE JANTAR</v>
          </cell>
          <cell r="G2959">
            <v>4255</v>
          </cell>
          <cell r="H2959">
            <v>1149.99</v>
          </cell>
          <cell r="I2959">
            <v>1049.99</v>
          </cell>
          <cell r="J2959">
            <v>803.80960000000005</v>
          </cell>
          <cell r="K2959">
            <v>0</v>
          </cell>
          <cell r="L2959">
            <v>803.80960000000005</v>
          </cell>
          <cell r="M2959">
            <v>0</v>
          </cell>
          <cell r="N2959">
            <v>1049.99</v>
          </cell>
          <cell r="O2959" t="str">
            <v/>
          </cell>
          <cell r="P2959">
            <v>0</v>
          </cell>
          <cell r="Q2959">
            <v>0.30626705627800399</v>
          </cell>
          <cell r="R2959">
            <v>0.30626705627800399</v>
          </cell>
          <cell r="S2959" t="e">
            <v>#VALUE!</v>
          </cell>
          <cell r="T2959" t="e">
            <v>#VALUE!</v>
          </cell>
        </row>
        <row r="2960">
          <cell r="A2960" t="str">
            <v>GRAG2200016E</v>
          </cell>
          <cell r="B2960" t="str">
            <v>MKP000631005021</v>
          </cell>
          <cell r="C2960" t="str">
            <v/>
          </cell>
          <cell r="D2960" t="str">
            <v>Armário de Cozinha Completa 220cm Rustic/Branco Agata da Thêmis Madesa</v>
          </cell>
          <cell r="E2960" t="str">
            <v>ÁGATA</v>
          </cell>
          <cell r="F2960" t="str">
            <v>COZINHA</v>
          </cell>
          <cell r="G2960" t="str">
            <v/>
          </cell>
          <cell r="H2960">
            <v>2259.9899999999998</v>
          </cell>
          <cell r="I2960">
            <v>2199.9899999999998</v>
          </cell>
          <cell r="J2960">
            <v>1717.7963999999999</v>
          </cell>
          <cell r="K2960">
            <v>0</v>
          </cell>
          <cell r="L2960">
            <v>1717.7963999999999</v>
          </cell>
          <cell r="M2960">
            <v>0</v>
          </cell>
          <cell r="N2960">
            <v>2199.9899999999998</v>
          </cell>
          <cell r="O2960" t="str">
            <v/>
          </cell>
          <cell r="P2960">
            <v>0</v>
          </cell>
          <cell r="Q2960">
            <v>0.28070474475321999</v>
          </cell>
          <cell r="R2960">
            <v>0.28070474475321999</v>
          </cell>
          <cell r="S2960" t="e">
            <v>#VALUE!</v>
          </cell>
          <cell r="T2960" t="e">
            <v>#VALUE!</v>
          </cell>
        </row>
        <row r="2961">
          <cell r="A2961" t="str">
            <v>MDES020024098N</v>
          </cell>
          <cell r="B2961" t="str">
            <v>MKP000631002860</v>
          </cell>
          <cell r="C2961" t="str">
            <v/>
          </cell>
          <cell r="D2961" t="str">
            <v>Rack Madesa Cancun e Painel para TV até 58 Polegadas Branco/Preto 098N</v>
          </cell>
          <cell r="E2961" t="str">
            <v>CANCUN</v>
          </cell>
          <cell r="F2961" t="str">
            <v>SALA DE ESTAR</v>
          </cell>
          <cell r="G2961" t="str">
            <v/>
          </cell>
          <cell r="H2961">
            <v>689.99</v>
          </cell>
          <cell r="I2961">
            <v>469.99</v>
          </cell>
          <cell r="J2961">
            <v>361.60750000000002</v>
          </cell>
          <cell r="K2961">
            <v>0</v>
          </cell>
          <cell r="L2961">
            <v>361.60750000000002</v>
          </cell>
          <cell r="M2961">
            <v>0</v>
          </cell>
          <cell r="N2961">
            <v>469.99</v>
          </cell>
          <cell r="O2961" t="str">
            <v/>
          </cell>
          <cell r="P2961">
            <v>0</v>
          </cell>
          <cell r="Q2961">
            <v>0.29972414842059403</v>
          </cell>
          <cell r="R2961">
            <v>0.29972414842059403</v>
          </cell>
          <cell r="S2961" t="e">
            <v>#VALUE!</v>
          </cell>
          <cell r="T2961" t="e">
            <v>#VALUE!</v>
          </cell>
        </row>
        <row r="2962">
          <cell r="A2962" t="str">
            <v>MDES0200218N77</v>
          </cell>
          <cell r="B2962" t="str">
            <v>MKP000631001887</v>
          </cell>
          <cell r="C2962" t="str">
            <v/>
          </cell>
          <cell r="D2962" t="str">
            <v>Rack Madesa Cancun com Pés e Painel para TV até 58 Polegadas Preto 8N77</v>
          </cell>
          <cell r="E2962" t="str">
            <v>CANCUN</v>
          </cell>
          <cell r="F2962" t="str">
            <v>SALA DE ESTAR</v>
          </cell>
          <cell r="G2962" t="str">
            <v/>
          </cell>
          <cell r="H2962">
            <v>979.99</v>
          </cell>
          <cell r="I2962">
            <v>469.99</v>
          </cell>
          <cell r="J2962">
            <v>347.0342</v>
          </cell>
          <cell r="K2962">
            <v>0</v>
          </cell>
          <cell r="L2962">
            <v>347.0342</v>
          </cell>
          <cell r="M2962">
            <v>0</v>
          </cell>
          <cell r="N2962">
            <v>469.99</v>
          </cell>
          <cell r="O2962" t="str">
            <v/>
          </cell>
          <cell r="P2962">
            <v>0</v>
          </cell>
          <cell r="Q2962">
            <v>0.35430456133718202</v>
          </cell>
          <cell r="R2962">
            <v>0.35430456133718202</v>
          </cell>
          <cell r="S2962" t="e">
            <v>#VALUE!</v>
          </cell>
          <cell r="T2962" t="e">
            <v>#VALUE!</v>
          </cell>
        </row>
        <row r="2963">
          <cell r="A2963" t="str">
            <v>G241246EAG</v>
          </cell>
          <cell r="B2963" t="str">
            <v>MKP000631004644</v>
          </cell>
          <cell r="C2963" t="str">
            <v/>
          </cell>
          <cell r="D2963" t="str">
            <v>Balcão de Pia Madesa Agata 2 Portas e 3 Gavetas Rustic/Branco</v>
          </cell>
          <cell r="E2963" t="str">
            <v>ÁGATA</v>
          </cell>
          <cell r="F2963" t="str">
            <v>MODULAÇÃO</v>
          </cell>
          <cell r="G2963" t="str">
            <v/>
          </cell>
          <cell r="H2963">
            <v>939.99</v>
          </cell>
          <cell r="I2963">
            <v>729.99</v>
          </cell>
          <cell r="J2963">
            <v>542.59109999999998</v>
          </cell>
          <cell r="K2963">
            <v>0</v>
          </cell>
          <cell r="L2963">
            <v>542.59109999999998</v>
          </cell>
          <cell r="M2963">
            <v>0</v>
          </cell>
          <cell r="N2963">
            <v>729.99</v>
          </cell>
          <cell r="O2963" t="str">
            <v/>
          </cell>
          <cell r="P2963">
            <v>0</v>
          </cell>
          <cell r="Q2963">
            <v>0.34537776237022699</v>
          </cell>
          <cell r="R2963">
            <v>0.34537776237022699</v>
          </cell>
          <cell r="S2963" t="e">
            <v>#VALUE!</v>
          </cell>
          <cell r="T2963" t="e">
            <v>#VALUE!</v>
          </cell>
        </row>
        <row r="2964">
          <cell r="A2964" t="str">
            <v>G24153F9AGFF</v>
          </cell>
          <cell r="B2964" t="str">
            <v>MKP000631005652</v>
          </cell>
          <cell r="C2964" t="str">
            <v/>
          </cell>
          <cell r="D2964" t="str">
            <v>Balcão Gabinete de Pia Madesa Agata 150 cm 2 Portas e 2 Gavetas (Sem Tampo e Pia) Rustic/Cinza</v>
          </cell>
          <cell r="E2964" t="str">
            <v>ÁGATA</v>
          </cell>
          <cell r="F2964" t="str">
            <v>MODULAÇÃO</v>
          </cell>
          <cell r="G2964" t="str">
            <v/>
          </cell>
          <cell r="H2964">
            <v>689.99</v>
          </cell>
          <cell r="I2964">
            <v>649.99</v>
          </cell>
          <cell r="J2964">
            <v>477.38729999999998</v>
          </cell>
          <cell r="K2964">
            <v>0</v>
          </cell>
          <cell r="L2964">
            <v>477.38729999999998</v>
          </cell>
          <cell r="M2964">
            <v>0</v>
          </cell>
          <cell r="N2964">
            <v>649.99</v>
          </cell>
          <cell r="O2964" t="str">
            <v/>
          </cell>
          <cell r="P2964">
            <v>0</v>
          </cell>
          <cell r="Q2964">
            <v>0.36155695805062299</v>
          </cell>
          <cell r="R2964">
            <v>0.36155695805062299</v>
          </cell>
          <cell r="S2964" t="e">
            <v>#VALUE!</v>
          </cell>
          <cell r="T2964" t="e">
            <v>#VALUE!</v>
          </cell>
        </row>
        <row r="2965">
          <cell r="A2965" t="str">
            <v>G248005ZTE</v>
          </cell>
          <cell r="B2965" t="str">
            <v>MKP000631002176</v>
          </cell>
          <cell r="C2965" t="str">
            <v/>
          </cell>
          <cell r="D2965" t="str">
            <v>Balcão Madesa Stella 80 cm 2 Portas Rustic</v>
          </cell>
          <cell r="E2965" t="str">
            <v>STELLA</v>
          </cell>
          <cell r="F2965" t="str">
            <v>MODULAÇÃO</v>
          </cell>
          <cell r="G2965" t="str">
            <v/>
          </cell>
          <cell r="H2965">
            <v>879.99</v>
          </cell>
          <cell r="I2965">
            <v>519.99</v>
          </cell>
          <cell r="J2965">
            <v>332.10120000000001</v>
          </cell>
          <cell r="K2965">
            <v>0</v>
          </cell>
          <cell r="L2965">
            <v>332.10120000000001</v>
          </cell>
          <cell r="M2965">
            <v>0</v>
          </cell>
          <cell r="N2965">
            <v>519.99</v>
          </cell>
          <cell r="O2965" t="str">
            <v/>
          </cell>
          <cell r="P2965">
            <v>0</v>
          </cell>
          <cell r="Q2965">
            <v>0.56575766663896399</v>
          </cell>
          <cell r="R2965">
            <v>0.56575766663896399</v>
          </cell>
          <cell r="S2965" t="e">
            <v>#VALUE!</v>
          </cell>
          <cell r="T2965" t="e">
            <v>#VALUE!</v>
          </cell>
        </row>
        <row r="2966">
          <cell r="A2966" t="str">
            <v>GRLX270001H7</v>
          </cell>
          <cell r="B2966" t="str">
            <v>MKP000631003761</v>
          </cell>
          <cell r="C2966" t="str">
            <v/>
          </cell>
          <cell r="D2966" t="str">
            <v>Armário de Cozinha Completa 270cm Branco Branco Veludo Lux Madesa 01</v>
          </cell>
          <cell r="E2966" t="str">
            <v>LUX</v>
          </cell>
          <cell r="F2966" t="str">
            <v>COZINHA</v>
          </cell>
          <cell r="G2966" t="str">
            <v/>
          </cell>
          <cell r="H2966">
            <v>2729.99</v>
          </cell>
          <cell r="I2966">
            <v>2619.9899999999998</v>
          </cell>
          <cell r="J2966">
            <v>1597.4603999999999</v>
          </cell>
          <cell r="K2966">
            <v>0</v>
          </cell>
          <cell r="L2966">
            <v>1597.4603999999999</v>
          </cell>
          <cell r="M2966">
            <v>0</v>
          </cell>
          <cell r="N2966">
            <v>2619.9899999999998</v>
          </cell>
          <cell r="O2966" t="str">
            <v>LOJA</v>
          </cell>
          <cell r="P2966">
            <v>2289.9899999999998</v>
          </cell>
          <cell r="Q2966">
            <v>0.64009699395365305</v>
          </cell>
          <cell r="R2966">
            <v>0.64009699395365305</v>
          </cell>
          <cell r="S2966" t="e">
            <v>#VALUE!</v>
          </cell>
          <cell r="T2966" t="e">
            <v>#VALUE!</v>
          </cell>
        </row>
        <row r="2967">
          <cell r="A2967" t="str">
            <v>G257527KGL</v>
          </cell>
          <cell r="B2967" t="str">
            <v>MKP000631001294</v>
          </cell>
          <cell r="C2967" t="str">
            <v/>
          </cell>
          <cell r="D2967" t="str">
            <v>Armário Aéreo de Canto Madesa Glamy 1 Porta Rustic/Preto</v>
          </cell>
          <cell r="E2967" t="str">
            <v>GLAMY</v>
          </cell>
          <cell r="F2967" t="str">
            <v>MODULAÇÃO</v>
          </cell>
          <cell r="G2967" t="str">
            <v/>
          </cell>
          <cell r="H2967">
            <v>759.99</v>
          </cell>
          <cell r="I2967">
            <v>429.99</v>
          </cell>
          <cell r="J2967">
            <v>245.51159999999999</v>
          </cell>
          <cell r="K2967">
            <v>0</v>
          </cell>
          <cell r="L2967">
            <v>245.51159999999999</v>
          </cell>
          <cell r="M2967">
            <v>0</v>
          </cell>
          <cell r="N2967">
            <v>429.99</v>
          </cell>
          <cell r="O2967" t="str">
            <v/>
          </cell>
          <cell r="P2967">
            <v>0</v>
          </cell>
          <cell r="Q2967">
            <v>0.75140400697971099</v>
          </cell>
          <cell r="R2967">
            <v>0.75140400697971099</v>
          </cell>
          <cell r="S2967" t="e">
            <v>#VALUE!</v>
          </cell>
          <cell r="T2967" t="e">
            <v>#VALUE!</v>
          </cell>
        </row>
        <row r="2968">
          <cell r="A2968" t="str">
            <v>G22750H7LX</v>
          </cell>
          <cell r="B2968" t="str">
            <v>MKP000631004654</v>
          </cell>
          <cell r="C2968" t="str">
            <v/>
          </cell>
          <cell r="D2968" t="str">
            <v>Balcão de Canto Madesa Lux 1 Porta (Sem Tampo) Branco/Branco Veludo</v>
          </cell>
          <cell r="E2968" t="str">
            <v>LUX</v>
          </cell>
          <cell r="F2968" t="str">
            <v>MODULAÇÃO</v>
          </cell>
          <cell r="G2968" t="str">
            <v/>
          </cell>
          <cell r="H2968">
            <v>939.99</v>
          </cell>
          <cell r="I2968">
            <v>629.99</v>
          </cell>
          <cell r="J2968">
            <v>294.21280000000002</v>
          </cell>
          <cell r="K2968">
            <v>0</v>
          </cell>
          <cell r="L2968">
            <v>294.21280000000002</v>
          </cell>
          <cell r="M2968">
            <v>0</v>
          </cell>
          <cell r="N2968">
            <v>629.99</v>
          </cell>
          <cell r="O2968" t="str">
            <v>LOJA</v>
          </cell>
          <cell r="P2968">
            <v>619.99</v>
          </cell>
          <cell r="Q2968">
            <v>1.14127325527645</v>
          </cell>
          <cell r="R2968">
            <v>1.14127325527645</v>
          </cell>
          <cell r="S2968" t="e">
            <v>#VALUE!</v>
          </cell>
          <cell r="T2968" t="e">
            <v>#VALUE!</v>
          </cell>
        </row>
        <row r="2969">
          <cell r="A2969" t="str">
            <v>MDJA0401755ZSIM</v>
          </cell>
          <cell r="B2969" t="str">
            <v>MKP000631005874</v>
          </cell>
          <cell r="C2969" t="str">
            <v/>
          </cell>
          <cell r="D2969" t="str">
            <v>Conjunto Sala de Jantar Mesa Tampo de Madeira 4 Cadeiras Rustic/Imperial Agnes Madesa</v>
          </cell>
          <cell r="E2969" t="str">
            <v>AGNES</v>
          </cell>
          <cell r="F2969" t="str">
            <v>SALA DE JANTAR</v>
          </cell>
          <cell r="G2969">
            <v>4255</v>
          </cell>
          <cell r="H2969">
            <v>999.99</v>
          </cell>
          <cell r="I2969">
            <v>899.99</v>
          </cell>
          <cell r="J2969">
            <v>729.79859999999996</v>
          </cell>
          <cell r="K2969">
            <v>0</v>
          </cell>
          <cell r="L2969">
            <v>729.79859999999996</v>
          </cell>
          <cell r="M2969">
            <v>0</v>
          </cell>
          <cell r="N2969">
            <v>899.99</v>
          </cell>
          <cell r="O2969" t="str">
            <v/>
          </cell>
          <cell r="P2969">
            <v>0</v>
          </cell>
          <cell r="Q2969">
            <v>0.23320324264803999</v>
          </cell>
          <cell r="R2969">
            <v>0.23320324264803999</v>
          </cell>
          <cell r="S2969" t="e">
            <v>#VALUE!</v>
          </cell>
          <cell r="T2969" t="e">
            <v>#VALUE!</v>
          </cell>
        </row>
        <row r="2970">
          <cell r="A2970" t="str">
            <v>GRTE3300075Z</v>
          </cell>
          <cell r="B2970" t="str">
            <v>MKP000631005953</v>
          </cell>
          <cell r="C2970" t="str">
            <v/>
          </cell>
          <cell r="D2970" t="str">
            <v>Armário de Cozinha Completa 330cm Rustic Stella Madesa 07</v>
          </cell>
          <cell r="E2970" t="str">
            <v>STELLA</v>
          </cell>
          <cell r="F2970" t="str">
            <v>COZINHA</v>
          </cell>
          <cell r="G2970" t="str">
            <v/>
          </cell>
          <cell r="H2970">
            <v>2499.9899999999998</v>
          </cell>
          <cell r="I2970">
            <v>2399.9899999999998</v>
          </cell>
          <cell r="J2970">
            <v>2030.9097999999999</v>
          </cell>
          <cell r="K2970">
            <v>0</v>
          </cell>
          <cell r="L2970">
            <v>2030.9097999999999</v>
          </cell>
          <cell r="M2970">
            <v>0</v>
          </cell>
          <cell r="N2970">
            <v>2399.9899999999998</v>
          </cell>
          <cell r="O2970" t="str">
            <v/>
          </cell>
          <cell r="P2970">
            <v>0</v>
          </cell>
          <cell r="Q2970">
            <v>0.18173145848230199</v>
          </cell>
          <cell r="R2970">
            <v>0.18173145848230199</v>
          </cell>
          <cell r="S2970" t="e">
            <v>#VALUE!</v>
          </cell>
          <cell r="T2970" t="e">
            <v>#VALUE!</v>
          </cell>
        </row>
        <row r="2971">
          <cell r="A2971" t="str">
            <v>GRGL1800087K</v>
          </cell>
          <cell r="B2971" t="str">
            <v>MKP000631004236</v>
          </cell>
          <cell r="C2971" t="str">
            <v/>
          </cell>
          <cell r="D2971" t="str">
            <v>Armário de Cozinha Compacta 180cm Rustic Preto Glamy Madesa 08</v>
          </cell>
          <cell r="E2971" t="str">
            <v>GLAMY</v>
          </cell>
          <cell r="F2971" t="str">
            <v>COZINHA</v>
          </cell>
          <cell r="G2971" t="str">
            <v/>
          </cell>
          <cell r="H2971">
            <v>1599.99</v>
          </cell>
          <cell r="I2971">
            <v>1499.99</v>
          </cell>
          <cell r="J2971">
            <v>1270.7982999999999</v>
          </cell>
          <cell r="K2971">
            <v>0</v>
          </cell>
          <cell r="L2971">
            <v>1270.7982999999999</v>
          </cell>
          <cell r="M2971">
            <v>0</v>
          </cell>
          <cell r="N2971">
            <v>1499.99</v>
          </cell>
          <cell r="O2971" t="str">
            <v/>
          </cell>
          <cell r="P2971">
            <v>0</v>
          </cell>
          <cell r="Q2971">
            <v>0.18035253902999401</v>
          </cell>
          <cell r="R2971">
            <v>0.18035253902999401</v>
          </cell>
          <cell r="S2971" t="e">
            <v>#VALUE!</v>
          </cell>
          <cell r="T2971" t="e">
            <v>#VALUE!</v>
          </cell>
        </row>
        <row r="2972">
          <cell r="A2972" t="str">
            <v>GREM1050047K</v>
          </cell>
          <cell r="B2972" t="str">
            <v>MKP000631006043</v>
          </cell>
          <cell r="C2972" t="str">
            <v/>
          </cell>
          <cell r="D2972" t="str">
            <v>Armário de Cozinha Compacta 105cm com Pia Rustic/Preto Emilly Madesa 04</v>
          </cell>
          <cell r="E2972" t="str">
            <v>EMILLY</v>
          </cell>
          <cell r="F2972" t="str">
            <v>COZINHA</v>
          </cell>
          <cell r="G2972" t="str">
            <v/>
          </cell>
          <cell r="H2972">
            <v>1029.99</v>
          </cell>
          <cell r="I2972">
            <v>929.99</v>
          </cell>
          <cell r="J2972">
            <v>762.91279999999995</v>
          </cell>
          <cell r="K2972">
            <v>0</v>
          </cell>
          <cell r="L2972">
            <v>762.91279999999995</v>
          </cell>
          <cell r="M2972">
            <v>0</v>
          </cell>
          <cell r="N2972">
            <v>929.99</v>
          </cell>
          <cell r="O2972" t="str">
            <v/>
          </cell>
          <cell r="P2972">
            <v>0</v>
          </cell>
          <cell r="Q2972">
            <v>0.21899907826949599</v>
          </cell>
          <cell r="R2972">
            <v>0.21899907826949599</v>
          </cell>
          <cell r="S2972" t="e">
            <v>#VALUE!</v>
          </cell>
          <cell r="T2972" t="e">
            <v>#VALUE!</v>
          </cell>
        </row>
        <row r="2973">
          <cell r="A2973" t="str">
            <v>1095772E</v>
          </cell>
          <cell r="B2973" t="str">
            <v>MKP000631002082</v>
          </cell>
          <cell r="C2973" t="str">
            <v/>
          </cell>
          <cell r="D2973" t="str">
            <v>Guarda-Roupa Casal Madesa Reno 3 Portas de Correr com Espelhos Preto/Branco</v>
          </cell>
          <cell r="E2973" t="str">
            <v>RENO</v>
          </cell>
          <cell r="F2973" t="str">
            <v>QUARTO</v>
          </cell>
          <cell r="G2973" t="str">
            <v/>
          </cell>
          <cell r="H2973">
            <v>1769.99</v>
          </cell>
          <cell r="I2973">
            <v>1399.99</v>
          </cell>
          <cell r="J2973">
            <v>1157.5255</v>
          </cell>
          <cell r="K2973">
            <v>0</v>
          </cell>
          <cell r="L2973">
            <v>1157.5255</v>
          </cell>
          <cell r="M2973">
            <v>0</v>
          </cell>
          <cell r="N2973">
            <v>1399.99</v>
          </cell>
          <cell r="O2973" t="str">
            <v/>
          </cell>
          <cell r="P2973">
            <v>0</v>
          </cell>
          <cell r="Q2973">
            <v>0.209467955565558</v>
          </cell>
          <cell r="R2973">
            <v>0.209467955565558</v>
          </cell>
          <cell r="S2973" t="e">
            <v>#VALUE!</v>
          </cell>
          <cell r="T2973" t="e">
            <v>#VALUE!</v>
          </cell>
        </row>
        <row r="2974">
          <cell r="A2974" t="str">
            <v>XB10639B</v>
          </cell>
          <cell r="B2974" t="str">
            <v>MKP000631001443</v>
          </cell>
          <cell r="C2974" t="str">
            <v/>
          </cell>
          <cell r="D2974" t="str">
            <v>Guarda-Roupa Juvenil 100% MDF Madesa Kevin 3 Portas de Correr Branco/Rustic</v>
          </cell>
          <cell r="E2974" t="str">
            <v>KEVIN</v>
          </cell>
          <cell r="F2974" t="str">
            <v>QUARTO</v>
          </cell>
          <cell r="G2974" t="str">
            <v/>
          </cell>
          <cell r="H2974">
            <v>2469.9899999999998</v>
          </cell>
          <cell r="I2974">
            <v>1899.99</v>
          </cell>
          <cell r="J2974">
            <v>1551.3534</v>
          </cell>
          <cell r="K2974">
            <v>0</v>
          </cell>
          <cell r="L2974">
            <v>1551.3534</v>
          </cell>
          <cell r="M2974">
            <v>0</v>
          </cell>
          <cell r="N2974">
            <v>1899.99</v>
          </cell>
          <cell r="O2974" t="str">
            <v/>
          </cell>
          <cell r="P2974">
            <v>0</v>
          </cell>
          <cell r="Q2974">
            <v>0.22473061263797101</v>
          </cell>
          <cell r="R2974">
            <v>0.22473061263797101</v>
          </cell>
          <cell r="S2974" t="e">
            <v>#VALUE!</v>
          </cell>
          <cell r="T2974" t="e">
            <v>#VALUE!</v>
          </cell>
        </row>
        <row r="2975">
          <cell r="A2975" t="str">
            <v>MDES020015D8D8</v>
          </cell>
          <cell r="B2975" t="str">
            <v>MKP000631002906</v>
          </cell>
          <cell r="C2975" t="str">
            <v/>
          </cell>
          <cell r="D2975" t="str">
            <v>Rack Madesa Dubai com Pés e Painel para TV até 58 Polegadas Preto/Rustic D8D8</v>
          </cell>
          <cell r="E2975" t="str">
            <v>DUBAI</v>
          </cell>
          <cell r="F2975" t="str">
            <v>SALA DE ESTAR</v>
          </cell>
          <cell r="G2975" t="str">
            <v/>
          </cell>
          <cell r="H2975">
            <v>599.99</v>
          </cell>
          <cell r="I2975">
            <v>499.99</v>
          </cell>
          <cell r="J2975">
            <v>355.10019999999997</v>
          </cell>
          <cell r="K2975">
            <v>0</v>
          </cell>
          <cell r="L2975">
            <v>355.10019999999997</v>
          </cell>
          <cell r="M2975">
            <v>0</v>
          </cell>
          <cell r="N2975">
            <v>499.99</v>
          </cell>
          <cell r="O2975" t="str">
            <v/>
          </cell>
          <cell r="P2975">
            <v>0</v>
          </cell>
          <cell r="Q2975">
            <v>0.40802511516467799</v>
          </cell>
          <cell r="R2975">
            <v>0.40802511516467799</v>
          </cell>
          <cell r="S2975" t="e">
            <v>#VALUE!</v>
          </cell>
          <cell r="T2975" t="e">
            <v>#VALUE!</v>
          </cell>
        </row>
        <row r="2976">
          <cell r="A2976" t="str">
            <v>42805Z6XPT</v>
          </cell>
          <cell r="B2976" t="str">
            <v>MKP000631005578</v>
          </cell>
          <cell r="C2976" t="str">
            <v/>
          </cell>
          <cell r="D2976" t="str">
            <v>Kit 6 Cadeiras Rustic/Preto 4280 Madesa</v>
          </cell>
          <cell r="E2976">
            <v>4280</v>
          </cell>
          <cell r="F2976" t="str">
            <v>SALA DE JANTAR</v>
          </cell>
          <cell r="G2976" t="str">
            <v>4280X</v>
          </cell>
          <cell r="H2976">
            <v>639.99</v>
          </cell>
          <cell r="I2976">
            <v>539.99</v>
          </cell>
          <cell r="J2976">
            <v>399.79020000000003</v>
          </cell>
          <cell r="K2976">
            <v>0</v>
          </cell>
          <cell r="L2976">
            <v>399.79020000000003</v>
          </cell>
          <cell r="M2976">
            <v>0</v>
          </cell>
          <cell r="N2976">
            <v>539.99</v>
          </cell>
          <cell r="O2976" t="str">
            <v/>
          </cell>
          <cell r="P2976">
            <v>0</v>
          </cell>
          <cell r="Q2976">
            <v>0.35068343346085001</v>
          </cell>
          <cell r="R2976">
            <v>0.35068343346085001</v>
          </cell>
          <cell r="S2976" t="e">
            <v>#VALUE!</v>
          </cell>
          <cell r="T2976" t="e">
            <v>#VALUE!</v>
          </cell>
        </row>
        <row r="2977">
          <cell r="A2977" t="str">
            <v>G2512173LX</v>
          </cell>
          <cell r="B2977" t="str">
            <v>MKP000631003251</v>
          </cell>
          <cell r="C2977" t="str">
            <v/>
          </cell>
          <cell r="D2977" t="str">
            <v>Armário Aéreo Madesa Lux 120 cm 2 Portas Branco/Preto</v>
          </cell>
          <cell r="E2977" t="str">
            <v>LUX</v>
          </cell>
          <cell r="F2977" t="str">
            <v>MODULAÇÃO</v>
          </cell>
          <cell r="G2977" t="str">
            <v/>
          </cell>
          <cell r="H2977">
            <v>1259.99</v>
          </cell>
          <cell r="I2977">
            <v>919.99</v>
          </cell>
          <cell r="J2977">
            <v>563.4864</v>
          </cell>
          <cell r="K2977">
            <v>0</v>
          </cell>
          <cell r="L2977">
            <v>563.4864</v>
          </cell>
          <cell r="M2977">
            <v>0</v>
          </cell>
          <cell r="N2977">
            <v>919.99</v>
          </cell>
          <cell r="O2977" t="str">
            <v>LOJA</v>
          </cell>
          <cell r="P2977">
            <v>899.99</v>
          </cell>
          <cell r="Q2977">
            <v>0.63267471938985498</v>
          </cell>
          <cell r="R2977">
            <v>0.63267471938985498</v>
          </cell>
          <cell r="S2977" t="e">
            <v>#VALUE!</v>
          </cell>
          <cell r="T2977" t="e">
            <v>#VALUE!</v>
          </cell>
        </row>
        <row r="2978">
          <cell r="A2978" t="str">
            <v>G2560273AG</v>
          </cell>
          <cell r="B2978" t="str">
            <v>MKP000631003048</v>
          </cell>
          <cell r="C2978" t="str">
            <v/>
          </cell>
          <cell r="D2978" t="str">
            <v>Armário Aéreo Madesa Agata 60 cm 1 Porta Basculante Branco/Preto</v>
          </cell>
          <cell r="E2978" t="str">
            <v>ÁGATA</v>
          </cell>
          <cell r="F2978" t="str">
            <v>MODULAÇÃO</v>
          </cell>
          <cell r="G2978" t="str">
            <v/>
          </cell>
          <cell r="H2978">
            <v>389.99</v>
          </cell>
          <cell r="I2978">
            <v>249.99</v>
          </cell>
          <cell r="J2978">
            <v>149.85319999999999</v>
          </cell>
          <cell r="K2978">
            <v>0</v>
          </cell>
          <cell r="L2978">
            <v>149.85319999999999</v>
          </cell>
          <cell r="M2978">
            <v>0</v>
          </cell>
          <cell r="N2978">
            <v>249.99</v>
          </cell>
          <cell r="O2978" t="str">
            <v/>
          </cell>
          <cell r="P2978">
            <v>0</v>
          </cell>
          <cell r="Q2978">
            <v>0.66823264368061597</v>
          </cell>
          <cell r="R2978">
            <v>0.66823264368061597</v>
          </cell>
          <cell r="S2978" t="e">
            <v>#VALUE!</v>
          </cell>
          <cell r="T2978" t="e">
            <v>#VALUE!</v>
          </cell>
        </row>
        <row r="2979">
          <cell r="A2979" t="str">
            <v>G248027GAG</v>
          </cell>
          <cell r="B2979" t="str">
            <v>MKP000631005375</v>
          </cell>
          <cell r="C2979" t="str">
            <v/>
          </cell>
          <cell r="D2979" t="str">
            <v>Balcão 80 cm 2 Gavetas Rustic/Crema Agata Madesa</v>
          </cell>
          <cell r="E2979" t="str">
            <v>ÁGATA</v>
          </cell>
          <cell r="F2979" t="str">
            <v>MODULAÇÃO</v>
          </cell>
          <cell r="G2979" t="str">
            <v/>
          </cell>
          <cell r="H2979">
            <v>729.99</v>
          </cell>
          <cell r="I2979">
            <v>629.99</v>
          </cell>
          <cell r="J2979">
            <v>369.84789999999998</v>
          </cell>
          <cell r="K2979">
            <v>0</v>
          </cell>
          <cell r="L2979">
            <v>369.84789999999998</v>
          </cell>
          <cell r="M2979">
            <v>0</v>
          </cell>
          <cell r="N2979">
            <v>629.99</v>
          </cell>
          <cell r="O2979" t="str">
            <v/>
          </cell>
          <cell r="P2979">
            <v>0</v>
          </cell>
          <cell r="Q2979">
            <v>0.70337590128266203</v>
          </cell>
          <cell r="R2979">
            <v>0.70337590128266203</v>
          </cell>
          <cell r="S2979" t="e">
            <v>#VALUE!</v>
          </cell>
          <cell r="T2979" t="e">
            <v>#VALUE!</v>
          </cell>
        </row>
        <row r="2980">
          <cell r="A2980" t="str">
            <v>G2560273LX</v>
          </cell>
          <cell r="B2980" t="str">
            <v>MKP000631003255</v>
          </cell>
          <cell r="C2980" t="str">
            <v/>
          </cell>
          <cell r="D2980" t="str">
            <v>Armário Aéreo Madesa Lux 60 cm 1 Porta Basculante Branco/Preto</v>
          </cell>
          <cell r="E2980" t="str">
            <v>LUX</v>
          </cell>
          <cell r="F2980" t="str">
            <v>MODULAÇÃO</v>
          </cell>
          <cell r="G2980" t="str">
            <v/>
          </cell>
          <cell r="H2980">
            <v>779.99</v>
          </cell>
          <cell r="I2980">
            <v>389.99</v>
          </cell>
          <cell r="J2980">
            <v>224.06039999999999</v>
          </cell>
          <cell r="K2980">
            <v>0</v>
          </cell>
          <cell r="L2980">
            <v>224.06039999999999</v>
          </cell>
          <cell r="M2980">
            <v>0</v>
          </cell>
          <cell r="N2980">
            <v>389.99</v>
          </cell>
          <cell r="O2980" t="str">
            <v>LOJA</v>
          </cell>
          <cell r="P2980">
            <v>379.99</v>
          </cell>
          <cell r="Q2980">
            <v>0.74055745682860497</v>
          </cell>
          <cell r="R2980">
            <v>0.74055745682860497</v>
          </cell>
          <cell r="S2980" t="e">
            <v>#VALUE!</v>
          </cell>
          <cell r="T2980" t="e">
            <v>#VALUE!</v>
          </cell>
        </row>
        <row r="2981">
          <cell r="A2981" t="str">
            <v>GREM1690147K</v>
          </cell>
          <cell r="B2981" t="str">
            <v>MKP000631005809</v>
          </cell>
          <cell r="C2981" t="str">
            <v/>
          </cell>
          <cell r="D2981" t="str">
            <v>Armário de Cozinha Compacta 169cm com Pia Rustic/Preto Emilly Madesa 14</v>
          </cell>
          <cell r="E2981" t="str">
            <v>EMILLY</v>
          </cell>
          <cell r="F2981" t="str">
            <v>COZINHA</v>
          </cell>
          <cell r="G2981" t="str">
            <v/>
          </cell>
          <cell r="H2981">
            <v>1549.99</v>
          </cell>
          <cell r="I2981">
            <v>1449.99</v>
          </cell>
          <cell r="J2981">
            <v>1179.7506000000001</v>
          </cell>
          <cell r="K2981">
            <v>0</v>
          </cell>
          <cell r="L2981">
            <v>1179.7506000000001</v>
          </cell>
          <cell r="M2981">
            <v>0</v>
          </cell>
          <cell r="N2981">
            <v>1449.99</v>
          </cell>
          <cell r="O2981" t="str">
            <v/>
          </cell>
          <cell r="P2981">
            <v>0</v>
          </cell>
          <cell r="Q2981">
            <v>0.22906485489390699</v>
          </cell>
          <cell r="R2981">
            <v>0.22906485489390699</v>
          </cell>
          <cell r="S2981" t="e">
            <v>#VALUE!</v>
          </cell>
          <cell r="T2981" t="e">
            <v>#VALUE!</v>
          </cell>
        </row>
        <row r="2982">
          <cell r="A2982" t="str">
            <v>G2570073AG</v>
          </cell>
          <cell r="B2982" t="str">
            <v>MKP000631004416</v>
          </cell>
          <cell r="C2982" t="str">
            <v/>
          </cell>
          <cell r="D2982" t="str">
            <v>Armário Aéreo Madesa Agata 70 cm 2 Portas Branco/Preto</v>
          </cell>
          <cell r="E2982" t="str">
            <v>ÁGATA</v>
          </cell>
          <cell r="F2982" t="str">
            <v>MODULAÇÃO</v>
          </cell>
          <cell r="G2982" t="str">
            <v/>
          </cell>
          <cell r="H2982">
            <v>529.99</v>
          </cell>
          <cell r="I2982">
            <v>419.99</v>
          </cell>
          <cell r="J2982">
            <v>244.06190000000001</v>
          </cell>
          <cell r="K2982">
            <v>0</v>
          </cell>
          <cell r="L2982">
            <v>244.06190000000001</v>
          </cell>
          <cell r="M2982">
            <v>0</v>
          </cell>
          <cell r="N2982">
            <v>419.99</v>
          </cell>
          <cell r="O2982" t="str">
            <v/>
          </cell>
          <cell r="P2982">
            <v>0</v>
          </cell>
          <cell r="Q2982">
            <v>0.72083393598099499</v>
          </cell>
          <cell r="R2982">
            <v>0.72083393598099499</v>
          </cell>
          <cell r="S2982" t="e">
            <v>#VALUE!</v>
          </cell>
          <cell r="T2982" t="e">
            <v>#VALUE!</v>
          </cell>
        </row>
        <row r="2983">
          <cell r="A2983" t="str">
            <v>GRGL12000373</v>
          </cell>
          <cell r="B2983" t="str">
            <v>MKP000631004256</v>
          </cell>
          <cell r="C2983" t="str">
            <v/>
          </cell>
          <cell r="D2983" t="str">
            <v>Armário de Cozinha Compacta 120cm Branco/Preto Glamy Madesa 03</v>
          </cell>
          <cell r="E2983" t="str">
            <v>GLAMY</v>
          </cell>
          <cell r="F2983" t="str">
            <v>COZINHA</v>
          </cell>
          <cell r="G2983" t="str">
            <v/>
          </cell>
          <cell r="H2983">
            <v>1139.99</v>
          </cell>
          <cell r="I2983">
            <v>1039.99</v>
          </cell>
          <cell r="J2983">
            <v>886.81309999999996</v>
          </cell>
          <cell r="K2983">
            <v>0</v>
          </cell>
          <cell r="L2983">
            <v>886.81309999999996</v>
          </cell>
          <cell r="M2983">
            <v>0</v>
          </cell>
          <cell r="N2983">
            <v>1039.99</v>
          </cell>
          <cell r="O2983" t="str">
            <v/>
          </cell>
          <cell r="P2983">
            <v>0</v>
          </cell>
          <cell r="Q2983">
            <v>0.17272737626451401</v>
          </cell>
          <cell r="R2983">
            <v>0.17272737626451401</v>
          </cell>
          <cell r="S2983" t="e">
            <v>#VALUE!</v>
          </cell>
          <cell r="T2983" t="e">
            <v>#VALUE!</v>
          </cell>
        </row>
        <row r="2984">
          <cell r="A2984" t="str">
            <v>GRGL1800086E</v>
          </cell>
          <cell r="B2984" t="str">
            <v>MKP000631004234</v>
          </cell>
          <cell r="C2984" t="str">
            <v/>
          </cell>
          <cell r="D2984" t="str">
            <v>Armário de Cozinha Compacta 180cm Rustic Branco Glamy Madesa 08</v>
          </cell>
          <cell r="E2984" t="str">
            <v>GLAMY</v>
          </cell>
          <cell r="F2984" t="str">
            <v>COZINHA</v>
          </cell>
          <cell r="G2984" t="str">
            <v/>
          </cell>
          <cell r="H2984">
            <v>1599.99</v>
          </cell>
          <cell r="I2984">
            <v>1499.99</v>
          </cell>
          <cell r="J2984">
            <v>1270.7982999999999</v>
          </cell>
          <cell r="K2984">
            <v>0</v>
          </cell>
          <cell r="L2984">
            <v>1270.7982999999999</v>
          </cell>
          <cell r="M2984">
            <v>0</v>
          </cell>
          <cell r="N2984">
            <v>1499.99</v>
          </cell>
          <cell r="O2984" t="str">
            <v/>
          </cell>
          <cell r="P2984">
            <v>0</v>
          </cell>
          <cell r="Q2984">
            <v>0.18035253902999401</v>
          </cell>
          <cell r="R2984">
            <v>0.18035253902999401</v>
          </cell>
          <cell r="S2984" t="e">
            <v>#VALUE!</v>
          </cell>
          <cell r="T2984" t="e">
            <v>#VALUE!</v>
          </cell>
        </row>
        <row r="2985">
          <cell r="A2985" t="str">
            <v>GRGL290009A7</v>
          </cell>
          <cell r="B2985" t="str">
            <v>MKP000631001206</v>
          </cell>
          <cell r="C2985" t="str">
            <v/>
          </cell>
          <cell r="D2985" t="str">
            <v>Armário de Cozinha Completa 290cm Rustic/Crema/Branco Cristal Madesa 09</v>
          </cell>
          <cell r="E2985" t="str">
            <v>CRISTAL/GLAMY</v>
          </cell>
          <cell r="F2985" t="str">
            <v>COZINHA</v>
          </cell>
          <cell r="G2985" t="str">
            <v/>
          </cell>
          <cell r="H2985">
            <v>2199.9899999999998</v>
          </cell>
          <cell r="I2985">
            <v>2099.9899999999998</v>
          </cell>
          <cell r="J2985">
            <v>1760.9930999999999</v>
          </cell>
          <cell r="K2985">
            <v>0</v>
          </cell>
          <cell r="L2985">
            <v>1760.9930999999999</v>
          </cell>
          <cell r="M2985">
            <v>0</v>
          </cell>
          <cell r="N2985">
            <v>2099.9899999999998</v>
          </cell>
          <cell r="O2985" t="str">
            <v/>
          </cell>
          <cell r="P2985">
            <v>0</v>
          </cell>
          <cell r="Q2985">
            <v>0.19250325285204101</v>
          </cell>
          <cell r="R2985">
            <v>0.19250325285204101</v>
          </cell>
          <cell r="S2985" t="e">
            <v>#VALUE!</v>
          </cell>
          <cell r="T2985" t="e">
            <v>#VALUE!</v>
          </cell>
        </row>
        <row r="2986">
          <cell r="A2986" t="str">
            <v>GRGL290004C7</v>
          </cell>
          <cell r="B2986" t="str">
            <v>MKP000631001157</v>
          </cell>
          <cell r="C2986" t="str">
            <v/>
          </cell>
          <cell r="D2986" t="str">
            <v>Armário de Cozinha Completa 290cm Branco/Preto/Branco Safira Madesa 04</v>
          </cell>
          <cell r="E2986" t="str">
            <v>SAFIRA/GLAMY</v>
          </cell>
          <cell r="F2986" t="str">
            <v>COZINHA</v>
          </cell>
          <cell r="G2986" t="str">
            <v/>
          </cell>
          <cell r="H2986">
            <v>2199.9899999999998</v>
          </cell>
          <cell r="I2986">
            <v>2099.9899999999998</v>
          </cell>
          <cell r="J2986">
            <v>1743.5204000000001</v>
          </cell>
          <cell r="K2986">
            <v>0</v>
          </cell>
          <cell r="L2986">
            <v>1743.5204000000001</v>
          </cell>
          <cell r="M2986">
            <v>0</v>
          </cell>
          <cell r="N2986">
            <v>2099.9899999999998</v>
          </cell>
          <cell r="O2986" t="str">
            <v/>
          </cell>
          <cell r="P2986">
            <v>0</v>
          </cell>
          <cell r="Q2986">
            <v>0.20445393125311301</v>
          </cell>
          <cell r="R2986">
            <v>0.20445393125311301</v>
          </cell>
          <cell r="S2986" t="e">
            <v>#VALUE!</v>
          </cell>
          <cell r="T2986" t="e">
            <v>#VALUE!</v>
          </cell>
        </row>
        <row r="2987">
          <cell r="A2987" t="str">
            <v>GRGL27001309</v>
          </cell>
          <cell r="B2987" t="str">
            <v>MKP000631004210</v>
          </cell>
          <cell r="C2987" t="str">
            <v/>
          </cell>
          <cell r="D2987" t="str">
            <v>Armário de Cozinha Completa 270cm Branco Glamy Madesa 13</v>
          </cell>
          <cell r="E2987" t="str">
            <v>GLAMY</v>
          </cell>
          <cell r="F2987" t="str">
            <v>COZINHA</v>
          </cell>
          <cell r="G2987" t="str">
            <v/>
          </cell>
          <cell r="H2987">
            <v>2299.9899999999998</v>
          </cell>
          <cell r="I2987">
            <v>2199.9899999999998</v>
          </cell>
          <cell r="J2987">
            <v>1819.4498000000001</v>
          </cell>
          <cell r="K2987">
            <v>0</v>
          </cell>
          <cell r="L2987">
            <v>1819.4498000000001</v>
          </cell>
          <cell r="M2987">
            <v>0</v>
          </cell>
          <cell r="N2987">
            <v>2199.9899999999998</v>
          </cell>
          <cell r="O2987" t="str">
            <v/>
          </cell>
          <cell r="P2987">
            <v>0</v>
          </cell>
          <cell r="Q2987">
            <v>0.20915125000975501</v>
          </cell>
          <cell r="R2987">
            <v>0.20915125000975501</v>
          </cell>
          <cell r="S2987" t="e">
            <v>#VALUE!</v>
          </cell>
          <cell r="T2987" t="e">
            <v>#VALUE!</v>
          </cell>
        </row>
        <row r="2988">
          <cell r="A2988" t="str">
            <v>GRGL27000909</v>
          </cell>
          <cell r="B2988" t="str">
            <v>MKP000631001228</v>
          </cell>
          <cell r="C2988" t="str">
            <v/>
          </cell>
          <cell r="D2988" t="str">
            <v>Armário de Cozinha Completa 270cm Branco Jade Madesa 09</v>
          </cell>
          <cell r="E2988" t="str">
            <v>JADE/GLAMY</v>
          </cell>
          <cell r="F2988" t="str">
            <v>COZINHA</v>
          </cell>
          <cell r="G2988" t="str">
            <v/>
          </cell>
          <cell r="H2988">
            <v>2699.99</v>
          </cell>
          <cell r="I2988">
            <v>2099.9899999999998</v>
          </cell>
          <cell r="J2988">
            <v>1727.3339000000001</v>
          </cell>
          <cell r="K2988">
            <v>0</v>
          </cell>
          <cell r="L2988">
            <v>1727.3339000000001</v>
          </cell>
          <cell r="M2988">
            <v>0</v>
          </cell>
          <cell r="N2988">
            <v>2099.9899999999998</v>
          </cell>
          <cell r="O2988" t="str">
            <v/>
          </cell>
          <cell r="P2988">
            <v>0</v>
          </cell>
          <cell r="Q2988">
            <v>0.21574062779639799</v>
          </cell>
          <cell r="R2988">
            <v>0.21574062779639799</v>
          </cell>
          <cell r="S2988" t="e">
            <v>#VALUE!</v>
          </cell>
          <cell r="T2988" t="e">
            <v>#VALUE!</v>
          </cell>
        </row>
        <row r="2989">
          <cell r="A2989" t="str">
            <v>GREM325001J1</v>
          </cell>
          <cell r="B2989" t="str">
            <v>MKP000631005658</v>
          </cell>
          <cell r="C2989" t="str">
            <v/>
          </cell>
          <cell r="D2989" t="str">
            <v>Armário de Cozinha Completa 325cm Rustic/Cinza Emilly Joy Madesa</v>
          </cell>
          <cell r="E2989" t="str">
            <v>JOY/EMILLY</v>
          </cell>
          <cell r="F2989" t="str">
            <v>COZINHA</v>
          </cell>
          <cell r="G2989" t="str">
            <v/>
          </cell>
          <cell r="H2989">
            <v>1499.99</v>
          </cell>
          <cell r="I2989">
            <v>1399.99</v>
          </cell>
          <cell r="J2989">
            <v>1092.4088999999999</v>
          </cell>
          <cell r="K2989">
            <v>0</v>
          </cell>
          <cell r="L2989">
            <v>1092.4088999999999</v>
          </cell>
          <cell r="M2989">
            <v>0</v>
          </cell>
          <cell r="N2989">
            <v>1399.99</v>
          </cell>
          <cell r="O2989" t="str">
            <v/>
          </cell>
          <cell r="P2989">
            <v>0</v>
          </cell>
          <cell r="Q2989">
            <v>0.28156224285613202</v>
          </cell>
          <cell r="R2989">
            <v>0.28156224285613202</v>
          </cell>
          <cell r="S2989" t="e">
            <v>#VALUE!</v>
          </cell>
          <cell r="T2989" t="e">
            <v>#VALUE!</v>
          </cell>
        </row>
        <row r="2990">
          <cell r="A2990" t="str">
            <v>GRGL290015C3</v>
          </cell>
          <cell r="B2990" t="str">
            <v>MKP000631001224</v>
          </cell>
          <cell r="C2990" t="str">
            <v/>
          </cell>
          <cell r="D2990" t="str">
            <v>Armário de Cozinha Completa 290cm Rustic/Preto/Crema Vicenza Madesa 15</v>
          </cell>
          <cell r="E2990" t="str">
            <v>VICENZA/GLAMY</v>
          </cell>
          <cell r="F2990" t="str">
            <v>COZINHA</v>
          </cell>
          <cell r="G2990" t="str">
            <v/>
          </cell>
          <cell r="H2990">
            <v>2799.99</v>
          </cell>
          <cell r="I2990">
            <v>2699.99</v>
          </cell>
          <cell r="J2990">
            <v>2184.8832000000002</v>
          </cell>
          <cell r="K2990">
            <v>0</v>
          </cell>
          <cell r="L2990">
            <v>2184.8832000000002</v>
          </cell>
          <cell r="M2990">
            <v>0</v>
          </cell>
          <cell r="N2990">
            <v>2699.99</v>
          </cell>
          <cell r="O2990" t="str">
            <v/>
          </cell>
          <cell r="P2990">
            <v>0</v>
          </cell>
          <cell r="Q2990">
            <v>0.235759421830879</v>
          </cell>
          <cell r="R2990">
            <v>0.235759421830879</v>
          </cell>
          <cell r="S2990" t="e">
            <v>#VALUE!</v>
          </cell>
          <cell r="T2990" t="e">
            <v>#VALUE!</v>
          </cell>
        </row>
        <row r="2991">
          <cell r="A2991" t="str">
            <v>10939B2E2GCP</v>
          </cell>
          <cell r="B2991" t="str">
            <v>MKP000631001874</v>
          </cell>
          <cell r="C2991" t="str">
            <v/>
          </cell>
          <cell r="D2991" t="str">
            <v>Guarda-Roupa Casal Madesa Lyon 3 Portas de Correr com Espelhos 2 Gavetas com Pés Branco/Rustic</v>
          </cell>
          <cell r="E2991" t="str">
            <v>LYON</v>
          </cell>
          <cell r="F2991" t="str">
            <v>QUARTO</v>
          </cell>
          <cell r="G2991" t="str">
            <v/>
          </cell>
          <cell r="H2991">
            <v>1519.99</v>
          </cell>
          <cell r="I2991">
            <v>1269.99</v>
          </cell>
          <cell r="J2991">
            <v>1015.6292999999999</v>
          </cell>
          <cell r="K2991">
            <v>0</v>
          </cell>
          <cell r="L2991">
            <v>1015.6292999999999</v>
          </cell>
          <cell r="M2991">
            <v>0</v>
          </cell>
          <cell r="N2991">
            <v>1269.99</v>
          </cell>
          <cell r="O2991" t="str">
            <v/>
          </cell>
          <cell r="P2991">
            <v>0</v>
          </cell>
          <cell r="Q2991">
            <v>0.25044639811001901</v>
          </cell>
          <cell r="R2991">
            <v>0.25044639811001901</v>
          </cell>
          <cell r="S2991" t="e">
            <v>#VALUE!</v>
          </cell>
          <cell r="T2991" t="e">
            <v>#VALUE!</v>
          </cell>
        </row>
        <row r="2992">
          <cell r="A2992" t="str">
            <v>GRGL24000773</v>
          </cell>
          <cell r="B2992" t="str">
            <v>MKP000631005043</v>
          </cell>
          <cell r="C2992" t="str">
            <v/>
          </cell>
          <cell r="D2992" t="str">
            <v>Armário de Cozinha Completa 240cm Branco/Preto Glamy Madesa 07</v>
          </cell>
          <cell r="E2992" t="str">
            <v>GLAMY</v>
          </cell>
          <cell r="F2992" t="str">
            <v>COZINHA</v>
          </cell>
          <cell r="G2992" t="str">
            <v/>
          </cell>
          <cell r="H2992">
            <v>1879.99</v>
          </cell>
          <cell r="I2992">
            <v>1779.99</v>
          </cell>
          <cell r="J2992">
            <v>1345.278</v>
          </cell>
          <cell r="K2992">
            <v>0</v>
          </cell>
          <cell r="L2992">
            <v>1345.278</v>
          </cell>
          <cell r="M2992">
            <v>0</v>
          </cell>
          <cell r="N2992">
            <v>1779.99</v>
          </cell>
          <cell r="O2992" t="str">
            <v/>
          </cell>
          <cell r="P2992">
            <v>0</v>
          </cell>
          <cell r="Q2992">
            <v>0.32313915785436098</v>
          </cell>
          <cell r="R2992">
            <v>0.32313915785436098</v>
          </cell>
          <cell r="S2992" t="e">
            <v>#VALUE!</v>
          </cell>
          <cell r="T2992" t="e">
            <v>#VALUE!</v>
          </cell>
        </row>
        <row r="2993">
          <cell r="A2993" t="str">
            <v>52757G2VI</v>
          </cell>
          <cell r="B2993" t="str">
            <v>MKP000631001588</v>
          </cell>
          <cell r="C2993" t="str">
            <v/>
          </cell>
          <cell r="D2993" t="str">
            <v>Mesa de Jantar Retangular Tampo de Vidro Rustic/Crema 5275 Madesa</v>
          </cell>
          <cell r="E2993">
            <v>5275</v>
          </cell>
          <cell r="F2993" t="str">
            <v>SALA DE JANTAR</v>
          </cell>
          <cell r="G2993" t="str">
            <v/>
          </cell>
          <cell r="H2993">
            <v>909.99</v>
          </cell>
          <cell r="I2993">
            <v>779.99</v>
          </cell>
          <cell r="J2993">
            <v>515.26480000000004</v>
          </cell>
          <cell r="K2993">
            <v>0</v>
          </cell>
          <cell r="L2993">
            <v>515.26480000000004</v>
          </cell>
          <cell r="M2993">
            <v>0</v>
          </cell>
          <cell r="N2993">
            <v>779.99</v>
          </cell>
          <cell r="O2993" t="str">
            <v/>
          </cell>
          <cell r="P2993">
            <v>0</v>
          </cell>
          <cell r="Q2993">
            <v>0.51376534938928498</v>
          </cell>
          <cell r="R2993">
            <v>0.51376534938928498</v>
          </cell>
          <cell r="S2993" t="e">
            <v>#VALUE!</v>
          </cell>
          <cell r="T2993" t="e">
            <v>#VALUE!</v>
          </cell>
        </row>
        <row r="2994">
          <cell r="A2994" t="str">
            <v>G244015ZTE</v>
          </cell>
          <cell r="B2994" t="str">
            <v>MKP000631002174</v>
          </cell>
          <cell r="C2994" t="str">
            <v/>
          </cell>
          <cell r="D2994" t="str">
            <v>Balcão Madesa Stella 40 cm 3 Gavetas Rustic</v>
          </cell>
          <cell r="E2994" t="str">
            <v>STELLA</v>
          </cell>
          <cell r="F2994" t="str">
            <v>MODULAÇÃO</v>
          </cell>
          <cell r="G2994" t="str">
            <v/>
          </cell>
          <cell r="H2994">
            <v>939.99</v>
          </cell>
          <cell r="I2994">
            <v>519.99</v>
          </cell>
          <cell r="J2994">
            <v>344.87599999999998</v>
          </cell>
          <cell r="K2994">
            <v>0</v>
          </cell>
          <cell r="L2994">
            <v>344.87599999999998</v>
          </cell>
          <cell r="M2994">
            <v>0</v>
          </cell>
          <cell r="N2994">
            <v>519.99</v>
          </cell>
          <cell r="O2994" t="str">
            <v/>
          </cell>
          <cell r="P2994">
            <v>0</v>
          </cell>
          <cell r="Q2994">
            <v>0.507759310592793</v>
          </cell>
          <cell r="R2994">
            <v>0.507759310592793</v>
          </cell>
          <cell r="S2994" t="e">
            <v>#VALUE!</v>
          </cell>
          <cell r="T2994" t="e">
            <v>#VALUE!</v>
          </cell>
        </row>
        <row r="2995">
          <cell r="A2995" t="str">
            <v>G2470073GL</v>
          </cell>
          <cell r="B2995" t="str">
            <v>MKP000631003500</v>
          </cell>
          <cell r="C2995" t="str">
            <v/>
          </cell>
          <cell r="D2995" t="str">
            <v>Balcão de Cozinha Madesa Glamy 70 cm 2 Portas Branco/Preto</v>
          </cell>
          <cell r="E2995" t="str">
            <v>GLAMY</v>
          </cell>
          <cell r="F2995" t="str">
            <v>MODULAÇÃO</v>
          </cell>
          <cell r="G2995" t="str">
            <v/>
          </cell>
          <cell r="H2995">
            <v>879.99</v>
          </cell>
          <cell r="I2995">
            <v>499.99</v>
          </cell>
          <cell r="J2995">
            <v>321.34289999999999</v>
          </cell>
          <cell r="K2995">
            <v>0</v>
          </cell>
          <cell r="L2995">
            <v>321.34289999999999</v>
          </cell>
          <cell r="M2995">
            <v>0</v>
          </cell>
          <cell r="N2995">
            <v>499.99</v>
          </cell>
          <cell r="O2995" t="str">
            <v/>
          </cell>
          <cell r="P2995">
            <v>0</v>
          </cell>
          <cell r="Q2995">
            <v>0.55593915409364902</v>
          </cell>
          <cell r="R2995">
            <v>0.55593915409364902</v>
          </cell>
          <cell r="S2995" t="e">
            <v>#VALUE!</v>
          </cell>
          <cell r="T2995" t="e">
            <v>#VALUE!</v>
          </cell>
        </row>
        <row r="2996">
          <cell r="A2996" t="str">
            <v>G221207KLXCT</v>
          </cell>
          <cell r="B2996" t="str">
            <v>MKP000631005115</v>
          </cell>
          <cell r="C2996" t="str">
            <v/>
          </cell>
          <cell r="D2996" t="str">
            <v>Balcão de Pia 120 cm 2 Portas Rustic/Preto Lux Madesa</v>
          </cell>
          <cell r="E2996" t="str">
            <v>LUX</v>
          </cell>
          <cell r="F2996" t="str">
            <v>MODULAÇÃO</v>
          </cell>
          <cell r="G2996" t="str">
            <v/>
          </cell>
          <cell r="H2996">
            <v>1399.99</v>
          </cell>
          <cell r="I2996">
            <v>1219.99</v>
          </cell>
          <cell r="J2996">
            <v>726.43050000000005</v>
          </cell>
          <cell r="K2996">
            <v>0</v>
          </cell>
          <cell r="L2996">
            <v>726.43050000000005</v>
          </cell>
          <cell r="M2996">
            <v>0</v>
          </cell>
          <cell r="N2996">
            <v>1219.99</v>
          </cell>
          <cell r="O2996" t="str">
            <v>LOJA</v>
          </cell>
          <cell r="P2996">
            <v>1199.99</v>
          </cell>
          <cell r="Q2996">
            <v>0.67943113622018902</v>
          </cell>
          <cell r="R2996">
            <v>0.67943113622018902</v>
          </cell>
          <cell r="S2996" t="e">
            <v>#VALUE!</v>
          </cell>
          <cell r="T2996" t="e">
            <v>#VALUE!</v>
          </cell>
        </row>
        <row r="2997">
          <cell r="A2997" t="str">
            <v>G267559BTE</v>
          </cell>
          <cell r="B2997" t="str">
            <v>MKP000631002123</v>
          </cell>
          <cell r="C2997" t="str">
            <v/>
          </cell>
          <cell r="D2997" t="str">
            <v>Torre Quente Madesa Stella 70 cm 3 Portas Branco/Rustic</v>
          </cell>
          <cell r="E2997" t="str">
            <v>STELLA</v>
          </cell>
          <cell r="F2997" t="str">
            <v>MODULAÇÃO</v>
          </cell>
          <cell r="G2997" t="str">
            <v/>
          </cell>
          <cell r="H2997">
            <v>1259.99</v>
          </cell>
          <cell r="I2997">
            <v>869.99</v>
          </cell>
          <cell r="J2997">
            <v>529.32579999999996</v>
          </cell>
          <cell r="K2997">
            <v>0</v>
          </cell>
          <cell r="L2997">
            <v>529.32579999999996</v>
          </cell>
          <cell r="M2997">
            <v>0</v>
          </cell>
          <cell r="N2997">
            <v>869.99</v>
          </cell>
          <cell r="O2997" t="str">
            <v/>
          </cell>
          <cell r="P2997">
            <v>0</v>
          </cell>
          <cell r="Q2997">
            <v>0.64358132552768099</v>
          </cell>
          <cell r="R2997">
            <v>0.64358132552768099</v>
          </cell>
          <cell r="S2997" t="e">
            <v>#VALUE!</v>
          </cell>
          <cell r="T2997" t="e">
            <v>#VALUE!</v>
          </cell>
        </row>
        <row r="2998">
          <cell r="A2998" t="str">
            <v>G25800F8AG</v>
          </cell>
          <cell r="B2998" t="str">
            <v>MKP000631002634</v>
          </cell>
          <cell r="C2998" t="str">
            <v/>
          </cell>
          <cell r="D2998" t="str">
            <v>Armário Aéreo Madesa Agata 80 cm 2 Portas Branco/Cinza</v>
          </cell>
          <cell r="E2998" t="str">
            <v>ÁGATA</v>
          </cell>
          <cell r="F2998" t="str">
            <v>MODULAÇÃO</v>
          </cell>
          <cell r="G2998" t="str">
            <v/>
          </cell>
          <cell r="H2998">
            <v>699.99</v>
          </cell>
          <cell r="I2998">
            <v>439.99</v>
          </cell>
          <cell r="J2998">
            <v>252.3895</v>
          </cell>
          <cell r="K2998">
            <v>0</v>
          </cell>
          <cell r="L2998">
            <v>252.3895</v>
          </cell>
          <cell r="M2998">
            <v>0</v>
          </cell>
          <cell r="N2998">
            <v>439.99</v>
          </cell>
          <cell r="O2998" t="str">
            <v/>
          </cell>
          <cell r="P2998">
            <v>0</v>
          </cell>
          <cell r="Q2998">
            <v>0.74329756190332796</v>
          </cell>
          <cell r="R2998">
            <v>0.74329756190332796</v>
          </cell>
          <cell r="S2998" t="e">
            <v>#VALUE!</v>
          </cell>
          <cell r="T2998" t="e">
            <v>#VALUE!</v>
          </cell>
        </row>
        <row r="2999">
          <cell r="A2999" t="str">
            <v>G224017KLXCT</v>
          </cell>
          <cell r="B2999" t="str">
            <v>MKP000631005092</v>
          </cell>
          <cell r="C2999" t="str">
            <v/>
          </cell>
          <cell r="D2999" t="str">
            <v>Balcão 40 cm 3 Gavetas Rustic/Preto Lux Madesa</v>
          </cell>
          <cell r="E2999" t="str">
            <v>LUX</v>
          </cell>
          <cell r="F2999" t="str">
            <v>MODULAÇÃO</v>
          </cell>
          <cell r="G2999" t="str">
            <v/>
          </cell>
          <cell r="H2999">
            <v>1119.99</v>
          </cell>
          <cell r="I2999">
            <v>899.99</v>
          </cell>
          <cell r="J2999">
            <v>483.46949999999998</v>
          </cell>
          <cell r="K2999">
            <v>0</v>
          </cell>
          <cell r="L2999">
            <v>483.46949999999998</v>
          </cell>
          <cell r="M2999">
            <v>0</v>
          </cell>
          <cell r="N2999">
            <v>899.99</v>
          </cell>
          <cell r="O2999" t="str">
            <v>LOJA</v>
          </cell>
          <cell r="P2999">
            <v>889.99</v>
          </cell>
          <cell r="Q2999">
            <v>0.86152383966310198</v>
          </cell>
          <cell r="R2999">
            <v>0.86152383966310198</v>
          </cell>
          <cell r="S2999" t="e">
            <v>#VALUE!</v>
          </cell>
          <cell r="T2999" t="e">
            <v>#VALUE!</v>
          </cell>
        </row>
        <row r="3000">
          <cell r="A3000" t="str">
            <v>GRLX400001H7</v>
          </cell>
          <cell r="B3000" t="str">
            <v>MKP000631005012</v>
          </cell>
          <cell r="C3000" t="str">
            <v/>
          </cell>
          <cell r="D3000" t="str">
            <v>Armário de Cozinha Completa 400cm Branco Veludo Lux da Thauane Madesa</v>
          </cell>
          <cell r="E3000" t="str">
            <v>LUX</v>
          </cell>
          <cell r="F3000" t="str">
            <v>COZINHA</v>
          </cell>
          <cell r="G3000" t="str">
            <v/>
          </cell>
          <cell r="H3000">
            <v>5709.99</v>
          </cell>
          <cell r="I3000">
            <v>5669.99</v>
          </cell>
          <cell r="J3000">
            <v>3009.5880999999999</v>
          </cell>
          <cell r="K3000">
            <v>0</v>
          </cell>
          <cell r="L3000">
            <v>3009.5880999999999</v>
          </cell>
          <cell r="M3000">
            <v>0</v>
          </cell>
          <cell r="N3000">
            <v>5669.99</v>
          </cell>
          <cell r="O3000" t="str">
            <v>LOJA</v>
          </cell>
          <cell r="P3000">
            <v>4979.99</v>
          </cell>
          <cell r="Q3000">
            <v>0.88397541843018301</v>
          </cell>
          <cell r="R3000">
            <v>0.88397541843018301</v>
          </cell>
          <cell r="S3000" t="e">
            <v>#VALUE!</v>
          </cell>
          <cell r="T3000" t="e">
            <v>#VALUE!</v>
          </cell>
        </row>
        <row r="3001">
          <cell r="A3001" t="str">
            <v>G257525LAG</v>
          </cell>
          <cell r="B3001" t="str">
            <v>MKP000631005413</v>
          </cell>
          <cell r="C3001" t="str">
            <v/>
          </cell>
          <cell r="D3001" t="str">
            <v>Armário Aéreo de Canto 1 Porta Branco/Crema Agata Madesa</v>
          </cell>
          <cell r="E3001" t="str">
            <v>ÁGATA</v>
          </cell>
          <cell r="F3001" t="str">
            <v>MODULAÇÃO</v>
          </cell>
          <cell r="G3001" t="str">
            <v/>
          </cell>
          <cell r="H3001">
            <v>569.99</v>
          </cell>
          <cell r="I3001">
            <v>469.99</v>
          </cell>
          <cell r="J3001">
            <v>234.81870000000001</v>
          </cell>
          <cell r="K3001">
            <v>0</v>
          </cell>
          <cell r="L3001">
            <v>234.81870000000001</v>
          </cell>
          <cell r="M3001">
            <v>0</v>
          </cell>
          <cell r="N3001">
            <v>469.99</v>
          </cell>
          <cell r="O3001" t="str">
            <v/>
          </cell>
          <cell r="P3001">
            <v>0</v>
          </cell>
          <cell r="Q3001">
            <v>1.0015015839879899</v>
          </cell>
          <cell r="R3001">
            <v>1.0015015839879899</v>
          </cell>
          <cell r="S3001" t="e">
            <v>#VALUE!</v>
          </cell>
          <cell r="T3001" t="e">
            <v>#VALUE!</v>
          </cell>
        </row>
        <row r="3002">
          <cell r="A3002" t="str">
            <v>G2412009CT</v>
          </cell>
          <cell r="B3002" t="str">
            <v>MKP000631005859</v>
          </cell>
          <cell r="C3002" t="str">
            <v/>
          </cell>
          <cell r="D3002" t="str">
            <v>Balcão de Pia Cozinha 100% MDF 120 cm 2 Portas Branco Acordes Madesa</v>
          </cell>
          <cell r="E3002" t="str">
            <v>ACORDES</v>
          </cell>
          <cell r="F3002" t="str">
            <v>MODULAÇÃO</v>
          </cell>
          <cell r="G3002" t="str">
            <v/>
          </cell>
          <cell r="H3002">
            <v>759.99</v>
          </cell>
          <cell r="I3002">
            <v>659.99</v>
          </cell>
          <cell r="J3002">
            <v>509.34609999999998</v>
          </cell>
          <cell r="K3002">
            <v>0</v>
          </cell>
          <cell r="L3002">
            <v>509.34609999999998</v>
          </cell>
          <cell r="M3002">
            <v>0</v>
          </cell>
          <cell r="N3002">
            <v>659.99</v>
          </cell>
          <cell r="O3002" t="str">
            <v/>
          </cell>
          <cell r="P3002">
            <v>0</v>
          </cell>
          <cell r="Q3002">
            <v>0.29575940603059497</v>
          </cell>
          <cell r="R3002">
            <v>0.29575940603059497</v>
          </cell>
          <cell r="S3002" t="e">
            <v>#VALUE!</v>
          </cell>
          <cell r="T3002" t="e">
            <v>#VALUE!</v>
          </cell>
        </row>
        <row r="3003">
          <cell r="A3003" t="str">
            <v>G247507KGL</v>
          </cell>
          <cell r="B3003" t="str">
            <v>MKP000631001309</v>
          </cell>
          <cell r="C3003" t="str">
            <v/>
          </cell>
          <cell r="D3003" t="str">
            <v>Balcão de Canto Madesa Glamy 1 Porta Rustic/Preto</v>
          </cell>
          <cell r="E3003" t="str">
            <v>GLAMY</v>
          </cell>
          <cell r="F3003" t="str">
            <v>MODULAÇÃO</v>
          </cell>
          <cell r="G3003" t="str">
            <v/>
          </cell>
          <cell r="H3003">
            <v>1019.99</v>
          </cell>
          <cell r="I3003">
            <v>529.99</v>
          </cell>
          <cell r="J3003">
            <v>318.60700000000003</v>
          </cell>
          <cell r="K3003">
            <v>0</v>
          </cell>
          <cell r="L3003">
            <v>318.60700000000003</v>
          </cell>
          <cell r="M3003">
            <v>0</v>
          </cell>
          <cell r="N3003">
            <v>529.99</v>
          </cell>
          <cell r="O3003" t="str">
            <v/>
          </cell>
          <cell r="P3003">
            <v>0</v>
          </cell>
          <cell r="Q3003">
            <v>0.66345999930949395</v>
          </cell>
          <cell r="R3003">
            <v>0.66345999930949395</v>
          </cell>
          <cell r="S3003" t="e">
            <v>#VALUE!</v>
          </cell>
          <cell r="T3003" t="e">
            <v>#VALUE!</v>
          </cell>
        </row>
        <row r="3004">
          <cell r="A3004" t="str">
            <v>MDJA0200485ZSIL</v>
          </cell>
          <cell r="B3004" t="str">
            <v>MKP000631006066</v>
          </cell>
          <cell r="C3004" t="str">
            <v/>
          </cell>
          <cell r="D3004" t="str">
            <v>Conjunto Sala de Jantar Mesa Tampo de Madeira 2 Cadeiras Rustic/Silver Manu Madesa</v>
          </cell>
          <cell r="E3004" t="str">
            <v>MANU</v>
          </cell>
          <cell r="F3004" t="str">
            <v>SALA DE JANTAR</v>
          </cell>
          <cell r="G3004">
            <v>4255</v>
          </cell>
          <cell r="H3004">
            <v>639.99</v>
          </cell>
          <cell r="I3004">
            <v>539.99</v>
          </cell>
          <cell r="J3004">
            <v>399.84469999999999</v>
          </cell>
          <cell r="K3004">
            <v>0</v>
          </cell>
          <cell r="L3004">
            <v>399.84469999999999</v>
          </cell>
          <cell r="M3004">
            <v>0</v>
          </cell>
          <cell r="N3004">
            <v>539.99</v>
          </cell>
          <cell r="O3004" t="str">
            <v/>
          </cell>
          <cell r="P3004">
            <v>0</v>
          </cell>
          <cell r="Q3004">
            <v>0.35049933136540301</v>
          </cell>
          <cell r="R3004">
            <v>0.35049933136540301</v>
          </cell>
          <cell r="S3004" t="e">
            <v>#VALUE!</v>
          </cell>
          <cell r="T3004" t="e">
            <v>#VALUE!</v>
          </cell>
        </row>
        <row r="3005">
          <cell r="A3005" t="str">
            <v>GRGL3150027K</v>
          </cell>
          <cell r="B3005" t="str">
            <v>MKP000631004725</v>
          </cell>
          <cell r="C3005" t="str">
            <v/>
          </cell>
          <cell r="D3005" t="str">
            <v>Armário de Cozinha Completa 315cm Rustic/Preto Glamy Madesa 02</v>
          </cell>
          <cell r="E3005" t="str">
            <v>GLAMY</v>
          </cell>
          <cell r="F3005" t="str">
            <v>COZINHA</v>
          </cell>
          <cell r="G3005" t="str">
            <v/>
          </cell>
          <cell r="H3005">
            <v>2599.9899999999998</v>
          </cell>
          <cell r="I3005">
            <v>2499.9899999999998</v>
          </cell>
          <cell r="J3005">
            <v>2108.5286999999998</v>
          </cell>
          <cell r="K3005">
            <v>0</v>
          </cell>
          <cell r="L3005">
            <v>2108.5286999999998</v>
          </cell>
          <cell r="M3005">
            <v>0</v>
          </cell>
          <cell r="N3005">
            <v>2499.9899999999998</v>
          </cell>
          <cell r="O3005" t="str">
            <v/>
          </cell>
          <cell r="P3005">
            <v>0</v>
          </cell>
          <cell r="Q3005">
            <v>0.185656140227069</v>
          </cell>
          <cell r="R3005">
            <v>0.185656140227069</v>
          </cell>
          <cell r="S3005" t="e">
            <v>#VALUE!</v>
          </cell>
          <cell r="T3005" t="e">
            <v>#VALUE!</v>
          </cell>
        </row>
        <row r="3006">
          <cell r="A3006" t="str">
            <v>GRGL27001073</v>
          </cell>
          <cell r="B3006" t="str">
            <v>MKP000631004610</v>
          </cell>
          <cell r="C3006" t="str">
            <v/>
          </cell>
          <cell r="D3006" t="str">
            <v>Armário de Cozinha Completa 270cm Branco Preto Glamy Madesa 10</v>
          </cell>
          <cell r="E3006" t="str">
            <v>GLAMY</v>
          </cell>
          <cell r="F3006" t="str">
            <v>COZINHA</v>
          </cell>
          <cell r="G3006" t="str">
            <v/>
          </cell>
          <cell r="H3006">
            <v>2199.9899999999998</v>
          </cell>
          <cell r="I3006">
            <v>2099.9899999999998</v>
          </cell>
          <cell r="J3006">
            <v>1752.7309</v>
          </cell>
          <cell r="K3006">
            <v>0</v>
          </cell>
          <cell r="L3006">
            <v>1752.7309</v>
          </cell>
          <cell r="M3006">
            <v>0</v>
          </cell>
          <cell r="N3006">
            <v>2099.9899999999998</v>
          </cell>
          <cell r="O3006" t="str">
            <v/>
          </cell>
          <cell r="P3006">
            <v>0</v>
          </cell>
          <cell r="Q3006">
            <v>0.198124595167461</v>
          </cell>
          <cell r="R3006">
            <v>0.198124595167461</v>
          </cell>
          <cell r="S3006" t="e">
            <v>#VALUE!</v>
          </cell>
          <cell r="T3006" t="e">
            <v>#VALUE!</v>
          </cell>
        </row>
        <row r="3007">
          <cell r="A3007" t="str">
            <v>GRTE3100015Z</v>
          </cell>
          <cell r="B3007" t="str">
            <v>MKP000631005932</v>
          </cell>
          <cell r="C3007" t="str">
            <v/>
          </cell>
          <cell r="D3007" t="str">
            <v>Armário de Cozinha Completa 310cm Rustic Stella Madesa 01</v>
          </cell>
          <cell r="E3007" t="str">
            <v>STELLA</v>
          </cell>
          <cell r="F3007" t="str">
            <v>COZINHA</v>
          </cell>
          <cell r="G3007" t="str">
            <v/>
          </cell>
          <cell r="H3007">
            <v>2599.9899999999998</v>
          </cell>
          <cell r="I3007">
            <v>2599.9899999999998</v>
          </cell>
          <cell r="J3007">
            <v>2153.0225</v>
          </cell>
          <cell r="K3007">
            <v>0</v>
          </cell>
          <cell r="L3007">
            <v>2153.0225</v>
          </cell>
          <cell r="M3007">
            <v>0</v>
          </cell>
          <cell r="N3007">
            <v>2599.9899999999998</v>
          </cell>
          <cell r="O3007" t="str">
            <v/>
          </cell>
          <cell r="P3007">
            <v>0</v>
          </cell>
          <cell r="Q3007">
            <v>0.20760001346943599</v>
          </cell>
          <cell r="R3007">
            <v>0.20760001346943599</v>
          </cell>
          <cell r="S3007" t="e">
            <v>#VALUE!</v>
          </cell>
          <cell r="T3007" t="e">
            <v>#VALUE!</v>
          </cell>
        </row>
        <row r="3008">
          <cell r="A3008" t="str">
            <v>GCTE4990035Z</v>
          </cell>
          <cell r="B3008" t="str">
            <v>MKP000631005766</v>
          </cell>
          <cell r="C3008" t="str">
            <v/>
          </cell>
          <cell r="D3008" t="str">
            <v>Armário de Cozinha Completa de Canto 499cm Rustic Stella Madesa 03</v>
          </cell>
          <cell r="E3008" t="str">
            <v>STELLA</v>
          </cell>
          <cell r="F3008" t="str">
            <v>COZINHA</v>
          </cell>
          <cell r="G3008" t="str">
            <v/>
          </cell>
          <cell r="H3008">
            <v>3799.99</v>
          </cell>
          <cell r="I3008">
            <v>3799.99</v>
          </cell>
          <cell r="J3008">
            <v>3091.0873999999999</v>
          </cell>
          <cell r="K3008">
            <v>0</v>
          </cell>
          <cell r="L3008">
            <v>3091.0873999999999</v>
          </cell>
          <cell r="M3008">
            <v>0</v>
          </cell>
          <cell r="N3008">
            <v>3799.99</v>
          </cell>
          <cell r="O3008" t="str">
            <v/>
          </cell>
          <cell r="P3008">
            <v>0</v>
          </cell>
          <cell r="Q3008">
            <v>0.22933761109440001</v>
          </cell>
          <cell r="R3008">
            <v>0.22933761109440001</v>
          </cell>
          <cell r="S3008" t="e">
            <v>#VALUE!</v>
          </cell>
          <cell r="T3008" t="e">
            <v>#VALUE!</v>
          </cell>
        </row>
        <row r="3009">
          <cell r="A3009" t="str">
            <v>GCAG47900109</v>
          </cell>
          <cell r="B3009" t="str">
            <v>MKP000631004525</v>
          </cell>
          <cell r="C3009" t="str">
            <v/>
          </cell>
          <cell r="D3009" t="str">
            <v>Armário de Cozinha Completa de Canto 479cm Branco Agata Madesa 01</v>
          </cell>
          <cell r="E3009" t="str">
            <v>ÁGATA</v>
          </cell>
          <cell r="F3009" t="str">
            <v>COZINHA</v>
          </cell>
          <cell r="G3009" t="str">
            <v/>
          </cell>
          <cell r="H3009">
            <v>4039.99</v>
          </cell>
          <cell r="I3009">
            <v>3579.99</v>
          </cell>
          <cell r="J3009">
            <v>2881.8182999999999</v>
          </cell>
          <cell r="K3009">
            <v>0</v>
          </cell>
          <cell r="L3009">
            <v>2881.8182999999999</v>
          </cell>
          <cell r="M3009">
            <v>0</v>
          </cell>
          <cell r="N3009">
            <v>3579.99</v>
          </cell>
          <cell r="O3009" t="str">
            <v/>
          </cell>
          <cell r="P3009">
            <v>0</v>
          </cell>
          <cell r="Q3009">
            <v>0.24226777239911301</v>
          </cell>
          <cell r="R3009">
            <v>0.24226777239911301</v>
          </cell>
          <cell r="S3009" t="e">
            <v>#VALUE!</v>
          </cell>
          <cell r="T3009" t="e">
            <v>#VALUE!</v>
          </cell>
        </row>
        <row r="3010">
          <cell r="A3010" t="str">
            <v>GRGL2600039B</v>
          </cell>
          <cell r="B3010" t="str">
            <v>MKP000631005028</v>
          </cell>
          <cell r="C3010" t="str">
            <v/>
          </cell>
          <cell r="D3010" t="str">
            <v>Armário de Cozinha Completa 260cm Branco/Rustic Glamy Madesa 03</v>
          </cell>
          <cell r="E3010" t="str">
            <v>GLAMY</v>
          </cell>
          <cell r="F3010" t="str">
            <v>COZINHA</v>
          </cell>
          <cell r="G3010" t="str">
            <v/>
          </cell>
          <cell r="H3010">
            <v>1889.99</v>
          </cell>
          <cell r="I3010">
            <v>1799.99</v>
          </cell>
          <cell r="J3010">
            <v>1407.5279</v>
          </cell>
          <cell r="K3010">
            <v>0</v>
          </cell>
          <cell r="L3010">
            <v>1407.5279</v>
          </cell>
          <cell r="M3010">
            <v>0</v>
          </cell>
          <cell r="N3010">
            <v>1799.99</v>
          </cell>
          <cell r="O3010" t="str">
            <v/>
          </cell>
          <cell r="P3010">
            <v>0</v>
          </cell>
          <cell r="Q3010">
            <v>0.27883077841654202</v>
          </cell>
          <cell r="R3010">
            <v>0.27883077841654202</v>
          </cell>
          <cell r="S3010" t="e">
            <v>#VALUE!</v>
          </cell>
          <cell r="T3010" t="e">
            <v>#VALUE!</v>
          </cell>
        </row>
        <row r="3011">
          <cell r="A3011" t="str">
            <v>MDJA0401175ZLIB</v>
          </cell>
          <cell r="B3011" t="str">
            <v>MKP000631004164</v>
          </cell>
          <cell r="C3011" t="str">
            <v/>
          </cell>
          <cell r="D3011" t="str">
            <v>Conjunto Sala de Jantar Madesa Paula Mesa Tampo de Vidro Redondo 4 Cadeiras Rustic/Lírio Bege</v>
          </cell>
          <cell r="E3011" t="str">
            <v>PAULA</v>
          </cell>
          <cell r="F3011" t="str">
            <v>SALA DE JANTAR</v>
          </cell>
          <cell r="G3011" t="str">
            <v>4290X</v>
          </cell>
          <cell r="H3011">
            <v>1379.99</v>
          </cell>
          <cell r="I3011">
            <v>789.99</v>
          </cell>
          <cell r="J3011">
            <v>616.90729999999996</v>
          </cell>
          <cell r="K3011">
            <v>0</v>
          </cell>
          <cell r="L3011">
            <v>616.90729999999996</v>
          </cell>
          <cell r="M3011">
            <v>0</v>
          </cell>
          <cell r="N3011">
            <v>789.99</v>
          </cell>
          <cell r="O3011" t="str">
            <v/>
          </cell>
          <cell r="P3011">
            <v>0</v>
          </cell>
          <cell r="Q3011">
            <v>0.28056516757055699</v>
          </cell>
          <cell r="R3011">
            <v>0.28056516757055699</v>
          </cell>
          <cell r="S3011" t="e">
            <v>#VALUE!</v>
          </cell>
          <cell r="T3011" t="e">
            <v>#VALUE!</v>
          </cell>
        </row>
        <row r="3012">
          <cell r="A3012" t="str">
            <v>GIGL12000109</v>
          </cell>
          <cell r="B3012" t="str">
            <v>MKP000631006015</v>
          </cell>
          <cell r="C3012" t="str">
            <v/>
          </cell>
          <cell r="D3012" t="str">
            <v>Ilha de Cozinha com Bancada e Balcão 120 cm Branco Glamy Madesa</v>
          </cell>
          <cell r="E3012" t="str">
            <v>GLAMY</v>
          </cell>
          <cell r="F3012" t="str">
            <v>MODULAÇÃO</v>
          </cell>
          <cell r="G3012" t="str">
            <v/>
          </cell>
          <cell r="H3012">
            <v>979.99</v>
          </cell>
          <cell r="I3012">
            <v>979.99</v>
          </cell>
          <cell r="J3012">
            <v>757.44100000000003</v>
          </cell>
          <cell r="K3012">
            <v>0</v>
          </cell>
          <cell r="L3012">
            <v>757.44100000000003</v>
          </cell>
          <cell r="M3012">
            <v>0</v>
          </cell>
          <cell r="N3012">
            <v>979.99</v>
          </cell>
          <cell r="O3012" t="str">
            <v/>
          </cell>
          <cell r="P3012">
            <v>0</v>
          </cell>
          <cell r="Q3012">
            <v>0.293816944158027</v>
          </cell>
          <cell r="R3012">
            <v>0.293816944158027</v>
          </cell>
          <cell r="S3012" t="e">
            <v>#VALUE!</v>
          </cell>
          <cell r="T3012" t="e">
            <v>#VALUE!</v>
          </cell>
        </row>
        <row r="3013">
          <cell r="A3013" t="str">
            <v>G248007KGL</v>
          </cell>
          <cell r="B3013" t="str">
            <v>MKP000631001149</v>
          </cell>
          <cell r="C3013" t="str">
            <v/>
          </cell>
          <cell r="D3013" t="str">
            <v>Balcão Madesa Glamy 80 cm 2 Portas Rustic/Preto</v>
          </cell>
          <cell r="E3013" t="str">
            <v>GLAMY</v>
          </cell>
          <cell r="F3013" t="str">
            <v>MODULAÇÃO</v>
          </cell>
          <cell r="G3013" t="str">
            <v/>
          </cell>
          <cell r="H3013">
            <v>939.99</v>
          </cell>
          <cell r="I3013">
            <v>519.99</v>
          </cell>
          <cell r="J3013">
            <v>333.19119999999998</v>
          </cell>
          <cell r="K3013">
            <v>0</v>
          </cell>
          <cell r="L3013">
            <v>333.19119999999998</v>
          </cell>
          <cell r="M3013">
            <v>0</v>
          </cell>
          <cell r="N3013">
            <v>519.99</v>
          </cell>
          <cell r="O3013" t="str">
            <v/>
          </cell>
          <cell r="P3013">
            <v>0</v>
          </cell>
          <cell r="Q3013">
            <v>0.56063545495799405</v>
          </cell>
          <cell r="R3013">
            <v>0.56063545495799405</v>
          </cell>
          <cell r="S3013" t="e">
            <v>#VALUE!</v>
          </cell>
          <cell r="T3013" t="e">
            <v>#VALUE!</v>
          </cell>
        </row>
        <row r="3014">
          <cell r="A3014" t="str">
            <v>G2570273GL</v>
          </cell>
          <cell r="B3014" t="str">
            <v>MKP000631003494</v>
          </cell>
          <cell r="C3014" t="str">
            <v/>
          </cell>
          <cell r="D3014" t="str">
            <v>Armário Aéreo de Cozinha Madesa Glamy 70 cm 1 Porta Basculante Branco/Preto</v>
          </cell>
          <cell r="E3014" t="str">
            <v>GLAMY</v>
          </cell>
          <cell r="F3014" t="str">
            <v>MODULAÇÃO</v>
          </cell>
          <cell r="G3014" t="str">
            <v/>
          </cell>
          <cell r="H3014">
            <v>409.99</v>
          </cell>
          <cell r="I3014">
            <v>259.99</v>
          </cell>
          <cell r="J3014">
            <v>166.5847</v>
          </cell>
          <cell r="K3014">
            <v>0</v>
          </cell>
          <cell r="L3014">
            <v>166.5847</v>
          </cell>
          <cell r="M3014">
            <v>0</v>
          </cell>
          <cell r="N3014">
            <v>259.99</v>
          </cell>
          <cell r="O3014" t="str">
            <v/>
          </cell>
          <cell r="P3014">
            <v>0</v>
          </cell>
          <cell r="Q3014">
            <v>0.56070755597602895</v>
          </cell>
          <cell r="R3014">
            <v>0.56070755597602895</v>
          </cell>
          <cell r="S3014" t="e">
            <v>#VALUE!</v>
          </cell>
          <cell r="T3014" t="e">
            <v>#VALUE!</v>
          </cell>
        </row>
        <row r="3015">
          <cell r="A3015" t="str">
            <v>G257006EGL</v>
          </cell>
          <cell r="B3015" t="str">
            <v>MKP000631005448</v>
          </cell>
          <cell r="C3015" t="str">
            <v/>
          </cell>
          <cell r="D3015" t="str">
            <v>Armário Aéreo 70 cm 2 Portas Rustic/Branco Glamy Madesa</v>
          </cell>
          <cell r="E3015" t="str">
            <v>GLAMY</v>
          </cell>
          <cell r="F3015" t="str">
            <v>MODULAÇÃO</v>
          </cell>
          <cell r="G3015" t="str">
            <v/>
          </cell>
          <cell r="H3015">
            <v>519.99</v>
          </cell>
          <cell r="I3015">
            <v>419.99</v>
          </cell>
          <cell r="J3015">
            <v>249.31569999999999</v>
          </cell>
          <cell r="K3015">
            <v>0</v>
          </cell>
          <cell r="L3015">
            <v>249.31569999999999</v>
          </cell>
          <cell r="M3015">
            <v>0</v>
          </cell>
          <cell r="N3015">
            <v>419.99</v>
          </cell>
          <cell r="O3015" t="str">
            <v/>
          </cell>
          <cell r="P3015">
            <v>0</v>
          </cell>
          <cell r="Q3015">
            <v>0.68457100776244695</v>
          </cell>
          <cell r="R3015">
            <v>0.68457100776244695</v>
          </cell>
          <cell r="S3015" t="e">
            <v>#VALUE!</v>
          </cell>
          <cell r="T3015" t="e">
            <v>#VALUE!</v>
          </cell>
        </row>
        <row r="3016">
          <cell r="A3016" t="str">
            <v>G2580073LX</v>
          </cell>
          <cell r="B3016" t="str">
            <v>MKP000631003257</v>
          </cell>
          <cell r="C3016" t="str">
            <v/>
          </cell>
          <cell r="D3016" t="str">
            <v>Armário Aéreo Madesa Lux 80 cm 2 Portas Branco/Preto</v>
          </cell>
          <cell r="E3016" t="str">
            <v>LUX</v>
          </cell>
          <cell r="F3016" t="str">
            <v>MODULAÇÃO</v>
          </cell>
          <cell r="G3016" t="str">
            <v/>
          </cell>
          <cell r="H3016">
            <v>1059.99</v>
          </cell>
          <cell r="I3016">
            <v>759.99</v>
          </cell>
          <cell r="J3016">
            <v>431.73809999999997</v>
          </cell>
          <cell r="K3016">
            <v>0</v>
          </cell>
          <cell r="L3016">
            <v>431.73809999999997</v>
          </cell>
          <cell r="M3016">
            <v>0</v>
          </cell>
          <cell r="N3016">
            <v>759.99</v>
          </cell>
          <cell r="O3016" t="str">
            <v>LOJA</v>
          </cell>
          <cell r="P3016">
            <v>749.99</v>
          </cell>
          <cell r="Q3016">
            <v>0.76030329498369498</v>
          </cell>
          <cell r="R3016">
            <v>0.76030329498369498</v>
          </cell>
          <cell r="S3016" t="e">
            <v>#VALUE!</v>
          </cell>
          <cell r="T3016" t="e">
            <v>#VALUE!</v>
          </cell>
        </row>
        <row r="3017">
          <cell r="A3017" t="str">
            <v>G256009BTE</v>
          </cell>
          <cell r="B3017" t="str">
            <v>MKP000631002110</v>
          </cell>
          <cell r="C3017" t="str">
            <v/>
          </cell>
          <cell r="D3017" t="str">
            <v>Armário Aéreo Madesa Stella 60 cm 1 Porta Branco/Rustic</v>
          </cell>
          <cell r="E3017" t="str">
            <v>STELLA</v>
          </cell>
          <cell r="F3017" t="str">
            <v>MODULAÇÃO</v>
          </cell>
          <cell r="G3017" t="str">
            <v/>
          </cell>
          <cell r="H3017">
            <v>449.99</v>
          </cell>
          <cell r="I3017">
            <v>319.99</v>
          </cell>
          <cell r="J3017">
            <v>184.84219999999999</v>
          </cell>
          <cell r="K3017">
            <v>0</v>
          </cell>
          <cell r="L3017">
            <v>184.84219999999999</v>
          </cell>
          <cell r="M3017">
            <v>0</v>
          </cell>
          <cell r="N3017">
            <v>319.99</v>
          </cell>
          <cell r="O3017" t="str">
            <v/>
          </cell>
          <cell r="P3017">
            <v>0</v>
          </cell>
          <cell r="Q3017">
            <v>0.73115230180121205</v>
          </cell>
          <cell r="R3017">
            <v>0.73115230180121205</v>
          </cell>
          <cell r="S3017" t="e">
            <v>#VALUE!</v>
          </cell>
          <cell r="T3017" t="e">
            <v>#VALUE!</v>
          </cell>
        </row>
        <row r="3018">
          <cell r="A3018" t="str">
            <v>G241055ZEMCP</v>
          </cell>
          <cell r="B3018" t="str">
            <v>MKP000631005469</v>
          </cell>
          <cell r="C3018" t="str">
            <v/>
          </cell>
          <cell r="D3018" t="str">
            <v>Balcão Gabinete com Pia 3 Portas e 1 Gaveta 105cm Rustic Emilly Madesa</v>
          </cell>
          <cell r="E3018" t="str">
            <v>EMILLY</v>
          </cell>
          <cell r="F3018" t="str">
            <v>MODULAÇÃO</v>
          </cell>
          <cell r="G3018" t="str">
            <v/>
          </cell>
          <cell r="H3018">
            <v>849.99</v>
          </cell>
          <cell r="I3018">
            <v>749.99</v>
          </cell>
          <cell r="J3018">
            <v>611.14120000000003</v>
          </cell>
          <cell r="K3018">
            <v>0</v>
          </cell>
          <cell r="L3018">
            <v>611.14120000000003</v>
          </cell>
          <cell r="M3018">
            <v>0</v>
          </cell>
          <cell r="N3018">
            <v>749.99</v>
          </cell>
          <cell r="O3018" t="str">
            <v/>
          </cell>
          <cell r="P3018">
            <v>0</v>
          </cell>
          <cell r="Q3018">
            <v>0.22719594097076101</v>
          </cell>
          <cell r="R3018">
            <v>0.22719594097076101</v>
          </cell>
          <cell r="S3018" t="e">
            <v>#VALUE!</v>
          </cell>
          <cell r="T3018" t="e">
            <v>#VALUE!</v>
          </cell>
        </row>
        <row r="3019">
          <cell r="A3019" t="str">
            <v>GREM2610047K</v>
          </cell>
          <cell r="B3019" t="str">
            <v>MKP000631005154</v>
          </cell>
          <cell r="C3019" t="str">
            <v/>
          </cell>
          <cell r="D3019" t="str">
            <v>Armário de Cozinha Completa 261cm Rustic/Preto Emilly Madesa 04</v>
          </cell>
          <cell r="E3019" t="str">
            <v>EMILLY</v>
          </cell>
          <cell r="F3019" t="str">
            <v>COZINHA</v>
          </cell>
          <cell r="G3019" t="str">
            <v/>
          </cell>
          <cell r="H3019">
            <v>1469.99</v>
          </cell>
          <cell r="I3019">
            <v>1369.99</v>
          </cell>
          <cell r="J3019">
            <v>1096.0604000000001</v>
          </cell>
          <cell r="K3019">
            <v>0</v>
          </cell>
          <cell r="L3019">
            <v>1096.0604000000001</v>
          </cell>
          <cell r="M3019">
            <v>0</v>
          </cell>
          <cell r="N3019">
            <v>1369.99</v>
          </cell>
          <cell r="O3019" t="str">
            <v/>
          </cell>
          <cell r="P3019">
            <v>0</v>
          </cell>
          <cell r="Q3019">
            <v>0.24992199335000101</v>
          </cell>
          <cell r="R3019">
            <v>0.24992199335000101</v>
          </cell>
          <cell r="S3019" t="e">
            <v>#VALUE!</v>
          </cell>
          <cell r="T3019" t="e">
            <v>#VALUE!</v>
          </cell>
        </row>
        <row r="3020">
          <cell r="A3020" t="str">
            <v>GRAG2700017K</v>
          </cell>
          <cell r="B3020" t="str">
            <v>MKP000631004471</v>
          </cell>
          <cell r="C3020" t="str">
            <v/>
          </cell>
          <cell r="D3020" t="str">
            <v>Armário de Cozinha Completa 270cm Rustic/Preto Agata Madesa 01</v>
          </cell>
          <cell r="E3020" t="str">
            <v>ÁGATA</v>
          </cell>
          <cell r="F3020" t="str">
            <v>COZINHA</v>
          </cell>
          <cell r="G3020" t="str">
            <v/>
          </cell>
          <cell r="H3020">
            <v>2399.9899999999998</v>
          </cell>
          <cell r="I3020">
            <v>2299.9899999999998</v>
          </cell>
          <cell r="J3020">
            <v>1858.4391000000001</v>
          </cell>
          <cell r="K3020">
            <v>0</v>
          </cell>
          <cell r="L3020">
            <v>1858.4391000000001</v>
          </cell>
          <cell r="M3020">
            <v>0</v>
          </cell>
          <cell r="N3020">
            <v>2299.9899999999998</v>
          </cell>
          <cell r="O3020" t="str">
            <v/>
          </cell>
          <cell r="P3020">
            <v>0</v>
          </cell>
          <cell r="Q3020">
            <v>0.237592342950598</v>
          </cell>
          <cell r="R3020">
            <v>0.237592342950598</v>
          </cell>
          <cell r="S3020" t="e">
            <v>#VALUE!</v>
          </cell>
          <cell r="T3020" t="e">
            <v>#VALUE!</v>
          </cell>
        </row>
        <row r="3021">
          <cell r="A3021" t="str">
            <v>GRAG270005F8</v>
          </cell>
          <cell r="B3021" t="str">
            <v>MKP000631004553</v>
          </cell>
          <cell r="C3021" t="str">
            <v/>
          </cell>
          <cell r="D3021" t="str">
            <v>Armário de Cozinha Completa 270cm Branco/Cinza Agata Madesa 05</v>
          </cell>
          <cell r="E3021" t="str">
            <v>ÁGATA</v>
          </cell>
          <cell r="F3021" t="str">
            <v>COZINHA</v>
          </cell>
          <cell r="G3021" t="str">
            <v/>
          </cell>
          <cell r="H3021">
            <v>1799.99</v>
          </cell>
          <cell r="I3021">
            <v>1699.99</v>
          </cell>
          <cell r="J3021">
            <v>1370.0536999999999</v>
          </cell>
          <cell r="K3021">
            <v>0</v>
          </cell>
          <cell r="L3021">
            <v>1370.0536999999999</v>
          </cell>
          <cell r="M3021">
            <v>0</v>
          </cell>
          <cell r="N3021">
            <v>1699.99</v>
          </cell>
          <cell r="O3021" t="str">
            <v/>
          </cell>
          <cell r="P3021">
            <v>0</v>
          </cell>
          <cell r="Q3021">
            <v>0.24081997661843499</v>
          </cell>
          <cell r="R3021">
            <v>0.24081997661843499</v>
          </cell>
          <cell r="S3021" t="e">
            <v>#VALUE!</v>
          </cell>
          <cell r="T3021" t="e">
            <v>#VALUE!</v>
          </cell>
        </row>
        <row r="3022">
          <cell r="A3022" t="str">
            <v>MDES0200207K5Z</v>
          </cell>
          <cell r="B3022" t="str">
            <v>MKP000631002804</v>
          </cell>
          <cell r="C3022" t="str">
            <v/>
          </cell>
          <cell r="D3022" t="str">
            <v>Rack Madesa Cancun com Pés e Painel para TV até 65 Polegadas Rustic/Preto 7K5Z</v>
          </cell>
          <cell r="E3022" t="str">
            <v>CANCUN</v>
          </cell>
          <cell r="F3022" t="str">
            <v>SALA DE ESTAR</v>
          </cell>
          <cell r="G3022" t="str">
            <v/>
          </cell>
          <cell r="H3022">
            <v>699.99</v>
          </cell>
          <cell r="I3022">
            <v>599.99</v>
          </cell>
          <cell r="J3022">
            <v>470.45490000000001</v>
          </cell>
          <cell r="K3022">
            <v>0</v>
          </cell>
          <cell r="L3022">
            <v>470.45490000000001</v>
          </cell>
          <cell r="M3022">
            <v>0</v>
          </cell>
          <cell r="N3022">
            <v>599.99</v>
          </cell>
          <cell r="O3022" t="str">
            <v/>
          </cell>
          <cell r="P3022">
            <v>0</v>
          </cell>
          <cell r="Q3022">
            <v>0.27534010167605799</v>
          </cell>
          <cell r="R3022">
            <v>0.27534010167605799</v>
          </cell>
          <cell r="S3022" t="e">
            <v>#VALUE!</v>
          </cell>
          <cell r="T3022" t="e">
            <v>#VALUE!</v>
          </cell>
        </row>
        <row r="3023">
          <cell r="A3023" t="str">
            <v>G241247KGL</v>
          </cell>
          <cell r="B3023" t="str">
            <v>MKP000631002841</v>
          </cell>
          <cell r="C3023" t="str">
            <v/>
          </cell>
          <cell r="D3023" t="str">
            <v>Balcão Gabinete de Pia Madesa Glamy 120 cm 2 Portas e 3 Gavetas (Sem Tampo e Pia) Rustic/Preto</v>
          </cell>
          <cell r="E3023" t="str">
            <v>GLAMY</v>
          </cell>
          <cell r="F3023" t="str">
            <v>MODULAÇÃO</v>
          </cell>
          <cell r="G3023" t="str">
            <v/>
          </cell>
          <cell r="H3023">
            <v>1279.99</v>
          </cell>
          <cell r="I3023">
            <v>719.99</v>
          </cell>
          <cell r="J3023">
            <v>557.96010000000001</v>
          </cell>
          <cell r="K3023">
            <v>0</v>
          </cell>
          <cell r="L3023">
            <v>557.96010000000001</v>
          </cell>
          <cell r="M3023">
            <v>0</v>
          </cell>
          <cell r="N3023">
            <v>719.99</v>
          </cell>
          <cell r="O3023" t="str">
            <v/>
          </cell>
          <cell r="P3023">
            <v>0</v>
          </cell>
          <cell r="Q3023">
            <v>0.29039692981630799</v>
          </cell>
          <cell r="R3023">
            <v>0.29039692981630799</v>
          </cell>
          <cell r="S3023" t="e">
            <v>#VALUE!</v>
          </cell>
          <cell r="T3023" t="e">
            <v>#VALUE!</v>
          </cell>
        </row>
        <row r="3024">
          <cell r="A3024" t="str">
            <v>GRAG180009F8</v>
          </cell>
          <cell r="B3024" t="str">
            <v>MKP000631005271</v>
          </cell>
          <cell r="C3024" t="str">
            <v/>
          </cell>
          <cell r="D3024" t="str">
            <v>Armário de  Cozinha Compacta 180cm Branco/Cinza Agata Madesa 09</v>
          </cell>
          <cell r="E3024" t="str">
            <v>ÁGATA</v>
          </cell>
          <cell r="F3024" t="str">
            <v>COZINHA</v>
          </cell>
          <cell r="G3024" t="str">
            <v/>
          </cell>
          <cell r="H3024">
            <v>1399.99</v>
          </cell>
          <cell r="I3024">
            <v>1299.99</v>
          </cell>
          <cell r="J3024">
            <v>999.91150000000005</v>
          </cell>
          <cell r="K3024">
            <v>0</v>
          </cell>
          <cell r="L3024">
            <v>999.91150000000005</v>
          </cell>
          <cell r="M3024">
            <v>0</v>
          </cell>
          <cell r="N3024">
            <v>1299.99</v>
          </cell>
          <cell r="O3024" t="str">
            <v/>
          </cell>
          <cell r="P3024">
            <v>0</v>
          </cell>
          <cell r="Q3024">
            <v>0.300105059297748</v>
          </cell>
          <cell r="R3024">
            <v>0.300105059297748</v>
          </cell>
          <cell r="S3024" t="e">
            <v>#VALUE!</v>
          </cell>
          <cell r="T3024" t="e">
            <v>#VALUE!</v>
          </cell>
        </row>
        <row r="3025">
          <cell r="A3025" t="str">
            <v>MDJA0601557KPT</v>
          </cell>
          <cell r="B3025" t="str">
            <v>MKP000631005883</v>
          </cell>
          <cell r="C3025" t="str">
            <v/>
          </cell>
          <cell r="D3025" t="str">
            <v>Conjunto Sala de Jantar Mesa Tampo de Madeira 6 Cadeiras Rustic/Preto Beverly Madesa</v>
          </cell>
          <cell r="E3025" t="str">
            <v>BEVERLY</v>
          </cell>
          <cell r="F3025" t="str">
            <v>SALA DE JANTAR</v>
          </cell>
          <cell r="G3025" t="str">
            <v>4280X</v>
          </cell>
          <cell r="H3025">
            <v>899.99</v>
          </cell>
          <cell r="I3025">
            <v>799.99</v>
          </cell>
          <cell r="J3025">
            <v>608.61239999999998</v>
          </cell>
          <cell r="K3025">
            <v>0</v>
          </cell>
          <cell r="L3025">
            <v>608.61239999999998</v>
          </cell>
          <cell r="M3025">
            <v>0</v>
          </cell>
          <cell r="N3025">
            <v>799.99</v>
          </cell>
          <cell r="O3025" t="str">
            <v/>
          </cell>
          <cell r="P3025">
            <v>0</v>
          </cell>
          <cell r="Q3025">
            <v>0.31444906479066098</v>
          </cell>
          <cell r="R3025">
            <v>0.31444906479066098</v>
          </cell>
          <cell r="S3025" t="e">
            <v>#VALUE!</v>
          </cell>
          <cell r="T3025" t="e">
            <v>#VALUE!</v>
          </cell>
        </row>
        <row r="3026">
          <cell r="A3026" t="str">
            <v>GRAG1800095L</v>
          </cell>
          <cell r="B3026" t="str">
            <v>MKP000631005423</v>
          </cell>
          <cell r="C3026" t="str">
            <v/>
          </cell>
          <cell r="D3026" t="str">
            <v>Armário de Cozinha Compacta 180cm Branco/Crema Agata Madesa 09</v>
          </cell>
          <cell r="E3026" t="str">
            <v>ÁGATA</v>
          </cell>
          <cell r="F3026" t="str">
            <v>COZINHA</v>
          </cell>
          <cell r="G3026" t="str">
            <v/>
          </cell>
          <cell r="H3026">
            <v>1339.99</v>
          </cell>
          <cell r="I3026">
            <v>1339.99</v>
          </cell>
          <cell r="J3026">
            <v>999.91150000000005</v>
          </cell>
          <cell r="K3026">
            <v>0</v>
          </cell>
          <cell r="L3026">
            <v>999.91150000000005</v>
          </cell>
          <cell r="M3026">
            <v>0</v>
          </cell>
          <cell r="N3026">
            <v>1339.99</v>
          </cell>
          <cell r="O3026" t="str">
            <v/>
          </cell>
          <cell r="P3026">
            <v>0</v>
          </cell>
          <cell r="Q3026">
            <v>0.34010859961106599</v>
          </cell>
          <cell r="R3026">
            <v>0.34010859961106599</v>
          </cell>
          <cell r="S3026" t="e">
            <v>#VALUE!</v>
          </cell>
          <cell r="T3026" t="e">
            <v>#VALUE!</v>
          </cell>
        </row>
        <row r="3027">
          <cell r="A3027" t="str">
            <v>G2512173AG</v>
          </cell>
          <cell r="B3027" t="str">
            <v>MKP000631003044</v>
          </cell>
          <cell r="C3027" t="str">
            <v/>
          </cell>
          <cell r="D3027" t="str">
            <v>Armário Aéreo Madesa Agata 120 cm 2 Portas Branco/Preto</v>
          </cell>
          <cell r="E3027" t="str">
            <v>ÁGATA</v>
          </cell>
          <cell r="F3027" t="str">
            <v>MODULAÇÃO</v>
          </cell>
          <cell r="G3027" t="str">
            <v/>
          </cell>
          <cell r="H3027">
            <v>829.99</v>
          </cell>
          <cell r="I3027">
            <v>489.99</v>
          </cell>
          <cell r="J3027">
            <v>307.46719999999999</v>
          </cell>
          <cell r="K3027">
            <v>0</v>
          </cell>
          <cell r="L3027">
            <v>307.46719999999999</v>
          </cell>
          <cell r="M3027">
            <v>0</v>
          </cell>
          <cell r="N3027">
            <v>489.99</v>
          </cell>
          <cell r="O3027" t="str">
            <v/>
          </cell>
          <cell r="P3027">
            <v>0</v>
          </cell>
          <cell r="Q3027">
            <v>0.59363340219704797</v>
          </cell>
          <cell r="R3027">
            <v>0.59363340219704797</v>
          </cell>
          <cell r="S3027" t="e">
            <v>#VALUE!</v>
          </cell>
          <cell r="T3027" t="e">
            <v>#VALUE!</v>
          </cell>
        </row>
        <row r="3028">
          <cell r="A3028" t="str">
            <v>GILX120001H8</v>
          </cell>
          <cell r="B3028" t="str">
            <v>MKP000631006002</v>
          </cell>
          <cell r="C3028" t="str">
            <v/>
          </cell>
          <cell r="D3028" t="str">
            <v>Ilha de Cozinha com Bancada e Balcão 120 cm Rustic/Branco Lux Madesa</v>
          </cell>
          <cell r="E3028" t="str">
            <v>LUX</v>
          </cell>
          <cell r="F3028" t="str">
            <v>MODULAÇÃO</v>
          </cell>
          <cell r="G3028" t="str">
            <v/>
          </cell>
          <cell r="H3028">
            <v>1179.99</v>
          </cell>
          <cell r="I3028">
            <v>1179.99</v>
          </cell>
          <cell r="J3028">
            <v>710.91980000000001</v>
          </cell>
          <cell r="K3028">
            <v>0</v>
          </cell>
          <cell r="L3028">
            <v>710.91980000000001</v>
          </cell>
          <cell r="M3028">
            <v>0</v>
          </cell>
          <cell r="N3028">
            <v>1179.99</v>
          </cell>
          <cell r="O3028" t="str">
            <v/>
          </cell>
          <cell r="P3028">
            <v>0</v>
          </cell>
          <cell r="Q3028">
            <v>0.65980747758045299</v>
          </cell>
          <cell r="R3028">
            <v>0.65980747758045299</v>
          </cell>
          <cell r="S3028" t="e">
            <v>#VALUE!</v>
          </cell>
          <cell r="T3028" t="e">
            <v>#VALUE!</v>
          </cell>
        </row>
        <row r="3029">
          <cell r="A3029" t="str">
            <v>G2580473LX</v>
          </cell>
          <cell r="B3029" t="str">
            <v>MKP000631003256</v>
          </cell>
          <cell r="C3029" t="str">
            <v/>
          </cell>
          <cell r="D3029" t="str">
            <v>Armário Aéreo Madesa Lux 80 cm 1 Porta Basculante Branco/Preto</v>
          </cell>
          <cell r="E3029" t="str">
            <v>LUX</v>
          </cell>
          <cell r="F3029" t="str">
            <v>MODULAÇÃO</v>
          </cell>
          <cell r="G3029" t="str">
            <v/>
          </cell>
          <cell r="H3029">
            <v>839.99</v>
          </cell>
          <cell r="I3029">
            <v>459.99</v>
          </cell>
          <cell r="J3029">
            <v>259.15839999999997</v>
          </cell>
          <cell r="K3029">
            <v>0</v>
          </cell>
          <cell r="L3029">
            <v>259.15839999999997</v>
          </cell>
          <cell r="M3029">
            <v>0</v>
          </cell>
          <cell r="N3029">
            <v>459.99</v>
          </cell>
          <cell r="O3029" t="str">
            <v>LOJA</v>
          </cell>
          <cell r="P3029">
            <v>449.99</v>
          </cell>
          <cell r="Q3029">
            <v>0.77493764431328505</v>
          </cell>
          <cell r="R3029">
            <v>0.77493764431328505</v>
          </cell>
          <cell r="S3029" t="e">
            <v>#VALUE!</v>
          </cell>
          <cell r="T3029" t="e">
            <v>#VALUE!</v>
          </cell>
        </row>
        <row r="3030">
          <cell r="A3030" t="str">
            <v>MDFC0200148N8N</v>
          </cell>
          <cell r="B3030" t="str">
            <v>MKP000631003430</v>
          </cell>
          <cell r="C3030" t="str">
            <v/>
          </cell>
          <cell r="D3030" t="str">
            <v>Kit Madesa Estante Livreiro 6908 + Estante Livreiro 6907 Preto</v>
          </cell>
          <cell r="E3030" t="str">
            <v>6908 + 6907</v>
          </cell>
          <cell r="F3030" t="str">
            <v>ESCRITÓRIO</v>
          </cell>
          <cell r="G3030" t="str">
            <v/>
          </cell>
          <cell r="H3030">
            <v>769.99</v>
          </cell>
          <cell r="I3030">
            <v>639.99</v>
          </cell>
          <cell r="J3030">
            <v>385.53300000000002</v>
          </cell>
          <cell r="K3030">
            <v>0</v>
          </cell>
          <cell r="L3030">
            <v>385.53300000000002</v>
          </cell>
          <cell r="M3030">
            <v>0</v>
          </cell>
          <cell r="N3030">
            <v>639.99</v>
          </cell>
          <cell r="O3030" t="str">
            <v/>
          </cell>
          <cell r="P3030">
            <v>0</v>
          </cell>
          <cell r="Q3030">
            <v>0.66001353969699095</v>
          </cell>
          <cell r="R3030">
            <v>0.66001353969699095</v>
          </cell>
          <cell r="S3030" t="e">
            <v>#VALUE!</v>
          </cell>
          <cell r="T3030" t="e">
            <v>#VALUE!</v>
          </cell>
        </row>
        <row r="3031">
          <cell r="A3031" t="str">
            <v>GRGL290003C3</v>
          </cell>
          <cell r="B3031" t="str">
            <v>MKP000631001158</v>
          </cell>
          <cell r="C3031" t="str">
            <v/>
          </cell>
          <cell r="D3031" t="str">
            <v>Armário de Cozinha Completa 290cm Rustic/Preto/Crema Safira Madesa 03</v>
          </cell>
          <cell r="E3031" t="str">
            <v>SAFIRA/GLAMY</v>
          </cell>
          <cell r="F3031" t="str">
            <v>COZINHA</v>
          </cell>
          <cell r="G3031" t="str">
            <v/>
          </cell>
          <cell r="H3031">
            <v>3419.99</v>
          </cell>
          <cell r="I3031">
            <v>2099.9899999999998</v>
          </cell>
          <cell r="J3031">
            <v>1760.9930999999999</v>
          </cell>
          <cell r="K3031">
            <v>0</v>
          </cell>
          <cell r="L3031">
            <v>1760.9930999999999</v>
          </cell>
          <cell r="M3031">
            <v>0</v>
          </cell>
          <cell r="N3031">
            <v>2099.9899999999998</v>
          </cell>
          <cell r="O3031" t="str">
            <v/>
          </cell>
          <cell r="P3031">
            <v>0</v>
          </cell>
          <cell r="Q3031">
            <v>0.19250325285204101</v>
          </cell>
          <cell r="R3031">
            <v>0.19250325285204101</v>
          </cell>
          <cell r="S3031" t="e">
            <v>#VALUE!</v>
          </cell>
          <cell r="T3031" t="e">
            <v>#VALUE!</v>
          </cell>
        </row>
        <row r="3032">
          <cell r="A3032" t="str">
            <v>GRGL2700149B</v>
          </cell>
          <cell r="B3032" t="str">
            <v>MKP000631004603</v>
          </cell>
          <cell r="C3032" t="str">
            <v/>
          </cell>
          <cell r="D3032" t="str">
            <v>Armário de Cozinha Completa 270cm Branco/Rustic Glamy Madesa 14</v>
          </cell>
          <cell r="E3032" t="str">
            <v>GLAMY</v>
          </cell>
          <cell r="F3032" t="str">
            <v>COZINHA</v>
          </cell>
          <cell r="G3032" t="str">
            <v/>
          </cell>
          <cell r="H3032">
            <v>1999.99</v>
          </cell>
          <cell r="I3032">
            <v>1899.99</v>
          </cell>
          <cell r="J3032">
            <v>1576.9575</v>
          </cell>
          <cell r="K3032">
            <v>0</v>
          </cell>
          <cell r="L3032">
            <v>1576.9575</v>
          </cell>
          <cell r="M3032">
            <v>0</v>
          </cell>
          <cell r="N3032">
            <v>1899.99</v>
          </cell>
          <cell r="O3032" t="str">
            <v/>
          </cell>
          <cell r="P3032">
            <v>0</v>
          </cell>
          <cell r="Q3032">
            <v>0.20484540642344501</v>
          </cell>
          <cell r="R3032">
            <v>0.20484540642344501</v>
          </cell>
          <cell r="S3032" t="e">
            <v>#VALUE!</v>
          </cell>
          <cell r="T3032" t="e">
            <v>#VALUE!</v>
          </cell>
        </row>
        <row r="3033">
          <cell r="A3033" t="str">
            <v>GCGL3490016E</v>
          </cell>
          <cell r="B3033" t="str">
            <v>MKP000631004504</v>
          </cell>
          <cell r="C3033" t="str">
            <v/>
          </cell>
          <cell r="D3033" t="str">
            <v>Armário de Cozinha Completa de Canto 349cm Rustic/Branco Glamy Madesa 01</v>
          </cell>
          <cell r="E3033" t="str">
            <v>GLAMY</v>
          </cell>
          <cell r="F3033" t="str">
            <v>COZINHA</v>
          </cell>
          <cell r="G3033" t="str">
            <v/>
          </cell>
          <cell r="H3033">
            <v>2639.99</v>
          </cell>
          <cell r="I3033">
            <v>2539.9899999999998</v>
          </cell>
          <cell r="J3033">
            <v>2079.7745</v>
          </cell>
          <cell r="K3033">
            <v>0</v>
          </cell>
          <cell r="L3033">
            <v>2079.7745</v>
          </cell>
          <cell r="M3033">
            <v>0</v>
          </cell>
          <cell r="N3033">
            <v>2539.9899999999998</v>
          </cell>
          <cell r="O3033" t="str">
            <v/>
          </cell>
          <cell r="P3033">
            <v>0</v>
          </cell>
          <cell r="Q3033">
            <v>0.22128144181015799</v>
          </cell>
          <cell r="R3033">
            <v>0.22128144181015799</v>
          </cell>
          <cell r="S3033" t="e">
            <v>#VALUE!</v>
          </cell>
          <cell r="T3033" t="e">
            <v>#VALUE!</v>
          </cell>
        </row>
        <row r="3034">
          <cell r="A3034" t="str">
            <v>XA10945Z4G</v>
          </cell>
          <cell r="B3034" t="str">
            <v>MKP000631001624</v>
          </cell>
          <cell r="C3034" t="str">
            <v/>
          </cell>
          <cell r="D3034" t="str">
            <v>Guarda-Roupa Infantil Madesa Theo 2 Portas de Correr 4 Gavetas Rustic</v>
          </cell>
          <cell r="E3034" t="str">
            <v>THEO</v>
          </cell>
          <cell r="F3034" t="str">
            <v>QUARTO</v>
          </cell>
          <cell r="G3034" t="str">
            <v/>
          </cell>
          <cell r="H3034">
            <v>1119.99</v>
          </cell>
          <cell r="I3034">
            <v>829.99</v>
          </cell>
          <cell r="J3034">
            <v>652.58299999999997</v>
          </cell>
          <cell r="K3034">
            <v>0</v>
          </cell>
          <cell r="L3034">
            <v>652.58299999999997</v>
          </cell>
          <cell r="M3034">
            <v>0</v>
          </cell>
          <cell r="N3034">
            <v>829.99</v>
          </cell>
          <cell r="O3034" t="str">
            <v/>
          </cell>
          <cell r="P3034">
            <v>0</v>
          </cell>
          <cell r="Q3034">
            <v>0.27185354200155398</v>
          </cell>
          <cell r="R3034">
            <v>0.27185354200155398</v>
          </cell>
          <cell r="S3034" t="e">
            <v>#VALUE!</v>
          </cell>
          <cell r="T3034" t="e">
            <v>#VALUE!</v>
          </cell>
        </row>
        <row r="3035">
          <cell r="A3035" t="str">
            <v>XA10945Z2E2G</v>
          </cell>
          <cell r="B3035" t="str">
            <v>MKP000631001615</v>
          </cell>
          <cell r="C3035" t="str">
            <v/>
          </cell>
          <cell r="D3035" t="str">
            <v>Guarda-Roupa Infantil Madesa Bento 2 Portas de Correr de Espelho 2 Gavetas Rustic</v>
          </cell>
          <cell r="E3035" t="str">
            <v>BENTO</v>
          </cell>
          <cell r="F3035" t="str">
            <v>QUARTO</v>
          </cell>
          <cell r="G3035" t="str">
            <v/>
          </cell>
          <cell r="H3035">
            <v>1359.99</v>
          </cell>
          <cell r="I3035">
            <v>1049.99</v>
          </cell>
          <cell r="J3035">
            <v>823.70209999999997</v>
          </cell>
          <cell r="K3035">
            <v>0</v>
          </cell>
          <cell r="L3035">
            <v>823.70209999999997</v>
          </cell>
          <cell r="M3035">
            <v>0</v>
          </cell>
          <cell r="N3035">
            <v>1049.99</v>
          </cell>
          <cell r="O3035" t="str">
            <v/>
          </cell>
          <cell r="P3035">
            <v>0</v>
          </cell>
          <cell r="Q3035">
            <v>0.27472055734712802</v>
          </cell>
          <cell r="R3035">
            <v>0.27472055734712802</v>
          </cell>
          <cell r="S3035" t="e">
            <v>#VALUE!</v>
          </cell>
          <cell r="T3035" t="e">
            <v>#VALUE!</v>
          </cell>
        </row>
        <row r="3036">
          <cell r="A3036" t="str">
            <v>G2412473CT</v>
          </cell>
          <cell r="B3036" t="str">
            <v>MKP000631005847</v>
          </cell>
          <cell r="C3036" t="str">
            <v/>
          </cell>
          <cell r="D3036" t="str">
            <v>Balcão de Pia Cozinha 100% MDF 120 cm 3 Portas e 2 Gavetas Branco/Preto Acordes Madesa</v>
          </cell>
          <cell r="E3036" t="str">
            <v>ACORDES</v>
          </cell>
          <cell r="F3036" t="str">
            <v>MODULAÇÃO</v>
          </cell>
          <cell r="G3036" t="str">
            <v/>
          </cell>
          <cell r="H3036">
            <v>839.99</v>
          </cell>
          <cell r="I3036">
            <v>739.99</v>
          </cell>
          <cell r="J3036">
            <v>578.2559</v>
          </cell>
          <cell r="K3036">
            <v>0</v>
          </cell>
          <cell r="L3036">
            <v>578.2559</v>
          </cell>
          <cell r="M3036">
            <v>0</v>
          </cell>
          <cell r="N3036">
            <v>739.99</v>
          </cell>
          <cell r="O3036" t="str">
            <v/>
          </cell>
          <cell r="P3036">
            <v>0</v>
          </cell>
          <cell r="Q3036">
            <v>0.27969295254920901</v>
          </cell>
          <cell r="R3036">
            <v>0.27969295254920901</v>
          </cell>
          <cell r="S3036" t="e">
            <v>#VALUE!</v>
          </cell>
          <cell r="T3036" t="e">
            <v>#VALUE!</v>
          </cell>
        </row>
        <row r="3037">
          <cell r="A3037" t="str">
            <v>GITE1200016E</v>
          </cell>
          <cell r="B3037" t="str">
            <v>MKP000631006006</v>
          </cell>
          <cell r="C3037" t="str">
            <v/>
          </cell>
          <cell r="D3037" t="str">
            <v>Ilha de Cozinha com Bancada e Balcão 120 cm Rustic/Branco Stella Madesa</v>
          </cell>
          <cell r="E3037" t="str">
            <v>STELLA</v>
          </cell>
          <cell r="F3037" t="str">
            <v>MODULAÇÃO</v>
          </cell>
          <cell r="G3037" t="str">
            <v/>
          </cell>
          <cell r="H3037">
            <v>979.99</v>
          </cell>
          <cell r="I3037">
            <v>979.99</v>
          </cell>
          <cell r="J3037">
            <v>768.17750000000001</v>
          </cell>
          <cell r="K3037">
            <v>0</v>
          </cell>
          <cell r="L3037">
            <v>768.17750000000001</v>
          </cell>
          <cell r="M3037">
            <v>0</v>
          </cell>
          <cell r="N3037">
            <v>979.99</v>
          </cell>
          <cell r="O3037" t="str">
            <v/>
          </cell>
          <cell r="P3037">
            <v>0</v>
          </cell>
          <cell r="Q3037">
            <v>0.27573379850360102</v>
          </cell>
          <cell r="R3037">
            <v>0.27573379850360102</v>
          </cell>
          <cell r="S3037" t="e">
            <v>#VALUE!</v>
          </cell>
          <cell r="T3037" t="e">
            <v>#VALUE!</v>
          </cell>
        </row>
        <row r="3038">
          <cell r="A3038" t="str">
            <v>MDES0200146E6E</v>
          </cell>
          <cell r="B3038" t="str">
            <v>MKP000631002894</v>
          </cell>
          <cell r="C3038" t="str">
            <v/>
          </cell>
          <cell r="D3038" t="str">
            <v>Rack Madesa Dubai e Painel para TV até 65 Polegadas com Pés Rustic/Branco 6E6E</v>
          </cell>
          <cell r="E3038" t="str">
            <v>DUBAI</v>
          </cell>
          <cell r="F3038" t="str">
            <v>SALA DE ESTAR</v>
          </cell>
          <cell r="G3038" t="str">
            <v/>
          </cell>
          <cell r="H3038">
            <v>1149.99</v>
          </cell>
          <cell r="I3038">
            <v>599.99</v>
          </cell>
          <cell r="J3038">
            <v>442.649</v>
          </cell>
          <cell r="K3038">
            <v>0</v>
          </cell>
          <cell r="L3038">
            <v>442.649</v>
          </cell>
          <cell r="M3038">
            <v>0</v>
          </cell>
          <cell r="N3038">
            <v>599.99</v>
          </cell>
          <cell r="O3038" t="str">
            <v/>
          </cell>
          <cell r="P3038">
            <v>0</v>
          </cell>
          <cell r="Q3038">
            <v>0.35545319203251302</v>
          </cell>
          <cell r="R3038">
            <v>0.35545319203251302</v>
          </cell>
          <cell r="S3038" t="e">
            <v>#VALUE!</v>
          </cell>
          <cell r="T3038" t="e">
            <v>#VALUE!</v>
          </cell>
        </row>
        <row r="3039">
          <cell r="A3039" t="str">
            <v>G241209BGLCT</v>
          </cell>
          <cell r="B3039" t="str">
            <v>MKP000631003116</v>
          </cell>
          <cell r="C3039" t="str">
            <v/>
          </cell>
          <cell r="D3039" t="str">
            <v>Balcão de Pia Madesa Glamy 120 cm 2 Portas (Com Tampo) Branco/Rustic</v>
          </cell>
          <cell r="E3039" t="str">
            <v>GLAMY</v>
          </cell>
          <cell r="F3039" t="str">
            <v>MODULAÇÃO</v>
          </cell>
          <cell r="G3039" t="str">
            <v/>
          </cell>
          <cell r="H3039">
            <v>1149.99</v>
          </cell>
          <cell r="I3039">
            <v>619.99</v>
          </cell>
          <cell r="J3039">
            <v>467.7081</v>
          </cell>
          <cell r="K3039">
            <v>0</v>
          </cell>
          <cell r="L3039">
            <v>467.7081</v>
          </cell>
          <cell r="M3039">
            <v>0</v>
          </cell>
          <cell r="N3039">
            <v>619.99</v>
          </cell>
          <cell r="O3039" t="str">
            <v/>
          </cell>
          <cell r="P3039">
            <v>0</v>
          </cell>
          <cell r="Q3039">
            <v>0.32559175263374801</v>
          </cell>
          <cell r="R3039">
            <v>0.32559175263374801</v>
          </cell>
          <cell r="S3039" t="e">
            <v>#VALUE!</v>
          </cell>
          <cell r="T3039" t="e">
            <v>#VALUE!</v>
          </cell>
        </row>
        <row r="3040">
          <cell r="A3040" t="str">
            <v>42917G4XTLIB</v>
          </cell>
          <cell r="B3040" t="str">
            <v>MKP000631006092</v>
          </cell>
          <cell r="C3040" t="str">
            <v/>
          </cell>
          <cell r="D3040" t="str">
            <v>Kit 4 Cadeiras de Jantar 4291 Rustic/Crema/Lírio Bege Madesa</v>
          </cell>
          <cell r="E3040">
            <v>4291</v>
          </cell>
          <cell r="F3040" t="str">
            <v>SALA DE JANTAR</v>
          </cell>
          <cell r="G3040" t="str">
            <v>4291X</v>
          </cell>
          <cell r="H3040">
            <v>349.99</v>
          </cell>
          <cell r="I3040">
            <v>349.99</v>
          </cell>
          <cell r="J3040">
            <v>257.37079999999997</v>
          </cell>
          <cell r="K3040">
            <v>0</v>
          </cell>
          <cell r="L3040">
            <v>257.37079999999997</v>
          </cell>
          <cell r="M3040">
            <v>0</v>
          </cell>
          <cell r="N3040">
            <v>349.99</v>
          </cell>
          <cell r="O3040" t="str">
            <v/>
          </cell>
          <cell r="P3040">
            <v>0</v>
          </cell>
          <cell r="Q3040">
            <v>0.35986677587356403</v>
          </cell>
          <cell r="R3040">
            <v>0.35986677587356403</v>
          </cell>
          <cell r="S3040" t="e">
            <v>#VALUE!</v>
          </cell>
          <cell r="T3040" t="e">
            <v>#VALUE!</v>
          </cell>
        </row>
        <row r="3041">
          <cell r="A3041" t="str">
            <v>G2412309AG</v>
          </cell>
          <cell r="B3041" t="str">
            <v>MKP000631004645</v>
          </cell>
          <cell r="C3041" t="str">
            <v/>
          </cell>
          <cell r="D3041" t="str">
            <v>Balcão de Pia Madesa Agata 1 Porta e 2 Gavetas Branco</v>
          </cell>
          <cell r="E3041" t="str">
            <v>ÁGATA</v>
          </cell>
          <cell r="F3041" t="str">
            <v>MODULAÇÃO</v>
          </cell>
          <cell r="G3041" t="str">
            <v/>
          </cell>
          <cell r="H3041">
            <v>839.99</v>
          </cell>
          <cell r="I3041">
            <v>579.99</v>
          </cell>
          <cell r="J3041">
            <v>425.36160000000001</v>
          </cell>
          <cell r="K3041">
            <v>0</v>
          </cell>
          <cell r="L3041">
            <v>425.36160000000001</v>
          </cell>
          <cell r="M3041">
            <v>0</v>
          </cell>
          <cell r="N3041">
            <v>579.99</v>
          </cell>
          <cell r="O3041" t="str">
            <v/>
          </cell>
          <cell r="P3041">
            <v>0</v>
          </cell>
          <cell r="Q3041">
            <v>0.36352223613979201</v>
          </cell>
          <cell r="R3041">
            <v>0.36352223613979201</v>
          </cell>
          <cell r="S3041" t="e">
            <v>#VALUE!</v>
          </cell>
          <cell r="T3041" t="e">
            <v>#VALUE!</v>
          </cell>
        </row>
        <row r="3042">
          <cell r="A3042" t="str">
            <v>G221249RLXCT</v>
          </cell>
          <cell r="B3042" t="str">
            <v>MKP000631005111</v>
          </cell>
          <cell r="C3042" t="str">
            <v/>
          </cell>
          <cell r="D3042" t="str">
            <v>Balcão de Pia 120 cm 2 Portas 3 Gavetas Branco/Cinza Lux Madesa</v>
          </cell>
          <cell r="E3042" t="str">
            <v>LUX</v>
          </cell>
          <cell r="F3042" t="str">
            <v>MODULAÇÃO</v>
          </cell>
          <cell r="G3042" t="str">
            <v/>
          </cell>
          <cell r="H3042">
            <v>1699.99</v>
          </cell>
          <cell r="I3042">
            <v>1489.99</v>
          </cell>
          <cell r="J3042">
            <v>930.38040000000001</v>
          </cell>
          <cell r="K3042">
            <v>0</v>
          </cell>
          <cell r="L3042">
            <v>930.38040000000001</v>
          </cell>
          <cell r="M3042">
            <v>0</v>
          </cell>
          <cell r="N3042">
            <v>1489.99</v>
          </cell>
          <cell r="O3042" t="str">
            <v>LOJA</v>
          </cell>
          <cell r="P3042">
            <v>1479.99</v>
          </cell>
          <cell r="Q3042">
            <v>0.60148472603249203</v>
          </cell>
          <cell r="R3042">
            <v>0.60148472603249203</v>
          </cell>
          <cell r="S3042" t="e">
            <v>#VALUE!</v>
          </cell>
          <cell r="T3042" t="e">
            <v>#VALUE!</v>
          </cell>
        </row>
        <row r="3043">
          <cell r="A3043" t="str">
            <v>G2280009FF</v>
          </cell>
          <cell r="B3043" t="str">
            <v>MKP000631006025</v>
          </cell>
          <cell r="C3043" t="str">
            <v/>
          </cell>
          <cell r="D3043" t="str">
            <v>Balcão para Forno de Embutir 80 x 60 cm Sem Tampo Branco Agata, Glamy, Stella Madesa</v>
          </cell>
          <cell r="E3043" t="str">
            <v>PR</v>
          </cell>
          <cell r="F3043" t="str">
            <v>MODULAÇÃO</v>
          </cell>
          <cell r="G3043" t="str">
            <v/>
          </cell>
          <cell r="H3043">
            <v>449.99</v>
          </cell>
          <cell r="I3043">
            <v>449.99</v>
          </cell>
          <cell r="J3043">
            <v>301.64659999999998</v>
          </cell>
          <cell r="K3043">
            <v>0</v>
          </cell>
          <cell r="L3043">
            <v>301.64659999999998</v>
          </cell>
          <cell r="M3043">
            <v>0</v>
          </cell>
          <cell r="N3043">
            <v>449.99</v>
          </cell>
          <cell r="O3043" t="str">
            <v/>
          </cell>
          <cell r="P3043">
            <v>0</v>
          </cell>
          <cell r="Q3043">
            <v>0.49177879014714598</v>
          </cell>
          <cell r="R3043">
            <v>0.49177879014714598</v>
          </cell>
          <cell r="S3043" t="e">
            <v>#VALUE!</v>
          </cell>
          <cell r="T3043" t="e">
            <v>#VALUE!</v>
          </cell>
        </row>
        <row r="3044">
          <cell r="A3044" t="str">
            <v>G258009BGL</v>
          </cell>
          <cell r="B3044" t="str">
            <v>MKP000631000495</v>
          </cell>
          <cell r="C3044" t="str">
            <v/>
          </cell>
          <cell r="D3044" t="str">
            <v>Armário Aéreo Madesa Glamy 80 cm 2 Portas Branco/Rustic</v>
          </cell>
          <cell r="E3044" t="str">
            <v>GLAMY</v>
          </cell>
          <cell r="F3044" t="str">
            <v>MODULAÇÃO</v>
          </cell>
          <cell r="G3044" t="str">
            <v/>
          </cell>
          <cell r="H3044">
            <v>719.99</v>
          </cell>
          <cell r="I3044">
            <v>429.99</v>
          </cell>
          <cell r="J3044">
            <v>259.75790000000001</v>
          </cell>
          <cell r="K3044">
            <v>0</v>
          </cell>
          <cell r="L3044">
            <v>259.75790000000001</v>
          </cell>
          <cell r="M3044">
            <v>0</v>
          </cell>
          <cell r="N3044">
            <v>429.99</v>
          </cell>
          <cell r="O3044" t="str">
            <v/>
          </cell>
          <cell r="P3044">
            <v>0</v>
          </cell>
          <cell r="Q3044">
            <v>0.65534907696743805</v>
          </cell>
          <cell r="R3044">
            <v>0.65534907696743805</v>
          </cell>
          <cell r="S3044" t="e">
            <v>#VALUE!</v>
          </cell>
          <cell r="T3044" t="e">
            <v>#VALUE!</v>
          </cell>
        </row>
        <row r="3045">
          <cell r="A3045" t="str">
            <v>52757G2</v>
          </cell>
          <cell r="B3045" t="str">
            <v>MKP000631001583</v>
          </cell>
          <cell r="C3045" t="str">
            <v/>
          </cell>
          <cell r="D3045" t="str">
            <v>Mesa de Jantar Retangular Tampo de Madeira Rustic/Crema 5275 Madesa</v>
          </cell>
          <cell r="E3045">
            <v>5275</v>
          </cell>
          <cell r="F3045" t="str">
            <v>SALA DE JANTAR</v>
          </cell>
          <cell r="G3045" t="str">
            <v/>
          </cell>
          <cell r="H3045">
            <v>669.99</v>
          </cell>
          <cell r="I3045">
            <v>539.99</v>
          </cell>
          <cell r="J3045">
            <v>282.83319999999998</v>
          </cell>
          <cell r="K3045">
            <v>0</v>
          </cell>
          <cell r="L3045">
            <v>282.83319999999998</v>
          </cell>
          <cell r="M3045">
            <v>0</v>
          </cell>
          <cell r="N3045">
            <v>539.99</v>
          </cell>
          <cell r="O3045" t="str">
            <v/>
          </cell>
          <cell r="P3045">
            <v>0</v>
          </cell>
          <cell r="Q3045">
            <v>0.90921716403873398</v>
          </cell>
          <cell r="R3045">
            <v>0.90921716403873398</v>
          </cell>
          <cell r="S3045" t="e">
            <v>#VALUE!</v>
          </cell>
          <cell r="T3045" t="e">
            <v>#VALUE!</v>
          </cell>
        </row>
        <row r="3046">
          <cell r="A3046" t="str">
            <v>G25752F8AG</v>
          </cell>
          <cell r="B3046" t="str">
            <v>MKP000631002912</v>
          </cell>
          <cell r="C3046" t="str">
            <v/>
          </cell>
          <cell r="D3046" t="str">
            <v>Armário Aéreo de Canto Madesa Agata 1 Porta Branco/Cinza</v>
          </cell>
          <cell r="E3046" t="str">
            <v>ÁGATA</v>
          </cell>
          <cell r="F3046" t="str">
            <v>MODULAÇÃO</v>
          </cell>
          <cell r="G3046" t="str">
            <v/>
          </cell>
          <cell r="H3046">
            <v>749.99</v>
          </cell>
          <cell r="I3046">
            <v>429.99</v>
          </cell>
          <cell r="J3046">
            <v>234.81870000000001</v>
          </cell>
          <cell r="K3046">
            <v>0</v>
          </cell>
          <cell r="L3046">
            <v>234.81870000000001</v>
          </cell>
          <cell r="M3046">
            <v>0</v>
          </cell>
          <cell r="N3046">
            <v>429.99</v>
          </cell>
          <cell r="O3046" t="str">
            <v/>
          </cell>
          <cell r="P3046">
            <v>0</v>
          </cell>
          <cell r="Q3046">
            <v>0.83115739930422905</v>
          </cell>
          <cell r="R3046">
            <v>0.83115739930422905</v>
          </cell>
          <cell r="S3046" t="e">
            <v>#VALUE!</v>
          </cell>
          <cell r="T3046" t="e">
            <v>#VALUE!</v>
          </cell>
        </row>
        <row r="3047">
          <cell r="A3047" t="str">
            <v>MDJA0601457GBE</v>
          </cell>
          <cell r="B3047" t="str">
            <v>MKP000631005556</v>
          </cell>
          <cell r="C3047" t="str">
            <v/>
          </cell>
          <cell r="D3047" t="str">
            <v>Conjunto Sala de Jantar Mesa Tampo de Vidro 6 Cadeiras Rustic/Crema/Sintético Bege Yolanda Madesa</v>
          </cell>
          <cell r="E3047" t="str">
            <v>YOLANDA</v>
          </cell>
          <cell r="F3047" t="str">
            <v>SALA DE JANTAR</v>
          </cell>
          <cell r="G3047" t="str">
            <v>4291X</v>
          </cell>
          <cell r="H3047">
            <v>1249.99</v>
          </cell>
          <cell r="I3047">
            <v>1149.99</v>
          </cell>
          <cell r="J3047">
            <v>935.66690000000006</v>
          </cell>
          <cell r="K3047">
            <v>0</v>
          </cell>
          <cell r="L3047">
            <v>935.66690000000006</v>
          </cell>
          <cell r="M3047">
            <v>0</v>
          </cell>
          <cell r="N3047">
            <v>1149.99</v>
          </cell>
          <cell r="O3047" t="str">
            <v/>
          </cell>
          <cell r="P3047">
            <v>0</v>
          </cell>
          <cell r="Q3047">
            <v>0.229059187623288</v>
          </cell>
          <cell r="R3047">
            <v>0.229059187623288</v>
          </cell>
          <cell r="S3047" t="e">
            <v>#VALUE!</v>
          </cell>
          <cell r="T3047" t="e">
            <v>#VALUE!</v>
          </cell>
        </row>
        <row r="3048">
          <cell r="A3048" t="str">
            <v>GRGL18000809</v>
          </cell>
          <cell r="B3048" t="str">
            <v>MKP000631004619</v>
          </cell>
          <cell r="C3048" t="str">
            <v/>
          </cell>
          <cell r="D3048" t="str">
            <v>Armário de Cozinha Compacta 180cm Branco Glamy Madesa 08</v>
          </cell>
          <cell r="E3048" t="str">
            <v>GLAMY</v>
          </cell>
          <cell r="F3048" t="str">
            <v>COZINHA</v>
          </cell>
          <cell r="G3048" t="str">
            <v/>
          </cell>
          <cell r="H3048">
            <v>1599.99</v>
          </cell>
          <cell r="I3048">
            <v>1499.99</v>
          </cell>
          <cell r="J3048">
            <v>1270.7982999999999</v>
          </cell>
          <cell r="K3048">
            <v>0</v>
          </cell>
          <cell r="L3048">
            <v>1270.7982999999999</v>
          </cell>
          <cell r="M3048">
            <v>0</v>
          </cell>
          <cell r="N3048">
            <v>1499.99</v>
          </cell>
          <cell r="O3048" t="str">
            <v/>
          </cell>
          <cell r="P3048">
            <v>0</v>
          </cell>
          <cell r="Q3048">
            <v>0.18035253902999401</v>
          </cell>
          <cell r="R3048">
            <v>0.18035253902999401</v>
          </cell>
          <cell r="S3048" t="e">
            <v>#VALUE!</v>
          </cell>
          <cell r="T3048" t="e">
            <v>#VALUE!</v>
          </cell>
        </row>
        <row r="3049">
          <cell r="A3049" t="str">
            <v>GRGL2900039YMLSR</v>
          </cell>
          <cell r="B3049" t="str">
            <v>MKP000631001088</v>
          </cell>
          <cell r="C3049" t="str">
            <v/>
          </cell>
          <cell r="D3049" t="str">
            <v>Armário de Cozinha Completa 290cm Rustic/Rustic/Crema Safira Madesa 03</v>
          </cell>
          <cell r="E3049" t="str">
            <v>SAFIRA/GLAMY</v>
          </cell>
          <cell r="F3049" t="str">
            <v>COZINHA</v>
          </cell>
          <cell r="G3049" t="str">
            <v/>
          </cell>
          <cell r="H3049">
            <v>2799.99</v>
          </cell>
          <cell r="I3049">
            <v>2099.9899999999998</v>
          </cell>
          <cell r="J3049">
            <v>1760.9930999999999</v>
          </cell>
          <cell r="K3049">
            <v>0</v>
          </cell>
          <cell r="L3049">
            <v>1760.9930999999999</v>
          </cell>
          <cell r="M3049">
            <v>0</v>
          </cell>
          <cell r="N3049">
            <v>2099.9899999999998</v>
          </cell>
          <cell r="O3049" t="str">
            <v/>
          </cell>
          <cell r="P3049">
            <v>0</v>
          </cell>
          <cell r="Q3049">
            <v>0.19250325285204101</v>
          </cell>
          <cell r="R3049">
            <v>0.19250325285204101</v>
          </cell>
          <cell r="S3049" t="e">
            <v>#VALUE!</v>
          </cell>
          <cell r="T3049" t="e">
            <v>#VALUE!</v>
          </cell>
        </row>
        <row r="3050">
          <cell r="A3050" t="str">
            <v>GRGL290010C1</v>
          </cell>
          <cell r="B3050" t="str">
            <v>MKP000631001208</v>
          </cell>
          <cell r="C3050" t="str">
            <v/>
          </cell>
          <cell r="D3050" t="str">
            <v>Armário de Cozinha Completa 290cm Rustic/Preto/Rustic Cristal Madesa 09</v>
          </cell>
          <cell r="E3050" t="str">
            <v>CRISTAL/GLAMY</v>
          </cell>
          <cell r="F3050" t="str">
            <v>COZINHA</v>
          </cell>
          <cell r="G3050" t="str">
            <v/>
          </cell>
          <cell r="H3050">
            <v>2199.9899999999998</v>
          </cell>
          <cell r="I3050">
            <v>2099.9899999999998</v>
          </cell>
          <cell r="J3050">
            <v>1743.5204000000001</v>
          </cell>
          <cell r="K3050">
            <v>0</v>
          </cell>
          <cell r="L3050">
            <v>1743.5204000000001</v>
          </cell>
          <cell r="M3050">
            <v>0</v>
          </cell>
          <cell r="N3050">
            <v>2099.9899999999998</v>
          </cell>
          <cell r="O3050" t="str">
            <v/>
          </cell>
          <cell r="P3050">
            <v>0</v>
          </cell>
          <cell r="Q3050">
            <v>0.20445393125311301</v>
          </cell>
          <cell r="R3050">
            <v>0.20445393125311301</v>
          </cell>
          <cell r="S3050" t="e">
            <v>#VALUE!</v>
          </cell>
          <cell r="T3050" t="e">
            <v>#VALUE!</v>
          </cell>
        </row>
        <row r="3051">
          <cell r="A3051" t="str">
            <v>GRGL35000173</v>
          </cell>
          <cell r="B3051" t="str">
            <v>MKP000631004601</v>
          </cell>
          <cell r="C3051" t="str">
            <v/>
          </cell>
          <cell r="D3051" t="str">
            <v>Armário de Cozinha Completa 350cm Branco/Preto Glamy Madesa 01</v>
          </cell>
          <cell r="E3051" t="str">
            <v>GLAMY</v>
          </cell>
          <cell r="F3051" t="str">
            <v>COZINHA</v>
          </cell>
          <cell r="G3051" t="str">
            <v/>
          </cell>
          <cell r="H3051">
            <v>2099.9899999999998</v>
          </cell>
          <cell r="I3051">
            <v>1999.99</v>
          </cell>
          <cell r="J3051">
            <v>1660.6477</v>
          </cell>
          <cell r="K3051">
            <v>0</v>
          </cell>
          <cell r="L3051">
            <v>1660.6477</v>
          </cell>
          <cell r="M3051">
            <v>0</v>
          </cell>
          <cell r="N3051">
            <v>1999.99</v>
          </cell>
          <cell r="O3051" t="str">
            <v/>
          </cell>
          <cell r="P3051">
            <v>0</v>
          </cell>
          <cell r="Q3051">
            <v>0.20434334145646901</v>
          </cell>
          <cell r="R3051">
            <v>0.20434334145646901</v>
          </cell>
          <cell r="S3051" t="e">
            <v>#VALUE!</v>
          </cell>
          <cell r="T3051" t="e">
            <v>#VALUE!</v>
          </cell>
        </row>
        <row r="3052">
          <cell r="A3052" t="str">
            <v>GRGL2700145Z</v>
          </cell>
          <cell r="B3052" t="str">
            <v>MKP000631004371</v>
          </cell>
          <cell r="C3052" t="str">
            <v/>
          </cell>
          <cell r="D3052" t="str">
            <v>Armário de Cozinha Completa 270cm Rustic Glamy Madesa 14</v>
          </cell>
          <cell r="E3052" t="str">
            <v>GLAMY</v>
          </cell>
          <cell r="F3052" t="str">
            <v>COZINHA</v>
          </cell>
          <cell r="G3052" t="str">
            <v/>
          </cell>
          <cell r="H3052">
            <v>1999.99</v>
          </cell>
          <cell r="I3052">
            <v>1899.99</v>
          </cell>
          <cell r="J3052">
            <v>1576.9575</v>
          </cell>
          <cell r="K3052">
            <v>0</v>
          </cell>
          <cell r="L3052">
            <v>1576.9575</v>
          </cell>
          <cell r="M3052">
            <v>0</v>
          </cell>
          <cell r="N3052">
            <v>1899.99</v>
          </cell>
          <cell r="O3052" t="str">
            <v/>
          </cell>
          <cell r="P3052">
            <v>0</v>
          </cell>
          <cell r="Q3052">
            <v>0.20484540642344501</v>
          </cell>
          <cell r="R3052">
            <v>0.20484540642344501</v>
          </cell>
          <cell r="S3052" t="e">
            <v>#VALUE!</v>
          </cell>
          <cell r="T3052" t="e">
            <v>#VALUE!</v>
          </cell>
        </row>
        <row r="3053">
          <cell r="A3053" t="str">
            <v>GRGL26000509</v>
          </cell>
          <cell r="B3053" t="str">
            <v>MKP000631005194</v>
          </cell>
          <cell r="C3053" t="str">
            <v/>
          </cell>
          <cell r="D3053" t="str">
            <v>Armário de Cozinha Completa 260cm Branco Glamy Madesa 05</v>
          </cell>
          <cell r="E3053" t="str">
            <v>GLAMY</v>
          </cell>
          <cell r="F3053" t="str">
            <v>COZINHA</v>
          </cell>
          <cell r="G3053" t="str">
            <v/>
          </cell>
          <cell r="H3053">
            <v>1799.99</v>
          </cell>
          <cell r="I3053">
            <v>1699.99</v>
          </cell>
          <cell r="J3053">
            <v>1407.5279</v>
          </cell>
          <cell r="K3053">
            <v>0</v>
          </cell>
          <cell r="L3053">
            <v>1407.5279</v>
          </cell>
          <cell r="M3053">
            <v>0</v>
          </cell>
          <cell r="N3053">
            <v>1699.99</v>
          </cell>
          <cell r="O3053" t="str">
            <v/>
          </cell>
          <cell r="P3053">
            <v>0</v>
          </cell>
          <cell r="Q3053">
            <v>0.20778422935701699</v>
          </cell>
          <cell r="R3053">
            <v>0.20778422935701699</v>
          </cell>
          <cell r="S3053" t="e">
            <v>#VALUE!</v>
          </cell>
          <cell r="T3053" t="e">
            <v>#VALUE!</v>
          </cell>
        </row>
        <row r="3054">
          <cell r="A3054" t="str">
            <v>GCGL50400173</v>
          </cell>
          <cell r="B3054" t="str">
            <v>MKP000631004306</v>
          </cell>
          <cell r="C3054" t="str">
            <v/>
          </cell>
          <cell r="D3054" t="str">
            <v>Armário de Cozinha Completa de Canto 504cm Branco/Preto Glamy Madesa 01</v>
          </cell>
          <cell r="E3054" t="str">
            <v>GLAMY</v>
          </cell>
          <cell r="F3054" t="str">
            <v>COZINHA</v>
          </cell>
          <cell r="G3054" t="str">
            <v/>
          </cell>
          <cell r="H3054">
            <v>3999.99</v>
          </cell>
          <cell r="I3054">
            <v>3759.99</v>
          </cell>
          <cell r="J3054">
            <v>3104.1565000000001</v>
          </cell>
          <cell r="K3054">
            <v>0</v>
          </cell>
          <cell r="L3054">
            <v>3104.1565000000001</v>
          </cell>
          <cell r="M3054">
            <v>0</v>
          </cell>
          <cell r="N3054">
            <v>3759.99</v>
          </cell>
          <cell r="O3054" t="str">
            <v/>
          </cell>
          <cell r="P3054">
            <v>0</v>
          </cell>
          <cell r="Q3054">
            <v>0.211275913440576</v>
          </cell>
          <cell r="R3054">
            <v>0.211275913440576</v>
          </cell>
          <cell r="S3054" t="e">
            <v>#VALUE!</v>
          </cell>
          <cell r="T3054" t="e">
            <v>#VALUE!</v>
          </cell>
        </row>
        <row r="3055">
          <cell r="A3055" t="str">
            <v>GREM2290107K</v>
          </cell>
          <cell r="B3055" t="str">
            <v>MKP000631005502</v>
          </cell>
          <cell r="C3055" t="str">
            <v/>
          </cell>
          <cell r="D3055" t="str">
            <v>Armário de Cozinha Compacta 229cm com Pia Rustic/Preto Emilly Madesa 10</v>
          </cell>
          <cell r="E3055" t="str">
            <v>EMILLY</v>
          </cell>
          <cell r="F3055" t="str">
            <v>COZINHA</v>
          </cell>
          <cell r="G3055" t="str">
            <v/>
          </cell>
          <cell r="H3055">
            <v>1339.99</v>
          </cell>
          <cell r="I3055">
            <v>1239.99</v>
          </cell>
          <cell r="J3055">
            <v>991.74739999999997</v>
          </cell>
          <cell r="K3055">
            <v>0</v>
          </cell>
          <cell r="L3055">
            <v>991.74739999999997</v>
          </cell>
          <cell r="M3055">
            <v>0</v>
          </cell>
          <cell r="N3055">
            <v>1239.99</v>
          </cell>
          <cell r="O3055" t="str">
            <v/>
          </cell>
          <cell r="P3055">
            <v>0</v>
          </cell>
          <cell r="Q3055">
            <v>0.25030829422895401</v>
          </cell>
          <cell r="R3055">
            <v>0.25030829422895401</v>
          </cell>
          <cell r="S3055" t="e">
            <v>#VALUE!</v>
          </cell>
          <cell r="T3055" t="e">
            <v>#VALUE!</v>
          </cell>
        </row>
        <row r="3056">
          <cell r="A3056" t="str">
            <v>GRGL20000609</v>
          </cell>
          <cell r="B3056" t="str">
            <v>MKP000631005645</v>
          </cell>
          <cell r="C3056" t="str">
            <v/>
          </cell>
          <cell r="D3056" t="str">
            <v>Kit com 2 Balcões de Cozinha Madesa Glamy 4 Portas 3 Gavetas (Sem Tampo e Pia) Branco Branco</v>
          </cell>
          <cell r="E3056" t="str">
            <v>GLAMY</v>
          </cell>
          <cell r="F3056" t="str">
            <v>COZINHA</v>
          </cell>
          <cell r="G3056" t="str">
            <v/>
          </cell>
          <cell r="H3056">
            <v>1199.99</v>
          </cell>
          <cell r="I3056">
            <v>1099.99</v>
          </cell>
          <cell r="J3056">
            <v>891.15129999999999</v>
          </cell>
          <cell r="K3056">
            <v>0</v>
          </cell>
          <cell r="L3056">
            <v>891.15129999999999</v>
          </cell>
          <cell r="M3056">
            <v>0</v>
          </cell>
          <cell r="N3056">
            <v>1099.99</v>
          </cell>
          <cell r="O3056" t="str">
            <v/>
          </cell>
          <cell r="P3056">
            <v>0</v>
          </cell>
          <cell r="Q3056">
            <v>0.234347074396907</v>
          </cell>
          <cell r="R3056">
            <v>0.234347074396907</v>
          </cell>
          <cell r="S3056" t="e">
            <v>#VALUE!</v>
          </cell>
          <cell r="T3056" t="e">
            <v>#VALUE!</v>
          </cell>
        </row>
        <row r="3057">
          <cell r="A3057" t="str">
            <v>GCAG49900109</v>
          </cell>
          <cell r="B3057" t="str">
            <v>MKP000631005621</v>
          </cell>
          <cell r="C3057" t="str">
            <v/>
          </cell>
          <cell r="D3057" t="str">
            <v>Armário de Cozinha Planejada de Canto 499cm Branco Agata Madesa 01</v>
          </cell>
          <cell r="E3057" t="str">
            <v>ÁGATA</v>
          </cell>
          <cell r="F3057" t="str">
            <v>COZINHA</v>
          </cell>
          <cell r="G3057" t="str">
            <v/>
          </cell>
          <cell r="H3057">
            <v>4219.99</v>
          </cell>
          <cell r="I3057">
            <v>4099.99</v>
          </cell>
          <cell r="J3057">
            <v>3274.9268000000002</v>
          </cell>
          <cell r="K3057">
            <v>0</v>
          </cell>
          <cell r="L3057">
            <v>3274.9268000000002</v>
          </cell>
          <cell r="M3057">
            <v>0</v>
          </cell>
          <cell r="N3057">
            <v>4099.99</v>
          </cell>
          <cell r="O3057" t="str">
            <v/>
          </cell>
          <cell r="P3057">
            <v>0</v>
          </cell>
          <cell r="Q3057">
            <v>0.25193332565478999</v>
          </cell>
          <cell r="R3057">
            <v>0.25193332565478999</v>
          </cell>
          <cell r="S3057" t="e">
            <v>#VALUE!</v>
          </cell>
          <cell r="T3057" t="e">
            <v>#VALUE!</v>
          </cell>
        </row>
        <row r="3058">
          <cell r="A3058" t="str">
            <v>MDES020014099B</v>
          </cell>
          <cell r="B3058" t="str">
            <v>MKP000631001556</v>
          </cell>
          <cell r="C3058" t="str">
            <v/>
          </cell>
          <cell r="D3058" t="str">
            <v>Rack Madesa Dubai e Painel para TV até 65 Polegadas com Pés Branco/Rustic 099B</v>
          </cell>
          <cell r="E3058" t="str">
            <v>DUBAI</v>
          </cell>
          <cell r="F3058" t="str">
            <v>SALA DE ESTAR</v>
          </cell>
          <cell r="G3058" t="str">
            <v/>
          </cell>
          <cell r="H3058">
            <v>1149.99</v>
          </cell>
          <cell r="I3058">
            <v>599.99</v>
          </cell>
          <cell r="J3058">
            <v>442.649</v>
          </cell>
          <cell r="K3058">
            <v>0</v>
          </cell>
          <cell r="L3058">
            <v>442.649</v>
          </cell>
          <cell r="M3058">
            <v>0</v>
          </cell>
          <cell r="N3058">
            <v>599.99</v>
          </cell>
          <cell r="O3058" t="str">
            <v/>
          </cell>
          <cell r="P3058">
            <v>0</v>
          </cell>
          <cell r="Q3058">
            <v>0.35545319203251302</v>
          </cell>
          <cell r="R3058">
            <v>0.35545319203251302</v>
          </cell>
          <cell r="S3058" t="e">
            <v>#VALUE!</v>
          </cell>
          <cell r="T3058" t="e">
            <v>#VALUE!</v>
          </cell>
        </row>
        <row r="3059">
          <cell r="A3059" t="str">
            <v>G241236EGLCT</v>
          </cell>
          <cell r="B3059" t="str">
            <v>MKP000631003013</v>
          </cell>
          <cell r="C3059" t="str">
            <v/>
          </cell>
          <cell r="D3059" t="str">
            <v>Balcão de Pia Madesa Glamy 120 cm 1 Porta e 2 Gavetas (Com Tampo) Rustic/Branco</v>
          </cell>
          <cell r="E3059" t="str">
            <v>GLAMY</v>
          </cell>
          <cell r="F3059" t="str">
            <v>MODULAÇÃO</v>
          </cell>
          <cell r="G3059" t="str">
            <v/>
          </cell>
          <cell r="H3059">
            <v>1279.99</v>
          </cell>
          <cell r="I3059">
            <v>699.99</v>
          </cell>
          <cell r="J3059">
            <v>538.29650000000004</v>
          </cell>
          <cell r="K3059">
            <v>0</v>
          </cell>
          <cell r="L3059">
            <v>538.29650000000004</v>
          </cell>
          <cell r="M3059">
            <v>0</v>
          </cell>
          <cell r="N3059">
            <v>699.99</v>
          </cell>
          <cell r="O3059" t="str">
            <v/>
          </cell>
          <cell r="P3059">
            <v>0</v>
          </cell>
          <cell r="Q3059">
            <v>0.30037999503990798</v>
          </cell>
          <cell r="R3059">
            <v>0.30037999503990798</v>
          </cell>
          <cell r="S3059" t="e">
            <v>#VALUE!</v>
          </cell>
          <cell r="T3059" t="e">
            <v>#VALUE!</v>
          </cell>
        </row>
        <row r="3060">
          <cell r="A3060" t="str">
            <v>GRAG2700075L</v>
          </cell>
          <cell r="B3060" t="str">
            <v>MKP000631005425</v>
          </cell>
          <cell r="C3060" t="str">
            <v/>
          </cell>
          <cell r="D3060" t="str">
            <v>Armário de Cozinha Completa 270cm Branco/Crema Agata Madesa 07</v>
          </cell>
          <cell r="E3060" t="str">
            <v>ÁGATA</v>
          </cell>
          <cell r="F3060" t="str">
            <v>COZINHA</v>
          </cell>
          <cell r="G3060" t="str">
            <v/>
          </cell>
          <cell r="H3060">
            <v>2199.9899999999998</v>
          </cell>
          <cell r="I3060">
            <v>2199.9899999999998</v>
          </cell>
          <cell r="J3060">
            <v>1623.3152</v>
          </cell>
          <cell r="K3060">
            <v>0</v>
          </cell>
          <cell r="L3060">
            <v>1623.3152</v>
          </cell>
          <cell r="M3060">
            <v>0</v>
          </cell>
          <cell r="N3060">
            <v>2199.9899999999998</v>
          </cell>
          <cell r="O3060" t="str">
            <v/>
          </cell>
          <cell r="P3060">
            <v>0</v>
          </cell>
          <cell r="Q3060">
            <v>0.35524511813848603</v>
          </cell>
          <cell r="R3060">
            <v>0.35524511813848603</v>
          </cell>
          <cell r="S3060" t="e">
            <v>#VALUE!</v>
          </cell>
          <cell r="T3060" t="e">
            <v>#VALUE!</v>
          </cell>
        </row>
        <row r="3061">
          <cell r="A3061" t="str">
            <v>G247005ZGL</v>
          </cell>
          <cell r="B3061" t="str">
            <v>MKP000631003502</v>
          </cell>
          <cell r="C3061" t="str">
            <v/>
          </cell>
          <cell r="D3061" t="str">
            <v>Balcão de Cozinha Madesa Glamy 70 cm 2 Portas Rustic</v>
          </cell>
          <cell r="E3061" t="str">
            <v>GLAMY</v>
          </cell>
          <cell r="F3061" t="str">
            <v>MODULAÇÃO</v>
          </cell>
          <cell r="G3061" t="str">
            <v/>
          </cell>
          <cell r="H3061">
            <v>879.99</v>
          </cell>
          <cell r="I3061">
            <v>499.99</v>
          </cell>
          <cell r="J3061">
            <v>321.34289999999999</v>
          </cell>
          <cell r="K3061">
            <v>0</v>
          </cell>
          <cell r="L3061">
            <v>321.34289999999999</v>
          </cell>
          <cell r="M3061">
            <v>0</v>
          </cell>
          <cell r="N3061">
            <v>499.99</v>
          </cell>
          <cell r="O3061" t="str">
            <v/>
          </cell>
          <cell r="P3061">
            <v>0</v>
          </cell>
          <cell r="Q3061">
            <v>0.55593915409364902</v>
          </cell>
          <cell r="R3061">
            <v>0.55593915409364902</v>
          </cell>
          <cell r="S3061" t="e">
            <v>#VALUE!</v>
          </cell>
          <cell r="T3061" t="e">
            <v>#VALUE!</v>
          </cell>
        </row>
        <row r="3062">
          <cell r="A3062" t="str">
            <v>G25121F8AG</v>
          </cell>
          <cell r="B3062" t="str">
            <v>MKP000631002626</v>
          </cell>
          <cell r="C3062" t="str">
            <v/>
          </cell>
          <cell r="D3062" t="str">
            <v>Armário Aéreo Madesa Agata 120 cm 2 Portas Branco/Cinza</v>
          </cell>
          <cell r="E3062" t="str">
            <v>ÁGATA</v>
          </cell>
          <cell r="F3062" t="str">
            <v>MODULAÇÃO</v>
          </cell>
          <cell r="G3062" t="str">
            <v/>
          </cell>
          <cell r="H3062">
            <v>829.99</v>
          </cell>
          <cell r="I3062">
            <v>489.99</v>
          </cell>
          <cell r="J3062">
            <v>307.46719999999999</v>
          </cell>
          <cell r="K3062">
            <v>0</v>
          </cell>
          <cell r="L3062">
            <v>307.46719999999999</v>
          </cell>
          <cell r="M3062">
            <v>0</v>
          </cell>
          <cell r="N3062">
            <v>489.99</v>
          </cell>
          <cell r="O3062" t="str">
            <v/>
          </cell>
          <cell r="P3062">
            <v>0</v>
          </cell>
          <cell r="Q3062">
            <v>0.59363340219704797</v>
          </cell>
          <cell r="R3062">
            <v>0.59363340219704797</v>
          </cell>
          <cell r="S3062" t="e">
            <v>#VALUE!</v>
          </cell>
          <cell r="T3062" t="e">
            <v>#VALUE!</v>
          </cell>
        </row>
        <row r="3063">
          <cell r="A3063" t="str">
            <v>GILX12000173</v>
          </cell>
          <cell r="B3063" t="str">
            <v>MKP000631006003</v>
          </cell>
          <cell r="C3063" t="str">
            <v/>
          </cell>
          <cell r="D3063" t="str">
            <v>Ilha de Cozinha com Bancada e Balcão 120 cm Branco/Preto Lux Madesa</v>
          </cell>
          <cell r="E3063" t="str">
            <v>LUX</v>
          </cell>
          <cell r="F3063" t="str">
            <v>MODULAÇÃO</v>
          </cell>
          <cell r="G3063" t="str">
            <v/>
          </cell>
          <cell r="H3063">
            <v>1479.99</v>
          </cell>
          <cell r="I3063">
            <v>1479.99</v>
          </cell>
          <cell r="J3063">
            <v>925.91139999999996</v>
          </cell>
          <cell r="K3063">
            <v>0</v>
          </cell>
          <cell r="L3063">
            <v>925.91139999999996</v>
          </cell>
          <cell r="M3063">
            <v>0</v>
          </cell>
          <cell r="N3063">
            <v>1479.99</v>
          </cell>
          <cell r="O3063" t="str">
            <v/>
          </cell>
          <cell r="P3063">
            <v>0</v>
          </cell>
          <cell r="Q3063">
            <v>0.59841427592316099</v>
          </cell>
          <cell r="R3063">
            <v>0.59841427592316099</v>
          </cell>
          <cell r="S3063" t="e">
            <v>#VALUE!</v>
          </cell>
          <cell r="T3063" t="e">
            <v>#VALUE!</v>
          </cell>
        </row>
        <row r="3064">
          <cell r="A3064" t="str">
            <v>GRLX32000473</v>
          </cell>
          <cell r="B3064" t="str">
            <v>MKP000631003360</v>
          </cell>
          <cell r="C3064" t="str">
            <v/>
          </cell>
          <cell r="D3064" t="str">
            <v>Armário de Cozinha Planejada 320cm Branco/Preto Lux Madesa 04</v>
          </cell>
          <cell r="E3064" t="str">
            <v>LUX</v>
          </cell>
          <cell r="F3064" t="str">
            <v>COZINHA</v>
          </cell>
          <cell r="G3064" t="str">
            <v/>
          </cell>
          <cell r="H3064">
            <v>6229.99</v>
          </cell>
          <cell r="I3064">
            <v>6199.99</v>
          </cell>
          <cell r="J3064">
            <v>3663.0430999999999</v>
          </cell>
          <cell r="K3064">
            <v>0</v>
          </cell>
          <cell r="L3064">
            <v>3663.0430999999999</v>
          </cell>
          <cell r="M3064">
            <v>0</v>
          </cell>
          <cell r="N3064">
            <v>6199.99</v>
          </cell>
          <cell r="O3064" t="str">
            <v>LOJA</v>
          </cell>
          <cell r="P3064">
            <v>5449.99</v>
          </cell>
          <cell r="Q3064">
            <v>0.692579047186204</v>
          </cell>
          <cell r="R3064">
            <v>0.692579047186204</v>
          </cell>
          <cell r="S3064" t="e">
            <v>#VALUE!</v>
          </cell>
          <cell r="T3064" t="e">
            <v>#VALUE!</v>
          </cell>
        </row>
        <row r="3065">
          <cell r="A3065" t="str">
            <v>G2575273</v>
          </cell>
          <cell r="B3065" t="str">
            <v>MKP000631004907</v>
          </cell>
          <cell r="C3065" t="str">
            <v/>
          </cell>
          <cell r="D3065" t="str">
            <v>Armário Aéreo de Canto 100% MDF 1 Porta Branco/Preto Acordes Madesa</v>
          </cell>
          <cell r="E3065" t="str">
            <v>ACORDES</v>
          </cell>
          <cell r="F3065" t="str">
            <v>MODULAÇÃO</v>
          </cell>
          <cell r="G3065" t="str">
            <v/>
          </cell>
          <cell r="H3065">
            <v>539.99</v>
          </cell>
          <cell r="I3065">
            <v>439.99</v>
          </cell>
          <cell r="J3065">
            <v>253.70840000000001</v>
          </cell>
          <cell r="K3065">
            <v>0</v>
          </cell>
          <cell r="L3065">
            <v>253.70840000000001</v>
          </cell>
          <cell r="M3065">
            <v>0</v>
          </cell>
          <cell r="N3065">
            <v>439.99</v>
          </cell>
          <cell r="O3065" t="str">
            <v/>
          </cell>
          <cell r="P3065">
            <v>0</v>
          </cell>
          <cell r="Q3065">
            <v>0.73423505094825403</v>
          </cell>
          <cell r="R3065">
            <v>0.73423505094825403</v>
          </cell>
          <cell r="S3065" t="e">
            <v>#VALUE!</v>
          </cell>
          <cell r="T3065" t="e">
            <v>#VALUE!</v>
          </cell>
        </row>
        <row r="3066">
          <cell r="A3066" t="str">
            <v>52757K2</v>
          </cell>
          <cell r="B3066" t="str">
            <v>MKP000631000113</v>
          </cell>
          <cell r="C3066" t="str">
            <v/>
          </cell>
          <cell r="D3066" t="str">
            <v>Mesa de Jantar Retangular Tampo de Madeira Rustic/Preto 5275 Madesa</v>
          </cell>
          <cell r="E3066">
            <v>5275</v>
          </cell>
          <cell r="F3066" t="str">
            <v>SALA DE JANTAR</v>
          </cell>
          <cell r="G3066" t="str">
            <v/>
          </cell>
          <cell r="H3066">
            <v>669.99</v>
          </cell>
          <cell r="I3066">
            <v>539.99</v>
          </cell>
          <cell r="J3066">
            <v>282.83319999999998</v>
          </cell>
          <cell r="K3066">
            <v>0</v>
          </cell>
          <cell r="L3066">
            <v>282.83319999999998</v>
          </cell>
          <cell r="M3066">
            <v>0</v>
          </cell>
          <cell r="N3066">
            <v>539.99</v>
          </cell>
          <cell r="O3066" t="str">
            <v/>
          </cell>
          <cell r="P3066">
            <v>0</v>
          </cell>
          <cell r="Q3066">
            <v>0.90921716403873398</v>
          </cell>
          <cell r="R3066">
            <v>0.90921716403873398</v>
          </cell>
          <cell r="S3066" t="e">
            <v>#VALUE!</v>
          </cell>
          <cell r="T3066" t="e">
            <v>#VALUE!</v>
          </cell>
        </row>
        <row r="3067">
          <cell r="A3067" t="str">
            <v>G22120H7LXCT</v>
          </cell>
          <cell r="B3067" t="str">
            <v>MKP000631005119</v>
          </cell>
          <cell r="C3067" t="str">
            <v/>
          </cell>
          <cell r="D3067" t="str">
            <v>Balcão de Pia 120 cm 2 Portas Branco/Branco Veludo Lux Madesa</v>
          </cell>
          <cell r="E3067" t="str">
            <v>LUX</v>
          </cell>
          <cell r="F3067" t="str">
            <v>MODULAÇÃO</v>
          </cell>
          <cell r="G3067" t="str">
            <v/>
          </cell>
          <cell r="H3067">
            <v>1039.99</v>
          </cell>
          <cell r="I3067">
            <v>919.99</v>
          </cell>
          <cell r="J3067">
            <v>511.43889999999999</v>
          </cell>
          <cell r="K3067">
            <v>0</v>
          </cell>
          <cell r="L3067">
            <v>511.43889999999999</v>
          </cell>
          <cell r="M3067">
            <v>0</v>
          </cell>
          <cell r="N3067">
            <v>919.99</v>
          </cell>
          <cell r="O3067" t="str">
            <v>LOJA</v>
          </cell>
          <cell r="P3067">
            <v>899.99</v>
          </cell>
          <cell r="Q3067">
            <v>0.79882680022970498</v>
          </cell>
          <cell r="R3067">
            <v>0.79882680022970498</v>
          </cell>
          <cell r="S3067" t="e">
            <v>#VALUE!</v>
          </cell>
          <cell r="T3067" t="e">
            <v>#VALUE!</v>
          </cell>
        </row>
        <row r="3068">
          <cell r="A3068" t="str">
            <v>G228139RLXCT</v>
          </cell>
          <cell r="B3068" t="str">
            <v>MKP000631005065</v>
          </cell>
          <cell r="C3068" t="str">
            <v/>
          </cell>
          <cell r="D3068" t="str">
            <v>Balcão 80 cm 2 Gavetas Branco/Cinza Lux Madesa</v>
          </cell>
          <cell r="E3068" t="str">
            <v>LUX</v>
          </cell>
          <cell r="F3068" t="str">
            <v>MODULAÇÃO</v>
          </cell>
          <cell r="G3068" t="str">
            <v/>
          </cell>
          <cell r="H3068">
            <v>1379.99</v>
          </cell>
          <cell r="I3068">
            <v>1099.99</v>
          </cell>
          <cell r="J3068">
            <v>608.2527</v>
          </cell>
          <cell r="K3068">
            <v>0</v>
          </cell>
          <cell r="L3068">
            <v>608.2527</v>
          </cell>
          <cell r="M3068">
            <v>0</v>
          </cell>
          <cell r="N3068">
            <v>1099.99</v>
          </cell>
          <cell r="O3068" t="str">
            <v>LOJA</v>
          </cell>
          <cell r="P3068">
            <v>1089.99</v>
          </cell>
          <cell r="Q3068">
            <v>0.80844244505614204</v>
          </cell>
          <cell r="R3068">
            <v>0.80844244505614204</v>
          </cell>
          <cell r="S3068" t="e">
            <v>#VALUE!</v>
          </cell>
          <cell r="T3068" t="e">
            <v>#VALUE!</v>
          </cell>
        </row>
        <row r="3069">
          <cell r="A3069" t="str">
            <v>G267555LAG</v>
          </cell>
          <cell r="B3069" t="str">
            <v>MKP000631005385</v>
          </cell>
          <cell r="C3069" t="str">
            <v/>
          </cell>
          <cell r="D3069" t="str">
            <v>Torre Quente 70 cm 3 Portas Branco/Crema Agata Madesa</v>
          </cell>
          <cell r="E3069" t="str">
            <v>ÁGATA</v>
          </cell>
          <cell r="F3069" t="str">
            <v>MODULAÇÃO</v>
          </cell>
          <cell r="G3069" t="str">
            <v/>
          </cell>
          <cell r="H3069">
            <v>1049.99</v>
          </cell>
          <cell r="I3069">
            <v>949.99</v>
          </cell>
          <cell r="J3069">
            <v>520.20249999999999</v>
          </cell>
          <cell r="K3069">
            <v>0</v>
          </cell>
          <cell r="L3069">
            <v>520.20249999999999</v>
          </cell>
          <cell r="M3069">
            <v>0</v>
          </cell>
          <cell r="N3069">
            <v>949.99</v>
          </cell>
          <cell r="O3069" t="str">
            <v/>
          </cell>
          <cell r="P3069">
            <v>0</v>
          </cell>
          <cell r="Q3069">
            <v>0.82619268457956296</v>
          </cell>
          <cell r="R3069">
            <v>0.82619268457956296</v>
          </cell>
          <cell r="S3069" t="e">
            <v>#VALUE!</v>
          </cell>
          <cell r="T3069" t="e">
            <v>#VALUE!</v>
          </cell>
        </row>
        <row r="3070">
          <cell r="A3070" t="str">
            <v>G22601H8LX</v>
          </cell>
          <cell r="B3070" t="str">
            <v>MKP000631004657</v>
          </cell>
          <cell r="C3070" t="str">
            <v/>
          </cell>
          <cell r="D3070" t="str">
            <v>Balcão Madesa Lux 60 cm 3 Gavetas (Sem Tampo) Rustic/Branco Veludo</v>
          </cell>
          <cell r="E3070" t="str">
            <v>LUX</v>
          </cell>
          <cell r="F3070" t="str">
            <v>MODULAÇÃO</v>
          </cell>
          <cell r="G3070" t="str">
            <v/>
          </cell>
          <cell r="H3070">
            <v>1179.99</v>
          </cell>
          <cell r="I3070">
            <v>779.99</v>
          </cell>
          <cell r="J3070">
            <v>400.8802</v>
          </cell>
          <cell r="K3070">
            <v>0</v>
          </cell>
          <cell r="L3070">
            <v>400.8802</v>
          </cell>
          <cell r="M3070">
            <v>0</v>
          </cell>
          <cell r="N3070">
            <v>779.99</v>
          </cell>
          <cell r="O3070" t="str">
            <v>LOJA</v>
          </cell>
          <cell r="P3070">
            <v>769.99</v>
          </cell>
          <cell r="Q3070">
            <v>0.94569350145005904</v>
          </cell>
          <cell r="R3070">
            <v>0.94569350145005904</v>
          </cell>
          <cell r="S3070" t="e">
            <v>#VALUE!</v>
          </cell>
          <cell r="T3070" t="e">
            <v>#VALUE!</v>
          </cell>
        </row>
        <row r="3071">
          <cell r="A3071" t="str">
            <v>G22400H7LX</v>
          </cell>
          <cell r="B3071" t="str">
            <v>MKP000631004682</v>
          </cell>
          <cell r="C3071" t="str">
            <v/>
          </cell>
          <cell r="D3071" t="str">
            <v>Balcão Madesa Lux 40 cm 1 Porta (Sem Tampo) Branco/Branco Veludo</v>
          </cell>
          <cell r="E3071" t="str">
            <v>LUX</v>
          </cell>
          <cell r="F3071" t="str">
            <v>MODULAÇÃO</v>
          </cell>
          <cell r="G3071" t="str">
            <v/>
          </cell>
          <cell r="H3071">
            <v>779.99</v>
          </cell>
          <cell r="I3071">
            <v>459.99</v>
          </cell>
          <cell r="J3071">
            <v>227.374</v>
          </cell>
          <cell r="K3071">
            <v>0</v>
          </cell>
          <cell r="L3071">
            <v>227.374</v>
          </cell>
          <cell r="M3071">
            <v>0</v>
          </cell>
          <cell r="N3071">
            <v>459.99</v>
          </cell>
          <cell r="O3071" t="str">
            <v>LOJA</v>
          </cell>
          <cell r="P3071">
            <v>449.99</v>
          </cell>
          <cell r="Q3071">
            <v>1.02305452690281</v>
          </cell>
          <cell r="R3071">
            <v>1.02305452690281</v>
          </cell>
          <cell r="S3071" t="e">
            <v>#VALUE!</v>
          </cell>
          <cell r="T3071" t="e">
            <v>#VALUE!</v>
          </cell>
        </row>
        <row r="3072">
          <cell r="A3072" t="str">
            <v>G248009BGL</v>
          </cell>
          <cell r="B3072" t="str">
            <v>MKP000631000853</v>
          </cell>
          <cell r="C3072" t="str">
            <v/>
          </cell>
          <cell r="D3072" t="str">
            <v>Balcão Madesa Glamy 80 cm 2 Portas Branco/Rustic</v>
          </cell>
          <cell r="E3072" t="str">
            <v>GLAMY</v>
          </cell>
          <cell r="F3072" t="str">
            <v>MODULAÇÃO</v>
          </cell>
          <cell r="G3072" t="str">
            <v/>
          </cell>
          <cell r="H3072">
            <v>939.99</v>
          </cell>
          <cell r="I3072">
            <v>519.99</v>
          </cell>
          <cell r="J3072">
            <v>333.19119999999998</v>
          </cell>
          <cell r="K3072">
            <v>0</v>
          </cell>
          <cell r="L3072">
            <v>333.19119999999998</v>
          </cell>
          <cell r="M3072">
            <v>0</v>
          </cell>
          <cell r="N3072">
            <v>519.99</v>
          </cell>
          <cell r="O3072" t="str">
            <v/>
          </cell>
          <cell r="P3072">
            <v>0</v>
          </cell>
          <cell r="Q3072">
            <v>0.56063545495799405</v>
          </cell>
          <cell r="R3072">
            <v>0.56063545495799405</v>
          </cell>
          <cell r="S3072" t="e">
            <v>#VALUE!</v>
          </cell>
          <cell r="T3072" t="e">
            <v>#VALUE!</v>
          </cell>
        </row>
        <row r="3073">
          <cell r="A3073" t="str">
            <v>MDJA0401697GFBM</v>
          </cell>
          <cell r="B3073" t="str">
            <v>MKP000631005724</v>
          </cell>
          <cell r="C3073" t="str">
            <v/>
          </cell>
          <cell r="D3073" t="str">
            <v>Conjunto Sala de Jantar Mesa Tampo de Madeira 4 Cadeiras Rustic/Crema/Bege Marrom Marilyn Madesa</v>
          </cell>
          <cell r="E3073" t="str">
            <v>MARILYN</v>
          </cell>
          <cell r="F3073" t="str">
            <v>SALA DE JANTAR</v>
          </cell>
          <cell r="G3073" t="str">
            <v>4290X</v>
          </cell>
          <cell r="H3073">
            <v>699.99</v>
          </cell>
          <cell r="I3073">
            <v>599.99</v>
          </cell>
          <cell r="J3073">
            <v>465.66980000000001</v>
          </cell>
          <cell r="K3073">
            <v>0</v>
          </cell>
          <cell r="L3073">
            <v>465.66980000000001</v>
          </cell>
          <cell r="M3073">
            <v>0</v>
          </cell>
          <cell r="N3073">
            <v>599.99</v>
          </cell>
          <cell r="O3073" t="str">
            <v/>
          </cell>
          <cell r="P3073">
            <v>0</v>
          </cell>
          <cell r="Q3073">
            <v>0.28844516006835702</v>
          </cell>
          <cell r="R3073">
            <v>0.28844516006835702</v>
          </cell>
          <cell r="S3073" t="e">
            <v>#VALUE!</v>
          </cell>
          <cell r="T3073" t="e">
            <v>#VALUE!</v>
          </cell>
        </row>
        <row r="3074">
          <cell r="A3074" t="str">
            <v>G274005ZPR</v>
          </cell>
          <cell r="B3074" t="str">
            <v>MKP000631002743</v>
          </cell>
          <cell r="C3074" t="str">
            <v/>
          </cell>
          <cell r="D3074" t="str">
            <v>Tampo para Balcão de 40 x 60 cm para Cozinhas Madesa Glamy, Lux e Stella Rustic</v>
          </cell>
          <cell r="E3074" t="str">
            <v>PR</v>
          </cell>
          <cell r="F3074" t="str">
            <v>MODULAÇÃO</v>
          </cell>
          <cell r="G3074" t="str">
            <v/>
          </cell>
          <cell r="H3074">
            <v>269.99</v>
          </cell>
          <cell r="I3074">
            <v>119.99</v>
          </cell>
          <cell r="J3074">
            <v>61.356099999999998</v>
          </cell>
          <cell r="K3074">
            <v>0</v>
          </cell>
          <cell r="L3074">
            <v>61.356099999999998</v>
          </cell>
          <cell r="M3074">
            <v>0</v>
          </cell>
          <cell r="N3074">
            <v>119.99</v>
          </cell>
          <cell r="O3074" t="str">
            <v/>
          </cell>
          <cell r="P3074">
            <v>0</v>
          </cell>
          <cell r="Q3074">
            <v>0.95563277326948703</v>
          </cell>
          <cell r="R3074">
            <v>0.95563277326948703</v>
          </cell>
          <cell r="S3074" t="e">
            <v>#VALUE!</v>
          </cell>
          <cell r="T3074" t="e">
            <v>#VALUE!</v>
          </cell>
        </row>
        <row r="3075">
          <cell r="A3075" t="str">
            <v>GRGL290013C3SR</v>
          </cell>
          <cell r="B3075" t="str">
            <v>MKP000631001274</v>
          </cell>
          <cell r="C3075" t="str">
            <v/>
          </cell>
          <cell r="D3075" t="str">
            <v>Armário de Cozinha Completa 290cm Rustic/Preto/Crema Safira Madesa 13</v>
          </cell>
          <cell r="E3075" t="str">
            <v>SAFIRA/GLAMY</v>
          </cell>
          <cell r="F3075" t="str">
            <v>COZINHA</v>
          </cell>
          <cell r="G3075" t="str">
            <v/>
          </cell>
          <cell r="H3075">
            <v>2299.9899999999998</v>
          </cell>
          <cell r="I3075">
            <v>2199.9899999999998</v>
          </cell>
          <cell r="J3075">
            <v>1851.692</v>
          </cell>
          <cell r="K3075">
            <v>0</v>
          </cell>
          <cell r="L3075">
            <v>1851.692</v>
          </cell>
          <cell r="M3075">
            <v>0</v>
          </cell>
          <cell r="N3075">
            <v>2199.9899999999998</v>
          </cell>
          <cell r="O3075" t="str">
            <v/>
          </cell>
          <cell r="P3075">
            <v>0</v>
          </cell>
          <cell r="Q3075">
            <v>0.18809715654655301</v>
          </cell>
          <cell r="R3075">
            <v>0.18809715654655301</v>
          </cell>
          <cell r="S3075" t="e">
            <v>#VALUE!</v>
          </cell>
          <cell r="T3075" t="e">
            <v>#VALUE!</v>
          </cell>
        </row>
        <row r="3076">
          <cell r="A3076" t="str">
            <v>MDJA0401725ZSIL</v>
          </cell>
          <cell r="B3076" t="str">
            <v>MKP000631005899</v>
          </cell>
          <cell r="C3076" t="str">
            <v/>
          </cell>
          <cell r="D3076" t="str">
            <v>Conjunto Sala de Jantar Mesa Tampo de Vidro 4 Cadeiras Rustic/Silver Ivy Madesa</v>
          </cell>
          <cell r="E3076" t="str">
            <v>IVY</v>
          </cell>
          <cell r="F3076" t="str">
            <v>SALA DE JANTAR</v>
          </cell>
          <cell r="G3076">
            <v>4255</v>
          </cell>
          <cell r="H3076">
            <v>1039.99</v>
          </cell>
          <cell r="I3076">
            <v>939.99</v>
          </cell>
          <cell r="J3076">
            <v>757.6481</v>
          </cell>
          <cell r="K3076">
            <v>0</v>
          </cell>
          <cell r="L3076">
            <v>757.6481</v>
          </cell>
          <cell r="M3076">
            <v>0</v>
          </cell>
          <cell r="N3076">
            <v>939.99</v>
          </cell>
          <cell r="O3076" t="str">
            <v/>
          </cell>
          <cell r="P3076">
            <v>0</v>
          </cell>
          <cell r="Q3076">
            <v>0.240668326100204</v>
          </cell>
          <cell r="R3076">
            <v>0.240668326100204</v>
          </cell>
          <cell r="S3076" t="e">
            <v>#VALUE!</v>
          </cell>
          <cell r="T3076" t="e">
            <v>#VALUE!</v>
          </cell>
        </row>
        <row r="3077">
          <cell r="A3077" t="str">
            <v>GRGL20000809</v>
          </cell>
          <cell r="B3077" t="str">
            <v>MKP000631005218</v>
          </cell>
          <cell r="C3077" t="str">
            <v/>
          </cell>
          <cell r="D3077" t="str">
            <v>Armário de Cozinha Compacta 200cm Branco Glamy Madesa 08</v>
          </cell>
          <cell r="E3077" t="str">
            <v>GLAMY</v>
          </cell>
          <cell r="F3077" t="str">
            <v>COZINHA</v>
          </cell>
          <cell r="G3077" t="str">
            <v/>
          </cell>
          <cell r="H3077">
            <v>1349.99</v>
          </cell>
          <cell r="I3077">
            <v>1249.99</v>
          </cell>
          <cell r="J3077">
            <v>1024.3166000000001</v>
          </cell>
          <cell r="K3077">
            <v>0</v>
          </cell>
          <cell r="L3077">
            <v>1024.3166000000001</v>
          </cell>
          <cell r="M3077">
            <v>0</v>
          </cell>
          <cell r="N3077">
            <v>1249.99</v>
          </cell>
          <cell r="O3077" t="str">
            <v/>
          </cell>
          <cell r="P3077">
            <v>0</v>
          </cell>
          <cell r="Q3077">
            <v>0.220316062436165</v>
          </cell>
          <cell r="R3077">
            <v>0.220316062436165</v>
          </cell>
          <cell r="S3077" t="e">
            <v>#VALUE!</v>
          </cell>
          <cell r="T3077" t="e">
            <v>#VALUE!</v>
          </cell>
        </row>
        <row r="3078">
          <cell r="A3078" t="str">
            <v>GRAG150001F9</v>
          </cell>
          <cell r="B3078" t="str">
            <v>MKP000631004673</v>
          </cell>
          <cell r="C3078" t="str">
            <v/>
          </cell>
          <cell r="D3078" t="str">
            <v>Armário de Cozinha Compacta 150cm Rustic/Cinza Agata Madesa 01</v>
          </cell>
          <cell r="E3078" t="str">
            <v>ÁGATA</v>
          </cell>
          <cell r="F3078" t="str">
            <v>COZINHA</v>
          </cell>
          <cell r="G3078" t="str">
            <v/>
          </cell>
          <cell r="H3078">
            <v>1269.99</v>
          </cell>
          <cell r="I3078">
            <v>1069.99</v>
          </cell>
          <cell r="J3078">
            <v>867.71630000000005</v>
          </cell>
          <cell r="K3078">
            <v>0</v>
          </cell>
          <cell r="L3078">
            <v>867.71630000000005</v>
          </cell>
          <cell r="M3078">
            <v>0</v>
          </cell>
          <cell r="N3078">
            <v>1069.99</v>
          </cell>
          <cell r="O3078" t="str">
            <v/>
          </cell>
          <cell r="P3078">
            <v>0</v>
          </cell>
          <cell r="Q3078">
            <v>0.233110407168794</v>
          </cell>
          <cell r="R3078">
            <v>0.233110407168794</v>
          </cell>
          <cell r="S3078" t="e">
            <v>#VALUE!</v>
          </cell>
          <cell r="T3078" t="e">
            <v>#VALUE!</v>
          </cell>
        </row>
        <row r="3079">
          <cell r="A3079" t="str">
            <v>GRAG350001F8</v>
          </cell>
          <cell r="B3079" t="str">
            <v>MKP000631004545</v>
          </cell>
          <cell r="C3079" t="str">
            <v/>
          </cell>
          <cell r="D3079" t="str">
            <v>Armário de Cozinha Completa 350cm Branco/Cinza Agata Madesa 01</v>
          </cell>
          <cell r="E3079" t="str">
            <v>ÁGATA</v>
          </cell>
          <cell r="F3079" t="str">
            <v>COZINHA</v>
          </cell>
          <cell r="G3079" t="str">
            <v/>
          </cell>
          <cell r="H3079">
            <v>2029.99</v>
          </cell>
          <cell r="I3079">
            <v>1999.99</v>
          </cell>
          <cell r="J3079">
            <v>1577.7422999999999</v>
          </cell>
          <cell r="K3079">
            <v>0</v>
          </cell>
          <cell r="L3079">
            <v>1577.7422999999999</v>
          </cell>
          <cell r="M3079">
            <v>0</v>
          </cell>
          <cell r="N3079">
            <v>1999.99</v>
          </cell>
          <cell r="O3079" t="str">
            <v/>
          </cell>
          <cell r="P3079">
            <v>0</v>
          </cell>
          <cell r="Q3079">
            <v>0.26762779954622501</v>
          </cell>
          <cell r="R3079">
            <v>0.26762779954622501</v>
          </cell>
          <cell r="S3079" t="e">
            <v>#VALUE!</v>
          </cell>
          <cell r="T3079" t="e">
            <v>#VALUE!</v>
          </cell>
        </row>
        <row r="3080">
          <cell r="A3080" t="str">
            <v>MDES0200145Z6E</v>
          </cell>
          <cell r="B3080" t="str">
            <v>MKP000631001560</v>
          </cell>
          <cell r="C3080" t="str">
            <v/>
          </cell>
          <cell r="D3080" t="str">
            <v>Rack Madesa Dubai e Painel para TV até 65 Polegadas com Pés Rustic/Branco 5Z6E</v>
          </cell>
          <cell r="E3080" t="str">
            <v>DUBAI</v>
          </cell>
          <cell r="F3080" t="str">
            <v>SALA DE ESTAR</v>
          </cell>
          <cell r="G3080" t="str">
            <v/>
          </cell>
          <cell r="H3080">
            <v>1149.99</v>
          </cell>
          <cell r="I3080">
            <v>599.99</v>
          </cell>
          <cell r="J3080">
            <v>442.649</v>
          </cell>
          <cell r="K3080">
            <v>0</v>
          </cell>
          <cell r="L3080">
            <v>442.649</v>
          </cell>
          <cell r="M3080">
            <v>0</v>
          </cell>
          <cell r="N3080">
            <v>599.99</v>
          </cell>
          <cell r="O3080" t="str">
            <v/>
          </cell>
          <cell r="P3080">
            <v>0</v>
          </cell>
          <cell r="Q3080">
            <v>0.35545319203251302</v>
          </cell>
          <cell r="R3080">
            <v>0.35545319203251302</v>
          </cell>
          <cell r="S3080" t="e">
            <v>#VALUE!</v>
          </cell>
          <cell r="T3080" t="e">
            <v>#VALUE!</v>
          </cell>
        </row>
        <row r="3081">
          <cell r="A3081" t="str">
            <v>G248006EGL</v>
          </cell>
          <cell r="B3081" t="str">
            <v>MKP000631000854</v>
          </cell>
          <cell r="C3081" t="str">
            <v/>
          </cell>
          <cell r="D3081" t="str">
            <v>Balcão Madesa Glamy 80 cm 2 Portas Rustic/Branco</v>
          </cell>
          <cell r="E3081" t="str">
            <v>GLAMY</v>
          </cell>
          <cell r="F3081" t="str">
            <v>MODULAÇÃO</v>
          </cell>
          <cell r="G3081" t="str">
            <v/>
          </cell>
          <cell r="H3081">
            <v>939.99</v>
          </cell>
          <cell r="I3081">
            <v>519.99</v>
          </cell>
          <cell r="J3081">
            <v>333.19119999999998</v>
          </cell>
          <cell r="K3081">
            <v>0</v>
          </cell>
          <cell r="L3081">
            <v>333.19119999999998</v>
          </cell>
          <cell r="M3081">
            <v>0</v>
          </cell>
          <cell r="N3081">
            <v>519.99</v>
          </cell>
          <cell r="O3081" t="str">
            <v/>
          </cell>
          <cell r="P3081">
            <v>0</v>
          </cell>
          <cell r="Q3081">
            <v>0.56063545495799405</v>
          </cell>
          <cell r="R3081">
            <v>0.56063545495799405</v>
          </cell>
          <cell r="S3081" t="e">
            <v>#VALUE!</v>
          </cell>
          <cell r="T3081" t="e">
            <v>#VALUE!</v>
          </cell>
        </row>
        <row r="3082">
          <cell r="A3082" t="str">
            <v>GRLX2600019N</v>
          </cell>
          <cell r="B3082" t="str">
            <v>MKP000631002728</v>
          </cell>
          <cell r="C3082" t="str">
            <v/>
          </cell>
          <cell r="D3082" t="str">
            <v>Armário de Cozinha Completa 260cm Rustic/Cinza Lux Madesa 01</v>
          </cell>
          <cell r="E3082" t="str">
            <v>LUX</v>
          </cell>
          <cell r="F3082" t="str">
            <v>COZINHA</v>
          </cell>
          <cell r="G3082" t="str">
            <v/>
          </cell>
          <cell r="H3082">
            <v>4709.99</v>
          </cell>
          <cell r="I3082">
            <v>4639.99</v>
          </cell>
          <cell r="J3082">
            <v>2919.0853999999999</v>
          </cell>
          <cell r="K3082">
            <v>0</v>
          </cell>
          <cell r="L3082">
            <v>2919.0853999999999</v>
          </cell>
          <cell r="M3082">
            <v>0</v>
          </cell>
          <cell r="N3082">
            <v>4639.99</v>
          </cell>
          <cell r="O3082" t="str">
            <v>LOJA</v>
          </cell>
          <cell r="P3082">
            <v>4079.99</v>
          </cell>
          <cell r="Q3082">
            <v>0.58953554424957899</v>
          </cell>
          <cell r="R3082">
            <v>0.58953554424957899</v>
          </cell>
          <cell r="S3082" t="e">
            <v>#VALUE!</v>
          </cell>
          <cell r="T3082" t="e">
            <v>#VALUE!</v>
          </cell>
        </row>
        <row r="3083">
          <cell r="A3083" t="str">
            <v>G244006EGL</v>
          </cell>
          <cell r="B3083" t="str">
            <v>MKP000631000558</v>
          </cell>
          <cell r="C3083" t="str">
            <v/>
          </cell>
          <cell r="D3083" t="str">
            <v>Balcão Madesa Glamy 40 cm 1 Porta Rustic/Branco</v>
          </cell>
          <cell r="E3083" t="str">
            <v>GLAMY</v>
          </cell>
          <cell r="F3083" t="str">
            <v>MODULAÇÃO</v>
          </cell>
          <cell r="G3083" t="str">
            <v/>
          </cell>
          <cell r="H3083">
            <v>509.99</v>
          </cell>
          <cell r="I3083">
            <v>349.99</v>
          </cell>
          <cell r="J3083">
            <v>223.8424</v>
          </cell>
          <cell r="K3083">
            <v>0</v>
          </cell>
          <cell r="L3083">
            <v>223.8424</v>
          </cell>
          <cell r="M3083">
            <v>0</v>
          </cell>
          <cell r="N3083">
            <v>349.99</v>
          </cell>
          <cell r="O3083" t="str">
            <v/>
          </cell>
          <cell r="P3083">
            <v>0</v>
          </cell>
          <cell r="Q3083">
            <v>0.56355543007044195</v>
          </cell>
          <cell r="R3083">
            <v>0.56355543007044195</v>
          </cell>
          <cell r="S3083" t="e">
            <v>#VALUE!</v>
          </cell>
          <cell r="T3083" t="e">
            <v>#VALUE!</v>
          </cell>
        </row>
        <row r="3084">
          <cell r="A3084" t="str">
            <v>G24802F8AG</v>
          </cell>
          <cell r="B3084" t="str">
            <v>MKP000631005052</v>
          </cell>
          <cell r="C3084" t="str">
            <v/>
          </cell>
          <cell r="D3084" t="str">
            <v>Balcão 80 cm 2 Gavetas Branco/Cinza Agata Madesa</v>
          </cell>
          <cell r="E3084" t="str">
            <v>ÁGATA</v>
          </cell>
          <cell r="F3084" t="str">
            <v>MODULAÇÃO</v>
          </cell>
          <cell r="G3084" t="str">
            <v/>
          </cell>
          <cell r="H3084">
            <v>689.99</v>
          </cell>
          <cell r="I3084">
            <v>589.99</v>
          </cell>
          <cell r="J3084">
            <v>369.84789999999998</v>
          </cell>
          <cell r="K3084">
            <v>0</v>
          </cell>
          <cell r="L3084">
            <v>369.84789999999998</v>
          </cell>
          <cell r="M3084">
            <v>0</v>
          </cell>
          <cell r="N3084">
            <v>589.99</v>
          </cell>
          <cell r="O3084" t="str">
            <v/>
          </cell>
          <cell r="P3084">
            <v>0</v>
          </cell>
          <cell r="Q3084">
            <v>0.59522333370015101</v>
          </cell>
          <cell r="R3084">
            <v>0.59522333370015101</v>
          </cell>
          <cell r="S3084" t="e">
            <v>#VALUE!</v>
          </cell>
          <cell r="T3084" t="e">
            <v>#VALUE!</v>
          </cell>
        </row>
        <row r="3085">
          <cell r="A3085" t="str">
            <v>G2212073LX</v>
          </cell>
          <cell r="B3085" t="str">
            <v>MKP000631003259</v>
          </cell>
          <cell r="C3085" t="str">
            <v/>
          </cell>
          <cell r="D3085" t="str">
            <v>Balcão Gabinete de Pia Madesa Lux 120 cm 2 Portas (Sem Tampo) Branco/Preto</v>
          </cell>
          <cell r="E3085" t="str">
            <v>LUX</v>
          </cell>
          <cell r="F3085" t="str">
            <v>MODULAÇÃO</v>
          </cell>
          <cell r="G3085" t="str">
            <v/>
          </cell>
          <cell r="H3085">
            <v>1389.99</v>
          </cell>
          <cell r="I3085">
            <v>1049.99</v>
          </cell>
          <cell r="J3085">
            <v>627.7201</v>
          </cell>
          <cell r="K3085">
            <v>0</v>
          </cell>
          <cell r="L3085">
            <v>627.7201</v>
          </cell>
          <cell r="M3085">
            <v>0</v>
          </cell>
          <cell r="N3085">
            <v>1049.99</v>
          </cell>
          <cell r="O3085" t="str">
            <v>LOJA</v>
          </cell>
          <cell r="P3085">
            <v>1039.99</v>
          </cell>
          <cell r="Q3085">
            <v>0.672704124019607</v>
          </cell>
          <cell r="R3085">
            <v>0.672704124019607</v>
          </cell>
          <cell r="S3085" t="e">
            <v>#VALUE!</v>
          </cell>
          <cell r="T3085" t="e">
            <v>#VALUE!</v>
          </cell>
        </row>
        <row r="3086">
          <cell r="A3086" t="str">
            <v>G247506EGL</v>
          </cell>
          <cell r="B3086" t="str">
            <v>MKP000631000830</v>
          </cell>
          <cell r="C3086" t="str">
            <v/>
          </cell>
          <cell r="D3086" t="str">
            <v>Balcão de Canto Madesa Glamy 1 Porta Rustic/Branco</v>
          </cell>
          <cell r="E3086" t="str">
            <v>GLAMY</v>
          </cell>
          <cell r="F3086" t="str">
            <v>MODULAÇÃO</v>
          </cell>
          <cell r="G3086" t="str">
            <v/>
          </cell>
          <cell r="H3086">
            <v>1019.99</v>
          </cell>
          <cell r="I3086">
            <v>529.99</v>
          </cell>
          <cell r="J3086">
            <v>318.60700000000003</v>
          </cell>
          <cell r="K3086">
            <v>0</v>
          </cell>
          <cell r="L3086">
            <v>318.60700000000003</v>
          </cell>
          <cell r="M3086">
            <v>0</v>
          </cell>
          <cell r="N3086">
            <v>529.99</v>
          </cell>
          <cell r="O3086" t="str">
            <v/>
          </cell>
          <cell r="P3086">
            <v>0</v>
          </cell>
          <cell r="Q3086">
            <v>0.66345999930949395</v>
          </cell>
          <cell r="R3086">
            <v>0.66345999930949395</v>
          </cell>
          <cell r="S3086" t="e">
            <v>#VALUE!</v>
          </cell>
          <cell r="T3086" t="e">
            <v>#VALUE!</v>
          </cell>
        </row>
        <row r="3087">
          <cell r="A3087" t="str">
            <v>GRLX340001H8</v>
          </cell>
          <cell r="B3087" t="str">
            <v>MKP000631004490</v>
          </cell>
          <cell r="C3087" t="str">
            <v/>
          </cell>
          <cell r="D3087" t="str">
            <v>Armário de Cozinha Completa 340cm Rustic Branco Veludo Lux Madesa 01</v>
          </cell>
          <cell r="E3087" t="str">
            <v>LUX</v>
          </cell>
          <cell r="F3087" t="str">
            <v>COZINHA</v>
          </cell>
          <cell r="G3087" t="str">
            <v/>
          </cell>
          <cell r="H3087">
            <v>3149.99</v>
          </cell>
          <cell r="I3087">
            <v>3049.99</v>
          </cell>
          <cell r="J3087">
            <v>1780.8529000000001</v>
          </cell>
          <cell r="K3087">
            <v>0</v>
          </cell>
          <cell r="L3087">
            <v>1780.8529000000001</v>
          </cell>
          <cell r="M3087">
            <v>0</v>
          </cell>
          <cell r="N3087">
            <v>3049.99</v>
          </cell>
          <cell r="O3087" t="str">
            <v>LOJA</v>
          </cell>
          <cell r="P3087">
            <v>2679.99</v>
          </cell>
          <cell r="Q3087">
            <v>0.71265689602998605</v>
          </cell>
          <cell r="R3087">
            <v>0.71265689602998605</v>
          </cell>
          <cell r="S3087" t="e">
            <v>#VALUE!</v>
          </cell>
          <cell r="T3087" t="e">
            <v>#VALUE!</v>
          </cell>
        </row>
        <row r="3088">
          <cell r="A3088" t="str">
            <v>G254007KLX</v>
          </cell>
          <cell r="B3088" t="str">
            <v>MKP000631002752</v>
          </cell>
          <cell r="C3088" t="str">
            <v/>
          </cell>
          <cell r="D3088" t="str">
            <v>Armário Aéreo Madesa Lux 40 cm 1 Porta Rustic/Preto</v>
          </cell>
          <cell r="E3088" t="str">
            <v>LUX</v>
          </cell>
          <cell r="F3088" t="str">
            <v>MODULAÇÃO</v>
          </cell>
          <cell r="G3088" t="str">
            <v/>
          </cell>
          <cell r="H3088">
            <v>849.99</v>
          </cell>
          <cell r="I3088">
            <v>459.99</v>
          </cell>
          <cell r="J3088">
            <v>256.58600000000001</v>
          </cell>
          <cell r="K3088">
            <v>0</v>
          </cell>
          <cell r="L3088">
            <v>256.58600000000001</v>
          </cell>
          <cell r="M3088">
            <v>0</v>
          </cell>
          <cell r="N3088">
            <v>459.99</v>
          </cell>
          <cell r="O3088" t="str">
            <v>LOJA</v>
          </cell>
          <cell r="P3088">
            <v>449.99</v>
          </cell>
          <cell r="Q3088">
            <v>0.79273226130809904</v>
          </cell>
          <cell r="R3088">
            <v>0.79273226130809904</v>
          </cell>
          <cell r="S3088" t="e">
            <v>#VALUE!</v>
          </cell>
          <cell r="T3088" t="e">
            <v>#VALUE!</v>
          </cell>
        </row>
        <row r="3089">
          <cell r="A3089" t="str">
            <v>G25804H8LX</v>
          </cell>
          <cell r="B3089" t="str">
            <v>MKP000631004693</v>
          </cell>
          <cell r="C3089" t="str">
            <v/>
          </cell>
          <cell r="D3089" t="str">
            <v>Armário Aéreo Madesa Lux 80 cm 1 Porta Basculante Rustic/Branco Veludo</v>
          </cell>
          <cell r="E3089" t="str">
            <v>LUX</v>
          </cell>
          <cell r="F3089" t="str">
            <v>MODULAÇÃO</v>
          </cell>
          <cell r="G3089" t="str">
            <v/>
          </cell>
          <cell r="H3089">
            <v>539.99</v>
          </cell>
          <cell r="I3089">
            <v>359.99</v>
          </cell>
          <cell r="J3089">
            <v>187.57810000000001</v>
          </cell>
          <cell r="K3089">
            <v>0</v>
          </cell>
          <cell r="L3089">
            <v>187.57810000000001</v>
          </cell>
          <cell r="M3089">
            <v>0</v>
          </cell>
          <cell r="N3089">
            <v>359.99</v>
          </cell>
          <cell r="O3089" t="str">
            <v>LOJA</v>
          </cell>
          <cell r="P3089">
            <v>349.99</v>
          </cell>
          <cell r="Q3089">
            <v>0.91914727785386496</v>
          </cell>
          <cell r="R3089">
            <v>0.91914727785386496</v>
          </cell>
          <cell r="S3089" t="e">
            <v>#VALUE!</v>
          </cell>
          <cell r="T3089" t="e">
            <v>#VALUE!</v>
          </cell>
        </row>
        <row r="3090">
          <cell r="A3090" t="str">
            <v>G254006EGL</v>
          </cell>
          <cell r="B3090" t="str">
            <v>MKP000631000549</v>
          </cell>
          <cell r="C3090" t="str">
            <v/>
          </cell>
          <cell r="D3090" t="str">
            <v>Armário Aéreo Madesa Glamy 40 cm 1 Porta Rustic/Branco</v>
          </cell>
          <cell r="E3090" t="str">
            <v>GLAMY</v>
          </cell>
          <cell r="F3090" t="str">
            <v>MODULAÇÃO</v>
          </cell>
          <cell r="G3090" t="str">
            <v/>
          </cell>
          <cell r="H3090">
            <v>409.99</v>
          </cell>
          <cell r="I3090">
            <v>289.99</v>
          </cell>
          <cell r="J3090">
            <v>170.5959</v>
          </cell>
          <cell r="K3090">
            <v>0</v>
          </cell>
          <cell r="L3090">
            <v>170.5959</v>
          </cell>
          <cell r="M3090">
            <v>0</v>
          </cell>
          <cell r="N3090">
            <v>289.99</v>
          </cell>
          <cell r="O3090" t="str">
            <v/>
          </cell>
          <cell r="P3090">
            <v>0</v>
          </cell>
          <cell r="Q3090">
            <v>0.69986500261729601</v>
          </cell>
          <cell r="R3090">
            <v>0.69986500261729601</v>
          </cell>
          <cell r="S3090" t="e">
            <v>#VALUE!</v>
          </cell>
          <cell r="T3090" t="e">
            <v>#VALUE!</v>
          </cell>
        </row>
        <row r="3091">
          <cell r="A3091" t="str">
            <v>1044001</v>
          </cell>
          <cell r="B3091" t="str">
            <v>MKP000631002833</v>
          </cell>
          <cell r="C3091" t="str">
            <v/>
          </cell>
          <cell r="D3091" t="str">
            <v>Kit Madesa com 6 Espelhos de 26,2 x 58,5 cm para Guarda-Roupa</v>
          </cell>
          <cell r="E3091" t="str">
            <v>KIT ESPELHO</v>
          </cell>
          <cell r="F3091" t="str">
            <v>QUARTO</v>
          </cell>
          <cell r="G3091" t="str">
            <v/>
          </cell>
          <cell r="H3091">
            <v>399.99</v>
          </cell>
          <cell r="I3091">
            <v>299.99</v>
          </cell>
          <cell r="J3091">
            <v>138.40819999999999</v>
          </cell>
          <cell r="K3091">
            <v>0</v>
          </cell>
          <cell r="L3091">
            <v>138.40819999999999</v>
          </cell>
          <cell r="M3091">
            <v>0</v>
          </cell>
          <cell r="N3091">
            <v>299.99</v>
          </cell>
          <cell r="O3091" t="str">
            <v/>
          </cell>
          <cell r="P3091">
            <v>0</v>
          </cell>
          <cell r="Q3091">
            <v>1.16742938640919</v>
          </cell>
          <cell r="R3091">
            <v>1.16742938640919</v>
          </cell>
          <cell r="S3091" t="e">
            <v>#VALUE!</v>
          </cell>
          <cell r="T3091" t="e">
            <v>#VALUE!</v>
          </cell>
        </row>
        <row r="3092">
          <cell r="A3092" t="str">
            <v>GRTE3100029B</v>
          </cell>
          <cell r="B3092" t="str">
            <v>MKP000631005936</v>
          </cell>
          <cell r="C3092" t="str">
            <v/>
          </cell>
          <cell r="D3092" t="str">
            <v>Armário de Cozinha Completa 310cm Branco/Rustic Stella Madesa 02</v>
          </cell>
          <cell r="E3092" t="str">
            <v>STELLA</v>
          </cell>
          <cell r="F3092" t="str">
            <v>COZINHA</v>
          </cell>
          <cell r="G3092" t="str">
            <v/>
          </cell>
          <cell r="H3092">
            <v>2499.9899999999998</v>
          </cell>
          <cell r="I3092">
            <v>2499.9899999999998</v>
          </cell>
          <cell r="J3092">
            <v>2134.4924999999998</v>
          </cell>
          <cell r="K3092">
            <v>0</v>
          </cell>
          <cell r="L3092">
            <v>2134.4924999999998</v>
          </cell>
          <cell r="M3092">
            <v>0</v>
          </cell>
          <cell r="N3092">
            <v>2499.9899999999998</v>
          </cell>
          <cell r="O3092" t="str">
            <v/>
          </cell>
          <cell r="P3092">
            <v>0</v>
          </cell>
          <cell r="Q3092">
            <v>0.171233911573828</v>
          </cell>
          <cell r="R3092">
            <v>0.171233911573828</v>
          </cell>
          <cell r="S3092" t="e">
            <v>#VALUE!</v>
          </cell>
          <cell r="T3092" t="e">
            <v>#VALUE!</v>
          </cell>
        </row>
        <row r="3093">
          <cell r="A3093" t="str">
            <v>GRGL2900139Y</v>
          </cell>
          <cell r="B3093" t="str">
            <v>MKP000631001263</v>
          </cell>
          <cell r="C3093" t="str">
            <v/>
          </cell>
          <cell r="D3093" t="str">
            <v>Armário de Cozinha Completa 290cm Rustic/Rustic/Crema Safira Madesa 13</v>
          </cell>
          <cell r="E3093" t="str">
            <v>VICENZA/GLAMY</v>
          </cell>
          <cell r="F3093" t="str">
            <v>COZINHA</v>
          </cell>
          <cell r="G3093" t="str">
            <v/>
          </cell>
          <cell r="H3093">
            <v>2899.99</v>
          </cell>
          <cell r="I3093">
            <v>2199.9899999999998</v>
          </cell>
          <cell r="J3093">
            <v>1851.692</v>
          </cell>
          <cell r="K3093">
            <v>0</v>
          </cell>
          <cell r="L3093">
            <v>1851.692</v>
          </cell>
          <cell r="M3093">
            <v>0</v>
          </cell>
          <cell r="N3093">
            <v>2199.9899999999998</v>
          </cell>
          <cell r="O3093" t="str">
            <v/>
          </cell>
          <cell r="P3093">
            <v>0</v>
          </cell>
          <cell r="Q3093">
            <v>0.18809715654655301</v>
          </cell>
          <cell r="R3093">
            <v>0.18809715654655301</v>
          </cell>
          <cell r="S3093" t="e">
            <v>#VALUE!</v>
          </cell>
          <cell r="T3093" t="e">
            <v>#VALUE!</v>
          </cell>
        </row>
        <row r="3094">
          <cell r="A3094" t="str">
            <v>GREM2290157K</v>
          </cell>
          <cell r="B3094" t="str">
            <v>MKP000631005919</v>
          </cell>
          <cell r="C3094" t="str">
            <v/>
          </cell>
          <cell r="D3094" t="str">
            <v>Armário de Cozinha Compacta 229cm Rustic/Preto Emilly Madesa 15</v>
          </cell>
          <cell r="E3094" t="str">
            <v>EMILLY</v>
          </cell>
          <cell r="F3094" t="str">
            <v>COZINHA</v>
          </cell>
          <cell r="G3094" t="str">
            <v/>
          </cell>
          <cell r="H3094">
            <v>1029.99</v>
          </cell>
          <cell r="I3094">
            <v>929.99</v>
          </cell>
          <cell r="J3094">
            <v>755.47900000000004</v>
          </cell>
          <cell r="K3094">
            <v>0</v>
          </cell>
          <cell r="L3094">
            <v>755.47900000000004</v>
          </cell>
          <cell r="M3094">
            <v>0</v>
          </cell>
          <cell r="N3094">
            <v>929.99</v>
          </cell>
          <cell r="O3094" t="str">
            <v/>
          </cell>
          <cell r="P3094">
            <v>0</v>
          </cell>
          <cell r="Q3094">
            <v>0.23099384628824901</v>
          </cell>
          <cell r="R3094">
            <v>0.23099384628824901</v>
          </cell>
          <cell r="S3094" t="e">
            <v>#VALUE!</v>
          </cell>
          <cell r="T3094" t="e">
            <v>#VALUE!</v>
          </cell>
        </row>
        <row r="3095">
          <cell r="A3095" t="str">
            <v>GRTE290002099B</v>
          </cell>
          <cell r="B3095" t="str">
            <v>MKP000631001997</v>
          </cell>
          <cell r="C3095" t="str">
            <v/>
          </cell>
          <cell r="D3095" t="str">
            <v>Armário de Cozinha Completa 290cm Branco/Branco/Rustic Stella Madesa 02</v>
          </cell>
          <cell r="E3095" t="str">
            <v>STELLA</v>
          </cell>
          <cell r="F3095" t="str">
            <v>COZINHA</v>
          </cell>
          <cell r="G3095" t="str">
            <v/>
          </cell>
          <cell r="H3095">
            <v>2299.9899999999998</v>
          </cell>
          <cell r="I3095">
            <v>2199.9899999999998</v>
          </cell>
          <cell r="J3095">
            <v>1815.6566</v>
          </cell>
          <cell r="K3095">
            <v>0</v>
          </cell>
          <cell r="L3095">
            <v>1815.6566</v>
          </cell>
          <cell r="M3095">
            <v>0</v>
          </cell>
          <cell r="N3095">
            <v>2199.9899999999998</v>
          </cell>
          <cell r="O3095" t="str">
            <v/>
          </cell>
          <cell r="P3095">
            <v>0</v>
          </cell>
          <cell r="Q3095">
            <v>0.21167736233823001</v>
          </cell>
          <cell r="R3095">
            <v>0.21167736233823001</v>
          </cell>
          <cell r="S3095" t="e">
            <v>#VALUE!</v>
          </cell>
          <cell r="T3095" t="e">
            <v>#VALUE!</v>
          </cell>
        </row>
        <row r="3096">
          <cell r="A3096" t="str">
            <v>MDJA0800065ZSIM</v>
          </cell>
          <cell r="B3096" t="str">
            <v>MKP000631006058</v>
          </cell>
          <cell r="C3096" t="str">
            <v/>
          </cell>
          <cell r="D3096" t="str">
            <v>Conjunto Sala de Jantar Mesa Tampo de Madeira 8 Cadeiras Rustic/Imperial Leila Madesa</v>
          </cell>
          <cell r="E3096" t="str">
            <v>LEILA</v>
          </cell>
          <cell r="F3096" t="str">
            <v>SALA DE JANTAR</v>
          </cell>
          <cell r="G3096">
            <v>4256</v>
          </cell>
          <cell r="H3096">
            <v>2049.9899999999998</v>
          </cell>
          <cell r="I3096">
            <v>1949.99</v>
          </cell>
          <cell r="J3096">
            <v>1549.4023</v>
          </cell>
          <cell r="K3096">
            <v>0</v>
          </cell>
          <cell r="L3096">
            <v>1549.4023</v>
          </cell>
          <cell r="M3096">
            <v>0</v>
          </cell>
          <cell r="N3096">
            <v>1949.99</v>
          </cell>
          <cell r="O3096" t="str">
            <v/>
          </cell>
          <cell r="P3096">
            <v>0</v>
          </cell>
          <cell r="Q3096">
            <v>0.25854337508082997</v>
          </cell>
          <cell r="R3096">
            <v>0.25854337508082997</v>
          </cell>
          <cell r="S3096" t="e">
            <v>#VALUE!</v>
          </cell>
          <cell r="T3096" t="e">
            <v>#VALUE!</v>
          </cell>
        </row>
        <row r="3097">
          <cell r="A3097" t="str">
            <v>GRGL2000036E</v>
          </cell>
          <cell r="B3097" t="str">
            <v>MKP000631004229</v>
          </cell>
          <cell r="C3097" t="str">
            <v/>
          </cell>
          <cell r="D3097" t="str">
            <v>Armário de Cozinha Compacta 200cm Rustic Branco Glamy Madesa 03</v>
          </cell>
          <cell r="E3097" t="str">
            <v>GLAMY</v>
          </cell>
          <cell r="F3097" t="str">
            <v>COZINHA</v>
          </cell>
          <cell r="G3097" t="str">
            <v/>
          </cell>
          <cell r="H3097">
            <v>1749.99</v>
          </cell>
          <cell r="I3097">
            <v>1649.99</v>
          </cell>
          <cell r="J3097">
            <v>1357.5078000000001</v>
          </cell>
          <cell r="K3097">
            <v>0</v>
          </cell>
          <cell r="L3097">
            <v>1357.5078000000001</v>
          </cell>
          <cell r="M3097">
            <v>0</v>
          </cell>
          <cell r="N3097">
            <v>1649.99</v>
          </cell>
          <cell r="O3097" t="str">
            <v/>
          </cell>
          <cell r="P3097">
            <v>0</v>
          </cell>
          <cell r="Q3097">
            <v>0.21545526294581899</v>
          </cell>
          <cell r="R3097">
            <v>0.21545526294581899</v>
          </cell>
          <cell r="S3097" t="e">
            <v>#VALUE!</v>
          </cell>
          <cell r="T3097" t="e">
            <v>#VALUE!</v>
          </cell>
        </row>
        <row r="3098">
          <cell r="A3098" t="str">
            <v>GRGL20000373</v>
          </cell>
          <cell r="B3098" t="str">
            <v>MKP000631004616</v>
          </cell>
          <cell r="C3098" t="str">
            <v/>
          </cell>
          <cell r="D3098" t="str">
            <v>Armário de Cozinha Compacta 200cm Branco Preto Glamy Madesa 03</v>
          </cell>
          <cell r="E3098" t="str">
            <v>GLAMY</v>
          </cell>
          <cell r="F3098" t="str">
            <v>COZINHA</v>
          </cell>
          <cell r="G3098" t="str">
            <v/>
          </cell>
          <cell r="H3098">
            <v>1749.99</v>
          </cell>
          <cell r="I3098">
            <v>1649.99</v>
          </cell>
          <cell r="J3098">
            <v>1357.5078000000001</v>
          </cell>
          <cell r="K3098">
            <v>0</v>
          </cell>
          <cell r="L3098">
            <v>1357.5078000000001</v>
          </cell>
          <cell r="M3098">
            <v>0</v>
          </cell>
          <cell r="N3098">
            <v>1649.99</v>
          </cell>
          <cell r="O3098" t="str">
            <v/>
          </cell>
          <cell r="P3098">
            <v>0</v>
          </cell>
          <cell r="Q3098">
            <v>0.21545526294581899</v>
          </cell>
          <cell r="R3098">
            <v>0.21545526294581899</v>
          </cell>
          <cell r="S3098" t="e">
            <v>#VALUE!</v>
          </cell>
          <cell r="T3098" t="e">
            <v>#VALUE!</v>
          </cell>
        </row>
        <row r="3099">
          <cell r="A3099" t="str">
            <v>1018D83E</v>
          </cell>
          <cell r="B3099" t="str">
            <v>MKP000631002388</v>
          </cell>
          <cell r="C3099" t="str">
            <v/>
          </cell>
          <cell r="D3099" t="str">
            <v>Guarda-Roupa Casal Madesa Kansas 3 Portas de Correr de Espelho 3 Gavetas Preto/Rustic</v>
          </cell>
          <cell r="E3099" t="str">
            <v>KANSAS</v>
          </cell>
          <cell r="F3099" t="str">
            <v>QUARTO</v>
          </cell>
          <cell r="G3099" t="str">
            <v/>
          </cell>
          <cell r="H3099">
            <v>2389.9899999999998</v>
          </cell>
          <cell r="I3099">
            <v>1849.99</v>
          </cell>
          <cell r="J3099">
            <v>1523.3404</v>
          </cell>
          <cell r="K3099">
            <v>0</v>
          </cell>
          <cell r="L3099">
            <v>1523.3404</v>
          </cell>
          <cell r="M3099">
            <v>0</v>
          </cell>
          <cell r="N3099">
            <v>1849.99</v>
          </cell>
          <cell r="O3099" t="str">
            <v/>
          </cell>
          <cell r="P3099">
            <v>0</v>
          </cell>
          <cell r="Q3099">
            <v>0.21442981489888899</v>
          </cell>
          <cell r="R3099">
            <v>0.21442981489888899</v>
          </cell>
          <cell r="S3099" t="e">
            <v>#VALUE!</v>
          </cell>
          <cell r="T3099" t="e">
            <v>#VALUE!</v>
          </cell>
        </row>
        <row r="3100">
          <cell r="A3100" t="str">
            <v>GRGM2500049B</v>
          </cell>
          <cell r="B3100" t="str">
            <v>MKP000631004340</v>
          </cell>
          <cell r="C3100" t="str">
            <v/>
          </cell>
          <cell r="D3100" t="str">
            <v>Armário de Cozinha Completa 100% MDF 250cm Branco/Rustic Acordes Madesa 04</v>
          </cell>
          <cell r="E3100" t="str">
            <v>ACORDES</v>
          </cell>
          <cell r="F3100" t="str">
            <v>COZINHA</v>
          </cell>
          <cell r="G3100" t="str">
            <v/>
          </cell>
          <cell r="H3100">
            <v>1899.99</v>
          </cell>
          <cell r="I3100">
            <v>1799.99</v>
          </cell>
          <cell r="J3100">
            <v>1471.7834</v>
          </cell>
          <cell r="K3100">
            <v>0</v>
          </cell>
          <cell r="L3100">
            <v>1471.7834</v>
          </cell>
          <cell r="M3100">
            <v>0</v>
          </cell>
          <cell r="N3100">
            <v>1799.99</v>
          </cell>
          <cell r="O3100" t="str">
            <v/>
          </cell>
          <cell r="P3100">
            <v>0</v>
          </cell>
          <cell r="Q3100">
            <v>0.22299925383042099</v>
          </cell>
          <cell r="R3100">
            <v>0.22299925383042099</v>
          </cell>
          <cell r="S3100" t="e">
            <v>#VALUE!</v>
          </cell>
          <cell r="T3100" t="e">
            <v>#VALUE!</v>
          </cell>
        </row>
        <row r="3101">
          <cell r="A3101" t="str">
            <v>GRGL2400105Z</v>
          </cell>
          <cell r="B3101" t="str">
            <v>MKP000631005203</v>
          </cell>
          <cell r="C3101" t="str">
            <v/>
          </cell>
          <cell r="D3101" t="str">
            <v>Armário de Cozinha Completa 240cm Rustic Glamy Madesa 10</v>
          </cell>
          <cell r="E3101" t="str">
            <v>GLAMY</v>
          </cell>
          <cell r="F3101" t="str">
            <v>COZINHA</v>
          </cell>
          <cell r="G3101" t="str">
            <v/>
          </cell>
          <cell r="H3101">
            <v>1669.99</v>
          </cell>
          <cell r="I3101">
            <v>1569.99</v>
          </cell>
          <cell r="J3101">
            <v>1274.6895999999999</v>
          </cell>
          <cell r="K3101">
            <v>0</v>
          </cell>
          <cell r="L3101">
            <v>1274.6895999999999</v>
          </cell>
          <cell r="M3101">
            <v>0</v>
          </cell>
          <cell r="N3101">
            <v>1569.99</v>
          </cell>
          <cell r="O3101" t="str">
            <v/>
          </cell>
          <cell r="P3101">
            <v>0</v>
          </cell>
          <cell r="Q3101">
            <v>0.231664555825983</v>
          </cell>
          <cell r="R3101">
            <v>0.231664555825983</v>
          </cell>
          <cell r="S3101" t="e">
            <v>#VALUE!</v>
          </cell>
          <cell r="T3101" t="e">
            <v>#VALUE!</v>
          </cell>
        </row>
        <row r="3102">
          <cell r="A3102" t="str">
            <v>GCTE4990015Z</v>
          </cell>
          <cell r="B3102" t="str">
            <v>MKP000631005758</v>
          </cell>
          <cell r="C3102" t="str">
            <v/>
          </cell>
          <cell r="D3102" t="str">
            <v>Armário de Cozinha Completa de Canto 499cm Rustic Stella Madesa 01</v>
          </cell>
          <cell r="E3102" t="str">
            <v>STELLA</v>
          </cell>
          <cell r="F3102" t="str">
            <v>COZINHA</v>
          </cell>
          <cell r="G3102" t="str">
            <v/>
          </cell>
          <cell r="H3102">
            <v>3899.99</v>
          </cell>
          <cell r="I3102">
            <v>3899.99</v>
          </cell>
          <cell r="J3102">
            <v>3139.4506999999999</v>
          </cell>
          <cell r="K3102">
            <v>0</v>
          </cell>
          <cell r="L3102">
            <v>3139.4506999999999</v>
          </cell>
          <cell r="M3102">
            <v>0</v>
          </cell>
          <cell r="N3102">
            <v>3899.99</v>
          </cell>
          <cell r="O3102" t="str">
            <v/>
          </cell>
          <cell r="P3102">
            <v>0</v>
          </cell>
          <cell r="Q3102">
            <v>0.24225234688348499</v>
          </cell>
          <cell r="R3102">
            <v>0.24225234688348499</v>
          </cell>
          <cell r="S3102" t="e">
            <v>#VALUE!</v>
          </cell>
          <cell r="T3102" t="e">
            <v>#VALUE!</v>
          </cell>
        </row>
        <row r="3103">
          <cell r="A3103" t="str">
            <v>GRTE27001009</v>
          </cell>
          <cell r="B3103" t="str">
            <v>MKP000631005930</v>
          </cell>
          <cell r="C3103" t="str">
            <v/>
          </cell>
          <cell r="D3103" t="str">
            <v>Armário de Cozinha Completa 270cm Branco Stella Madesa 10</v>
          </cell>
          <cell r="E3103" t="str">
            <v>STELLA</v>
          </cell>
          <cell r="F3103" t="str">
            <v>COZINHA</v>
          </cell>
          <cell r="G3103" t="str">
            <v/>
          </cell>
          <cell r="H3103">
            <v>1899.99</v>
          </cell>
          <cell r="I3103">
            <v>1799.99</v>
          </cell>
          <cell r="J3103">
            <v>1434.7779</v>
          </cell>
          <cell r="K3103">
            <v>0</v>
          </cell>
          <cell r="L3103">
            <v>1434.7779</v>
          </cell>
          <cell r="M3103">
            <v>0</v>
          </cell>
          <cell r="N3103">
            <v>1799.99</v>
          </cell>
          <cell r="O3103" t="str">
            <v/>
          </cell>
          <cell r="P3103">
            <v>0</v>
          </cell>
          <cell r="Q3103">
            <v>0.25454260202920598</v>
          </cell>
          <cell r="R3103">
            <v>0.25454260202920598</v>
          </cell>
          <cell r="S3103" t="e">
            <v>#VALUE!</v>
          </cell>
          <cell r="T3103" t="e">
            <v>#VALUE!</v>
          </cell>
        </row>
        <row r="3104">
          <cell r="A3104" t="str">
            <v>GRAG29000173</v>
          </cell>
          <cell r="B3104" t="str">
            <v>MKP000631003089</v>
          </cell>
          <cell r="C3104" t="str">
            <v/>
          </cell>
          <cell r="D3104" t="str">
            <v>Armário de Cozinha Completa 290cm Branco/Preto Agata Madesa 01</v>
          </cell>
          <cell r="E3104" t="str">
            <v>ÁGATA</v>
          </cell>
          <cell r="F3104" t="str">
            <v>COZINHA</v>
          </cell>
          <cell r="G3104" t="str">
            <v/>
          </cell>
          <cell r="H3104">
            <v>2599.9899999999998</v>
          </cell>
          <cell r="I3104">
            <v>2499.9899999999998</v>
          </cell>
          <cell r="J3104">
            <v>1998.4713999999999</v>
          </cell>
          <cell r="K3104">
            <v>0</v>
          </cell>
          <cell r="L3104">
            <v>1998.4713999999999</v>
          </cell>
          <cell r="M3104">
            <v>0</v>
          </cell>
          <cell r="N3104">
            <v>2499.9899999999998</v>
          </cell>
          <cell r="O3104" t="str">
            <v/>
          </cell>
          <cell r="P3104">
            <v>0</v>
          </cell>
          <cell r="Q3104">
            <v>0.25095110192720299</v>
          </cell>
          <cell r="R3104">
            <v>0.25095110192720299</v>
          </cell>
          <cell r="S3104" t="e">
            <v>#VALUE!</v>
          </cell>
          <cell r="T3104" t="e">
            <v>#VALUE!</v>
          </cell>
        </row>
        <row r="3105">
          <cell r="A3105" t="str">
            <v>GRAG2600027G</v>
          </cell>
          <cell r="B3105" t="str">
            <v>MKP000631005964</v>
          </cell>
          <cell r="C3105" t="str">
            <v/>
          </cell>
          <cell r="D3105" t="str">
            <v>Armário de Cozinha Completa 260cm Rustic/Crema Agata Madesa 02</v>
          </cell>
          <cell r="E3105" t="str">
            <v>ÁGATA</v>
          </cell>
          <cell r="F3105" t="str">
            <v>COZINHA</v>
          </cell>
          <cell r="G3105" t="str">
            <v/>
          </cell>
          <cell r="H3105">
            <v>1749.99</v>
          </cell>
          <cell r="I3105">
            <v>1749.99</v>
          </cell>
          <cell r="J3105">
            <v>1382.2617</v>
          </cell>
          <cell r="K3105">
            <v>0</v>
          </cell>
          <cell r="L3105">
            <v>1382.2617</v>
          </cell>
          <cell r="M3105">
            <v>0</v>
          </cell>
          <cell r="N3105">
            <v>1749.99</v>
          </cell>
          <cell r="O3105" t="str">
            <v/>
          </cell>
          <cell r="P3105">
            <v>0</v>
          </cell>
          <cell r="Q3105">
            <v>0.26603377638257603</v>
          </cell>
          <cell r="R3105">
            <v>0.26603377638257603</v>
          </cell>
          <cell r="S3105" t="e">
            <v>#VALUE!</v>
          </cell>
          <cell r="T3105" t="e">
            <v>#VALUE!</v>
          </cell>
        </row>
        <row r="3106">
          <cell r="A3106" t="str">
            <v>GRAG22000173</v>
          </cell>
          <cell r="B3106" t="str">
            <v>MKP000631005020</v>
          </cell>
          <cell r="C3106" t="str">
            <v/>
          </cell>
          <cell r="D3106" t="str">
            <v>Armário de Cozinha Completa 220cm Branco/Preto Agata da Thêmis Madesa</v>
          </cell>
          <cell r="E3106" t="str">
            <v>ÁGATA</v>
          </cell>
          <cell r="F3106" t="str">
            <v>COZINHA</v>
          </cell>
          <cell r="G3106" t="str">
            <v/>
          </cell>
          <cell r="H3106">
            <v>2259.9899999999998</v>
          </cell>
          <cell r="I3106">
            <v>2199.9899999999998</v>
          </cell>
          <cell r="J3106">
            <v>1717.7963999999999</v>
          </cell>
          <cell r="K3106">
            <v>0</v>
          </cell>
          <cell r="L3106">
            <v>1717.7963999999999</v>
          </cell>
          <cell r="M3106">
            <v>0</v>
          </cell>
          <cell r="N3106">
            <v>2199.9899999999998</v>
          </cell>
          <cell r="O3106" t="str">
            <v/>
          </cell>
          <cell r="P3106">
            <v>0</v>
          </cell>
          <cell r="Q3106">
            <v>0.28070474475321999</v>
          </cell>
          <cell r="R3106">
            <v>0.28070474475321999</v>
          </cell>
          <cell r="S3106" t="e">
            <v>#VALUE!</v>
          </cell>
          <cell r="T3106" t="e">
            <v>#VALUE!</v>
          </cell>
        </row>
        <row r="3107">
          <cell r="A3107" t="str">
            <v>MDJA0401617GBE</v>
          </cell>
          <cell r="B3107" t="str">
            <v>MKP000631005558</v>
          </cell>
          <cell r="C3107" t="str">
            <v/>
          </cell>
          <cell r="D3107" t="str">
            <v>Conjunto Sala de Jantar Mesa Tampo de Madeira 4 Cadeiras Rustic/Crema/Sintético Bege Claire Madesa</v>
          </cell>
          <cell r="E3107" t="str">
            <v>CLAIRE</v>
          </cell>
          <cell r="F3107" t="str">
            <v>SALA DE JANTAR</v>
          </cell>
          <cell r="G3107" t="str">
            <v>4280X</v>
          </cell>
          <cell r="H3107">
            <v>649.99</v>
          </cell>
          <cell r="I3107">
            <v>549.99</v>
          </cell>
          <cell r="J3107">
            <v>426.03739999999999</v>
          </cell>
          <cell r="K3107">
            <v>0</v>
          </cell>
          <cell r="L3107">
            <v>426.03739999999999</v>
          </cell>
          <cell r="M3107">
            <v>0</v>
          </cell>
          <cell r="N3107">
            <v>549.99</v>
          </cell>
          <cell r="O3107" t="str">
            <v/>
          </cell>
          <cell r="P3107">
            <v>0</v>
          </cell>
          <cell r="Q3107">
            <v>0.29094300171769</v>
          </cell>
          <cell r="R3107">
            <v>0.29094300171769</v>
          </cell>
          <cell r="S3107" t="e">
            <v>#VALUE!</v>
          </cell>
          <cell r="T3107" t="e">
            <v>#VALUE!</v>
          </cell>
        </row>
        <row r="3108">
          <cell r="A3108" t="str">
            <v>GRAG270007F9</v>
          </cell>
          <cell r="B3108" t="str">
            <v>MKP000631005264</v>
          </cell>
          <cell r="C3108" t="str">
            <v/>
          </cell>
          <cell r="D3108" t="str">
            <v>Armário de  Cozinha Completa 270cm Rustic/Cinza Agata Madesa 07</v>
          </cell>
          <cell r="E3108" t="str">
            <v>ÁGATA</v>
          </cell>
          <cell r="F3108" t="str">
            <v>COZINHA</v>
          </cell>
          <cell r="G3108" t="str">
            <v/>
          </cell>
          <cell r="H3108">
            <v>2219.9899999999998</v>
          </cell>
          <cell r="I3108">
            <v>2099.9899999999998</v>
          </cell>
          <cell r="J3108">
            <v>1623.3152</v>
          </cell>
          <cell r="K3108">
            <v>0</v>
          </cell>
          <cell r="L3108">
            <v>1623.3152</v>
          </cell>
          <cell r="M3108">
            <v>0</v>
          </cell>
          <cell r="N3108">
            <v>2099.9899999999998</v>
          </cell>
          <cell r="O3108" t="str">
            <v/>
          </cell>
          <cell r="P3108">
            <v>0</v>
          </cell>
          <cell r="Q3108">
            <v>0.29364278730341398</v>
          </cell>
          <cell r="R3108">
            <v>0.29364278730341398</v>
          </cell>
          <cell r="S3108" t="e">
            <v>#VALUE!</v>
          </cell>
          <cell r="T3108" t="e">
            <v>#VALUE!</v>
          </cell>
        </row>
        <row r="3109">
          <cell r="A3109" t="str">
            <v>MDES0200145Z09</v>
          </cell>
          <cell r="B3109" t="str">
            <v>MKP000631002890</v>
          </cell>
          <cell r="C3109" t="str">
            <v/>
          </cell>
          <cell r="D3109" t="str">
            <v>Rack Madesa Dubai e Painel para TV até 65 Polegadas com Pés Rustic/Branco 5Z09</v>
          </cell>
          <cell r="E3109" t="str">
            <v>DUBAI</v>
          </cell>
          <cell r="F3109" t="str">
            <v>SALA DE ESTAR</v>
          </cell>
          <cell r="G3109" t="str">
            <v/>
          </cell>
          <cell r="H3109">
            <v>1149.99</v>
          </cell>
          <cell r="I3109">
            <v>599.99</v>
          </cell>
          <cell r="J3109">
            <v>442.649</v>
          </cell>
          <cell r="K3109">
            <v>0</v>
          </cell>
          <cell r="L3109">
            <v>442.649</v>
          </cell>
          <cell r="M3109">
            <v>0</v>
          </cell>
          <cell r="N3109">
            <v>599.99</v>
          </cell>
          <cell r="O3109" t="str">
            <v/>
          </cell>
          <cell r="P3109">
            <v>0</v>
          </cell>
          <cell r="Q3109">
            <v>0.35545319203251302</v>
          </cell>
          <cell r="R3109">
            <v>0.35545319203251302</v>
          </cell>
          <cell r="S3109" t="e">
            <v>#VALUE!</v>
          </cell>
          <cell r="T3109" t="e">
            <v>#VALUE!</v>
          </cell>
        </row>
        <row r="3110">
          <cell r="A3110" t="str">
            <v>G241536EAGFF</v>
          </cell>
          <cell r="B3110" t="str">
            <v>MKP000631005653</v>
          </cell>
          <cell r="C3110" t="str">
            <v/>
          </cell>
          <cell r="D3110" t="str">
            <v>Balcão Gabinete de Pia Madesa Agata 150 cm 2 Portas e 2 Gavetas (Sem Tampo e Pia) Rustic/Branco</v>
          </cell>
          <cell r="E3110" t="str">
            <v>ÁGATA</v>
          </cell>
          <cell r="F3110" t="str">
            <v>MODULAÇÃO</v>
          </cell>
          <cell r="G3110" t="str">
            <v/>
          </cell>
          <cell r="H3110">
            <v>689.99</v>
          </cell>
          <cell r="I3110">
            <v>649.99</v>
          </cell>
          <cell r="J3110">
            <v>477.38729999999998</v>
          </cell>
          <cell r="K3110">
            <v>0</v>
          </cell>
          <cell r="L3110">
            <v>477.38729999999998</v>
          </cell>
          <cell r="M3110">
            <v>0</v>
          </cell>
          <cell r="N3110">
            <v>649.99</v>
          </cell>
          <cell r="O3110" t="str">
            <v/>
          </cell>
          <cell r="P3110">
            <v>0</v>
          </cell>
          <cell r="Q3110">
            <v>0.36155695805062299</v>
          </cell>
          <cell r="R3110">
            <v>0.36155695805062299</v>
          </cell>
          <cell r="S3110" t="e">
            <v>#VALUE!</v>
          </cell>
          <cell r="T3110" t="e">
            <v>#VALUE!</v>
          </cell>
        </row>
        <row r="3111">
          <cell r="A3111" t="str">
            <v>G25350H8LX</v>
          </cell>
          <cell r="B3111" t="str">
            <v>MKP000631004703</v>
          </cell>
          <cell r="C3111" t="str">
            <v/>
          </cell>
          <cell r="D3111" t="str">
            <v>Armário Aéreo Madesa Lux 35 cm 1 Porta Rustic/Branco Veludo</v>
          </cell>
          <cell r="E3111" t="str">
            <v>LUX</v>
          </cell>
          <cell r="F3111" t="str">
            <v>MODULAÇÃO</v>
          </cell>
          <cell r="G3111" t="str">
            <v/>
          </cell>
          <cell r="H3111">
            <v>519.99</v>
          </cell>
          <cell r="I3111">
            <v>329.99</v>
          </cell>
          <cell r="J3111">
            <v>174.2801</v>
          </cell>
          <cell r="K3111">
            <v>0</v>
          </cell>
          <cell r="L3111">
            <v>174.2801</v>
          </cell>
          <cell r="M3111">
            <v>0</v>
          </cell>
          <cell r="N3111">
            <v>329.99</v>
          </cell>
          <cell r="O3111" t="str">
            <v>LOJA</v>
          </cell>
          <cell r="P3111">
            <v>319.99</v>
          </cell>
          <cell r="Q3111">
            <v>0.89344623970264003</v>
          </cell>
          <cell r="R3111">
            <v>0.89344623970264003</v>
          </cell>
          <cell r="S3111" t="e">
            <v>#VALUE!</v>
          </cell>
          <cell r="T3111" t="e">
            <v>#VALUE!</v>
          </cell>
        </row>
        <row r="3112">
          <cell r="A3112" t="str">
            <v>G258007GAG</v>
          </cell>
          <cell r="B3112" t="str">
            <v>MKP000631005399</v>
          </cell>
          <cell r="C3112" t="str">
            <v/>
          </cell>
          <cell r="D3112" t="str">
            <v>Armário Aéreo 80 cm 2 Portas Rustic/Crema Agata Madesa</v>
          </cell>
          <cell r="E3112" t="str">
            <v>ÁGATA</v>
          </cell>
          <cell r="F3112" t="str">
            <v>MODULAÇÃO</v>
          </cell>
          <cell r="G3112" t="str">
            <v/>
          </cell>
          <cell r="H3112">
            <v>579.99</v>
          </cell>
          <cell r="I3112">
            <v>479.99</v>
          </cell>
          <cell r="J3112">
            <v>252.3895</v>
          </cell>
          <cell r="K3112">
            <v>0</v>
          </cell>
          <cell r="L3112">
            <v>252.3895</v>
          </cell>
          <cell r="M3112">
            <v>0</v>
          </cell>
          <cell r="N3112">
            <v>479.99</v>
          </cell>
          <cell r="O3112" t="str">
            <v/>
          </cell>
          <cell r="P3112">
            <v>0</v>
          </cell>
          <cell r="Q3112">
            <v>0.90178276037632299</v>
          </cell>
          <cell r="R3112">
            <v>0.90178276037632299</v>
          </cell>
          <cell r="S3112" t="e">
            <v>#VALUE!</v>
          </cell>
          <cell r="T3112" t="e">
            <v>#VALUE!</v>
          </cell>
        </row>
        <row r="3113">
          <cell r="A3113" t="str">
            <v>MDJA0601677GBE</v>
          </cell>
          <cell r="B3113" t="str">
            <v>MKP000631006050</v>
          </cell>
          <cell r="C3113" t="str">
            <v/>
          </cell>
          <cell r="D3113" t="str">
            <v>Conjunto Sala de Jantar Mesa Tampo de Vidro 6 Cadeiras Rustic/Crema/Bege Zoe Madesa</v>
          </cell>
          <cell r="E3113" t="str">
            <v>ZOE</v>
          </cell>
          <cell r="F3113" t="str">
            <v>SALA DE JANTAR</v>
          </cell>
          <cell r="G3113" t="str">
            <v>4280X</v>
          </cell>
          <cell r="H3113">
            <v>1099.99</v>
          </cell>
          <cell r="I3113">
            <v>1059.99</v>
          </cell>
          <cell r="J3113">
            <v>760.36220000000003</v>
          </cell>
          <cell r="K3113">
            <v>0</v>
          </cell>
          <cell r="L3113">
            <v>760.36220000000003</v>
          </cell>
          <cell r="M3113">
            <v>0</v>
          </cell>
          <cell r="N3113">
            <v>1059.99</v>
          </cell>
          <cell r="O3113" t="str">
            <v>CAMICADO</v>
          </cell>
          <cell r="P3113">
            <v>949.99</v>
          </cell>
          <cell r="Q3113">
            <v>0.39405930489442997</v>
          </cell>
          <cell r="R3113">
            <v>0.39405930489442997</v>
          </cell>
          <cell r="S3113" t="e">
            <v>#VALUE!</v>
          </cell>
          <cell r="T3113" t="e">
            <v>#VALUE!</v>
          </cell>
        </row>
        <row r="3114">
          <cell r="A3114" t="str">
            <v>G2480073AG</v>
          </cell>
          <cell r="B3114" t="str">
            <v>MKP000631003060</v>
          </cell>
          <cell r="C3114" t="str">
            <v/>
          </cell>
          <cell r="D3114" t="str">
            <v>Balcão Madesa Agata 80 cm 2 Portas Branco/Preto</v>
          </cell>
          <cell r="E3114" t="str">
            <v>ÁGATA</v>
          </cell>
          <cell r="F3114" t="str">
            <v>MODULAÇÃO</v>
          </cell>
          <cell r="G3114" t="str">
            <v/>
          </cell>
          <cell r="H3114">
            <v>919.99</v>
          </cell>
          <cell r="I3114">
            <v>529.99</v>
          </cell>
          <cell r="J3114">
            <v>325.82279999999997</v>
          </cell>
          <cell r="K3114">
            <v>0</v>
          </cell>
          <cell r="L3114">
            <v>325.82279999999997</v>
          </cell>
          <cell r="M3114">
            <v>0</v>
          </cell>
          <cell r="N3114">
            <v>529.99</v>
          </cell>
          <cell r="O3114" t="str">
            <v/>
          </cell>
          <cell r="P3114">
            <v>0</v>
          </cell>
          <cell r="Q3114">
            <v>0.62662035928731796</v>
          </cell>
          <cell r="R3114">
            <v>0.62662035928731796</v>
          </cell>
          <cell r="S3114" t="e">
            <v>#VALUE!</v>
          </cell>
          <cell r="T3114" t="e">
            <v>#VALUE!</v>
          </cell>
        </row>
        <row r="3115">
          <cell r="A3115" t="str">
            <v>GRGL220002097K</v>
          </cell>
          <cell r="B3115" t="str">
            <v>MKP000631002956</v>
          </cell>
          <cell r="C3115" t="str">
            <v/>
          </cell>
          <cell r="D3115" t="str">
            <v>Armário de Cozinha Completa 220cm Branco/Rustic/Preto Parma Madesa 02</v>
          </cell>
          <cell r="E3115" t="str">
            <v>PARMA/GLAMY</v>
          </cell>
          <cell r="F3115" t="str">
            <v>COZINHA</v>
          </cell>
          <cell r="G3115" t="str">
            <v/>
          </cell>
          <cell r="H3115">
            <v>1969.99</v>
          </cell>
          <cell r="I3115">
            <v>1869.99</v>
          </cell>
          <cell r="J3115">
            <v>1558.7654</v>
          </cell>
          <cell r="K3115">
            <v>0</v>
          </cell>
          <cell r="L3115">
            <v>1558.7654</v>
          </cell>
          <cell r="M3115">
            <v>0</v>
          </cell>
          <cell r="N3115">
            <v>1869.99</v>
          </cell>
          <cell r="O3115" t="str">
            <v/>
          </cell>
          <cell r="P3115">
            <v>0</v>
          </cell>
          <cell r="Q3115">
            <v>0.199660962451438</v>
          </cell>
          <cell r="R3115">
            <v>0.199660962451438</v>
          </cell>
          <cell r="S3115" t="e">
            <v>#VALUE!</v>
          </cell>
          <cell r="T3115" t="e">
            <v>#VALUE!</v>
          </cell>
        </row>
        <row r="3116">
          <cell r="A3116" t="str">
            <v>GRGL27001473</v>
          </cell>
          <cell r="B3116" t="str">
            <v>MKP000631004605</v>
          </cell>
          <cell r="C3116" t="str">
            <v/>
          </cell>
          <cell r="D3116" t="str">
            <v>Armário de Cozinha Completa 270cm Branco/Preto Glamy Madesa 14</v>
          </cell>
          <cell r="E3116" t="str">
            <v>GLAMY</v>
          </cell>
          <cell r="F3116" t="str">
            <v>COZINHA</v>
          </cell>
          <cell r="G3116" t="str">
            <v/>
          </cell>
          <cell r="H3116">
            <v>1999.99</v>
          </cell>
          <cell r="I3116">
            <v>1899.99</v>
          </cell>
          <cell r="J3116">
            <v>1576.9575</v>
          </cell>
          <cell r="K3116">
            <v>0</v>
          </cell>
          <cell r="L3116">
            <v>1576.9575</v>
          </cell>
          <cell r="M3116">
            <v>0</v>
          </cell>
          <cell r="N3116">
            <v>1899.99</v>
          </cell>
          <cell r="O3116" t="str">
            <v/>
          </cell>
          <cell r="P3116">
            <v>0</v>
          </cell>
          <cell r="Q3116">
            <v>0.20484540642344501</v>
          </cell>
          <cell r="R3116">
            <v>0.20484540642344501</v>
          </cell>
          <cell r="S3116" t="e">
            <v>#VALUE!</v>
          </cell>
          <cell r="T3116" t="e">
            <v>#VALUE!</v>
          </cell>
        </row>
        <row r="3117">
          <cell r="A3117" t="str">
            <v>GREM2930035Z</v>
          </cell>
          <cell r="B3117" t="str">
            <v>MKP000631005152</v>
          </cell>
          <cell r="C3117" t="str">
            <v/>
          </cell>
          <cell r="D3117" t="str">
            <v>Armário de Cozinha Completa 293cm Rustic Emilly Madesa 03</v>
          </cell>
          <cell r="E3117" t="str">
            <v>EMILLY</v>
          </cell>
          <cell r="F3117" t="str">
            <v>COZINHA</v>
          </cell>
          <cell r="G3117" t="str">
            <v/>
          </cell>
          <cell r="H3117">
            <v>1549.99</v>
          </cell>
          <cell r="I3117">
            <v>1449.99</v>
          </cell>
          <cell r="J3117">
            <v>1172.3168000000001</v>
          </cell>
          <cell r="K3117">
            <v>0</v>
          </cell>
          <cell r="L3117">
            <v>1172.3168000000001</v>
          </cell>
          <cell r="M3117">
            <v>0</v>
          </cell>
          <cell r="N3117">
            <v>1449.99</v>
          </cell>
          <cell r="O3117" t="str">
            <v/>
          </cell>
          <cell r="P3117">
            <v>0</v>
          </cell>
          <cell r="Q3117">
            <v>0.23685850104681599</v>
          </cell>
          <cell r="R3117">
            <v>0.23685850104681599</v>
          </cell>
          <cell r="S3117" t="e">
            <v>#VALUE!</v>
          </cell>
          <cell r="T3117" t="e">
            <v>#VALUE!</v>
          </cell>
        </row>
        <row r="3118">
          <cell r="A3118" t="str">
            <v>MDJA0601405ZSIM</v>
          </cell>
          <cell r="B3118" t="str">
            <v>MKP000631005357</v>
          </cell>
          <cell r="C3118" t="str">
            <v/>
          </cell>
          <cell r="D3118" t="str">
            <v>Conjunto Sala de Jantar Mesa Tampo de Madeira 6 Cadeiras Rustic/Imperial Renata Madesa</v>
          </cell>
          <cell r="E3118" t="str">
            <v>RENATA</v>
          </cell>
          <cell r="F3118" t="str">
            <v>SALA DE JANTAR</v>
          </cell>
          <cell r="G3118">
            <v>4255</v>
          </cell>
          <cell r="H3118">
            <v>1459.99</v>
          </cell>
          <cell r="I3118">
            <v>1359.99</v>
          </cell>
          <cell r="J3118">
            <v>1064.2978000000001</v>
          </cell>
          <cell r="K3118">
            <v>0</v>
          </cell>
          <cell r="L3118">
            <v>1064.2978000000001</v>
          </cell>
          <cell r="M3118">
            <v>0</v>
          </cell>
          <cell r="N3118">
            <v>1359.99</v>
          </cell>
          <cell r="O3118" t="str">
            <v/>
          </cell>
          <cell r="P3118">
            <v>0</v>
          </cell>
          <cell r="Q3118">
            <v>0.277828442377688</v>
          </cell>
          <cell r="R3118">
            <v>0.277828442377688</v>
          </cell>
          <cell r="S3118" t="e">
            <v>#VALUE!</v>
          </cell>
          <cell r="T3118" t="e">
            <v>#VALUE!</v>
          </cell>
        </row>
        <row r="3119">
          <cell r="A3119" t="str">
            <v>GREM2610055Z</v>
          </cell>
          <cell r="B3119" t="str">
            <v>MKP000631005159</v>
          </cell>
          <cell r="C3119" t="str">
            <v/>
          </cell>
          <cell r="D3119" t="str">
            <v>Armário de Cozinha Completa 261cm Rustic Emilly Madesa 05</v>
          </cell>
          <cell r="E3119" t="str">
            <v>EMILLY</v>
          </cell>
          <cell r="F3119" t="str">
            <v>COZINHA</v>
          </cell>
          <cell r="G3119" t="str">
            <v/>
          </cell>
          <cell r="H3119">
            <v>1479.99</v>
          </cell>
          <cell r="I3119">
            <v>1379.99</v>
          </cell>
          <cell r="J3119">
            <v>1112.5521000000001</v>
          </cell>
          <cell r="K3119">
            <v>0</v>
          </cell>
          <cell r="L3119">
            <v>1112.5521000000001</v>
          </cell>
          <cell r="M3119">
            <v>0</v>
          </cell>
          <cell r="N3119">
            <v>1379.99</v>
          </cell>
          <cell r="O3119" t="str">
            <v/>
          </cell>
          <cell r="P3119">
            <v>0</v>
          </cell>
          <cell r="Q3119">
            <v>0.24038236052046399</v>
          </cell>
          <cell r="R3119">
            <v>0.24038236052046399</v>
          </cell>
          <cell r="S3119" t="e">
            <v>#VALUE!</v>
          </cell>
          <cell r="T3119" t="e">
            <v>#VALUE!</v>
          </cell>
        </row>
        <row r="3120">
          <cell r="A3120" t="str">
            <v>GRGL2800039B</v>
          </cell>
          <cell r="B3120" t="str">
            <v>MKP000631001495</v>
          </cell>
          <cell r="C3120" t="str">
            <v/>
          </cell>
          <cell r="D3120" t="str">
            <v>Armário de Cozinha Completa 280cm Branco/Rustic Marcela Madesa 03</v>
          </cell>
          <cell r="E3120" t="str">
            <v>MARCELA/GLAMY</v>
          </cell>
          <cell r="F3120" t="str">
            <v>COZINHA</v>
          </cell>
          <cell r="G3120" t="str">
            <v/>
          </cell>
          <cell r="H3120">
            <v>2149.9899999999998</v>
          </cell>
          <cell r="I3120">
            <v>2049.9899999999998</v>
          </cell>
          <cell r="J3120">
            <v>1671.624</v>
          </cell>
          <cell r="K3120">
            <v>0</v>
          </cell>
          <cell r="L3120">
            <v>1671.624</v>
          </cell>
          <cell r="M3120">
            <v>0</v>
          </cell>
          <cell r="N3120">
            <v>2049.9899999999998</v>
          </cell>
          <cell r="O3120" t="str">
            <v/>
          </cell>
          <cell r="P3120">
            <v>0</v>
          </cell>
          <cell r="Q3120">
            <v>0.226346355400497</v>
          </cell>
          <cell r="R3120">
            <v>0.226346355400497</v>
          </cell>
          <cell r="S3120" t="e">
            <v>#VALUE!</v>
          </cell>
          <cell r="T3120" t="e">
            <v>#VALUE!</v>
          </cell>
        </row>
        <row r="3121">
          <cell r="A3121" t="str">
            <v>GCGL4590019B</v>
          </cell>
          <cell r="B3121" t="str">
            <v>MKP000631004320</v>
          </cell>
          <cell r="C3121" t="str">
            <v/>
          </cell>
          <cell r="D3121" t="str">
            <v>Armário de Cozinha Completa de Canto 459cm Branco Rustic Glamy Madesa 01</v>
          </cell>
          <cell r="E3121" t="str">
            <v>GLAMY</v>
          </cell>
          <cell r="F3121" t="str">
            <v>COZINHA</v>
          </cell>
          <cell r="G3121" t="str">
            <v/>
          </cell>
          <cell r="H3121">
            <v>3599.99</v>
          </cell>
          <cell r="I3121">
            <v>3499.99</v>
          </cell>
          <cell r="J3121">
            <v>2819.9825999999998</v>
          </cell>
          <cell r="K3121">
            <v>0</v>
          </cell>
          <cell r="L3121">
            <v>2819.9825999999998</v>
          </cell>
          <cell r="M3121">
            <v>0</v>
          </cell>
          <cell r="N3121">
            <v>3499.99</v>
          </cell>
          <cell r="O3121" t="str">
            <v/>
          </cell>
          <cell r="P3121">
            <v>0</v>
          </cell>
          <cell r="Q3121">
            <v>0.24113886376461999</v>
          </cell>
          <cell r="R3121">
            <v>0.24113886376461999</v>
          </cell>
          <cell r="S3121" t="e">
            <v>#VALUE!</v>
          </cell>
          <cell r="T3121" t="e">
            <v>#VALUE!</v>
          </cell>
        </row>
        <row r="3122">
          <cell r="A3122" t="str">
            <v>G25108F9EM</v>
          </cell>
          <cell r="B3122" t="str">
            <v>MKP000631005905</v>
          </cell>
          <cell r="C3122" t="str">
            <v/>
          </cell>
          <cell r="D3122" t="str">
            <v>Armário Aéreo Cozinha 105cm 2 Portas 1 Nicho Rustic/Cinza Emilly Madesa</v>
          </cell>
          <cell r="E3122" t="str">
            <v>EMILLY</v>
          </cell>
          <cell r="F3122" t="str">
            <v>MODULAÇÃO</v>
          </cell>
          <cell r="G3122" t="str">
            <v/>
          </cell>
          <cell r="H3122">
            <v>199.99</v>
          </cell>
          <cell r="I3122">
            <v>199.99</v>
          </cell>
          <cell r="J3122">
            <v>151.77160000000001</v>
          </cell>
          <cell r="K3122">
            <v>0</v>
          </cell>
          <cell r="L3122">
            <v>151.77160000000001</v>
          </cell>
          <cell r="M3122">
            <v>0</v>
          </cell>
          <cell r="N3122">
            <v>199.99</v>
          </cell>
          <cell r="O3122" t="str">
            <v/>
          </cell>
          <cell r="P3122">
            <v>0</v>
          </cell>
          <cell r="Q3122">
            <v>0.31770370741298098</v>
          </cell>
          <cell r="R3122">
            <v>0.31770370741298098</v>
          </cell>
          <cell r="S3122" t="e">
            <v>#VALUE!</v>
          </cell>
          <cell r="T3122" t="e">
            <v>#VALUE!</v>
          </cell>
        </row>
        <row r="3123">
          <cell r="A3123" t="str">
            <v>GRAG1800097K</v>
          </cell>
          <cell r="B3123" t="str">
            <v>MKP000631005267</v>
          </cell>
          <cell r="C3123" t="str">
            <v/>
          </cell>
          <cell r="D3123" t="str">
            <v>Armário de  Cozinha Compacta 180cm Rustic/Preto Agata Madesa 09</v>
          </cell>
          <cell r="E3123" t="str">
            <v>ÁGATA</v>
          </cell>
          <cell r="F3123" t="str">
            <v>COZINHA</v>
          </cell>
          <cell r="G3123" t="str">
            <v/>
          </cell>
          <cell r="H3123">
            <v>1299.99</v>
          </cell>
          <cell r="I3123">
            <v>1299.99</v>
          </cell>
          <cell r="J3123">
            <v>999.91150000000005</v>
          </cell>
          <cell r="K3123">
            <v>0</v>
          </cell>
          <cell r="L3123">
            <v>999.91150000000005</v>
          </cell>
          <cell r="M3123">
            <v>0</v>
          </cell>
          <cell r="N3123">
            <v>1299.99</v>
          </cell>
          <cell r="O3123" t="str">
            <v/>
          </cell>
          <cell r="P3123">
            <v>0</v>
          </cell>
          <cell r="Q3123">
            <v>0.300105059297748</v>
          </cell>
          <cell r="R3123">
            <v>0.300105059297748</v>
          </cell>
          <cell r="S3123" t="e">
            <v>#VALUE!</v>
          </cell>
          <cell r="T3123" t="e">
            <v>#VALUE!</v>
          </cell>
        </row>
        <row r="3124">
          <cell r="A3124" t="str">
            <v>G241237KGLCT</v>
          </cell>
          <cell r="B3124" t="str">
            <v>MKP000631003014</v>
          </cell>
          <cell r="C3124" t="str">
            <v/>
          </cell>
          <cell r="D3124" t="str">
            <v>Balcão de Pia Madesa Glamy 120 cm 1 Porta e 2 Gavetas (Com Tampo) Rustic/Preto</v>
          </cell>
          <cell r="E3124" t="str">
            <v>GLAMY</v>
          </cell>
          <cell r="F3124" t="str">
            <v>MODULAÇÃO</v>
          </cell>
          <cell r="G3124" t="str">
            <v/>
          </cell>
          <cell r="H3124">
            <v>1279.99</v>
          </cell>
          <cell r="I3124">
            <v>699.99</v>
          </cell>
          <cell r="J3124">
            <v>538.29650000000004</v>
          </cell>
          <cell r="K3124">
            <v>0</v>
          </cell>
          <cell r="L3124">
            <v>538.29650000000004</v>
          </cell>
          <cell r="M3124">
            <v>0</v>
          </cell>
          <cell r="N3124">
            <v>699.99</v>
          </cell>
          <cell r="O3124" t="str">
            <v/>
          </cell>
          <cell r="P3124">
            <v>0</v>
          </cell>
          <cell r="Q3124">
            <v>0.30037999503990798</v>
          </cell>
          <cell r="R3124">
            <v>0.30037999503990798</v>
          </cell>
          <cell r="S3124" t="e">
            <v>#VALUE!</v>
          </cell>
          <cell r="T3124" t="e">
            <v>#VALUE!</v>
          </cell>
        </row>
        <row r="3125">
          <cell r="A3125" t="str">
            <v>XAMDFC0200029B</v>
          </cell>
          <cell r="B3125" t="str">
            <v>MKP000631003385</v>
          </cell>
          <cell r="C3125" t="str">
            <v/>
          </cell>
          <cell r="D3125" t="str">
            <v>Mesa para Computador Gamer e Painel TV Madesa Branco/Rustic</v>
          </cell>
          <cell r="E3125" t="str">
            <v>GAMER</v>
          </cell>
          <cell r="F3125" t="str">
            <v>ESCRITÓRIO</v>
          </cell>
          <cell r="G3125" t="str">
            <v/>
          </cell>
          <cell r="H3125">
            <v>859.99</v>
          </cell>
          <cell r="I3125">
            <v>589.99</v>
          </cell>
          <cell r="J3125">
            <v>434.67020000000002</v>
          </cell>
          <cell r="K3125">
            <v>0</v>
          </cell>
          <cell r="L3125">
            <v>434.67020000000002</v>
          </cell>
          <cell r="M3125">
            <v>0</v>
          </cell>
          <cell r="N3125">
            <v>589.99</v>
          </cell>
          <cell r="O3125" t="str">
            <v/>
          </cell>
          <cell r="P3125">
            <v>0</v>
          </cell>
          <cell r="Q3125">
            <v>0.35732792356135801</v>
          </cell>
          <cell r="R3125">
            <v>0.35732792356135801</v>
          </cell>
          <cell r="S3125" t="e">
            <v>#VALUE!</v>
          </cell>
          <cell r="T3125" t="e">
            <v>#VALUE!</v>
          </cell>
        </row>
        <row r="3126">
          <cell r="A3126" t="str">
            <v>52756E2VI</v>
          </cell>
          <cell r="B3126" t="str">
            <v>MKP000631003137</v>
          </cell>
          <cell r="C3126" t="str">
            <v/>
          </cell>
          <cell r="D3126" t="str">
            <v>Mesa de Jantar Retangular Tampo de Vidro Rustic/Branco 5275 Madesa</v>
          </cell>
          <cell r="E3126">
            <v>5275</v>
          </cell>
          <cell r="F3126" t="str">
            <v>SALA DE JANTAR</v>
          </cell>
          <cell r="G3126" t="str">
            <v/>
          </cell>
          <cell r="H3126">
            <v>909.99</v>
          </cell>
          <cell r="I3126">
            <v>779.99</v>
          </cell>
          <cell r="J3126">
            <v>515.26480000000004</v>
          </cell>
          <cell r="K3126">
            <v>0</v>
          </cell>
          <cell r="L3126">
            <v>515.26480000000004</v>
          </cell>
          <cell r="M3126">
            <v>0</v>
          </cell>
          <cell r="N3126">
            <v>779.99</v>
          </cell>
          <cell r="O3126" t="str">
            <v/>
          </cell>
          <cell r="P3126">
            <v>0</v>
          </cell>
          <cell r="Q3126">
            <v>0.51376534938928498</v>
          </cell>
          <cell r="R3126">
            <v>0.51376534938928498</v>
          </cell>
          <cell r="S3126" t="e">
            <v>#VALUE!</v>
          </cell>
          <cell r="T3126" t="e">
            <v>#VALUE!</v>
          </cell>
        </row>
        <row r="3127">
          <cell r="A3127" t="str">
            <v>G247009BTE</v>
          </cell>
          <cell r="B3127" t="str">
            <v>MKP000631003490</v>
          </cell>
          <cell r="C3127" t="str">
            <v/>
          </cell>
          <cell r="D3127" t="str">
            <v>Balcão de Cozinha Madesa Stella 70 cm 2 Portas Branco/Rustic</v>
          </cell>
          <cell r="E3127" t="str">
            <v>STELLA</v>
          </cell>
          <cell r="F3127" t="str">
            <v>MODULAÇÃO</v>
          </cell>
          <cell r="G3127" t="str">
            <v/>
          </cell>
          <cell r="H3127">
            <v>859.99</v>
          </cell>
          <cell r="I3127">
            <v>499.99</v>
          </cell>
          <cell r="J3127">
            <v>322.17129999999997</v>
          </cell>
          <cell r="K3127">
            <v>0</v>
          </cell>
          <cell r="L3127">
            <v>322.17129999999997</v>
          </cell>
          <cell r="M3127">
            <v>0</v>
          </cell>
          <cell r="N3127">
            <v>499.99</v>
          </cell>
          <cell r="O3127" t="str">
            <v/>
          </cell>
          <cell r="P3127">
            <v>0</v>
          </cell>
          <cell r="Q3127">
            <v>0.55193836322478096</v>
          </cell>
          <cell r="R3127">
            <v>0.55193836322478096</v>
          </cell>
          <cell r="S3127" t="e">
            <v>#VALUE!</v>
          </cell>
          <cell r="T3127" t="e">
            <v>#VALUE!</v>
          </cell>
        </row>
        <row r="3128">
          <cell r="A3128" t="str">
            <v>MDFC020010738N</v>
          </cell>
          <cell r="B3128" t="str">
            <v>MKP000631003418</v>
          </cell>
          <cell r="C3128" t="str">
            <v/>
          </cell>
          <cell r="D3128" t="str">
            <v>Escrivaninha Madesa Rubi + Estante Livreiro 6907 Branco/Preto</v>
          </cell>
          <cell r="E3128" t="str">
            <v>RUBI + 6907</v>
          </cell>
          <cell r="F3128" t="str">
            <v>ESCRITÓRIO</v>
          </cell>
          <cell r="G3128" t="str">
            <v/>
          </cell>
          <cell r="H3128">
            <v>609.99</v>
          </cell>
          <cell r="I3128">
            <v>439.99</v>
          </cell>
          <cell r="J3128">
            <v>283.84690000000001</v>
          </cell>
          <cell r="K3128">
            <v>0</v>
          </cell>
          <cell r="L3128">
            <v>283.84690000000001</v>
          </cell>
          <cell r="M3128">
            <v>0</v>
          </cell>
          <cell r="N3128">
            <v>439.99</v>
          </cell>
          <cell r="O3128" t="str">
            <v/>
          </cell>
          <cell r="P3128">
            <v>0</v>
          </cell>
          <cell r="Q3128">
            <v>0.55009619622409101</v>
          </cell>
          <cell r="R3128">
            <v>0.55009619622409101</v>
          </cell>
          <cell r="S3128" t="e">
            <v>#VALUE!</v>
          </cell>
          <cell r="T3128" t="e">
            <v>#VALUE!</v>
          </cell>
        </row>
        <row r="3129">
          <cell r="A3129" t="str">
            <v>G221239BGL</v>
          </cell>
          <cell r="B3129" t="str">
            <v>MKP000631004869</v>
          </cell>
          <cell r="C3129" t="str">
            <v/>
          </cell>
          <cell r="D3129" t="str">
            <v>Balcão Gabinete de Pia 120 x 60 cm 1 Porta 2 Gavetas Branco/Rustic (Sem Tampo) Glamy Madesa</v>
          </cell>
          <cell r="E3129" t="str">
            <v>GLAMY</v>
          </cell>
          <cell r="F3129" t="str">
            <v>MODULAÇÃO</v>
          </cell>
          <cell r="G3129" t="str">
            <v/>
          </cell>
          <cell r="H3129">
            <v>759.99</v>
          </cell>
          <cell r="I3129">
            <v>719.99</v>
          </cell>
          <cell r="J3129">
            <v>460.64490000000001</v>
          </cell>
          <cell r="K3129">
            <v>0</v>
          </cell>
          <cell r="L3129">
            <v>460.64490000000001</v>
          </cell>
          <cell r="M3129">
            <v>0</v>
          </cell>
          <cell r="N3129">
            <v>719.99</v>
          </cell>
          <cell r="O3129" t="str">
            <v/>
          </cell>
          <cell r="P3129">
            <v>0</v>
          </cell>
          <cell r="Q3129">
            <v>0.56300438797867902</v>
          </cell>
          <cell r="R3129">
            <v>0.56300438797867902</v>
          </cell>
          <cell r="S3129" t="e">
            <v>#VALUE!</v>
          </cell>
          <cell r="T3129" t="e">
            <v>#VALUE!</v>
          </cell>
        </row>
        <row r="3130">
          <cell r="A3130" t="str">
            <v>G251215ZGL</v>
          </cell>
          <cell r="B3130" t="str">
            <v>MKP000631000363</v>
          </cell>
          <cell r="C3130" t="str">
            <v/>
          </cell>
          <cell r="D3130" t="str">
            <v>Armário Aéreo Madesa Glamy 120 cm 2 Portas Rustic</v>
          </cell>
          <cell r="E3130" t="str">
            <v>GLAMY</v>
          </cell>
          <cell r="F3130" t="str">
            <v>MODULAÇÃO</v>
          </cell>
          <cell r="G3130" t="str">
            <v/>
          </cell>
          <cell r="H3130">
            <v>839.99</v>
          </cell>
          <cell r="I3130">
            <v>519.99</v>
          </cell>
          <cell r="J3130">
            <v>328.85300000000001</v>
          </cell>
          <cell r="K3130">
            <v>0</v>
          </cell>
          <cell r="L3130">
            <v>328.85300000000001</v>
          </cell>
          <cell r="M3130">
            <v>0</v>
          </cell>
          <cell r="N3130">
            <v>519.99</v>
          </cell>
          <cell r="O3130" t="str">
            <v/>
          </cell>
          <cell r="P3130">
            <v>0</v>
          </cell>
          <cell r="Q3130">
            <v>0.58122322131773196</v>
          </cell>
          <cell r="R3130">
            <v>0.58122322131773196</v>
          </cell>
          <cell r="S3130" t="e">
            <v>#VALUE!</v>
          </cell>
          <cell r="T3130" t="e">
            <v>#VALUE!</v>
          </cell>
        </row>
        <row r="3131">
          <cell r="A3131" t="str">
            <v>G267500909</v>
          </cell>
          <cell r="B3131" t="str">
            <v>MKP000631000713</v>
          </cell>
          <cell r="C3131" t="str">
            <v/>
          </cell>
          <cell r="D3131" t="str">
            <v>Torre Quente Para 2 Fornos 100% MDF Branco Smart Madesa</v>
          </cell>
          <cell r="E3131" t="str">
            <v>SMART</v>
          </cell>
          <cell r="F3131" t="str">
            <v>MODULAÇÃO</v>
          </cell>
          <cell r="G3131" t="str">
            <v/>
          </cell>
          <cell r="H3131">
            <v>799.99</v>
          </cell>
          <cell r="I3131">
            <v>649.99</v>
          </cell>
          <cell r="J3131">
            <v>462.05099999999999</v>
          </cell>
          <cell r="K3131">
            <v>0</v>
          </cell>
          <cell r="L3131">
            <v>462.05099999999999</v>
          </cell>
          <cell r="M3131">
            <v>0</v>
          </cell>
          <cell r="N3131">
            <v>649.99</v>
          </cell>
          <cell r="O3131" t="str">
            <v/>
          </cell>
          <cell r="P3131">
            <v>0</v>
          </cell>
          <cell r="Q3131">
            <v>0.40674947137870099</v>
          </cell>
          <cell r="R3131">
            <v>0.40674947137870099</v>
          </cell>
          <cell r="S3131" t="e">
            <v>#VALUE!</v>
          </cell>
          <cell r="T3131" t="e">
            <v>#VALUE!</v>
          </cell>
        </row>
        <row r="3132">
          <cell r="A3132" t="str">
            <v>GRSM25000109</v>
          </cell>
          <cell r="B3132" t="str">
            <v>MKP000631001797</v>
          </cell>
          <cell r="C3132" t="str">
            <v/>
          </cell>
          <cell r="D3132" t="str">
            <v>Armário de Cozinha Completa 100% MDF 250cm Branco Smart Madesa 01</v>
          </cell>
          <cell r="E3132" t="str">
            <v>SMART</v>
          </cell>
          <cell r="F3132" t="str">
            <v>COZINHA</v>
          </cell>
          <cell r="G3132" t="str">
            <v/>
          </cell>
          <cell r="H3132">
            <v>1999.99</v>
          </cell>
          <cell r="I3132">
            <v>1639.99</v>
          </cell>
          <cell r="J3132">
            <v>1329.146</v>
          </cell>
          <cell r="K3132">
            <v>0</v>
          </cell>
          <cell r="L3132">
            <v>1329.146</v>
          </cell>
          <cell r="M3132">
            <v>0</v>
          </cell>
          <cell r="N3132">
            <v>1639.99</v>
          </cell>
          <cell r="O3132" t="str">
            <v>MADEIRAMADEIRA</v>
          </cell>
          <cell r="P3132">
            <v>1629.99</v>
          </cell>
          <cell r="Q3132">
            <v>0.23386746076051801</v>
          </cell>
          <cell r="R3132">
            <v>0.23386746076051801</v>
          </cell>
          <cell r="S3132" t="e">
            <v>#VALUE!</v>
          </cell>
          <cell r="T3132" t="e">
            <v>#VALUE!</v>
          </cell>
        </row>
        <row r="3133">
          <cell r="A3133" t="str">
            <v>GCGL3990027K</v>
          </cell>
          <cell r="B3133" t="str">
            <v>MKP000631004390</v>
          </cell>
          <cell r="C3133" t="str">
            <v/>
          </cell>
          <cell r="D3133" t="str">
            <v>Armário de Cozinha Completa de Canto 399cm Rustic Preto Glamy Madesa 02</v>
          </cell>
          <cell r="E3133" t="str">
            <v>GLAMY</v>
          </cell>
          <cell r="F3133" t="str">
            <v>COZINHA</v>
          </cell>
          <cell r="G3133" t="str">
            <v/>
          </cell>
          <cell r="H3133">
            <v>2999.99</v>
          </cell>
          <cell r="I3133">
            <v>2899.99</v>
          </cell>
          <cell r="J3133">
            <v>2430.6781999999998</v>
          </cell>
          <cell r="K3133">
            <v>0</v>
          </cell>
          <cell r="L3133">
            <v>2430.6781999999998</v>
          </cell>
          <cell r="M3133">
            <v>0</v>
          </cell>
          <cell r="N3133">
            <v>2899.99</v>
          </cell>
          <cell r="O3133" t="str">
            <v/>
          </cell>
          <cell r="P3133">
            <v>0</v>
          </cell>
          <cell r="Q3133">
            <v>0.193078540795733</v>
          </cell>
          <cell r="R3133">
            <v>0.193078540795733</v>
          </cell>
          <cell r="S3133" t="e">
            <v>#VALUE!</v>
          </cell>
          <cell r="T3133" t="e">
            <v>#VALUE!</v>
          </cell>
        </row>
        <row r="3134">
          <cell r="A3134" t="str">
            <v>GREM2290095Z</v>
          </cell>
          <cell r="B3134" t="str">
            <v>MKP000631005171</v>
          </cell>
          <cell r="C3134" t="str">
            <v/>
          </cell>
          <cell r="D3134" t="str">
            <v>Armário de Cozinha Completa 229cm Rustic Emilly Madesa 09</v>
          </cell>
          <cell r="E3134" t="str">
            <v>EMILLY</v>
          </cell>
          <cell r="F3134" t="str">
            <v>COZINHA</v>
          </cell>
          <cell r="G3134" t="str">
            <v/>
          </cell>
          <cell r="H3134">
            <v>1249.99</v>
          </cell>
          <cell r="I3134">
            <v>1149.99</v>
          </cell>
          <cell r="J3134">
            <v>930.74009999999998</v>
          </cell>
          <cell r="K3134">
            <v>0</v>
          </cell>
          <cell r="L3134">
            <v>930.74009999999998</v>
          </cell>
          <cell r="M3134">
            <v>0</v>
          </cell>
          <cell r="N3134">
            <v>1149.99</v>
          </cell>
          <cell r="O3134" t="str">
            <v/>
          </cell>
          <cell r="P3134">
            <v>0</v>
          </cell>
          <cell r="Q3134">
            <v>0.23556511640575101</v>
          </cell>
          <cell r="R3134">
            <v>0.23556511640575101</v>
          </cell>
          <cell r="S3134" t="e">
            <v>#VALUE!</v>
          </cell>
          <cell r="T3134" t="e">
            <v>#VALUE!</v>
          </cell>
        </row>
        <row r="3135">
          <cell r="A3135" t="str">
            <v>10189B3E</v>
          </cell>
          <cell r="B3135" t="str">
            <v>MKP000631002386</v>
          </cell>
          <cell r="C3135" t="str">
            <v/>
          </cell>
          <cell r="D3135" t="str">
            <v>Guarda-Roupa Casal Madesa Kansas 3 Portas de Correr de Espelho 3 Gavetas Branco/Rustic</v>
          </cell>
          <cell r="E3135" t="str">
            <v>KANSAS</v>
          </cell>
          <cell r="F3135" t="str">
            <v>QUARTO</v>
          </cell>
          <cell r="G3135" t="str">
            <v/>
          </cell>
          <cell r="H3135">
            <v>2389.9899999999998</v>
          </cell>
          <cell r="I3135">
            <v>1849.99</v>
          </cell>
          <cell r="J3135">
            <v>1523.3404</v>
          </cell>
          <cell r="K3135">
            <v>0</v>
          </cell>
          <cell r="L3135">
            <v>1523.3404</v>
          </cell>
          <cell r="M3135">
            <v>0</v>
          </cell>
          <cell r="N3135">
            <v>1849.99</v>
          </cell>
          <cell r="O3135" t="str">
            <v/>
          </cell>
          <cell r="P3135">
            <v>0</v>
          </cell>
          <cell r="Q3135">
            <v>0.21442981489888899</v>
          </cell>
          <cell r="R3135">
            <v>0.21442981489888899</v>
          </cell>
          <cell r="S3135" t="e">
            <v>#VALUE!</v>
          </cell>
          <cell r="T3135" t="e">
            <v>#VALUE!</v>
          </cell>
        </row>
        <row r="3136">
          <cell r="A3136" t="str">
            <v>GRGL2200045Z</v>
          </cell>
          <cell r="B3136" t="str">
            <v>MKP000631001285</v>
          </cell>
          <cell r="C3136" t="str">
            <v/>
          </cell>
          <cell r="D3136" t="str">
            <v>Armário de Cozinha Completa 220cm Rustic Áquila Madesa 04</v>
          </cell>
          <cell r="E3136" t="str">
            <v>ÁQUILA/GLAMY</v>
          </cell>
          <cell r="F3136" t="str">
            <v>COZINHA</v>
          </cell>
          <cell r="G3136" t="str">
            <v/>
          </cell>
          <cell r="H3136">
            <v>2899.99</v>
          </cell>
          <cell r="I3136">
            <v>2299.9899999999998</v>
          </cell>
          <cell r="J3136">
            <v>1881.0784000000001</v>
          </cell>
          <cell r="K3136">
            <v>0</v>
          </cell>
          <cell r="L3136">
            <v>1881.0784000000001</v>
          </cell>
          <cell r="M3136">
            <v>0</v>
          </cell>
          <cell r="N3136">
            <v>2299.9899999999998</v>
          </cell>
          <cell r="O3136" t="str">
            <v/>
          </cell>
          <cell r="P3136">
            <v>0</v>
          </cell>
          <cell r="Q3136">
            <v>0.222697576028729</v>
          </cell>
          <cell r="R3136">
            <v>0.222697576028729</v>
          </cell>
          <cell r="S3136" t="e">
            <v>#VALUE!</v>
          </cell>
          <cell r="T3136" t="e">
            <v>#VALUE!</v>
          </cell>
        </row>
        <row r="3137">
          <cell r="A3137" t="str">
            <v>XA10639B1R</v>
          </cell>
          <cell r="B3137" t="str">
            <v>MKP000631001431</v>
          </cell>
          <cell r="C3137" t="str">
            <v/>
          </cell>
          <cell r="D3137" t="str">
            <v>Guarda-Roupa Infantil Madesa Logan 100% MDF 3 Portas de Correr Branco/Branco/Rustic</v>
          </cell>
          <cell r="E3137" t="str">
            <v>LOGAN</v>
          </cell>
          <cell r="F3137" t="str">
            <v>QUARTO</v>
          </cell>
          <cell r="G3137" t="str">
            <v/>
          </cell>
          <cell r="H3137">
            <v>2469.9899999999998</v>
          </cell>
          <cell r="I3137">
            <v>1899.99</v>
          </cell>
          <cell r="J3137">
            <v>1551.3534</v>
          </cell>
          <cell r="K3137">
            <v>0</v>
          </cell>
          <cell r="L3137">
            <v>1551.3534</v>
          </cell>
          <cell r="M3137">
            <v>0</v>
          </cell>
          <cell r="N3137">
            <v>1899.99</v>
          </cell>
          <cell r="O3137" t="str">
            <v/>
          </cell>
          <cell r="P3137">
            <v>0</v>
          </cell>
          <cell r="Q3137">
            <v>0.22473061263797101</v>
          </cell>
          <cell r="R3137">
            <v>0.22473061263797101</v>
          </cell>
          <cell r="S3137" t="e">
            <v>#VALUE!</v>
          </cell>
          <cell r="T3137" t="e">
            <v>#VALUE!</v>
          </cell>
        </row>
        <row r="3138">
          <cell r="A3138" t="str">
            <v>XA10949B1E4G</v>
          </cell>
          <cell r="B3138" t="str">
            <v>MKP000631001603</v>
          </cell>
          <cell r="C3138" t="str">
            <v/>
          </cell>
          <cell r="D3138" t="str">
            <v>Guarda-Roupa Infantil Madesa Theo 2 Portas de Correr com Espelho 4 Gavetas Branco/Rustic</v>
          </cell>
          <cell r="E3138" t="str">
            <v>THEO</v>
          </cell>
          <cell r="F3138" t="str">
            <v>QUARTO</v>
          </cell>
          <cell r="G3138" t="str">
            <v/>
          </cell>
          <cell r="H3138">
            <v>1259.99</v>
          </cell>
          <cell r="I3138">
            <v>969.99</v>
          </cell>
          <cell r="J3138">
            <v>782.51099999999997</v>
          </cell>
          <cell r="K3138">
            <v>0</v>
          </cell>
          <cell r="L3138">
            <v>782.51099999999997</v>
          </cell>
          <cell r="M3138">
            <v>0</v>
          </cell>
          <cell r="N3138">
            <v>969.99</v>
          </cell>
          <cell r="O3138" t="str">
            <v/>
          </cell>
          <cell r="P3138">
            <v>0</v>
          </cell>
          <cell r="Q3138">
            <v>0.23958640836997799</v>
          </cell>
          <cell r="R3138">
            <v>0.23958640836997799</v>
          </cell>
          <cell r="S3138" t="e">
            <v>#VALUE!</v>
          </cell>
          <cell r="T3138" t="e">
            <v>#VALUE!</v>
          </cell>
        </row>
        <row r="3139">
          <cell r="A3139" t="str">
            <v>GCGL4790019B</v>
          </cell>
          <cell r="B3139" t="str">
            <v>MKP000631004312</v>
          </cell>
          <cell r="C3139" t="str">
            <v/>
          </cell>
          <cell r="D3139" t="str">
            <v>Armário de Cozinha Completa de Canto 479cm Branco Rustic Glamy Madesa 01</v>
          </cell>
          <cell r="E3139" t="str">
            <v>GLAMY</v>
          </cell>
          <cell r="F3139" t="str">
            <v>COZINHA</v>
          </cell>
          <cell r="G3139" t="str">
            <v/>
          </cell>
          <cell r="H3139">
            <v>3799.99</v>
          </cell>
          <cell r="I3139">
            <v>3699.99</v>
          </cell>
          <cell r="J3139">
            <v>3004.9774000000002</v>
          </cell>
          <cell r="K3139">
            <v>0</v>
          </cell>
          <cell r="L3139">
            <v>3004.9774000000002</v>
          </cell>
          <cell r="M3139">
            <v>0</v>
          </cell>
          <cell r="N3139">
            <v>3699.99</v>
          </cell>
          <cell r="O3139" t="str">
            <v/>
          </cell>
          <cell r="P3139">
            <v>0</v>
          </cell>
          <cell r="Q3139">
            <v>0.231287130478918</v>
          </cell>
          <cell r="R3139">
            <v>0.231287130478918</v>
          </cell>
          <cell r="S3139" t="e">
            <v>#VALUE!</v>
          </cell>
          <cell r="T3139" t="e">
            <v>#VALUE!</v>
          </cell>
        </row>
        <row r="3140">
          <cell r="A3140" t="str">
            <v>GCEM2930025Z</v>
          </cell>
          <cell r="B3140" t="str">
            <v>MKP000631002041</v>
          </cell>
          <cell r="C3140" t="str">
            <v/>
          </cell>
          <cell r="D3140" t="str">
            <v>Armário de Cozinha Completa de Canto 293cm Rustic Emilly Music Madesa 02</v>
          </cell>
          <cell r="E3140" t="str">
            <v>MUSIC/EMILLY</v>
          </cell>
          <cell r="F3140" t="str">
            <v>COZINHA</v>
          </cell>
          <cell r="G3140" t="str">
            <v/>
          </cell>
          <cell r="H3140">
            <v>1699.99</v>
          </cell>
          <cell r="I3140">
            <v>1199.99</v>
          </cell>
          <cell r="J3140">
            <v>942.67560000000003</v>
          </cell>
          <cell r="K3140">
            <v>0</v>
          </cell>
          <cell r="L3140">
            <v>942.67560000000003</v>
          </cell>
          <cell r="M3140">
            <v>0</v>
          </cell>
          <cell r="N3140">
            <v>1199.99</v>
          </cell>
          <cell r="O3140" t="str">
            <v/>
          </cell>
          <cell r="P3140">
            <v>0</v>
          </cell>
          <cell r="Q3140">
            <v>0.27296176966922597</v>
          </cell>
          <cell r="R3140">
            <v>0.27296176966922597</v>
          </cell>
          <cell r="S3140" t="e">
            <v>#VALUE!</v>
          </cell>
          <cell r="T3140" t="e">
            <v>#VALUE!</v>
          </cell>
        </row>
        <row r="3141">
          <cell r="A3141" t="str">
            <v>MDES0200145Z9B</v>
          </cell>
          <cell r="B3141" t="str">
            <v>MKP000631002891</v>
          </cell>
          <cell r="C3141" t="str">
            <v/>
          </cell>
          <cell r="D3141" t="str">
            <v>Rack Madesa Dubai e Painel para TV até 65 Polegadas com Pés Rustic/Branco 5Z9B</v>
          </cell>
          <cell r="E3141" t="str">
            <v>DUBAI</v>
          </cell>
          <cell r="F3141" t="str">
            <v>SALA DE ESTAR</v>
          </cell>
          <cell r="G3141" t="str">
            <v/>
          </cell>
          <cell r="H3141">
            <v>1149.99</v>
          </cell>
          <cell r="I3141">
            <v>599.99</v>
          </cell>
          <cell r="J3141">
            <v>442.649</v>
          </cell>
          <cell r="K3141">
            <v>0</v>
          </cell>
          <cell r="L3141">
            <v>442.649</v>
          </cell>
          <cell r="M3141">
            <v>0</v>
          </cell>
          <cell r="N3141">
            <v>599.99</v>
          </cell>
          <cell r="O3141" t="str">
            <v/>
          </cell>
          <cell r="P3141">
            <v>0</v>
          </cell>
          <cell r="Q3141">
            <v>0.35545319203251302</v>
          </cell>
          <cell r="R3141">
            <v>0.35545319203251302</v>
          </cell>
          <cell r="S3141" t="e">
            <v>#VALUE!</v>
          </cell>
          <cell r="T3141" t="e">
            <v>#VALUE!</v>
          </cell>
        </row>
        <row r="3142">
          <cell r="A3142" t="str">
            <v>GRAG18000909</v>
          </cell>
          <cell r="B3142" t="str">
            <v>MKP000631005272</v>
          </cell>
          <cell r="C3142" t="str">
            <v/>
          </cell>
          <cell r="D3142" t="str">
            <v>Armário de  Cozinha Compacta 180cm Branco Agata Madesa 09</v>
          </cell>
          <cell r="E3142" t="str">
            <v>ÁGATA</v>
          </cell>
          <cell r="F3142" t="str">
            <v>COZINHA</v>
          </cell>
          <cell r="G3142" t="str">
            <v/>
          </cell>
          <cell r="H3142">
            <v>1299.99</v>
          </cell>
          <cell r="I3142">
            <v>1299.99</v>
          </cell>
          <cell r="J3142">
            <v>999.91150000000005</v>
          </cell>
          <cell r="K3142">
            <v>0</v>
          </cell>
          <cell r="L3142">
            <v>999.91150000000005</v>
          </cell>
          <cell r="M3142">
            <v>0</v>
          </cell>
          <cell r="N3142">
            <v>1299.99</v>
          </cell>
          <cell r="O3142" t="str">
            <v/>
          </cell>
          <cell r="P3142">
            <v>0</v>
          </cell>
          <cell r="Q3142">
            <v>0.300105059297748</v>
          </cell>
          <cell r="R3142">
            <v>0.300105059297748</v>
          </cell>
          <cell r="S3142" t="e">
            <v>#VALUE!</v>
          </cell>
          <cell r="T3142" t="e">
            <v>#VALUE!</v>
          </cell>
        </row>
        <row r="3143">
          <cell r="A3143" t="str">
            <v>G24153F8AGFF</v>
          </cell>
          <cell r="B3143" t="str">
            <v>MKP000631005655</v>
          </cell>
          <cell r="C3143" t="str">
            <v/>
          </cell>
          <cell r="D3143" t="str">
            <v>Balcão Gabinete de Pia Madesa Agata 150 cm 2 Portas e 2 Gavetas (Sem Tampo e Pia) Branco/Cinza</v>
          </cell>
          <cell r="E3143" t="str">
            <v>ÁGATA</v>
          </cell>
          <cell r="F3143" t="str">
            <v>MODULAÇÃO</v>
          </cell>
          <cell r="G3143" t="str">
            <v/>
          </cell>
          <cell r="H3143">
            <v>689.99</v>
          </cell>
          <cell r="I3143">
            <v>649.99</v>
          </cell>
          <cell r="J3143">
            <v>477.38729999999998</v>
          </cell>
          <cell r="K3143">
            <v>0</v>
          </cell>
          <cell r="L3143">
            <v>477.38729999999998</v>
          </cell>
          <cell r="M3143">
            <v>0</v>
          </cell>
          <cell r="N3143">
            <v>649.99</v>
          </cell>
          <cell r="O3143" t="str">
            <v/>
          </cell>
          <cell r="P3143">
            <v>0</v>
          </cell>
          <cell r="Q3143">
            <v>0.36155695805062299</v>
          </cell>
          <cell r="R3143">
            <v>0.36155695805062299</v>
          </cell>
          <cell r="S3143" t="e">
            <v>#VALUE!</v>
          </cell>
          <cell r="T3143" t="e">
            <v>#VALUE!</v>
          </cell>
        </row>
        <row r="3144">
          <cell r="A3144" t="str">
            <v>XAMDFC020003098N</v>
          </cell>
          <cell r="B3144" t="str">
            <v>MKP000631003372</v>
          </cell>
          <cell r="C3144" t="str">
            <v/>
          </cell>
          <cell r="D3144" t="str">
            <v>Mesa para Computador Gamer e Painel até 58 Madesa Branco/Preto</v>
          </cell>
          <cell r="E3144" t="str">
            <v>GAMER</v>
          </cell>
          <cell r="F3144" t="str">
            <v>ESCRITÓRIO</v>
          </cell>
          <cell r="G3144" t="str">
            <v/>
          </cell>
          <cell r="H3144">
            <v>709.99</v>
          </cell>
          <cell r="I3144">
            <v>479.99</v>
          </cell>
          <cell r="J3144">
            <v>347.12139999999999</v>
          </cell>
          <cell r="K3144">
            <v>0</v>
          </cell>
          <cell r="L3144">
            <v>347.12139999999999</v>
          </cell>
          <cell r="M3144">
            <v>0</v>
          </cell>
          <cell r="N3144">
            <v>479.99</v>
          </cell>
          <cell r="O3144" t="str">
            <v/>
          </cell>
          <cell r="P3144">
            <v>0</v>
          </cell>
          <cell r="Q3144">
            <v>0.38277271294711301</v>
          </cell>
          <cell r="R3144">
            <v>0.38277271294711301</v>
          </cell>
          <cell r="S3144" t="e">
            <v>#VALUE!</v>
          </cell>
          <cell r="T3144" t="e">
            <v>#VALUE!</v>
          </cell>
        </row>
        <row r="3145">
          <cell r="A3145" t="str">
            <v>MDFC020009738N</v>
          </cell>
          <cell r="B3145" t="str">
            <v>MKP000631003417</v>
          </cell>
          <cell r="C3145" t="str">
            <v/>
          </cell>
          <cell r="D3145" t="str">
            <v>Escrivaninha Madesa Rubi + Estante Livreiro 6906 Branco/Preto</v>
          </cell>
          <cell r="E3145" t="str">
            <v>RUBI + 6906</v>
          </cell>
          <cell r="F3145" t="str">
            <v>ESCRITÓRIO</v>
          </cell>
          <cell r="G3145" t="str">
            <v/>
          </cell>
          <cell r="H3145">
            <v>669.99</v>
          </cell>
          <cell r="I3145">
            <v>459.99</v>
          </cell>
          <cell r="J3145">
            <v>312.11059999999998</v>
          </cell>
          <cell r="K3145">
            <v>0</v>
          </cell>
          <cell r="L3145">
            <v>312.11059999999998</v>
          </cell>
          <cell r="M3145">
            <v>0</v>
          </cell>
          <cell r="N3145">
            <v>459.99</v>
          </cell>
          <cell r="O3145" t="str">
            <v/>
          </cell>
          <cell r="P3145">
            <v>0</v>
          </cell>
          <cell r="Q3145">
            <v>0.473804478284301</v>
          </cell>
          <cell r="R3145">
            <v>0.473804478284301</v>
          </cell>
          <cell r="S3145" t="e">
            <v>#VALUE!</v>
          </cell>
          <cell r="T3145" t="e">
            <v>#VALUE!</v>
          </cell>
        </row>
        <row r="3146">
          <cell r="A3146" t="str">
            <v>G243506ETE</v>
          </cell>
          <cell r="B3146" t="str">
            <v>MKP000631002155</v>
          </cell>
          <cell r="C3146" t="str">
            <v/>
          </cell>
          <cell r="D3146" t="str">
            <v>Balcão Madesa Stella 35 cm 1 Porta Rustic/Branco</v>
          </cell>
          <cell r="E3146" t="str">
            <v>STELLA</v>
          </cell>
          <cell r="F3146" t="str">
            <v>MODULAÇÃO</v>
          </cell>
          <cell r="G3146" t="str">
            <v/>
          </cell>
          <cell r="H3146">
            <v>489.99</v>
          </cell>
          <cell r="I3146">
            <v>339.99</v>
          </cell>
          <cell r="J3146">
            <v>217.48769999999999</v>
          </cell>
          <cell r="K3146">
            <v>0</v>
          </cell>
          <cell r="L3146">
            <v>217.48769999999999</v>
          </cell>
          <cell r="M3146">
            <v>0</v>
          </cell>
          <cell r="N3146">
            <v>339.99</v>
          </cell>
          <cell r="O3146" t="str">
            <v/>
          </cell>
          <cell r="P3146">
            <v>0</v>
          </cell>
          <cell r="Q3146">
            <v>0.56326081888768897</v>
          </cell>
          <cell r="R3146">
            <v>0.56326081888768897</v>
          </cell>
          <cell r="S3146" t="e">
            <v>#VALUE!</v>
          </cell>
          <cell r="T3146" t="e">
            <v>#VALUE!</v>
          </cell>
        </row>
        <row r="3147">
          <cell r="A3147" t="str">
            <v>G266556EAG</v>
          </cell>
          <cell r="B3147" t="str">
            <v>MKP000631004409</v>
          </cell>
          <cell r="C3147" t="str">
            <v/>
          </cell>
          <cell r="D3147" t="str">
            <v>Torre Quente Madesa Agata 60 cm 1 Porta 3 Gavetas Rustic/Branco</v>
          </cell>
          <cell r="E3147" t="str">
            <v>ÁGATA</v>
          </cell>
          <cell r="F3147" t="str">
            <v>MODULAÇÃO</v>
          </cell>
          <cell r="G3147" t="str">
            <v/>
          </cell>
          <cell r="H3147">
            <v>1019.99</v>
          </cell>
          <cell r="I3147">
            <v>919.99</v>
          </cell>
          <cell r="J3147">
            <v>547.2672</v>
          </cell>
          <cell r="K3147">
            <v>0</v>
          </cell>
          <cell r="L3147">
            <v>547.2672</v>
          </cell>
          <cell r="M3147">
            <v>0</v>
          </cell>
          <cell r="N3147">
            <v>919.99</v>
          </cell>
          <cell r="O3147" t="str">
            <v/>
          </cell>
          <cell r="P3147">
            <v>0</v>
          </cell>
          <cell r="Q3147">
            <v>0.68106182866431597</v>
          </cell>
          <cell r="R3147">
            <v>0.68106182866431597</v>
          </cell>
          <cell r="S3147" t="e">
            <v>#VALUE!</v>
          </cell>
          <cell r="T3147" t="e">
            <v>#VALUE!</v>
          </cell>
        </row>
        <row r="3148">
          <cell r="A3148" t="str">
            <v>G257005ZGL</v>
          </cell>
          <cell r="B3148" t="str">
            <v>MKP000631005459</v>
          </cell>
          <cell r="C3148" t="str">
            <v/>
          </cell>
          <cell r="D3148" t="str">
            <v>Armário Aéreo 70 cm 2 Portas Rustic Glamy Madesa</v>
          </cell>
          <cell r="E3148" t="str">
            <v>GLAMY</v>
          </cell>
          <cell r="F3148" t="str">
            <v>MODULAÇÃO</v>
          </cell>
          <cell r="G3148" t="str">
            <v/>
          </cell>
          <cell r="H3148">
            <v>519.99</v>
          </cell>
          <cell r="I3148">
            <v>419.99</v>
          </cell>
          <cell r="J3148">
            <v>249.31569999999999</v>
          </cell>
          <cell r="K3148">
            <v>0</v>
          </cell>
          <cell r="L3148">
            <v>249.31569999999999</v>
          </cell>
          <cell r="M3148">
            <v>0</v>
          </cell>
          <cell r="N3148">
            <v>419.99</v>
          </cell>
          <cell r="O3148" t="str">
            <v/>
          </cell>
          <cell r="P3148">
            <v>0</v>
          </cell>
          <cell r="Q3148">
            <v>0.68457100776244695</v>
          </cell>
          <cell r="R3148">
            <v>0.68457100776244695</v>
          </cell>
          <cell r="S3148" t="e">
            <v>#VALUE!</v>
          </cell>
          <cell r="T3148" t="e">
            <v>#VALUE!</v>
          </cell>
        </row>
        <row r="3149">
          <cell r="A3149" t="str">
            <v>G257006ETE</v>
          </cell>
          <cell r="B3149" t="str">
            <v>MKP000631005456</v>
          </cell>
          <cell r="C3149" t="str">
            <v/>
          </cell>
          <cell r="D3149" t="str">
            <v>Armário Aéreo 70 cm 2 Portas Rustic/Branco Stella Madesa</v>
          </cell>
          <cell r="E3149" t="str">
            <v>STELLA</v>
          </cell>
          <cell r="F3149" t="str">
            <v>MODULAÇÃO</v>
          </cell>
          <cell r="G3149" t="str">
            <v/>
          </cell>
          <cell r="H3149">
            <v>519.99</v>
          </cell>
          <cell r="I3149">
            <v>419.99</v>
          </cell>
          <cell r="J3149">
            <v>250.14410000000001</v>
          </cell>
          <cell r="K3149">
            <v>0</v>
          </cell>
          <cell r="L3149">
            <v>250.14410000000001</v>
          </cell>
          <cell r="M3149">
            <v>0</v>
          </cell>
          <cell r="N3149">
            <v>419.99</v>
          </cell>
          <cell r="O3149" t="str">
            <v/>
          </cell>
          <cell r="P3149">
            <v>0</v>
          </cell>
          <cell r="Q3149">
            <v>0.67899222887927402</v>
          </cell>
          <cell r="R3149">
            <v>0.67899222887927402</v>
          </cell>
          <cell r="S3149" t="e">
            <v>#VALUE!</v>
          </cell>
          <cell r="T3149" t="e">
            <v>#VALUE!</v>
          </cell>
        </row>
        <row r="3150">
          <cell r="A3150" t="str">
            <v>G257009RLX</v>
          </cell>
          <cell r="B3150" t="str">
            <v>MKP000631005462</v>
          </cell>
          <cell r="C3150" t="str">
            <v/>
          </cell>
          <cell r="D3150" t="str">
            <v>Armário Aéreo 70 cm 2 Portas Branco/Cinza Lux Madesa</v>
          </cell>
          <cell r="E3150" t="str">
            <v>LUX</v>
          </cell>
          <cell r="F3150" t="str">
            <v>MODULAÇÃO</v>
          </cell>
          <cell r="G3150" t="str">
            <v/>
          </cell>
          <cell r="H3150">
            <v>729.99</v>
          </cell>
          <cell r="I3150">
            <v>679.99</v>
          </cell>
          <cell r="J3150">
            <v>400.52050000000003</v>
          </cell>
          <cell r="K3150">
            <v>0</v>
          </cell>
          <cell r="L3150">
            <v>400.52050000000003</v>
          </cell>
          <cell r="M3150">
            <v>0</v>
          </cell>
          <cell r="N3150">
            <v>679.99</v>
          </cell>
          <cell r="O3150" t="str">
            <v>LOJA</v>
          </cell>
          <cell r="P3150">
            <v>669.99</v>
          </cell>
          <cell r="Q3150">
            <v>0.69776578227581298</v>
          </cell>
          <cell r="R3150">
            <v>0.69776578227581298</v>
          </cell>
          <cell r="S3150" t="e">
            <v>#VALUE!</v>
          </cell>
          <cell r="T3150" t="e">
            <v>#VALUE!</v>
          </cell>
        </row>
        <row r="3151">
          <cell r="A3151" t="str">
            <v>G256005ZGL</v>
          </cell>
          <cell r="B3151" t="str">
            <v>MKP000631000370</v>
          </cell>
          <cell r="C3151" t="str">
            <v/>
          </cell>
          <cell r="D3151" t="str">
            <v>Armário Aéreo Madesa Glamy 60 cm 1 Porta Rustic</v>
          </cell>
          <cell r="E3151" t="str">
            <v>GLAMY</v>
          </cell>
          <cell r="F3151" t="str">
            <v>MODULAÇÃO</v>
          </cell>
          <cell r="G3151" t="str">
            <v/>
          </cell>
          <cell r="H3151">
            <v>459.99</v>
          </cell>
          <cell r="I3151">
            <v>329.99</v>
          </cell>
          <cell r="J3151">
            <v>194.02</v>
          </cell>
          <cell r="K3151">
            <v>0</v>
          </cell>
          <cell r="L3151">
            <v>194.02</v>
          </cell>
          <cell r="M3151">
            <v>0</v>
          </cell>
          <cell r="N3151">
            <v>329.99</v>
          </cell>
          <cell r="O3151" t="str">
            <v/>
          </cell>
          <cell r="P3151">
            <v>0</v>
          </cell>
          <cell r="Q3151">
            <v>0.70080404082053405</v>
          </cell>
          <cell r="R3151">
            <v>0.70080404082053405</v>
          </cell>
          <cell r="S3151" t="e">
            <v>#VALUE!</v>
          </cell>
          <cell r="T3151" t="e">
            <v>#VALUE!</v>
          </cell>
        </row>
        <row r="3152">
          <cell r="A3152" t="str">
            <v>MDJA0800047GFBM</v>
          </cell>
          <cell r="B3152" t="str">
            <v>MKP000631005560</v>
          </cell>
          <cell r="C3152" t="str">
            <v/>
          </cell>
          <cell r="D3152" t="str">
            <v>Conjunto Sala de Jantar Mesa Tampo de Madeira 8 Cadeiras Rustic/Crema/Bege Marrom Marisa Madesa</v>
          </cell>
          <cell r="E3152" t="str">
            <v>MARISA</v>
          </cell>
          <cell r="F3152" t="str">
            <v>SALA DE JANTAR</v>
          </cell>
          <cell r="G3152" t="str">
            <v>4291X</v>
          </cell>
          <cell r="H3152">
            <v>1249.99</v>
          </cell>
          <cell r="I3152">
            <v>1149.99</v>
          </cell>
          <cell r="J3152">
            <v>869.50390000000004</v>
          </cell>
          <cell r="K3152">
            <v>0</v>
          </cell>
          <cell r="L3152">
            <v>869.50390000000004</v>
          </cell>
          <cell r="M3152">
            <v>0</v>
          </cell>
          <cell r="N3152">
            <v>1149.99</v>
          </cell>
          <cell r="O3152" t="str">
            <v/>
          </cell>
          <cell r="P3152">
            <v>0</v>
          </cell>
          <cell r="Q3152">
            <v>0.32258176185293702</v>
          </cell>
          <cell r="R3152">
            <v>0.32258176185293702</v>
          </cell>
          <cell r="S3152" t="e">
            <v>#VALUE!</v>
          </cell>
          <cell r="T3152" t="e">
            <v>#VALUE!</v>
          </cell>
        </row>
        <row r="3153">
          <cell r="A3153" t="str">
            <v>GRTE31000209</v>
          </cell>
          <cell r="B3153" t="str">
            <v>MKP000631005937</v>
          </cell>
          <cell r="C3153" t="str">
            <v/>
          </cell>
          <cell r="D3153" t="str">
            <v>Armário de Cozinha Completa 310cm Branco Stella Madesa 02</v>
          </cell>
          <cell r="E3153" t="str">
            <v>STELLA</v>
          </cell>
          <cell r="F3153" t="str">
            <v>COZINHA</v>
          </cell>
          <cell r="G3153" t="str">
            <v/>
          </cell>
          <cell r="H3153">
            <v>2499.9899999999998</v>
          </cell>
          <cell r="I3153">
            <v>2499.9899999999998</v>
          </cell>
          <cell r="J3153">
            <v>2134.4924999999998</v>
          </cell>
          <cell r="K3153">
            <v>0</v>
          </cell>
          <cell r="L3153">
            <v>2134.4924999999998</v>
          </cell>
          <cell r="M3153">
            <v>0</v>
          </cell>
          <cell r="N3153">
            <v>2499.9899999999998</v>
          </cell>
          <cell r="O3153" t="str">
            <v/>
          </cell>
          <cell r="P3153">
            <v>0</v>
          </cell>
          <cell r="Q3153">
            <v>0.171233911573828</v>
          </cell>
          <cell r="R3153">
            <v>0.171233911573828</v>
          </cell>
          <cell r="S3153" t="e">
            <v>#VALUE!</v>
          </cell>
          <cell r="T3153" t="e">
            <v>#VALUE!</v>
          </cell>
        </row>
        <row r="3154">
          <cell r="A3154" t="str">
            <v>MDJA0401725ZSIM</v>
          </cell>
          <cell r="B3154" t="str">
            <v>MKP000631005902</v>
          </cell>
          <cell r="C3154" t="str">
            <v/>
          </cell>
          <cell r="D3154" t="str">
            <v>Conjunto Sala de Jantar Mesa Tampo de Vidro 4 Cadeiras Rustic/Imperial Ivy Madesa</v>
          </cell>
          <cell r="E3154" t="str">
            <v>IVY</v>
          </cell>
          <cell r="F3154" t="str">
            <v>SALA DE JANTAR</v>
          </cell>
          <cell r="G3154">
            <v>4255</v>
          </cell>
          <cell r="H3154">
            <v>1039.99</v>
          </cell>
          <cell r="I3154">
            <v>939.99</v>
          </cell>
          <cell r="J3154">
            <v>757.6481</v>
          </cell>
          <cell r="K3154">
            <v>0</v>
          </cell>
          <cell r="L3154">
            <v>757.6481</v>
          </cell>
          <cell r="M3154">
            <v>0</v>
          </cell>
          <cell r="N3154">
            <v>939.99</v>
          </cell>
          <cell r="O3154" t="str">
            <v/>
          </cell>
          <cell r="P3154">
            <v>0</v>
          </cell>
          <cell r="Q3154">
            <v>0.240668326100204</v>
          </cell>
          <cell r="R3154">
            <v>0.240668326100204</v>
          </cell>
          <cell r="S3154" t="e">
            <v>#VALUE!</v>
          </cell>
          <cell r="T3154" t="e">
            <v>#VALUE!</v>
          </cell>
        </row>
        <row r="3155">
          <cell r="A3155" t="str">
            <v>GREM2290097K</v>
          </cell>
          <cell r="B3155" t="str">
            <v>MKP000631005165</v>
          </cell>
          <cell r="C3155" t="str">
            <v/>
          </cell>
          <cell r="D3155" t="str">
            <v>Armário de Cozinha Completa 229cm Rustic/Preto Emilly Madesa 09</v>
          </cell>
          <cell r="E3155" t="str">
            <v>EMILLY</v>
          </cell>
          <cell r="F3155" t="str">
            <v>COZINHA</v>
          </cell>
          <cell r="G3155" t="str">
            <v/>
          </cell>
          <cell r="H3155">
            <v>1249.99</v>
          </cell>
          <cell r="I3155">
            <v>1149.99</v>
          </cell>
          <cell r="J3155">
            <v>930.74009999999998</v>
          </cell>
          <cell r="K3155">
            <v>0</v>
          </cell>
          <cell r="L3155">
            <v>930.74009999999998</v>
          </cell>
          <cell r="M3155">
            <v>0</v>
          </cell>
          <cell r="N3155">
            <v>1149.99</v>
          </cell>
          <cell r="O3155" t="str">
            <v/>
          </cell>
          <cell r="P3155">
            <v>0</v>
          </cell>
          <cell r="Q3155">
            <v>0.23556511640575101</v>
          </cell>
          <cell r="R3155">
            <v>0.23556511640575101</v>
          </cell>
          <cell r="S3155" t="e">
            <v>#VALUE!</v>
          </cell>
          <cell r="T3155" t="e">
            <v>#VALUE!</v>
          </cell>
        </row>
        <row r="3156">
          <cell r="A3156" t="str">
            <v>GREM2610077K</v>
          </cell>
          <cell r="B3156" t="str">
            <v>MKP000631005156</v>
          </cell>
          <cell r="C3156" t="str">
            <v/>
          </cell>
          <cell r="D3156" t="str">
            <v>Armário de Cozinha Completa 261cm Rustic/Preto Emilly Madesa 07</v>
          </cell>
          <cell r="E3156" t="str">
            <v>EMILLY</v>
          </cell>
          <cell r="F3156" t="str">
            <v>COZINHA</v>
          </cell>
          <cell r="G3156" t="str">
            <v/>
          </cell>
          <cell r="H3156">
            <v>1479.99</v>
          </cell>
          <cell r="I3156">
            <v>1379.99</v>
          </cell>
          <cell r="J3156">
            <v>1112.5521000000001</v>
          </cell>
          <cell r="K3156">
            <v>0</v>
          </cell>
          <cell r="L3156">
            <v>1112.5521000000001</v>
          </cell>
          <cell r="M3156">
            <v>0</v>
          </cell>
          <cell r="N3156">
            <v>1379.99</v>
          </cell>
          <cell r="O3156" t="str">
            <v/>
          </cell>
          <cell r="P3156">
            <v>0</v>
          </cell>
          <cell r="Q3156">
            <v>0.24038236052046399</v>
          </cell>
          <cell r="R3156">
            <v>0.24038236052046399</v>
          </cell>
          <cell r="S3156" t="e">
            <v>#VALUE!</v>
          </cell>
          <cell r="T3156" t="e">
            <v>#VALUE!</v>
          </cell>
        </row>
        <row r="3157">
          <cell r="A3157" t="str">
            <v>GRGL270009C7</v>
          </cell>
          <cell r="B3157" t="str">
            <v>MKP000631001214</v>
          </cell>
          <cell r="C3157" t="str">
            <v/>
          </cell>
          <cell r="D3157" t="str">
            <v>Armário de Cozinha Completa 270cm Branco/Preto/Branco Jade Madesa 09</v>
          </cell>
          <cell r="E3157" t="str">
            <v>JADE/GLAMY</v>
          </cell>
          <cell r="F3157" t="str">
            <v>COZINHA</v>
          </cell>
          <cell r="G3157" t="str">
            <v/>
          </cell>
          <cell r="H3157">
            <v>2699.99</v>
          </cell>
          <cell r="I3157">
            <v>2099.9899999999998</v>
          </cell>
          <cell r="J3157">
            <v>1727.3339000000001</v>
          </cell>
          <cell r="K3157">
            <v>0</v>
          </cell>
          <cell r="L3157">
            <v>1727.3339000000001</v>
          </cell>
          <cell r="M3157">
            <v>0</v>
          </cell>
          <cell r="N3157">
            <v>2099.9899999999998</v>
          </cell>
          <cell r="O3157" t="str">
            <v/>
          </cell>
          <cell r="P3157">
            <v>0</v>
          </cell>
          <cell r="Q3157">
            <v>0.21574062779639799</v>
          </cell>
          <cell r="R3157">
            <v>0.21574062779639799</v>
          </cell>
          <cell r="S3157" t="e">
            <v>#VALUE!</v>
          </cell>
          <cell r="T3157" t="e">
            <v>#VALUE!</v>
          </cell>
        </row>
        <row r="3158">
          <cell r="A3158" t="str">
            <v>GCAG3890016E</v>
          </cell>
          <cell r="B3158" t="str">
            <v>MKP000631004406</v>
          </cell>
          <cell r="C3158" t="str">
            <v/>
          </cell>
          <cell r="D3158" t="str">
            <v>Armário de Cozinha Completa de Canto 389cm Rustic Branco Agata Madesa 01</v>
          </cell>
          <cell r="E3158" t="str">
            <v>ÁGATA</v>
          </cell>
          <cell r="F3158" t="str">
            <v>COZINHA</v>
          </cell>
          <cell r="G3158" t="str">
            <v/>
          </cell>
          <cell r="H3158">
            <v>2959.99</v>
          </cell>
          <cell r="I3158">
            <v>2559.9899999999998</v>
          </cell>
          <cell r="J3158">
            <v>2094.8164999999999</v>
          </cell>
          <cell r="K3158">
            <v>0</v>
          </cell>
          <cell r="L3158">
            <v>2094.8164999999999</v>
          </cell>
          <cell r="M3158">
            <v>0</v>
          </cell>
          <cell r="N3158">
            <v>2559.9899999999998</v>
          </cell>
          <cell r="O3158" t="str">
            <v/>
          </cell>
          <cell r="P3158">
            <v>0</v>
          </cell>
          <cell r="Q3158">
            <v>0.22205930686530301</v>
          </cell>
          <cell r="R3158">
            <v>0.22205930686530301</v>
          </cell>
          <cell r="S3158" t="e">
            <v>#VALUE!</v>
          </cell>
          <cell r="T3158" t="e">
            <v>#VALUE!</v>
          </cell>
        </row>
        <row r="3159">
          <cell r="A3159" t="str">
            <v>MDES0200200909</v>
          </cell>
          <cell r="B3159" t="str">
            <v>MKP000631002779</v>
          </cell>
          <cell r="C3159" t="str">
            <v/>
          </cell>
          <cell r="D3159" t="str">
            <v>Rack Madesa Cancun com Pés e Painel para TV até 65 Polegadas Branco</v>
          </cell>
          <cell r="E3159" t="str">
            <v>CANCUN</v>
          </cell>
          <cell r="F3159" t="str">
            <v>SALA DE ESTAR</v>
          </cell>
          <cell r="G3159" t="str">
            <v/>
          </cell>
          <cell r="H3159">
            <v>699.99</v>
          </cell>
          <cell r="I3159">
            <v>599.99</v>
          </cell>
          <cell r="J3159">
            <v>470.45490000000001</v>
          </cell>
          <cell r="K3159">
            <v>0</v>
          </cell>
          <cell r="L3159">
            <v>470.45490000000001</v>
          </cell>
          <cell r="M3159">
            <v>0</v>
          </cell>
          <cell r="N3159">
            <v>599.99</v>
          </cell>
          <cell r="O3159" t="str">
            <v/>
          </cell>
          <cell r="P3159">
            <v>0</v>
          </cell>
          <cell r="Q3159">
            <v>0.27534010167605799</v>
          </cell>
          <cell r="R3159">
            <v>0.27534010167605799</v>
          </cell>
          <cell r="S3159" t="e">
            <v>#VALUE!</v>
          </cell>
          <cell r="T3159" t="e">
            <v>#VALUE!</v>
          </cell>
        </row>
        <row r="3160">
          <cell r="A3160" t="str">
            <v>MDJA0401647GFLH</v>
          </cell>
          <cell r="B3160" t="str">
            <v>MKP000631005576</v>
          </cell>
          <cell r="C3160" t="str">
            <v/>
          </cell>
          <cell r="D3160" t="str">
            <v>Conjunto Sala de Jantar Mesa Tampo de Vidro 4 Cadeiras Rustic/Crema/Hibiscos Perla Madesa</v>
          </cell>
          <cell r="E3160" t="str">
            <v>PERLA</v>
          </cell>
          <cell r="F3160" t="str">
            <v>SALA DE JANTAR</v>
          </cell>
          <cell r="G3160" t="str">
            <v>4290X</v>
          </cell>
          <cell r="H3160">
            <v>759.99</v>
          </cell>
          <cell r="I3160">
            <v>659.99</v>
          </cell>
          <cell r="J3160">
            <v>512.16920000000005</v>
          </cell>
          <cell r="K3160">
            <v>0</v>
          </cell>
          <cell r="L3160">
            <v>512.16920000000005</v>
          </cell>
          <cell r="M3160">
            <v>0</v>
          </cell>
          <cell r="N3160">
            <v>659.99</v>
          </cell>
          <cell r="O3160" t="str">
            <v/>
          </cell>
          <cell r="P3160">
            <v>0</v>
          </cell>
          <cell r="Q3160">
            <v>0.28861712106077397</v>
          </cell>
          <cell r="R3160">
            <v>0.28861712106077397</v>
          </cell>
          <cell r="S3160" t="e">
            <v>#VALUE!</v>
          </cell>
          <cell r="T3160" t="e">
            <v>#VALUE!</v>
          </cell>
        </row>
        <row r="3161">
          <cell r="A3161" t="str">
            <v>MDES0200148N5Z</v>
          </cell>
          <cell r="B3161" t="str">
            <v>MKP000631002887</v>
          </cell>
          <cell r="C3161" t="str">
            <v/>
          </cell>
          <cell r="D3161" t="str">
            <v>Rack Madesa Dubai e Painel para TV até 65 Polegadas com Pés Preto/Rustic 8N5Z</v>
          </cell>
          <cell r="E3161" t="str">
            <v>DUBAI</v>
          </cell>
          <cell r="F3161" t="str">
            <v>SALA DE ESTAR</v>
          </cell>
          <cell r="G3161" t="str">
            <v/>
          </cell>
          <cell r="H3161">
            <v>1099.99</v>
          </cell>
          <cell r="I3161">
            <v>599.99</v>
          </cell>
          <cell r="J3161">
            <v>442.649</v>
          </cell>
          <cell r="K3161">
            <v>0</v>
          </cell>
          <cell r="L3161">
            <v>442.649</v>
          </cell>
          <cell r="M3161">
            <v>0</v>
          </cell>
          <cell r="N3161">
            <v>599.99</v>
          </cell>
          <cell r="O3161" t="str">
            <v/>
          </cell>
          <cell r="P3161">
            <v>0</v>
          </cell>
          <cell r="Q3161">
            <v>0.35545319203251302</v>
          </cell>
          <cell r="R3161">
            <v>0.35545319203251302</v>
          </cell>
          <cell r="S3161" t="e">
            <v>#VALUE!</v>
          </cell>
          <cell r="T3161" t="e">
            <v>#VALUE!</v>
          </cell>
        </row>
        <row r="3162">
          <cell r="A3162" t="str">
            <v>G2460109AG</v>
          </cell>
          <cell r="B3162" t="str">
            <v>MKP000631004724</v>
          </cell>
          <cell r="C3162" t="str">
            <v/>
          </cell>
          <cell r="D3162" t="str">
            <v>Balcão Madesa Agata 60 cm 3 Gavetas Branco</v>
          </cell>
          <cell r="E3162" t="str">
            <v>ÁGATA</v>
          </cell>
          <cell r="F3162" t="str">
            <v>MODULAÇÃO</v>
          </cell>
          <cell r="G3162" t="str">
            <v/>
          </cell>
          <cell r="H3162">
            <v>749.99</v>
          </cell>
          <cell r="I3162">
            <v>579.99</v>
          </cell>
          <cell r="J3162">
            <v>373.48849999999999</v>
          </cell>
          <cell r="K3162">
            <v>0</v>
          </cell>
          <cell r="L3162">
            <v>373.48849999999999</v>
          </cell>
          <cell r="M3162">
            <v>0</v>
          </cell>
          <cell r="N3162">
            <v>579.99</v>
          </cell>
          <cell r="O3162" t="str">
            <v/>
          </cell>
          <cell r="P3162">
            <v>0</v>
          </cell>
          <cell r="Q3162">
            <v>0.55289921911919704</v>
          </cell>
          <cell r="R3162">
            <v>0.55289921911919704</v>
          </cell>
          <cell r="S3162" t="e">
            <v>#VALUE!</v>
          </cell>
          <cell r="T3162" t="e">
            <v>#VALUE!</v>
          </cell>
        </row>
        <row r="3163">
          <cell r="A3163" t="str">
            <v>G266559BTE</v>
          </cell>
          <cell r="B3163" t="str">
            <v>MKP000631002227</v>
          </cell>
          <cell r="C3163" t="str">
            <v/>
          </cell>
          <cell r="D3163" t="str">
            <v>Torre Quente Madesa Stella 60 cm 1 Porta 3 Gavetas Branco/Rustic</v>
          </cell>
          <cell r="E3163" t="str">
            <v>STELLA</v>
          </cell>
          <cell r="F3163" t="str">
            <v>MODULAÇÃO</v>
          </cell>
          <cell r="G3163" t="str">
            <v/>
          </cell>
          <cell r="H3163">
            <v>1339.99</v>
          </cell>
          <cell r="I3163">
            <v>899.99</v>
          </cell>
          <cell r="J3163">
            <v>553.40390000000002</v>
          </cell>
          <cell r="K3163">
            <v>0</v>
          </cell>
          <cell r="L3163">
            <v>553.40390000000002</v>
          </cell>
          <cell r="M3163">
            <v>0</v>
          </cell>
          <cell r="N3163">
            <v>899.99</v>
          </cell>
          <cell r="O3163" t="str">
            <v/>
          </cell>
          <cell r="P3163">
            <v>0</v>
          </cell>
          <cell r="Q3163">
            <v>0.626280552052488</v>
          </cell>
          <cell r="R3163">
            <v>0.626280552052488</v>
          </cell>
          <cell r="S3163" t="e">
            <v>#VALUE!</v>
          </cell>
          <cell r="T3163" t="e">
            <v>#VALUE!</v>
          </cell>
        </row>
        <row r="3164">
          <cell r="A3164" t="str">
            <v>G221247KLXCT</v>
          </cell>
          <cell r="B3164" t="str">
            <v>MKP000631005108</v>
          </cell>
          <cell r="C3164" t="str">
            <v/>
          </cell>
          <cell r="D3164" t="str">
            <v>Balcão de Pia 120 cm 2 Portas 3 Gavetas Rustic/Preto Lux Madesa</v>
          </cell>
          <cell r="E3164" t="str">
            <v>LUX</v>
          </cell>
          <cell r="F3164" t="str">
            <v>MODULAÇÃO</v>
          </cell>
          <cell r="G3164" t="str">
            <v/>
          </cell>
          <cell r="H3164">
            <v>1779.99</v>
          </cell>
          <cell r="I3164">
            <v>1549.99</v>
          </cell>
          <cell r="J3164">
            <v>930.38040000000001</v>
          </cell>
          <cell r="K3164">
            <v>0</v>
          </cell>
          <cell r="L3164">
            <v>930.38040000000001</v>
          </cell>
          <cell r="M3164">
            <v>0</v>
          </cell>
          <cell r="N3164">
            <v>1549.99</v>
          </cell>
          <cell r="O3164" t="str">
            <v>LOJA</v>
          </cell>
          <cell r="P3164">
            <v>1539.99</v>
          </cell>
          <cell r="Q3164">
            <v>0.66597447667642196</v>
          </cell>
          <cell r="R3164">
            <v>0.66597447667642196</v>
          </cell>
          <cell r="S3164" t="e">
            <v>#VALUE!</v>
          </cell>
          <cell r="T3164" t="e">
            <v>#VALUE!</v>
          </cell>
        </row>
        <row r="3165">
          <cell r="A3165" t="str">
            <v>G2560073GL</v>
          </cell>
          <cell r="B3165" t="str">
            <v>MKP000631001145</v>
          </cell>
          <cell r="C3165" t="str">
            <v/>
          </cell>
          <cell r="D3165" t="str">
            <v>Armário Aéreo Madesa Glamy 60 cm 1 Porta Branco/Preto</v>
          </cell>
          <cell r="E3165" t="str">
            <v>GLAMY</v>
          </cell>
          <cell r="F3165" t="str">
            <v>MODULAÇÃO</v>
          </cell>
          <cell r="G3165" t="str">
            <v/>
          </cell>
          <cell r="H3165">
            <v>469.99</v>
          </cell>
          <cell r="I3165">
            <v>329.99</v>
          </cell>
          <cell r="J3165">
            <v>194.02</v>
          </cell>
          <cell r="K3165">
            <v>0</v>
          </cell>
          <cell r="L3165">
            <v>194.02</v>
          </cell>
          <cell r="M3165">
            <v>0</v>
          </cell>
          <cell r="N3165">
            <v>329.99</v>
          </cell>
          <cell r="O3165" t="str">
            <v/>
          </cell>
          <cell r="P3165">
            <v>0</v>
          </cell>
          <cell r="Q3165">
            <v>0.70080404082053405</v>
          </cell>
          <cell r="R3165">
            <v>0.70080404082053405</v>
          </cell>
          <cell r="S3165" t="e">
            <v>#VALUE!</v>
          </cell>
          <cell r="T3165" t="e">
            <v>#VALUE!</v>
          </cell>
        </row>
        <row r="3166">
          <cell r="A3166" t="str">
            <v>G253509RLX</v>
          </cell>
          <cell r="B3166" t="str">
            <v>MKP000631003230</v>
          </cell>
          <cell r="C3166" t="str">
            <v/>
          </cell>
          <cell r="D3166" t="str">
            <v>Armário Aéreo Madesa Lux 35 cm 1 Porta Branco/Cinza</v>
          </cell>
          <cell r="E3166" t="str">
            <v>LUX</v>
          </cell>
          <cell r="F3166" t="str">
            <v>MODULAÇÃO</v>
          </cell>
          <cell r="G3166" t="str">
            <v/>
          </cell>
          <cell r="H3166">
            <v>549.99</v>
          </cell>
          <cell r="I3166">
            <v>419.99</v>
          </cell>
          <cell r="J3166">
            <v>240.56299999999999</v>
          </cell>
          <cell r="K3166">
            <v>0</v>
          </cell>
          <cell r="L3166">
            <v>240.56299999999999</v>
          </cell>
          <cell r="M3166">
            <v>0</v>
          </cell>
          <cell r="N3166">
            <v>419.99</v>
          </cell>
          <cell r="O3166" t="str">
            <v>LOJA</v>
          </cell>
          <cell r="P3166">
            <v>399.99</v>
          </cell>
          <cell r="Q3166">
            <v>0.74586283011103105</v>
          </cell>
          <cell r="R3166">
            <v>0.74586283011103105</v>
          </cell>
          <cell r="S3166" t="e">
            <v>#VALUE!</v>
          </cell>
          <cell r="T3166" t="e">
            <v>#VALUE!</v>
          </cell>
        </row>
        <row r="3167">
          <cell r="A3167" t="str">
            <v>G2535009AG</v>
          </cell>
          <cell r="B3167" t="str">
            <v>MKP000631004430</v>
          </cell>
          <cell r="C3167" t="str">
            <v/>
          </cell>
          <cell r="D3167" t="str">
            <v>Armário Aéreo Madesa Agata 35 cm 1 Porta Branco</v>
          </cell>
          <cell r="E3167" t="str">
            <v>ÁGATA</v>
          </cell>
          <cell r="F3167" t="str">
            <v>MODULAÇÃO</v>
          </cell>
          <cell r="G3167" t="str">
            <v/>
          </cell>
          <cell r="H3167">
            <v>379.99</v>
          </cell>
          <cell r="I3167">
            <v>289.99</v>
          </cell>
          <cell r="J3167">
            <v>162.33369999999999</v>
          </cell>
          <cell r="K3167">
            <v>0</v>
          </cell>
          <cell r="L3167">
            <v>162.33369999999999</v>
          </cell>
          <cell r="M3167">
            <v>0</v>
          </cell>
          <cell r="N3167">
            <v>289.99</v>
          </cell>
          <cell r="O3167" t="str">
            <v/>
          </cell>
          <cell r="P3167">
            <v>0</v>
          </cell>
          <cell r="Q3167">
            <v>0.786382002011905</v>
          </cell>
          <cell r="R3167">
            <v>0.786382002011905</v>
          </cell>
          <cell r="S3167" t="e">
            <v>#VALUE!</v>
          </cell>
          <cell r="T3167" t="e">
            <v>#VALUE!</v>
          </cell>
        </row>
        <row r="3168">
          <cell r="A3168" t="str">
            <v>G226019RLXCT</v>
          </cell>
          <cell r="B3168" t="str">
            <v>MKP000631005083</v>
          </cell>
          <cell r="C3168" t="str">
            <v/>
          </cell>
          <cell r="D3168" t="str">
            <v>Balcão 60 cm 3 Gavetas Branco/Cinza Lux Madesa</v>
          </cell>
          <cell r="E3168" t="str">
            <v>LUX</v>
          </cell>
          <cell r="F3168" t="str">
            <v>MODULAÇÃO</v>
          </cell>
          <cell r="G3168" t="str">
            <v/>
          </cell>
          <cell r="H3168">
            <v>1289.99</v>
          </cell>
          <cell r="I3168">
            <v>1039.99</v>
          </cell>
          <cell r="J3168">
            <v>580.10889999999995</v>
          </cell>
          <cell r="K3168">
            <v>0</v>
          </cell>
          <cell r="L3168">
            <v>580.10889999999995</v>
          </cell>
          <cell r="M3168">
            <v>0</v>
          </cell>
          <cell r="N3168">
            <v>1039.99</v>
          </cell>
          <cell r="O3168" t="str">
            <v>LOJA</v>
          </cell>
          <cell r="P3168">
            <v>1029.99</v>
          </cell>
          <cell r="Q3168">
            <v>0.79274960270390604</v>
          </cell>
          <cell r="R3168">
            <v>0.79274960270390604</v>
          </cell>
          <cell r="S3168" t="e">
            <v>#VALUE!</v>
          </cell>
          <cell r="T3168" t="e">
            <v>#VALUE!</v>
          </cell>
        </row>
        <row r="3169">
          <cell r="A3169" t="str">
            <v>G2375573LX</v>
          </cell>
          <cell r="B3169" t="str">
            <v>MKP000631003278</v>
          </cell>
          <cell r="C3169" t="str">
            <v/>
          </cell>
          <cell r="D3169" t="str">
            <v>Torre Quente Madesa Lux 70 cm 3 Portas Branco/Preto</v>
          </cell>
          <cell r="E3169" t="str">
            <v>LUX</v>
          </cell>
          <cell r="F3169" t="str">
            <v>MODULAÇÃO</v>
          </cell>
          <cell r="G3169" t="str">
            <v/>
          </cell>
          <cell r="H3169">
            <v>1919.99</v>
          </cell>
          <cell r="I3169">
            <v>1559.99</v>
          </cell>
          <cell r="J3169">
            <v>842.17759999999998</v>
          </cell>
          <cell r="K3169">
            <v>0</v>
          </cell>
          <cell r="L3169">
            <v>842.17759999999998</v>
          </cell>
          <cell r="M3169">
            <v>0</v>
          </cell>
          <cell r="N3169">
            <v>1559.99</v>
          </cell>
          <cell r="O3169" t="str">
            <v>LOJA</v>
          </cell>
          <cell r="P3169">
            <v>1549.99</v>
          </cell>
          <cell r="Q3169">
            <v>0.85232900993804595</v>
          </cell>
          <cell r="R3169">
            <v>0.85232900993804595</v>
          </cell>
          <cell r="S3169" t="e">
            <v>#VALUE!</v>
          </cell>
          <cell r="T3169" t="e">
            <v>#VALUE!</v>
          </cell>
        </row>
        <row r="3170">
          <cell r="A3170" t="str">
            <v>G2575773LX</v>
          </cell>
          <cell r="B3170" t="str">
            <v>MKP000631003250</v>
          </cell>
          <cell r="C3170" t="str">
            <v/>
          </cell>
          <cell r="D3170" t="str">
            <v>Armário Aéreo de Canto com Adega Acoplada Madesa Lux 1 Porta Branco/Preto</v>
          </cell>
          <cell r="E3170" t="str">
            <v>LUX</v>
          </cell>
          <cell r="F3170" t="str">
            <v>MODULAÇÃO</v>
          </cell>
          <cell r="G3170" t="str">
            <v/>
          </cell>
          <cell r="H3170">
            <v>1059.99</v>
          </cell>
          <cell r="I3170">
            <v>819.99</v>
          </cell>
          <cell r="J3170">
            <v>412.87020000000001</v>
          </cell>
          <cell r="K3170">
            <v>0</v>
          </cell>
          <cell r="L3170">
            <v>412.87020000000001</v>
          </cell>
          <cell r="M3170">
            <v>0</v>
          </cell>
          <cell r="N3170">
            <v>819.99</v>
          </cell>
          <cell r="O3170" t="str">
            <v>LOJA</v>
          </cell>
          <cell r="P3170">
            <v>799.99</v>
          </cell>
          <cell r="Q3170">
            <v>0.98607213598850196</v>
          </cell>
          <cell r="R3170">
            <v>0.98607213598850196</v>
          </cell>
          <cell r="S3170" t="e">
            <v>#VALUE!</v>
          </cell>
          <cell r="T3170" t="e">
            <v>#VALUE!</v>
          </cell>
        </row>
        <row r="3171">
          <cell r="A3171" t="str">
            <v>G258047GAG</v>
          </cell>
          <cell r="B3171" t="str">
            <v>MKP000631005398</v>
          </cell>
          <cell r="C3171" t="str">
            <v/>
          </cell>
          <cell r="D3171" t="str">
            <v>Armário Aéreo 80 cm 1 Porta Basculante Rustic/Crema Agata Madesa</v>
          </cell>
          <cell r="E3171" t="str">
            <v>ÁGATA</v>
          </cell>
          <cell r="F3171" t="str">
            <v>MODULAÇÃO</v>
          </cell>
          <cell r="G3171" t="str">
            <v/>
          </cell>
          <cell r="H3171">
            <v>419.99</v>
          </cell>
          <cell r="I3171">
            <v>319.99</v>
          </cell>
          <cell r="J3171">
            <v>162.35550000000001</v>
          </cell>
          <cell r="K3171">
            <v>0</v>
          </cell>
          <cell r="L3171">
            <v>162.35550000000001</v>
          </cell>
          <cell r="M3171">
            <v>0</v>
          </cell>
          <cell r="N3171">
            <v>319.99</v>
          </cell>
          <cell r="O3171" t="str">
            <v/>
          </cell>
          <cell r="P3171">
            <v>0</v>
          </cell>
          <cell r="Q3171">
            <v>0.97092183510875796</v>
          </cell>
          <cell r="R3171">
            <v>0.97092183510875796</v>
          </cell>
          <cell r="S3171" t="e">
            <v>#VALUE!</v>
          </cell>
          <cell r="T3171" t="e">
            <v>#VALUE!</v>
          </cell>
        </row>
        <row r="3172">
          <cell r="A3172" t="str">
            <v>GREM229003F9</v>
          </cell>
          <cell r="B3172" t="str">
            <v>MKP000631005605</v>
          </cell>
          <cell r="C3172" t="str">
            <v/>
          </cell>
          <cell r="D3172" t="str">
            <v>Armário de Cozinha Completa 229cm Rustic/Cinza Emilly Fit Madesa</v>
          </cell>
          <cell r="E3172" t="str">
            <v>FIT/EMILLY</v>
          </cell>
          <cell r="F3172" t="str">
            <v>COZINHA</v>
          </cell>
          <cell r="G3172" t="str">
            <v/>
          </cell>
          <cell r="H3172">
            <v>889.99</v>
          </cell>
          <cell r="I3172">
            <v>789.99</v>
          </cell>
          <cell r="J3172">
            <v>587.28110000000004</v>
          </cell>
          <cell r="K3172">
            <v>0</v>
          </cell>
          <cell r="L3172">
            <v>587.28110000000004</v>
          </cell>
          <cell r="M3172">
            <v>0</v>
          </cell>
          <cell r="N3172">
            <v>789.99</v>
          </cell>
          <cell r="O3172" t="str">
            <v/>
          </cell>
          <cell r="P3172">
            <v>0</v>
          </cell>
          <cell r="Q3172">
            <v>0.34516503255425701</v>
          </cell>
          <cell r="R3172">
            <v>0.34516503255425701</v>
          </cell>
          <cell r="S3172" t="e">
            <v>#VALUE!</v>
          </cell>
          <cell r="T3172" t="e">
            <v>#VALUE!</v>
          </cell>
        </row>
        <row r="3173">
          <cell r="A3173" t="str">
            <v>MDJA0401785ZFBM</v>
          </cell>
          <cell r="B3173" t="str">
            <v>MKP000631005888</v>
          </cell>
          <cell r="C3173" t="str">
            <v/>
          </cell>
          <cell r="D3173" t="str">
            <v>Conjunto Sala de Jantar Mesa Tampo de Madeira 4 Cadeiras Rustic/Bege Marrom Marilyn Madesa</v>
          </cell>
          <cell r="E3173" t="str">
            <v>MARILYN</v>
          </cell>
          <cell r="F3173" t="str">
            <v>SALA DE JANTAR</v>
          </cell>
          <cell r="G3173" t="str">
            <v>4290X</v>
          </cell>
          <cell r="H3173">
            <v>699.99</v>
          </cell>
          <cell r="I3173">
            <v>599.99</v>
          </cell>
          <cell r="J3173">
            <v>465.66980000000001</v>
          </cell>
          <cell r="K3173">
            <v>0</v>
          </cell>
          <cell r="L3173">
            <v>465.66980000000001</v>
          </cell>
          <cell r="M3173">
            <v>0</v>
          </cell>
          <cell r="N3173">
            <v>599.99</v>
          </cell>
          <cell r="O3173" t="str">
            <v/>
          </cell>
          <cell r="P3173">
            <v>0</v>
          </cell>
          <cell r="Q3173">
            <v>0.28844516006835702</v>
          </cell>
          <cell r="R3173">
            <v>0.28844516006835702</v>
          </cell>
          <cell r="S3173" t="e">
            <v>#VALUE!</v>
          </cell>
          <cell r="T3173" t="e">
            <v>#VALUE!</v>
          </cell>
        </row>
        <row r="3174">
          <cell r="A3174" t="str">
            <v>GRGL28000209SR</v>
          </cell>
          <cell r="B3174" t="str">
            <v>MKP000631000593</v>
          </cell>
          <cell r="C3174" t="str">
            <v/>
          </cell>
          <cell r="D3174" t="str">
            <v>Armário de Cozinha Completa 280cm Branco Mariana Madesa 02SR</v>
          </cell>
          <cell r="E3174" t="str">
            <v>MARIANA/GLAMY</v>
          </cell>
          <cell r="F3174" t="str">
            <v>COZINHA</v>
          </cell>
          <cell r="G3174" t="str">
            <v/>
          </cell>
          <cell r="H3174">
            <v>1999.99</v>
          </cell>
          <cell r="I3174">
            <v>1899.99</v>
          </cell>
          <cell r="J3174">
            <v>1586.2552000000001</v>
          </cell>
          <cell r="K3174">
            <v>0</v>
          </cell>
          <cell r="L3174">
            <v>1586.2552000000001</v>
          </cell>
          <cell r="M3174">
            <v>0</v>
          </cell>
          <cell r="N3174">
            <v>1899.99</v>
          </cell>
          <cell r="O3174" t="str">
            <v/>
          </cell>
          <cell r="P3174">
            <v>0</v>
          </cell>
          <cell r="Q3174">
            <v>0.19778330750310499</v>
          </cell>
          <cell r="R3174">
            <v>0.19778330750310499</v>
          </cell>
          <cell r="S3174" t="e">
            <v>#VALUE!</v>
          </cell>
          <cell r="T3174" t="e">
            <v>#VALUE!</v>
          </cell>
        </row>
        <row r="3175">
          <cell r="A3175" t="str">
            <v>GRGL27001173</v>
          </cell>
          <cell r="B3175" t="str">
            <v>MKP000631004607</v>
          </cell>
          <cell r="C3175" t="str">
            <v/>
          </cell>
          <cell r="D3175" t="str">
            <v>Armário de Cozinha Completa 270cm Branco Preto Glamy Madesa 11</v>
          </cell>
          <cell r="E3175" t="str">
            <v>GLAMY</v>
          </cell>
          <cell r="F3175" t="str">
            <v>COZINHA</v>
          </cell>
          <cell r="G3175" t="str">
            <v/>
          </cell>
          <cell r="H3175">
            <v>1799.99</v>
          </cell>
          <cell r="I3175">
            <v>1699.99</v>
          </cell>
          <cell r="J3175">
            <v>1419.5397</v>
          </cell>
          <cell r="K3175">
            <v>0</v>
          </cell>
          <cell r="L3175">
            <v>1419.5397</v>
          </cell>
          <cell r="M3175">
            <v>0</v>
          </cell>
          <cell r="N3175">
            <v>1699.99</v>
          </cell>
          <cell r="O3175" t="str">
            <v/>
          </cell>
          <cell r="P3175">
            <v>0</v>
          </cell>
          <cell r="Q3175">
            <v>0.197564252694025</v>
          </cell>
          <cell r="R3175">
            <v>0.197564252694025</v>
          </cell>
          <cell r="S3175" t="e">
            <v>#VALUE!</v>
          </cell>
          <cell r="T3175" t="e">
            <v>#VALUE!</v>
          </cell>
        </row>
        <row r="3176">
          <cell r="A3176" t="str">
            <v>GRGL22000209</v>
          </cell>
          <cell r="B3176" t="str">
            <v>MKP000631001408</v>
          </cell>
          <cell r="C3176" t="str">
            <v/>
          </cell>
          <cell r="D3176" t="str">
            <v>Armário de Cozinha Completa 220cm Branco Parma Madesa 02</v>
          </cell>
          <cell r="E3176" t="str">
            <v>PARMA/GLAMY</v>
          </cell>
          <cell r="F3176" t="str">
            <v>COZINHA</v>
          </cell>
          <cell r="G3176" t="str">
            <v/>
          </cell>
          <cell r="H3176">
            <v>1969.99</v>
          </cell>
          <cell r="I3176">
            <v>1869.99</v>
          </cell>
          <cell r="J3176">
            <v>1558.7654</v>
          </cell>
          <cell r="K3176">
            <v>0</v>
          </cell>
          <cell r="L3176">
            <v>1558.7654</v>
          </cell>
          <cell r="M3176">
            <v>0</v>
          </cell>
          <cell r="N3176">
            <v>1869.99</v>
          </cell>
          <cell r="O3176" t="str">
            <v/>
          </cell>
          <cell r="P3176">
            <v>0</v>
          </cell>
          <cell r="Q3176">
            <v>0.199660962451438</v>
          </cell>
          <cell r="R3176">
            <v>0.199660962451438</v>
          </cell>
          <cell r="S3176" t="e">
            <v>#VALUE!</v>
          </cell>
          <cell r="T3176" t="e">
            <v>#VALUE!</v>
          </cell>
        </row>
        <row r="3177">
          <cell r="A3177" t="str">
            <v>GRGL270008A5</v>
          </cell>
          <cell r="B3177" t="str">
            <v>MKP000631001217</v>
          </cell>
          <cell r="C3177" t="str">
            <v/>
          </cell>
          <cell r="D3177" t="str">
            <v>Armário de Cozinha Completa 270cm Branco/Branco/Crema Jade Madesa 08</v>
          </cell>
          <cell r="E3177" t="str">
            <v>JADE/GLAMY</v>
          </cell>
          <cell r="F3177" t="str">
            <v>COZINHA</v>
          </cell>
          <cell r="G3177" t="str">
            <v/>
          </cell>
          <cell r="H3177">
            <v>2799.99</v>
          </cell>
          <cell r="I3177">
            <v>2099.9899999999998</v>
          </cell>
          <cell r="J3177">
            <v>1744.8065999999999</v>
          </cell>
          <cell r="K3177">
            <v>0</v>
          </cell>
          <cell r="L3177">
            <v>1744.8065999999999</v>
          </cell>
          <cell r="M3177">
            <v>0</v>
          </cell>
          <cell r="N3177">
            <v>2099.9899999999998</v>
          </cell>
          <cell r="O3177" t="str">
            <v/>
          </cell>
          <cell r="P3177">
            <v>0</v>
          </cell>
          <cell r="Q3177">
            <v>0.2035660571206</v>
          </cell>
          <cell r="R3177">
            <v>0.2035660571206</v>
          </cell>
          <cell r="S3177" t="e">
            <v>#VALUE!</v>
          </cell>
          <cell r="T3177" t="e">
            <v>#VALUE!</v>
          </cell>
        </row>
        <row r="3178">
          <cell r="A3178" t="str">
            <v>GREM2610035Z</v>
          </cell>
          <cell r="B3178" t="str">
            <v>MKP000631005163</v>
          </cell>
          <cell r="C3178" t="str">
            <v/>
          </cell>
          <cell r="D3178" t="str">
            <v>Armário de Cozinha Completa 261cm Rustic Emilly Madesa 03</v>
          </cell>
          <cell r="E3178" t="str">
            <v>EMILLY</v>
          </cell>
          <cell r="F3178" t="str">
            <v>COZINHA</v>
          </cell>
          <cell r="G3178" t="str">
            <v/>
          </cell>
          <cell r="H3178">
            <v>1479.99</v>
          </cell>
          <cell r="I3178">
            <v>1379.99</v>
          </cell>
          <cell r="J3178">
            <v>1119.1684</v>
          </cell>
          <cell r="K3178">
            <v>0</v>
          </cell>
          <cell r="L3178">
            <v>1119.1684</v>
          </cell>
          <cell r="M3178">
            <v>0</v>
          </cell>
          <cell r="N3178">
            <v>1379.99</v>
          </cell>
          <cell r="O3178" t="str">
            <v/>
          </cell>
          <cell r="P3178">
            <v>0</v>
          </cell>
          <cell r="Q3178">
            <v>0.233049467801271</v>
          </cell>
          <cell r="R3178">
            <v>0.233049467801271</v>
          </cell>
          <cell r="S3178" t="e">
            <v>#VALUE!</v>
          </cell>
          <cell r="T3178" t="e">
            <v>#VALUE!</v>
          </cell>
        </row>
        <row r="3179">
          <cell r="A3179" t="str">
            <v>GRGL1800067K</v>
          </cell>
          <cell r="B3179" t="str">
            <v>MKP000631004233</v>
          </cell>
          <cell r="C3179" t="str">
            <v/>
          </cell>
          <cell r="D3179" t="str">
            <v>Armário de Cozinha Compacta 180cm Rustic Preto Glamy Madesa 06</v>
          </cell>
          <cell r="E3179" t="str">
            <v>GLAMY</v>
          </cell>
          <cell r="F3179" t="str">
            <v>COZINHA</v>
          </cell>
          <cell r="G3179" t="str">
            <v/>
          </cell>
          <cell r="H3179">
            <v>1679.99</v>
          </cell>
          <cell r="I3179">
            <v>1579.99</v>
          </cell>
          <cell r="J3179">
            <v>1306.6157000000001</v>
          </cell>
          <cell r="K3179">
            <v>0</v>
          </cell>
          <cell r="L3179">
            <v>1306.6157000000001</v>
          </cell>
          <cell r="M3179">
            <v>0</v>
          </cell>
          <cell r="N3179">
            <v>1579.99</v>
          </cell>
          <cell r="O3179" t="str">
            <v/>
          </cell>
          <cell r="P3179">
            <v>0</v>
          </cell>
          <cell r="Q3179">
            <v>0.20922318628193401</v>
          </cell>
          <cell r="R3179">
            <v>0.20922318628193401</v>
          </cell>
          <cell r="S3179" t="e">
            <v>#VALUE!</v>
          </cell>
          <cell r="T3179" t="e">
            <v>#VALUE!</v>
          </cell>
        </row>
        <row r="3180">
          <cell r="A3180" t="str">
            <v>GRGL2600047K</v>
          </cell>
          <cell r="B3180" t="str">
            <v>MKP000631005195</v>
          </cell>
          <cell r="C3180" t="str">
            <v/>
          </cell>
          <cell r="D3180" t="str">
            <v>Armário de Cozinha Completa 260cm Rustic/Preto Glamy Madesa 04</v>
          </cell>
          <cell r="E3180" t="str">
            <v>GLAMY</v>
          </cell>
          <cell r="F3180" t="str">
            <v>COZINHA</v>
          </cell>
          <cell r="G3180" t="str">
            <v/>
          </cell>
          <cell r="H3180">
            <v>1699.99</v>
          </cell>
          <cell r="I3180">
            <v>1699.99</v>
          </cell>
          <cell r="J3180">
            <v>1407.5279</v>
          </cell>
          <cell r="K3180">
            <v>0</v>
          </cell>
          <cell r="L3180">
            <v>1407.5279</v>
          </cell>
          <cell r="M3180">
            <v>0</v>
          </cell>
          <cell r="N3180">
            <v>1699.99</v>
          </cell>
          <cell r="O3180" t="str">
            <v/>
          </cell>
          <cell r="P3180">
            <v>0</v>
          </cell>
          <cell r="Q3180">
            <v>0.20778422935701699</v>
          </cell>
          <cell r="R3180">
            <v>0.20778422935701699</v>
          </cell>
          <cell r="S3180" t="e">
            <v>#VALUE!</v>
          </cell>
          <cell r="T3180" t="e">
            <v>#VALUE!</v>
          </cell>
        </row>
        <row r="3181">
          <cell r="A3181" t="str">
            <v>GRGL280004D7</v>
          </cell>
          <cell r="B3181" t="str">
            <v>MKP000631002846</v>
          </cell>
          <cell r="C3181" t="str">
            <v/>
          </cell>
          <cell r="D3181" t="str">
            <v>Armário de Cozinha Completa 280cm Branco/Preto/Rustic Genova Madesa 04</v>
          </cell>
          <cell r="E3181" t="str">
            <v>GENOVA/GLAMY</v>
          </cell>
          <cell r="F3181" t="str">
            <v>COZINHA</v>
          </cell>
          <cell r="G3181" t="str">
            <v/>
          </cell>
          <cell r="H3181">
            <v>2599.9899999999998</v>
          </cell>
          <cell r="I3181">
            <v>2499.9899999999998</v>
          </cell>
          <cell r="J3181">
            <v>2050.3009000000002</v>
          </cell>
          <cell r="K3181">
            <v>0</v>
          </cell>
          <cell r="L3181">
            <v>2050.3009000000002</v>
          </cell>
          <cell r="M3181">
            <v>0</v>
          </cell>
          <cell r="N3181">
            <v>2499.9899999999998</v>
          </cell>
          <cell r="O3181" t="str">
            <v/>
          </cell>
          <cell r="P3181">
            <v>0</v>
          </cell>
          <cell r="Q3181">
            <v>0.219328343464122</v>
          </cell>
          <cell r="R3181">
            <v>0.219328343464122</v>
          </cell>
          <cell r="S3181" t="e">
            <v>#VALUE!</v>
          </cell>
          <cell r="T3181" t="e">
            <v>#VALUE!</v>
          </cell>
        </row>
        <row r="3182">
          <cell r="A3182" t="str">
            <v>GRGL2400066E</v>
          </cell>
          <cell r="B3182" t="str">
            <v>MKP000631005676</v>
          </cell>
          <cell r="C3182" t="str">
            <v/>
          </cell>
          <cell r="D3182" t="str">
            <v>Armário de Cozinha Completa 240cm Rustic/Branco Glamy Madesa 06</v>
          </cell>
          <cell r="E3182" t="str">
            <v>GLAMY</v>
          </cell>
          <cell r="F3182" t="str">
            <v>COZINHA</v>
          </cell>
          <cell r="G3182" t="str">
            <v/>
          </cell>
          <cell r="H3182">
            <v>2099.9899999999998</v>
          </cell>
          <cell r="I3182">
            <v>1999.99</v>
          </cell>
          <cell r="J3182">
            <v>1646.5867000000001</v>
          </cell>
          <cell r="K3182">
            <v>0</v>
          </cell>
          <cell r="L3182">
            <v>1646.5867000000001</v>
          </cell>
          <cell r="M3182">
            <v>0</v>
          </cell>
          <cell r="N3182">
            <v>1999.99</v>
          </cell>
          <cell r="O3182" t="str">
            <v/>
          </cell>
          <cell r="P3182">
            <v>0</v>
          </cell>
          <cell r="Q3182">
            <v>0.214627811581376</v>
          </cell>
          <cell r="R3182">
            <v>0.214627811581376</v>
          </cell>
          <cell r="S3182" t="e">
            <v>#VALUE!</v>
          </cell>
          <cell r="T3182" t="e">
            <v>#VALUE!</v>
          </cell>
        </row>
        <row r="3183">
          <cell r="A3183" t="str">
            <v>MDES0200217777</v>
          </cell>
          <cell r="B3183" t="str">
            <v>MKP000631001884</v>
          </cell>
          <cell r="C3183" t="str">
            <v/>
          </cell>
          <cell r="D3183" t="str">
            <v>Rack Madesa Cancun com Pés e Painel para TV até 58 Polegadas Preto/Branco 7777</v>
          </cell>
          <cell r="E3183" t="str">
            <v>CANCUN</v>
          </cell>
          <cell r="F3183" t="str">
            <v>SALA DE ESTAR</v>
          </cell>
          <cell r="G3183" t="str">
            <v/>
          </cell>
          <cell r="H3183">
            <v>979.99</v>
          </cell>
          <cell r="I3183">
            <v>469.99</v>
          </cell>
          <cell r="J3183">
            <v>382.90609999999998</v>
          </cell>
          <cell r="K3183">
            <v>0</v>
          </cell>
          <cell r="L3183">
            <v>382.90609999999998</v>
          </cell>
          <cell r="M3183">
            <v>0</v>
          </cell>
          <cell r="N3183">
            <v>469.99</v>
          </cell>
          <cell r="O3183" t="str">
            <v/>
          </cell>
          <cell r="P3183">
            <v>0</v>
          </cell>
          <cell r="Q3183">
            <v>0.22742886571929799</v>
          </cell>
          <cell r="R3183">
            <v>0.22742886571929799</v>
          </cell>
          <cell r="S3183" t="e">
            <v>#VALUE!</v>
          </cell>
          <cell r="T3183" t="e">
            <v>#VALUE!</v>
          </cell>
        </row>
        <row r="3184">
          <cell r="A3184" t="str">
            <v>MDJA0601647KOXF</v>
          </cell>
          <cell r="B3184" t="str">
            <v>MKP000631006078</v>
          </cell>
          <cell r="C3184" t="str">
            <v/>
          </cell>
          <cell r="D3184" t="str">
            <v>Conjunto Sala de Jantar Mesa Tampo de Vidro  6 Cadeiras Rustic/Preto/Oxford Patricia Madesa</v>
          </cell>
          <cell r="E3184" t="str">
            <v>PATRICIA</v>
          </cell>
          <cell r="F3184" t="str">
            <v>SALA DE JANTAR</v>
          </cell>
          <cell r="G3184">
            <v>4255</v>
          </cell>
          <cell r="H3184">
            <v>1849.99</v>
          </cell>
          <cell r="I3184">
            <v>1749.99</v>
          </cell>
          <cell r="J3184">
            <v>1367.9609</v>
          </cell>
          <cell r="K3184">
            <v>0</v>
          </cell>
          <cell r="L3184">
            <v>1367.9609</v>
          </cell>
          <cell r="M3184">
            <v>0</v>
          </cell>
          <cell r="N3184">
            <v>1749.99</v>
          </cell>
          <cell r="O3184" t="str">
            <v/>
          </cell>
          <cell r="P3184">
            <v>0</v>
          </cell>
          <cell r="Q3184">
            <v>0.279269020042897</v>
          </cell>
          <cell r="R3184">
            <v>0.279269020042897</v>
          </cell>
          <cell r="S3184" t="e">
            <v>#VALUE!</v>
          </cell>
          <cell r="T3184" t="e">
            <v>#VALUE!</v>
          </cell>
        </row>
        <row r="3185">
          <cell r="A3185" t="str">
            <v>GRGL15000273</v>
          </cell>
          <cell r="B3185" t="str">
            <v>MKP000631004248</v>
          </cell>
          <cell r="C3185" t="str">
            <v/>
          </cell>
          <cell r="D3185" t="str">
            <v>Armário de Cozinha Compacta 150cm Branco/Preto Glamy Madesa 02</v>
          </cell>
          <cell r="E3185" t="str">
            <v>GLAMY</v>
          </cell>
          <cell r="F3185" t="str">
            <v>COZINHA</v>
          </cell>
          <cell r="G3185" t="str">
            <v/>
          </cell>
          <cell r="H3185">
            <v>1379.99</v>
          </cell>
          <cell r="I3185">
            <v>979.99</v>
          </cell>
          <cell r="J3185">
            <v>797.41129999999998</v>
          </cell>
          <cell r="K3185">
            <v>0</v>
          </cell>
          <cell r="L3185">
            <v>797.41129999999998</v>
          </cell>
          <cell r="M3185">
            <v>0</v>
          </cell>
          <cell r="N3185">
            <v>979.99</v>
          </cell>
          <cell r="O3185" t="str">
            <v/>
          </cell>
          <cell r="P3185">
            <v>0</v>
          </cell>
          <cell r="Q3185">
            <v>0.22896427477263001</v>
          </cell>
          <cell r="R3185">
            <v>0.22896427477263001</v>
          </cell>
          <cell r="S3185" t="e">
            <v>#VALUE!</v>
          </cell>
          <cell r="T3185" t="e">
            <v>#VALUE!</v>
          </cell>
        </row>
        <row r="3186">
          <cell r="A3186" t="str">
            <v>G2412473GL</v>
          </cell>
          <cell r="B3186" t="str">
            <v>MKP000631002840</v>
          </cell>
          <cell r="C3186" t="str">
            <v/>
          </cell>
          <cell r="D3186" t="str">
            <v>Balcão Gabinete de Pia Madesa Glamy 120 cm 2 Portas e 3 Gavetas (Sem Tampo e Pia) Branco/Preto</v>
          </cell>
          <cell r="E3186" t="str">
            <v>GLAMY</v>
          </cell>
          <cell r="F3186" t="str">
            <v>MODULAÇÃO</v>
          </cell>
          <cell r="G3186" t="str">
            <v/>
          </cell>
          <cell r="H3186">
            <v>1279.99</v>
          </cell>
          <cell r="I3186">
            <v>719.99</v>
          </cell>
          <cell r="J3186">
            <v>557.96010000000001</v>
          </cell>
          <cell r="K3186">
            <v>0</v>
          </cell>
          <cell r="L3186">
            <v>557.96010000000001</v>
          </cell>
          <cell r="M3186">
            <v>0</v>
          </cell>
          <cell r="N3186">
            <v>719.99</v>
          </cell>
          <cell r="O3186" t="str">
            <v/>
          </cell>
          <cell r="P3186">
            <v>0</v>
          </cell>
          <cell r="Q3186">
            <v>0.29039692981630799</v>
          </cell>
          <cell r="R3186">
            <v>0.29039692981630799</v>
          </cell>
          <cell r="S3186" t="e">
            <v>#VALUE!</v>
          </cell>
          <cell r="T3186" t="e">
            <v>#VALUE!</v>
          </cell>
        </row>
        <row r="3187">
          <cell r="A3187" t="str">
            <v>MDJA0401555ZPT</v>
          </cell>
          <cell r="B3187" t="str">
            <v>MKP000631005347</v>
          </cell>
          <cell r="C3187" t="str">
            <v/>
          </cell>
          <cell r="D3187" t="str">
            <v>Conjunto Sala de Jantar Mesa Tampo de Madeira 4 Cadeiras Rustic/Preto Elisa Madesa</v>
          </cell>
          <cell r="E3187" t="str">
            <v>ELISA</v>
          </cell>
          <cell r="F3187" t="str">
            <v>SALA DE JANTAR</v>
          </cell>
          <cell r="G3187">
            <v>4280</v>
          </cell>
          <cell r="H3187">
            <v>869.99</v>
          </cell>
          <cell r="I3187">
            <v>769.99</v>
          </cell>
          <cell r="J3187">
            <v>565.57920000000001</v>
          </cell>
          <cell r="K3187">
            <v>0</v>
          </cell>
          <cell r="L3187">
            <v>565.57920000000001</v>
          </cell>
          <cell r="M3187">
            <v>0</v>
          </cell>
          <cell r="N3187">
            <v>769.99</v>
          </cell>
          <cell r="O3187" t="str">
            <v/>
          </cell>
          <cell r="P3187">
            <v>0</v>
          </cell>
          <cell r="Q3187">
            <v>0.36141852458506302</v>
          </cell>
          <cell r="R3187">
            <v>0.36141852458506302</v>
          </cell>
          <cell r="S3187" t="e">
            <v>#VALUE!</v>
          </cell>
          <cell r="T3187" t="e">
            <v>#VALUE!</v>
          </cell>
        </row>
        <row r="3188">
          <cell r="A3188" t="str">
            <v>70087709PP</v>
          </cell>
          <cell r="B3188" t="str">
            <v>MKP000631001670</v>
          </cell>
          <cell r="C3188" t="str">
            <v/>
          </cell>
          <cell r="D3188" t="str">
            <v>Rack para TV até 65 Polegadas Madesa Cancun com Pés Preto/Branco 7709</v>
          </cell>
          <cell r="E3188" t="str">
            <v>CANCUN</v>
          </cell>
          <cell r="F3188" t="str">
            <v>SALA DE ESTAR</v>
          </cell>
          <cell r="G3188" t="str">
            <v/>
          </cell>
          <cell r="H3188">
            <v>459.99</v>
          </cell>
          <cell r="I3188">
            <v>359.99</v>
          </cell>
          <cell r="J3188">
            <v>271.62799999999999</v>
          </cell>
          <cell r="K3188">
            <v>0</v>
          </cell>
          <cell r="L3188">
            <v>271.62799999999999</v>
          </cell>
          <cell r="M3188">
            <v>0</v>
          </cell>
          <cell r="N3188">
            <v>359.99</v>
          </cell>
          <cell r="O3188" t="str">
            <v/>
          </cell>
          <cell r="P3188">
            <v>0</v>
          </cell>
          <cell r="Q3188">
            <v>0.32530519681328901</v>
          </cell>
          <cell r="R3188">
            <v>0.32530519681328901</v>
          </cell>
          <cell r="S3188" t="e">
            <v>#VALUE!</v>
          </cell>
          <cell r="T3188" t="e">
            <v>#VALUE!</v>
          </cell>
        </row>
        <row r="3189">
          <cell r="A3189" t="str">
            <v>G2760109</v>
          </cell>
          <cell r="B3189" t="str">
            <v>MKP000631005651</v>
          </cell>
          <cell r="C3189" t="str">
            <v/>
          </cell>
          <cell r="D3189" t="str">
            <v>Kit 2 Prateleiras Suspensas para Cozinha Madesa 60 cm com Mão Francesa Branco</v>
          </cell>
          <cell r="E3189" t="str">
            <v>PR</v>
          </cell>
          <cell r="F3189" t="str">
            <v>MODULAÇÃO</v>
          </cell>
          <cell r="G3189" t="str">
            <v/>
          </cell>
          <cell r="H3189">
            <v>399.99</v>
          </cell>
          <cell r="I3189">
            <v>189.99</v>
          </cell>
          <cell r="J3189">
            <v>118.6247</v>
          </cell>
          <cell r="K3189">
            <v>0</v>
          </cell>
          <cell r="L3189">
            <v>118.6247</v>
          </cell>
          <cell r="M3189">
            <v>0</v>
          </cell>
          <cell r="N3189">
            <v>189.99</v>
          </cell>
          <cell r="O3189" t="str">
            <v/>
          </cell>
          <cell r="P3189">
            <v>0</v>
          </cell>
          <cell r="Q3189">
            <v>0.60160573641071402</v>
          </cell>
          <cell r="R3189">
            <v>0.60160573641071402</v>
          </cell>
          <cell r="S3189" t="e">
            <v>#VALUE!</v>
          </cell>
          <cell r="T3189" t="e">
            <v>#VALUE!</v>
          </cell>
        </row>
        <row r="3190">
          <cell r="A3190" t="str">
            <v>G2480073GL</v>
          </cell>
          <cell r="B3190" t="str">
            <v>MKP000631001146</v>
          </cell>
          <cell r="C3190" t="str">
            <v/>
          </cell>
          <cell r="D3190" t="str">
            <v>Balcão Madesa Glamy 80 cm 2 Portas Branco/Preto</v>
          </cell>
          <cell r="E3190" t="str">
            <v>GLAMY</v>
          </cell>
          <cell r="F3190" t="str">
            <v>MODULAÇÃO</v>
          </cell>
          <cell r="G3190" t="str">
            <v/>
          </cell>
          <cell r="H3190">
            <v>939.99</v>
          </cell>
          <cell r="I3190">
            <v>519.99</v>
          </cell>
          <cell r="J3190">
            <v>333.19119999999998</v>
          </cell>
          <cell r="K3190">
            <v>0</v>
          </cell>
          <cell r="L3190">
            <v>333.19119999999998</v>
          </cell>
          <cell r="M3190">
            <v>0</v>
          </cell>
          <cell r="N3190">
            <v>519.99</v>
          </cell>
          <cell r="O3190" t="str">
            <v/>
          </cell>
          <cell r="P3190">
            <v>0</v>
          </cell>
          <cell r="Q3190">
            <v>0.56063545495799405</v>
          </cell>
          <cell r="R3190">
            <v>0.56063545495799405</v>
          </cell>
          <cell r="S3190" t="e">
            <v>#VALUE!</v>
          </cell>
          <cell r="T3190" t="e">
            <v>#VALUE!</v>
          </cell>
        </row>
        <row r="3191">
          <cell r="A3191" t="str">
            <v>G254007KGL</v>
          </cell>
          <cell r="B3191" t="str">
            <v>MKP000631001296</v>
          </cell>
          <cell r="C3191" t="str">
            <v/>
          </cell>
          <cell r="D3191" t="str">
            <v>Armário Aéreo Madesa Glamy 40 cm 1 Porta Rustic/Preto</v>
          </cell>
          <cell r="E3191" t="str">
            <v>GLAMY</v>
          </cell>
          <cell r="F3191" t="str">
            <v>MODULAÇÃO</v>
          </cell>
          <cell r="G3191" t="str">
            <v/>
          </cell>
          <cell r="H3191">
            <v>409.99</v>
          </cell>
          <cell r="I3191">
            <v>289.99</v>
          </cell>
          <cell r="J3191">
            <v>170.5959</v>
          </cell>
          <cell r="K3191">
            <v>0</v>
          </cell>
          <cell r="L3191">
            <v>170.5959</v>
          </cell>
          <cell r="M3191">
            <v>0</v>
          </cell>
          <cell r="N3191">
            <v>289.99</v>
          </cell>
          <cell r="O3191" t="str">
            <v/>
          </cell>
          <cell r="P3191">
            <v>0</v>
          </cell>
          <cell r="Q3191">
            <v>0.69986500261729601</v>
          </cell>
          <cell r="R3191">
            <v>0.69986500261729601</v>
          </cell>
          <cell r="S3191" t="e">
            <v>#VALUE!</v>
          </cell>
          <cell r="T3191" t="e">
            <v>#VALUE!</v>
          </cell>
        </row>
        <row r="3192">
          <cell r="A3192" t="str">
            <v>G257007KAG</v>
          </cell>
          <cell r="B3192" t="str">
            <v>MKP000631004699</v>
          </cell>
          <cell r="C3192" t="str">
            <v/>
          </cell>
          <cell r="D3192" t="str">
            <v>Armário Aéreo Madesa Agata 70 cm 2 Portas Rustic/Preto</v>
          </cell>
          <cell r="E3192" t="str">
            <v>ÁGATA</v>
          </cell>
          <cell r="F3192" t="str">
            <v>MODULAÇÃO</v>
          </cell>
          <cell r="G3192" t="str">
            <v/>
          </cell>
          <cell r="H3192">
            <v>529.99</v>
          </cell>
          <cell r="I3192">
            <v>419.99</v>
          </cell>
          <cell r="J3192">
            <v>244.06190000000001</v>
          </cell>
          <cell r="K3192">
            <v>0</v>
          </cell>
          <cell r="L3192">
            <v>244.06190000000001</v>
          </cell>
          <cell r="M3192">
            <v>0</v>
          </cell>
          <cell r="N3192">
            <v>419.99</v>
          </cell>
          <cell r="O3192" t="str">
            <v/>
          </cell>
          <cell r="P3192">
            <v>0</v>
          </cell>
          <cell r="Q3192">
            <v>0.72083393598099499</v>
          </cell>
          <cell r="R3192">
            <v>0.72083393598099499</v>
          </cell>
          <cell r="S3192" t="e">
            <v>#VALUE!</v>
          </cell>
          <cell r="T3192" t="e">
            <v>#VALUE!</v>
          </cell>
        </row>
        <row r="3193">
          <cell r="A3193" t="str">
            <v>G25400H8LX</v>
          </cell>
          <cell r="B3193" t="str">
            <v>MKP000631004425</v>
          </cell>
          <cell r="C3193" t="str">
            <v/>
          </cell>
          <cell r="D3193" t="str">
            <v>Armário Aéreo Madesa Lux 40 cm 1 Porta Rustic/Branco Veludo</v>
          </cell>
          <cell r="E3193" t="str">
            <v>LUX</v>
          </cell>
          <cell r="F3193" t="str">
            <v>MODULAÇÃO</v>
          </cell>
          <cell r="G3193" t="str">
            <v/>
          </cell>
          <cell r="H3193">
            <v>539.99</v>
          </cell>
          <cell r="I3193">
            <v>349.99</v>
          </cell>
          <cell r="J3193">
            <v>181.80109999999999</v>
          </cell>
          <cell r="K3193">
            <v>0</v>
          </cell>
          <cell r="L3193">
            <v>181.80109999999999</v>
          </cell>
          <cell r="M3193">
            <v>0</v>
          </cell>
          <cell r="N3193">
            <v>349.99</v>
          </cell>
          <cell r="O3193" t="str">
            <v>LOJA</v>
          </cell>
          <cell r="P3193">
            <v>339.99</v>
          </cell>
          <cell r="Q3193">
            <v>0.92512586557507104</v>
          </cell>
          <cell r="R3193">
            <v>0.92512586557507104</v>
          </cell>
          <cell r="S3193" t="e">
            <v>#VALUE!</v>
          </cell>
          <cell r="T3193" t="e">
            <v>#VALUE!</v>
          </cell>
        </row>
        <row r="3194">
          <cell r="A3194" t="str">
            <v>GRLX260001H7</v>
          </cell>
          <cell r="B3194" t="str">
            <v>MKP000631003772</v>
          </cell>
          <cell r="C3194" t="str">
            <v/>
          </cell>
          <cell r="D3194" t="str">
            <v>Armário de Cozinha Completa 260cm Branco Branco Veludo Lux Madesa 01</v>
          </cell>
          <cell r="E3194" t="str">
            <v>LUX</v>
          </cell>
          <cell r="F3194" t="str">
            <v>COZINHA</v>
          </cell>
          <cell r="G3194" t="str">
            <v/>
          </cell>
          <cell r="H3194">
            <v>4039.99</v>
          </cell>
          <cell r="I3194">
            <v>3959.99</v>
          </cell>
          <cell r="J3194">
            <v>2066.2148999999999</v>
          </cell>
          <cell r="K3194">
            <v>0</v>
          </cell>
          <cell r="L3194">
            <v>2066.2148999999999</v>
          </cell>
          <cell r="M3194">
            <v>0</v>
          </cell>
          <cell r="N3194">
            <v>3959.99</v>
          </cell>
          <cell r="O3194" t="str">
            <v>LOJA</v>
          </cell>
          <cell r="P3194">
            <v>3479.99</v>
          </cell>
          <cell r="Q3194">
            <v>0.91654314369720202</v>
          </cell>
          <cell r="R3194">
            <v>0.91654314369720202</v>
          </cell>
          <cell r="S3194" t="e">
            <v>#VALUE!</v>
          </cell>
          <cell r="T3194" t="e">
            <v>#VALUE!</v>
          </cell>
        </row>
        <row r="3195">
          <cell r="A3195" t="str">
            <v>G2575209AG</v>
          </cell>
          <cell r="B3195" t="str">
            <v>MKP000631004415</v>
          </cell>
          <cell r="C3195" t="str">
            <v/>
          </cell>
          <cell r="D3195" t="str">
            <v>Armário Aéreo de Canto Madesa Agata 1 Porta - Branco</v>
          </cell>
          <cell r="E3195" t="str">
            <v>ÁGATA</v>
          </cell>
          <cell r="F3195" t="str">
            <v>MODULAÇÃO</v>
          </cell>
          <cell r="G3195" t="str">
            <v/>
          </cell>
          <cell r="H3195">
            <v>519.99</v>
          </cell>
          <cell r="I3195">
            <v>429.99</v>
          </cell>
          <cell r="J3195">
            <v>234.81870000000001</v>
          </cell>
          <cell r="K3195">
            <v>0</v>
          </cell>
          <cell r="L3195">
            <v>234.81870000000001</v>
          </cell>
          <cell r="M3195">
            <v>0</v>
          </cell>
          <cell r="N3195">
            <v>429.99</v>
          </cell>
          <cell r="O3195" t="str">
            <v/>
          </cell>
          <cell r="P3195">
            <v>0</v>
          </cell>
          <cell r="Q3195">
            <v>0.83115739930422905</v>
          </cell>
          <cell r="R3195">
            <v>0.83115739930422905</v>
          </cell>
          <cell r="S3195" t="e">
            <v>#VALUE!</v>
          </cell>
          <cell r="T3195" t="e">
            <v>#VALUE!</v>
          </cell>
        </row>
        <row r="3196">
          <cell r="A3196" t="str">
            <v>GCGL3290027K</v>
          </cell>
          <cell r="B3196" t="str">
            <v>MKP000631004503</v>
          </cell>
          <cell r="C3196" t="str">
            <v/>
          </cell>
          <cell r="D3196" t="str">
            <v>Armário de Cozinha Completa de Canto 329cm Rustic Preto Glamy Madesa 02</v>
          </cell>
          <cell r="E3196" t="str">
            <v>GLAMY</v>
          </cell>
          <cell r="F3196" t="str">
            <v>COZINHA</v>
          </cell>
          <cell r="G3196" t="str">
            <v/>
          </cell>
          <cell r="H3196">
            <v>2299.9899999999998</v>
          </cell>
          <cell r="I3196">
            <v>2199.9899999999998</v>
          </cell>
          <cell r="J3196">
            <v>1895.2592999999999</v>
          </cell>
          <cell r="K3196">
            <v>0</v>
          </cell>
          <cell r="L3196">
            <v>1895.2592999999999</v>
          </cell>
          <cell r="M3196">
            <v>0</v>
          </cell>
          <cell r="N3196">
            <v>2199.9899999999998</v>
          </cell>
          <cell r="O3196" t="str">
            <v/>
          </cell>
          <cell r="P3196">
            <v>0</v>
          </cell>
          <cell r="Q3196">
            <v>0.160785756334239</v>
          </cell>
          <cell r="R3196">
            <v>0.160785756334239</v>
          </cell>
          <cell r="S3196" t="e">
            <v>#VALUE!</v>
          </cell>
          <cell r="T3196" t="e">
            <v>#VALUE!</v>
          </cell>
        </row>
        <row r="3197">
          <cell r="A3197" t="str">
            <v>XAGRGL30000109SR</v>
          </cell>
          <cell r="B3197" t="str">
            <v>MKP000631001966</v>
          </cell>
          <cell r="C3197" t="str">
            <v/>
          </cell>
          <cell r="D3197" t="str">
            <v>Armário de Cozinha Completa 300cm Branco Verona Madesa XASR</v>
          </cell>
          <cell r="E3197" t="str">
            <v>VERONA/GLAMY</v>
          </cell>
          <cell r="F3197" t="str">
            <v>COZINHA</v>
          </cell>
          <cell r="G3197" t="str">
            <v/>
          </cell>
          <cell r="H3197">
            <v>2999.99</v>
          </cell>
          <cell r="I3197">
            <v>2399.9899999999998</v>
          </cell>
          <cell r="J3197">
            <v>2019.9553000000001</v>
          </cell>
          <cell r="K3197">
            <v>0</v>
          </cell>
          <cell r="L3197">
            <v>2019.9553000000001</v>
          </cell>
          <cell r="M3197">
            <v>0</v>
          </cell>
          <cell r="N3197">
            <v>2399.9899999999998</v>
          </cell>
          <cell r="O3197" t="str">
            <v/>
          </cell>
          <cell r="P3197">
            <v>0</v>
          </cell>
          <cell r="Q3197">
            <v>0.188140153398444</v>
          </cell>
          <cell r="R3197">
            <v>0.188140153398444</v>
          </cell>
          <cell r="S3197" t="e">
            <v>#VALUE!</v>
          </cell>
          <cell r="T3197" t="e">
            <v>#VALUE!</v>
          </cell>
        </row>
        <row r="3198">
          <cell r="A3198" t="str">
            <v>GRGL290009A5</v>
          </cell>
          <cell r="B3198" t="str">
            <v>MKP000631001211</v>
          </cell>
          <cell r="C3198" t="str">
            <v/>
          </cell>
          <cell r="D3198" t="str">
            <v>Armário de Cozinha Completa 290cm Branco/Branco/Crema Cristal Madesa 09</v>
          </cell>
          <cell r="E3198" t="str">
            <v>CRISTAL/GLAMY</v>
          </cell>
          <cell r="F3198" t="str">
            <v>COZINHA</v>
          </cell>
          <cell r="G3198" t="str">
            <v/>
          </cell>
          <cell r="H3198">
            <v>2199.9899999999998</v>
          </cell>
          <cell r="I3198">
            <v>2099.9899999999998</v>
          </cell>
          <cell r="J3198">
            <v>1760.9930999999999</v>
          </cell>
          <cell r="K3198">
            <v>0</v>
          </cell>
          <cell r="L3198">
            <v>1760.9930999999999</v>
          </cell>
          <cell r="M3198">
            <v>0</v>
          </cell>
          <cell r="N3198">
            <v>2099.9899999999998</v>
          </cell>
          <cell r="O3198" t="str">
            <v/>
          </cell>
          <cell r="P3198">
            <v>0</v>
          </cell>
          <cell r="Q3198">
            <v>0.19250325285204101</v>
          </cell>
          <cell r="R3198">
            <v>0.19250325285204101</v>
          </cell>
          <cell r="S3198" t="e">
            <v>#VALUE!</v>
          </cell>
          <cell r="T3198" t="e">
            <v>#VALUE!</v>
          </cell>
        </row>
        <row r="3199">
          <cell r="A3199" t="str">
            <v>MDJA0401677GSIM</v>
          </cell>
          <cell r="B3199" t="str">
            <v>MKP000631005710</v>
          </cell>
          <cell r="C3199" t="str">
            <v/>
          </cell>
          <cell r="D3199" t="str">
            <v>Conjunto Sala de Jantar Mesa Tampo de Madeira 4 Cadeiras Rustic/Crema/Imperial Agnes Madesa</v>
          </cell>
          <cell r="E3199" t="str">
            <v>AGNES</v>
          </cell>
          <cell r="F3199" t="str">
            <v>SALA DE JANTAR</v>
          </cell>
          <cell r="G3199">
            <v>4255</v>
          </cell>
          <cell r="H3199">
            <v>999.99</v>
          </cell>
          <cell r="I3199">
            <v>899.99</v>
          </cell>
          <cell r="J3199">
            <v>729.79859999999996</v>
          </cell>
          <cell r="K3199">
            <v>0</v>
          </cell>
          <cell r="L3199">
            <v>729.79859999999996</v>
          </cell>
          <cell r="M3199">
            <v>0</v>
          </cell>
          <cell r="N3199">
            <v>899.99</v>
          </cell>
          <cell r="O3199" t="str">
            <v/>
          </cell>
          <cell r="P3199">
            <v>0</v>
          </cell>
          <cell r="Q3199">
            <v>0.23320324264803999</v>
          </cell>
          <cell r="R3199">
            <v>0.23320324264803999</v>
          </cell>
          <cell r="S3199" t="e">
            <v>#VALUE!</v>
          </cell>
          <cell r="T3199" t="e">
            <v>#VALUE!</v>
          </cell>
        </row>
        <row r="3200">
          <cell r="A3200" t="str">
            <v>GRGL2700116E</v>
          </cell>
          <cell r="B3200" t="str">
            <v>MKP000631004217</v>
          </cell>
          <cell r="C3200" t="str">
            <v/>
          </cell>
          <cell r="D3200" t="str">
            <v>Armário de Cozinha Completa 270cm Rustic Branco Glamy Madesa 11</v>
          </cell>
          <cell r="E3200" t="str">
            <v>GLAMY</v>
          </cell>
          <cell r="F3200" t="str">
            <v>COZINHA</v>
          </cell>
          <cell r="G3200" t="str">
            <v/>
          </cell>
          <cell r="H3200">
            <v>1949.99</v>
          </cell>
          <cell r="I3200">
            <v>1699.99</v>
          </cell>
          <cell r="J3200">
            <v>1419.5397</v>
          </cell>
          <cell r="K3200">
            <v>0</v>
          </cell>
          <cell r="L3200">
            <v>1419.5397</v>
          </cell>
          <cell r="M3200">
            <v>0</v>
          </cell>
          <cell r="N3200">
            <v>1699.99</v>
          </cell>
          <cell r="O3200" t="str">
            <v/>
          </cell>
          <cell r="P3200">
            <v>0</v>
          </cell>
          <cell r="Q3200">
            <v>0.197564252694025</v>
          </cell>
          <cell r="R3200">
            <v>0.197564252694025</v>
          </cell>
          <cell r="S3200" t="e">
            <v>#VALUE!</v>
          </cell>
          <cell r="T3200" t="e">
            <v>#VALUE!</v>
          </cell>
        </row>
        <row r="3201">
          <cell r="A3201" t="str">
            <v>GRGL290014C1</v>
          </cell>
          <cell r="B3201" t="str">
            <v>MKP000631001259</v>
          </cell>
          <cell r="C3201" t="str">
            <v/>
          </cell>
          <cell r="D3201" t="str">
            <v>Armário de Cozinha Completa 290cm Rustic/Preto/Rustic Safira Madesa 14</v>
          </cell>
          <cell r="E3201" t="str">
            <v>SAFIRA/GLAMY</v>
          </cell>
          <cell r="F3201" t="str">
            <v>COZINHA</v>
          </cell>
          <cell r="G3201" t="str">
            <v/>
          </cell>
          <cell r="H3201">
            <v>2999.99</v>
          </cell>
          <cell r="I3201">
            <v>2199.9899999999998</v>
          </cell>
          <cell r="J3201">
            <v>1834.2193</v>
          </cell>
          <cell r="K3201">
            <v>0</v>
          </cell>
          <cell r="L3201">
            <v>1834.2193</v>
          </cell>
          <cell r="M3201">
            <v>0</v>
          </cell>
          <cell r="N3201">
            <v>2199.9899999999998</v>
          </cell>
          <cell r="O3201" t="str">
            <v/>
          </cell>
          <cell r="P3201">
            <v>0</v>
          </cell>
          <cell r="Q3201">
            <v>0.199414922741245</v>
          </cell>
          <cell r="R3201">
            <v>0.199414922741245</v>
          </cell>
          <cell r="S3201" t="e">
            <v>#VALUE!</v>
          </cell>
          <cell r="T3201" t="e">
            <v>#VALUE!</v>
          </cell>
        </row>
        <row r="3202">
          <cell r="A3202" t="str">
            <v>GREM3250045Z</v>
          </cell>
          <cell r="B3202" t="str">
            <v>MKP000631005141</v>
          </cell>
          <cell r="C3202" t="str">
            <v/>
          </cell>
          <cell r="D3202" t="str">
            <v>Armário de Cozinha Completa 325cm Rustic Emilly Madesa 04</v>
          </cell>
          <cell r="E3202" t="str">
            <v>EMILLY</v>
          </cell>
          <cell r="F3202" t="str">
            <v>COZINHA</v>
          </cell>
          <cell r="G3202" t="str">
            <v/>
          </cell>
          <cell r="H3202">
            <v>1799.99</v>
          </cell>
          <cell r="I3202">
            <v>1699.99</v>
          </cell>
          <cell r="J3202">
            <v>1370.6205</v>
          </cell>
          <cell r="K3202">
            <v>0</v>
          </cell>
          <cell r="L3202">
            <v>1370.6205</v>
          </cell>
          <cell r="M3202">
            <v>0</v>
          </cell>
          <cell r="N3202">
            <v>1699.99</v>
          </cell>
          <cell r="O3202" t="str">
            <v/>
          </cell>
          <cell r="P3202">
            <v>0</v>
          </cell>
          <cell r="Q3202">
            <v>0.24030685372063201</v>
          </cell>
          <cell r="R3202">
            <v>0.24030685372063201</v>
          </cell>
          <cell r="S3202" t="e">
            <v>#VALUE!</v>
          </cell>
          <cell r="T3202" t="e">
            <v>#VALUE!</v>
          </cell>
        </row>
        <row r="3203">
          <cell r="A3203" t="str">
            <v>GCGL3490017K</v>
          </cell>
          <cell r="B3203" t="str">
            <v>MKP000631004394</v>
          </cell>
          <cell r="C3203" t="str">
            <v/>
          </cell>
          <cell r="D3203" t="str">
            <v>Armário de Cozinha Completa de Canto 349cm Rustic/Preto Glamy Madesa 01</v>
          </cell>
          <cell r="E3203" t="str">
            <v>GLAMY</v>
          </cell>
          <cell r="F3203" t="str">
            <v>COZINHA</v>
          </cell>
          <cell r="G3203" t="str">
            <v/>
          </cell>
          <cell r="H3203">
            <v>2639.99</v>
          </cell>
          <cell r="I3203">
            <v>2539.9899999999998</v>
          </cell>
          <cell r="J3203">
            <v>2079.7745</v>
          </cell>
          <cell r="K3203">
            <v>0</v>
          </cell>
          <cell r="L3203">
            <v>2079.7745</v>
          </cell>
          <cell r="M3203">
            <v>0</v>
          </cell>
          <cell r="N3203">
            <v>2539.9899999999998</v>
          </cell>
          <cell r="O3203" t="str">
            <v/>
          </cell>
          <cell r="P3203">
            <v>0</v>
          </cell>
          <cell r="Q3203">
            <v>0.22128144181015799</v>
          </cell>
          <cell r="R3203">
            <v>0.22128144181015799</v>
          </cell>
          <cell r="S3203" t="e">
            <v>#VALUE!</v>
          </cell>
          <cell r="T3203" t="e">
            <v>#VALUE!</v>
          </cell>
        </row>
        <row r="3204">
          <cell r="A3204" t="str">
            <v>GRSM17000109</v>
          </cell>
          <cell r="B3204" t="str">
            <v>MKP000631001785</v>
          </cell>
          <cell r="C3204" t="str">
            <v/>
          </cell>
          <cell r="D3204" t="str">
            <v>Armário de Cozinha Compacta 100% MDF 170 cm Branco Smart Madesa 01</v>
          </cell>
          <cell r="E3204" t="str">
            <v>SMART</v>
          </cell>
          <cell r="F3204" t="str">
            <v>COZINHA</v>
          </cell>
          <cell r="G3204" t="str">
            <v/>
          </cell>
          <cell r="H3204">
            <v>1499.99</v>
          </cell>
          <cell r="I3204">
            <v>1219.99</v>
          </cell>
          <cell r="J3204">
            <v>969.92560000000003</v>
          </cell>
          <cell r="K3204">
            <v>0</v>
          </cell>
          <cell r="L3204">
            <v>969.92560000000003</v>
          </cell>
          <cell r="M3204">
            <v>0</v>
          </cell>
          <cell r="N3204">
            <v>1219.99</v>
          </cell>
          <cell r="O3204" t="str">
            <v>MADEIRAMADEIRA</v>
          </cell>
          <cell r="P3204">
            <v>1199.99</v>
          </cell>
          <cell r="Q3204">
            <v>0.25781812543147598</v>
          </cell>
          <cell r="R3204">
            <v>0.25781812543147598</v>
          </cell>
          <cell r="S3204" t="e">
            <v>#VALUE!</v>
          </cell>
          <cell r="T3204" t="e">
            <v>#VALUE!</v>
          </cell>
        </row>
        <row r="3205">
          <cell r="A3205" t="str">
            <v>MDJA0601497GLIB</v>
          </cell>
          <cell r="B3205" t="str">
            <v>MKP000631005717</v>
          </cell>
          <cell r="C3205" t="str">
            <v/>
          </cell>
          <cell r="D3205" t="str">
            <v>Conjunto Sala de Jantar Mesa Tampo de Madeira 6 Cadeiras Rustic/Crema/Lírio Bege Sharon Madesa</v>
          </cell>
          <cell r="E3205" t="str">
            <v>SHARON</v>
          </cell>
          <cell r="F3205" t="str">
            <v>SALA DE JANTAR</v>
          </cell>
          <cell r="G3205" t="str">
            <v>4290X</v>
          </cell>
          <cell r="H3205">
            <v>839.99</v>
          </cell>
          <cell r="I3205">
            <v>739.99</v>
          </cell>
          <cell r="J3205">
            <v>588.73080000000004</v>
          </cell>
          <cell r="K3205">
            <v>0</v>
          </cell>
          <cell r="L3205">
            <v>588.73080000000004</v>
          </cell>
          <cell r="M3205">
            <v>0</v>
          </cell>
          <cell r="N3205">
            <v>739.99</v>
          </cell>
          <cell r="O3205" t="str">
            <v/>
          </cell>
          <cell r="P3205">
            <v>0</v>
          </cell>
          <cell r="Q3205">
            <v>0.256924217316301</v>
          </cell>
          <cell r="R3205">
            <v>0.256924217316301</v>
          </cell>
          <cell r="S3205" t="e">
            <v>#VALUE!</v>
          </cell>
          <cell r="T3205" t="e">
            <v>#VALUE!</v>
          </cell>
        </row>
        <row r="3206">
          <cell r="A3206" t="str">
            <v>GRGL2400075Z</v>
          </cell>
          <cell r="B3206" t="str">
            <v>MKP000631005040</v>
          </cell>
          <cell r="C3206" t="str">
            <v/>
          </cell>
          <cell r="D3206" t="str">
            <v>Armário de Cozinha Completa 240cm Rustic Glamy Madesa 07</v>
          </cell>
          <cell r="E3206" t="str">
            <v>GLAMY</v>
          </cell>
          <cell r="F3206" t="str">
            <v>COZINHA</v>
          </cell>
          <cell r="G3206" t="str">
            <v/>
          </cell>
          <cell r="H3206">
            <v>1879.99</v>
          </cell>
          <cell r="I3206">
            <v>1779.99</v>
          </cell>
          <cell r="J3206">
            <v>1345.278</v>
          </cell>
          <cell r="K3206">
            <v>0</v>
          </cell>
          <cell r="L3206">
            <v>1345.278</v>
          </cell>
          <cell r="M3206">
            <v>0</v>
          </cell>
          <cell r="N3206">
            <v>1779.99</v>
          </cell>
          <cell r="O3206" t="str">
            <v/>
          </cell>
          <cell r="P3206">
            <v>0</v>
          </cell>
          <cell r="Q3206">
            <v>0.32313915785436098</v>
          </cell>
          <cell r="R3206">
            <v>0.32313915785436098</v>
          </cell>
          <cell r="S3206" t="e">
            <v>#VALUE!</v>
          </cell>
          <cell r="T3206" t="e">
            <v>#VALUE!</v>
          </cell>
        </row>
        <row r="3207">
          <cell r="A3207" t="str">
            <v>G246017KGL</v>
          </cell>
          <cell r="B3207" t="str">
            <v>MKP000631003453</v>
          </cell>
          <cell r="C3207" t="str">
            <v/>
          </cell>
          <cell r="D3207" t="str">
            <v>Balcão Madesa Glamy 60 cm 3 Gavetas Rustic/Preto</v>
          </cell>
          <cell r="E3207" t="str">
            <v>GLAMY</v>
          </cell>
          <cell r="F3207" t="str">
            <v>MODULAÇÃO</v>
          </cell>
          <cell r="G3207" t="str">
            <v/>
          </cell>
          <cell r="H3207">
            <v>989.99</v>
          </cell>
          <cell r="I3207">
            <v>589.99</v>
          </cell>
          <cell r="J3207">
            <v>394.18759999999997</v>
          </cell>
          <cell r="K3207">
            <v>0</v>
          </cell>
          <cell r="L3207">
            <v>394.18759999999997</v>
          </cell>
          <cell r="M3207">
            <v>0</v>
          </cell>
          <cell r="N3207">
            <v>589.99</v>
          </cell>
          <cell r="O3207" t="str">
            <v/>
          </cell>
          <cell r="P3207">
            <v>0</v>
          </cell>
          <cell r="Q3207">
            <v>0.496723894917039</v>
          </cell>
          <cell r="R3207">
            <v>0.496723894917039</v>
          </cell>
          <cell r="S3207" t="e">
            <v>#VALUE!</v>
          </cell>
          <cell r="T3207" t="e">
            <v>#VALUE!</v>
          </cell>
        </row>
        <row r="3208">
          <cell r="A3208" t="str">
            <v>G2460173AG</v>
          </cell>
          <cell r="B3208" t="str">
            <v>MKP000631003059</v>
          </cell>
          <cell r="C3208" t="str">
            <v/>
          </cell>
          <cell r="D3208" t="str">
            <v>Balcão Madesa Agata 60 cm 3 Gavetas Branco/Preto</v>
          </cell>
          <cell r="E3208" t="str">
            <v>ÁGATA</v>
          </cell>
          <cell r="F3208" t="str">
            <v>MODULAÇÃO</v>
          </cell>
          <cell r="G3208" t="str">
            <v/>
          </cell>
          <cell r="H3208">
            <v>1019.99</v>
          </cell>
          <cell r="I3208">
            <v>579.99</v>
          </cell>
          <cell r="J3208">
            <v>373.48849999999999</v>
          </cell>
          <cell r="K3208">
            <v>0</v>
          </cell>
          <cell r="L3208">
            <v>373.48849999999999</v>
          </cell>
          <cell r="M3208">
            <v>0</v>
          </cell>
          <cell r="N3208">
            <v>579.99</v>
          </cell>
          <cell r="O3208" t="str">
            <v/>
          </cell>
          <cell r="P3208">
            <v>0</v>
          </cell>
          <cell r="Q3208">
            <v>0.55289921911919704</v>
          </cell>
          <cell r="R3208">
            <v>0.55289921911919704</v>
          </cell>
          <cell r="S3208" t="e">
            <v>#VALUE!</v>
          </cell>
          <cell r="T3208" t="e">
            <v>#VALUE!</v>
          </cell>
        </row>
        <row r="3209">
          <cell r="A3209" t="str">
            <v>GRLX26000573</v>
          </cell>
          <cell r="B3209" t="str">
            <v>MKP000631003400</v>
          </cell>
          <cell r="C3209" t="str">
            <v/>
          </cell>
          <cell r="D3209" t="str">
            <v>Armário de Cozinha Completa 260cm Branco/Preto Lux Madesa 05</v>
          </cell>
          <cell r="E3209" t="str">
            <v>LUX</v>
          </cell>
          <cell r="F3209" t="str">
            <v>COZINHA</v>
          </cell>
          <cell r="G3209" t="str">
            <v/>
          </cell>
          <cell r="H3209">
            <v>3929.99</v>
          </cell>
          <cell r="I3209">
            <v>3849.99</v>
          </cell>
          <cell r="J3209">
            <v>2310.8326999999999</v>
          </cell>
          <cell r="K3209">
            <v>0</v>
          </cell>
          <cell r="L3209">
            <v>2310.8326999999999</v>
          </cell>
          <cell r="M3209">
            <v>0</v>
          </cell>
          <cell r="N3209">
            <v>3849.99</v>
          </cell>
          <cell r="O3209" t="str">
            <v>LOJA</v>
          </cell>
          <cell r="P3209">
            <v>3379.99</v>
          </cell>
          <cell r="Q3209">
            <v>0.66606176206525003</v>
          </cell>
          <cell r="R3209">
            <v>0.66606176206525003</v>
          </cell>
          <cell r="S3209" t="e">
            <v>#VALUE!</v>
          </cell>
          <cell r="T3209" t="e">
            <v>#VALUE!</v>
          </cell>
        </row>
        <row r="3210">
          <cell r="A3210" t="str">
            <v>G2708073LX</v>
          </cell>
          <cell r="B3210" t="str">
            <v>MKP000631003352</v>
          </cell>
          <cell r="C3210" t="str">
            <v/>
          </cell>
          <cell r="D3210" t="str">
            <v>Porta-Geladeira Madesa Lux 1 Porta Basculante Branco/Preto</v>
          </cell>
          <cell r="E3210" t="str">
            <v>LUX</v>
          </cell>
          <cell r="F3210" t="str">
            <v>MODULAÇÃO</v>
          </cell>
          <cell r="G3210" t="str">
            <v/>
          </cell>
          <cell r="H3210">
            <v>1189.99</v>
          </cell>
          <cell r="I3210">
            <v>839.99</v>
          </cell>
          <cell r="J3210">
            <v>450.25720000000001</v>
          </cell>
          <cell r="K3210">
            <v>0</v>
          </cell>
          <cell r="L3210">
            <v>450.25720000000001</v>
          </cell>
          <cell r="M3210">
            <v>0</v>
          </cell>
          <cell r="N3210">
            <v>839.99</v>
          </cell>
          <cell r="O3210" t="str">
            <v>LOJA</v>
          </cell>
          <cell r="P3210">
            <v>829.99</v>
          </cell>
          <cell r="Q3210">
            <v>0.86557816288112699</v>
          </cell>
          <cell r="R3210">
            <v>0.86557816288112699</v>
          </cell>
          <cell r="S3210" t="e">
            <v>#VALUE!</v>
          </cell>
          <cell r="T3210" t="e">
            <v>#VALUE!</v>
          </cell>
        </row>
        <row r="3211">
          <cell r="A3211" t="str">
            <v>G224007KLX</v>
          </cell>
          <cell r="B3211" t="str">
            <v>MKP000631002760</v>
          </cell>
          <cell r="C3211" t="str">
            <v/>
          </cell>
          <cell r="D3211" t="str">
            <v>Balcão Madesa Lux 40 cm 1 Porta (Sem Tampo) Rustic/Preto</v>
          </cell>
          <cell r="E3211" t="str">
            <v>LUX</v>
          </cell>
          <cell r="F3211" t="str">
            <v>MODULAÇÃO</v>
          </cell>
          <cell r="G3211" t="str">
            <v/>
          </cell>
          <cell r="H3211">
            <v>869.99</v>
          </cell>
          <cell r="I3211">
            <v>569.99</v>
          </cell>
          <cell r="J3211">
            <v>302.15890000000002</v>
          </cell>
          <cell r="K3211">
            <v>0</v>
          </cell>
          <cell r="L3211">
            <v>302.15890000000002</v>
          </cell>
          <cell r="M3211">
            <v>0</v>
          </cell>
          <cell r="N3211">
            <v>569.99</v>
          </cell>
          <cell r="O3211" t="str">
            <v>LOJA</v>
          </cell>
          <cell r="P3211">
            <v>559.99</v>
          </cell>
          <cell r="Q3211">
            <v>0.88639156417368503</v>
          </cell>
          <cell r="R3211">
            <v>0.88639156417368503</v>
          </cell>
          <cell r="S3211" t="e">
            <v>#VALUE!</v>
          </cell>
          <cell r="T3211" t="e">
            <v>#VALUE!</v>
          </cell>
        </row>
        <row r="3212">
          <cell r="A3212" t="str">
            <v>GREM293008F9</v>
          </cell>
          <cell r="B3212" t="str">
            <v>MKP000631005510</v>
          </cell>
          <cell r="C3212" t="str">
            <v/>
          </cell>
          <cell r="D3212" t="str">
            <v>Armário de Cozinha Completa 293cm com Pia Rustic/Cinza Emilly Madesa 08</v>
          </cell>
          <cell r="E3212" t="str">
            <v>EMILLY</v>
          </cell>
          <cell r="F3212" t="str">
            <v>COZINHA</v>
          </cell>
          <cell r="G3212" t="str">
            <v/>
          </cell>
          <cell r="H3212">
            <v>1699.99</v>
          </cell>
          <cell r="I3212">
            <v>1599.99</v>
          </cell>
          <cell r="J3212">
            <v>1249.8158000000001</v>
          </cell>
          <cell r="K3212">
            <v>0</v>
          </cell>
          <cell r="L3212">
            <v>1249.8158000000001</v>
          </cell>
          <cell r="M3212">
            <v>0</v>
          </cell>
          <cell r="N3212">
            <v>1599.99</v>
          </cell>
          <cell r="O3212" t="str">
            <v/>
          </cell>
          <cell r="P3212">
            <v>0</v>
          </cell>
          <cell r="Q3212">
            <v>0.28018064742020399</v>
          </cell>
          <cell r="R3212">
            <v>0.28018064742020399</v>
          </cell>
          <cell r="S3212" t="e">
            <v>#VALUE!</v>
          </cell>
          <cell r="T3212" t="e">
            <v>#VALUE!</v>
          </cell>
        </row>
        <row r="3213">
          <cell r="A3213" t="str">
            <v>G251288NPRPT</v>
          </cell>
          <cell r="B3213" t="str">
            <v>MKP000631005779</v>
          </cell>
          <cell r="C3213" t="str">
            <v/>
          </cell>
          <cell r="D3213" t="str">
            <v>Armário Aéreo 120cm 2 Portas Correr Vidro Pontilhado 1 Nicho Preto Reims Madesa</v>
          </cell>
          <cell r="E3213" t="str">
            <v>REIMS</v>
          </cell>
          <cell r="F3213" t="str">
            <v>MODULAÇÃO</v>
          </cell>
          <cell r="G3213" t="str">
            <v/>
          </cell>
          <cell r="H3213">
            <v>469.99</v>
          </cell>
          <cell r="I3213">
            <v>369.99</v>
          </cell>
          <cell r="J3213">
            <v>234.51349999999999</v>
          </cell>
          <cell r="K3213">
            <v>0</v>
          </cell>
          <cell r="L3213">
            <v>234.51349999999999</v>
          </cell>
          <cell r="M3213">
            <v>0</v>
          </cell>
          <cell r="N3213">
            <v>369.99</v>
          </cell>
          <cell r="O3213" t="str">
            <v/>
          </cell>
          <cell r="P3213">
            <v>0</v>
          </cell>
          <cell r="Q3213">
            <v>0.57769168939101601</v>
          </cell>
          <cell r="R3213">
            <v>0.57769168939101601</v>
          </cell>
          <cell r="S3213" t="e">
            <v>#VALUE!</v>
          </cell>
          <cell r="T3213" t="e">
            <v>#VALUE!</v>
          </cell>
        </row>
        <row r="3214">
          <cell r="A3214" t="str">
            <v>GRGL22000373</v>
          </cell>
          <cell r="B3214" t="str">
            <v>MKP000631001453</v>
          </cell>
          <cell r="C3214" t="str">
            <v/>
          </cell>
          <cell r="D3214" t="str">
            <v>Armário de Cozinha Completa 220cm Branco/Preto Parma Madesa 03</v>
          </cell>
          <cell r="E3214" t="str">
            <v>PARMA/GLAMY</v>
          </cell>
          <cell r="F3214" t="str">
            <v>COZINHA</v>
          </cell>
          <cell r="G3214" t="str">
            <v/>
          </cell>
          <cell r="H3214">
            <v>1899.99</v>
          </cell>
          <cell r="I3214">
            <v>1799.99</v>
          </cell>
          <cell r="J3214">
            <v>1541.2927</v>
          </cell>
          <cell r="K3214">
            <v>0</v>
          </cell>
          <cell r="L3214">
            <v>1541.2927</v>
          </cell>
          <cell r="M3214">
            <v>0</v>
          </cell>
          <cell r="N3214">
            <v>1799.99</v>
          </cell>
          <cell r="O3214" t="str">
            <v/>
          </cell>
          <cell r="P3214">
            <v>0</v>
          </cell>
          <cell r="Q3214">
            <v>0.16784436856153301</v>
          </cell>
          <cell r="R3214">
            <v>0.16784436856153301</v>
          </cell>
          <cell r="S3214" t="e">
            <v>#VALUE!</v>
          </cell>
          <cell r="T3214" t="e">
            <v>#VALUE!</v>
          </cell>
        </row>
        <row r="3215">
          <cell r="A3215" t="str">
            <v>GRGL1800089B</v>
          </cell>
          <cell r="B3215" t="str">
            <v>MKP000631004618</v>
          </cell>
          <cell r="C3215" t="str">
            <v/>
          </cell>
          <cell r="D3215" t="str">
            <v>Armário de Cozinha Compacta 180cm Branco Rustic Glamy Madesa 08</v>
          </cell>
          <cell r="E3215" t="str">
            <v>GLAMY</v>
          </cell>
          <cell r="F3215" t="str">
            <v>COZINHA</v>
          </cell>
          <cell r="G3215" t="str">
            <v/>
          </cell>
          <cell r="H3215">
            <v>1599.99</v>
          </cell>
          <cell r="I3215">
            <v>1499.99</v>
          </cell>
          <cell r="J3215">
            <v>1270.7982999999999</v>
          </cell>
          <cell r="K3215">
            <v>0</v>
          </cell>
          <cell r="L3215">
            <v>1270.7982999999999</v>
          </cell>
          <cell r="M3215">
            <v>0</v>
          </cell>
          <cell r="N3215">
            <v>1499.99</v>
          </cell>
          <cell r="O3215" t="str">
            <v/>
          </cell>
          <cell r="P3215">
            <v>0</v>
          </cell>
          <cell r="Q3215">
            <v>0.18035253902999401</v>
          </cell>
          <cell r="R3215">
            <v>0.18035253902999401</v>
          </cell>
          <cell r="S3215" t="e">
            <v>#VALUE!</v>
          </cell>
          <cell r="T3215" t="e">
            <v>#VALUE!</v>
          </cell>
        </row>
        <row r="3216">
          <cell r="A3216" t="str">
            <v>GRGL2900099Y</v>
          </cell>
          <cell r="B3216" t="str">
            <v>MKP000631001210</v>
          </cell>
          <cell r="C3216" t="str">
            <v/>
          </cell>
          <cell r="D3216" t="str">
            <v>Armário de Cozinha Completa 290cm Rustic/Rustic/Crema Cristal Madesa 09</v>
          </cell>
          <cell r="E3216" t="str">
            <v>CRISTAL/GLAMY</v>
          </cell>
          <cell r="F3216" t="str">
            <v>COZINHA</v>
          </cell>
          <cell r="G3216" t="str">
            <v/>
          </cell>
          <cell r="H3216">
            <v>2199.9899999999998</v>
          </cell>
          <cell r="I3216">
            <v>2099.9899999999998</v>
          </cell>
          <cell r="J3216">
            <v>1760.9930999999999</v>
          </cell>
          <cell r="K3216">
            <v>0</v>
          </cell>
          <cell r="L3216">
            <v>1760.9930999999999</v>
          </cell>
          <cell r="M3216">
            <v>0</v>
          </cell>
          <cell r="N3216">
            <v>2099.9899999999998</v>
          </cell>
          <cell r="O3216" t="str">
            <v/>
          </cell>
          <cell r="P3216">
            <v>0</v>
          </cell>
          <cell r="Q3216">
            <v>0.19250325285204101</v>
          </cell>
          <cell r="R3216">
            <v>0.19250325285204101</v>
          </cell>
          <cell r="S3216" t="e">
            <v>#VALUE!</v>
          </cell>
          <cell r="T3216" t="e">
            <v>#VALUE!</v>
          </cell>
        </row>
        <row r="3217">
          <cell r="A3217" t="str">
            <v>MDJA0401765ZSIM</v>
          </cell>
          <cell r="B3217" t="str">
            <v>MKP000631005878</v>
          </cell>
          <cell r="C3217" t="str">
            <v/>
          </cell>
          <cell r="D3217" t="str">
            <v>Conjunto Sala de Jantar Mesa Tampo de Madeira 4 Cadeiras Rustic/Imperial Gisele Madesa</v>
          </cell>
          <cell r="E3217" t="str">
            <v>GISELE</v>
          </cell>
          <cell r="F3217" t="str">
            <v>SALA DE JANTAR</v>
          </cell>
          <cell r="G3217">
            <v>4256</v>
          </cell>
          <cell r="H3217">
            <v>1099.99</v>
          </cell>
          <cell r="I3217">
            <v>999.99</v>
          </cell>
          <cell r="J3217">
            <v>806.1422</v>
          </cell>
          <cell r="K3217">
            <v>0</v>
          </cell>
          <cell r="L3217">
            <v>806.1422</v>
          </cell>
          <cell r="M3217">
            <v>0</v>
          </cell>
          <cell r="N3217">
            <v>999.99</v>
          </cell>
          <cell r="O3217" t="str">
            <v/>
          </cell>
          <cell r="P3217">
            <v>0</v>
          </cell>
          <cell r="Q3217">
            <v>0.240463531123913</v>
          </cell>
          <cell r="R3217">
            <v>0.240463531123913</v>
          </cell>
          <cell r="S3217" t="e">
            <v>#VALUE!</v>
          </cell>
          <cell r="T3217" t="e">
            <v>#VALUE!</v>
          </cell>
        </row>
        <row r="3218">
          <cell r="A3218" t="str">
            <v>GREM3250055Z</v>
          </cell>
          <cell r="B3218" t="str">
            <v>MKP000631005140</v>
          </cell>
          <cell r="C3218" t="str">
            <v/>
          </cell>
          <cell r="D3218" t="str">
            <v>Armário de Cozinha Completa 325cm Rustic Emilly Madesa 05</v>
          </cell>
          <cell r="E3218" t="str">
            <v>EMILLY</v>
          </cell>
          <cell r="F3218" t="str">
            <v>COZINHA</v>
          </cell>
          <cell r="G3218" t="str">
            <v/>
          </cell>
          <cell r="H3218">
            <v>1779.99</v>
          </cell>
          <cell r="I3218">
            <v>1679.99</v>
          </cell>
          <cell r="J3218">
            <v>1354.1288</v>
          </cell>
          <cell r="K3218">
            <v>0</v>
          </cell>
          <cell r="L3218">
            <v>1354.1288</v>
          </cell>
          <cell r="M3218">
            <v>0</v>
          </cell>
          <cell r="N3218">
            <v>1679.99</v>
          </cell>
          <cell r="O3218" t="str">
            <v/>
          </cell>
          <cell r="P3218">
            <v>0</v>
          </cell>
          <cell r="Q3218">
            <v>0.24064269218703599</v>
          </cell>
          <cell r="R3218">
            <v>0.24064269218703599</v>
          </cell>
          <cell r="S3218" t="e">
            <v>#VALUE!</v>
          </cell>
          <cell r="T3218" t="e">
            <v>#VALUE!</v>
          </cell>
        </row>
        <row r="3219">
          <cell r="A3219" t="str">
            <v>GRGL27001573</v>
          </cell>
          <cell r="B3219" t="str">
            <v>MKP000631005669</v>
          </cell>
          <cell r="C3219" t="str">
            <v/>
          </cell>
          <cell r="D3219" t="str">
            <v>Armário de Cozinha Completa 270cm Branco/Preto Glamy Madesa 15</v>
          </cell>
          <cell r="E3219" t="str">
            <v>GLAMY</v>
          </cell>
          <cell r="F3219" t="str">
            <v>COZINHA</v>
          </cell>
          <cell r="G3219" t="str">
            <v/>
          </cell>
          <cell r="H3219">
            <v>1899.99</v>
          </cell>
          <cell r="I3219">
            <v>1799.99</v>
          </cell>
          <cell r="J3219">
            <v>1486.2585999999999</v>
          </cell>
          <cell r="K3219">
            <v>0</v>
          </cell>
          <cell r="L3219">
            <v>1486.2585999999999</v>
          </cell>
          <cell r="M3219">
            <v>0</v>
          </cell>
          <cell r="N3219">
            <v>1799.99</v>
          </cell>
          <cell r="O3219" t="str">
            <v/>
          </cell>
          <cell r="P3219">
            <v>0</v>
          </cell>
          <cell r="Q3219">
            <v>0.211088030037303</v>
          </cell>
          <cell r="R3219">
            <v>0.211088030037303</v>
          </cell>
          <cell r="S3219" t="e">
            <v>#VALUE!</v>
          </cell>
          <cell r="T3219" t="e">
            <v>#VALUE!</v>
          </cell>
        </row>
        <row r="3220">
          <cell r="A3220" t="str">
            <v>GREM1650027K</v>
          </cell>
          <cell r="B3220" t="str">
            <v>MKP000631005805</v>
          </cell>
          <cell r="C3220" t="str">
            <v/>
          </cell>
          <cell r="D3220" t="str">
            <v>Armário de Cozinha Compacta 165cm Rustic/Preto Emilly Madesa 02</v>
          </cell>
          <cell r="E3220" t="str">
            <v>EMILLY</v>
          </cell>
          <cell r="F3220" t="str">
            <v>COZINHA</v>
          </cell>
          <cell r="G3220" t="str">
            <v/>
          </cell>
          <cell r="H3220">
            <v>699.99</v>
          </cell>
          <cell r="I3220">
            <v>699.99</v>
          </cell>
          <cell r="J3220">
            <v>550.62440000000004</v>
          </cell>
          <cell r="K3220">
            <v>0</v>
          </cell>
          <cell r="L3220">
            <v>550.62440000000004</v>
          </cell>
          <cell r="M3220">
            <v>0</v>
          </cell>
          <cell r="N3220">
            <v>699.99</v>
          </cell>
          <cell r="O3220" t="str">
            <v/>
          </cell>
          <cell r="P3220">
            <v>0</v>
          </cell>
          <cell r="Q3220">
            <v>0.27126585745201298</v>
          </cell>
          <cell r="R3220">
            <v>0.27126585745201298</v>
          </cell>
          <cell r="S3220" t="e">
            <v>#VALUE!</v>
          </cell>
          <cell r="T3220" t="e">
            <v>#VALUE!</v>
          </cell>
        </row>
        <row r="3221">
          <cell r="A3221" t="str">
            <v>MDES0200209B5Z</v>
          </cell>
          <cell r="B3221" t="str">
            <v>MKP000631002787</v>
          </cell>
          <cell r="C3221" t="str">
            <v/>
          </cell>
          <cell r="D3221" t="str">
            <v>Rack Madesa Cancun com Pés e Painel para TV até 65 Polegadas Branco/Rustic 9B5Z</v>
          </cell>
          <cell r="E3221" t="str">
            <v>CANCUN</v>
          </cell>
          <cell r="F3221" t="str">
            <v>SALA DE ESTAR</v>
          </cell>
          <cell r="G3221" t="str">
            <v/>
          </cell>
          <cell r="H3221">
            <v>699.99</v>
          </cell>
          <cell r="I3221">
            <v>599.99</v>
          </cell>
          <cell r="J3221">
            <v>470.45490000000001</v>
          </cell>
          <cell r="K3221">
            <v>0</v>
          </cell>
          <cell r="L3221">
            <v>470.45490000000001</v>
          </cell>
          <cell r="M3221">
            <v>0</v>
          </cell>
          <cell r="N3221">
            <v>599.99</v>
          </cell>
          <cell r="O3221" t="str">
            <v/>
          </cell>
          <cell r="P3221">
            <v>0</v>
          </cell>
          <cell r="Q3221">
            <v>0.27534010167605799</v>
          </cell>
          <cell r="R3221">
            <v>0.27534010167605799</v>
          </cell>
          <cell r="S3221" t="e">
            <v>#VALUE!</v>
          </cell>
          <cell r="T3221" t="e">
            <v>#VALUE!</v>
          </cell>
        </row>
        <row r="3222">
          <cell r="A3222" t="str">
            <v>MDJA040157F9LIB</v>
          </cell>
          <cell r="B3222" t="str">
            <v>MKP000631005548</v>
          </cell>
          <cell r="C3222" t="str">
            <v/>
          </cell>
          <cell r="D3222" t="str">
            <v>Conjunto Sala de Jantar Mesa Tampo de Madeira 4 Cadeiras Rustic/Cinza/Lírio Bege Samara Madesa</v>
          </cell>
          <cell r="E3222" t="str">
            <v>SAMARA</v>
          </cell>
          <cell r="F3222" t="str">
            <v>SALA DE JANTAR</v>
          </cell>
          <cell r="G3222" t="str">
            <v>4290X</v>
          </cell>
          <cell r="H3222">
            <v>619.99</v>
          </cell>
          <cell r="I3222">
            <v>519.99</v>
          </cell>
          <cell r="J3222">
            <v>400.13900000000001</v>
          </cell>
          <cell r="K3222">
            <v>0</v>
          </cell>
          <cell r="L3222">
            <v>400.13900000000001</v>
          </cell>
          <cell r="M3222">
            <v>0</v>
          </cell>
          <cell r="N3222">
            <v>519.99</v>
          </cell>
          <cell r="O3222" t="str">
            <v/>
          </cell>
          <cell r="P3222">
            <v>0</v>
          </cell>
          <cell r="Q3222">
            <v>0.299523415613074</v>
          </cell>
          <cell r="R3222">
            <v>0.299523415613074</v>
          </cell>
          <cell r="S3222" t="e">
            <v>#VALUE!</v>
          </cell>
          <cell r="T3222" t="e">
            <v>#VALUE!</v>
          </cell>
        </row>
        <row r="3223">
          <cell r="A3223" t="str">
            <v>G243509BTE</v>
          </cell>
          <cell r="B3223" t="str">
            <v>MKP000631002117</v>
          </cell>
          <cell r="C3223" t="str">
            <v/>
          </cell>
          <cell r="D3223" t="str">
            <v>Balcão Madesa Stella 35 cm 1 Porta Branco/Rustic</v>
          </cell>
          <cell r="E3223" t="str">
            <v>STELLA</v>
          </cell>
          <cell r="F3223" t="str">
            <v>MODULAÇÃO</v>
          </cell>
          <cell r="G3223" t="str">
            <v/>
          </cell>
          <cell r="H3223">
            <v>489.99</v>
          </cell>
          <cell r="I3223">
            <v>339.99</v>
          </cell>
          <cell r="J3223">
            <v>217.48769999999999</v>
          </cell>
          <cell r="K3223">
            <v>0</v>
          </cell>
          <cell r="L3223">
            <v>217.48769999999999</v>
          </cell>
          <cell r="M3223">
            <v>0</v>
          </cell>
          <cell r="N3223">
            <v>339.99</v>
          </cell>
          <cell r="O3223" t="str">
            <v/>
          </cell>
          <cell r="P3223">
            <v>0</v>
          </cell>
          <cell r="Q3223">
            <v>0.56326081888768897</v>
          </cell>
          <cell r="R3223">
            <v>0.56326081888768897</v>
          </cell>
          <cell r="S3223" t="e">
            <v>#VALUE!</v>
          </cell>
          <cell r="T3223" t="e">
            <v>#VALUE!</v>
          </cell>
        </row>
        <row r="3224">
          <cell r="A3224" t="str">
            <v>G256025LSM</v>
          </cell>
          <cell r="B3224" t="str">
            <v>MKP000631005739</v>
          </cell>
          <cell r="C3224" t="str">
            <v/>
          </cell>
          <cell r="D3224" t="str">
            <v>Armário Aéreo 100% MDF 60 cm 1 Porta Basculante Branco/Crema Smart Madesa</v>
          </cell>
          <cell r="E3224" t="str">
            <v>SMART</v>
          </cell>
          <cell r="F3224" t="str">
            <v>MODULAÇÃO</v>
          </cell>
          <cell r="G3224" t="str">
            <v/>
          </cell>
          <cell r="H3224">
            <v>189.99</v>
          </cell>
          <cell r="I3224">
            <v>179.99</v>
          </cell>
          <cell r="J3224">
            <v>114.6789</v>
          </cell>
          <cell r="K3224">
            <v>0</v>
          </cell>
          <cell r="L3224">
            <v>114.6789</v>
          </cell>
          <cell r="M3224">
            <v>0</v>
          </cell>
          <cell r="N3224">
            <v>179.99</v>
          </cell>
          <cell r="O3224" t="str">
            <v/>
          </cell>
          <cell r="P3224">
            <v>0</v>
          </cell>
          <cell r="Q3224">
            <v>0.56951278744389799</v>
          </cell>
          <cell r="R3224">
            <v>0.56951278744389799</v>
          </cell>
          <cell r="S3224" t="e">
            <v>#VALUE!</v>
          </cell>
          <cell r="T3224" t="e">
            <v>#VALUE!</v>
          </cell>
        </row>
        <row r="3225">
          <cell r="A3225" t="str">
            <v>G254009BGL</v>
          </cell>
          <cell r="B3225" t="str">
            <v>MKP000631000492</v>
          </cell>
          <cell r="C3225" t="str">
            <v/>
          </cell>
          <cell r="D3225" t="str">
            <v>Armário Aéreo Madesa Glamy 40 cm 1 Porta Branco/Rustic</v>
          </cell>
          <cell r="E3225" t="str">
            <v>GLAMY</v>
          </cell>
          <cell r="F3225" t="str">
            <v>MODULAÇÃO</v>
          </cell>
          <cell r="G3225" t="str">
            <v/>
          </cell>
          <cell r="H3225">
            <v>419.99</v>
          </cell>
          <cell r="I3225">
            <v>289.99</v>
          </cell>
          <cell r="J3225">
            <v>170.5959</v>
          </cell>
          <cell r="K3225">
            <v>0</v>
          </cell>
          <cell r="L3225">
            <v>170.5959</v>
          </cell>
          <cell r="M3225">
            <v>0</v>
          </cell>
          <cell r="N3225">
            <v>289.99</v>
          </cell>
          <cell r="O3225" t="str">
            <v/>
          </cell>
          <cell r="P3225">
            <v>0</v>
          </cell>
          <cell r="Q3225">
            <v>0.69986500261729601</v>
          </cell>
          <cell r="R3225">
            <v>0.69986500261729601</v>
          </cell>
          <cell r="S3225" t="e">
            <v>#VALUE!</v>
          </cell>
          <cell r="T3225" t="e">
            <v>#VALUE!</v>
          </cell>
        </row>
        <row r="3226">
          <cell r="A3226" t="str">
            <v>G258049BTE</v>
          </cell>
          <cell r="B3226" t="str">
            <v>MKP000631002112</v>
          </cell>
          <cell r="C3226" t="str">
            <v/>
          </cell>
          <cell r="D3226" t="str">
            <v>Armário Aéreo Madesa Stella 80 cm 1 Porta Basculante Branco/Rustic</v>
          </cell>
          <cell r="E3226" t="str">
            <v>STELLA</v>
          </cell>
          <cell r="F3226" t="str">
            <v>MODULAÇÃO</v>
          </cell>
          <cell r="G3226" t="str">
            <v/>
          </cell>
          <cell r="H3226">
            <v>369.99</v>
          </cell>
          <cell r="I3226">
            <v>279.99</v>
          </cell>
          <cell r="J3226">
            <v>165.22219999999999</v>
          </cell>
          <cell r="K3226">
            <v>0</v>
          </cell>
          <cell r="L3226">
            <v>165.22219999999999</v>
          </cell>
          <cell r="M3226">
            <v>0</v>
          </cell>
          <cell r="N3226">
            <v>279.99</v>
          </cell>
          <cell r="O3226" t="str">
            <v/>
          </cell>
          <cell r="P3226">
            <v>0</v>
          </cell>
          <cell r="Q3226">
            <v>0.69462699322488097</v>
          </cell>
          <cell r="R3226">
            <v>0.69462699322488097</v>
          </cell>
          <cell r="S3226" t="e">
            <v>#VALUE!</v>
          </cell>
          <cell r="T3226" t="e">
            <v>#VALUE!</v>
          </cell>
        </row>
        <row r="3227">
          <cell r="A3227" t="str">
            <v>G2475009AG</v>
          </cell>
          <cell r="B3227" t="str">
            <v>MKP000631004445</v>
          </cell>
          <cell r="C3227" t="str">
            <v/>
          </cell>
          <cell r="D3227" t="str">
            <v>Balcão de Canto Madesa Agata 1 Porta Branco</v>
          </cell>
          <cell r="E3227" t="str">
            <v>ÁGATA</v>
          </cell>
          <cell r="F3227" t="str">
            <v>MODULAÇÃO</v>
          </cell>
          <cell r="G3227" t="str">
            <v/>
          </cell>
          <cell r="H3227">
            <v>729.99</v>
          </cell>
          <cell r="I3227">
            <v>539.99</v>
          </cell>
          <cell r="J3227">
            <v>314.9228</v>
          </cell>
          <cell r="K3227">
            <v>0</v>
          </cell>
          <cell r="L3227">
            <v>314.9228</v>
          </cell>
          <cell r="M3227">
            <v>0</v>
          </cell>
          <cell r="N3227">
            <v>539.99</v>
          </cell>
          <cell r="O3227" t="str">
            <v/>
          </cell>
          <cell r="P3227">
            <v>0</v>
          </cell>
          <cell r="Q3227">
            <v>0.71467419951810396</v>
          </cell>
          <cell r="R3227">
            <v>0.71467419951810396</v>
          </cell>
          <cell r="S3227" t="e">
            <v>#VALUE!</v>
          </cell>
          <cell r="T3227" t="e">
            <v>#VALUE!</v>
          </cell>
        </row>
        <row r="3228">
          <cell r="A3228" t="str">
            <v>G22124H7LX</v>
          </cell>
          <cell r="B3228" t="str">
            <v>MKP000631004685</v>
          </cell>
          <cell r="C3228" t="str">
            <v/>
          </cell>
          <cell r="D3228" t="str">
            <v>Balcão Gabinete de Pia Madesa Lux 120 cm 2 Portas 3 Gavetas (Sem Tampo) Branco/Branco Veludo</v>
          </cell>
          <cell r="E3228" t="str">
            <v>LUX</v>
          </cell>
          <cell r="F3228" t="str">
            <v>MODULAÇÃO</v>
          </cell>
          <cell r="G3228" t="str">
            <v/>
          </cell>
          <cell r="H3228">
            <v>1519.99</v>
          </cell>
          <cell r="I3228">
            <v>1079.99</v>
          </cell>
          <cell r="J3228">
            <v>613.9425</v>
          </cell>
          <cell r="K3228">
            <v>0</v>
          </cell>
          <cell r="L3228">
            <v>613.9425</v>
          </cell>
          <cell r="M3228">
            <v>0</v>
          </cell>
          <cell r="N3228">
            <v>1079.99</v>
          </cell>
          <cell r="O3228" t="str">
            <v>LOJA</v>
          </cell>
          <cell r="P3228">
            <v>1069.99</v>
          </cell>
          <cell r="Q3228">
            <v>0.75910610521343602</v>
          </cell>
          <cell r="R3228">
            <v>0.75910610521343602</v>
          </cell>
          <cell r="S3228" t="e">
            <v>#VALUE!</v>
          </cell>
          <cell r="T3228" t="e">
            <v>#VALUE!</v>
          </cell>
        </row>
        <row r="3229">
          <cell r="A3229" t="str">
            <v>G223507KLX</v>
          </cell>
          <cell r="B3229" t="str">
            <v>MKP000631002759</v>
          </cell>
          <cell r="C3229" t="str">
            <v/>
          </cell>
          <cell r="D3229" t="str">
            <v>Balcão Madesa Lux 35 cm 1 Porta (Sem Tampo) Rustic/Preto</v>
          </cell>
          <cell r="E3229" t="str">
            <v>LUX</v>
          </cell>
          <cell r="F3229" t="str">
            <v>MODULAÇÃO</v>
          </cell>
          <cell r="G3229" t="str">
            <v/>
          </cell>
          <cell r="H3229">
            <v>739.99</v>
          </cell>
          <cell r="I3229">
            <v>549.99</v>
          </cell>
          <cell r="J3229">
            <v>286.87709999999998</v>
          </cell>
          <cell r="K3229">
            <v>0</v>
          </cell>
          <cell r="L3229">
            <v>286.87709999999998</v>
          </cell>
          <cell r="M3229">
            <v>0</v>
          </cell>
          <cell r="N3229">
            <v>549.99</v>
          </cell>
          <cell r="O3229" t="str">
            <v>LOJA</v>
          </cell>
          <cell r="P3229">
            <v>539.99</v>
          </cell>
          <cell r="Q3229">
            <v>0.91716243645798101</v>
          </cell>
          <cell r="R3229">
            <v>0.91716243645798101</v>
          </cell>
          <cell r="S3229" t="e">
            <v>#VALUE!</v>
          </cell>
          <cell r="T3229" t="e">
            <v>#VALUE!</v>
          </cell>
        </row>
        <row r="3230">
          <cell r="A3230" t="str">
            <v>G272006SPR</v>
          </cell>
          <cell r="B3230" t="str">
            <v>MKP000631003269</v>
          </cell>
          <cell r="C3230" t="str">
            <v/>
          </cell>
          <cell r="D3230" t="str">
            <v>Tampo para Balcão de 20 x 60 cm para Cozinhas Madesa Glamy, Lux e Stella Mood</v>
          </cell>
          <cell r="E3230" t="str">
            <v>PR</v>
          </cell>
          <cell r="F3230" t="str">
            <v>MODULAÇÃO</v>
          </cell>
          <cell r="G3230" t="str">
            <v/>
          </cell>
          <cell r="H3230">
            <v>259.99</v>
          </cell>
          <cell r="I3230">
            <v>99.99</v>
          </cell>
          <cell r="J3230">
            <v>51.295400000000001</v>
          </cell>
          <cell r="K3230">
            <v>0</v>
          </cell>
          <cell r="L3230">
            <v>51.295400000000001</v>
          </cell>
          <cell r="M3230">
            <v>0</v>
          </cell>
          <cell r="N3230">
            <v>99.99</v>
          </cell>
          <cell r="O3230" t="str">
            <v/>
          </cell>
          <cell r="P3230">
            <v>0</v>
          </cell>
          <cell r="Q3230">
            <v>0.949297597835283</v>
          </cell>
          <cell r="R3230">
            <v>0.949297597835283</v>
          </cell>
          <cell r="S3230" t="e">
            <v>#VALUE!</v>
          </cell>
          <cell r="T3230" t="e">
            <v>#VALUE!</v>
          </cell>
        </row>
        <row r="3231">
          <cell r="A3231" t="str">
            <v>G22350H7LX</v>
          </cell>
          <cell r="B3231" t="str">
            <v>MKP000631004684</v>
          </cell>
          <cell r="C3231" t="str">
            <v/>
          </cell>
          <cell r="D3231" t="str">
            <v>Balcão Madesa Lux 35 cm 1 Porta (Sem Tampo) Branco/Branco Veludo</v>
          </cell>
          <cell r="E3231" t="str">
            <v>LUX</v>
          </cell>
          <cell r="F3231" t="str">
            <v>MODULAÇÃO</v>
          </cell>
          <cell r="G3231" t="str">
            <v/>
          </cell>
          <cell r="H3231">
            <v>559.99</v>
          </cell>
          <cell r="I3231">
            <v>449.99</v>
          </cell>
          <cell r="J3231">
            <v>220.5942</v>
          </cell>
          <cell r="K3231">
            <v>0</v>
          </cell>
          <cell r="L3231">
            <v>220.5942</v>
          </cell>
          <cell r="M3231">
            <v>0</v>
          </cell>
          <cell r="N3231">
            <v>449.99</v>
          </cell>
          <cell r="O3231" t="str">
            <v>LOJA</v>
          </cell>
          <cell r="P3231">
            <v>439.99</v>
          </cell>
          <cell r="Q3231">
            <v>1.0398995077839801</v>
          </cell>
          <cell r="R3231">
            <v>1.0398995077839801</v>
          </cell>
          <cell r="S3231" t="e">
            <v>#VALUE!</v>
          </cell>
          <cell r="T3231" t="e">
            <v>#VALUE!</v>
          </cell>
        </row>
        <row r="3232">
          <cell r="A3232" t="str">
            <v>GRGL290009C5</v>
          </cell>
          <cell r="B3232" t="str">
            <v>MKP000631001207</v>
          </cell>
          <cell r="C3232" t="str">
            <v/>
          </cell>
          <cell r="D3232" t="str">
            <v>Armário de Cozinha Completa 290cm Branco/Preto/Crema Cristal Madesa 09</v>
          </cell>
          <cell r="E3232" t="str">
            <v>CRISTAL/GLAMY</v>
          </cell>
          <cell r="F3232" t="str">
            <v>COZINHA</v>
          </cell>
          <cell r="G3232" t="str">
            <v/>
          </cell>
          <cell r="H3232">
            <v>2199.9899999999998</v>
          </cell>
          <cell r="I3232">
            <v>2099.9899999999998</v>
          </cell>
          <cell r="J3232">
            <v>1760.9930999999999</v>
          </cell>
          <cell r="K3232">
            <v>0</v>
          </cell>
          <cell r="L3232">
            <v>1760.9930999999999</v>
          </cell>
          <cell r="M3232">
            <v>0</v>
          </cell>
          <cell r="N3232">
            <v>2099.9899999999998</v>
          </cell>
          <cell r="O3232" t="str">
            <v/>
          </cell>
          <cell r="P3232">
            <v>0</v>
          </cell>
          <cell r="Q3232">
            <v>0.19250325285204101</v>
          </cell>
          <cell r="R3232">
            <v>0.19250325285204101</v>
          </cell>
          <cell r="S3232" t="e">
            <v>#VALUE!</v>
          </cell>
          <cell r="T3232" t="e">
            <v>#VALUE!</v>
          </cell>
        </row>
        <row r="3233">
          <cell r="A3233" t="str">
            <v>GCGL39900273</v>
          </cell>
          <cell r="B3233" t="str">
            <v>MKP000631004391</v>
          </cell>
          <cell r="C3233" t="str">
            <v/>
          </cell>
          <cell r="D3233" t="str">
            <v>Armário de Cozinha Completa de Canto 399cm Branco Preto Glamy Madesa 02</v>
          </cell>
          <cell r="E3233" t="str">
            <v>GLAMY</v>
          </cell>
          <cell r="F3233" t="str">
            <v>COZINHA</v>
          </cell>
          <cell r="G3233" t="str">
            <v/>
          </cell>
          <cell r="H3233">
            <v>2999.99</v>
          </cell>
          <cell r="I3233">
            <v>2899.99</v>
          </cell>
          <cell r="J3233">
            <v>2430.6781999999998</v>
          </cell>
          <cell r="K3233">
            <v>0</v>
          </cell>
          <cell r="L3233">
            <v>2430.6781999999998</v>
          </cell>
          <cell r="M3233">
            <v>0</v>
          </cell>
          <cell r="N3233">
            <v>2899.99</v>
          </cell>
          <cell r="O3233" t="str">
            <v/>
          </cell>
          <cell r="P3233">
            <v>0</v>
          </cell>
          <cell r="Q3233">
            <v>0.193078540795733</v>
          </cell>
          <cell r="R3233">
            <v>0.193078540795733</v>
          </cell>
          <cell r="S3233" t="e">
            <v>#VALUE!</v>
          </cell>
          <cell r="T3233" t="e">
            <v>#VALUE!</v>
          </cell>
        </row>
        <row r="3234">
          <cell r="A3234" t="str">
            <v>GRGL2400035Z</v>
          </cell>
          <cell r="B3234" t="str">
            <v>MKP000631004375</v>
          </cell>
          <cell r="C3234" t="str">
            <v/>
          </cell>
          <cell r="D3234" t="str">
            <v>Armário de Cozinha Completa 240cm Rustic Glamy Madesa 03</v>
          </cell>
          <cell r="E3234" t="str">
            <v>GLAMY</v>
          </cell>
          <cell r="F3234" t="str">
            <v>COZINHA</v>
          </cell>
          <cell r="G3234" t="str">
            <v/>
          </cell>
          <cell r="H3234">
            <v>2199.9899999999998</v>
          </cell>
          <cell r="I3234">
            <v>2099.9899999999998</v>
          </cell>
          <cell r="J3234">
            <v>1751.9460999999999</v>
          </cell>
          <cell r="K3234">
            <v>0</v>
          </cell>
          <cell r="L3234">
            <v>1751.9460999999999</v>
          </cell>
          <cell r="M3234">
            <v>0</v>
          </cell>
          <cell r="N3234">
            <v>2099.9899999999998</v>
          </cell>
          <cell r="O3234" t="str">
            <v/>
          </cell>
          <cell r="P3234">
            <v>0</v>
          </cell>
          <cell r="Q3234">
            <v>0.198661305847252</v>
          </cell>
          <cell r="R3234">
            <v>0.198661305847252</v>
          </cell>
          <cell r="S3234" t="e">
            <v>#VALUE!</v>
          </cell>
          <cell r="T3234" t="e">
            <v>#VALUE!</v>
          </cell>
        </row>
        <row r="3235">
          <cell r="A3235" t="str">
            <v>GRGL29001209</v>
          </cell>
          <cell r="B3235" t="str">
            <v>MKP000631001223</v>
          </cell>
          <cell r="C3235" t="str">
            <v/>
          </cell>
          <cell r="D3235" t="str">
            <v>Armário de Cozinha Completa 290cm Branco Vicenza Madesa 12</v>
          </cell>
          <cell r="E3235" t="str">
            <v>VICENZA/GLAMY</v>
          </cell>
          <cell r="F3235" t="str">
            <v>COZINHA</v>
          </cell>
          <cell r="G3235" t="str">
            <v/>
          </cell>
          <cell r="H3235">
            <v>2699.99</v>
          </cell>
          <cell r="I3235">
            <v>2599.9899999999998</v>
          </cell>
          <cell r="J3235">
            <v>2167.4105</v>
          </cell>
          <cell r="K3235">
            <v>0</v>
          </cell>
          <cell r="L3235">
            <v>2167.4105</v>
          </cell>
          <cell r="M3235">
            <v>0</v>
          </cell>
          <cell r="N3235">
            <v>2599.9899999999998</v>
          </cell>
          <cell r="O3235" t="str">
            <v/>
          </cell>
          <cell r="P3235">
            <v>0</v>
          </cell>
          <cell r="Q3235">
            <v>0.19958355835223601</v>
          </cell>
          <cell r="R3235">
            <v>0.19958355835223601</v>
          </cell>
          <cell r="S3235" t="e">
            <v>#VALUE!</v>
          </cell>
          <cell r="T3235" t="e">
            <v>#VALUE!</v>
          </cell>
        </row>
        <row r="3236">
          <cell r="A3236" t="str">
            <v>GRGL2900145Z</v>
          </cell>
          <cell r="B3236" t="str">
            <v>MKP000631001264</v>
          </cell>
          <cell r="C3236" t="str">
            <v/>
          </cell>
          <cell r="D3236" t="str">
            <v>Armário de Cozinha Completa 290cm Rustic Safira Madesa 14</v>
          </cell>
          <cell r="E3236" t="str">
            <v>SAFIRA/GLAMY</v>
          </cell>
          <cell r="F3236" t="str">
            <v>COZINHA</v>
          </cell>
          <cell r="G3236" t="str">
            <v/>
          </cell>
          <cell r="H3236">
            <v>2999.99</v>
          </cell>
          <cell r="I3236">
            <v>2199.9899999999998</v>
          </cell>
          <cell r="J3236">
            <v>1834.2193</v>
          </cell>
          <cell r="K3236">
            <v>0</v>
          </cell>
          <cell r="L3236">
            <v>1834.2193</v>
          </cell>
          <cell r="M3236">
            <v>0</v>
          </cell>
          <cell r="N3236">
            <v>2199.9899999999998</v>
          </cell>
          <cell r="O3236" t="str">
            <v/>
          </cell>
          <cell r="P3236">
            <v>0</v>
          </cell>
          <cell r="Q3236">
            <v>0.199414922741245</v>
          </cell>
          <cell r="R3236">
            <v>0.199414922741245</v>
          </cell>
          <cell r="S3236" t="e">
            <v>#VALUE!</v>
          </cell>
          <cell r="T3236" t="e">
            <v>#VALUE!</v>
          </cell>
        </row>
        <row r="3237">
          <cell r="A3237" t="str">
            <v>GRGL2700089Y</v>
          </cell>
          <cell r="B3237" t="str">
            <v>MKP000631001219</v>
          </cell>
          <cell r="C3237" t="str">
            <v/>
          </cell>
          <cell r="D3237" t="str">
            <v>Armário de Cozinha Completa 270cm Rustic/Rustic/Crema Jade Madesa 08</v>
          </cell>
          <cell r="E3237" t="str">
            <v>JADE/GLAMY</v>
          </cell>
          <cell r="F3237" t="str">
            <v>COZINHA</v>
          </cell>
          <cell r="G3237" t="str">
            <v/>
          </cell>
          <cell r="H3237">
            <v>2799.99</v>
          </cell>
          <cell r="I3237">
            <v>2099.9899999999998</v>
          </cell>
          <cell r="J3237">
            <v>1744.8065999999999</v>
          </cell>
          <cell r="K3237">
            <v>0</v>
          </cell>
          <cell r="L3237">
            <v>1744.8065999999999</v>
          </cell>
          <cell r="M3237">
            <v>0</v>
          </cell>
          <cell r="N3237">
            <v>2099.9899999999998</v>
          </cell>
          <cell r="O3237" t="str">
            <v/>
          </cell>
          <cell r="P3237">
            <v>0</v>
          </cell>
          <cell r="Q3237">
            <v>0.2035660571206</v>
          </cell>
          <cell r="R3237">
            <v>0.2035660571206</v>
          </cell>
          <cell r="S3237" t="e">
            <v>#VALUE!</v>
          </cell>
          <cell r="T3237" t="e">
            <v>#VALUE!</v>
          </cell>
        </row>
        <row r="3238">
          <cell r="A3238" t="str">
            <v>GRGL24000973</v>
          </cell>
          <cell r="B3238" t="str">
            <v>MKP000631005209</v>
          </cell>
          <cell r="C3238" t="str">
            <v/>
          </cell>
          <cell r="D3238" t="str">
            <v>Armário de Cozinha Completa 240cm Branco/Preto Glamy Madesa 09</v>
          </cell>
          <cell r="E3238" t="str">
            <v>GLAMY</v>
          </cell>
          <cell r="F3238" t="str">
            <v>COZINHA</v>
          </cell>
          <cell r="G3238" t="str">
            <v/>
          </cell>
          <cell r="H3238">
            <v>1599.99</v>
          </cell>
          <cell r="I3238">
            <v>1599.99</v>
          </cell>
          <cell r="J3238">
            <v>1320.7529999999999</v>
          </cell>
          <cell r="K3238">
            <v>0</v>
          </cell>
          <cell r="L3238">
            <v>1320.7529999999999</v>
          </cell>
          <cell r="M3238">
            <v>0</v>
          </cell>
          <cell r="N3238">
            <v>1599.99</v>
          </cell>
          <cell r="O3238" t="str">
            <v/>
          </cell>
          <cell r="P3238">
            <v>0</v>
          </cell>
          <cell r="Q3238">
            <v>0.21142257484934701</v>
          </cell>
          <cell r="R3238">
            <v>0.21142257484934701</v>
          </cell>
          <cell r="S3238" t="e">
            <v>#VALUE!</v>
          </cell>
          <cell r="T3238" t="e">
            <v>#VALUE!</v>
          </cell>
        </row>
        <row r="3239">
          <cell r="A3239" t="str">
            <v>XAGRGL28000409</v>
          </cell>
          <cell r="B3239" t="str">
            <v>MKP000631001968</v>
          </cell>
          <cell r="C3239" t="str">
            <v/>
          </cell>
          <cell r="D3239" t="str">
            <v>Armário de Cozinha Completa 280cm Branco Genova Madesa 04</v>
          </cell>
          <cell r="E3239" t="str">
            <v>GENOVA/GLAMY</v>
          </cell>
          <cell r="F3239" t="str">
            <v>COZINHA</v>
          </cell>
          <cell r="G3239" t="str">
            <v/>
          </cell>
          <cell r="H3239">
            <v>2599.9899999999998</v>
          </cell>
          <cell r="I3239">
            <v>2499.9899999999998</v>
          </cell>
          <cell r="J3239">
            <v>2050.3009000000002</v>
          </cell>
          <cell r="K3239">
            <v>0</v>
          </cell>
          <cell r="L3239">
            <v>2050.3009000000002</v>
          </cell>
          <cell r="M3239">
            <v>0</v>
          </cell>
          <cell r="N3239">
            <v>2499.9899999999998</v>
          </cell>
          <cell r="O3239" t="str">
            <v/>
          </cell>
          <cell r="P3239">
            <v>0</v>
          </cell>
          <cell r="Q3239">
            <v>0.219328343464122</v>
          </cell>
          <cell r="R3239">
            <v>0.219328343464122</v>
          </cell>
          <cell r="S3239" t="e">
            <v>#VALUE!</v>
          </cell>
          <cell r="T3239" t="e">
            <v>#VALUE!</v>
          </cell>
        </row>
        <row r="3240">
          <cell r="A3240" t="str">
            <v>GRGL28000409SR</v>
          </cell>
          <cell r="B3240" t="str">
            <v>MKP000631001138</v>
          </cell>
          <cell r="C3240" t="str">
            <v/>
          </cell>
          <cell r="D3240" t="str">
            <v>Armário de Cozinha Completa 280cm Branco Genova Madesa 04SR</v>
          </cell>
          <cell r="E3240" t="str">
            <v>GENOVA/GLAMY</v>
          </cell>
          <cell r="F3240" t="str">
            <v>COZINHA</v>
          </cell>
          <cell r="G3240" t="str">
            <v/>
          </cell>
          <cell r="H3240">
            <v>2599.9899999999998</v>
          </cell>
          <cell r="I3240">
            <v>2499.9899999999998</v>
          </cell>
          <cell r="J3240">
            <v>2050.3009000000002</v>
          </cell>
          <cell r="K3240">
            <v>0</v>
          </cell>
          <cell r="L3240">
            <v>2050.3009000000002</v>
          </cell>
          <cell r="M3240">
            <v>0</v>
          </cell>
          <cell r="N3240">
            <v>2499.9899999999998</v>
          </cell>
          <cell r="O3240" t="str">
            <v/>
          </cell>
          <cell r="P3240">
            <v>0</v>
          </cell>
          <cell r="Q3240">
            <v>0.219328343464122</v>
          </cell>
          <cell r="R3240">
            <v>0.219328343464122</v>
          </cell>
          <cell r="S3240" t="e">
            <v>#VALUE!</v>
          </cell>
          <cell r="T3240" t="e">
            <v>#VALUE!</v>
          </cell>
        </row>
        <row r="3241">
          <cell r="A3241" t="str">
            <v>MDJA0401175ZFBM</v>
          </cell>
          <cell r="B3241" t="str">
            <v>MKP000631004178</v>
          </cell>
          <cell r="C3241" t="str">
            <v/>
          </cell>
          <cell r="D3241" t="str">
            <v>Conjunto Sala de Jantar Madesa Paula Mesa Tampo de Vidro Redondo 4 Cadeiras Rustic/Bege Marrom</v>
          </cell>
          <cell r="E3241" t="str">
            <v>PAULA</v>
          </cell>
          <cell r="F3241" t="str">
            <v>SALA DE JANTAR</v>
          </cell>
          <cell r="G3241" t="str">
            <v>4290X</v>
          </cell>
          <cell r="H3241">
            <v>869.99</v>
          </cell>
          <cell r="I3241">
            <v>769.99</v>
          </cell>
          <cell r="J3241">
            <v>616.90729999999996</v>
          </cell>
          <cell r="K3241">
            <v>0</v>
          </cell>
          <cell r="L3241">
            <v>616.90729999999996</v>
          </cell>
          <cell r="M3241">
            <v>0</v>
          </cell>
          <cell r="N3241">
            <v>769.99</v>
          </cell>
          <cell r="O3241" t="str">
            <v/>
          </cell>
          <cell r="P3241">
            <v>0</v>
          </cell>
          <cell r="Q3241">
            <v>0.24814538586267301</v>
          </cell>
          <cell r="R3241">
            <v>0.24814538586267301</v>
          </cell>
          <cell r="S3241" t="e">
            <v>#VALUE!</v>
          </cell>
          <cell r="T3241" t="e">
            <v>#VALUE!</v>
          </cell>
        </row>
        <row r="3242">
          <cell r="A3242" t="str">
            <v>GRAG3500016E</v>
          </cell>
          <cell r="B3242" t="str">
            <v>MKP000631004456</v>
          </cell>
          <cell r="C3242" t="str">
            <v/>
          </cell>
          <cell r="D3242" t="str">
            <v>Armário de Cozinha Completa 350cm Rustic/Branco Agata Madesa 01</v>
          </cell>
          <cell r="E3242" t="str">
            <v>ÁGATA</v>
          </cell>
          <cell r="F3242" t="str">
            <v>COZINHA</v>
          </cell>
          <cell r="G3242" t="str">
            <v/>
          </cell>
          <cell r="H3242">
            <v>2029.99</v>
          </cell>
          <cell r="I3242">
            <v>1999.99</v>
          </cell>
          <cell r="J3242">
            <v>1577.7422999999999</v>
          </cell>
          <cell r="K3242">
            <v>0</v>
          </cell>
          <cell r="L3242">
            <v>1577.7422999999999</v>
          </cell>
          <cell r="M3242">
            <v>0</v>
          </cell>
          <cell r="N3242">
            <v>1999.99</v>
          </cell>
          <cell r="O3242" t="str">
            <v/>
          </cell>
          <cell r="P3242">
            <v>0</v>
          </cell>
          <cell r="Q3242">
            <v>0.26762779954622501</v>
          </cell>
          <cell r="R3242">
            <v>0.26762779954622501</v>
          </cell>
          <cell r="S3242" t="e">
            <v>#VALUE!</v>
          </cell>
          <cell r="T3242" t="e">
            <v>#VALUE!</v>
          </cell>
        </row>
        <row r="3243">
          <cell r="A3243" t="str">
            <v>GRGL2200029Y</v>
          </cell>
          <cell r="B3243" t="str">
            <v>MKP000631001251</v>
          </cell>
          <cell r="C3243" t="str">
            <v/>
          </cell>
          <cell r="D3243" t="str">
            <v>Armário de Cozinha Completa 220cm Rustic/Rustic/Crema Parma Madesa 02</v>
          </cell>
          <cell r="E3243" t="str">
            <v>PARMA/GLAMY</v>
          </cell>
          <cell r="F3243" t="str">
            <v>COZINHA</v>
          </cell>
          <cell r="G3243" t="str">
            <v/>
          </cell>
          <cell r="H3243">
            <v>2599.9899999999998</v>
          </cell>
          <cell r="I3243">
            <v>1979.99</v>
          </cell>
          <cell r="J3243">
            <v>1558.7654</v>
          </cell>
          <cell r="K3243">
            <v>0</v>
          </cell>
          <cell r="L3243">
            <v>1558.7654</v>
          </cell>
          <cell r="M3243">
            <v>0</v>
          </cell>
          <cell r="N3243">
            <v>1979.99</v>
          </cell>
          <cell r="O3243" t="str">
            <v/>
          </cell>
          <cell r="P3243">
            <v>0</v>
          </cell>
          <cell r="Q3243">
            <v>0.27022963173290898</v>
          </cell>
          <cell r="R3243">
            <v>0.27022963173290898</v>
          </cell>
          <cell r="S3243" t="e">
            <v>#VALUE!</v>
          </cell>
          <cell r="T3243" t="e">
            <v>#VALUE!</v>
          </cell>
        </row>
        <row r="3244">
          <cell r="A3244" t="str">
            <v>MDES020014D8D8</v>
          </cell>
          <cell r="B3244" t="str">
            <v>MKP000631002889</v>
          </cell>
          <cell r="C3244" t="str">
            <v/>
          </cell>
          <cell r="D3244" t="str">
            <v>Rack Madesa Dubai e Painel para TV até 65 Polegadas com Pés Preto/Rustic D8D8</v>
          </cell>
          <cell r="E3244" t="str">
            <v>DUBAI</v>
          </cell>
          <cell r="F3244" t="str">
            <v>SALA DE ESTAR</v>
          </cell>
          <cell r="G3244" t="str">
            <v/>
          </cell>
          <cell r="H3244">
            <v>1149.99</v>
          </cell>
          <cell r="I3244">
            <v>599.99</v>
          </cell>
          <cell r="J3244">
            <v>442.649</v>
          </cell>
          <cell r="K3244">
            <v>0</v>
          </cell>
          <cell r="L3244">
            <v>442.649</v>
          </cell>
          <cell r="M3244">
            <v>0</v>
          </cell>
          <cell r="N3244">
            <v>599.99</v>
          </cell>
          <cell r="O3244" t="str">
            <v/>
          </cell>
          <cell r="P3244">
            <v>0</v>
          </cell>
          <cell r="Q3244">
            <v>0.35545319203251302</v>
          </cell>
          <cell r="R3244">
            <v>0.35545319203251302</v>
          </cell>
          <cell r="S3244" t="e">
            <v>#VALUE!</v>
          </cell>
          <cell r="T3244" t="e">
            <v>#VALUE!</v>
          </cell>
        </row>
        <row r="3245">
          <cell r="A3245" t="str">
            <v>G241249BTE</v>
          </cell>
          <cell r="B3245" t="str">
            <v>MKP000631002116</v>
          </cell>
          <cell r="C3245" t="str">
            <v/>
          </cell>
          <cell r="D3245" t="str">
            <v>Balcão Gabinete de Pia Madesa Stella 2 Portas e 3 Gavetas (Sem Tampo e Pia) Branco/Rustic</v>
          </cell>
          <cell r="E3245" t="str">
            <v>STELLA</v>
          </cell>
          <cell r="F3245" t="str">
            <v>MODULAÇÃO</v>
          </cell>
          <cell r="G3245" t="str">
            <v/>
          </cell>
          <cell r="H3245">
            <v>1239.99</v>
          </cell>
          <cell r="I3245">
            <v>719.99</v>
          </cell>
          <cell r="J3245">
            <v>553.34939999999995</v>
          </cell>
          <cell r="K3245">
            <v>0</v>
          </cell>
          <cell r="L3245">
            <v>553.34939999999995</v>
          </cell>
          <cell r="M3245">
            <v>0</v>
          </cell>
          <cell r="N3245">
            <v>719.99</v>
          </cell>
          <cell r="O3245" t="str">
            <v/>
          </cell>
          <cell r="P3245">
            <v>0</v>
          </cell>
          <cell r="Q3245">
            <v>0.30114896663843799</v>
          </cell>
          <cell r="R3245">
            <v>0.30114896663843799</v>
          </cell>
          <cell r="S3245" t="e">
            <v>#VALUE!</v>
          </cell>
          <cell r="T3245" t="e">
            <v>#VALUE!</v>
          </cell>
        </row>
        <row r="3246">
          <cell r="A3246" t="str">
            <v>MDJA0401877GBE</v>
          </cell>
          <cell r="B3246" t="str">
            <v>MKP000631006075</v>
          </cell>
          <cell r="C3246" t="str">
            <v/>
          </cell>
          <cell r="D3246" t="str">
            <v>Conjunto Sala de Jantar Mesa Tampo de Vidro 4 Cadeiras Rustic/Crema/Bege Eloá Madesa</v>
          </cell>
          <cell r="E3246" t="str">
            <v>ELOÁ</v>
          </cell>
          <cell r="F3246" t="str">
            <v>SALA DE JANTAR</v>
          </cell>
          <cell r="G3246" t="str">
            <v>4280X</v>
          </cell>
          <cell r="H3246">
            <v>939.99</v>
          </cell>
          <cell r="I3246">
            <v>839.99</v>
          </cell>
          <cell r="J3246">
            <v>643.31799999999998</v>
          </cell>
          <cell r="K3246">
            <v>0</v>
          </cell>
          <cell r="L3246">
            <v>643.31799999999998</v>
          </cell>
          <cell r="M3246">
            <v>0</v>
          </cell>
          <cell r="N3246">
            <v>839.99</v>
          </cell>
          <cell r="O3246" t="str">
            <v/>
          </cell>
          <cell r="P3246">
            <v>0</v>
          </cell>
          <cell r="Q3246">
            <v>0.30571505849362202</v>
          </cell>
          <cell r="R3246">
            <v>0.30571505849362202</v>
          </cell>
          <cell r="S3246" t="e">
            <v>#VALUE!</v>
          </cell>
          <cell r="T3246" t="e">
            <v>#VALUE!</v>
          </cell>
        </row>
        <row r="3247">
          <cell r="A3247" t="str">
            <v>MDES0200238N5Z</v>
          </cell>
          <cell r="B3247" t="str">
            <v>MKP000631001647</v>
          </cell>
          <cell r="C3247" t="str">
            <v/>
          </cell>
          <cell r="D3247" t="str">
            <v>Rack Madesa Cancun e Painel para TV até 65 Polegadas Preto/Rustic 8N5Z</v>
          </cell>
          <cell r="E3247" t="str">
            <v>CANCUN</v>
          </cell>
          <cell r="F3247" t="str">
            <v>SALA DE ESTAR</v>
          </cell>
          <cell r="G3247" t="str">
            <v/>
          </cell>
          <cell r="H3247">
            <v>1149.99</v>
          </cell>
          <cell r="I3247">
            <v>549.99</v>
          </cell>
          <cell r="J3247">
            <v>413.28440000000001</v>
          </cell>
          <cell r="K3247">
            <v>0</v>
          </cell>
          <cell r="L3247">
            <v>413.28440000000001</v>
          </cell>
          <cell r="M3247">
            <v>0</v>
          </cell>
          <cell r="N3247">
            <v>549.99</v>
          </cell>
          <cell r="O3247" t="str">
            <v/>
          </cell>
          <cell r="P3247">
            <v>0</v>
          </cell>
          <cell r="Q3247">
            <v>0.33077851474674602</v>
          </cell>
          <cell r="R3247">
            <v>0.33077851474674602</v>
          </cell>
          <cell r="S3247" t="e">
            <v>#VALUE!</v>
          </cell>
          <cell r="T3247" t="e">
            <v>#VALUE!</v>
          </cell>
        </row>
        <row r="3248">
          <cell r="A3248" t="str">
            <v>XAMDFC02000277</v>
          </cell>
          <cell r="B3248" t="str">
            <v>MKP000631003387</v>
          </cell>
          <cell r="C3248" t="str">
            <v/>
          </cell>
          <cell r="D3248" t="str">
            <v>Mesa para Computador Gamer e Painel TV Madesa Preto/Branco</v>
          </cell>
          <cell r="E3248" t="str">
            <v>GAMER</v>
          </cell>
          <cell r="F3248" t="str">
            <v>ESCRITÓRIO</v>
          </cell>
          <cell r="G3248" t="str">
            <v/>
          </cell>
          <cell r="H3248">
            <v>859.99</v>
          </cell>
          <cell r="I3248">
            <v>589.99</v>
          </cell>
          <cell r="J3248">
            <v>434.67020000000002</v>
          </cell>
          <cell r="K3248">
            <v>0</v>
          </cell>
          <cell r="L3248">
            <v>434.67020000000002</v>
          </cell>
          <cell r="M3248">
            <v>0</v>
          </cell>
          <cell r="N3248">
            <v>589.99</v>
          </cell>
          <cell r="O3248" t="str">
            <v/>
          </cell>
          <cell r="P3248">
            <v>0</v>
          </cell>
          <cell r="Q3248">
            <v>0.35732792356135801</v>
          </cell>
          <cell r="R3248">
            <v>0.35732792356135801</v>
          </cell>
          <cell r="S3248" t="e">
            <v>#VALUE!</v>
          </cell>
          <cell r="T3248" t="e">
            <v>#VALUE!</v>
          </cell>
        </row>
        <row r="3249">
          <cell r="A3249" t="str">
            <v>G2412473AG</v>
          </cell>
          <cell r="B3249" t="str">
            <v>MKP000631003054</v>
          </cell>
          <cell r="C3249" t="str">
            <v/>
          </cell>
          <cell r="D3249" t="str">
            <v>Balcão Gabinete de Pia Madesa Agata 2 Portas e 3 Gavetas (Sem Tampo e Pia) Branco/Preto</v>
          </cell>
          <cell r="E3249" t="str">
            <v>ÁGATA</v>
          </cell>
          <cell r="F3249" t="str">
            <v>MODULAÇÃO</v>
          </cell>
          <cell r="G3249" t="str">
            <v/>
          </cell>
          <cell r="H3249">
            <v>1269.99</v>
          </cell>
          <cell r="I3249">
            <v>729.99</v>
          </cell>
          <cell r="J3249">
            <v>542.59109999999998</v>
          </cell>
          <cell r="K3249">
            <v>0</v>
          </cell>
          <cell r="L3249">
            <v>542.59109999999998</v>
          </cell>
          <cell r="M3249">
            <v>0</v>
          </cell>
          <cell r="N3249">
            <v>729.99</v>
          </cell>
          <cell r="O3249" t="str">
            <v/>
          </cell>
          <cell r="P3249">
            <v>0</v>
          </cell>
          <cell r="Q3249">
            <v>0.34537776237022699</v>
          </cell>
          <cell r="R3249">
            <v>0.34537776237022699</v>
          </cell>
          <cell r="S3249" t="e">
            <v>#VALUE!</v>
          </cell>
          <cell r="T3249" t="e">
            <v>#VALUE!</v>
          </cell>
        </row>
        <row r="3250">
          <cell r="A3250" t="str">
            <v>GILX1200019R</v>
          </cell>
          <cell r="B3250" t="str">
            <v>MKP000631006005</v>
          </cell>
          <cell r="C3250" t="str">
            <v/>
          </cell>
          <cell r="D3250" t="str">
            <v>Ilha de Cozinha com Bancada e Balcão 120 cm Branco/Cinza Lux Madesa</v>
          </cell>
          <cell r="E3250" t="str">
            <v>LUX</v>
          </cell>
          <cell r="F3250" t="str">
            <v>MODULAÇÃO</v>
          </cell>
          <cell r="G3250" t="str">
            <v/>
          </cell>
          <cell r="H3250">
            <v>1429.99</v>
          </cell>
          <cell r="I3250">
            <v>1429.99</v>
          </cell>
          <cell r="J3250">
            <v>925.91139999999996</v>
          </cell>
          <cell r="K3250">
            <v>0</v>
          </cell>
          <cell r="L3250">
            <v>925.91139999999996</v>
          </cell>
          <cell r="M3250">
            <v>0</v>
          </cell>
          <cell r="N3250">
            <v>1429.99</v>
          </cell>
          <cell r="O3250" t="str">
            <v/>
          </cell>
          <cell r="P3250">
            <v>0</v>
          </cell>
          <cell r="Q3250">
            <v>0.54441342875787002</v>
          </cell>
          <cell r="R3250">
            <v>0.54441342875787002</v>
          </cell>
          <cell r="S3250" t="e">
            <v>#VALUE!</v>
          </cell>
          <cell r="T3250" t="e">
            <v>#VALUE!</v>
          </cell>
        </row>
        <row r="3251">
          <cell r="A3251" t="str">
            <v>G243507KAG</v>
          </cell>
          <cell r="B3251" t="str">
            <v>MKP000631003076</v>
          </cell>
          <cell r="C3251" t="str">
            <v/>
          </cell>
          <cell r="D3251" t="str">
            <v>Balcão Madesa Agata 35 cm 1 Porta Rustic/Preto</v>
          </cell>
          <cell r="E3251" t="str">
            <v>ÁGATA</v>
          </cell>
          <cell r="F3251" t="str">
            <v>MODULAÇÃO</v>
          </cell>
          <cell r="G3251" t="str">
            <v/>
          </cell>
          <cell r="H3251">
            <v>679.99</v>
          </cell>
          <cell r="I3251">
            <v>349.99</v>
          </cell>
          <cell r="J3251">
            <v>214.44659999999999</v>
          </cell>
          <cell r="K3251">
            <v>0</v>
          </cell>
          <cell r="L3251">
            <v>214.44659999999999</v>
          </cell>
          <cell r="M3251">
            <v>0</v>
          </cell>
          <cell r="N3251">
            <v>349.99</v>
          </cell>
          <cell r="O3251" t="str">
            <v/>
          </cell>
          <cell r="P3251">
            <v>0</v>
          </cell>
          <cell r="Q3251">
            <v>0.632061315031341</v>
          </cell>
          <cell r="R3251">
            <v>0.632061315031341</v>
          </cell>
          <cell r="S3251" t="e">
            <v>#VALUE!</v>
          </cell>
          <cell r="T3251" t="e">
            <v>#VALUE!</v>
          </cell>
        </row>
        <row r="3252">
          <cell r="A3252" t="str">
            <v>G25350F8AG</v>
          </cell>
          <cell r="B3252" t="str">
            <v>MKP000631002627</v>
          </cell>
          <cell r="C3252" t="str">
            <v/>
          </cell>
          <cell r="D3252" t="str">
            <v>Armário Aéreo Madesa Agata 35 cm 1 Porta Branco/Cinza</v>
          </cell>
          <cell r="E3252" t="str">
            <v>ÁGATA</v>
          </cell>
          <cell r="F3252" t="str">
            <v>MODULAÇÃO</v>
          </cell>
          <cell r="G3252" t="str">
            <v/>
          </cell>
          <cell r="H3252">
            <v>369.99</v>
          </cell>
          <cell r="I3252">
            <v>289.99</v>
          </cell>
          <cell r="J3252">
            <v>162.33369999999999</v>
          </cell>
          <cell r="K3252">
            <v>0</v>
          </cell>
          <cell r="L3252">
            <v>162.33369999999999</v>
          </cell>
          <cell r="M3252">
            <v>0</v>
          </cell>
          <cell r="N3252">
            <v>289.99</v>
          </cell>
          <cell r="O3252" t="str">
            <v/>
          </cell>
          <cell r="P3252">
            <v>0</v>
          </cell>
          <cell r="Q3252">
            <v>0.786382002011905</v>
          </cell>
          <cell r="R3252">
            <v>0.786382002011905</v>
          </cell>
          <cell r="S3252" t="e">
            <v>#VALUE!</v>
          </cell>
          <cell r="T3252" t="e">
            <v>#VALUE!</v>
          </cell>
        </row>
        <row r="3253">
          <cell r="A3253" t="str">
            <v>G226009RLXCT</v>
          </cell>
          <cell r="B3253" t="str">
            <v>MKP000631005089</v>
          </cell>
          <cell r="C3253" t="str">
            <v/>
          </cell>
          <cell r="D3253" t="str">
            <v>Balcão 60 cm 1 Porta Branco/Cinza Lux Madesa</v>
          </cell>
          <cell r="E3253" t="str">
            <v>LUX</v>
          </cell>
          <cell r="F3253" t="str">
            <v>MODULAÇÃO</v>
          </cell>
          <cell r="G3253" t="str">
            <v/>
          </cell>
          <cell r="H3253">
            <v>889.99</v>
          </cell>
          <cell r="I3253">
            <v>779.99</v>
          </cell>
          <cell r="J3253">
            <v>432.62099999999998</v>
          </cell>
          <cell r="K3253">
            <v>0</v>
          </cell>
          <cell r="L3253">
            <v>432.62099999999998</v>
          </cell>
          <cell r="M3253">
            <v>0</v>
          </cell>
          <cell r="N3253">
            <v>779.99</v>
          </cell>
          <cell r="O3253" t="str">
            <v>LOJA</v>
          </cell>
          <cell r="P3253">
            <v>769.99</v>
          </cell>
          <cell r="Q3253">
            <v>0.80294068017964904</v>
          </cell>
          <cell r="R3253">
            <v>0.80294068017964904</v>
          </cell>
          <cell r="S3253" t="e">
            <v>#VALUE!</v>
          </cell>
          <cell r="T3253" t="e">
            <v>#VALUE!</v>
          </cell>
        </row>
        <row r="3254">
          <cell r="A3254" t="str">
            <v>GREM2290147K</v>
          </cell>
          <cell r="B3254" t="str">
            <v>MKP000631005916</v>
          </cell>
          <cell r="C3254" t="str">
            <v/>
          </cell>
          <cell r="D3254" t="str">
            <v>Armário de Cozinha Compacta 229cm Rustic/Preto Emilly Madesa 14</v>
          </cell>
          <cell r="E3254" t="str">
            <v>EMILLY</v>
          </cell>
          <cell r="F3254" t="str">
            <v>COZINHA</v>
          </cell>
          <cell r="G3254" t="str">
            <v/>
          </cell>
          <cell r="H3254">
            <v>1029.99</v>
          </cell>
          <cell r="I3254">
            <v>929.99</v>
          </cell>
          <cell r="J3254">
            <v>755.47900000000004</v>
          </cell>
          <cell r="K3254">
            <v>0</v>
          </cell>
          <cell r="L3254">
            <v>755.47900000000004</v>
          </cell>
          <cell r="M3254">
            <v>0</v>
          </cell>
          <cell r="N3254">
            <v>929.99</v>
          </cell>
          <cell r="O3254" t="str">
            <v/>
          </cell>
          <cell r="P3254">
            <v>0</v>
          </cell>
          <cell r="Q3254">
            <v>0.23099384628824901</v>
          </cell>
          <cell r="R3254">
            <v>0.23099384628824901</v>
          </cell>
          <cell r="S3254" t="e">
            <v>#VALUE!</v>
          </cell>
          <cell r="T3254" t="e">
            <v>#VALUE!</v>
          </cell>
        </row>
        <row r="3255">
          <cell r="A3255" t="str">
            <v>XAMDJA0601677GBE</v>
          </cell>
          <cell r="B3255" t="str">
            <v>MKP000631006048</v>
          </cell>
          <cell r="C3255" t="str">
            <v/>
          </cell>
          <cell r="D3255" t="str">
            <v>Conjunto Sala de Jantar Mesa Tampo de Vidro 6 Cadeiras Rustic/Crema/Bege Dora Madesa</v>
          </cell>
          <cell r="E3255" t="str">
            <v>DORA</v>
          </cell>
          <cell r="F3255" t="str">
            <v>SALA DE JANTAR</v>
          </cell>
          <cell r="G3255" t="str">
            <v>4280X</v>
          </cell>
          <cell r="H3255">
            <v>1099.99</v>
          </cell>
          <cell r="I3255">
            <v>999.99</v>
          </cell>
          <cell r="J3255">
            <v>760.36220000000003</v>
          </cell>
          <cell r="K3255">
            <v>0</v>
          </cell>
          <cell r="L3255">
            <v>760.36220000000003</v>
          </cell>
          <cell r="M3255">
            <v>0</v>
          </cell>
          <cell r="N3255">
            <v>999.99</v>
          </cell>
          <cell r="O3255" t="str">
            <v/>
          </cell>
          <cell r="P3255">
            <v>0</v>
          </cell>
          <cell r="Q3255">
            <v>0.31514954320454103</v>
          </cell>
          <cell r="R3255">
            <v>0.31514954320454103</v>
          </cell>
          <cell r="S3255" t="e">
            <v>#VALUE!</v>
          </cell>
          <cell r="T3255" t="e">
            <v>#VALUE!</v>
          </cell>
        </row>
        <row r="3256">
          <cell r="A3256" t="str">
            <v>GRGL220003099B</v>
          </cell>
          <cell r="B3256" t="str">
            <v>MKP000631001462</v>
          </cell>
          <cell r="C3256" t="str">
            <v/>
          </cell>
          <cell r="D3256" t="str">
            <v>Armário de Cozinha Completa 220cm Branco/Branco/Rustic Parma Madesa 03</v>
          </cell>
          <cell r="E3256" t="str">
            <v>PARMA/GLAMY</v>
          </cell>
          <cell r="F3256" t="str">
            <v>COZINHA</v>
          </cell>
          <cell r="G3256" t="str">
            <v/>
          </cell>
          <cell r="H3256">
            <v>1899.99</v>
          </cell>
          <cell r="I3256">
            <v>1799.99</v>
          </cell>
          <cell r="J3256">
            <v>1541.2927</v>
          </cell>
          <cell r="K3256">
            <v>0</v>
          </cell>
          <cell r="L3256">
            <v>1541.2927</v>
          </cell>
          <cell r="M3256">
            <v>0</v>
          </cell>
          <cell r="N3256">
            <v>1799.99</v>
          </cell>
          <cell r="O3256" t="str">
            <v/>
          </cell>
          <cell r="P3256">
            <v>0</v>
          </cell>
          <cell r="Q3256">
            <v>0.16784436856153301</v>
          </cell>
          <cell r="R3256">
            <v>0.16784436856153301</v>
          </cell>
          <cell r="S3256" t="e">
            <v>#VALUE!</v>
          </cell>
          <cell r="T3256" t="e">
            <v>#VALUE!</v>
          </cell>
        </row>
        <row r="3257">
          <cell r="A3257" t="str">
            <v>GRAG250001F8</v>
          </cell>
          <cell r="B3257" t="str">
            <v>MKP000631005674</v>
          </cell>
          <cell r="C3257" t="str">
            <v/>
          </cell>
          <cell r="D3257" t="str">
            <v>Armário de Cozinha Completa 250cm Branco/Cinza Agata Madesa 01</v>
          </cell>
          <cell r="E3257" t="str">
            <v>ÁGATA</v>
          </cell>
          <cell r="F3257" t="str">
            <v>COZINHA</v>
          </cell>
          <cell r="G3257" t="str">
            <v/>
          </cell>
          <cell r="H3257">
            <v>2149.9899999999998</v>
          </cell>
          <cell r="I3257">
            <v>1999.99</v>
          </cell>
          <cell r="J3257">
            <v>1674.4907000000001</v>
          </cell>
          <cell r="K3257">
            <v>0</v>
          </cell>
          <cell r="L3257">
            <v>1674.4907000000001</v>
          </cell>
          <cell r="M3257">
            <v>0</v>
          </cell>
          <cell r="N3257">
            <v>1999.99</v>
          </cell>
          <cell r="O3257" t="str">
            <v/>
          </cell>
          <cell r="P3257">
            <v>0</v>
          </cell>
          <cell r="Q3257">
            <v>0.194387045565556</v>
          </cell>
          <cell r="R3257">
            <v>0.194387045565556</v>
          </cell>
          <cell r="S3257" t="e">
            <v>#VALUE!</v>
          </cell>
          <cell r="T3257" t="e">
            <v>#VALUE!</v>
          </cell>
        </row>
        <row r="3258">
          <cell r="A3258" t="str">
            <v>MDJA0800065ZSIL</v>
          </cell>
          <cell r="B3258" t="str">
            <v>MKP000631006087</v>
          </cell>
          <cell r="C3258" t="str">
            <v/>
          </cell>
          <cell r="D3258" t="str">
            <v>Conjunto Sala de Jantar Mesa Tampo de Madeira 8 Cadeiras Rustic/Silver Leila Madesa</v>
          </cell>
          <cell r="E3258" t="str">
            <v>LEILA</v>
          </cell>
          <cell r="F3258" t="str">
            <v>SALA DE JANTAR</v>
          </cell>
          <cell r="G3258">
            <v>4256</v>
          </cell>
          <cell r="H3258">
            <v>1999.99</v>
          </cell>
          <cell r="I3258">
            <v>1949.99</v>
          </cell>
          <cell r="J3258">
            <v>1549.4023</v>
          </cell>
          <cell r="K3258">
            <v>0</v>
          </cell>
          <cell r="L3258">
            <v>1549.4023</v>
          </cell>
          <cell r="M3258">
            <v>0</v>
          </cell>
          <cell r="N3258">
            <v>1949.99</v>
          </cell>
          <cell r="O3258" t="str">
            <v>LOJA</v>
          </cell>
          <cell r="P3258">
            <v>2089.9899999999998</v>
          </cell>
          <cell r="Q3258">
            <v>0.25854337508082997</v>
          </cell>
          <cell r="R3258">
            <v>0.25854337508082997</v>
          </cell>
          <cell r="S3258" t="e">
            <v>#VALUE!</v>
          </cell>
          <cell r="T3258" t="e">
            <v>#VALUE!</v>
          </cell>
        </row>
        <row r="3259">
          <cell r="A3259" t="str">
            <v>GCGL4190019B</v>
          </cell>
          <cell r="B3259" t="str">
            <v>MKP000631004383</v>
          </cell>
          <cell r="C3259" t="str">
            <v/>
          </cell>
          <cell r="D3259" t="str">
            <v>Armário de Cozinha Completa de Canto 419cm Branco/Rustic Glamy Madesa 01</v>
          </cell>
          <cell r="E3259" t="str">
            <v>GLAMY</v>
          </cell>
          <cell r="F3259" t="str">
            <v>COZINHA</v>
          </cell>
          <cell r="G3259" t="str">
            <v/>
          </cell>
          <cell r="H3259">
            <v>3299.99</v>
          </cell>
          <cell r="I3259">
            <v>3199.99</v>
          </cell>
          <cell r="J3259">
            <v>2615.1934000000001</v>
          </cell>
          <cell r="K3259">
            <v>0</v>
          </cell>
          <cell r="L3259">
            <v>2615.1934000000001</v>
          </cell>
          <cell r="M3259">
            <v>0</v>
          </cell>
          <cell r="N3259">
            <v>3199.99</v>
          </cell>
          <cell r="O3259" t="str">
            <v/>
          </cell>
          <cell r="P3259">
            <v>0</v>
          </cell>
          <cell r="Q3259">
            <v>0.223615048890839</v>
          </cell>
          <cell r="R3259">
            <v>0.223615048890839</v>
          </cell>
          <cell r="S3259" t="e">
            <v>#VALUE!</v>
          </cell>
          <cell r="T3259" t="e">
            <v>#VALUE!</v>
          </cell>
        </row>
        <row r="3260">
          <cell r="A3260" t="str">
            <v>GRGL28000373</v>
          </cell>
          <cell r="B3260" t="str">
            <v>MKP000631002847</v>
          </cell>
          <cell r="C3260" t="str">
            <v/>
          </cell>
          <cell r="D3260" t="str">
            <v>Armário de Cozinha Completa 280cm Branco/Preto Marcela Madesa 03</v>
          </cell>
          <cell r="E3260" t="str">
            <v>MARCELA/GLAMY</v>
          </cell>
          <cell r="F3260" t="str">
            <v>COZINHA</v>
          </cell>
          <cell r="G3260" t="str">
            <v/>
          </cell>
          <cell r="H3260">
            <v>2149.9899999999998</v>
          </cell>
          <cell r="I3260">
            <v>2049.9899999999998</v>
          </cell>
          <cell r="J3260">
            <v>1671.624</v>
          </cell>
          <cell r="K3260">
            <v>0</v>
          </cell>
          <cell r="L3260">
            <v>1671.624</v>
          </cell>
          <cell r="M3260">
            <v>0</v>
          </cell>
          <cell r="N3260">
            <v>2049.9899999999998</v>
          </cell>
          <cell r="O3260" t="str">
            <v/>
          </cell>
          <cell r="P3260">
            <v>0</v>
          </cell>
          <cell r="Q3260">
            <v>0.226346355400497</v>
          </cell>
          <cell r="R3260">
            <v>0.226346355400497</v>
          </cell>
          <cell r="S3260" t="e">
            <v>#VALUE!</v>
          </cell>
          <cell r="T3260" t="e">
            <v>#VALUE!</v>
          </cell>
        </row>
        <row r="3261">
          <cell r="A3261" t="str">
            <v>GRTE2700079B</v>
          </cell>
          <cell r="B3261" t="str">
            <v>MKP000631005478</v>
          </cell>
          <cell r="C3261" t="str">
            <v/>
          </cell>
          <cell r="D3261" t="str">
            <v>Armário de Cozinha Completa 270cm Branco/Rustic Stella Madesa 07</v>
          </cell>
          <cell r="E3261" t="str">
            <v>STELLA</v>
          </cell>
          <cell r="F3261" t="str">
            <v>COZINHA</v>
          </cell>
          <cell r="G3261" t="str">
            <v/>
          </cell>
          <cell r="H3261">
            <v>1899.99</v>
          </cell>
          <cell r="I3261">
            <v>1899.99</v>
          </cell>
          <cell r="J3261">
            <v>1539.8648000000001</v>
          </cell>
          <cell r="K3261">
            <v>0</v>
          </cell>
          <cell r="L3261">
            <v>1539.8648000000001</v>
          </cell>
          <cell r="M3261">
            <v>0</v>
          </cell>
          <cell r="N3261">
            <v>1899.99</v>
          </cell>
          <cell r="O3261" t="str">
            <v/>
          </cell>
          <cell r="P3261">
            <v>0</v>
          </cell>
          <cell r="Q3261">
            <v>0.233868064261226</v>
          </cell>
          <cell r="R3261">
            <v>0.233868064261226</v>
          </cell>
          <cell r="S3261" t="e">
            <v>#VALUE!</v>
          </cell>
          <cell r="T3261" t="e">
            <v>#VALUE!</v>
          </cell>
        </row>
        <row r="3262">
          <cell r="A3262" t="str">
            <v>10949B4GCP</v>
          </cell>
          <cell r="B3262" t="str">
            <v>MKP000631001008</v>
          </cell>
          <cell r="C3262" t="str">
            <v/>
          </cell>
          <cell r="D3262" t="str">
            <v>Guarda-Roupa Solteiro Madesa Dallas Plus 2 Portas de Correr 4 Gavetas com Pés Branco/Rustic</v>
          </cell>
          <cell r="E3262" t="str">
            <v>DALLAS PLUS</v>
          </cell>
          <cell r="F3262" t="str">
            <v>QUARTO</v>
          </cell>
          <cell r="G3262" t="str">
            <v/>
          </cell>
          <cell r="H3262">
            <v>1109.99</v>
          </cell>
          <cell r="I3262">
            <v>919.99</v>
          </cell>
          <cell r="J3262">
            <v>689.17430000000002</v>
          </cell>
          <cell r="K3262">
            <v>0</v>
          </cell>
          <cell r="L3262">
            <v>689.17430000000002</v>
          </cell>
          <cell r="M3262">
            <v>0</v>
          </cell>
          <cell r="N3262">
            <v>919.99</v>
          </cell>
          <cell r="O3262" t="str">
            <v/>
          </cell>
          <cell r="P3262">
            <v>0</v>
          </cell>
          <cell r="Q3262">
            <v>0.33491629040723098</v>
          </cell>
          <cell r="R3262">
            <v>0.33491629040723098</v>
          </cell>
          <cell r="S3262" t="e">
            <v>#VALUE!</v>
          </cell>
          <cell r="T3262" t="e">
            <v>#VALUE!</v>
          </cell>
        </row>
        <row r="3263">
          <cell r="A3263" t="str">
            <v>G24123F8AG</v>
          </cell>
          <cell r="B3263" t="str">
            <v>MKP000631002636</v>
          </cell>
          <cell r="C3263" t="str">
            <v/>
          </cell>
          <cell r="D3263" t="str">
            <v>Balcão Gabinete de Pia Madesa Agata 1 Porta e 2 Gavetas (Sem Tampo e Pia) Branco/Cinza</v>
          </cell>
          <cell r="E3263" t="str">
            <v>ÁGATA</v>
          </cell>
          <cell r="F3263" t="str">
            <v>MODULAÇÃO</v>
          </cell>
          <cell r="G3263" t="str">
            <v/>
          </cell>
          <cell r="H3263">
            <v>1139.99</v>
          </cell>
          <cell r="I3263">
            <v>579.99</v>
          </cell>
          <cell r="J3263">
            <v>425.36160000000001</v>
          </cell>
          <cell r="K3263">
            <v>0</v>
          </cell>
          <cell r="L3263">
            <v>425.36160000000001</v>
          </cell>
          <cell r="M3263">
            <v>0</v>
          </cell>
          <cell r="N3263">
            <v>579.99</v>
          </cell>
          <cell r="O3263" t="str">
            <v/>
          </cell>
          <cell r="P3263">
            <v>0</v>
          </cell>
          <cell r="Q3263">
            <v>0.36352223613979201</v>
          </cell>
          <cell r="R3263">
            <v>0.36352223613979201</v>
          </cell>
          <cell r="S3263" t="e">
            <v>#VALUE!</v>
          </cell>
          <cell r="T3263" t="e">
            <v>#VALUE!</v>
          </cell>
        </row>
        <row r="3264">
          <cell r="A3264" t="str">
            <v>G228006EFF</v>
          </cell>
          <cell r="B3264" t="str">
            <v>MKP000631006020</v>
          </cell>
          <cell r="C3264" t="str">
            <v/>
          </cell>
          <cell r="D3264" t="str">
            <v>Balcão para Forno de Embutir 80 x 60 cm Sem Tampo Rustic/Branco Agata, Glamy, Stella Madesa</v>
          </cell>
          <cell r="E3264" t="str">
            <v>PR</v>
          </cell>
          <cell r="F3264" t="str">
            <v>MODULAÇÃO</v>
          </cell>
          <cell r="G3264" t="str">
            <v/>
          </cell>
          <cell r="H3264">
            <v>449.99</v>
          </cell>
          <cell r="I3264">
            <v>449.99</v>
          </cell>
          <cell r="J3264">
            <v>301.64659999999998</v>
          </cell>
          <cell r="K3264">
            <v>0</v>
          </cell>
          <cell r="L3264">
            <v>301.64659999999998</v>
          </cell>
          <cell r="M3264">
            <v>0</v>
          </cell>
          <cell r="N3264">
            <v>449.99</v>
          </cell>
          <cell r="O3264" t="str">
            <v/>
          </cell>
          <cell r="P3264">
            <v>0</v>
          </cell>
          <cell r="Q3264">
            <v>0.49177879014714598</v>
          </cell>
          <cell r="R3264">
            <v>0.49177879014714598</v>
          </cell>
          <cell r="S3264" t="e">
            <v>#VALUE!</v>
          </cell>
          <cell r="T3264" t="e">
            <v>#VALUE!</v>
          </cell>
        </row>
        <row r="3265">
          <cell r="A3265" t="str">
            <v>G246009BTE</v>
          </cell>
          <cell r="B3265" t="str">
            <v>MKP000631002120</v>
          </cell>
          <cell r="C3265" t="str">
            <v/>
          </cell>
          <cell r="D3265" t="str">
            <v>Balcão Madesa Stella 60 cm 1 Porta Branco/Rustic</v>
          </cell>
          <cell r="E3265" t="str">
            <v>STELLA</v>
          </cell>
          <cell r="F3265" t="str">
            <v>MODULAÇÃO</v>
          </cell>
          <cell r="G3265" t="str">
            <v/>
          </cell>
          <cell r="H3265">
            <v>789.99</v>
          </cell>
          <cell r="I3265">
            <v>399.99</v>
          </cell>
          <cell r="J3265">
            <v>253.49039999999999</v>
          </cell>
          <cell r="K3265">
            <v>0</v>
          </cell>
          <cell r="L3265">
            <v>253.49039999999999</v>
          </cell>
          <cell r="M3265">
            <v>0</v>
          </cell>
          <cell r="N3265">
            <v>399.99</v>
          </cell>
          <cell r="O3265" t="str">
            <v/>
          </cell>
          <cell r="P3265">
            <v>0</v>
          </cell>
          <cell r="Q3265">
            <v>0.577929578398235</v>
          </cell>
          <cell r="R3265">
            <v>0.577929578398235</v>
          </cell>
          <cell r="S3265" t="e">
            <v>#VALUE!</v>
          </cell>
          <cell r="T3265" t="e">
            <v>#VALUE!</v>
          </cell>
        </row>
        <row r="3266">
          <cell r="A3266" t="str">
            <v>G244005ZTE</v>
          </cell>
          <cell r="B3266" t="str">
            <v>MKP000631002173</v>
          </cell>
          <cell r="C3266" t="str">
            <v/>
          </cell>
          <cell r="D3266" t="str">
            <v>Balcão Madesa Stella 40 cm 1 Porta Rustic</v>
          </cell>
          <cell r="E3266" t="str">
            <v>STELLA</v>
          </cell>
          <cell r="F3266" t="str">
            <v>MODULAÇÃO</v>
          </cell>
          <cell r="G3266" t="str">
            <v/>
          </cell>
          <cell r="H3266">
            <v>489.99</v>
          </cell>
          <cell r="I3266">
            <v>349.99</v>
          </cell>
          <cell r="J3266">
            <v>223.29740000000001</v>
          </cell>
          <cell r="K3266">
            <v>0</v>
          </cell>
          <cell r="L3266">
            <v>223.29740000000001</v>
          </cell>
          <cell r="M3266">
            <v>0</v>
          </cell>
          <cell r="N3266">
            <v>349.99</v>
          </cell>
          <cell r="O3266" t="str">
            <v/>
          </cell>
          <cell r="P3266">
            <v>0</v>
          </cell>
          <cell r="Q3266">
            <v>0.567371586055189</v>
          </cell>
          <cell r="R3266">
            <v>0.567371586055189</v>
          </cell>
          <cell r="S3266" t="e">
            <v>#VALUE!</v>
          </cell>
          <cell r="T3266" t="e">
            <v>#VALUE!</v>
          </cell>
        </row>
        <row r="3267">
          <cell r="A3267" t="str">
            <v>G2009609V2</v>
          </cell>
          <cell r="B3267" t="str">
            <v>MKP000631005728</v>
          </cell>
          <cell r="C3267" t="str">
            <v/>
          </cell>
          <cell r="D3267" t="str">
            <v>Armário Aéreo de Canto 100% MDF com Adega Branco Smart Madesa</v>
          </cell>
          <cell r="E3267" t="str">
            <v>SMART</v>
          </cell>
          <cell r="F3267" t="str">
            <v>MODULAÇÃO</v>
          </cell>
          <cell r="G3267" t="str">
            <v/>
          </cell>
          <cell r="H3267">
            <v>489.99</v>
          </cell>
          <cell r="I3267">
            <v>329.99</v>
          </cell>
          <cell r="J3267">
            <v>204.702</v>
          </cell>
          <cell r="K3267">
            <v>0</v>
          </cell>
          <cell r="L3267">
            <v>204.702</v>
          </cell>
          <cell r="M3267">
            <v>0</v>
          </cell>
          <cell r="N3267">
            <v>329.99</v>
          </cell>
          <cell r="O3267" t="str">
            <v/>
          </cell>
          <cell r="P3267">
            <v>0</v>
          </cell>
          <cell r="Q3267">
            <v>0.61205068831765197</v>
          </cell>
          <cell r="R3267">
            <v>0.61205068831765197</v>
          </cell>
          <cell r="S3267" t="e">
            <v>#VALUE!</v>
          </cell>
          <cell r="T3267" t="e">
            <v>#VALUE!</v>
          </cell>
        </row>
        <row r="3268">
          <cell r="A3268" t="str">
            <v>G227009NLX</v>
          </cell>
          <cell r="B3268" t="str">
            <v>MKP000631005179</v>
          </cell>
          <cell r="C3268" t="str">
            <v/>
          </cell>
          <cell r="D3268" t="str">
            <v>Balcão Madesa Lux 70 cm 2 Portas - Rustic/Cinza (Sem Tampo)</v>
          </cell>
          <cell r="E3268" t="str">
            <v>LUX</v>
          </cell>
          <cell r="F3268" t="str">
            <v>MODULAÇÃO</v>
          </cell>
          <cell r="G3268" t="str">
            <v/>
          </cell>
          <cell r="H3268">
            <v>919.99</v>
          </cell>
          <cell r="I3268">
            <v>819.99</v>
          </cell>
          <cell r="J3268">
            <v>453.22199999999998</v>
          </cell>
          <cell r="K3268">
            <v>0</v>
          </cell>
          <cell r="L3268">
            <v>453.22199999999998</v>
          </cell>
          <cell r="M3268">
            <v>0</v>
          </cell>
          <cell r="N3268">
            <v>819.99</v>
          </cell>
          <cell r="O3268" t="str">
            <v>LOJA</v>
          </cell>
          <cell r="P3268">
            <v>799.99</v>
          </cell>
          <cell r="Q3268">
            <v>0.80924580007148805</v>
          </cell>
          <cell r="R3268">
            <v>0.80924580007148805</v>
          </cell>
          <cell r="S3268" t="e">
            <v>#VALUE!</v>
          </cell>
          <cell r="T3268" t="e">
            <v>#VALUE!</v>
          </cell>
        </row>
        <row r="3269">
          <cell r="A3269" t="str">
            <v>G227009NLXCT</v>
          </cell>
          <cell r="B3269" t="str">
            <v>MKP000631005180</v>
          </cell>
          <cell r="C3269" t="str">
            <v/>
          </cell>
          <cell r="D3269" t="str">
            <v>Balcão Madesa Lux 70 cm 2 Portas - Rustic/Cinza (Com Tampo)</v>
          </cell>
          <cell r="E3269" t="str">
            <v>LUX</v>
          </cell>
          <cell r="F3269" t="str">
            <v>MODULAÇÃO</v>
          </cell>
          <cell r="G3269" t="str">
            <v/>
          </cell>
          <cell r="H3269">
            <v>1069.99</v>
          </cell>
          <cell r="I3269">
            <v>959.99</v>
          </cell>
          <cell r="J3269">
            <v>528.58460000000002</v>
          </cell>
          <cell r="K3269">
            <v>0</v>
          </cell>
          <cell r="L3269">
            <v>528.58460000000002</v>
          </cell>
          <cell r="M3269">
            <v>0</v>
          </cell>
          <cell r="N3269">
            <v>959.99</v>
          </cell>
          <cell r="O3269" t="str">
            <v>LOJA</v>
          </cell>
          <cell r="P3269">
            <v>949.99</v>
          </cell>
          <cell r="Q3269">
            <v>0.816152040751849</v>
          </cell>
          <cell r="R3269">
            <v>0.816152040751849</v>
          </cell>
          <cell r="S3269" t="e">
            <v>#VALUE!</v>
          </cell>
          <cell r="T3269" t="e">
            <v>#VALUE!</v>
          </cell>
        </row>
        <row r="3270">
          <cell r="A3270" t="str">
            <v>GRAG25000109</v>
          </cell>
          <cell r="B3270" t="str">
            <v>MKP000631005629</v>
          </cell>
          <cell r="C3270" t="str">
            <v/>
          </cell>
          <cell r="D3270" t="str">
            <v>Armário de Cozinha Completa 250cm Branco Agata Madesa 01</v>
          </cell>
          <cell r="E3270" t="str">
            <v>ÁGATA</v>
          </cell>
          <cell r="F3270" t="str">
            <v>COZINHA</v>
          </cell>
          <cell r="G3270" t="str">
            <v/>
          </cell>
          <cell r="H3270">
            <v>2149.9899999999998</v>
          </cell>
          <cell r="I3270">
            <v>1999.99</v>
          </cell>
          <cell r="J3270">
            <v>1674.4907000000001</v>
          </cell>
          <cell r="K3270">
            <v>0</v>
          </cell>
          <cell r="L3270">
            <v>1674.4907000000001</v>
          </cell>
          <cell r="M3270">
            <v>0</v>
          </cell>
          <cell r="N3270">
            <v>1999.99</v>
          </cell>
          <cell r="O3270" t="str">
            <v/>
          </cell>
          <cell r="P3270">
            <v>0</v>
          </cell>
          <cell r="Q3270">
            <v>0.194387045565556</v>
          </cell>
          <cell r="R3270">
            <v>0.194387045565556</v>
          </cell>
          <cell r="S3270" t="e">
            <v>#VALUE!</v>
          </cell>
          <cell r="T3270" t="e">
            <v>#VALUE!</v>
          </cell>
        </row>
        <row r="3271">
          <cell r="A3271" t="str">
            <v>G243506EGL</v>
          </cell>
          <cell r="B3271" t="str">
            <v>MKP000631000556</v>
          </cell>
          <cell r="C3271" t="str">
            <v/>
          </cell>
          <cell r="D3271" t="str">
            <v>Balcão Madesa Glamy 35 cm 1 Porta Rustic/Branco</v>
          </cell>
          <cell r="E3271" t="str">
            <v>GLAMY</v>
          </cell>
          <cell r="F3271" t="str">
            <v>MODULAÇÃO</v>
          </cell>
          <cell r="G3271" t="str">
            <v/>
          </cell>
          <cell r="H3271">
            <v>719.99</v>
          </cell>
          <cell r="I3271">
            <v>339.99</v>
          </cell>
          <cell r="J3271">
            <v>217.0735</v>
          </cell>
          <cell r="K3271">
            <v>0</v>
          </cell>
          <cell r="L3271">
            <v>217.0735</v>
          </cell>
          <cell r="M3271">
            <v>0</v>
          </cell>
          <cell r="N3271">
            <v>339.99</v>
          </cell>
          <cell r="O3271" t="str">
            <v/>
          </cell>
          <cell r="P3271">
            <v>0</v>
          </cell>
          <cell r="Q3271">
            <v>0.56624369165282695</v>
          </cell>
          <cell r="R3271">
            <v>0.56624369165282695</v>
          </cell>
          <cell r="S3271" t="e">
            <v>#VALUE!</v>
          </cell>
          <cell r="T3271" t="e">
            <v>#VALUE!</v>
          </cell>
        </row>
        <row r="3272">
          <cell r="A3272" t="str">
            <v>GCGL3290015Z</v>
          </cell>
          <cell r="B3272" t="str">
            <v>MKP000631004508</v>
          </cell>
          <cell r="C3272" t="str">
            <v/>
          </cell>
          <cell r="D3272" t="str">
            <v>Armário de Cozinha Completa de Canto 329cm Rustic Glamy Madesa 01</v>
          </cell>
          <cell r="E3272" t="str">
            <v>GLAMY</v>
          </cell>
          <cell r="F3272" t="str">
            <v>COZINHA</v>
          </cell>
          <cell r="G3272" t="str">
            <v/>
          </cell>
          <cell r="H3272">
            <v>2599.9899999999998</v>
          </cell>
          <cell r="I3272">
            <v>2499.9899999999998</v>
          </cell>
          <cell r="J3272">
            <v>2100.0702999999999</v>
          </cell>
          <cell r="K3272">
            <v>0</v>
          </cell>
          <cell r="L3272">
            <v>2100.0702999999999</v>
          </cell>
          <cell r="M3272">
            <v>0</v>
          </cell>
          <cell r="N3272">
            <v>2499.9899999999998</v>
          </cell>
          <cell r="O3272" t="str">
            <v/>
          </cell>
          <cell r="P3272">
            <v>0</v>
          </cell>
          <cell r="Q3272">
            <v>0.190431577457193</v>
          </cell>
          <cell r="R3272">
            <v>0.190431577457193</v>
          </cell>
          <cell r="S3272" t="e">
            <v>#VALUE!</v>
          </cell>
          <cell r="T3272" t="e">
            <v>#VALUE!</v>
          </cell>
        </row>
        <row r="3273">
          <cell r="A3273" t="str">
            <v>11189B2E</v>
          </cell>
          <cell r="B3273" t="str">
            <v>MKP000631002675</v>
          </cell>
          <cell r="C3273" t="str">
            <v/>
          </cell>
          <cell r="D3273" t="str">
            <v>Guarda-Roupa Casal Madesa Istambul 3 Portas de Correr com Espelhos 3 Gavetas Branco/Rustic</v>
          </cell>
          <cell r="E3273" t="str">
            <v>ISTAMBUL</v>
          </cell>
          <cell r="F3273" t="str">
            <v>QUARTO</v>
          </cell>
          <cell r="G3273" t="str">
            <v/>
          </cell>
          <cell r="H3273">
            <v>2389.9899999999998</v>
          </cell>
          <cell r="I3273">
            <v>1869.99</v>
          </cell>
          <cell r="J3273">
            <v>1565.7304999999999</v>
          </cell>
          <cell r="K3273">
            <v>0</v>
          </cell>
          <cell r="L3273">
            <v>1565.7304999999999</v>
          </cell>
          <cell r="M3273">
            <v>0</v>
          </cell>
          <cell r="N3273">
            <v>1869.99</v>
          </cell>
          <cell r="O3273" t="str">
            <v/>
          </cell>
          <cell r="P3273">
            <v>0</v>
          </cell>
          <cell r="Q3273">
            <v>0.194324310601345</v>
          </cell>
          <cell r="R3273">
            <v>0.194324310601345</v>
          </cell>
          <cell r="S3273" t="e">
            <v>#VALUE!</v>
          </cell>
          <cell r="T3273" t="e">
            <v>#VALUE!</v>
          </cell>
        </row>
        <row r="3274">
          <cell r="A3274" t="str">
            <v>GRGL29001409</v>
          </cell>
          <cell r="B3274" t="str">
            <v>MKP000631001268</v>
          </cell>
          <cell r="C3274" t="str">
            <v/>
          </cell>
          <cell r="D3274" t="str">
            <v>Armário de Cozinha Completa 290cm Branco Safira Madesa 14</v>
          </cell>
          <cell r="E3274" t="str">
            <v>SAFIRA/GLAMY</v>
          </cell>
          <cell r="F3274" t="str">
            <v>COZINHA</v>
          </cell>
          <cell r="G3274" t="str">
            <v/>
          </cell>
          <cell r="H3274">
            <v>2999.99</v>
          </cell>
          <cell r="I3274">
            <v>2199.9899999999998</v>
          </cell>
          <cell r="J3274">
            <v>1834.2193</v>
          </cell>
          <cell r="K3274">
            <v>0</v>
          </cell>
          <cell r="L3274">
            <v>1834.2193</v>
          </cell>
          <cell r="M3274">
            <v>0</v>
          </cell>
          <cell r="N3274">
            <v>2199.9899999999998</v>
          </cell>
          <cell r="O3274" t="str">
            <v/>
          </cell>
          <cell r="P3274">
            <v>0</v>
          </cell>
          <cell r="Q3274">
            <v>0.199414922741245</v>
          </cell>
          <cell r="R3274">
            <v>0.199414922741245</v>
          </cell>
          <cell r="S3274" t="e">
            <v>#VALUE!</v>
          </cell>
          <cell r="T3274" t="e">
            <v>#VALUE!</v>
          </cell>
        </row>
        <row r="3275">
          <cell r="A3275" t="str">
            <v>GRGL270008C5</v>
          </cell>
          <cell r="B3275" t="str">
            <v>MKP000631001299</v>
          </cell>
          <cell r="C3275" t="str">
            <v/>
          </cell>
          <cell r="D3275" t="str">
            <v>Armário de Cozinha Completa 270cm Branco/Preto/Crema Jade Madesa 08</v>
          </cell>
          <cell r="E3275" t="str">
            <v>JADE/GLAMY</v>
          </cell>
          <cell r="F3275" t="str">
            <v>COZINHA</v>
          </cell>
          <cell r="G3275" t="str">
            <v/>
          </cell>
          <cell r="H3275">
            <v>2799.99</v>
          </cell>
          <cell r="I3275">
            <v>2099.9899999999998</v>
          </cell>
          <cell r="J3275">
            <v>1744.8065999999999</v>
          </cell>
          <cell r="K3275">
            <v>0</v>
          </cell>
          <cell r="L3275">
            <v>1744.8065999999999</v>
          </cell>
          <cell r="M3275">
            <v>0</v>
          </cell>
          <cell r="N3275">
            <v>2099.9899999999998</v>
          </cell>
          <cell r="O3275" t="str">
            <v/>
          </cell>
          <cell r="P3275">
            <v>0</v>
          </cell>
          <cell r="Q3275">
            <v>0.2035660571206</v>
          </cell>
          <cell r="R3275">
            <v>0.2035660571206</v>
          </cell>
          <cell r="S3275" t="e">
            <v>#VALUE!</v>
          </cell>
          <cell r="T3275" t="e">
            <v>#VALUE!</v>
          </cell>
        </row>
        <row r="3276">
          <cell r="A3276" t="str">
            <v>GRGL290010C7</v>
          </cell>
          <cell r="B3276" t="str">
            <v>MKP000631001202</v>
          </cell>
          <cell r="C3276" t="str">
            <v/>
          </cell>
          <cell r="D3276" t="str">
            <v>Armário de Cozinha Completa 290cm Branco/Preto/Branco Cristal Madesa 09</v>
          </cell>
          <cell r="E3276" t="str">
            <v>CRISTAL/GLAMY</v>
          </cell>
          <cell r="F3276" t="str">
            <v>COZINHA</v>
          </cell>
          <cell r="G3276" t="str">
            <v/>
          </cell>
          <cell r="H3276">
            <v>2199.9899999999998</v>
          </cell>
          <cell r="I3276">
            <v>2099.9899999999998</v>
          </cell>
          <cell r="J3276">
            <v>1743.5204000000001</v>
          </cell>
          <cell r="K3276">
            <v>0</v>
          </cell>
          <cell r="L3276">
            <v>1743.5204000000001</v>
          </cell>
          <cell r="M3276">
            <v>0</v>
          </cell>
          <cell r="N3276">
            <v>2099.9899999999998</v>
          </cell>
          <cell r="O3276" t="str">
            <v/>
          </cell>
          <cell r="P3276">
            <v>0</v>
          </cell>
          <cell r="Q3276">
            <v>0.20445393125311301</v>
          </cell>
          <cell r="R3276">
            <v>0.20445393125311301</v>
          </cell>
          <cell r="S3276" t="e">
            <v>#VALUE!</v>
          </cell>
          <cell r="T3276" t="e">
            <v>#VALUE!</v>
          </cell>
        </row>
        <row r="3277">
          <cell r="A3277" t="str">
            <v>GREM2610037K</v>
          </cell>
          <cell r="B3277" t="str">
            <v>MKP000631005160</v>
          </cell>
          <cell r="C3277" t="str">
            <v/>
          </cell>
          <cell r="D3277" t="str">
            <v>Armário de Cozinha Completa 261cm Rustic/Preto Emilly Madesa 03</v>
          </cell>
          <cell r="E3277" t="str">
            <v>EMILLY</v>
          </cell>
          <cell r="F3277" t="str">
            <v>COZINHA</v>
          </cell>
          <cell r="G3277" t="str">
            <v/>
          </cell>
          <cell r="H3277">
            <v>1479.99</v>
          </cell>
          <cell r="I3277">
            <v>1379.99</v>
          </cell>
          <cell r="J3277">
            <v>1119.1684</v>
          </cell>
          <cell r="K3277">
            <v>0</v>
          </cell>
          <cell r="L3277">
            <v>1119.1684</v>
          </cell>
          <cell r="M3277">
            <v>0</v>
          </cell>
          <cell r="N3277">
            <v>1379.99</v>
          </cell>
          <cell r="O3277" t="str">
            <v/>
          </cell>
          <cell r="P3277">
            <v>0</v>
          </cell>
          <cell r="Q3277">
            <v>0.233049467801271</v>
          </cell>
          <cell r="R3277">
            <v>0.233049467801271</v>
          </cell>
          <cell r="S3277" t="e">
            <v>#VALUE!</v>
          </cell>
          <cell r="T3277" t="e">
            <v>#VALUE!</v>
          </cell>
        </row>
        <row r="3278">
          <cell r="A3278" t="str">
            <v>GRGL3150017K</v>
          </cell>
          <cell r="B3278" t="str">
            <v>MKP000631004727</v>
          </cell>
          <cell r="C3278" t="str">
            <v/>
          </cell>
          <cell r="D3278" t="str">
            <v>Armário de Cozinha Completa 315cm Rustic/Preto Glamy Madesa 01</v>
          </cell>
          <cell r="E3278" t="str">
            <v>GLAMY</v>
          </cell>
          <cell r="F3278" t="str">
            <v>COZINHA</v>
          </cell>
          <cell r="G3278" t="str">
            <v/>
          </cell>
          <cell r="H3278">
            <v>2599.9899999999998</v>
          </cell>
          <cell r="I3278">
            <v>2469.9899999999998</v>
          </cell>
          <cell r="J3278">
            <v>2041.8098</v>
          </cell>
          <cell r="K3278">
            <v>0</v>
          </cell>
          <cell r="L3278">
            <v>2041.8098</v>
          </cell>
          <cell r="M3278">
            <v>0</v>
          </cell>
          <cell r="N3278">
            <v>2469.9899999999998</v>
          </cell>
          <cell r="O3278" t="str">
            <v/>
          </cell>
          <cell r="P3278">
            <v>0</v>
          </cell>
          <cell r="Q3278">
            <v>0.20970621259629499</v>
          </cell>
          <cell r="R3278">
            <v>0.20970621259629499</v>
          </cell>
          <cell r="S3278" t="e">
            <v>#VALUE!</v>
          </cell>
          <cell r="T3278" t="e">
            <v>#VALUE!</v>
          </cell>
        </row>
        <row r="3279">
          <cell r="A3279" t="str">
            <v>GRGL2000035Z</v>
          </cell>
          <cell r="B3279" t="str">
            <v>MKP000631004235</v>
          </cell>
          <cell r="C3279" t="str">
            <v/>
          </cell>
          <cell r="D3279" t="str">
            <v>Armário de Cozinha Compacta 200cm Rustic Glamy Madesa 03</v>
          </cell>
          <cell r="E3279" t="str">
            <v>GLAMY</v>
          </cell>
          <cell r="F3279" t="str">
            <v>COZINHA</v>
          </cell>
          <cell r="G3279" t="str">
            <v/>
          </cell>
          <cell r="H3279">
            <v>1749.99</v>
          </cell>
          <cell r="I3279">
            <v>1649.99</v>
          </cell>
          <cell r="J3279">
            <v>1357.5078000000001</v>
          </cell>
          <cell r="K3279">
            <v>0</v>
          </cell>
          <cell r="L3279">
            <v>1357.5078000000001</v>
          </cell>
          <cell r="M3279">
            <v>0</v>
          </cell>
          <cell r="N3279">
            <v>1649.99</v>
          </cell>
          <cell r="O3279" t="str">
            <v/>
          </cell>
          <cell r="P3279">
            <v>0</v>
          </cell>
          <cell r="Q3279">
            <v>0.21545526294581899</v>
          </cell>
          <cell r="R3279">
            <v>0.21545526294581899</v>
          </cell>
          <cell r="S3279" t="e">
            <v>#VALUE!</v>
          </cell>
          <cell r="T3279" t="e">
            <v>#VALUE!</v>
          </cell>
        </row>
        <row r="3280">
          <cell r="A3280" t="str">
            <v>GRGL280003C7</v>
          </cell>
          <cell r="B3280" t="str">
            <v>MKP000631002848</v>
          </cell>
          <cell r="C3280" t="str">
            <v/>
          </cell>
          <cell r="D3280" t="str">
            <v>Armário de Cozinha Completa 280cm Branco/Preto/Branco Marcela Madesa 03</v>
          </cell>
          <cell r="E3280" t="str">
            <v>MARCELA/GLAMY</v>
          </cell>
          <cell r="F3280" t="str">
            <v>COZINHA</v>
          </cell>
          <cell r="G3280" t="str">
            <v/>
          </cell>
          <cell r="H3280">
            <v>2149.9899999999998</v>
          </cell>
          <cell r="I3280">
            <v>2049.9899999999998</v>
          </cell>
          <cell r="J3280">
            <v>1671.624</v>
          </cell>
          <cell r="K3280">
            <v>0</v>
          </cell>
          <cell r="L3280">
            <v>1671.624</v>
          </cell>
          <cell r="M3280">
            <v>0</v>
          </cell>
          <cell r="N3280">
            <v>2049.9899999999998</v>
          </cell>
          <cell r="O3280" t="str">
            <v/>
          </cell>
          <cell r="P3280">
            <v>0</v>
          </cell>
          <cell r="Q3280">
            <v>0.226346355400497</v>
          </cell>
          <cell r="R3280">
            <v>0.226346355400497</v>
          </cell>
          <cell r="S3280" t="e">
            <v>#VALUE!</v>
          </cell>
          <cell r="T3280" t="e">
            <v>#VALUE!</v>
          </cell>
        </row>
        <row r="3281">
          <cell r="A3281" t="str">
            <v>MDES0200230909</v>
          </cell>
          <cell r="B3281" t="str">
            <v>MKP000631001518</v>
          </cell>
          <cell r="C3281" t="str">
            <v/>
          </cell>
          <cell r="D3281" t="str">
            <v>Rack Madesa Cancun e Painel para TV até 65 Polegadas Branco</v>
          </cell>
          <cell r="E3281" t="str">
            <v>CANCUN</v>
          </cell>
          <cell r="F3281" t="str">
            <v>SALA DE ESTAR</v>
          </cell>
          <cell r="G3281" t="str">
            <v/>
          </cell>
          <cell r="H3281">
            <v>1079.99</v>
          </cell>
          <cell r="I3281">
            <v>569.99</v>
          </cell>
          <cell r="J3281">
            <v>449.15629999999999</v>
          </cell>
          <cell r="K3281">
            <v>0</v>
          </cell>
          <cell r="L3281">
            <v>449.15629999999999</v>
          </cell>
          <cell r="M3281">
            <v>0</v>
          </cell>
          <cell r="N3281">
            <v>569.99</v>
          </cell>
          <cell r="O3281" t="str">
            <v/>
          </cell>
          <cell r="P3281">
            <v>0</v>
          </cell>
          <cell r="Q3281">
            <v>0.26902372292228799</v>
          </cell>
          <cell r="R3281">
            <v>0.26902372292228799</v>
          </cell>
          <cell r="S3281" t="e">
            <v>#VALUE!</v>
          </cell>
          <cell r="T3281" t="e">
            <v>#VALUE!</v>
          </cell>
        </row>
        <row r="3282">
          <cell r="A3282" t="str">
            <v>GREM1050037K</v>
          </cell>
          <cell r="B3282" t="str">
            <v>MKP000631005958</v>
          </cell>
          <cell r="C3282" t="str">
            <v/>
          </cell>
          <cell r="D3282" t="str">
            <v>Armário de Cozinha Compacta 105cm Rustic/Preto Emilly Madesa 03</v>
          </cell>
          <cell r="E3282" t="str">
            <v>EMILLY</v>
          </cell>
          <cell r="F3282" t="str">
            <v>COZINHA</v>
          </cell>
          <cell r="G3282" t="str">
            <v/>
          </cell>
          <cell r="H3282">
            <v>669.99</v>
          </cell>
          <cell r="I3282">
            <v>569.99</v>
          </cell>
          <cell r="J3282">
            <v>423.69389999999999</v>
          </cell>
          <cell r="K3282">
            <v>0</v>
          </cell>
          <cell r="L3282">
            <v>423.69389999999999</v>
          </cell>
          <cell r="M3282">
            <v>0</v>
          </cell>
          <cell r="N3282">
            <v>569.99</v>
          </cell>
          <cell r="O3282" t="str">
            <v/>
          </cell>
          <cell r="P3282">
            <v>0</v>
          </cell>
          <cell r="Q3282">
            <v>0.34528724628794499</v>
          </cell>
          <cell r="R3282">
            <v>0.34528724628794499</v>
          </cell>
          <cell r="S3282" t="e">
            <v>#VALUE!</v>
          </cell>
          <cell r="T3282" t="e">
            <v>#VALUE!</v>
          </cell>
        </row>
        <row r="3283">
          <cell r="A3283" t="str">
            <v>G243505ZTE</v>
          </cell>
          <cell r="B3283" t="str">
            <v>MKP000631002172</v>
          </cell>
          <cell r="C3283" t="str">
            <v/>
          </cell>
          <cell r="D3283" t="str">
            <v>Balcão Madesa Stella 35 cm 1 Porta Rustic</v>
          </cell>
          <cell r="E3283" t="str">
            <v>STELLA</v>
          </cell>
          <cell r="F3283" t="str">
            <v>MODULAÇÃO</v>
          </cell>
          <cell r="G3283" t="str">
            <v/>
          </cell>
          <cell r="H3283">
            <v>489.99</v>
          </cell>
          <cell r="I3283">
            <v>339.99</v>
          </cell>
          <cell r="J3283">
            <v>217.48769999999999</v>
          </cell>
          <cell r="K3283">
            <v>0</v>
          </cell>
          <cell r="L3283">
            <v>217.48769999999999</v>
          </cell>
          <cell r="M3283">
            <v>0</v>
          </cell>
          <cell r="N3283">
            <v>339.99</v>
          </cell>
          <cell r="O3283" t="str">
            <v/>
          </cell>
          <cell r="P3283">
            <v>0</v>
          </cell>
          <cell r="Q3283">
            <v>0.56326081888768897</v>
          </cell>
          <cell r="R3283">
            <v>0.56326081888768897</v>
          </cell>
          <cell r="S3283" t="e">
            <v>#VALUE!</v>
          </cell>
          <cell r="T3283" t="e">
            <v>#VALUE!</v>
          </cell>
        </row>
        <row r="3284">
          <cell r="A3284" t="str">
            <v>G257026EGL</v>
          </cell>
          <cell r="B3284" t="str">
            <v>MKP000631003497</v>
          </cell>
          <cell r="C3284" t="str">
            <v/>
          </cell>
          <cell r="D3284" t="str">
            <v>Armário Aéreo de Cozinha Madesa Glamy 70 cm 1 Porta Basculante Rustic/Branco</v>
          </cell>
          <cell r="E3284" t="str">
            <v>GLAMY</v>
          </cell>
          <cell r="F3284" t="str">
            <v>MODULAÇÃO</v>
          </cell>
          <cell r="G3284" t="str">
            <v/>
          </cell>
          <cell r="H3284">
            <v>409.99</v>
          </cell>
          <cell r="I3284">
            <v>259.99</v>
          </cell>
          <cell r="J3284">
            <v>166.5847</v>
          </cell>
          <cell r="K3284">
            <v>0</v>
          </cell>
          <cell r="L3284">
            <v>166.5847</v>
          </cell>
          <cell r="M3284">
            <v>0</v>
          </cell>
          <cell r="N3284">
            <v>259.99</v>
          </cell>
          <cell r="O3284" t="str">
            <v/>
          </cell>
          <cell r="P3284">
            <v>0</v>
          </cell>
          <cell r="Q3284">
            <v>0.56070755597602895</v>
          </cell>
          <cell r="R3284">
            <v>0.56070755597602895</v>
          </cell>
          <cell r="S3284" t="e">
            <v>#VALUE!</v>
          </cell>
          <cell r="T3284" t="e">
            <v>#VALUE!</v>
          </cell>
        </row>
        <row r="3285">
          <cell r="A3285" t="str">
            <v>G2212373AGCT</v>
          </cell>
          <cell r="B3285" t="str">
            <v>MKP000631004880</v>
          </cell>
          <cell r="C3285" t="str">
            <v/>
          </cell>
          <cell r="D3285" t="str">
            <v>Balcão Gabinete de Pia 120 x 60 cm 1 Porta 2 Gavetas Branco/Preto (Com Tampo) Agata Madesa</v>
          </cell>
          <cell r="E3285" t="str">
            <v>ÁGATA</v>
          </cell>
          <cell r="F3285" t="str">
            <v>MODULAÇÃO</v>
          </cell>
          <cell r="G3285" t="str">
            <v/>
          </cell>
          <cell r="H3285">
            <v>959.99</v>
          </cell>
          <cell r="I3285">
            <v>859.99</v>
          </cell>
          <cell r="J3285">
            <v>537.11929999999995</v>
          </cell>
          <cell r="K3285">
            <v>0</v>
          </cell>
          <cell r="L3285">
            <v>537.11929999999995</v>
          </cell>
          <cell r="M3285">
            <v>0</v>
          </cell>
          <cell r="N3285">
            <v>859.99</v>
          </cell>
          <cell r="O3285" t="str">
            <v/>
          </cell>
          <cell r="P3285">
            <v>0</v>
          </cell>
          <cell r="Q3285">
            <v>0.60111543189753203</v>
          </cell>
          <cell r="R3285">
            <v>0.60111543189753203</v>
          </cell>
          <cell r="S3285" t="e">
            <v>#VALUE!</v>
          </cell>
          <cell r="T3285" t="e">
            <v>#VALUE!</v>
          </cell>
        </row>
        <row r="3286">
          <cell r="A3286" t="str">
            <v>G24400F8AG</v>
          </cell>
          <cell r="B3286" t="str">
            <v>MKP000631002937</v>
          </cell>
          <cell r="C3286" t="str">
            <v/>
          </cell>
          <cell r="D3286" t="str">
            <v>Balcão Madesa Agata 40 cm 1 Porta Branco/Cinza</v>
          </cell>
          <cell r="E3286" t="str">
            <v>ÁGATA</v>
          </cell>
          <cell r="F3286" t="str">
            <v>MODULAÇÃO</v>
          </cell>
          <cell r="G3286" t="str">
            <v/>
          </cell>
          <cell r="H3286">
            <v>509.99</v>
          </cell>
          <cell r="I3286">
            <v>359.99</v>
          </cell>
          <cell r="J3286">
            <v>220.15819999999999</v>
          </cell>
          <cell r="K3286">
            <v>0</v>
          </cell>
          <cell r="L3286">
            <v>220.15819999999999</v>
          </cell>
          <cell r="M3286">
            <v>0</v>
          </cell>
          <cell r="N3286">
            <v>359.99</v>
          </cell>
          <cell r="O3286" t="str">
            <v/>
          </cell>
          <cell r="P3286">
            <v>0</v>
          </cell>
          <cell r="Q3286">
            <v>0.63514236580785999</v>
          </cell>
          <cell r="R3286">
            <v>0.63514236580785999</v>
          </cell>
          <cell r="S3286" t="e">
            <v>#VALUE!</v>
          </cell>
          <cell r="T3286" t="e">
            <v>#VALUE!</v>
          </cell>
        </row>
        <row r="3287">
          <cell r="A3287" t="str">
            <v>G2675573AG</v>
          </cell>
          <cell r="B3287" t="str">
            <v>MKP000631003063</v>
          </cell>
          <cell r="C3287" t="str">
            <v/>
          </cell>
          <cell r="D3287" t="str">
            <v>Torre Quente Madesa Agata 70 cm 3 Portas Branco/Preto</v>
          </cell>
          <cell r="E3287" t="str">
            <v>ÁGATA</v>
          </cell>
          <cell r="F3287" t="str">
            <v>MODULAÇÃO</v>
          </cell>
          <cell r="G3287" t="str">
            <v/>
          </cell>
          <cell r="H3287">
            <v>1269.99</v>
          </cell>
          <cell r="I3287">
            <v>889.99</v>
          </cell>
          <cell r="J3287">
            <v>520.20249999999999</v>
          </cell>
          <cell r="K3287">
            <v>0</v>
          </cell>
          <cell r="L3287">
            <v>520.20249999999999</v>
          </cell>
          <cell r="M3287">
            <v>0</v>
          </cell>
          <cell r="N3287">
            <v>889.99</v>
          </cell>
          <cell r="O3287" t="str">
            <v/>
          </cell>
          <cell r="P3287">
            <v>0</v>
          </cell>
          <cell r="Q3287">
            <v>0.71085298513559603</v>
          </cell>
          <cell r="R3287">
            <v>0.71085298513559603</v>
          </cell>
          <cell r="S3287" t="e">
            <v>#VALUE!</v>
          </cell>
          <cell r="T3287" t="e">
            <v>#VALUE!</v>
          </cell>
        </row>
        <row r="3288">
          <cell r="A3288" t="str">
            <v>GRLX2400037K</v>
          </cell>
          <cell r="B3288" t="str">
            <v>MKP000631002731</v>
          </cell>
          <cell r="C3288" t="str">
            <v/>
          </cell>
          <cell r="D3288" t="str">
            <v>Armário de Cozinha Completa 240cm Rustic/Preto Lux Madesa 03</v>
          </cell>
          <cell r="E3288" t="str">
            <v>LUX</v>
          </cell>
          <cell r="F3288" t="str">
            <v>COZINHA</v>
          </cell>
          <cell r="G3288" t="str">
            <v/>
          </cell>
          <cell r="H3288">
            <v>4819.99</v>
          </cell>
          <cell r="I3288">
            <v>4759.99</v>
          </cell>
          <cell r="J3288">
            <v>2795.6320000000001</v>
          </cell>
          <cell r="K3288">
            <v>0</v>
          </cell>
          <cell r="L3288">
            <v>2795.6320000000001</v>
          </cell>
          <cell r="M3288">
            <v>0</v>
          </cell>
          <cell r="N3288">
            <v>4759.99</v>
          </cell>
          <cell r="O3288" t="str">
            <v>LOJA</v>
          </cell>
          <cell r="P3288">
            <v>4179.99</v>
          </cell>
          <cell r="Q3288">
            <v>0.70265256657528596</v>
          </cell>
          <cell r="R3288">
            <v>0.70265256657528596</v>
          </cell>
          <cell r="S3288" t="e">
            <v>#VALUE!</v>
          </cell>
          <cell r="T3288" t="e">
            <v>#VALUE!</v>
          </cell>
        </row>
        <row r="3289">
          <cell r="A3289" t="str">
            <v>G228139NLXCT</v>
          </cell>
          <cell r="B3289" t="str">
            <v>MKP000631005062</v>
          </cell>
          <cell r="C3289" t="str">
            <v/>
          </cell>
          <cell r="D3289" t="str">
            <v>Balcão 80 cm 2 Gavetas Rustic/Cinza Lux Madesa</v>
          </cell>
          <cell r="E3289" t="str">
            <v>LUX</v>
          </cell>
          <cell r="F3289" t="str">
            <v>MODULAÇÃO</v>
          </cell>
          <cell r="G3289" t="str">
            <v/>
          </cell>
          <cell r="H3289">
            <v>1379.99</v>
          </cell>
          <cell r="I3289">
            <v>1099.99</v>
          </cell>
          <cell r="J3289">
            <v>608.2527</v>
          </cell>
          <cell r="K3289">
            <v>0</v>
          </cell>
          <cell r="L3289">
            <v>608.2527</v>
          </cell>
          <cell r="M3289">
            <v>0</v>
          </cell>
          <cell r="N3289">
            <v>1099.99</v>
          </cell>
          <cell r="O3289" t="str">
            <v>LOJA</v>
          </cell>
          <cell r="P3289">
            <v>1089.99</v>
          </cell>
          <cell r="Q3289">
            <v>0.80844244505614204</v>
          </cell>
          <cell r="R3289">
            <v>0.80844244505614204</v>
          </cell>
          <cell r="S3289" t="e">
            <v>#VALUE!</v>
          </cell>
          <cell r="T3289" t="e">
            <v>#VALUE!</v>
          </cell>
        </row>
        <row r="3290">
          <cell r="A3290" t="str">
            <v>G224009NLXCT</v>
          </cell>
          <cell r="B3290" t="str">
            <v>MKP000631005097</v>
          </cell>
          <cell r="C3290" t="str">
            <v/>
          </cell>
          <cell r="D3290" t="str">
            <v>Balcão 40 cm 1 Porta Rustic/Cinza Lux Madesa</v>
          </cell>
          <cell r="E3290" t="str">
            <v>LUX</v>
          </cell>
          <cell r="F3290" t="str">
            <v>MODULAÇÃO</v>
          </cell>
          <cell r="G3290" t="str">
            <v/>
          </cell>
          <cell r="H3290">
            <v>749.99</v>
          </cell>
          <cell r="I3290">
            <v>659.99</v>
          </cell>
          <cell r="J3290">
            <v>363.51499999999999</v>
          </cell>
          <cell r="K3290">
            <v>0</v>
          </cell>
          <cell r="L3290">
            <v>363.51499999999999</v>
          </cell>
          <cell r="M3290">
            <v>0</v>
          </cell>
          <cell r="N3290">
            <v>659.99</v>
          </cell>
          <cell r="O3290" t="str">
            <v>LOJA</v>
          </cell>
          <cell r="P3290">
            <v>649.99</v>
          </cell>
          <cell r="Q3290">
            <v>0.81557844930745604</v>
          </cell>
          <cell r="R3290">
            <v>0.81557844930745604</v>
          </cell>
          <cell r="S3290" t="e">
            <v>#VALUE!</v>
          </cell>
          <cell r="T3290" t="e">
            <v>#VALUE!</v>
          </cell>
        </row>
        <row r="3291">
          <cell r="A3291" t="str">
            <v>G226007KLXCT</v>
          </cell>
          <cell r="B3291" t="str">
            <v>MKP000631005085</v>
          </cell>
          <cell r="C3291" t="str">
            <v/>
          </cell>
          <cell r="D3291" t="str">
            <v>Balcão 60 cm 1 Porta Rustic/Preto Lux Madesa</v>
          </cell>
          <cell r="E3291" t="str">
            <v>LUX</v>
          </cell>
          <cell r="F3291" t="str">
            <v>MODULAÇÃO</v>
          </cell>
          <cell r="G3291" t="str">
            <v/>
          </cell>
          <cell r="H3291">
            <v>959.99</v>
          </cell>
          <cell r="I3291">
            <v>819.99</v>
          </cell>
          <cell r="J3291">
            <v>432.62099999999998</v>
          </cell>
          <cell r="K3291">
            <v>0</v>
          </cell>
          <cell r="L3291">
            <v>432.62099999999998</v>
          </cell>
          <cell r="M3291">
            <v>0</v>
          </cell>
          <cell r="N3291">
            <v>819.99</v>
          </cell>
          <cell r="O3291" t="str">
            <v>LOJA</v>
          </cell>
          <cell r="P3291">
            <v>799.99</v>
          </cell>
          <cell r="Q3291">
            <v>0.895400361979654</v>
          </cell>
          <cell r="R3291">
            <v>0.895400361979654</v>
          </cell>
          <cell r="S3291" t="e">
            <v>#VALUE!</v>
          </cell>
          <cell r="T3291" t="e">
            <v>#VALUE!</v>
          </cell>
        </row>
        <row r="3292">
          <cell r="A3292" t="str">
            <v>G256007GAG</v>
          </cell>
          <cell r="B3292" t="str">
            <v>MKP000631005405</v>
          </cell>
          <cell r="C3292" t="str">
            <v/>
          </cell>
          <cell r="D3292" t="str">
            <v>Armário Aéreo 60 cm 1 Porta Rustic/Crema Agata Madesa</v>
          </cell>
          <cell r="E3292" t="str">
            <v>ÁGATA</v>
          </cell>
          <cell r="F3292" t="str">
            <v>MODULAÇÃO</v>
          </cell>
          <cell r="G3292" t="str">
            <v/>
          </cell>
          <cell r="H3292">
            <v>459.99</v>
          </cell>
          <cell r="I3292">
            <v>359.99</v>
          </cell>
          <cell r="J3292">
            <v>183.3271</v>
          </cell>
          <cell r="K3292">
            <v>0</v>
          </cell>
          <cell r="L3292">
            <v>183.3271</v>
          </cell>
          <cell r="M3292">
            <v>0</v>
          </cell>
          <cell r="N3292">
            <v>359.99</v>
          </cell>
          <cell r="O3292" t="str">
            <v/>
          </cell>
          <cell r="P3292">
            <v>0</v>
          </cell>
          <cell r="Q3292">
            <v>0.96364858223361405</v>
          </cell>
          <cell r="R3292">
            <v>0.96364858223361405</v>
          </cell>
          <cell r="S3292" t="e">
            <v>#VALUE!</v>
          </cell>
          <cell r="T3292" t="e">
            <v>#VALUE!</v>
          </cell>
        </row>
        <row r="3293">
          <cell r="A3293" t="str">
            <v>G253507GAG</v>
          </cell>
          <cell r="B3293" t="str">
            <v>MKP000631005407</v>
          </cell>
          <cell r="C3293" t="str">
            <v/>
          </cell>
          <cell r="D3293" t="str">
            <v>Armário Aéreo 35 cm 1 Porta Rustic/Crema Agata Madesa</v>
          </cell>
          <cell r="E3293" t="str">
            <v>ÁGATA</v>
          </cell>
          <cell r="F3293" t="str">
            <v>MODULAÇÃO</v>
          </cell>
          <cell r="G3293" t="str">
            <v/>
          </cell>
          <cell r="H3293">
            <v>419.99</v>
          </cell>
          <cell r="I3293">
            <v>319.99</v>
          </cell>
          <cell r="J3293">
            <v>162.33369999999999</v>
          </cell>
          <cell r="K3293">
            <v>0</v>
          </cell>
          <cell r="L3293">
            <v>162.33369999999999</v>
          </cell>
          <cell r="M3293">
            <v>0</v>
          </cell>
          <cell r="N3293">
            <v>319.99</v>
          </cell>
          <cell r="O3293" t="str">
            <v/>
          </cell>
          <cell r="P3293">
            <v>0</v>
          </cell>
          <cell r="Q3293">
            <v>0.97118651272040202</v>
          </cell>
          <cell r="R3293">
            <v>0.97118651272040202</v>
          </cell>
          <cell r="S3293" t="e">
            <v>#VALUE!</v>
          </cell>
          <cell r="T3293" t="e">
            <v>#VALUE!</v>
          </cell>
        </row>
        <row r="3294">
          <cell r="A3294" t="str">
            <v>MDJA0401885ZFH</v>
          </cell>
          <cell r="B3294" t="str">
            <v>MKP000631006101</v>
          </cell>
          <cell r="C3294" t="str">
            <v/>
          </cell>
          <cell r="D3294" t="str">
            <v>Conjunto Sala de Jantar Mesa Tampo de Vidro 4 Cadeiras Rustic/Hibiscos Kiara Madesa</v>
          </cell>
          <cell r="E3294" t="str">
            <v>KIARA</v>
          </cell>
          <cell r="F3294" t="str">
            <v>SALA DE JANTAR</v>
          </cell>
          <cell r="G3294" t="str">
            <v>4290X</v>
          </cell>
          <cell r="H3294">
            <v>869.99</v>
          </cell>
          <cell r="I3294">
            <v>769.99</v>
          </cell>
          <cell r="J3294">
            <v>617.41959999999995</v>
          </cell>
          <cell r="K3294">
            <v>0</v>
          </cell>
          <cell r="L3294">
            <v>617.41959999999995</v>
          </cell>
          <cell r="M3294">
            <v>0</v>
          </cell>
          <cell r="N3294">
            <v>769.99</v>
          </cell>
          <cell r="O3294" t="str">
            <v/>
          </cell>
          <cell r="P3294">
            <v>0</v>
          </cell>
          <cell r="Q3294">
            <v>0.24710974513928599</v>
          </cell>
          <cell r="R3294">
            <v>0.24710974513928599</v>
          </cell>
          <cell r="S3294" t="e">
            <v>#VALUE!</v>
          </cell>
          <cell r="T3294" t="e">
            <v>#VALUE!</v>
          </cell>
        </row>
        <row r="3295">
          <cell r="A3295" t="str">
            <v>GRGL2200037K</v>
          </cell>
          <cell r="B3295" t="str">
            <v>MKP000631001457</v>
          </cell>
          <cell r="C3295" t="str">
            <v/>
          </cell>
          <cell r="D3295" t="str">
            <v>Armário de Cozinha Completa 220cm Rustic/Preto Parma Madesa 03</v>
          </cell>
          <cell r="E3295" t="str">
            <v>PARMA/GLAMY</v>
          </cell>
          <cell r="F3295" t="str">
            <v>COZINHA</v>
          </cell>
          <cell r="G3295" t="str">
            <v/>
          </cell>
          <cell r="H3295">
            <v>1899.99</v>
          </cell>
          <cell r="I3295">
            <v>1799.99</v>
          </cell>
          <cell r="J3295">
            <v>1541.2927</v>
          </cell>
          <cell r="K3295">
            <v>0</v>
          </cell>
          <cell r="L3295">
            <v>1541.2927</v>
          </cell>
          <cell r="M3295">
            <v>0</v>
          </cell>
          <cell r="N3295">
            <v>1799.99</v>
          </cell>
          <cell r="O3295" t="str">
            <v/>
          </cell>
          <cell r="P3295">
            <v>0</v>
          </cell>
          <cell r="Q3295">
            <v>0.16784436856153301</v>
          </cell>
          <cell r="R3295">
            <v>0.16784436856153301</v>
          </cell>
          <cell r="S3295" t="e">
            <v>#VALUE!</v>
          </cell>
          <cell r="T3295" t="e">
            <v>#VALUE!</v>
          </cell>
        </row>
        <row r="3296">
          <cell r="A3296" t="str">
            <v>GRGL220003D9</v>
          </cell>
          <cell r="B3296" t="str">
            <v>MKP000631001456</v>
          </cell>
          <cell r="C3296" t="str">
            <v/>
          </cell>
          <cell r="D3296" t="str">
            <v>Armário de Cozinha Completa 220cm Rustic/Rustic/Branco Parma Madesa 03</v>
          </cell>
          <cell r="E3296" t="str">
            <v>PARMA/GLAMY</v>
          </cell>
          <cell r="F3296" t="str">
            <v>COZINHA</v>
          </cell>
          <cell r="G3296" t="str">
            <v/>
          </cell>
          <cell r="H3296">
            <v>1899.99</v>
          </cell>
          <cell r="I3296">
            <v>1799.99</v>
          </cell>
          <cell r="J3296">
            <v>1541.2927</v>
          </cell>
          <cell r="K3296">
            <v>0</v>
          </cell>
          <cell r="L3296">
            <v>1541.2927</v>
          </cell>
          <cell r="M3296">
            <v>0</v>
          </cell>
          <cell r="N3296">
            <v>1799.99</v>
          </cell>
          <cell r="O3296" t="str">
            <v/>
          </cell>
          <cell r="P3296">
            <v>0</v>
          </cell>
          <cell r="Q3296">
            <v>0.16784436856153301</v>
          </cell>
          <cell r="R3296">
            <v>0.16784436856153301</v>
          </cell>
          <cell r="S3296" t="e">
            <v>#VALUE!</v>
          </cell>
          <cell r="T3296" t="e">
            <v>#VALUE!</v>
          </cell>
        </row>
        <row r="3297">
          <cell r="A3297" t="str">
            <v>1118732E</v>
          </cell>
          <cell r="B3297" t="str">
            <v>MKP000631002674</v>
          </cell>
          <cell r="C3297" t="str">
            <v/>
          </cell>
          <cell r="D3297" t="str">
            <v>Guarda-Roupa Casal Madesa Istambul 3 Portas de Correr com Espelhos 3 Gavetas Branco/Preto</v>
          </cell>
          <cell r="E3297" t="str">
            <v>ISTAMBUL</v>
          </cell>
          <cell r="F3297" t="str">
            <v>QUARTO</v>
          </cell>
          <cell r="G3297" t="str">
            <v/>
          </cell>
          <cell r="H3297">
            <v>2389.9899999999998</v>
          </cell>
          <cell r="I3297">
            <v>1869.99</v>
          </cell>
          <cell r="J3297">
            <v>1565.7304999999999</v>
          </cell>
          <cell r="K3297">
            <v>0</v>
          </cell>
          <cell r="L3297">
            <v>1565.7304999999999</v>
          </cell>
          <cell r="M3297">
            <v>0</v>
          </cell>
          <cell r="N3297">
            <v>1869.99</v>
          </cell>
          <cell r="O3297" t="str">
            <v/>
          </cell>
          <cell r="P3297">
            <v>0</v>
          </cell>
          <cell r="Q3297">
            <v>0.194324310601345</v>
          </cell>
          <cell r="R3297">
            <v>0.194324310601345</v>
          </cell>
          <cell r="S3297" t="e">
            <v>#VALUE!</v>
          </cell>
          <cell r="T3297" t="e">
            <v>#VALUE!</v>
          </cell>
        </row>
        <row r="3298">
          <cell r="A3298" t="str">
            <v>GRGL270008A9</v>
          </cell>
          <cell r="B3298" t="str">
            <v>MKP000631001221</v>
          </cell>
          <cell r="C3298" t="str">
            <v/>
          </cell>
          <cell r="D3298" t="str">
            <v>Armário de Cozinha Completa 270cm Branco/Rustic/Crema Jade Madesa 08</v>
          </cell>
          <cell r="E3298" t="str">
            <v>JADE/GLAMY</v>
          </cell>
          <cell r="F3298" t="str">
            <v>COZINHA</v>
          </cell>
          <cell r="G3298" t="str">
            <v/>
          </cell>
          <cell r="H3298">
            <v>2799.99</v>
          </cell>
          <cell r="I3298">
            <v>2099.9899999999998</v>
          </cell>
          <cell r="J3298">
            <v>1744.8065999999999</v>
          </cell>
          <cell r="K3298">
            <v>0</v>
          </cell>
          <cell r="L3298">
            <v>1744.8065999999999</v>
          </cell>
          <cell r="M3298">
            <v>0</v>
          </cell>
          <cell r="N3298">
            <v>2099.9899999999998</v>
          </cell>
          <cell r="O3298" t="str">
            <v/>
          </cell>
          <cell r="P3298">
            <v>0</v>
          </cell>
          <cell r="Q3298">
            <v>0.2035660571206</v>
          </cell>
          <cell r="R3298">
            <v>0.2035660571206</v>
          </cell>
          <cell r="S3298" t="e">
            <v>#VALUE!</v>
          </cell>
          <cell r="T3298" t="e">
            <v>#VALUE!</v>
          </cell>
        </row>
        <row r="3299">
          <cell r="A3299" t="str">
            <v>GRGL2900109B</v>
          </cell>
          <cell r="B3299" t="str">
            <v>MKP000631001201</v>
          </cell>
          <cell r="C3299" t="str">
            <v/>
          </cell>
          <cell r="D3299" t="str">
            <v>Armário de Cozinha Completa 290cm Branco/Rustic Cristal Madesa 09</v>
          </cell>
          <cell r="E3299" t="str">
            <v>CRISTAL/GLAMY</v>
          </cell>
          <cell r="F3299" t="str">
            <v>COZINHA</v>
          </cell>
          <cell r="G3299" t="str">
            <v/>
          </cell>
          <cell r="H3299">
            <v>2199.9899999999998</v>
          </cell>
          <cell r="I3299">
            <v>2099.9899999999998</v>
          </cell>
          <cell r="J3299">
            <v>1743.5204000000001</v>
          </cell>
          <cell r="K3299">
            <v>0</v>
          </cell>
          <cell r="L3299">
            <v>1743.5204000000001</v>
          </cell>
          <cell r="M3299">
            <v>0</v>
          </cell>
          <cell r="N3299">
            <v>2099.9899999999998</v>
          </cell>
          <cell r="O3299" t="str">
            <v/>
          </cell>
          <cell r="P3299">
            <v>0</v>
          </cell>
          <cell r="Q3299">
            <v>0.20445393125311301</v>
          </cell>
          <cell r="R3299">
            <v>0.20445393125311301</v>
          </cell>
          <cell r="S3299" t="e">
            <v>#VALUE!</v>
          </cell>
          <cell r="T3299" t="e">
            <v>#VALUE!</v>
          </cell>
        </row>
        <row r="3300">
          <cell r="A3300" t="str">
            <v>GRGL290010D7</v>
          </cell>
          <cell r="B3300" t="str">
            <v>MKP000631001205</v>
          </cell>
          <cell r="C3300" t="str">
            <v/>
          </cell>
          <cell r="D3300" t="str">
            <v>Armário de Cozinha Completa 290cm Branco/Preto/Rustic Cristal Madesa 09</v>
          </cell>
          <cell r="E3300" t="str">
            <v>CRISTAL/GLAMY</v>
          </cell>
          <cell r="F3300" t="str">
            <v>COZINHA</v>
          </cell>
          <cell r="G3300" t="str">
            <v/>
          </cell>
          <cell r="H3300">
            <v>2199.9899999999998</v>
          </cell>
          <cell r="I3300">
            <v>2099.9899999999998</v>
          </cell>
          <cell r="J3300">
            <v>1743.5204000000001</v>
          </cell>
          <cell r="K3300">
            <v>0</v>
          </cell>
          <cell r="L3300">
            <v>1743.5204000000001</v>
          </cell>
          <cell r="M3300">
            <v>0</v>
          </cell>
          <cell r="N3300">
            <v>2099.9899999999998</v>
          </cell>
          <cell r="O3300" t="str">
            <v/>
          </cell>
          <cell r="P3300">
            <v>0</v>
          </cell>
          <cell r="Q3300">
            <v>0.20445393125311301</v>
          </cell>
          <cell r="R3300">
            <v>0.20445393125311301</v>
          </cell>
          <cell r="S3300" t="e">
            <v>#VALUE!</v>
          </cell>
          <cell r="T3300" t="e">
            <v>#VALUE!</v>
          </cell>
        </row>
        <row r="3301">
          <cell r="A3301" t="str">
            <v>GRGL2700147K</v>
          </cell>
          <cell r="B3301" t="str">
            <v>MKP000631004377</v>
          </cell>
          <cell r="C3301" t="str">
            <v/>
          </cell>
          <cell r="D3301" t="str">
            <v>Armário de Cozinha Completa 270cm Rustic/Preto Glamy Madesa 14</v>
          </cell>
          <cell r="E3301" t="str">
            <v>GLAMY</v>
          </cell>
          <cell r="F3301" t="str">
            <v>COZINHA</v>
          </cell>
          <cell r="G3301" t="str">
            <v/>
          </cell>
          <cell r="H3301">
            <v>1999.99</v>
          </cell>
          <cell r="I3301">
            <v>1899.99</v>
          </cell>
          <cell r="J3301">
            <v>1576.9575</v>
          </cell>
          <cell r="K3301">
            <v>0</v>
          </cell>
          <cell r="L3301">
            <v>1576.9575</v>
          </cell>
          <cell r="M3301">
            <v>0</v>
          </cell>
          <cell r="N3301">
            <v>1899.99</v>
          </cell>
          <cell r="O3301" t="str">
            <v/>
          </cell>
          <cell r="P3301">
            <v>0</v>
          </cell>
          <cell r="Q3301">
            <v>0.20484540642344501</v>
          </cell>
          <cell r="R3301">
            <v>0.20484540642344501</v>
          </cell>
          <cell r="S3301" t="e">
            <v>#VALUE!</v>
          </cell>
          <cell r="T3301" t="e">
            <v>#VALUE!</v>
          </cell>
        </row>
        <row r="3302">
          <cell r="A3302" t="str">
            <v>GREM2610087K</v>
          </cell>
          <cell r="B3302" t="str">
            <v>MKP000631005157</v>
          </cell>
          <cell r="C3302" t="str">
            <v/>
          </cell>
          <cell r="D3302" t="str">
            <v>Armário de Cozinha Completa 261cm Rustic/Preto Emilly Madesa 08</v>
          </cell>
          <cell r="E3302" t="str">
            <v>EMILLY</v>
          </cell>
          <cell r="F3302" t="str">
            <v>COZINHA</v>
          </cell>
          <cell r="G3302" t="str">
            <v/>
          </cell>
          <cell r="H3302">
            <v>1469.99</v>
          </cell>
          <cell r="I3302">
            <v>1369.99</v>
          </cell>
          <cell r="J3302">
            <v>1096.0604000000001</v>
          </cell>
          <cell r="K3302">
            <v>0</v>
          </cell>
          <cell r="L3302">
            <v>1096.0604000000001</v>
          </cell>
          <cell r="M3302">
            <v>0</v>
          </cell>
          <cell r="N3302">
            <v>1369.99</v>
          </cell>
          <cell r="O3302" t="str">
            <v/>
          </cell>
          <cell r="P3302">
            <v>0</v>
          </cell>
          <cell r="Q3302">
            <v>0.24992199335000101</v>
          </cell>
          <cell r="R3302">
            <v>0.24992199335000101</v>
          </cell>
          <cell r="S3302" t="e">
            <v>#VALUE!</v>
          </cell>
          <cell r="T3302" t="e">
            <v>#VALUE!</v>
          </cell>
        </row>
        <row r="3303">
          <cell r="A3303" t="str">
            <v>1063731B</v>
          </cell>
          <cell r="B3303" t="str">
            <v>MKP000631003122</v>
          </cell>
          <cell r="C3303" t="str">
            <v/>
          </cell>
          <cell r="D3303" t="str">
            <v>Guarda-Roupa Casal 100% MDF Madesa Royale 3 Portas de Correr Branco/Preto/Branco</v>
          </cell>
          <cell r="E3303" t="str">
            <v>ROYALE</v>
          </cell>
          <cell r="F3303" t="str">
            <v>QUARTO</v>
          </cell>
          <cell r="G3303" t="str">
            <v/>
          </cell>
          <cell r="H3303">
            <v>2469.9899999999998</v>
          </cell>
          <cell r="I3303">
            <v>1899.99</v>
          </cell>
          <cell r="J3303">
            <v>1551.3534</v>
          </cell>
          <cell r="K3303">
            <v>0</v>
          </cell>
          <cell r="L3303">
            <v>1551.3534</v>
          </cell>
          <cell r="M3303">
            <v>0</v>
          </cell>
          <cell r="N3303">
            <v>1899.99</v>
          </cell>
          <cell r="O3303" t="str">
            <v/>
          </cell>
          <cell r="P3303">
            <v>0</v>
          </cell>
          <cell r="Q3303">
            <v>0.22473061263797101</v>
          </cell>
          <cell r="R3303">
            <v>0.22473061263797101</v>
          </cell>
          <cell r="S3303" t="e">
            <v>#VALUE!</v>
          </cell>
          <cell r="T3303" t="e">
            <v>#VALUE!</v>
          </cell>
        </row>
        <row r="3304">
          <cell r="A3304" t="str">
            <v>GCTE4990016E</v>
          </cell>
          <cell r="B3304" t="str">
            <v>MKP000631005757</v>
          </cell>
          <cell r="C3304" t="str">
            <v/>
          </cell>
          <cell r="D3304" t="str">
            <v>Armário de Cozinha Completa de Canto 499cm Rustic/Branco Stella Madesa 01</v>
          </cell>
          <cell r="E3304" t="str">
            <v>STELLA</v>
          </cell>
          <cell r="F3304" t="str">
            <v>COZINHA</v>
          </cell>
          <cell r="G3304" t="str">
            <v/>
          </cell>
          <cell r="H3304">
            <v>3899.99</v>
          </cell>
          <cell r="I3304">
            <v>3899.99</v>
          </cell>
          <cell r="J3304">
            <v>3139.4506999999999</v>
          </cell>
          <cell r="K3304">
            <v>0</v>
          </cell>
          <cell r="L3304">
            <v>3139.4506999999999</v>
          </cell>
          <cell r="M3304">
            <v>0</v>
          </cell>
          <cell r="N3304">
            <v>3899.99</v>
          </cell>
          <cell r="O3304" t="str">
            <v/>
          </cell>
          <cell r="P3304">
            <v>0</v>
          </cell>
          <cell r="Q3304">
            <v>0.24225234688348499</v>
          </cell>
          <cell r="R3304">
            <v>0.24225234688348499</v>
          </cell>
          <cell r="S3304" t="e">
            <v>#VALUE!</v>
          </cell>
          <cell r="T3304" t="e">
            <v>#VALUE!</v>
          </cell>
        </row>
        <row r="3305">
          <cell r="A3305" t="str">
            <v>GCAG47900173</v>
          </cell>
          <cell r="B3305" t="str">
            <v>MKP000631004524</v>
          </cell>
          <cell r="C3305" t="str">
            <v/>
          </cell>
          <cell r="D3305" t="str">
            <v>Armário de Cozinha Completa de Canto 479cm Branco Preto Agata Madesa 01</v>
          </cell>
          <cell r="E3305" t="str">
            <v>ÁGATA</v>
          </cell>
          <cell r="F3305" t="str">
            <v>COZINHA</v>
          </cell>
          <cell r="G3305" t="str">
            <v/>
          </cell>
          <cell r="H3305">
            <v>4069.99</v>
          </cell>
          <cell r="I3305">
            <v>3579.99</v>
          </cell>
          <cell r="J3305">
            <v>2881.8182999999999</v>
          </cell>
          <cell r="K3305">
            <v>0</v>
          </cell>
          <cell r="L3305">
            <v>2881.8182999999999</v>
          </cell>
          <cell r="M3305">
            <v>0</v>
          </cell>
          <cell r="N3305">
            <v>3579.99</v>
          </cell>
          <cell r="O3305" t="str">
            <v/>
          </cell>
          <cell r="P3305">
            <v>0</v>
          </cell>
          <cell r="Q3305">
            <v>0.24226777239911301</v>
          </cell>
          <cell r="R3305">
            <v>0.24226777239911301</v>
          </cell>
          <cell r="S3305" t="e">
            <v>#VALUE!</v>
          </cell>
          <cell r="T3305" t="e">
            <v>#VALUE!</v>
          </cell>
        </row>
        <row r="3306">
          <cell r="A3306" t="str">
            <v>GRGL1800095Z</v>
          </cell>
          <cell r="B3306" t="str">
            <v>MKP000631005229</v>
          </cell>
          <cell r="C3306" t="str">
            <v/>
          </cell>
          <cell r="D3306" t="str">
            <v>Armário de Cozinha Compacta 180cm Rustic Glamy Madesa 09</v>
          </cell>
          <cell r="E3306" t="str">
            <v>GLAMY</v>
          </cell>
          <cell r="F3306" t="str">
            <v>COZINHA</v>
          </cell>
          <cell r="G3306" t="str">
            <v/>
          </cell>
          <cell r="H3306">
            <v>1399.99</v>
          </cell>
          <cell r="I3306">
            <v>1299.99</v>
          </cell>
          <cell r="J3306">
            <v>1045.0156999999999</v>
          </cell>
          <cell r="K3306">
            <v>0</v>
          </cell>
          <cell r="L3306">
            <v>1045.0156999999999</v>
          </cell>
          <cell r="M3306">
            <v>0</v>
          </cell>
          <cell r="N3306">
            <v>1299.99</v>
          </cell>
          <cell r="O3306" t="str">
            <v/>
          </cell>
          <cell r="P3306">
            <v>0</v>
          </cell>
          <cell r="Q3306">
            <v>0.24399087975424699</v>
          </cell>
          <cell r="R3306">
            <v>0.24399087975424699</v>
          </cell>
          <cell r="S3306" t="e">
            <v>#VALUE!</v>
          </cell>
          <cell r="T3306" t="e">
            <v>#VALUE!</v>
          </cell>
        </row>
        <row r="3307">
          <cell r="A3307" t="str">
            <v>GRTE2700106E</v>
          </cell>
          <cell r="B3307" t="str">
            <v>MKP000631005927</v>
          </cell>
          <cell r="C3307" t="str">
            <v/>
          </cell>
          <cell r="D3307" t="str">
            <v>Armário de Cozinha Completa 270cm Rustic/Branco Stella Madesa 10</v>
          </cell>
          <cell r="E3307" t="str">
            <v>STELLA</v>
          </cell>
          <cell r="F3307" t="str">
            <v>COZINHA</v>
          </cell>
          <cell r="G3307" t="str">
            <v/>
          </cell>
          <cell r="H3307">
            <v>1899.99</v>
          </cell>
          <cell r="I3307">
            <v>1799.99</v>
          </cell>
          <cell r="J3307">
            <v>1434.7779</v>
          </cell>
          <cell r="K3307">
            <v>0</v>
          </cell>
          <cell r="L3307">
            <v>1434.7779</v>
          </cell>
          <cell r="M3307">
            <v>0</v>
          </cell>
          <cell r="N3307">
            <v>1799.99</v>
          </cell>
          <cell r="O3307" t="str">
            <v/>
          </cell>
          <cell r="P3307">
            <v>0</v>
          </cell>
          <cell r="Q3307">
            <v>0.25454260202920598</v>
          </cell>
          <cell r="R3307">
            <v>0.25454260202920598</v>
          </cell>
          <cell r="S3307" t="e">
            <v>#VALUE!</v>
          </cell>
          <cell r="T3307" t="e">
            <v>#VALUE!</v>
          </cell>
        </row>
        <row r="3308">
          <cell r="A3308" t="str">
            <v>MDJA0601565ZBE</v>
          </cell>
          <cell r="B3308" t="str">
            <v>MKP000631005891</v>
          </cell>
          <cell r="C3308" t="str">
            <v/>
          </cell>
          <cell r="D3308" t="str">
            <v>Conjunto Sala de Jantar Mesa Tampo de Madeira 6 Cadeiras Rustic/Bege Sharon Madesa</v>
          </cell>
          <cell r="E3308" t="str">
            <v>SHARON</v>
          </cell>
          <cell r="F3308" t="str">
            <v>SALA DE JANTAR</v>
          </cell>
          <cell r="G3308" t="str">
            <v>4290X</v>
          </cell>
          <cell r="H3308">
            <v>839.99</v>
          </cell>
          <cell r="I3308">
            <v>739.99</v>
          </cell>
          <cell r="J3308">
            <v>588.73080000000004</v>
          </cell>
          <cell r="K3308">
            <v>0</v>
          </cell>
          <cell r="L3308">
            <v>588.73080000000004</v>
          </cell>
          <cell r="M3308">
            <v>0</v>
          </cell>
          <cell r="N3308">
            <v>739.99</v>
          </cell>
          <cell r="O3308" t="str">
            <v/>
          </cell>
          <cell r="P3308">
            <v>0</v>
          </cell>
          <cell r="Q3308">
            <v>0.256924217316301</v>
          </cell>
          <cell r="R3308">
            <v>0.256924217316301</v>
          </cell>
          <cell r="S3308" t="e">
            <v>#VALUE!</v>
          </cell>
          <cell r="T3308" t="e">
            <v>#VALUE!</v>
          </cell>
        </row>
        <row r="3309">
          <cell r="A3309" t="str">
            <v>MDJA0601477GSIM</v>
          </cell>
          <cell r="B3309" t="str">
            <v>MKP000631005709</v>
          </cell>
          <cell r="C3309" t="str">
            <v/>
          </cell>
          <cell r="D3309" t="str">
            <v>Conjunto Sala de Jantar Mesa Tampo de Madeira 6 Cadeiras Rustic/Crema/Imperial Cheryl Madesa</v>
          </cell>
          <cell r="E3309" t="str">
            <v>CHERYL</v>
          </cell>
          <cell r="F3309" t="str">
            <v>SALA DE JANTAR</v>
          </cell>
          <cell r="G3309">
            <v>4255</v>
          </cell>
          <cell r="H3309">
            <v>1399.99</v>
          </cell>
          <cell r="I3309">
            <v>1299.99</v>
          </cell>
          <cell r="J3309">
            <v>990.28679999999997</v>
          </cell>
          <cell r="K3309">
            <v>0</v>
          </cell>
          <cell r="L3309">
            <v>990.28679999999997</v>
          </cell>
          <cell r="M3309">
            <v>0</v>
          </cell>
          <cell r="N3309">
            <v>1299.99</v>
          </cell>
          <cell r="O3309" t="str">
            <v/>
          </cell>
          <cell r="P3309">
            <v>0</v>
          </cell>
          <cell r="Q3309">
            <v>0.312740915056123</v>
          </cell>
          <cell r="R3309">
            <v>0.312740915056123</v>
          </cell>
          <cell r="S3309" t="e">
            <v>#VALUE!</v>
          </cell>
          <cell r="T3309" t="e">
            <v>#VALUE!</v>
          </cell>
        </row>
        <row r="3310">
          <cell r="A3310" t="str">
            <v>G241537KGLFF</v>
          </cell>
          <cell r="B3310" t="str">
            <v>MKP000631005600</v>
          </cell>
          <cell r="C3310" t="str">
            <v/>
          </cell>
          <cell r="D3310" t="str">
            <v>Balcão Gabinete de Pia Madesa Glamy 150 cm 2 Gavetas 2 Portas (Sem Tampo e Pia) Rustic/Preto</v>
          </cell>
          <cell r="E3310" t="str">
            <v>GLAMY</v>
          </cell>
          <cell r="F3310" t="str">
            <v>MODULAÇÃO</v>
          </cell>
          <cell r="G3310" t="str">
            <v/>
          </cell>
          <cell r="H3310">
            <v>689.99</v>
          </cell>
          <cell r="I3310">
            <v>629.99</v>
          </cell>
          <cell r="J3310">
            <v>489.39909999999998</v>
          </cell>
          <cell r="K3310">
            <v>0</v>
          </cell>
          <cell r="L3310">
            <v>489.39909999999998</v>
          </cell>
          <cell r="M3310">
            <v>0</v>
          </cell>
          <cell r="N3310">
            <v>629.99</v>
          </cell>
          <cell r="O3310" t="str">
            <v/>
          </cell>
          <cell r="P3310">
            <v>0</v>
          </cell>
          <cell r="Q3310">
            <v>0.28727249396249399</v>
          </cell>
          <cell r="R3310">
            <v>0.28727249396249399</v>
          </cell>
          <cell r="S3310" t="e">
            <v>#VALUE!</v>
          </cell>
          <cell r="T3310" t="e">
            <v>#VALUE!</v>
          </cell>
        </row>
        <row r="3311">
          <cell r="A3311" t="str">
            <v>MDES0200146E9B</v>
          </cell>
          <cell r="B3311" t="str">
            <v>MKP000631002895</v>
          </cell>
          <cell r="C3311" t="str">
            <v/>
          </cell>
          <cell r="D3311" t="str">
            <v>Rack Madesa Dubai e Painel para TV até 65 Polegadas com Pés Rustic/Branco 6E9B</v>
          </cell>
          <cell r="E3311" t="str">
            <v>DUBAI</v>
          </cell>
          <cell r="F3311" t="str">
            <v>SALA DE ESTAR</v>
          </cell>
          <cell r="G3311" t="str">
            <v/>
          </cell>
          <cell r="H3311">
            <v>1149.99</v>
          </cell>
          <cell r="I3311">
            <v>599.99</v>
          </cell>
          <cell r="J3311">
            <v>442.649</v>
          </cell>
          <cell r="K3311">
            <v>0</v>
          </cell>
          <cell r="L3311">
            <v>442.649</v>
          </cell>
          <cell r="M3311">
            <v>0</v>
          </cell>
          <cell r="N3311">
            <v>599.99</v>
          </cell>
          <cell r="O3311" t="str">
            <v/>
          </cell>
          <cell r="P3311">
            <v>0</v>
          </cell>
          <cell r="Q3311">
            <v>0.35545319203251302</v>
          </cell>
          <cell r="R3311">
            <v>0.35545319203251302</v>
          </cell>
          <cell r="S3311" t="e">
            <v>#VALUE!</v>
          </cell>
          <cell r="T3311" t="e">
            <v>#VALUE!</v>
          </cell>
        </row>
        <row r="3312">
          <cell r="A3312" t="str">
            <v>GRAG2700037K</v>
          </cell>
          <cell r="B3312" t="str">
            <v>MKP000631004467</v>
          </cell>
          <cell r="C3312" t="str">
            <v/>
          </cell>
          <cell r="D3312" t="str">
            <v>Armário de Cozinha Completa 270cm Rustic Preto Agata Madesa 03</v>
          </cell>
          <cell r="E3312" t="str">
            <v>ÁGATA</v>
          </cell>
          <cell r="F3312" t="str">
            <v>COZINHA</v>
          </cell>
          <cell r="G3312" t="str">
            <v/>
          </cell>
          <cell r="H3312">
            <v>2529.9899999999998</v>
          </cell>
          <cell r="I3312">
            <v>2379.9899999999998</v>
          </cell>
          <cell r="J3312">
            <v>1695.8765000000001</v>
          </cell>
          <cell r="K3312">
            <v>0</v>
          </cell>
          <cell r="L3312">
            <v>1695.8765000000001</v>
          </cell>
          <cell r="M3312">
            <v>0</v>
          </cell>
          <cell r="N3312">
            <v>2379.9899999999998</v>
          </cell>
          <cell r="O3312" t="str">
            <v>LOJA</v>
          </cell>
          <cell r="P3312">
            <v>2199.9899999999998</v>
          </cell>
          <cell r="Q3312">
            <v>0.40339818377104703</v>
          </cell>
          <cell r="R3312">
            <v>0.40339818377104703</v>
          </cell>
          <cell r="S3312" t="e">
            <v>#VALUE!</v>
          </cell>
          <cell r="T3312" t="e">
            <v>#VALUE!</v>
          </cell>
        </row>
        <row r="3313">
          <cell r="A3313" t="str">
            <v>GCAG4790017G</v>
          </cell>
          <cell r="B3313" t="str">
            <v>MKP000631005493</v>
          </cell>
          <cell r="C3313" t="str">
            <v/>
          </cell>
          <cell r="D3313" t="str">
            <v>Armário de Cozinha Completa de Canto 479cm Rustic/Crema Agata Madesa 01</v>
          </cell>
          <cell r="E3313" t="str">
            <v>ÁGATA</v>
          </cell>
          <cell r="F3313" t="str">
            <v>COZINHA</v>
          </cell>
          <cell r="G3313" t="str">
            <v/>
          </cell>
          <cell r="H3313">
            <v>3759.99</v>
          </cell>
          <cell r="I3313">
            <v>3759.99</v>
          </cell>
          <cell r="J3313">
            <v>2881.8182999999999</v>
          </cell>
          <cell r="K3313">
            <v>0</v>
          </cell>
          <cell r="L3313">
            <v>2881.8182999999999</v>
          </cell>
          <cell r="M3313">
            <v>0</v>
          </cell>
          <cell r="N3313">
            <v>3759.99</v>
          </cell>
          <cell r="O3313" t="str">
            <v/>
          </cell>
          <cell r="P3313">
            <v>0</v>
          </cell>
          <cell r="Q3313">
            <v>0.30472833766098301</v>
          </cell>
          <cell r="R3313">
            <v>0.30472833766098301</v>
          </cell>
          <cell r="S3313" t="e">
            <v>#VALUE!</v>
          </cell>
          <cell r="T3313" t="e">
            <v>#VALUE!</v>
          </cell>
        </row>
        <row r="3314">
          <cell r="A3314" t="str">
            <v>G241245LAG</v>
          </cell>
          <cell r="B3314" t="str">
            <v>MKP000631005397</v>
          </cell>
          <cell r="C3314" t="str">
            <v/>
          </cell>
          <cell r="D3314" t="str">
            <v>Balcão Gabinete de Pia 2 Portas e 3 Gavetas Branco/Crema Agata Madesa</v>
          </cell>
          <cell r="E3314" t="str">
            <v>ÁGATA</v>
          </cell>
          <cell r="F3314" t="str">
            <v>MODULAÇÃO</v>
          </cell>
          <cell r="G3314" t="str">
            <v/>
          </cell>
          <cell r="H3314">
            <v>879.99</v>
          </cell>
          <cell r="I3314">
            <v>779.99</v>
          </cell>
          <cell r="J3314">
            <v>542.59109999999998</v>
          </cell>
          <cell r="K3314">
            <v>0</v>
          </cell>
          <cell r="L3314">
            <v>542.59109999999998</v>
          </cell>
          <cell r="M3314">
            <v>0</v>
          </cell>
          <cell r="N3314">
            <v>779.99</v>
          </cell>
          <cell r="O3314" t="str">
            <v/>
          </cell>
          <cell r="P3314">
            <v>0</v>
          </cell>
          <cell r="Q3314">
            <v>0.43752818651098402</v>
          </cell>
          <cell r="R3314">
            <v>0.43752818651098402</v>
          </cell>
          <cell r="S3314" t="e">
            <v>#VALUE!</v>
          </cell>
          <cell r="T3314" t="e">
            <v>#VALUE!</v>
          </cell>
        </row>
        <row r="3315">
          <cell r="A3315" t="str">
            <v>G244016EGL</v>
          </cell>
          <cell r="B3315" t="str">
            <v>MKP000631000836</v>
          </cell>
          <cell r="C3315" t="str">
            <v/>
          </cell>
          <cell r="D3315" t="str">
            <v>Balcão Madesa Glamy 40 cm 3 Gavetas Rustic/Branco</v>
          </cell>
          <cell r="E3315" t="str">
            <v>GLAMY</v>
          </cell>
          <cell r="F3315" t="str">
            <v>MODULAÇÃO</v>
          </cell>
          <cell r="G3315" t="str">
            <v/>
          </cell>
          <cell r="H3315">
            <v>979.99</v>
          </cell>
          <cell r="I3315">
            <v>529.99</v>
          </cell>
          <cell r="J3315">
            <v>348.39670000000001</v>
          </cell>
          <cell r="K3315">
            <v>0</v>
          </cell>
          <cell r="L3315">
            <v>348.39670000000001</v>
          </cell>
          <cell r="M3315">
            <v>0</v>
          </cell>
          <cell r="N3315">
            <v>529.99</v>
          </cell>
          <cell r="O3315" t="str">
            <v/>
          </cell>
          <cell r="P3315">
            <v>0</v>
          </cell>
          <cell r="Q3315">
            <v>0.52122566028897499</v>
          </cell>
          <cell r="R3315">
            <v>0.52122566028897499</v>
          </cell>
          <cell r="S3315" t="e">
            <v>#VALUE!</v>
          </cell>
          <cell r="T3315" t="e">
            <v>#VALUE!</v>
          </cell>
        </row>
        <row r="3316">
          <cell r="A3316" t="str">
            <v>G246006ETE</v>
          </cell>
          <cell r="B3316" t="str">
            <v>MKP000631002158</v>
          </cell>
          <cell r="C3316" t="str">
            <v/>
          </cell>
          <cell r="D3316" t="str">
            <v>Balcão Madesa Stella 60 cm 1 Porta Rustic/Branco</v>
          </cell>
          <cell r="E3316" t="str">
            <v>STELLA</v>
          </cell>
          <cell r="F3316" t="str">
            <v>MODULAÇÃO</v>
          </cell>
          <cell r="G3316" t="str">
            <v/>
          </cell>
          <cell r="H3316">
            <v>789.99</v>
          </cell>
          <cell r="I3316">
            <v>399.99</v>
          </cell>
          <cell r="J3316">
            <v>253.49039999999999</v>
          </cell>
          <cell r="K3316">
            <v>0</v>
          </cell>
          <cell r="L3316">
            <v>253.49039999999999</v>
          </cell>
          <cell r="M3316">
            <v>0</v>
          </cell>
          <cell r="N3316">
            <v>399.99</v>
          </cell>
          <cell r="O3316" t="str">
            <v/>
          </cell>
          <cell r="P3316">
            <v>0</v>
          </cell>
          <cell r="Q3316">
            <v>0.577929578398235</v>
          </cell>
          <cell r="R3316">
            <v>0.577929578398235</v>
          </cell>
          <cell r="S3316" t="e">
            <v>#VALUE!</v>
          </cell>
          <cell r="T3316" t="e">
            <v>#VALUE!</v>
          </cell>
        </row>
        <row r="3317">
          <cell r="A3317" t="str">
            <v>G243507KGL</v>
          </cell>
          <cell r="B3317" t="str">
            <v>MKP000631003449</v>
          </cell>
          <cell r="C3317" t="str">
            <v/>
          </cell>
          <cell r="D3317" t="str">
            <v>Balcão Madesa Glamy 35 cm 1 Porta Rustic/Preto</v>
          </cell>
          <cell r="E3317" t="str">
            <v>GLAMY</v>
          </cell>
          <cell r="F3317" t="str">
            <v>MODULAÇÃO</v>
          </cell>
          <cell r="G3317" t="str">
            <v/>
          </cell>
          <cell r="H3317">
            <v>719.99</v>
          </cell>
          <cell r="I3317">
            <v>339.99</v>
          </cell>
          <cell r="J3317">
            <v>217.0735</v>
          </cell>
          <cell r="K3317">
            <v>0</v>
          </cell>
          <cell r="L3317">
            <v>217.0735</v>
          </cell>
          <cell r="M3317">
            <v>0</v>
          </cell>
          <cell r="N3317">
            <v>339.99</v>
          </cell>
          <cell r="O3317" t="str">
            <v/>
          </cell>
          <cell r="P3317">
            <v>0</v>
          </cell>
          <cell r="Q3317">
            <v>0.56624369165282695</v>
          </cell>
          <cell r="R3317">
            <v>0.56624369165282695</v>
          </cell>
          <cell r="S3317" t="e">
            <v>#VALUE!</v>
          </cell>
          <cell r="T3317" t="e">
            <v>#VALUE!</v>
          </cell>
        </row>
        <row r="3318">
          <cell r="A3318" t="str">
            <v>G221237KGL</v>
          </cell>
          <cell r="B3318" t="str">
            <v>MKP000631004871</v>
          </cell>
          <cell r="C3318" t="str">
            <v/>
          </cell>
          <cell r="D3318" t="str">
            <v>Balcão Gabinete de Pia 120 x 60 cm 1 Porta 2 Gavetas Rustic/Preto (Sem Tampo) Glamy Madesa</v>
          </cell>
          <cell r="E3318" t="str">
            <v>GLAMY</v>
          </cell>
          <cell r="F3318" t="str">
            <v>MODULAÇÃO</v>
          </cell>
          <cell r="G3318" t="str">
            <v/>
          </cell>
          <cell r="H3318">
            <v>819.99</v>
          </cell>
          <cell r="I3318">
            <v>719.99</v>
          </cell>
          <cell r="J3318">
            <v>460.64490000000001</v>
          </cell>
          <cell r="K3318">
            <v>0</v>
          </cell>
          <cell r="L3318">
            <v>460.64490000000001</v>
          </cell>
          <cell r="M3318">
            <v>0</v>
          </cell>
          <cell r="N3318">
            <v>719.99</v>
          </cell>
          <cell r="O3318" t="str">
            <v/>
          </cell>
          <cell r="P3318">
            <v>0</v>
          </cell>
          <cell r="Q3318">
            <v>0.56300438797867902</v>
          </cell>
          <cell r="R3318">
            <v>0.56300438797867902</v>
          </cell>
          <cell r="S3318" t="e">
            <v>#VALUE!</v>
          </cell>
          <cell r="T3318" t="e">
            <v>#VALUE!</v>
          </cell>
        </row>
        <row r="3319">
          <cell r="A3319" t="str">
            <v>G2580073GL</v>
          </cell>
          <cell r="B3319" t="str">
            <v>MKP000631001300</v>
          </cell>
          <cell r="C3319" t="str">
            <v/>
          </cell>
          <cell r="D3319" t="str">
            <v>Armário Aéreo Madesa Glamy 80 cm 2 Portas Branco/Preto</v>
          </cell>
          <cell r="E3319" t="str">
            <v>GLAMY</v>
          </cell>
          <cell r="F3319" t="str">
            <v>MODULAÇÃO</v>
          </cell>
          <cell r="G3319" t="str">
            <v/>
          </cell>
          <cell r="H3319">
            <v>719.99</v>
          </cell>
          <cell r="I3319">
            <v>429.99</v>
          </cell>
          <cell r="J3319">
            <v>259.75790000000001</v>
          </cell>
          <cell r="K3319">
            <v>0</v>
          </cell>
          <cell r="L3319">
            <v>259.75790000000001</v>
          </cell>
          <cell r="M3319">
            <v>0</v>
          </cell>
          <cell r="N3319">
            <v>429.99</v>
          </cell>
          <cell r="O3319" t="str">
            <v/>
          </cell>
          <cell r="P3319">
            <v>0</v>
          </cell>
          <cell r="Q3319">
            <v>0.65534907696743805</v>
          </cell>
          <cell r="R3319">
            <v>0.65534907696743805</v>
          </cell>
          <cell r="S3319" t="e">
            <v>#VALUE!</v>
          </cell>
          <cell r="T3319" t="e">
            <v>#VALUE!</v>
          </cell>
        </row>
        <row r="3320">
          <cell r="A3320" t="str">
            <v>G2212073LXCT</v>
          </cell>
          <cell r="B3320" t="str">
            <v>MKP000631005117</v>
          </cell>
          <cell r="C3320" t="str">
            <v/>
          </cell>
          <cell r="D3320" t="str">
            <v>Balcão de Pia 120 cm 2 Portas Branco/Preto Lux Madesa</v>
          </cell>
          <cell r="E3320" t="str">
            <v>LUX</v>
          </cell>
          <cell r="F3320" t="str">
            <v>MODULAÇÃO</v>
          </cell>
          <cell r="G3320" t="str">
            <v/>
          </cell>
          <cell r="H3320">
            <v>1399.99</v>
          </cell>
          <cell r="I3320">
            <v>1219.99</v>
          </cell>
          <cell r="J3320">
            <v>726.43050000000005</v>
          </cell>
          <cell r="K3320">
            <v>0</v>
          </cell>
          <cell r="L3320">
            <v>726.43050000000005</v>
          </cell>
          <cell r="M3320">
            <v>0</v>
          </cell>
          <cell r="N3320">
            <v>1219.99</v>
          </cell>
          <cell r="O3320" t="str">
            <v>LOJA</v>
          </cell>
          <cell r="P3320">
            <v>1199.99</v>
          </cell>
          <cell r="Q3320">
            <v>0.67943113622018902</v>
          </cell>
          <cell r="R3320">
            <v>0.67943113622018902</v>
          </cell>
          <cell r="S3320" t="e">
            <v>#VALUE!</v>
          </cell>
          <cell r="T3320" t="e">
            <v>#VALUE!</v>
          </cell>
        </row>
        <row r="3321">
          <cell r="A3321" t="str">
            <v>G246017GAG</v>
          </cell>
          <cell r="B3321" t="str">
            <v>MKP000631005378</v>
          </cell>
          <cell r="C3321" t="str">
            <v/>
          </cell>
          <cell r="D3321" t="str">
            <v>Balcão 60 cm 3 Gavetas Rustic/Crema Agata Madesa</v>
          </cell>
          <cell r="E3321" t="str">
            <v>ÁGATA</v>
          </cell>
          <cell r="F3321" t="str">
            <v>MODULAÇÃO</v>
          </cell>
          <cell r="G3321" t="str">
            <v/>
          </cell>
          <cell r="H3321">
            <v>729.99</v>
          </cell>
          <cell r="I3321">
            <v>629.99</v>
          </cell>
          <cell r="J3321">
            <v>373.48849999999999</v>
          </cell>
          <cell r="K3321">
            <v>0</v>
          </cell>
          <cell r="L3321">
            <v>373.48849999999999</v>
          </cell>
          <cell r="M3321">
            <v>0</v>
          </cell>
          <cell r="N3321">
            <v>629.99</v>
          </cell>
          <cell r="O3321" t="str">
            <v/>
          </cell>
          <cell r="P3321">
            <v>0</v>
          </cell>
          <cell r="Q3321">
            <v>0.68677214961103195</v>
          </cell>
          <cell r="R3321">
            <v>0.68677214961103195</v>
          </cell>
          <cell r="S3321" t="e">
            <v>#VALUE!</v>
          </cell>
          <cell r="T3321" t="e">
            <v>#VALUE!</v>
          </cell>
        </row>
        <row r="3322">
          <cell r="A3322" t="str">
            <v>G257009BGL</v>
          </cell>
          <cell r="B3322" t="str">
            <v>MKP000631005457</v>
          </cell>
          <cell r="C3322" t="str">
            <v/>
          </cell>
          <cell r="D3322" t="str">
            <v>Armário Aéreo 70 cm 2 Portas Branco/Rustic Glamy Madesa</v>
          </cell>
          <cell r="E3322" t="str">
            <v>GLAMY</v>
          </cell>
          <cell r="F3322" t="str">
            <v>MODULAÇÃO</v>
          </cell>
          <cell r="G3322" t="str">
            <v/>
          </cell>
          <cell r="H3322">
            <v>519.99</v>
          </cell>
          <cell r="I3322">
            <v>419.99</v>
          </cell>
          <cell r="J3322">
            <v>249.31569999999999</v>
          </cell>
          <cell r="K3322">
            <v>0</v>
          </cell>
          <cell r="L3322">
            <v>249.31569999999999</v>
          </cell>
          <cell r="M3322">
            <v>0</v>
          </cell>
          <cell r="N3322">
            <v>419.99</v>
          </cell>
          <cell r="O3322" t="str">
            <v/>
          </cell>
          <cell r="P3322">
            <v>0</v>
          </cell>
          <cell r="Q3322">
            <v>0.68457100776244695</v>
          </cell>
          <cell r="R3322">
            <v>0.68457100776244695</v>
          </cell>
          <cell r="S3322" t="e">
            <v>#VALUE!</v>
          </cell>
          <cell r="T3322" t="e">
            <v>#VALUE!</v>
          </cell>
        </row>
        <row r="3323">
          <cell r="A3323" t="str">
            <v>G256009BGL</v>
          </cell>
          <cell r="B3323" t="str">
            <v>MKP000631000493</v>
          </cell>
          <cell r="C3323" t="str">
            <v/>
          </cell>
          <cell r="D3323" t="str">
            <v>Armário Aéreo Madesa Glamy 60 cm 1 Porta Branco/Rustic</v>
          </cell>
          <cell r="E3323" t="str">
            <v>GLAMY</v>
          </cell>
          <cell r="F3323" t="str">
            <v>MODULAÇÃO</v>
          </cell>
          <cell r="G3323" t="str">
            <v/>
          </cell>
          <cell r="H3323">
            <v>459.99</v>
          </cell>
          <cell r="I3323">
            <v>329.99</v>
          </cell>
          <cell r="J3323">
            <v>194.02</v>
          </cell>
          <cell r="K3323">
            <v>0</v>
          </cell>
          <cell r="L3323">
            <v>194.02</v>
          </cell>
          <cell r="M3323">
            <v>0</v>
          </cell>
          <cell r="N3323">
            <v>329.99</v>
          </cell>
          <cell r="O3323" t="str">
            <v/>
          </cell>
          <cell r="P3323">
            <v>0</v>
          </cell>
          <cell r="Q3323">
            <v>0.70080404082053405</v>
          </cell>
          <cell r="R3323">
            <v>0.70080404082053405</v>
          </cell>
          <cell r="S3323" t="e">
            <v>#VALUE!</v>
          </cell>
          <cell r="T3323" t="e">
            <v>#VALUE!</v>
          </cell>
        </row>
        <row r="3324">
          <cell r="A3324" t="str">
            <v>G257027KLX</v>
          </cell>
          <cell r="B3324" t="str">
            <v>MKP000631005442</v>
          </cell>
          <cell r="C3324" t="str">
            <v/>
          </cell>
          <cell r="D3324" t="str">
            <v>Armário Aéreo 70 cm 1 Porta Rustic/Preto Lux Madesa</v>
          </cell>
          <cell r="E3324" t="str">
            <v>LUX</v>
          </cell>
          <cell r="F3324" t="str">
            <v>MODULAÇÃO</v>
          </cell>
          <cell r="G3324" t="str">
            <v/>
          </cell>
          <cell r="H3324">
            <v>529.99</v>
          </cell>
          <cell r="I3324">
            <v>419.99</v>
          </cell>
          <cell r="J3324">
            <v>239.6147</v>
          </cell>
          <cell r="K3324">
            <v>0</v>
          </cell>
          <cell r="L3324">
            <v>239.6147</v>
          </cell>
          <cell r="M3324">
            <v>0</v>
          </cell>
          <cell r="N3324">
            <v>419.99</v>
          </cell>
          <cell r="O3324" t="str">
            <v>LOJA</v>
          </cell>
          <cell r="P3324">
            <v>399.99</v>
          </cell>
          <cell r="Q3324">
            <v>0.75277226313744505</v>
          </cell>
          <cell r="R3324">
            <v>0.75277226313744505</v>
          </cell>
          <cell r="S3324" t="e">
            <v>#VALUE!</v>
          </cell>
          <cell r="T3324" t="e">
            <v>#VALUE!</v>
          </cell>
        </row>
        <row r="3325">
          <cell r="A3325" t="str">
            <v>G2570273LX</v>
          </cell>
          <cell r="B3325" t="str">
            <v>MKP000631005445</v>
          </cell>
          <cell r="C3325" t="str">
            <v/>
          </cell>
          <cell r="D3325" t="str">
            <v>Armário Aéreo 70 cm 1 Porta Branco/Preto Lux Madesa</v>
          </cell>
          <cell r="E3325" t="str">
            <v>LUX</v>
          </cell>
          <cell r="F3325" t="str">
            <v>MODULAÇÃO</v>
          </cell>
          <cell r="G3325" t="str">
            <v/>
          </cell>
          <cell r="H3325">
            <v>529.99</v>
          </cell>
          <cell r="I3325">
            <v>419.99</v>
          </cell>
          <cell r="J3325">
            <v>239.6147</v>
          </cell>
          <cell r="K3325">
            <v>0</v>
          </cell>
          <cell r="L3325">
            <v>239.6147</v>
          </cell>
          <cell r="M3325">
            <v>0</v>
          </cell>
          <cell r="N3325">
            <v>419.99</v>
          </cell>
          <cell r="O3325" t="str">
            <v>LOJA</v>
          </cell>
          <cell r="P3325">
            <v>399.99</v>
          </cell>
          <cell r="Q3325">
            <v>0.75277226313744505</v>
          </cell>
          <cell r="R3325">
            <v>0.75277226313744505</v>
          </cell>
          <cell r="S3325" t="e">
            <v>#VALUE!</v>
          </cell>
          <cell r="T3325" t="e">
            <v>#VALUE!</v>
          </cell>
        </row>
        <row r="3326">
          <cell r="A3326" t="str">
            <v>G2535073AG</v>
          </cell>
          <cell r="B3326" t="str">
            <v>MKP000631003045</v>
          </cell>
          <cell r="C3326" t="str">
            <v/>
          </cell>
          <cell r="D3326" t="str">
            <v>Armário Aéreo Madesa Agata 35 cm 1 Porta Branco/Preto</v>
          </cell>
          <cell r="E3326" t="str">
            <v>ÁGATA</v>
          </cell>
          <cell r="F3326" t="str">
            <v>MODULAÇÃO</v>
          </cell>
          <cell r="G3326" t="str">
            <v/>
          </cell>
          <cell r="H3326">
            <v>399.99</v>
          </cell>
          <cell r="I3326">
            <v>289.99</v>
          </cell>
          <cell r="J3326">
            <v>162.33369999999999</v>
          </cell>
          <cell r="K3326">
            <v>0</v>
          </cell>
          <cell r="L3326">
            <v>162.33369999999999</v>
          </cell>
          <cell r="M3326">
            <v>0</v>
          </cell>
          <cell r="N3326">
            <v>289.99</v>
          </cell>
          <cell r="O3326" t="str">
            <v/>
          </cell>
          <cell r="P3326">
            <v>0</v>
          </cell>
          <cell r="Q3326">
            <v>0.786382002011905</v>
          </cell>
          <cell r="R3326">
            <v>0.786382002011905</v>
          </cell>
          <cell r="S3326" t="e">
            <v>#VALUE!</v>
          </cell>
          <cell r="T3326" t="e">
            <v>#VALUE!</v>
          </cell>
        </row>
        <row r="3327">
          <cell r="A3327" t="str">
            <v>G25600H7LX</v>
          </cell>
          <cell r="B3327" t="str">
            <v>MKP000631004423</v>
          </cell>
          <cell r="C3327" t="str">
            <v/>
          </cell>
          <cell r="D3327" t="str">
            <v>Armário Aéreo Madesa Lux 60 cm 1 Porta Branco/Branco Veludo</v>
          </cell>
          <cell r="E3327" t="str">
            <v>LUX</v>
          </cell>
          <cell r="F3327" t="str">
            <v>MODULAÇÃO</v>
          </cell>
          <cell r="G3327" t="str">
            <v/>
          </cell>
          <cell r="H3327">
            <v>779.99</v>
          </cell>
          <cell r="I3327">
            <v>389.99</v>
          </cell>
          <cell r="J3327">
            <v>203.8409</v>
          </cell>
          <cell r="K3327">
            <v>0</v>
          </cell>
          <cell r="L3327">
            <v>203.8409</v>
          </cell>
          <cell r="M3327">
            <v>0</v>
          </cell>
          <cell r="N3327">
            <v>389.99</v>
          </cell>
          <cell r="O3327" t="str">
            <v>LOJA</v>
          </cell>
          <cell r="P3327">
            <v>379.99</v>
          </cell>
          <cell r="Q3327">
            <v>0.91320780078973396</v>
          </cell>
          <cell r="R3327">
            <v>0.91320780078973396</v>
          </cell>
          <cell r="S3327" t="e">
            <v>#VALUE!</v>
          </cell>
          <cell r="T3327" t="e">
            <v>#VALUE!</v>
          </cell>
        </row>
        <row r="3328">
          <cell r="A3328" t="str">
            <v>G222005ZPRCT</v>
          </cell>
          <cell r="B3328" t="str">
            <v>MKP000631005598</v>
          </cell>
          <cell r="C3328" t="str">
            <v/>
          </cell>
          <cell r="D3328" t="str">
            <v>Balcão Porta-Pano 20 x 60 cm para Cozinhas Madesa Lux, Glamy, Agata (Com Tampo) Rustic</v>
          </cell>
          <cell r="E3328" t="str">
            <v>PR</v>
          </cell>
          <cell r="F3328" t="str">
            <v>MODULAÇÃO</v>
          </cell>
          <cell r="G3328" t="str">
            <v/>
          </cell>
          <cell r="H3328">
            <v>419.99</v>
          </cell>
          <cell r="I3328">
            <v>319.99</v>
          </cell>
          <cell r="J3328">
            <v>197.62790000000001</v>
          </cell>
          <cell r="K3328">
            <v>0</v>
          </cell>
          <cell r="L3328">
            <v>197.62790000000001</v>
          </cell>
          <cell r="M3328">
            <v>0</v>
          </cell>
          <cell r="N3328">
            <v>319.99</v>
          </cell>
          <cell r="O3328" t="str">
            <v/>
          </cell>
          <cell r="P3328">
            <v>0</v>
          </cell>
          <cell r="Q3328">
            <v>0.619153975729135</v>
          </cell>
          <cell r="R3328">
            <v>0.619153975729135</v>
          </cell>
          <cell r="S3328" t="e">
            <v>#VALUE!</v>
          </cell>
          <cell r="T3328" t="e">
            <v>#VALUE!</v>
          </cell>
        </row>
        <row r="3329">
          <cell r="A3329" t="str">
            <v>GRTE3100035Z</v>
          </cell>
          <cell r="B3329" t="str">
            <v>MKP000631005940</v>
          </cell>
          <cell r="C3329" t="str">
            <v/>
          </cell>
          <cell r="D3329" t="str">
            <v>Armário de Cozinha Completa 310cm Rustic Stella Madesa 03</v>
          </cell>
          <cell r="E3329" t="str">
            <v>STELLA</v>
          </cell>
          <cell r="F3329" t="str">
            <v>COZINHA</v>
          </cell>
          <cell r="G3329" t="str">
            <v/>
          </cell>
          <cell r="H3329">
            <v>2599.9899999999998</v>
          </cell>
          <cell r="I3329">
            <v>2499.9899999999998</v>
          </cell>
          <cell r="J3329">
            <v>2104.6592000000001</v>
          </cell>
          <cell r="K3329">
            <v>0</v>
          </cell>
          <cell r="L3329">
            <v>2104.6592000000001</v>
          </cell>
          <cell r="M3329">
            <v>0</v>
          </cell>
          <cell r="N3329">
            <v>2499.9899999999998</v>
          </cell>
          <cell r="O3329" t="str">
            <v/>
          </cell>
          <cell r="P3329">
            <v>0</v>
          </cell>
          <cell r="Q3329">
            <v>0.187836016396384</v>
          </cell>
          <cell r="R3329">
            <v>0.187836016396384</v>
          </cell>
          <cell r="S3329" t="e">
            <v>#VALUE!</v>
          </cell>
          <cell r="T3329" t="e">
            <v>#VALUE!</v>
          </cell>
        </row>
        <row r="3330">
          <cell r="A3330" t="str">
            <v>GCGL34900609</v>
          </cell>
          <cell r="B3330" t="str">
            <v>MKP000631005245</v>
          </cell>
          <cell r="C3330" t="str">
            <v/>
          </cell>
          <cell r="D3330" t="str">
            <v>Armário de Cozinha Completa de Canto 349cm Branco Glamy Madesa 06</v>
          </cell>
          <cell r="E3330" t="str">
            <v>GLAMY</v>
          </cell>
          <cell r="F3330" t="str">
            <v>COZINHA</v>
          </cell>
          <cell r="G3330" t="str">
            <v/>
          </cell>
          <cell r="H3330">
            <v>1999.99</v>
          </cell>
          <cell r="I3330">
            <v>1999.99</v>
          </cell>
          <cell r="J3330">
            <v>1692.2249999999999</v>
          </cell>
          <cell r="K3330">
            <v>0</v>
          </cell>
          <cell r="L3330">
            <v>1692.2249999999999</v>
          </cell>
          <cell r="M3330">
            <v>0</v>
          </cell>
          <cell r="N3330">
            <v>1999.99</v>
          </cell>
          <cell r="O3330" t="str">
            <v/>
          </cell>
          <cell r="P3330">
            <v>0</v>
          </cell>
          <cell r="Q3330">
            <v>0.181870023194315</v>
          </cell>
          <cell r="R3330">
            <v>0.181870023194315</v>
          </cell>
          <cell r="S3330" t="e">
            <v>#VALUE!</v>
          </cell>
          <cell r="T3330" t="e">
            <v>#VALUE!</v>
          </cell>
        </row>
        <row r="3331">
          <cell r="A3331" t="str">
            <v>GRGL290013C3</v>
          </cell>
          <cell r="B3331" t="str">
            <v>MKP000631001257</v>
          </cell>
          <cell r="C3331" t="str">
            <v/>
          </cell>
          <cell r="D3331" t="str">
            <v>Armário de Cozinha Completa 290cm Rustic/Preto/Crema Safira Madesa 13</v>
          </cell>
          <cell r="E3331" t="str">
            <v>SAFIRA/GLAMY</v>
          </cell>
          <cell r="F3331" t="str">
            <v>COZINHA</v>
          </cell>
          <cell r="G3331" t="str">
            <v/>
          </cell>
          <cell r="H3331">
            <v>2299.9899999999998</v>
          </cell>
          <cell r="I3331">
            <v>2199.9899999999998</v>
          </cell>
          <cell r="J3331">
            <v>1851.692</v>
          </cell>
          <cell r="K3331">
            <v>0</v>
          </cell>
          <cell r="L3331">
            <v>1851.692</v>
          </cell>
          <cell r="M3331">
            <v>0</v>
          </cell>
          <cell r="N3331">
            <v>2199.9899999999998</v>
          </cell>
          <cell r="O3331" t="str">
            <v/>
          </cell>
          <cell r="P3331">
            <v>0</v>
          </cell>
          <cell r="Q3331">
            <v>0.18809715654655301</v>
          </cell>
          <cell r="R3331">
            <v>0.18809715654655301</v>
          </cell>
          <cell r="S3331" t="e">
            <v>#VALUE!</v>
          </cell>
          <cell r="T3331" t="e">
            <v>#VALUE!</v>
          </cell>
        </row>
        <row r="3332">
          <cell r="A3332" t="str">
            <v>GCGL32900109</v>
          </cell>
          <cell r="B3332" t="str">
            <v>MKP000631004515</v>
          </cell>
          <cell r="C3332" t="str">
            <v/>
          </cell>
          <cell r="D3332" t="str">
            <v>Armário de Cozinha Completa de Canto 329cm Branco Glamy Madesa 01</v>
          </cell>
          <cell r="E3332" t="str">
            <v>GLAMY</v>
          </cell>
          <cell r="F3332" t="str">
            <v>COZINHA</v>
          </cell>
          <cell r="G3332" t="str">
            <v/>
          </cell>
          <cell r="H3332">
            <v>2599.9899999999998</v>
          </cell>
          <cell r="I3332">
            <v>2499.9899999999998</v>
          </cell>
          <cell r="J3332">
            <v>2100.0702999999999</v>
          </cell>
          <cell r="K3332">
            <v>0</v>
          </cell>
          <cell r="L3332">
            <v>2100.0702999999999</v>
          </cell>
          <cell r="M3332">
            <v>0</v>
          </cell>
          <cell r="N3332">
            <v>2499.9899999999998</v>
          </cell>
          <cell r="O3332" t="str">
            <v/>
          </cell>
          <cell r="P3332">
            <v>0</v>
          </cell>
          <cell r="Q3332">
            <v>0.190431577457193</v>
          </cell>
          <cell r="R3332">
            <v>0.190431577457193</v>
          </cell>
          <cell r="S3332" t="e">
            <v>#VALUE!</v>
          </cell>
          <cell r="T3332" t="e">
            <v>#VALUE!</v>
          </cell>
        </row>
        <row r="3333">
          <cell r="A3333" t="str">
            <v>GRGL2400036E</v>
          </cell>
          <cell r="B3333" t="str">
            <v>MKP000631004221</v>
          </cell>
          <cell r="C3333" t="str">
            <v/>
          </cell>
          <cell r="D3333" t="str">
            <v>Armário de Cozinha Completa 240cm Rustic Branco Glamy Madesa 03</v>
          </cell>
          <cell r="E3333" t="str">
            <v>GLAMY</v>
          </cell>
          <cell r="F3333" t="str">
            <v>COZINHA</v>
          </cell>
          <cell r="G3333" t="str">
            <v/>
          </cell>
          <cell r="H3333">
            <v>2199.9899999999998</v>
          </cell>
          <cell r="I3333">
            <v>2099.9899999999998</v>
          </cell>
          <cell r="J3333">
            <v>1751.9460999999999</v>
          </cell>
          <cell r="K3333">
            <v>0</v>
          </cell>
          <cell r="L3333">
            <v>1751.9460999999999</v>
          </cell>
          <cell r="M3333">
            <v>0</v>
          </cell>
          <cell r="N3333">
            <v>2099.9899999999998</v>
          </cell>
          <cell r="O3333" t="str">
            <v/>
          </cell>
          <cell r="P3333">
            <v>0</v>
          </cell>
          <cell r="Q3333">
            <v>0.198661305847252</v>
          </cell>
          <cell r="R3333">
            <v>0.198661305847252</v>
          </cell>
          <cell r="S3333" t="e">
            <v>#VALUE!</v>
          </cell>
          <cell r="T3333" t="e">
            <v>#VALUE!</v>
          </cell>
        </row>
        <row r="3334">
          <cell r="A3334" t="str">
            <v>11187K2E</v>
          </cell>
          <cell r="B3334" t="str">
            <v>MKP000631002681</v>
          </cell>
          <cell r="C3334" t="str">
            <v/>
          </cell>
          <cell r="D3334" t="str">
            <v>Guarda-Roupa Casal Madesa Istambul 3 Portas de Correr com Espelhos 3 Gavetas Rustic/Preto</v>
          </cell>
          <cell r="E3334" t="str">
            <v>ISTAMBUL</v>
          </cell>
          <cell r="F3334" t="str">
            <v>QUARTO</v>
          </cell>
          <cell r="G3334" t="str">
            <v/>
          </cell>
          <cell r="H3334">
            <v>2389.9899999999998</v>
          </cell>
          <cell r="I3334">
            <v>1869.99</v>
          </cell>
          <cell r="J3334">
            <v>1565.7304999999999</v>
          </cell>
          <cell r="K3334">
            <v>0</v>
          </cell>
          <cell r="L3334">
            <v>1565.7304999999999</v>
          </cell>
          <cell r="M3334">
            <v>0</v>
          </cell>
          <cell r="N3334">
            <v>1869.99</v>
          </cell>
          <cell r="O3334" t="str">
            <v/>
          </cell>
          <cell r="P3334">
            <v>0</v>
          </cell>
          <cell r="Q3334">
            <v>0.194324310601345</v>
          </cell>
          <cell r="R3334">
            <v>0.194324310601345</v>
          </cell>
          <cell r="S3334" t="e">
            <v>#VALUE!</v>
          </cell>
          <cell r="T3334" t="e">
            <v>#VALUE!</v>
          </cell>
        </row>
        <row r="3335">
          <cell r="A3335" t="str">
            <v>GREM2290137K</v>
          </cell>
          <cell r="B3335" t="str">
            <v>MKP000631005913</v>
          </cell>
          <cell r="C3335" t="str">
            <v/>
          </cell>
          <cell r="D3335" t="str">
            <v>Armário de Cozinha Compacta 229cm Rustic/Preto Emilly Madesa 13</v>
          </cell>
          <cell r="E3335" t="str">
            <v>EMILLY</v>
          </cell>
          <cell r="F3335" t="str">
            <v>COZINHA</v>
          </cell>
          <cell r="G3335" t="str">
            <v/>
          </cell>
          <cell r="H3335">
            <v>1029.99</v>
          </cell>
          <cell r="I3335">
            <v>929.99</v>
          </cell>
          <cell r="J3335">
            <v>755.47900000000004</v>
          </cell>
          <cell r="K3335">
            <v>0</v>
          </cell>
          <cell r="L3335">
            <v>755.47900000000004</v>
          </cell>
          <cell r="M3335">
            <v>0</v>
          </cell>
          <cell r="N3335">
            <v>929.99</v>
          </cell>
          <cell r="O3335" t="str">
            <v/>
          </cell>
          <cell r="P3335">
            <v>0</v>
          </cell>
          <cell r="Q3335">
            <v>0.23099384628824901</v>
          </cell>
          <cell r="R3335">
            <v>0.23099384628824901</v>
          </cell>
          <cell r="S3335" t="e">
            <v>#VALUE!</v>
          </cell>
          <cell r="T3335" t="e">
            <v>#VALUE!</v>
          </cell>
        </row>
        <row r="3336">
          <cell r="A3336" t="str">
            <v>MDES0200215ZD8</v>
          </cell>
          <cell r="B3336" t="str">
            <v>MKP000631001888</v>
          </cell>
          <cell r="C3336" t="str">
            <v/>
          </cell>
          <cell r="D3336" t="str">
            <v>Rack Madesa Cancun com Pés e Painel para TV até 58 Polegadas Rustic/Preto 5ZD8</v>
          </cell>
          <cell r="E3336" t="str">
            <v>CANCUN</v>
          </cell>
          <cell r="F3336" t="str">
            <v>SALA DE ESTAR</v>
          </cell>
          <cell r="G3336" t="str">
            <v/>
          </cell>
          <cell r="H3336">
            <v>979.99</v>
          </cell>
          <cell r="I3336">
            <v>469.99</v>
          </cell>
          <cell r="J3336">
            <v>382.90609999999998</v>
          </cell>
          <cell r="K3336">
            <v>0</v>
          </cell>
          <cell r="L3336">
            <v>382.90609999999998</v>
          </cell>
          <cell r="M3336">
            <v>0</v>
          </cell>
          <cell r="N3336">
            <v>469.99</v>
          </cell>
          <cell r="O3336" t="str">
            <v/>
          </cell>
          <cell r="P3336">
            <v>0</v>
          </cell>
          <cell r="Q3336">
            <v>0.22742886571929799</v>
          </cell>
          <cell r="R3336">
            <v>0.22742886571929799</v>
          </cell>
          <cell r="S3336" t="e">
            <v>#VALUE!</v>
          </cell>
          <cell r="T3336" t="e">
            <v>#VALUE!</v>
          </cell>
        </row>
        <row r="3337">
          <cell r="A3337" t="str">
            <v>GRGL280003A8</v>
          </cell>
          <cell r="B3337" t="str">
            <v>MKP000631001493</v>
          </cell>
          <cell r="C3337" t="str">
            <v/>
          </cell>
          <cell r="D3337" t="str">
            <v>Armário de Cozinha Completa 280cm Branco/Rustic/Branco Marcela Madesa 03</v>
          </cell>
          <cell r="E3337" t="str">
            <v>MARCELA/GLAMY</v>
          </cell>
          <cell r="F3337" t="str">
            <v>COZINHA</v>
          </cell>
          <cell r="G3337" t="str">
            <v/>
          </cell>
          <cell r="H3337">
            <v>2149.9899999999998</v>
          </cell>
          <cell r="I3337">
            <v>2049.9899999999998</v>
          </cell>
          <cell r="J3337">
            <v>1671.624</v>
          </cell>
          <cell r="K3337">
            <v>0</v>
          </cell>
          <cell r="L3337">
            <v>1671.624</v>
          </cell>
          <cell r="M3337">
            <v>0</v>
          </cell>
          <cell r="N3337">
            <v>2049.9899999999998</v>
          </cell>
          <cell r="O3337" t="str">
            <v/>
          </cell>
          <cell r="P3337">
            <v>0</v>
          </cell>
          <cell r="Q3337">
            <v>0.226346355400497</v>
          </cell>
          <cell r="R3337">
            <v>0.226346355400497</v>
          </cell>
          <cell r="S3337" t="e">
            <v>#VALUE!</v>
          </cell>
          <cell r="T3337" t="e">
            <v>#VALUE!</v>
          </cell>
        </row>
        <row r="3338">
          <cell r="A3338" t="str">
            <v>XB10639B1B</v>
          </cell>
          <cell r="B3338" t="str">
            <v>MKP000631001424</v>
          </cell>
          <cell r="C3338" t="str">
            <v/>
          </cell>
          <cell r="D3338" t="str">
            <v>Guarda-Roupa Juvenil 100% MDF Madesa Kevin 3 Portas de Correr Branco/Rustic/Branco</v>
          </cell>
          <cell r="E3338" t="str">
            <v>KEVIN</v>
          </cell>
          <cell r="F3338" t="str">
            <v>QUARTO</v>
          </cell>
          <cell r="G3338" t="str">
            <v/>
          </cell>
          <cell r="H3338">
            <v>2469.9899999999998</v>
          </cell>
          <cell r="I3338">
            <v>1899.99</v>
          </cell>
          <cell r="J3338">
            <v>1551.3534</v>
          </cell>
          <cell r="K3338">
            <v>0</v>
          </cell>
          <cell r="L3338">
            <v>1551.3534</v>
          </cell>
          <cell r="M3338">
            <v>0</v>
          </cell>
          <cell r="N3338">
            <v>1899.99</v>
          </cell>
          <cell r="O3338" t="str">
            <v/>
          </cell>
          <cell r="P3338">
            <v>0</v>
          </cell>
          <cell r="Q3338">
            <v>0.22473061263797101</v>
          </cell>
          <cell r="R3338">
            <v>0.22473061263797101</v>
          </cell>
          <cell r="S3338" t="e">
            <v>#VALUE!</v>
          </cell>
          <cell r="T3338" t="e">
            <v>#VALUE!</v>
          </cell>
        </row>
        <row r="3339">
          <cell r="A3339" t="str">
            <v>GRGL290015C5</v>
          </cell>
          <cell r="B3339" t="str">
            <v>MKP000631001298</v>
          </cell>
          <cell r="C3339" t="str">
            <v/>
          </cell>
          <cell r="D3339" t="str">
            <v>Armário de Cozinha Completa 290cm Branco/Preto/Crema Vicenza Madesa 15</v>
          </cell>
          <cell r="E3339" t="str">
            <v>VICENZA/GLAMY</v>
          </cell>
          <cell r="F3339" t="str">
            <v>COZINHA</v>
          </cell>
          <cell r="G3339" t="str">
            <v/>
          </cell>
          <cell r="H3339">
            <v>2799.99</v>
          </cell>
          <cell r="I3339">
            <v>2699.99</v>
          </cell>
          <cell r="J3339">
            <v>2184.8832000000002</v>
          </cell>
          <cell r="K3339">
            <v>0</v>
          </cell>
          <cell r="L3339">
            <v>2184.8832000000002</v>
          </cell>
          <cell r="M3339">
            <v>0</v>
          </cell>
          <cell r="N3339">
            <v>2699.99</v>
          </cell>
          <cell r="O3339" t="str">
            <v/>
          </cell>
          <cell r="P3339">
            <v>0</v>
          </cell>
          <cell r="Q3339">
            <v>0.235759421830879</v>
          </cell>
          <cell r="R3339">
            <v>0.235759421830879</v>
          </cell>
          <cell r="S3339" t="e">
            <v>#VALUE!</v>
          </cell>
          <cell r="T3339" t="e">
            <v>#VALUE!</v>
          </cell>
        </row>
        <row r="3340">
          <cell r="A3340" t="str">
            <v>GCTE4990019B</v>
          </cell>
          <cell r="B3340" t="str">
            <v>MKP000631005760</v>
          </cell>
          <cell r="C3340" t="str">
            <v/>
          </cell>
          <cell r="D3340" t="str">
            <v>Armário de Cozinha Completa de Canto 499cm Branco/Rustic Stella Madesa 01</v>
          </cell>
          <cell r="E3340" t="str">
            <v>STELLA</v>
          </cell>
          <cell r="F3340" t="str">
            <v>COZINHA</v>
          </cell>
          <cell r="G3340" t="str">
            <v/>
          </cell>
          <cell r="H3340">
            <v>3899.99</v>
          </cell>
          <cell r="I3340">
            <v>3899.99</v>
          </cell>
          <cell r="J3340">
            <v>3139.4506999999999</v>
          </cell>
          <cell r="K3340">
            <v>0</v>
          </cell>
          <cell r="L3340">
            <v>3139.4506999999999</v>
          </cell>
          <cell r="M3340">
            <v>0</v>
          </cell>
          <cell r="N3340">
            <v>3899.99</v>
          </cell>
          <cell r="O3340" t="str">
            <v/>
          </cell>
          <cell r="P3340">
            <v>0</v>
          </cell>
          <cell r="Q3340">
            <v>0.24225234688348499</v>
          </cell>
          <cell r="R3340">
            <v>0.24225234688348499</v>
          </cell>
          <cell r="S3340" t="e">
            <v>#VALUE!</v>
          </cell>
          <cell r="T3340" t="e">
            <v>#VALUE!</v>
          </cell>
        </row>
        <row r="3341">
          <cell r="A3341" t="str">
            <v>MDJA0601507GFLH</v>
          </cell>
          <cell r="B3341" t="str">
            <v>MKP000631005732</v>
          </cell>
          <cell r="C3341" t="str">
            <v/>
          </cell>
          <cell r="D3341" t="str">
            <v>Conjunto Sala de Jantar Mesa Tampo de Madeira 6 Cadeiras Rustic/Crema/Hibiscos Wendy Madesa</v>
          </cell>
          <cell r="E3341" t="str">
            <v>WENDY</v>
          </cell>
          <cell r="F3341" t="str">
            <v>SALA DE JANTAR</v>
          </cell>
          <cell r="G3341" t="str">
            <v>4291X</v>
          </cell>
          <cell r="H3341">
            <v>839.99</v>
          </cell>
          <cell r="I3341">
            <v>739.99</v>
          </cell>
          <cell r="J3341">
            <v>590.49659999999994</v>
          </cell>
          <cell r="K3341">
            <v>0</v>
          </cell>
          <cell r="L3341">
            <v>590.49659999999994</v>
          </cell>
          <cell r="M3341">
            <v>0</v>
          </cell>
          <cell r="N3341">
            <v>739.99</v>
          </cell>
          <cell r="O3341" t="str">
            <v/>
          </cell>
          <cell r="P3341">
            <v>0</v>
          </cell>
          <cell r="Q3341">
            <v>0.253165555906672</v>
          </cell>
          <cell r="R3341">
            <v>0.253165555906672</v>
          </cell>
          <cell r="S3341" t="e">
            <v>#VALUE!</v>
          </cell>
          <cell r="T3341" t="e">
            <v>#VALUE!</v>
          </cell>
        </row>
        <row r="3342">
          <cell r="A3342" t="str">
            <v>MDJA0601535ZSIM</v>
          </cell>
          <cell r="B3342" t="str">
            <v>MKP000631005876</v>
          </cell>
          <cell r="C3342" t="str">
            <v/>
          </cell>
          <cell r="D3342" t="str">
            <v>Conjunto Sala de Jantar Mesa Tampo de Madeira 6 Cadeiras Rustic/Imperial Cheryl Madesa</v>
          </cell>
          <cell r="E3342" t="str">
            <v>CHERYL</v>
          </cell>
          <cell r="F3342" t="str">
            <v>SALA DE JANTAR</v>
          </cell>
          <cell r="G3342">
            <v>4255</v>
          </cell>
          <cell r="H3342">
            <v>1399.99</v>
          </cell>
          <cell r="I3342">
            <v>1299.99</v>
          </cell>
          <cell r="J3342">
            <v>990.28679999999997</v>
          </cell>
          <cell r="K3342">
            <v>0</v>
          </cell>
          <cell r="L3342">
            <v>990.28679999999997</v>
          </cell>
          <cell r="M3342">
            <v>0</v>
          </cell>
          <cell r="N3342">
            <v>1299.99</v>
          </cell>
          <cell r="O3342" t="str">
            <v/>
          </cell>
          <cell r="P3342">
            <v>0</v>
          </cell>
          <cell r="Q3342">
            <v>0.312740915056123</v>
          </cell>
          <cell r="R3342">
            <v>0.312740915056123</v>
          </cell>
          <cell r="S3342" t="e">
            <v>#VALUE!</v>
          </cell>
          <cell r="T3342" t="e">
            <v>#VALUE!</v>
          </cell>
        </row>
        <row r="3343">
          <cell r="A3343" t="str">
            <v>G2415373GLCT</v>
          </cell>
          <cell r="B3343" t="str">
            <v>MKP000631003509</v>
          </cell>
          <cell r="C3343" t="str">
            <v/>
          </cell>
          <cell r="D3343" t="str">
            <v>Balcão de Pia Madesa Glamy 150 cm 2 Portas e 2 Gavetas (Com Tampo) Branco/Preto</v>
          </cell>
          <cell r="E3343" t="str">
            <v>GLAMY</v>
          </cell>
          <cell r="F3343" t="str">
            <v>MODULAÇÃO</v>
          </cell>
          <cell r="G3343" t="str">
            <v/>
          </cell>
          <cell r="H3343">
            <v>1349.99</v>
          </cell>
          <cell r="I3343">
            <v>689.99</v>
          </cell>
          <cell r="J3343">
            <v>539.95330000000001</v>
          </cell>
          <cell r="K3343">
            <v>0</v>
          </cell>
          <cell r="L3343">
            <v>539.95330000000001</v>
          </cell>
          <cell r="M3343">
            <v>0</v>
          </cell>
          <cell r="N3343">
            <v>689.99</v>
          </cell>
          <cell r="O3343" t="str">
            <v/>
          </cell>
          <cell r="P3343">
            <v>0</v>
          </cell>
          <cell r="Q3343">
            <v>0.277869771330224</v>
          </cell>
          <cell r="R3343">
            <v>0.277869771330224</v>
          </cell>
          <cell r="S3343" t="e">
            <v>#VALUE!</v>
          </cell>
          <cell r="T3343" t="e">
            <v>#VALUE!</v>
          </cell>
        </row>
        <row r="3344">
          <cell r="A3344" t="str">
            <v>GRAG2700087K</v>
          </cell>
          <cell r="B3344" t="str">
            <v>MKP000631005255</v>
          </cell>
          <cell r="C3344" t="str">
            <v/>
          </cell>
          <cell r="D3344" t="str">
            <v>Armário de  Cozinha Completa 270cm Rustic/Preto Agata Madesa 08</v>
          </cell>
          <cell r="E3344" t="str">
            <v>ÁGATA</v>
          </cell>
          <cell r="F3344" t="str">
            <v>COZINHA</v>
          </cell>
          <cell r="G3344" t="str">
            <v/>
          </cell>
          <cell r="H3344">
            <v>2119.9899999999998</v>
          </cell>
          <cell r="I3344">
            <v>1999.99</v>
          </cell>
          <cell r="J3344">
            <v>1532.6162999999999</v>
          </cell>
          <cell r="K3344">
            <v>0</v>
          </cell>
          <cell r="L3344">
            <v>1532.6162999999999</v>
          </cell>
          <cell r="M3344">
            <v>0</v>
          </cell>
          <cell r="N3344">
            <v>1999.99</v>
          </cell>
          <cell r="O3344" t="str">
            <v/>
          </cell>
          <cell r="P3344">
            <v>0</v>
          </cell>
          <cell r="Q3344">
            <v>0.30495153940356801</v>
          </cell>
          <cell r="R3344">
            <v>0.30495153940356801</v>
          </cell>
          <cell r="S3344" t="e">
            <v>#VALUE!</v>
          </cell>
          <cell r="T3344" t="e">
            <v>#VALUE!</v>
          </cell>
        </row>
        <row r="3345">
          <cell r="A3345" t="str">
            <v>GRAG2700077G</v>
          </cell>
          <cell r="B3345" t="str">
            <v>MKP000631005426</v>
          </cell>
          <cell r="C3345" t="str">
            <v/>
          </cell>
          <cell r="D3345" t="str">
            <v>Armário de Cozinha Completa 270cm Rustic/Crema Agata Madesa 07</v>
          </cell>
          <cell r="E3345" t="str">
            <v>ÁGATA</v>
          </cell>
          <cell r="F3345" t="str">
            <v>COZINHA</v>
          </cell>
          <cell r="G3345" t="str">
            <v/>
          </cell>
          <cell r="H3345">
            <v>2199.9899999999998</v>
          </cell>
          <cell r="I3345">
            <v>2199.9899999999998</v>
          </cell>
          <cell r="J3345">
            <v>1623.3152</v>
          </cell>
          <cell r="K3345">
            <v>0</v>
          </cell>
          <cell r="L3345">
            <v>1623.3152</v>
          </cell>
          <cell r="M3345">
            <v>0</v>
          </cell>
          <cell r="N3345">
            <v>2199.9899999999998</v>
          </cell>
          <cell r="O3345" t="str">
            <v/>
          </cell>
          <cell r="P3345">
            <v>0</v>
          </cell>
          <cell r="Q3345">
            <v>0.35524511813848603</v>
          </cell>
          <cell r="R3345">
            <v>0.35524511813848603</v>
          </cell>
          <cell r="S3345" t="e">
            <v>#VALUE!</v>
          </cell>
          <cell r="T3345" t="e">
            <v>#VALUE!</v>
          </cell>
        </row>
        <row r="3346">
          <cell r="A3346" t="str">
            <v>G2460173GL</v>
          </cell>
          <cell r="B3346" t="str">
            <v>MKP000631003452</v>
          </cell>
          <cell r="C3346" t="str">
            <v/>
          </cell>
          <cell r="D3346" t="str">
            <v>Balcão Madesa Glamy 60 cm 3 Gavetas Branco/Preto</v>
          </cell>
          <cell r="E3346" t="str">
            <v>GLAMY</v>
          </cell>
          <cell r="F3346" t="str">
            <v>MODULAÇÃO</v>
          </cell>
          <cell r="G3346" t="str">
            <v/>
          </cell>
          <cell r="H3346">
            <v>989.99</v>
          </cell>
          <cell r="I3346">
            <v>589.99</v>
          </cell>
          <cell r="J3346">
            <v>394.18759999999997</v>
          </cell>
          <cell r="K3346">
            <v>0</v>
          </cell>
          <cell r="L3346">
            <v>394.18759999999997</v>
          </cell>
          <cell r="M3346">
            <v>0</v>
          </cell>
          <cell r="N3346">
            <v>589.99</v>
          </cell>
          <cell r="O3346" t="str">
            <v/>
          </cell>
          <cell r="P3346">
            <v>0</v>
          </cell>
          <cell r="Q3346">
            <v>0.496723894917039</v>
          </cell>
          <cell r="R3346">
            <v>0.496723894917039</v>
          </cell>
          <cell r="S3346" t="e">
            <v>#VALUE!</v>
          </cell>
          <cell r="T3346" t="e">
            <v>#VALUE!</v>
          </cell>
        </row>
        <row r="3347">
          <cell r="A3347" t="str">
            <v>G2480073K</v>
          </cell>
          <cell r="B3347" t="str">
            <v>MKP000631004951</v>
          </cell>
          <cell r="C3347" t="str">
            <v/>
          </cell>
          <cell r="D3347" t="str">
            <v>Balcão 100% MDF 80 cm 2 Portas Branco/Preto Acordes Madesa</v>
          </cell>
          <cell r="E3347" t="str">
            <v>ACORDES</v>
          </cell>
          <cell r="F3347" t="str">
            <v>MODULAÇÃO</v>
          </cell>
          <cell r="G3347" t="str">
            <v/>
          </cell>
          <cell r="H3347">
            <v>739.99</v>
          </cell>
          <cell r="I3347">
            <v>519.99</v>
          </cell>
          <cell r="J3347">
            <v>339.69850000000002</v>
          </cell>
          <cell r="K3347">
            <v>0</v>
          </cell>
          <cell r="L3347">
            <v>339.69850000000002</v>
          </cell>
          <cell r="M3347">
            <v>0</v>
          </cell>
          <cell r="N3347">
            <v>519.99</v>
          </cell>
          <cell r="O3347" t="str">
            <v/>
          </cell>
          <cell r="P3347">
            <v>0</v>
          </cell>
          <cell r="Q3347">
            <v>0.53073975893328895</v>
          </cell>
          <cell r="R3347">
            <v>0.53073975893328895</v>
          </cell>
          <cell r="S3347" t="e">
            <v>#VALUE!</v>
          </cell>
          <cell r="T3347" t="e">
            <v>#VALUE!</v>
          </cell>
        </row>
        <row r="3348">
          <cell r="A3348" t="str">
            <v>G251219BGL</v>
          </cell>
          <cell r="B3348" t="str">
            <v>MKP000631000489</v>
          </cell>
          <cell r="C3348" t="str">
            <v/>
          </cell>
          <cell r="D3348" t="str">
            <v>Armário Aéreo Madesa Glamy 120 cm 2 Portas Branco/Rustic</v>
          </cell>
          <cell r="E3348" t="str">
            <v>GLAMY</v>
          </cell>
          <cell r="F3348" t="str">
            <v>MODULAÇÃO</v>
          </cell>
          <cell r="G3348" t="str">
            <v/>
          </cell>
          <cell r="H3348">
            <v>839.99</v>
          </cell>
          <cell r="I3348">
            <v>519.99</v>
          </cell>
          <cell r="J3348">
            <v>328.85300000000001</v>
          </cell>
          <cell r="K3348">
            <v>0</v>
          </cell>
          <cell r="L3348">
            <v>328.85300000000001</v>
          </cell>
          <cell r="M3348">
            <v>0</v>
          </cell>
          <cell r="N3348">
            <v>519.99</v>
          </cell>
          <cell r="O3348" t="str">
            <v/>
          </cell>
          <cell r="P3348">
            <v>0</v>
          </cell>
          <cell r="Q3348">
            <v>0.58122322131773196</v>
          </cell>
          <cell r="R3348">
            <v>0.58122322131773196</v>
          </cell>
          <cell r="S3348" t="e">
            <v>#VALUE!</v>
          </cell>
          <cell r="T3348" t="e">
            <v>#VALUE!</v>
          </cell>
        </row>
        <row r="3349">
          <cell r="A3349" t="str">
            <v>G253505ZGL</v>
          </cell>
          <cell r="B3349" t="str">
            <v>MKP000631000367</v>
          </cell>
          <cell r="C3349" t="str">
            <v/>
          </cell>
          <cell r="D3349" t="str">
            <v>Armário Aéreo Madesa Glamy 35 cm 1 Porta Rustic</v>
          </cell>
          <cell r="E3349" t="str">
            <v>GLAMY</v>
          </cell>
          <cell r="F3349" t="str">
            <v>MODULAÇÃO</v>
          </cell>
          <cell r="G3349" t="str">
            <v/>
          </cell>
          <cell r="H3349">
            <v>439.99</v>
          </cell>
          <cell r="I3349">
            <v>279.99</v>
          </cell>
          <cell r="J3349">
            <v>164.9606</v>
          </cell>
          <cell r="K3349">
            <v>0</v>
          </cell>
          <cell r="L3349">
            <v>164.9606</v>
          </cell>
          <cell r="M3349">
            <v>0</v>
          </cell>
          <cell r="N3349">
            <v>279.99</v>
          </cell>
          <cell r="O3349" t="str">
            <v/>
          </cell>
          <cell r="P3349">
            <v>0</v>
          </cell>
          <cell r="Q3349">
            <v>0.69731438901167897</v>
          </cell>
          <cell r="R3349">
            <v>0.69731438901167897</v>
          </cell>
          <cell r="S3349" t="e">
            <v>#VALUE!</v>
          </cell>
          <cell r="T3349" t="e">
            <v>#VALUE!</v>
          </cell>
        </row>
        <row r="3350">
          <cell r="A3350" t="str">
            <v>G2535009</v>
          </cell>
          <cell r="B3350" t="str">
            <v>MKP000631006074</v>
          </cell>
          <cell r="C3350" t="str">
            <v/>
          </cell>
          <cell r="D3350" t="str">
            <v>Armário Aéreo 100% MDF 35 cm 1 Porta Branco Brilho Acordes Madesa</v>
          </cell>
          <cell r="E3350" t="str">
            <v>ACORDES</v>
          </cell>
          <cell r="F3350" t="str">
            <v>MODULAÇÃO</v>
          </cell>
          <cell r="G3350" t="str">
            <v/>
          </cell>
          <cell r="H3350">
            <v>379.99</v>
          </cell>
          <cell r="I3350">
            <v>279.99</v>
          </cell>
          <cell r="J3350">
            <v>164.89519999999999</v>
          </cell>
          <cell r="K3350">
            <v>0</v>
          </cell>
          <cell r="L3350">
            <v>164.89519999999999</v>
          </cell>
          <cell r="M3350">
            <v>0</v>
          </cell>
          <cell r="N3350">
            <v>279.99</v>
          </cell>
          <cell r="O3350" t="str">
            <v/>
          </cell>
          <cell r="P3350">
            <v>0</v>
          </cell>
          <cell r="Q3350">
            <v>0.69798757028706704</v>
          </cell>
          <cell r="R3350">
            <v>0.69798757028706704</v>
          </cell>
          <cell r="S3350" t="e">
            <v>#VALUE!</v>
          </cell>
          <cell r="T3350" t="e">
            <v>#VALUE!</v>
          </cell>
        </row>
        <row r="3351">
          <cell r="A3351" t="str">
            <v>G228009NLXCT</v>
          </cell>
          <cell r="B3351" t="str">
            <v>MKP000631005069</v>
          </cell>
          <cell r="C3351" t="str">
            <v/>
          </cell>
          <cell r="D3351" t="str">
            <v>Balcão 80 cm 2 Portas Rustic/Cinza Lux Madesa</v>
          </cell>
          <cell r="E3351" t="str">
            <v>LUX</v>
          </cell>
          <cell r="F3351" t="str">
            <v>MODULAÇÃO</v>
          </cell>
          <cell r="G3351" t="str">
            <v/>
          </cell>
          <cell r="H3351">
            <v>1119.99</v>
          </cell>
          <cell r="I3351">
            <v>1019.99</v>
          </cell>
          <cell r="J3351">
            <v>569.05629999999996</v>
          </cell>
          <cell r="K3351">
            <v>0</v>
          </cell>
          <cell r="L3351">
            <v>569.05629999999996</v>
          </cell>
          <cell r="M3351">
            <v>0</v>
          </cell>
          <cell r="N3351">
            <v>1019.99</v>
          </cell>
          <cell r="O3351" t="str">
            <v>LOJA</v>
          </cell>
          <cell r="P3351">
            <v>999.99</v>
          </cell>
          <cell r="Q3351">
            <v>0.79242370218904501</v>
          </cell>
          <cell r="R3351">
            <v>0.79242370218904501</v>
          </cell>
          <cell r="S3351" t="e">
            <v>#VALUE!</v>
          </cell>
          <cell r="T3351" t="e">
            <v>#VALUE!</v>
          </cell>
        </row>
        <row r="3352">
          <cell r="A3352" t="str">
            <v>G2235073LX</v>
          </cell>
          <cell r="B3352" t="str">
            <v>MKP000631003260</v>
          </cell>
          <cell r="C3352" t="str">
            <v/>
          </cell>
          <cell r="D3352" t="str">
            <v>Balcão Madesa Lux 35 cm 1 Porta (Sem Tampo) Branco/Preto</v>
          </cell>
          <cell r="E3352" t="str">
            <v>LUX</v>
          </cell>
          <cell r="F3352" t="str">
            <v>MODULAÇÃO</v>
          </cell>
          <cell r="G3352" t="str">
            <v/>
          </cell>
          <cell r="H3352">
            <v>739.99</v>
          </cell>
          <cell r="I3352">
            <v>549.99</v>
          </cell>
          <cell r="J3352">
            <v>286.87709999999998</v>
          </cell>
          <cell r="K3352">
            <v>0</v>
          </cell>
          <cell r="L3352">
            <v>286.87709999999998</v>
          </cell>
          <cell r="M3352">
            <v>0</v>
          </cell>
          <cell r="N3352">
            <v>549.99</v>
          </cell>
          <cell r="O3352" t="str">
            <v>LOJA</v>
          </cell>
          <cell r="P3352">
            <v>539.99</v>
          </cell>
          <cell r="Q3352">
            <v>0.91716243645798101</v>
          </cell>
          <cell r="R3352">
            <v>0.91716243645798101</v>
          </cell>
          <cell r="S3352" t="e">
            <v>#VALUE!</v>
          </cell>
          <cell r="T3352" t="e">
            <v>#VALUE!</v>
          </cell>
        </row>
        <row r="3353">
          <cell r="A3353" t="str">
            <v>G257005ZTE</v>
          </cell>
          <cell r="B3353" t="str">
            <v>MKP000631005460</v>
          </cell>
          <cell r="C3353" t="str">
            <v/>
          </cell>
          <cell r="D3353" t="str">
            <v>Armário Aéreo 70 cm 2 Portas Rustic Stella Madesa</v>
          </cell>
          <cell r="E3353" t="str">
            <v>STELLA</v>
          </cell>
          <cell r="F3353" t="str">
            <v>MODULAÇÃO</v>
          </cell>
          <cell r="G3353" t="str">
            <v/>
          </cell>
          <cell r="H3353">
            <v>519.99</v>
          </cell>
          <cell r="I3353">
            <v>419.99</v>
          </cell>
          <cell r="J3353">
            <v>250.14410000000001</v>
          </cell>
          <cell r="K3353">
            <v>0</v>
          </cell>
          <cell r="L3353">
            <v>250.14410000000001</v>
          </cell>
          <cell r="M3353">
            <v>0</v>
          </cell>
          <cell r="N3353">
            <v>419.99</v>
          </cell>
          <cell r="O3353" t="str">
            <v/>
          </cell>
          <cell r="P3353">
            <v>0</v>
          </cell>
          <cell r="Q3353">
            <v>0.67899222887927402</v>
          </cell>
          <cell r="R3353">
            <v>0.67899222887927402</v>
          </cell>
          <cell r="S3353" t="e">
            <v>#VALUE!</v>
          </cell>
          <cell r="T3353" t="e">
            <v>#VALUE!</v>
          </cell>
        </row>
        <row r="3354">
          <cell r="A3354" t="str">
            <v>GCEM417002J1</v>
          </cell>
          <cell r="B3354" t="str">
            <v>MKP000631006090</v>
          </cell>
          <cell r="C3354" t="str">
            <v/>
          </cell>
          <cell r="D3354" t="str">
            <v>Armário de Cozinha Completa de Canto 417cm Rustic/Cinza Emilly Madesa 02</v>
          </cell>
          <cell r="E3354" t="str">
            <v>EMILLY</v>
          </cell>
          <cell r="F3354" t="str">
            <v>COZINHA</v>
          </cell>
          <cell r="G3354" t="str">
            <v/>
          </cell>
          <cell r="H3354">
            <v>1499.99</v>
          </cell>
          <cell r="I3354">
            <v>1499.99</v>
          </cell>
          <cell r="J3354">
            <v>1217.7262000000001</v>
          </cell>
          <cell r="K3354">
            <v>0</v>
          </cell>
          <cell r="L3354">
            <v>1217.7262000000001</v>
          </cell>
          <cell r="M3354">
            <v>0</v>
          </cell>
          <cell r="N3354">
            <v>1499.99</v>
          </cell>
          <cell r="O3354" t="str">
            <v/>
          </cell>
          <cell r="P3354">
            <v>0</v>
          </cell>
          <cell r="Q3354">
            <v>0.23179578463533099</v>
          </cell>
          <cell r="R3354">
            <v>0.23179578463533099</v>
          </cell>
          <cell r="S3354" t="e">
            <v>#VALUE!</v>
          </cell>
          <cell r="T3354" t="e">
            <v>#VALUE!</v>
          </cell>
        </row>
        <row r="3355">
          <cell r="A3355" t="str">
            <v>GRGL2400039B</v>
          </cell>
          <cell r="B3355" t="str">
            <v>MKP000631004612</v>
          </cell>
          <cell r="C3355" t="str">
            <v/>
          </cell>
          <cell r="D3355" t="str">
            <v>Armário de Cozinha Completa 240cm Branco Rustic Glamy Madesa 03</v>
          </cell>
          <cell r="E3355" t="str">
            <v>GLAMY</v>
          </cell>
          <cell r="F3355" t="str">
            <v>COZINHA</v>
          </cell>
          <cell r="G3355" t="str">
            <v/>
          </cell>
          <cell r="H3355">
            <v>2199.9899999999998</v>
          </cell>
          <cell r="I3355">
            <v>2099.9899999999998</v>
          </cell>
          <cell r="J3355">
            <v>1751.9460999999999</v>
          </cell>
          <cell r="K3355">
            <v>0</v>
          </cell>
          <cell r="L3355">
            <v>1751.9460999999999</v>
          </cell>
          <cell r="M3355">
            <v>0</v>
          </cell>
          <cell r="N3355">
            <v>2099.9899999999998</v>
          </cell>
          <cell r="O3355" t="str">
            <v/>
          </cell>
          <cell r="P3355">
            <v>0</v>
          </cell>
          <cell r="Q3355">
            <v>0.198661305847252</v>
          </cell>
          <cell r="R3355">
            <v>0.198661305847252</v>
          </cell>
          <cell r="S3355" t="e">
            <v>#VALUE!</v>
          </cell>
          <cell r="T3355" t="e">
            <v>#VALUE!</v>
          </cell>
        </row>
        <row r="3356">
          <cell r="A3356" t="str">
            <v>GREM2290055Z</v>
          </cell>
          <cell r="B3356" t="str">
            <v>MKP000631005175</v>
          </cell>
          <cell r="C3356" t="str">
            <v/>
          </cell>
          <cell r="D3356" t="str">
            <v>Armário de Cozinha Completa 229cm Rustic Emilly Madesa 05</v>
          </cell>
          <cell r="E3356" t="str">
            <v>EMILLY</v>
          </cell>
          <cell r="F3356" t="str">
            <v>COZINHA</v>
          </cell>
          <cell r="G3356" t="str">
            <v/>
          </cell>
          <cell r="H3356">
            <v>1259.99</v>
          </cell>
          <cell r="I3356">
            <v>1159.99</v>
          </cell>
          <cell r="J3356">
            <v>937.35640000000001</v>
          </cell>
          <cell r="K3356">
            <v>0</v>
          </cell>
          <cell r="L3356">
            <v>937.35640000000001</v>
          </cell>
          <cell r="M3356">
            <v>0</v>
          </cell>
          <cell r="N3356">
            <v>1159.99</v>
          </cell>
          <cell r="O3356" t="str">
            <v/>
          </cell>
          <cell r="P3356">
            <v>0</v>
          </cell>
          <cell r="Q3356">
            <v>0.237512220538527</v>
          </cell>
          <cell r="R3356">
            <v>0.237512220538527</v>
          </cell>
          <cell r="S3356" t="e">
            <v>#VALUE!</v>
          </cell>
          <cell r="T3356" t="e">
            <v>#VALUE!</v>
          </cell>
        </row>
        <row r="3357">
          <cell r="A3357" t="str">
            <v>GREM1370095Z</v>
          </cell>
          <cell r="B3357" t="str">
            <v>MKP000631005802</v>
          </cell>
          <cell r="C3357" t="str">
            <v/>
          </cell>
          <cell r="D3357" t="str">
            <v>Armário de Cozinha Compacta 137cm Rustic Emilly Madesa 09</v>
          </cell>
          <cell r="E3357" t="str">
            <v>EMILLY</v>
          </cell>
          <cell r="F3357" t="str">
            <v>COZINHA</v>
          </cell>
          <cell r="G3357" t="str">
            <v/>
          </cell>
          <cell r="H3357">
            <v>929.99</v>
          </cell>
          <cell r="I3357">
            <v>829.99</v>
          </cell>
          <cell r="J3357">
            <v>658.71969999999999</v>
          </cell>
          <cell r="K3357">
            <v>0</v>
          </cell>
          <cell r="L3357">
            <v>658.71969999999999</v>
          </cell>
          <cell r="M3357">
            <v>0</v>
          </cell>
          <cell r="N3357">
            <v>829.99</v>
          </cell>
          <cell r="O3357" t="str">
            <v/>
          </cell>
          <cell r="P3357">
            <v>0</v>
          </cell>
          <cell r="Q3357">
            <v>0.26000482451033402</v>
          </cell>
          <cell r="R3357">
            <v>0.26000482451033402</v>
          </cell>
          <cell r="S3357" t="e">
            <v>#VALUE!</v>
          </cell>
          <cell r="T3357" t="e">
            <v>#VALUE!</v>
          </cell>
        </row>
        <row r="3358">
          <cell r="A3358" t="str">
            <v>GREM293009J3</v>
          </cell>
          <cell r="B3358" t="str">
            <v>MKP000631005695</v>
          </cell>
          <cell r="C3358" t="str">
            <v/>
          </cell>
          <cell r="D3358" t="str">
            <v>Armário de Cozinha Completa 293cm com Pia Rustic/Branco Emilly Madesa 09</v>
          </cell>
          <cell r="E3358" t="str">
            <v>EMILLY</v>
          </cell>
          <cell r="F3358" t="str">
            <v>COZINHA</v>
          </cell>
          <cell r="G3358" t="str">
            <v/>
          </cell>
          <cell r="H3358">
            <v>1699.99</v>
          </cell>
          <cell r="I3358">
            <v>1599.99</v>
          </cell>
          <cell r="J3358">
            <v>1249.8158000000001</v>
          </cell>
          <cell r="K3358">
            <v>0</v>
          </cell>
          <cell r="L3358">
            <v>1249.8158000000001</v>
          </cell>
          <cell r="M3358">
            <v>0</v>
          </cell>
          <cell r="N3358">
            <v>1599.99</v>
          </cell>
          <cell r="O3358" t="str">
            <v/>
          </cell>
          <cell r="P3358">
            <v>0</v>
          </cell>
          <cell r="Q3358">
            <v>0.28018064742020399</v>
          </cell>
          <cell r="R3358">
            <v>0.28018064742020399</v>
          </cell>
          <cell r="S3358" t="e">
            <v>#VALUE!</v>
          </cell>
          <cell r="T3358" t="e">
            <v>#VALUE!</v>
          </cell>
        </row>
        <row r="3359">
          <cell r="A3359" t="str">
            <v>GRGL1800099B</v>
          </cell>
          <cell r="B3359" t="str">
            <v>MKP000631005225</v>
          </cell>
          <cell r="C3359" t="str">
            <v/>
          </cell>
          <cell r="D3359" t="str">
            <v>Armário de Cozinha Compacta 180cm Branco/Rustic Glamy Madesa 09</v>
          </cell>
          <cell r="E3359" t="str">
            <v>GLAMY</v>
          </cell>
          <cell r="F3359" t="str">
            <v>COZINHA</v>
          </cell>
          <cell r="G3359" t="str">
            <v/>
          </cell>
          <cell r="H3359">
            <v>1399.99</v>
          </cell>
          <cell r="I3359">
            <v>1299.99</v>
          </cell>
          <cell r="J3359">
            <v>1045.0156999999999</v>
          </cell>
          <cell r="K3359">
            <v>0</v>
          </cell>
          <cell r="L3359">
            <v>1045.0156999999999</v>
          </cell>
          <cell r="M3359">
            <v>0</v>
          </cell>
          <cell r="N3359">
            <v>1299.99</v>
          </cell>
          <cell r="O3359" t="str">
            <v/>
          </cell>
          <cell r="P3359">
            <v>0</v>
          </cell>
          <cell r="Q3359">
            <v>0.24399087975424699</v>
          </cell>
          <cell r="R3359">
            <v>0.24399087975424699</v>
          </cell>
          <cell r="S3359" t="e">
            <v>#VALUE!</v>
          </cell>
          <cell r="T3359" t="e">
            <v>#VALUE!</v>
          </cell>
        </row>
        <row r="3360">
          <cell r="A3360" t="str">
            <v>GRTE2400019B</v>
          </cell>
          <cell r="B3360" t="str">
            <v>MKP000631005491</v>
          </cell>
          <cell r="C3360" t="str">
            <v/>
          </cell>
          <cell r="D3360" t="str">
            <v>Armário de Cozinha Compacta 240cm Branco/Rustic Stella Madesa 01</v>
          </cell>
          <cell r="E3360" t="str">
            <v>STELLA</v>
          </cell>
          <cell r="F3360" t="str">
            <v>COZINHA</v>
          </cell>
          <cell r="G3360" t="str">
            <v/>
          </cell>
          <cell r="H3360">
            <v>1249.99</v>
          </cell>
          <cell r="I3360">
            <v>1249.99</v>
          </cell>
          <cell r="J3360">
            <v>990.25409999999999</v>
          </cell>
          <cell r="K3360">
            <v>0</v>
          </cell>
          <cell r="L3360">
            <v>990.25409999999999</v>
          </cell>
          <cell r="M3360">
            <v>0</v>
          </cell>
          <cell r="N3360">
            <v>1249.99</v>
          </cell>
          <cell r="O3360" t="str">
            <v/>
          </cell>
          <cell r="P3360">
            <v>0</v>
          </cell>
          <cell r="Q3360">
            <v>0.26229217329168297</v>
          </cell>
          <cell r="R3360">
            <v>0.26229217329168297</v>
          </cell>
          <cell r="S3360" t="e">
            <v>#VALUE!</v>
          </cell>
          <cell r="T3360" t="e">
            <v>#VALUE!</v>
          </cell>
        </row>
        <row r="3361">
          <cell r="A3361" t="str">
            <v>MDES0200200977</v>
          </cell>
          <cell r="B3361" t="str">
            <v>MKP000631002781</v>
          </cell>
          <cell r="C3361" t="str">
            <v/>
          </cell>
          <cell r="D3361" t="str">
            <v>Rack Madesa Cancun com Pés e Painel para TV até 65 Polegadas Branco/Preto 0977</v>
          </cell>
          <cell r="E3361" t="str">
            <v>CANCUN</v>
          </cell>
          <cell r="F3361" t="str">
            <v>SALA DE ESTAR</v>
          </cell>
          <cell r="G3361" t="str">
            <v/>
          </cell>
          <cell r="H3361">
            <v>699.99</v>
          </cell>
          <cell r="I3361">
            <v>599.99</v>
          </cell>
          <cell r="J3361">
            <v>470.45490000000001</v>
          </cell>
          <cell r="K3361">
            <v>0</v>
          </cell>
          <cell r="L3361">
            <v>470.45490000000001</v>
          </cell>
          <cell r="M3361">
            <v>0</v>
          </cell>
          <cell r="N3361">
            <v>599.99</v>
          </cell>
          <cell r="O3361" t="str">
            <v/>
          </cell>
          <cell r="P3361">
            <v>0</v>
          </cell>
          <cell r="Q3361">
            <v>0.27534010167605799</v>
          </cell>
          <cell r="R3361">
            <v>0.27534010167605799</v>
          </cell>
          <cell r="S3361" t="e">
            <v>#VALUE!</v>
          </cell>
          <cell r="T3361" t="e">
            <v>#VALUE!</v>
          </cell>
        </row>
        <row r="3362">
          <cell r="A3362" t="str">
            <v>G241245ZGLCT</v>
          </cell>
          <cell r="B3362" t="str">
            <v>MKP000631003000</v>
          </cell>
          <cell r="C3362" t="str">
            <v/>
          </cell>
          <cell r="D3362" t="str">
            <v>Balcão de Pia Madesa Glamy 120 cm 2 Portas e 3 Gavetas (Com Tampo) Rustic</v>
          </cell>
          <cell r="E3362" t="str">
            <v>GLAMY</v>
          </cell>
          <cell r="F3362" t="str">
            <v>MODULAÇÃO</v>
          </cell>
          <cell r="G3362" t="str">
            <v/>
          </cell>
          <cell r="H3362">
            <v>1469.99</v>
          </cell>
          <cell r="I3362">
            <v>829.99</v>
          </cell>
          <cell r="J3362">
            <v>648.65899999999999</v>
          </cell>
          <cell r="K3362">
            <v>0</v>
          </cell>
          <cell r="L3362">
            <v>648.65899999999999</v>
          </cell>
          <cell r="M3362">
            <v>0</v>
          </cell>
          <cell r="N3362">
            <v>829.99</v>
          </cell>
          <cell r="O3362" t="str">
            <v/>
          </cell>
          <cell r="P3362">
            <v>0</v>
          </cell>
          <cell r="Q3362">
            <v>0.27954749722118999</v>
          </cell>
          <cell r="R3362">
            <v>0.27954749722118999</v>
          </cell>
          <cell r="S3362" t="e">
            <v>#VALUE!</v>
          </cell>
          <cell r="T3362" t="e">
            <v>#VALUE!</v>
          </cell>
        </row>
        <row r="3363">
          <cell r="A3363" t="str">
            <v>GRAG2000017G</v>
          </cell>
          <cell r="B3363" t="str">
            <v>MKP000631005466</v>
          </cell>
          <cell r="C3363" t="str">
            <v/>
          </cell>
          <cell r="D3363" t="str">
            <v>Kit com 2 Balcões de Cozinha 3 Gavetas 4 Portas (Sem Tampo e Pia) Rustic/Crema Agata Madesa</v>
          </cell>
          <cell r="E3363" t="str">
            <v>ÁGATA</v>
          </cell>
          <cell r="F3363" t="str">
            <v>COZINHA</v>
          </cell>
          <cell r="G3363" t="str">
            <v/>
          </cell>
          <cell r="H3363">
            <v>1129.99</v>
          </cell>
          <cell r="I3363">
            <v>1129.99</v>
          </cell>
          <cell r="J3363">
            <v>868.41390000000001</v>
          </cell>
          <cell r="K3363">
            <v>0</v>
          </cell>
          <cell r="L3363">
            <v>868.41390000000001</v>
          </cell>
          <cell r="M3363">
            <v>0</v>
          </cell>
          <cell r="N3363">
            <v>1129.99</v>
          </cell>
          <cell r="O3363" t="str">
            <v/>
          </cell>
          <cell r="P3363">
            <v>0</v>
          </cell>
          <cell r="Q3363">
            <v>0.30121132331023298</v>
          </cell>
          <cell r="R3363">
            <v>0.30121132331023298</v>
          </cell>
          <cell r="S3363" t="e">
            <v>#VALUE!</v>
          </cell>
          <cell r="T3363" t="e">
            <v>#VALUE!</v>
          </cell>
        </row>
        <row r="3364">
          <cell r="A3364" t="str">
            <v>MDFC02000273</v>
          </cell>
          <cell r="B3364" t="str">
            <v>MKP000631002648</v>
          </cell>
          <cell r="C3364" t="str">
            <v/>
          </cell>
          <cell r="D3364" t="str">
            <v>Mesa para Computador Gamer Madesa 9409 e Painel para TV até 65 Polegadas Branco/Preto</v>
          </cell>
          <cell r="E3364" t="str">
            <v>GAMER</v>
          </cell>
          <cell r="F3364" t="str">
            <v>ESCRITÓRIO</v>
          </cell>
          <cell r="G3364" t="str">
            <v/>
          </cell>
          <cell r="H3364">
            <v>859.99</v>
          </cell>
          <cell r="I3364">
            <v>589.99</v>
          </cell>
          <cell r="J3364">
            <v>434.67020000000002</v>
          </cell>
          <cell r="K3364">
            <v>0</v>
          </cell>
          <cell r="L3364">
            <v>434.67020000000002</v>
          </cell>
          <cell r="M3364">
            <v>0</v>
          </cell>
          <cell r="N3364">
            <v>589.99</v>
          </cell>
          <cell r="O3364" t="str">
            <v/>
          </cell>
          <cell r="P3364">
            <v>0</v>
          </cell>
          <cell r="Q3364">
            <v>0.35732792356135801</v>
          </cell>
          <cell r="R3364">
            <v>0.35732792356135801</v>
          </cell>
          <cell r="S3364" t="e">
            <v>#VALUE!</v>
          </cell>
          <cell r="T3364" t="e">
            <v>#VALUE!</v>
          </cell>
        </row>
        <row r="3365">
          <cell r="A3365" t="str">
            <v>G228007GFFCT</v>
          </cell>
          <cell r="B3365" t="str">
            <v>MKP000631006027</v>
          </cell>
          <cell r="C3365" t="str">
            <v/>
          </cell>
          <cell r="D3365" t="str">
            <v>Balcão para Forno de Embutir 80 x 60 cm Com Tampo Rustic/Crema Agata Madesa</v>
          </cell>
          <cell r="E3365" t="str">
            <v>ÁGATA</v>
          </cell>
          <cell r="F3365" t="str">
            <v>MODULAÇÃO</v>
          </cell>
          <cell r="G3365" t="str">
            <v/>
          </cell>
          <cell r="H3365">
            <v>589.99</v>
          </cell>
          <cell r="I3365">
            <v>589.99</v>
          </cell>
          <cell r="J3365">
            <v>382.07769999999999</v>
          </cell>
          <cell r="K3365">
            <v>0</v>
          </cell>
          <cell r="L3365">
            <v>382.07769999999999</v>
          </cell>
          <cell r="M3365">
            <v>0</v>
          </cell>
          <cell r="N3365">
            <v>589.99</v>
          </cell>
          <cell r="O3365" t="str">
            <v/>
          </cell>
          <cell r="P3365">
            <v>0</v>
          </cell>
          <cell r="Q3365">
            <v>0.544162352317343</v>
          </cell>
          <cell r="R3365">
            <v>0.544162352317343</v>
          </cell>
          <cell r="S3365" t="e">
            <v>#VALUE!</v>
          </cell>
          <cell r="T3365" t="e">
            <v>#VALUE!</v>
          </cell>
        </row>
        <row r="3366">
          <cell r="A3366" t="str">
            <v>G244016EAG</v>
          </cell>
          <cell r="B3366" t="str">
            <v>MKP000631004748</v>
          </cell>
          <cell r="C3366" t="str">
            <v/>
          </cell>
          <cell r="D3366" t="str">
            <v>Balcão Madesa Agata 40 cm 3 Gavetas Rustic/Branco</v>
          </cell>
          <cell r="E3366" t="str">
            <v>ÁGATA</v>
          </cell>
          <cell r="F3366" t="str">
            <v>MODULAÇÃO</v>
          </cell>
          <cell r="G3366" t="str">
            <v/>
          </cell>
          <cell r="H3366">
            <v>679.99</v>
          </cell>
          <cell r="I3366">
            <v>539.99</v>
          </cell>
          <cell r="J3366">
            <v>340.39609999999999</v>
          </cell>
          <cell r="K3366">
            <v>0</v>
          </cell>
          <cell r="L3366">
            <v>340.39609999999999</v>
          </cell>
          <cell r="M3366">
            <v>0</v>
          </cell>
          <cell r="N3366">
            <v>539.99</v>
          </cell>
          <cell r="O3366" t="str">
            <v/>
          </cell>
          <cell r="P3366">
            <v>0</v>
          </cell>
          <cell r="Q3366">
            <v>0.58635777554443202</v>
          </cell>
          <cell r="R3366">
            <v>0.58635777554443202</v>
          </cell>
          <cell r="S3366" t="e">
            <v>#VALUE!</v>
          </cell>
          <cell r="T3366" t="e">
            <v>#VALUE!</v>
          </cell>
        </row>
        <row r="3367">
          <cell r="A3367" t="str">
            <v>GRLX1800019N</v>
          </cell>
          <cell r="B3367" t="str">
            <v>MKP000631002711</v>
          </cell>
          <cell r="C3367" t="str">
            <v/>
          </cell>
          <cell r="D3367" t="str">
            <v>Armário de Cozinha Compacta 180cm Rustic/Cinza Lux Madesa 01</v>
          </cell>
          <cell r="E3367" t="str">
            <v>LUX</v>
          </cell>
          <cell r="F3367" t="str">
            <v>COZINHA</v>
          </cell>
          <cell r="G3367" t="str">
            <v/>
          </cell>
          <cell r="H3367">
            <v>3419.99</v>
          </cell>
          <cell r="I3367">
            <v>3319.99</v>
          </cell>
          <cell r="J3367">
            <v>2051.6743000000001</v>
          </cell>
          <cell r="K3367">
            <v>0</v>
          </cell>
          <cell r="L3367">
            <v>2051.6743000000001</v>
          </cell>
          <cell r="M3367">
            <v>0</v>
          </cell>
          <cell r="N3367">
            <v>3319.99</v>
          </cell>
          <cell r="O3367" t="str">
            <v>LOJA</v>
          </cell>
          <cell r="P3367">
            <v>2919.99</v>
          </cell>
          <cell r="Q3367">
            <v>0.61818569350895503</v>
          </cell>
          <cell r="R3367">
            <v>0.61818569350895503</v>
          </cell>
          <cell r="S3367" t="e">
            <v>#VALUE!</v>
          </cell>
          <cell r="T3367" t="e">
            <v>#VALUE!</v>
          </cell>
        </row>
        <row r="3368">
          <cell r="A3368" t="str">
            <v>G2212473LXCT</v>
          </cell>
          <cell r="B3368" t="str">
            <v>MKP000631005110</v>
          </cell>
          <cell r="C3368" t="str">
            <v/>
          </cell>
          <cell r="D3368" t="str">
            <v>Balcão de Pia 120 cm 2 Portas 3 Gavetas Branco/Preto Lux Madesa</v>
          </cell>
          <cell r="E3368" t="str">
            <v>LUX</v>
          </cell>
          <cell r="F3368" t="str">
            <v>MODULAÇÃO</v>
          </cell>
          <cell r="G3368" t="str">
            <v/>
          </cell>
          <cell r="H3368">
            <v>1779.99</v>
          </cell>
          <cell r="I3368">
            <v>1549.99</v>
          </cell>
          <cell r="J3368">
            <v>930.38040000000001</v>
          </cell>
          <cell r="K3368">
            <v>0</v>
          </cell>
          <cell r="L3368">
            <v>930.38040000000001</v>
          </cell>
          <cell r="M3368">
            <v>0</v>
          </cell>
          <cell r="N3368">
            <v>1549.99</v>
          </cell>
          <cell r="O3368" t="str">
            <v>LOJA</v>
          </cell>
          <cell r="P3368">
            <v>1539.99</v>
          </cell>
          <cell r="Q3368">
            <v>0.66597447667642196</v>
          </cell>
          <cell r="R3368">
            <v>0.66597447667642196</v>
          </cell>
          <cell r="S3368" t="e">
            <v>#VALUE!</v>
          </cell>
          <cell r="T3368" t="e">
            <v>#VALUE!</v>
          </cell>
        </row>
        <row r="3369">
          <cell r="A3369" t="str">
            <v>G2512109AG</v>
          </cell>
          <cell r="B3369" t="str">
            <v>MKP000631004444</v>
          </cell>
          <cell r="C3369" t="str">
            <v/>
          </cell>
          <cell r="D3369" t="str">
            <v>Armário Aéreo Madesa Agata 120 cm 2 Portas Branco</v>
          </cell>
          <cell r="E3369" t="str">
            <v>ÁGATA</v>
          </cell>
          <cell r="F3369" t="str">
            <v>MODULAÇÃO</v>
          </cell>
          <cell r="G3369" t="str">
            <v/>
          </cell>
          <cell r="H3369">
            <v>629.99</v>
          </cell>
          <cell r="I3369">
            <v>489.99</v>
          </cell>
          <cell r="J3369">
            <v>307.46719999999999</v>
          </cell>
          <cell r="K3369">
            <v>0</v>
          </cell>
          <cell r="L3369">
            <v>307.46719999999999</v>
          </cell>
          <cell r="M3369">
            <v>0</v>
          </cell>
          <cell r="N3369">
            <v>489.99</v>
          </cell>
          <cell r="O3369" t="str">
            <v/>
          </cell>
          <cell r="P3369">
            <v>0</v>
          </cell>
          <cell r="Q3369">
            <v>0.59363340219704797</v>
          </cell>
          <cell r="R3369">
            <v>0.59363340219704797</v>
          </cell>
          <cell r="S3369" t="e">
            <v>#VALUE!</v>
          </cell>
          <cell r="T3369" t="e">
            <v>#VALUE!</v>
          </cell>
        </row>
        <row r="3370">
          <cell r="A3370" t="str">
            <v>G254006ETE</v>
          </cell>
          <cell r="B3370" t="str">
            <v>MKP000631002146</v>
          </cell>
          <cell r="C3370" t="str">
            <v/>
          </cell>
          <cell r="D3370" t="str">
            <v>Armário Aéreo Madesa Stella 40 cm 1 Porta Rustic/Branco</v>
          </cell>
          <cell r="E3370" t="str">
            <v>STELLA</v>
          </cell>
          <cell r="F3370" t="str">
            <v>MODULAÇÃO</v>
          </cell>
          <cell r="G3370" t="str">
            <v/>
          </cell>
          <cell r="H3370">
            <v>399.99</v>
          </cell>
          <cell r="I3370">
            <v>289.99</v>
          </cell>
          <cell r="J3370">
            <v>170.05090000000001</v>
          </cell>
          <cell r="K3370">
            <v>0</v>
          </cell>
          <cell r="L3370">
            <v>170.05090000000001</v>
          </cell>
          <cell r="M3370">
            <v>0</v>
          </cell>
          <cell r="N3370">
            <v>289.99</v>
          </cell>
          <cell r="O3370" t="str">
            <v/>
          </cell>
          <cell r="P3370">
            <v>0</v>
          </cell>
          <cell r="Q3370">
            <v>0.70531293865542599</v>
          </cell>
          <cell r="R3370">
            <v>0.70531293865542599</v>
          </cell>
          <cell r="S3370" t="e">
            <v>#VALUE!</v>
          </cell>
          <cell r="T3370" t="e">
            <v>#VALUE!</v>
          </cell>
        </row>
        <row r="3371">
          <cell r="A3371" t="str">
            <v>G253507KGL</v>
          </cell>
          <cell r="B3371" t="str">
            <v>MKP000631003441</v>
          </cell>
          <cell r="C3371" t="str">
            <v/>
          </cell>
          <cell r="D3371" t="str">
            <v>Armário Aéreo Madesa Glamy 35 cm 1 Porta Rustic/Preto</v>
          </cell>
          <cell r="E3371" t="str">
            <v>GLAMY</v>
          </cell>
          <cell r="F3371" t="str">
            <v>MODULAÇÃO</v>
          </cell>
          <cell r="G3371" t="str">
            <v/>
          </cell>
          <cell r="H3371">
            <v>449.99</v>
          </cell>
          <cell r="I3371">
            <v>279.99</v>
          </cell>
          <cell r="J3371">
            <v>164.9606</v>
          </cell>
          <cell r="K3371">
            <v>0</v>
          </cell>
          <cell r="L3371">
            <v>164.9606</v>
          </cell>
          <cell r="M3371">
            <v>0</v>
          </cell>
          <cell r="N3371">
            <v>279.99</v>
          </cell>
          <cell r="O3371" t="str">
            <v/>
          </cell>
          <cell r="P3371">
            <v>0</v>
          </cell>
          <cell r="Q3371">
            <v>0.69731438901167897</v>
          </cell>
          <cell r="R3371">
            <v>0.69731438901167897</v>
          </cell>
          <cell r="S3371" t="e">
            <v>#VALUE!</v>
          </cell>
          <cell r="T3371" t="e">
            <v>#VALUE!</v>
          </cell>
        </row>
        <row r="3372">
          <cell r="A3372" t="str">
            <v>G2575709AG</v>
          </cell>
          <cell r="B3372" t="str">
            <v>MKP000631004697</v>
          </cell>
          <cell r="C3372" t="str">
            <v/>
          </cell>
          <cell r="D3372" t="str">
            <v>Armário Aéreo de Canto Madesa Agata 1 Porta para linha de 60 cm de profundidade Branco</v>
          </cell>
          <cell r="E3372" t="str">
            <v>ÁGATA</v>
          </cell>
          <cell r="F3372" t="str">
            <v>MODULAÇÃO</v>
          </cell>
          <cell r="G3372" t="str">
            <v/>
          </cell>
          <cell r="H3372">
            <v>579.99</v>
          </cell>
          <cell r="I3372">
            <v>519.99</v>
          </cell>
          <cell r="J3372">
            <v>284.86059999999998</v>
          </cell>
          <cell r="K3372">
            <v>0</v>
          </cell>
          <cell r="L3372">
            <v>284.86059999999998</v>
          </cell>
          <cell r="M3372">
            <v>0</v>
          </cell>
          <cell r="N3372">
            <v>519.99</v>
          </cell>
          <cell r="O3372" t="str">
            <v/>
          </cell>
          <cell r="P3372">
            <v>0</v>
          </cell>
          <cell r="Q3372">
            <v>0.82541916993785802</v>
          </cell>
          <cell r="R3372">
            <v>0.82541916993785802</v>
          </cell>
          <cell r="S3372" t="e">
            <v>#VALUE!</v>
          </cell>
          <cell r="T3372" t="e">
            <v>#VALUE!</v>
          </cell>
        </row>
        <row r="3373">
          <cell r="A3373" t="str">
            <v>G25350H7LX</v>
          </cell>
          <cell r="B3373" t="str">
            <v>MKP000631004704</v>
          </cell>
          <cell r="C3373" t="str">
            <v/>
          </cell>
          <cell r="D3373" t="str">
            <v>Armário Aéreo Madesa Lux 35 cm 1 Porta Branco/Branco Veludo</v>
          </cell>
          <cell r="E3373" t="str">
            <v>LUX</v>
          </cell>
          <cell r="F3373" t="str">
            <v>MODULAÇÃO</v>
          </cell>
          <cell r="G3373" t="str">
            <v/>
          </cell>
          <cell r="H3373">
            <v>519.99</v>
          </cell>
          <cell r="I3373">
            <v>329.99</v>
          </cell>
          <cell r="J3373">
            <v>174.2801</v>
          </cell>
          <cell r="K3373">
            <v>0</v>
          </cell>
          <cell r="L3373">
            <v>174.2801</v>
          </cell>
          <cell r="M3373">
            <v>0</v>
          </cell>
          <cell r="N3373">
            <v>329.99</v>
          </cell>
          <cell r="O3373" t="str">
            <v>LOJA</v>
          </cell>
          <cell r="P3373">
            <v>319.99</v>
          </cell>
          <cell r="Q3373">
            <v>0.89344623970264003</v>
          </cell>
          <cell r="R3373">
            <v>0.89344623970264003</v>
          </cell>
          <cell r="S3373" t="e">
            <v>#VALUE!</v>
          </cell>
          <cell r="T3373" t="e">
            <v>#VALUE!</v>
          </cell>
        </row>
        <row r="3374">
          <cell r="A3374" t="str">
            <v>G22401H7LXCT</v>
          </cell>
          <cell r="B3374" t="str">
            <v>MKP000631005096</v>
          </cell>
          <cell r="C3374" t="str">
            <v/>
          </cell>
          <cell r="D3374" t="str">
            <v>Balcão 40 cm 3 Gavetas Branco/Branco Veludo Lux Madesa</v>
          </cell>
          <cell r="E3374" t="str">
            <v>LUX</v>
          </cell>
          <cell r="F3374" t="str">
            <v>MODULAÇÃO</v>
          </cell>
          <cell r="G3374" t="str">
            <v/>
          </cell>
          <cell r="H3374">
            <v>889.99</v>
          </cell>
          <cell r="I3374">
            <v>819.99</v>
          </cell>
          <cell r="J3374">
            <v>415.31180000000001</v>
          </cell>
          <cell r="K3374">
            <v>0</v>
          </cell>
          <cell r="L3374">
            <v>415.31180000000001</v>
          </cell>
          <cell r="M3374">
            <v>0</v>
          </cell>
          <cell r="N3374">
            <v>819.99</v>
          </cell>
          <cell r="O3374" t="str">
            <v>LOJA</v>
          </cell>
          <cell r="P3374">
            <v>799.99</v>
          </cell>
          <cell r="Q3374">
            <v>0.97439610432450996</v>
          </cell>
          <cell r="R3374">
            <v>0.97439610432450996</v>
          </cell>
          <cell r="S3374" t="e">
            <v>#VALUE!</v>
          </cell>
          <cell r="T3374" t="e">
            <v>#VALUE!</v>
          </cell>
        </row>
        <row r="3375">
          <cell r="A3375" t="str">
            <v>G22400H8LX</v>
          </cell>
          <cell r="B3375" t="str">
            <v>MKP000631004479</v>
          </cell>
          <cell r="C3375" t="str">
            <v/>
          </cell>
          <cell r="D3375" t="str">
            <v>Balcão Madesa Lux 40 cm 1 Porta (Sem Tampo) Rustic/Branco Veludo</v>
          </cell>
          <cell r="E3375" t="str">
            <v>LUX</v>
          </cell>
          <cell r="F3375" t="str">
            <v>MODULAÇÃO</v>
          </cell>
          <cell r="G3375" t="str">
            <v/>
          </cell>
          <cell r="H3375">
            <v>779.99</v>
          </cell>
          <cell r="I3375">
            <v>459.99</v>
          </cell>
          <cell r="J3375">
            <v>227.374</v>
          </cell>
          <cell r="K3375">
            <v>0</v>
          </cell>
          <cell r="L3375">
            <v>227.374</v>
          </cell>
          <cell r="M3375">
            <v>0</v>
          </cell>
          <cell r="N3375">
            <v>459.99</v>
          </cell>
          <cell r="O3375" t="str">
            <v>LOJA</v>
          </cell>
          <cell r="P3375">
            <v>449.99</v>
          </cell>
          <cell r="Q3375">
            <v>1.02305452690281</v>
          </cell>
          <cell r="R3375">
            <v>1.02305452690281</v>
          </cell>
          <cell r="S3375" t="e">
            <v>#VALUE!</v>
          </cell>
          <cell r="T3375" t="e">
            <v>#VALUE!</v>
          </cell>
        </row>
        <row r="3376">
          <cell r="A3376" t="str">
            <v>G22600H8LX</v>
          </cell>
          <cell r="B3376" t="str">
            <v>MKP000631004478</v>
          </cell>
          <cell r="C3376" t="str">
            <v/>
          </cell>
          <cell r="D3376" t="str">
            <v>Balcão Madesa Lux 60 cm 1 Porta (Sem Tampo) Rustic/Branco Veludo</v>
          </cell>
          <cell r="E3376" t="str">
            <v>LUX</v>
          </cell>
          <cell r="F3376" t="str">
            <v>MODULAÇÃO</v>
          </cell>
          <cell r="G3376" t="str">
            <v/>
          </cell>
          <cell r="H3376">
            <v>859.99</v>
          </cell>
          <cell r="I3376">
            <v>519.99</v>
          </cell>
          <cell r="J3376">
            <v>254.39510000000001</v>
          </cell>
          <cell r="K3376">
            <v>0</v>
          </cell>
          <cell r="L3376">
            <v>254.39510000000001</v>
          </cell>
          <cell r="M3376">
            <v>0</v>
          </cell>
          <cell r="N3376">
            <v>519.99</v>
          </cell>
          <cell r="O3376" t="str">
            <v>LOJA</v>
          </cell>
          <cell r="P3376">
            <v>499.99</v>
          </cell>
          <cell r="Q3376">
            <v>1.0440252190392001</v>
          </cell>
          <cell r="R3376">
            <v>1.0440252190392001</v>
          </cell>
          <cell r="S3376" t="e">
            <v>#VALUE!</v>
          </cell>
          <cell r="T3376" t="e">
            <v>#VALUE!</v>
          </cell>
        </row>
        <row r="3377">
          <cell r="A3377" t="str">
            <v>GRGL200007A9</v>
          </cell>
          <cell r="B3377" t="str">
            <v>MKP000631005609</v>
          </cell>
          <cell r="C3377" t="str">
            <v/>
          </cell>
          <cell r="D3377" t="str">
            <v>Armário de Cozinha Compacta 200cm Branco/Rustic/Crema Glamy Madesa 07</v>
          </cell>
          <cell r="E3377" t="str">
            <v>GLAMY</v>
          </cell>
          <cell r="F3377" t="str">
            <v>COZINHA</v>
          </cell>
          <cell r="G3377" t="str">
            <v/>
          </cell>
          <cell r="H3377">
            <v>1699.99</v>
          </cell>
          <cell r="I3377">
            <v>1599.99</v>
          </cell>
          <cell r="J3377">
            <v>1301.5036</v>
          </cell>
          <cell r="K3377">
            <v>0</v>
          </cell>
          <cell r="L3377">
            <v>1301.5036</v>
          </cell>
          <cell r="M3377">
            <v>0</v>
          </cell>
          <cell r="N3377">
            <v>1599.99</v>
          </cell>
          <cell r="O3377" t="str">
            <v/>
          </cell>
          <cell r="P3377">
            <v>0</v>
          </cell>
          <cell r="Q3377">
            <v>0.22933966529174399</v>
          </cell>
          <cell r="R3377">
            <v>0.22933966529174399</v>
          </cell>
          <cell r="S3377" t="e">
            <v>#VALUE!</v>
          </cell>
          <cell r="T3377" t="e">
            <v>#VALUE!</v>
          </cell>
        </row>
        <row r="3378">
          <cell r="A3378" t="str">
            <v>GRGL2900139YMLSR</v>
          </cell>
          <cell r="B3378" t="str">
            <v>MKP000631001256</v>
          </cell>
          <cell r="C3378" t="str">
            <v/>
          </cell>
          <cell r="D3378" t="str">
            <v>Armário de Cozinha Completa 290cm Rustic/Rustic/Crema Safira Madesa 13</v>
          </cell>
          <cell r="E3378" t="str">
            <v>VICENZA/GLAMY</v>
          </cell>
          <cell r="F3378" t="str">
            <v>COZINHA</v>
          </cell>
          <cell r="G3378" t="str">
            <v/>
          </cell>
          <cell r="H3378">
            <v>2899.99</v>
          </cell>
          <cell r="I3378">
            <v>2199.9899999999998</v>
          </cell>
          <cell r="J3378">
            <v>1851.692</v>
          </cell>
          <cell r="K3378">
            <v>0</v>
          </cell>
          <cell r="L3378">
            <v>1851.692</v>
          </cell>
          <cell r="M3378">
            <v>0</v>
          </cell>
          <cell r="N3378">
            <v>2199.9899999999998</v>
          </cell>
          <cell r="O3378" t="str">
            <v/>
          </cell>
          <cell r="P3378">
            <v>0</v>
          </cell>
          <cell r="Q3378">
            <v>0.18809715654655301</v>
          </cell>
          <cell r="R3378">
            <v>0.18809715654655301</v>
          </cell>
          <cell r="S3378" t="e">
            <v>#VALUE!</v>
          </cell>
          <cell r="T3378" t="e">
            <v>#VALUE!</v>
          </cell>
        </row>
        <row r="3379">
          <cell r="A3379" t="str">
            <v>GRGL2700129B</v>
          </cell>
          <cell r="B3379" t="str">
            <v>MKP000631004608</v>
          </cell>
          <cell r="C3379" t="str">
            <v/>
          </cell>
          <cell r="D3379" t="str">
            <v>Armário de Cozinha Completa 270cm Branco/Rustic Glamy Madesa 12</v>
          </cell>
          <cell r="E3379" t="str">
            <v>GLAMY</v>
          </cell>
          <cell r="F3379" t="str">
            <v>COZINHA</v>
          </cell>
          <cell r="G3379" t="str">
            <v/>
          </cell>
          <cell r="H3379">
            <v>1799.99</v>
          </cell>
          <cell r="I3379">
            <v>1699.99</v>
          </cell>
          <cell r="J3379">
            <v>1419.5397</v>
          </cell>
          <cell r="K3379">
            <v>0</v>
          </cell>
          <cell r="L3379">
            <v>1419.5397</v>
          </cell>
          <cell r="M3379">
            <v>0</v>
          </cell>
          <cell r="N3379">
            <v>1699.99</v>
          </cell>
          <cell r="O3379" t="str">
            <v/>
          </cell>
          <cell r="P3379">
            <v>0</v>
          </cell>
          <cell r="Q3379">
            <v>0.197564252694025</v>
          </cell>
          <cell r="R3379">
            <v>0.197564252694025</v>
          </cell>
          <cell r="S3379" t="e">
            <v>#VALUE!</v>
          </cell>
          <cell r="T3379" t="e">
            <v>#VALUE!</v>
          </cell>
        </row>
        <row r="3380">
          <cell r="A3380" t="str">
            <v>GRGL270008C3</v>
          </cell>
          <cell r="B3380" t="str">
            <v>MKP000631001306</v>
          </cell>
          <cell r="C3380" t="str">
            <v/>
          </cell>
          <cell r="D3380" t="str">
            <v>Armário de Cozinha Completa 270cm Rustic/Preto/Crema Jade Madesa 08</v>
          </cell>
          <cell r="E3380" t="str">
            <v>JADE/GLAMY</v>
          </cell>
          <cell r="F3380" t="str">
            <v>COZINHA</v>
          </cell>
          <cell r="G3380" t="str">
            <v/>
          </cell>
          <cell r="H3380">
            <v>2799.99</v>
          </cell>
          <cell r="I3380">
            <v>2099.9899999999998</v>
          </cell>
          <cell r="J3380">
            <v>1744.8065999999999</v>
          </cell>
          <cell r="K3380">
            <v>0</v>
          </cell>
          <cell r="L3380">
            <v>1744.8065999999999</v>
          </cell>
          <cell r="M3380">
            <v>0</v>
          </cell>
          <cell r="N3380">
            <v>2099.9899999999998</v>
          </cell>
          <cell r="O3380" t="str">
            <v/>
          </cell>
          <cell r="P3380">
            <v>0</v>
          </cell>
          <cell r="Q3380">
            <v>0.2035660571206</v>
          </cell>
          <cell r="R3380">
            <v>0.2035660571206</v>
          </cell>
          <cell r="S3380" t="e">
            <v>#VALUE!</v>
          </cell>
          <cell r="T3380" t="e">
            <v>#VALUE!</v>
          </cell>
        </row>
        <row r="3381">
          <cell r="A3381" t="str">
            <v>GRGL1800069B</v>
          </cell>
          <cell r="B3381" t="str">
            <v>MKP000631004620</v>
          </cell>
          <cell r="C3381" t="str">
            <v/>
          </cell>
          <cell r="D3381" t="str">
            <v>Armário de Cozinha Compacta 180cm Branco Rustic Glamy Madesa 06</v>
          </cell>
          <cell r="E3381" t="str">
            <v>GLAMY</v>
          </cell>
          <cell r="F3381" t="str">
            <v>COZINHA</v>
          </cell>
          <cell r="G3381" t="str">
            <v/>
          </cell>
          <cell r="H3381">
            <v>1679.99</v>
          </cell>
          <cell r="I3381">
            <v>1579.99</v>
          </cell>
          <cell r="J3381">
            <v>1306.6157000000001</v>
          </cell>
          <cell r="K3381">
            <v>0</v>
          </cell>
          <cell r="L3381">
            <v>1306.6157000000001</v>
          </cell>
          <cell r="M3381">
            <v>0</v>
          </cell>
          <cell r="N3381">
            <v>1579.99</v>
          </cell>
          <cell r="O3381" t="str">
            <v/>
          </cell>
          <cell r="P3381">
            <v>0</v>
          </cell>
          <cell r="Q3381">
            <v>0.20922318628193401</v>
          </cell>
          <cell r="R3381">
            <v>0.20922318628193401</v>
          </cell>
          <cell r="S3381" t="e">
            <v>#VALUE!</v>
          </cell>
          <cell r="T3381" t="e">
            <v>#VALUE!</v>
          </cell>
        </row>
        <row r="3382">
          <cell r="A3382" t="str">
            <v>GREM2290075Z</v>
          </cell>
          <cell r="B3382" t="str">
            <v>MKP000631005173</v>
          </cell>
          <cell r="C3382" t="str">
            <v/>
          </cell>
          <cell r="D3382" t="str">
            <v>Armário de Cozinha Completa 229cm Rustic Emilly Madesa 07</v>
          </cell>
          <cell r="E3382" t="str">
            <v>EMILLY</v>
          </cell>
          <cell r="F3382" t="str">
            <v>COZINHA</v>
          </cell>
          <cell r="G3382" t="str">
            <v/>
          </cell>
          <cell r="H3382">
            <v>1239.99</v>
          </cell>
          <cell r="I3382">
            <v>1139.99</v>
          </cell>
          <cell r="J3382">
            <v>914.24839999999995</v>
          </cell>
          <cell r="K3382">
            <v>0</v>
          </cell>
          <cell r="L3382">
            <v>914.24839999999995</v>
          </cell>
          <cell r="M3382">
            <v>0</v>
          </cell>
          <cell r="N3382">
            <v>1139.99</v>
          </cell>
          <cell r="O3382" t="str">
            <v/>
          </cell>
          <cell r="P3382">
            <v>0</v>
          </cell>
          <cell r="Q3382">
            <v>0.24691495221648699</v>
          </cell>
          <cell r="R3382">
            <v>0.24691495221648699</v>
          </cell>
          <cell r="S3382" t="e">
            <v>#VALUE!</v>
          </cell>
          <cell r="T3382" t="e">
            <v>#VALUE!</v>
          </cell>
        </row>
        <row r="3383">
          <cell r="A3383" t="str">
            <v>GRGL20000673</v>
          </cell>
          <cell r="B3383" t="str">
            <v>MKP000631005644</v>
          </cell>
          <cell r="C3383" t="str">
            <v/>
          </cell>
          <cell r="D3383" t="str">
            <v>Kit com 2 Balcões de Cozinha Madesa Glamy 4 Portas 3 Gavetas (Sem Tampo e Pia) Branco/Preto Branco/Preto</v>
          </cell>
          <cell r="E3383" t="str">
            <v>GLAMY</v>
          </cell>
          <cell r="F3383" t="str">
            <v>COZINHA</v>
          </cell>
          <cell r="G3383" t="str">
            <v/>
          </cell>
          <cell r="H3383">
            <v>1199.99</v>
          </cell>
          <cell r="I3383">
            <v>1099.99</v>
          </cell>
          <cell r="J3383">
            <v>891.15129999999999</v>
          </cell>
          <cell r="K3383">
            <v>0</v>
          </cell>
          <cell r="L3383">
            <v>891.15129999999999</v>
          </cell>
          <cell r="M3383">
            <v>0</v>
          </cell>
          <cell r="N3383">
            <v>1099.99</v>
          </cell>
          <cell r="O3383" t="str">
            <v/>
          </cell>
          <cell r="P3383">
            <v>0</v>
          </cell>
          <cell r="Q3383">
            <v>0.234347074396907</v>
          </cell>
          <cell r="R3383">
            <v>0.234347074396907</v>
          </cell>
          <cell r="S3383" t="e">
            <v>#VALUE!</v>
          </cell>
          <cell r="T3383" t="e">
            <v>#VALUE!</v>
          </cell>
        </row>
        <row r="3384">
          <cell r="A3384" t="str">
            <v>MDES020023D85Z</v>
          </cell>
          <cell r="B3384" t="str">
            <v>MKP000631001663</v>
          </cell>
          <cell r="C3384" t="str">
            <v/>
          </cell>
          <cell r="D3384" t="str">
            <v>Rack Madesa Cancun e Painel para TV até 65 Polegadas Preto/Rustic D85Z</v>
          </cell>
          <cell r="E3384" t="str">
            <v>CANCUN</v>
          </cell>
          <cell r="F3384" t="str">
            <v>SALA DE ESTAR</v>
          </cell>
          <cell r="G3384" t="str">
            <v/>
          </cell>
          <cell r="H3384">
            <v>1149.99</v>
          </cell>
          <cell r="I3384">
            <v>569.99</v>
          </cell>
          <cell r="J3384">
            <v>449.15629999999999</v>
          </cell>
          <cell r="K3384">
            <v>0</v>
          </cell>
          <cell r="L3384">
            <v>449.15629999999999</v>
          </cell>
          <cell r="M3384">
            <v>0</v>
          </cell>
          <cell r="N3384">
            <v>569.99</v>
          </cell>
          <cell r="O3384" t="str">
            <v/>
          </cell>
          <cell r="P3384">
            <v>0</v>
          </cell>
          <cell r="Q3384">
            <v>0.26902372292228799</v>
          </cell>
          <cell r="R3384">
            <v>0.26902372292228799</v>
          </cell>
          <cell r="S3384" t="e">
            <v>#VALUE!</v>
          </cell>
          <cell r="T3384" t="e">
            <v>#VALUE!</v>
          </cell>
        </row>
        <row r="3385">
          <cell r="A3385" t="str">
            <v>GCGL4690016E</v>
          </cell>
          <cell r="B3385" t="str">
            <v>MKP000631005055</v>
          </cell>
          <cell r="C3385" t="str">
            <v/>
          </cell>
          <cell r="D3385" t="str">
            <v>Armário de Cozinha Completa de Canto 469cm Rustic/Branco Glamy Madesa 01</v>
          </cell>
          <cell r="E3385" t="str">
            <v>GLAMY</v>
          </cell>
          <cell r="F3385" t="str">
            <v>COZINHA</v>
          </cell>
          <cell r="G3385" t="str">
            <v/>
          </cell>
          <cell r="H3385">
            <v>3399.99</v>
          </cell>
          <cell r="I3385">
            <v>3299.99</v>
          </cell>
          <cell r="J3385">
            <v>2599.2467000000001</v>
          </cell>
          <cell r="K3385">
            <v>0</v>
          </cell>
          <cell r="L3385">
            <v>2599.2467000000001</v>
          </cell>
          <cell r="M3385">
            <v>0</v>
          </cell>
          <cell r="N3385">
            <v>3299.99</v>
          </cell>
          <cell r="O3385" t="str">
            <v/>
          </cell>
          <cell r="P3385">
            <v>0</v>
          </cell>
          <cell r="Q3385">
            <v>0.26959476374443397</v>
          </cell>
          <cell r="R3385">
            <v>0.26959476374443397</v>
          </cell>
          <cell r="S3385" t="e">
            <v>#VALUE!</v>
          </cell>
          <cell r="T3385" t="e">
            <v>#VALUE!</v>
          </cell>
        </row>
        <row r="3386">
          <cell r="A3386" t="str">
            <v>G241539BGLCT</v>
          </cell>
          <cell r="B3386" t="str">
            <v>MKP000631002396</v>
          </cell>
          <cell r="C3386" t="str">
            <v/>
          </cell>
          <cell r="D3386" t="str">
            <v>Balcão de Pia Madesa Glamy 150 cm 2 Portas e 2 Gavetas (Com Tampo) Branco/Rustic</v>
          </cell>
          <cell r="E3386" t="str">
            <v>GLAMY</v>
          </cell>
          <cell r="F3386" t="str">
            <v>MODULAÇÃO</v>
          </cell>
          <cell r="G3386" t="str">
            <v/>
          </cell>
          <cell r="H3386">
            <v>1349.99</v>
          </cell>
          <cell r="I3386">
            <v>689.99</v>
          </cell>
          <cell r="J3386">
            <v>539.95330000000001</v>
          </cell>
          <cell r="K3386">
            <v>0</v>
          </cell>
          <cell r="L3386">
            <v>539.95330000000001</v>
          </cell>
          <cell r="M3386">
            <v>0</v>
          </cell>
          <cell r="N3386">
            <v>689.99</v>
          </cell>
          <cell r="O3386" t="str">
            <v/>
          </cell>
          <cell r="P3386">
            <v>0</v>
          </cell>
          <cell r="Q3386">
            <v>0.277869771330224</v>
          </cell>
          <cell r="R3386">
            <v>0.277869771330224</v>
          </cell>
          <cell r="S3386" t="e">
            <v>#VALUE!</v>
          </cell>
          <cell r="T3386" t="e">
            <v>#VALUE!</v>
          </cell>
        </row>
        <row r="3387">
          <cell r="A3387" t="str">
            <v>G2412373GLCT</v>
          </cell>
          <cell r="B3387" t="str">
            <v>MKP000631003009</v>
          </cell>
          <cell r="C3387" t="str">
            <v/>
          </cell>
          <cell r="D3387" t="str">
            <v>Balcão de Pia Madesa Glamy 120 cm 1 Porta e 2 Gavetas (Com Tampo) Branco/Preto</v>
          </cell>
          <cell r="E3387" t="str">
            <v>GLAMY</v>
          </cell>
          <cell r="F3387" t="str">
            <v>MODULAÇÃO</v>
          </cell>
          <cell r="G3387" t="str">
            <v/>
          </cell>
          <cell r="H3387">
            <v>1279.99</v>
          </cell>
          <cell r="I3387">
            <v>699.99</v>
          </cell>
          <cell r="J3387">
            <v>538.29650000000004</v>
          </cell>
          <cell r="K3387">
            <v>0</v>
          </cell>
          <cell r="L3387">
            <v>538.29650000000004</v>
          </cell>
          <cell r="M3387">
            <v>0</v>
          </cell>
          <cell r="N3387">
            <v>699.99</v>
          </cell>
          <cell r="O3387" t="str">
            <v/>
          </cell>
          <cell r="P3387">
            <v>0</v>
          </cell>
          <cell r="Q3387">
            <v>0.30037999503990798</v>
          </cell>
          <cell r="R3387">
            <v>0.30037999503990798</v>
          </cell>
          <cell r="S3387" t="e">
            <v>#VALUE!</v>
          </cell>
          <cell r="T3387" t="e">
            <v>#VALUE!</v>
          </cell>
        </row>
        <row r="3388">
          <cell r="A3388" t="str">
            <v>MDJA040187D8PT</v>
          </cell>
          <cell r="B3388" t="str">
            <v>MKP000631006055</v>
          </cell>
          <cell r="C3388" t="str">
            <v/>
          </cell>
          <cell r="D3388" t="str">
            <v>Conjunto Sala de Jantar Mesa Tampo de Vidro 4 Cadeiras Preto/Rustic Eloá Madesa</v>
          </cell>
          <cell r="E3388" t="str">
            <v>ELOÁ</v>
          </cell>
          <cell r="F3388" t="str">
            <v>SALA DE JANTAR</v>
          </cell>
          <cell r="G3388" t="str">
            <v>4280X</v>
          </cell>
          <cell r="H3388">
            <v>939.99</v>
          </cell>
          <cell r="I3388">
            <v>839.99</v>
          </cell>
          <cell r="J3388">
            <v>643.31799999999998</v>
          </cell>
          <cell r="K3388">
            <v>0</v>
          </cell>
          <cell r="L3388">
            <v>643.31799999999998</v>
          </cell>
          <cell r="M3388">
            <v>0</v>
          </cell>
          <cell r="N3388">
            <v>839.99</v>
          </cell>
          <cell r="O3388" t="str">
            <v/>
          </cell>
          <cell r="P3388">
            <v>0</v>
          </cell>
          <cell r="Q3388">
            <v>0.30571505849362202</v>
          </cell>
          <cell r="R3388">
            <v>0.30571505849362202</v>
          </cell>
          <cell r="S3388" t="e">
            <v>#VALUE!</v>
          </cell>
          <cell r="T3388" t="e">
            <v>#VALUE!</v>
          </cell>
        </row>
        <row r="3389">
          <cell r="A3389" t="str">
            <v>G247009BGL</v>
          </cell>
          <cell r="B3389" t="str">
            <v>MKP000631003501</v>
          </cell>
          <cell r="C3389" t="str">
            <v/>
          </cell>
          <cell r="D3389" t="str">
            <v>Balcão de Cozinha Madesa Glamy 70 cm 2 Portas Branco/Rustic</v>
          </cell>
          <cell r="E3389" t="str">
            <v>GLAMY</v>
          </cell>
          <cell r="F3389" t="str">
            <v>MODULAÇÃO</v>
          </cell>
          <cell r="G3389" t="str">
            <v/>
          </cell>
          <cell r="H3389">
            <v>879.99</v>
          </cell>
          <cell r="I3389">
            <v>499.99</v>
          </cell>
          <cell r="J3389">
            <v>321.34289999999999</v>
          </cell>
          <cell r="K3389">
            <v>0</v>
          </cell>
          <cell r="L3389">
            <v>321.34289999999999</v>
          </cell>
          <cell r="M3389">
            <v>0</v>
          </cell>
          <cell r="N3389">
            <v>499.99</v>
          </cell>
          <cell r="O3389" t="str">
            <v/>
          </cell>
          <cell r="P3389">
            <v>0</v>
          </cell>
          <cell r="Q3389">
            <v>0.55593915409364902</v>
          </cell>
          <cell r="R3389">
            <v>0.55593915409364902</v>
          </cell>
          <cell r="S3389" t="e">
            <v>#VALUE!</v>
          </cell>
          <cell r="T3389" t="e">
            <v>#VALUE!</v>
          </cell>
        </row>
        <row r="3390">
          <cell r="A3390" t="str">
            <v>G246016EAG</v>
          </cell>
          <cell r="B3390" t="str">
            <v>MKP000631004747</v>
          </cell>
          <cell r="C3390" t="str">
            <v/>
          </cell>
          <cell r="D3390" t="str">
            <v>Balcão Madesa Agata 60 cm 3 Gavetas Rustic/Branco</v>
          </cell>
          <cell r="E3390" t="str">
            <v>ÁGATA</v>
          </cell>
          <cell r="F3390" t="str">
            <v>MODULAÇÃO</v>
          </cell>
          <cell r="G3390" t="str">
            <v/>
          </cell>
          <cell r="H3390">
            <v>749.99</v>
          </cell>
          <cell r="I3390">
            <v>579.99</v>
          </cell>
          <cell r="J3390">
            <v>373.48849999999999</v>
          </cell>
          <cell r="K3390">
            <v>0</v>
          </cell>
          <cell r="L3390">
            <v>373.48849999999999</v>
          </cell>
          <cell r="M3390">
            <v>0</v>
          </cell>
          <cell r="N3390">
            <v>579.99</v>
          </cell>
          <cell r="O3390" t="str">
            <v/>
          </cell>
          <cell r="P3390">
            <v>0</v>
          </cell>
          <cell r="Q3390">
            <v>0.55289921911919704</v>
          </cell>
          <cell r="R3390">
            <v>0.55289921911919704</v>
          </cell>
          <cell r="S3390" t="e">
            <v>#VALUE!</v>
          </cell>
          <cell r="T3390" t="e">
            <v>#VALUE!</v>
          </cell>
        </row>
        <row r="3391">
          <cell r="A3391" t="str">
            <v>G224019RLXCT</v>
          </cell>
          <cell r="B3391" t="str">
            <v>MKP000631005091</v>
          </cell>
          <cell r="C3391" t="str">
            <v/>
          </cell>
          <cell r="D3391" t="str">
            <v>Balcão 40 cm 3 Gavetas Branco/Cinza Lux Madesa</v>
          </cell>
          <cell r="E3391" t="str">
            <v>LUX</v>
          </cell>
          <cell r="F3391" t="str">
            <v>MODULAÇÃO</v>
          </cell>
          <cell r="G3391" t="str">
            <v/>
          </cell>
          <cell r="H3391">
            <v>1039.99</v>
          </cell>
          <cell r="I3391">
            <v>869.99</v>
          </cell>
          <cell r="J3391">
            <v>483.46949999999998</v>
          </cell>
          <cell r="K3391">
            <v>0</v>
          </cell>
          <cell r="L3391">
            <v>483.46949999999998</v>
          </cell>
          <cell r="M3391">
            <v>0</v>
          </cell>
          <cell r="N3391">
            <v>869.99</v>
          </cell>
          <cell r="O3391" t="str">
            <v>LOJA</v>
          </cell>
          <cell r="P3391">
            <v>859.99</v>
          </cell>
          <cell r="Q3391">
            <v>0.79947235554673002</v>
          </cell>
          <cell r="R3391">
            <v>0.79947235554673002</v>
          </cell>
          <cell r="S3391" t="e">
            <v>#VALUE!</v>
          </cell>
          <cell r="T3391" t="e">
            <v>#VALUE!</v>
          </cell>
        </row>
        <row r="3392">
          <cell r="A3392" t="str">
            <v>G226009NLXCT</v>
          </cell>
          <cell r="B3392" t="str">
            <v>MKP000631005086</v>
          </cell>
          <cell r="C3392" t="str">
            <v/>
          </cell>
          <cell r="D3392" t="str">
            <v>Balcão 60 cm 1 Porta Rustic/Cinza Lux Madesa</v>
          </cell>
          <cell r="E3392" t="str">
            <v>LUX</v>
          </cell>
          <cell r="F3392" t="str">
            <v>MODULAÇÃO</v>
          </cell>
          <cell r="G3392" t="str">
            <v/>
          </cell>
          <cell r="H3392">
            <v>889.99</v>
          </cell>
          <cell r="I3392">
            <v>779.99</v>
          </cell>
          <cell r="J3392">
            <v>432.62099999999998</v>
          </cell>
          <cell r="K3392">
            <v>0</v>
          </cell>
          <cell r="L3392">
            <v>432.62099999999998</v>
          </cell>
          <cell r="M3392">
            <v>0</v>
          </cell>
          <cell r="N3392">
            <v>779.99</v>
          </cell>
          <cell r="O3392" t="str">
            <v>LOJA</v>
          </cell>
          <cell r="P3392">
            <v>769.99</v>
          </cell>
          <cell r="Q3392">
            <v>0.80294068017964904</v>
          </cell>
          <cell r="R3392">
            <v>0.80294068017964904</v>
          </cell>
          <cell r="S3392" t="e">
            <v>#VALUE!</v>
          </cell>
          <cell r="T3392" t="e">
            <v>#VALUE!</v>
          </cell>
        </row>
        <row r="3393">
          <cell r="A3393" t="str">
            <v>G251535LAG</v>
          </cell>
          <cell r="B3393" t="str">
            <v>MKP000631005337</v>
          </cell>
          <cell r="C3393" t="str">
            <v/>
          </cell>
          <cell r="D3393" t="str">
            <v>Armário Aéreo 150 cm 2 Portas e 2 Nichos Branco/Crema Agata Madesa</v>
          </cell>
          <cell r="E3393" t="str">
            <v>ÁGATA</v>
          </cell>
          <cell r="F3393" t="str">
            <v>MODULAÇÃO</v>
          </cell>
          <cell r="G3393" t="str">
            <v/>
          </cell>
          <cell r="H3393">
            <v>729.99</v>
          </cell>
          <cell r="I3393">
            <v>629.99</v>
          </cell>
          <cell r="J3393">
            <v>339.77480000000003</v>
          </cell>
          <cell r="K3393">
            <v>0</v>
          </cell>
          <cell r="L3393">
            <v>339.77480000000003</v>
          </cell>
          <cell r="M3393">
            <v>0</v>
          </cell>
          <cell r="N3393">
            <v>629.99</v>
          </cell>
          <cell r="O3393" t="str">
            <v/>
          </cell>
          <cell r="P3393">
            <v>0</v>
          </cell>
          <cell r="Q3393">
            <v>0.85413985969530404</v>
          </cell>
          <cell r="R3393">
            <v>0.85413985969530404</v>
          </cell>
          <cell r="S3393" t="e">
            <v>#VALUE!</v>
          </cell>
          <cell r="T3393" t="e">
            <v>#VALUE!</v>
          </cell>
        </row>
        <row r="3394">
          <cell r="A3394" t="str">
            <v>G23755H8LX</v>
          </cell>
          <cell r="B3394" t="str">
            <v>MKP000631004729</v>
          </cell>
          <cell r="C3394" t="str">
            <v/>
          </cell>
          <cell r="D3394" t="str">
            <v>Torre Quente Madesa Lux 70 cm 3 Portas Rustic/Branco Veludo</v>
          </cell>
          <cell r="E3394" t="str">
            <v>LUX</v>
          </cell>
          <cell r="F3394" t="str">
            <v>MODULAÇÃO</v>
          </cell>
          <cell r="G3394" t="str">
            <v/>
          </cell>
          <cell r="H3394">
            <v>1659.99</v>
          </cell>
          <cell r="I3394">
            <v>1259.99</v>
          </cell>
          <cell r="J3394">
            <v>648.65899999999999</v>
          </cell>
          <cell r="K3394">
            <v>0</v>
          </cell>
          <cell r="L3394">
            <v>648.65899999999999</v>
          </cell>
          <cell r="M3394">
            <v>0</v>
          </cell>
          <cell r="N3394">
            <v>1259.99</v>
          </cell>
          <cell r="O3394" t="str">
            <v>LOJA</v>
          </cell>
          <cell r="P3394">
            <v>1249.99</v>
          </cell>
          <cell r="Q3394">
            <v>0.94245358501153897</v>
          </cell>
          <cell r="R3394">
            <v>0.94245358501153897</v>
          </cell>
          <cell r="S3394" t="e">
            <v>#VALUE!</v>
          </cell>
          <cell r="T3394" t="e">
            <v>#VALUE!</v>
          </cell>
        </row>
        <row r="3395">
          <cell r="A3395" t="str">
            <v>G23607H8LX</v>
          </cell>
          <cell r="B3395" t="str">
            <v>MKP000631004649</v>
          </cell>
          <cell r="C3395" t="str">
            <v/>
          </cell>
          <cell r="D3395" t="str">
            <v>Paneleiro Madesa Lux 60 cm 3 Portas Rustic/Branco Veludo</v>
          </cell>
          <cell r="E3395" t="str">
            <v>LUX</v>
          </cell>
          <cell r="F3395" t="str">
            <v>MODULAÇÃO</v>
          </cell>
          <cell r="G3395" t="str">
            <v/>
          </cell>
          <cell r="H3395">
            <v>1749.99</v>
          </cell>
          <cell r="I3395">
            <v>1169.99</v>
          </cell>
          <cell r="J3395">
            <v>596.68780000000004</v>
          </cell>
          <cell r="K3395">
            <v>0</v>
          </cell>
          <cell r="L3395">
            <v>596.68780000000004</v>
          </cell>
          <cell r="M3395">
            <v>0</v>
          </cell>
          <cell r="N3395">
            <v>1169.99</v>
          </cell>
          <cell r="O3395" t="str">
            <v>LOJA</v>
          </cell>
          <cell r="P3395">
            <v>1159.99</v>
          </cell>
          <cell r="Q3395">
            <v>0.96080764513703798</v>
          </cell>
          <cell r="R3395">
            <v>0.96080764513703798</v>
          </cell>
          <cell r="S3395" t="e">
            <v>#VALUE!</v>
          </cell>
          <cell r="T3395" t="e">
            <v>#VALUE!</v>
          </cell>
        </row>
        <row r="3396">
          <cell r="A3396" t="str">
            <v>G257527GAG</v>
          </cell>
          <cell r="B3396" t="str">
            <v>MKP000631005401</v>
          </cell>
          <cell r="C3396" t="str">
            <v/>
          </cell>
          <cell r="D3396" t="str">
            <v>Armário Aéreo de Canto 1 Porta Rustic/Crema Agata Madesa</v>
          </cell>
          <cell r="E3396" t="str">
            <v>ÁGATA</v>
          </cell>
          <cell r="F3396" t="str">
            <v>MODULAÇÃO</v>
          </cell>
          <cell r="G3396" t="str">
            <v/>
          </cell>
          <cell r="H3396">
            <v>569.99</v>
          </cell>
          <cell r="I3396">
            <v>469.99</v>
          </cell>
          <cell r="J3396">
            <v>234.81870000000001</v>
          </cell>
          <cell r="K3396">
            <v>0</v>
          </cell>
          <cell r="L3396">
            <v>234.81870000000001</v>
          </cell>
          <cell r="M3396">
            <v>0</v>
          </cell>
          <cell r="N3396">
            <v>469.99</v>
          </cell>
          <cell r="O3396" t="str">
            <v/>
          </cell>
          <cell r="P3396">
            <v>0</v>
          </cell>
          <cell r="Q3396">
            <v>1.0015015839879899</v>
          </cell>
          <cell r="R3396">
            <v>1.0015015839879899</v>
          </cell>
          <cell r="S3396" t="e">
            <v>#VALUE!</v>
          </cell>
          <cell r="T3396" t="e">
            <v>#VALUE!</v>
          </cell>
        </row>
        <row r="3397">
          <cell r="A3397" t="str">
            <v>G273505ZPR</v>
          </cell>
          <cell r="B3397" t="str">
            <v>MKP000631002742</v>
          </cell>
          <cell r="C3397" t="str">
            <v/>
          </cell>
          <cell r="D3397" t="str">
            <v>Tampo para Balcão de 35 x 60 cm para Cozinhas Madesa Glamy, Lux e Stella Rustic</v>
          </cell>
          <cell r="E3397" t="str">
            <v>PR</v>
          </cell>
          <cell r="F3397" t="str">
            <v>MODULAÇÃO</v>
          </cell>
          <cell r="G3397" t="str">
            <v/>
          </cell>
          <cell r="H3397">
            <v>279.99</v>
          </cell>
          <cell r="I3397">
            <v>119.99</v>
          </cell>
          <cell r="J3397">
            <v>58.652900000000002</v>
          </cell>
          <cell r="K3397">
            <v>0</v>
          </cell>
          <cell r="L3397">
            <v>58.652900000000002</v>
          </cell>
          <cell r="M3397">
            <v>0</v>
          </cell>
          <cell r="N3397">
            <v>119.99</v>
          </cell>
          <cell r="O3397" t="str">
            <v/>
          </cell>
          <cell r="P3397">
            <v>0</v>
          </cell>
          <cell r="Q3397">
            <v>1.0457641480642901</v>
          </cell>
          <cell r="R3397">
            <v>1.0457641480642901</v>
          </cell>
          <cell r="S3397" t="e">
            <v>#VALUE!</v>
          </cell>
          <cell r="T3397" t="e">
            <v>#VALUE!</v>
          </cell>
        </row>
        <row r="3398">
          <cell r="A3398" t="str">
            <v>53647K2</v>
          </cell>
          <cell r="B3398" t="str">
            <v>MKP000631001576</v>
          </cell>
          <cell r="C3398" t="str">
            <v/>
          </cell>
          <cell r="D3398" t="str">
            <v>Mesa de Jantar Madesa Retangular Tampo de Madeira 5364 Rustic/Preto</v>
          </cell>
          <cell r="E3398">
            <v>5364</v>
          </cell>
          <cell r="F3398" t="str">
            <v>SALA DE JANTAR</v>
          </cell>
          <cell r="G3398" t="str">
            <v/>
          </cell>
          <cell r="H3398">
            <v>869.99</v>
          </cell>
          <cell r="I3398">
            <v>739.99</v>
          </cell>
          <cell r="J3398">
            <v>312.92809999999997</v>
          </cell>
          <cell r="K3398">
            <v>0</v>
          </cell>
          <cell r="L3398">
            <v>312.92809999999997</v>
          </cell>
          <cell r="M3398">
            <v>0</v>
          </cell>
          <cell r="N3398">
            <v>739.99</v>
          </cell>
          <cell r="O3398" t="str">
            <v/>
          </cell>
          <cell r="P3398">
            <v>0</v>
          </cell>
          <cell r="Q3398">
            <v>1.36472851111805</v>
          </cell>
          <cell r="R3398">
            <v>1.36472851111805</v>
          </cell>
          <cell r="S3398" t="e">
            <v>#VALUE!</v>
          </cell>
          <cell r="T3398" t="e">
            <v>#VALUE!</v>
          </cell>
        </row>
        <row r="3399">
          <cell r="A3399" t="str">
            <v>GRGL220003C1</v>
          </cell>
          <cell r="B3399" t="str">
            <v>MKP000631001242</v>
          </cell>
          <cell r="C3399" t="str">
            <v/>
          </cell>
          <cell r="D3399" t="str">
            <v>Armário de Cozinha Completa 220cm Rustic/Preto/Rustic Parma Madesa 03</v>
          </cell>
          <cell r="E3399" t="str">
            <v>PARMA/GLAMY</v>
          </cell>
          <cell r="F3399" t="str">
            <v>COZINHA</v>
          </cell>
          <cell r="G3399" t="str">
            <v/>
          </cell>
          <cell r="H3399">
            <v>1899.99</v>
          </cell>
          <cell r="I3399">
            <v>1799.99</v>
          </cell>
          <cell r="J3399">
            <v>1541.2927</v>
          </cell>
          <cell r="K3399">
            <v>0</v>
          </cell>
          <cell r="L3399">
            <v>1541.2927</v>
          </cell>
          <cell r="M3399">
            <v>0</v>
          </cell>
          <cell r="N3399">
            <v>1799.99</v>
          </cell>
          <cell r="O3399" t="str">
            <v/>
          </cell>
          <cell r="P3399">
            <v>0</v>
          </cell>
          <cell r="Q3399">
            <v>0.16784436856153301</v>
          </cell>
          <cell r="R3399">
            <v>0.16784436856153301</v>
          </cell>
          <cell r="S3399" t="e">
            <v>#VALUE!</v>
          </cell>
          <cell r="T3399" t="e">
            <v>#VALUE!</v>
          </cell>
        </row>
        <row r="3400">
          <cell r="A3400" t="str">
            <v>GRGL2200036E</v>
          </cell>
          <cell r="B3400" t="str">
            <v>MKP000631001458</v>
          </cell>
          <cell r="C3400" t="str">
            <v/>
          </cell>
          <cell r="D3400" t="str">
            <v>Armário de Cozinha Completa 220cm Rustic/Branco Parma Madesa 03</v>
          </cell>
          <cell r="E3400" t="str">
            <v>PARMA/GLAMY</v>
          </cell>
          <cell r="F3400" t="str">
            <v>COZINHA</v>
          </cell>
          <cell r="G3400" t="str">
            <v/>
          </cell>
          <cell r="H3400">
            <v>1899.99</v>
          </cell>
          <cell r="I3400">
            <v>1799.99</v>
          </cell>
          <cell r="J3400">
            <v>1541.2927</v>
          </cell>
          <cell r="K3400">
            <v>0</v>
          </cell>
          <cell r="L3400">
            <v>1541.2927</v>
          </cell>
          <cell r="M3400">
            <v>0</v>
          </cell>
          <cell r="N3400">
            <v>1799.99</v>
          </cell>
          <cell r="O3400" t="str">
            <v/>
          </cell>
          <cell r="P3400">
            <v>0</v>
          </cell>
          <cell r="Q3400">
            <v>0.16784436856153301</v>
          </cell>
          <cell r="R3400">
            <v>0.16784436856153301</v>
          </cell>
          <cell r="S3400" t="e">
            <v>#VALUE!</v>
          </cell>
          <cell r="T3400" t="e">
            <v>#VALUE!</v>
          </cell>
        </row>
        <row r="3401">
          <cell r="A3401" t="str">
            <v>GRTE3300079B</v>
          </cell>
          <cell r="B3401" t="str">
            <v>MKP000631005954</v>
          </cell>
          <cell r="C3401" t="str">
            <v/>
          </cell>
          <cell r="D3401" t="str">
            <v>Armário de Cozinha Completa 330cm Branco/Rustic Stella Madesa 07</v>
          </cell>
          <cell r="E3401" t="str">
            <v>STELLA</v>
          </cell>
          <cell r="F3401" t="str">
            <v>COZINHA</v>
          </cell>
          <cell r="G3401" t="str">
            <v/>
          </cell>
          <cell r="H3401">
            <v>2499.9899999999998</v>
          </cell>
          <cell r="I3401">
            <v>2399.9899999999998</v>
          </cell>
          <cell r="J3401">
            <v>2030.9097999999999</v>
          </cell>
          <cell r="K3401">
            <v>0</v>
          </cell>
          <cell r="L3401">
            <v>2030.9097999999999</v>
          </cell>
          <cell r="M3401">
            <v>0</v>
          </cell>
          <cell r="N3401">
            <v>2399.9899999999998</v>
          </cell>
          <cell r="O3401" t="str">
            <v/>
          </cell>
          <cell r="P3401">
            <v>0</v>
          </cell>
          <cell r="Q3401">
            <v>0.18173145848230199</v>
          </cell>
          <cell r="R3401">
            <v>0.18173145848230199</v>
          </cell>
          <cell r="S3401" t="e">
            <v>#VALUE!</v>
          </cell>
          <cell r="T3401" t="e">
            <v>#VALUE!</v>
          </cell>
        </row>
        <row r="3402">
          <cell r="A3402" t="str">
            <v>GRGL290013C5</v>
          </cell>
          <cell r="B3402" t="str">
            <v>MKP000631001258</v>
          </cell>
          <cell r="C3402" t="str">
            <v/>
          </cell>
          <cell r="D3402" t="str">
            <v>Armário de Cozinha Completa 290cm Branco/Preto/Crema Safira Madesa 13</v>
          </cell>
          <cell r="E3402" t="str">
            <v>SAFIRA/GLAMY</v>
          </cell>
          <cell r="F3402" t="str">
            <v>COZINHA</v>
          </cell>
          <cell r="G3402" t="str">
            <v/>
          </cell>
          <cell r="H3402">
            <v>2299.9899999999998</v>
          </cell>
          <cell r="I3402">
            <v>2199.9899999999998</v>
          </cell>
          <cell r="J3402">
            <v>1851.692</v>
          </cell>
          <cell r="K3402">
            <v>0</v>
          </cell>
          <cell r="L3402">
            <v>1851.692</v>
          </cell>
          <cell r="M3402">
            <v>0</v>
          </cell>
          <cell r="N3402">
            <v>2199.9899999999998</v>
          </cell>
          <cell r="O3402" t="str">
            <v/>
          </cell>
          <cell r="P3402">
            <v>0</v>
          </cell>
          <cell r="Q3402">
            <v>0.18809715654655301</v>
          </cell>
          <cell r="R3402">
            <v>0.18809715654655301</v>
          </cell>
          <cell r="S3402" t="e">
            <v>#VALUE!</v>
          </cell>
          <cell r="T3402" t="e">
            <v>#VALUE!</v>
          </cell>
        </row>
        <row r="3403">
          <cell r="A3403" t="str">
            <v>GREM229013J1</v>
          </cell>
          <cell r="B3403" t="str">
            <v>MKP000631005912</v>
          </cell>
          <cell r="C3403" t="str">
            <v/>
          </cell>
          <cell r="D3403" t="str">
            <v>Armário de Cozinha Compacta 229cm Rustic/Cinza Emilly Madesa 13</v>
          </cell>
          <cell r="E3403" t="str">
            <v>EMILLY</v>
          </cell>
          <cell r="F3403" t="str">
            <v>COZINHA</v>
          </cell>
          <cell r="G3403" t="str">
            <v/>
          </cell>
          <cell r="H3403">
            <v>1029.99</v>
          </cell>
          <cell r="I3403">
            <v>929.99</v>
          </cell>
          <cell r="J3403">
            <v>755.47900000000004</v>
          </cell>
          <cell r="K3403">
            <v>0</v>
          </cell>
          <cell r="L3403">
            <v>755.47900000000004</v>
          </cell>
          <cell r="M3403">
            <v>0</v>
          </cell>
          <cell r="N3403">
            <v>929.99</v>
          </cell>
          <cell r="O3403" t="str">
            <v/>
          </cell>
          <cell r="P3403">
            <v>0</v>
          </cell>
          <cell r="Q3403">
            <v>0.23099384628824901</v>
          </cell>
          <cell r="R3403">
            <v>0.23099384628824901</v>
          </cell>
          <cell r="S3403" t="e">
            <v>#VALUE!</v>
          </cell>
          <cell r="T3403" t="e">
            <v>#VALUE!</v>
          </cell>
        </row>
        <row r="3404">
          <cell r="A3404" t="str">
            <v>GRGL220002A8</v>
          </cell>
          <cell r="B3404" t="str">
            <v>MKP000631001402</v>
          </cell>
          <cell r="C3404" t="str">
            <v/>
          </cell>
          <cell r="D3404" t="str">
            <v>Armário de Cozinha Completa 220cm Branco/Rustic/Branco Parma Madesa 02</v>
          </cell>
          <cell r="E3404" t="str">
            <v>PARMA/GLAMY</v>
          </cell>
          <cell r="F3404" t="str">
            <v>COZINHA</v>
          </cell>
          <cell r="G3404" t="str">
            <v/>
          </cell>
          <cell r="H3404">
            <v>1969.99</v>
          </cell>
          <cell r="I3404">
            <v>1869.99</v>
          </cell>
          <cell r="J3404">
            <v>1558.7654</v>
          </cell>
          <cell r="K3404">
            <v>0</v>
          </cell>
          <cell r="L3404">
            <v>1558.7654</v>
          </cell>
          <cell r="M3404">
            <v>0</v>
          </cell>
          <cell r="N3404">
            <v>1869.99</v>
          </cell>
          <cell r="O3404" t="str">
            <v/>
          </cell>
          <cell r="P3404">
            <v>0</v>
          </cell>
          <cell r="Q3404">
            <v>0.199660962451438</v>
          </cell>
          <cell r="R3404">
            <v>0.199660962451438</v>
          </cell>
          <cell r="S3404" t="e">
            <v>#VALUE!</v>
          </cell>
          <cell r="T3404" t="e">
            <v>#VALUE!</v>
          </cell>
        </row>
        <row r="3405">
          <cell r="A3405" t="str">
            <v>GRGL31500173</v>
          </cell>
          <cell r="B3405" t="str">
            <v>MKP000631004363</v>
          </cell>
          <cell r="C3405" t="str">
            <v/>
          </cell>
          <cell r="D3405" t="str">
            <v>Armário de Cozinha Completa 315cm Branco/Preto Glamy Madesa 01</v>
          </cell>
          <cell r="E3405" t="str">
            <v>GLAMY</v>
          </cell>
          <cell r="F3405" t="str">
            <v>COZINHA</v>
          </cell>
          <cell r="G3405" t="str">
            <v/>
          </cell>
          <cell r="H3405">
            <v>2599.9899999999998</v>
          </cell>
          <cell r="I3405">
            <v>2469.9899999999998</v>
          </cell>
          <cell r="J3405">
            <v>2041.8098</v>
          </cell>
          <cell r="K3405">
            <v>0</v>
          </cell>
          <cell r="L3405">
            <v>2041.8098</v>
          </cell>
          <cell r="M3405">
            <v>0</v>
          </cell>
          <cell r="N3405">
            <v>2469.9899999999998</v>
          </cell>
          <cell r="O3405" t="str">
            <v/>
          </cell>
          <cell r="P3405">
            <v>0</v>
          </cell>
          <cell r="Q3405">
            <v>0.20970621259629499</v>
          </cell>
          <cell r="R3405">
            <v>0.20970621259629499</v>
          </cell>
          <cell r="S3405" t="e">
            <v>#VALUE!</v>
          </cell>
          <cell r="T3405" t="e">
            <v>#VALUE!</v>
          </cell>
        </row>
        <row r="3406">
          <cell r="A3406" t="str">
            <v>GREM2610057K</v>
          </cell>
          <cell r="B3406" t="str">
            <v>MKP000631005155</v>
          </cell>
          <cell r="C3406" t="str">
            <v/>
          </cell>
          <cell r="D3406" t="str">
            <v>Armário de Cozinha Completa 261cm Rustic/Preto Emilly Madesa 05</v>
          </cell>
          <cell r="E3406" t="str">
            <v>EMILLY</v>
          </cell>
          <cell r="F3406" t="str">
            <v>COZINHA</v>
          </cell>
          <cell r="G3406" t="str">
            <v/>
          </cell>
          <cell r="H3406">
            <v>1479.99</v>
          </cell>
          <cell r="I3406">
            <v>1379.99</v>
          </cell>
          <cell r="J3406">
            <v>1112.5521000000001</v>
          </cell>
          <cell r="K3406">
            <v>0</v>
          </cell>
          <cell r="L3406">
            <v>1112.5521000000001</v>
          </cell>
          <cell r="M3406">
            <v>0</v>
          </cell>
          <cell r="N3406">
            <v>1379.99</v>
          </cell>
          <cell r="O3406" t="str">
            <v/>
          </cell>
          <cell r="P3406">
            <v>0</v>
          </cell>
          <cell r="Q3406">
            <v>0.24038236052046399</v>
          </cell>
          <cell r="R3406">
            <v>0.24038236052046399</v>
          </cell>
          <cell r="S3406" t="e">
            <v>#VALUE!</v>
          </cell>
          <cell r="T3406" t="e">
            <v>#VALUE!</v>
          </cell>
        </row>
        <row r="3407">
          <cell r="A3407" t="str">
            <v>MDJA0601617KOXF</v>
          </cell>
          <cell r="B3407" t="str">
            <v>MKP000631006077</v>
          </cell>
          <cell r="C3407" t="str">
            <v/>
          </cell>
          <cell r="D3407" t="str">
            <v>Conjunto Sala de Jantar Mesa Tampo de Vidro 6 Cadeiras Rustic/Preto/Oxford Alexis Madesa</v>
          </cell>
          <cell r="E3407" t="str">
            <v>ALEXIS</v>
          </cell>
          <cell r="F3407" t="str">
            <v>SALA DE JANTAR</v>
          </cell>
          <cell r="G3407">
            <v>4255</v>
          </cell>
          <cell r="H3407">
            <v>1799.99</v>
          </cell>
          <cell r="I3407">
            <v>1699.99</v>
          </cell>
          <cell r="J3407">
            <v>1337.866</v>
          </cell>
          <cell r="K3407">
            <v>0</v>
          </cell>
          <cell r="L3407">
            <v>1337.866</v>
          </cell>
          <cell r="M3407">
            <v>0</v>
          </cell>
          <cell r="N3407">
            <v>1699.99</v>
          </cell>
          <cell r="O3407" t="str">
            <v/>
          </cell>
          <cell r="P3407">
            <v>0</v>
          </cell>
          <cell r="Q3407">
            <v>0.27067284765439897</v>
          </cell>
          <cell r="R3407">
            <v>0.27067284765439897</v>
          </cell>
          <cell r="S3407" t="e">
            <v>#VALUE!</v>
          </cell>
          <cell r="T3407" t="e">
            <v>#VALUE!</v>
          </cell>
        </row>
        <row r="3408">
          <cell r="A3408" t="str">
            <v>GCTE49900309</v>
          </cell>
          <cell r="B3408" t="str">
            <v>MKP000631005768</v>
          </cell>
          <cell r="C3408" t="str">
            <v/>
          </cell>
          <cell r="D3408" t="str">
            <v>Armário de Cozinha Completa de Canto 499cm Branco Stella Madesa 03</v>
          </cell>
          <cell r="E3408" t="str">
            <v>STELLA</v>
          </cell>
          <cell r="F3408" t="str">
            <v>COZINHA</v>
          </cell>
          <cell r="G3408" t="str">
            <v/>
          </cell>
          <cell r="H3408">
            <v>3799.99</v>
          </cell>
          <cell r="I3408">
            <v>3799.99</v>
          </cell>
          <cell r="J3408">
            <v>3091.0873999999999</v>
          </cell>
          <cell r="K3408">
            <v>0</v>
          </cell>
          <cell r="L3408">
            <v>3091.0873999999999</v>
          </cell>
          <cell r="M3408">
            <v>0</v>
          </cell>
          <cell r="N3408">
            <v>3799.99</v>
          </cell>
          <cell r="O3408" t="str">
            <v/>
          </cell>
          <cell r="P3408">
            <v>0</v>
          </cell>
          <cell r="Q3408">
            <v>0.22933761109440001</v>
          </cell>
          <cell r="R3408">
            <v>0.22933761109440001</v>
          </cell>
          <cell r="S3408" t="e">
            <v>#VALUE!</v>
          </cell>
          <cell r="T3408" t="e">
            <v>#VALUE!</v>
          </cell>
        </row>
        <row r="3409">
          <cell r="A3409" t="str">
            <v>GRGL2900119YMLSR</v>
          </cell>
          <cell r="B3409" t="str">
            <v>MKP000631001269</v>
          </cell>
          <cell r="C3409" t="str">
            <v/>
          </cell>
          <cell r="D3409" t="str">
            <v>Armário de Cozinha Completa 290cm Rustic/Rustic/Crema Vicenza Madesa 11</v>
          </cell>
          <cell r="E3409" t="str">
            <v>VICENZA/GLAMY</v>
          </cell>
          <cell r="F3409" t="str">
            <v>COZINHA</v>
          </cell>
          <cell r="G3409" t="str">
            <v/>
          </cell>
          <cell r="H3409">
            <v>2799.99</v>
          </cell>
          <cell r="I3409">
            <v>2699.99</v>
          </cell>
          <cell r="J3409">
            <v>2184.8832000000002</v>
          </cell>
          <cell r="K3409">
            <v>0</v>
          </cell>
          <cell r="L3409">
            <v>2184.8832000000002</v>
          </cell>
          <cell r="M3409">
            <v>0</v>
          </cell>
          <cell r="N3409">
            <v>2699.99</v>
          </cell>
          <cell r="O3409" t="str">
            <v/>
          </cell>
          <cell r="P3409">
            <v>0</v>
          </cell>
          <cell r="Q3409">
            <v>0.235759421830879</v>
          </cell>
          <cell r="R3409">
            <v>0.235759421830879</v>
          </cell>
          <cell r="S3409" t="e">
            <v>#VALUE!</v>
          </cell>
          <cell r="T3409" t="e">
            <v>#VALUE!</v>
          </cell>
        </row>
        <row r="3410">
          <cell r="A3410" t="str">
            <v>GRAG2700046E</v>
          </cell>
          <cell r="B3410" t="str">
            <v>MKP000631004470</v>
          </cell>
          <cell r="C3410" t="str">
            <v/>
          </cell>
          <cell r="D3410" t="str">
            <v>Armário de Cozinha Completa 270cm Rustic Branco Agata Madesa 04</v>
          </cell>
          <cell r="E3410" t="str">
            <v>ÁGATA</v>
          </cell>
          <cell r="F3410" t="str">
            <v>COZINHA</v>
          </cell>
          <cell r="G3410" t="str">
            <v/>
          </cell>
          <cell r="H3410">
            <v>1799.99</v>
          </cell>
          <cell r="I3410">
            <v>1699.99</v>
          </cell>
          <cell r="J3410">
            <v>1370.0536999999999</v>
          </cell>
          <cell r="K3410">
            <v>0</v>
          </cell>
          <cell r="L3410">
            <v>1370.0536999999999</v>
          </cell>
          <cell r="M3410">
            <v>0</v>
          </cell>
          <cell r="N3410">
            <v>1699.99</v>
          </cell>
          <cell r="O3410" t="str">
            <v/>
          </cell>
          <cell r="P3410">
            <v>0</v>
          </cell>
          <cell r="Q3410">
            <v>0.24081997661843499</v>
          </cell>
          <cell r="R3410">
            <v>0.24081997661843499</v>
          </cell>
          <cell r="S3410" t="e">
            <v>#VALUE!</v>
          </cell>
          <cell r="T3410" t="e">
            <v>#VALUE!</v>
          </cell>
        </row>
        <row r="3411">
          <cell r="A3411" t="str">
            <v>GCAG4790016E</v>
          </cell>
          <cell r="B3411" t="str">
            <v>MKP000631004626</v>
          </cell>
          <cell r="C3411" t="str">
            <v/>
          </cell>
          <cell r="D3411" t="str">
            <v>Armário de Cozinha Completa de Canto 479cm Rustic Branco Agata Madesa 01</v>
          </cell>
          <cell r="E3411" t="str">
            <v>ÁGATA</v>
          </cell>
          <cell r="F3411" t="str">
            <v>COZINHA</v>
          </cell>
          <cell r="G3411" t="str">
            <v/>
          </cell>
          <cell r="H3411">
            <v>3969.99</v>
          </cell>
          <cell r="I3411">
            <v>3579.99</v>
          </cell>
          <cell r="J3411">
            <v>2881.8182999999999</v>
          </cell>
          <cell r="K3411">
            <v>0</v>
          </cell>
          <cell r="L3411">
            <v>2881.8182999999999</v>
          </cell>
          <cell r="M3411">
            <v>0</v>
          </cell>
          <cell r="N3411">
            <v>3579.99</v>
          </cell>
          <cell r="O3411" t="str">
            <v/>
          </cell>
          <cell r="P3411">
            <v>0</v>
          </cell>
          <cell r="Q3411">
            <v>0.24226777239911301</v>
          </cell>
          <cell r="R3411">
            <v>0.24226777239911301</v>
          </cell>
          <cell r="S3411" t="e">
            <v>#VALUE!</v>
          </cell>
          <cell r="T3411" t="e">
            <v>#VALUE!</v>
          </cell>
        </row>
        <row r="3412">
          <cell r="A3412" t="str">
            <v>MDES0200235Z09</v>
          </cell>
          <cell r="B3412" t="str">
            <v>MKP000631001654</v>
          </cell>
          <cell r="C3412" t="str">
            <v/>
          </cell>
          <cell r="D3412" t="str">
            <v>Rack Madesa Cancun e Painel para TV até 65 Polegadas Rustic/Branco 5Z09</v>
          </cell>
          <cell r="E3412" t="str">
            <v>CANCUN</v>
          </cell>
          <cell r="F3412" t="str">
            <v>SALA DE ESTAR</v>
          </cell>
          <cell r="G3412" t="str">
            <v/>
          </cell>
          <cell r="H3412">
            <v>1149.99</v>
          </cell>
          <cell r="I3412">
            <v>569.99</v>
          </cell>
          <cell r="J3412">
            <v>449.15629999999999</v>
          </cell>
          <cell r="K3412">
            <v>0</v>
          </cell>
          <cell r="L3412">
            <v>449.15629999999999</v>
          </cell>
          <cell r="M3412">
            <v>0</v>
          </cell>
          <cell r="N3412">
            <v>569.99</v>
          </cell>
          <cell r="O3412" t="str">
            <v/>
          </cell>
          <cell r="P3412">
            <v>0</v>
          </cell>
          <cell r="Q3412">
            <v>0.26902372292228799</v>
          </cell>
          <cell r="R3412">
            <v>0.26902372292228799</v>
          </cell>
          <cell r="S3412" t="e">
            <v>#VALUE!</v>
          </cell>
          <cell r="T3412" t="e">
            <v>#VALUE!</v>
          </cell>
        </row>
        <row r="3413">
          <cell r="A3413" t="str">
            <v>MDJA0601497GFLH</v>
          </cell>
          <cell r="B3413" t="str">
            <v>MKP000631005718</v>
          </cell>
          <cell r="C3413" t="str">
            <v/>
          </cell>
          <cell r="D3413" t="str">
            <v>Conjunto Sala de Jantar Mesa Tampo de Madeira 6 Cadeiras Rustic/Crema/Hibiscos Sharon Madesa</v>
          </cell>
          <cell r="E3413" t="str">
            <v>SHARON</v>
          </cell>
          <cell r="F3413" t="str">
            <v>SALA DE JANTAR</v>
          </cell>
          <cell r="G3413" t="str">
            <v>4290X</v>
          </cell>
          <cell r="H3413">
            <v>839.99</v>
          </cell>
          <cell r="I3413">
            <v>739.99</v>
          </cell>
          <cell r="J3413">
            <v>588.73080000000004</v>
          </cell>
          <cell r="K3413">
            <v>0</v>
          </cell>
          <cell r="L3413">
            <v>588.73080000000004</v>
          </cell>
          <cell r="M3413">
            <v>0</v>
          </cell>
          <cell r="N3413">
            <v>739.99</v>
          </cell>
          <cell r="O3413" t="str">
            <v/>
          </cell>
          <cell r="P3413">
            <v>0</v>
          </cell>
          <cell r="Q3413">
            <v>0.256924217316301</v>
          </cell>
          <cell r="R3413">
            <v>0.256924217316301</v>
          </cell>
          <cell r="S3413" t="e">
            <v>#VALUE!</v>
          </cell>
          <cell r="T3413" t="e">
            <v>#VALUE!</v>
          </cell>
        </row>
        <row r="3414">
          <cell r="A3414" t="str">
            <v>GREM1650075Z</v>
          </cell>
          <cell r="B3414" t="str">
            <v>MKP000631005908</v>
          </cell>
          <cell r="C3414" t="str">
            <v/>
          </cell>
          <cell r="D3414" t="str">
            <v>Armário de Cozinha Compacta 165cm Rustic Emilly Madesa 07</v>
          </cell>
          <cell r="E3414" t="str">
            <v>EMILLY</v>
          </cell>
          <cell r="F3414" t="str">
            <v>COZINHA</v>
          </cell>
          <cell r="G3414" t="str">
            <v/>
          </cell>
          <cell r="H3414">
            <v>739.99</v>
          </cell>
          <cell r="I3414">
            <v>639.99</v>
          </cell>
          <cell r="J3414">
            <v>497.41059999999999</v>
          </cell>
          <cell r="K3414">
            <v>0</v>
          </cell>
          <cell r="L3414">
            <v>497.41059999999999</v>
          </cell>
          <cell r="M3414">
            <v>0</v>
          </cell>
          <cell r="N3414">
            <v>639.99</v>
          </cell>
          <cell r="O3414" t="str">
            <v/>
          </cell>
          <cell r="P3414">
            <v>0</v>
          </cell>
          <cell r="Q3414">
            <v>0.28664326815713198</v>
          </cell>
          <cell r="R3414">
            <v>0.28664326815713198</v>
          </cell>
          <cell r="S3414" t="e">
            <v>#VALUE!</v>
          </cell>
          <cell r="T3414" t="e">
            <v>#VALUE!</v>
          </cell>
        </row>
        <row r="3415">
          <cell r="A3415" t="str">
            <v>GIGL1200015Z</v>
          </cell>
          <cell r="B3415" t="str">
            <v>MKP000631006013</v>
          </cell>
          <cell r="C3415" t="str">
            <v/>
          </cell>
          <cell r="D3415" t="str">
            <v>Ilha de Cozinha com Bancada e Balcão 120 cm Rustic Glamy Madesa</v>
          </cell>
          <cell r="E3415" t="str">
            <v>GLAMY</v>
          </cell>
          <cell r="F3415" t="str">
            <v>MODULAÇÃO</v>
          </cell>
          <cell r="G3415" t="str">
            <v/>
          </cell>
          <cell r="H3415">
            <v>979.99</v>
          </cell>
          <cell r="I3415">
            <v>979.99</v>
          </cell>
          <cell r="J3415">
            <v>757.44100000000003</v>
          </cell>
          <cell r="K3415">
            <v>0</v>
          </cell>
          <cell r="L3415">
            <v>757.44100000000003</v>
          </cell>
          <cell r="M3415">
            <v>0</v>
          </cell>
          <cell r="N3415">
            <v>979.99</v>
          </cell>
          <cell r="O3415" t="str">
            <v/>
          </cell>
          <cell r="P3415">
            <v>0</v>
          </cell>
          <cell r="Q3415">
            <v>0.293816944158027</v>
          </cell>
          <cell r="R3415">
            <v>0.293816944158027</v>
          </cell>
          <cell r="S3415" t="e">
            <v>#VALUE!</v>
          </cell>
          <cell r="T3415" t="e">
            <v>#VALUE!</v>
          </cell>
        </row>
        <row r="3416">
          <cell r="A3416" t="str">
            <v>MDJA0800047GFLH</v>
          </cell>
          <cell r="B3416" t="str">
            <v>MKP000631005559</v>
          </cell>
          <cell r="C3416" t="str">
            <v/>
          </cell>
          <cell r="D3416" t="str">
            <v>Conjunto Sala de Jantar Mesa Tampo de Madeira 8 Cadeiras Rustic/Crema/Hibiscos Marisa Madesa</v>
          </cell>
          <cell r="E3416" t="str">
            <v>MARISA</v>
          </cell>
          <cell r="F3416" t="str">
            <v>SALA DE JANTAR</v>
          </cell>
          <cell r="G3416" t="str">
            <v>4291X</v>
          </cell>
          <cell r="H3416">
            <v>1249.99</v>
          </cell>
          <cell r="I3416">
            <v>1149.99</v>
          </cell>
          <cell r="J3416">
            <v>869.50390000000004</v>
          </cell>
          <cell r="K3416">
            <v>0</v>
          </cell>
          <cell r="L3416">
            <v>869.50390000000004</v>
          </cell>
          <cell r="M3416">
            <v>0</v>
          </cell>
          <cell r="N3416">
            <v>1149.99</v>
          </cell>
          <cell r="O3416" t="str">
            <v/>
          </cell>
          <cell r="P3416">
            <v>0</v>
          </cell>
          <cell r="Q3416">
            <v>0.32258176185293702</v>
          </cell>
          <cell r="R3416">
            <v>0.32258176185293702</v>
          </cell>
          <cell r="S3416" t="e">
            <v>#VALUE!</v>
          </cell>
          <cell r="T3416" t="e">
            <v>#VALUE!</v>
          </cell>
        </row>
        <row r="3417">
          <cell r="A3417" t="str">
            <v>52757K2VI</v>
          </cell>
          <cell r="B3417" t="str">
            <v>MKP000631000118</v>
          </cell>
          <cell r="C3417" t="str">
            <v/>
          </cell>
          <cell r="D3417" t="str">
            <v>Mesa de Jantar Retangular Tampo de Vidro Rustic/Preto 5275 Madesa</v>
          </cell>
          <cell r="E3417">
            <v>5275</v>
          </cell>
          <cell r="F3417" t="str">
            <v>SALA DE JANTAR</v>
          </cell>
          <cell r="G3417" t="str">
            <v/>
          </cell>
          <cell r="H3417">
            <v>909.99</v>
          </cell>
          <cell r="I3417">
            <v>779.99</v>
          </cell>
          <cell r="J3417">
            <v>515.26480000000004</v>
          </cell>
          <cell r="K3417">
            <v>0</v>
          </cell>
          <cell r="L3417">
            <v>515.26480000000004</v>
          </cell>
          <cell r="M3417">
            <v>0</v>
          </cell>
          <cell r="N3417">
            <v>779.99</v>
          </cell>
          <cell r="O3417" t="str">
            <v/>
          </cell>
          <cell r="P3417">
            <v>0</v>
          </cell>
          <cell r="Q3417">
            <v>0.51376534938928498</v>
          </cell>
          <cell r="R3417">
            <v>0.51376534938928498</v>
          </cell>
          <cell r="S3417" t="e">
            <v>#VALUE!</v>
          </cell>
          <cell r="T3417" t="e">
            <v>#VALUE!</v>
          </cell>
        </row>
        <row r="3418">
          <cell r="A3418" t="str">
            <v>G248009BTE</v>
          </cell>
          <cell r="B3418" t="str">
            <v>MKP000631002121</v>
          </cell>
          <cell r="C3418" t="str">
            <v/>
          </cell>
          <cell r="D3418" t="str">
            <v>Balcão Madesa Stella 80 cm 2 Portas Branco/Rustic</v>
          </cell>
          <cell r="E3418" t="str">
            <v>STELLA</v>
          </cell>
          <cell r="F3418" t="str">
            <v>MODULAÇÃO</v>
          </cell>
          <cell r="G3418" t="str">
            <v/>
          </cell>
          <cell r="H3418">
            <v>879.99</v>
          </cell>
          <cell r="I3418">
            <v>519.99</v>
          </cell>
          <cell r="J3418">
            <v>332.10120000000001</v>
          </cell>
          <cell r="K3418">
            <v>0</v>
          </cell>
          <cell r="L3418">
            <v>332.10120000000001</v>
          </cell>
          <cell r="M3418">
            <v>0</v>
          </cell>
          <cell r="N3418">
            <v>519.99</v>
          </cell>
          <cell r="O3418" t="str">
            <v/>
          </cell>
          <cell r="P3418">
            <v>0</v>
          </cell>
          <cell r="Q3418">
            <v>0.56575766663896399</v>
          </cell>
          <cell r="R3418">
            <v>0.56575766663896399</v>
          </cell>
          <cell r="S3418" t="e">
            <v>#VALUE!</v>
          </cell>
          <cell r="T3418" t="e">
            <v>#VALUE!</v>
          </cell>
        </row>
        <row r="3419">
          <cell r="A3419" t="str">
            <v>G2570209</v>
          </cell>
          <cell r="B3419" t="str">
            <v>MKP000631005746</v>
          </cell>
          <cell r="C3419" t="str">
            <v/>
          </cell>
          <cell r="D3419" t="str">
            <v>Armário Aéreo 100% MDF 70 cm 1 Porta Basculante Frente Branco Brilho Acordes Madesa</v>
          </cell>
          <cell r="E3419" t="str">
            <v>ACORDES</v>
          </cell>
          <cell r="F3419" t="str">
            <v>MODULAÇÃO</v>
          </cell>
          <cell r="G3419" t="str">
            <v/>
          </cell>
          <cell r="H3419">
            <v>359.99</v>
          </cell>
          <cell r="I3419">
            <v>259.99</v>
          </cell>
          <cell r="J3419">
            <v>166.53020000000001</v>
          </cell>
          <cell r="K3419">
            <v>0</v>
          </cell>
          <cell r="L3419">
            <v>166.53020000000001</v>
          </cell>
          <cell r="M3419">
            <v>0</v>
          </cell>
          <cell r="N3419">
            <v>259.99</v>
          </cell>
          <cell r="O3419" t="str">
            <v/>
          </cell>
          <cell r="P3419">
            <v>0</v>
          </cell>
          <cell r="Q3419">
            <v>0.56121832556497298</v>
          </cell>
          <cell r="R3419">
            <v>0.56121832556497298</v>
          </cell>
          <cell r="S3419" t="e">
            <v>#VALUE!</v>
          </cell>
          <cell r="T3419" t="e">
            <v>#VALUE!</v>
          </cell>
        </row>
        <row r="3420">
          <cell r="A3420" t="str">
            <v>G2435009AG</v>
          </cell>
          <cell r="B3420" t="str">
            <v>MKP000631004756</v>
          </cell>
          <cell r="C3420" t="str">
            <v/>
          </cell>
          <cell r="D3420" t="str">
            <v>Balcão Madesa Agata 35 cm 1 Porta Branco</v>
          </cell>
          <cell r="E3420" t="str">
            <v>ÁGATA</v>
          </cell>
          <cell r="F3420" t="str">
            <v>MODULAÇÃO</v>
          </cell>
          <cell r="G3420" t="str">
            <v/>
          </cell>
          <cell r="H3420">
            <v>469.99</v>
          </cell>
          <cell r="I3420">
            <v>349.99</v>
          </cell>
          <cell r="J3420">
            <v>214.44659999999999</v>
          </cell>
          <cell r="K3420">
            <v>0</v>
          </cell>
          <cell r="L3420">
            <v>214.44659999999999</v>
          </cell>
          <cell r="M3420">
            <v>0</v>
          </cell>
          <cell r="N3420">
            <v>349.99</v>
          </cell>
          <cell r="O3420" t="str">
            <v/>
          </cell>
          <cell r="P3420">
            <v>0</v>
          </cell>
          <cell r="Q3420">
            <v>0.632061315031341</v>
          </cell>
          <cell r="R3420">
            <v>0.632061315031341</v>
          </cell>
          <cell r="S3420" t="e">
            <v>#VALUE!</v>
          </cell>
          <cell r="T3420" t="e">
            <v>#VALUE!</v>
          </cell>
        </row>
        <row r="3421">
          <cell r="A3421" t="str">
            <v>G243506EAG</v>
          </cell>
          <cell r="B3421" t="str">
            <v>MKP000631004449</v>
          </cell>
          <cell r="C3421" t="str">
            <v/>
          </cell>
          <cell r="D3421" t="str">
            <v>Balcão Madesa Agata 35 cm 1 Porta Rustic/Branco</v>
          </cell>
          <cell r="E3421" t="str">
            <v>ÁGATA</v>
          </cell>
          <cell r="F3421" t="str">
            <v>MODULAÇÃO</v>
          </cell>
          <cell r="G3421" t="str">
            <v/>
          </cell>
          <cell r="H3421">
            <v>469.99</v>
          </cell>
          <cell r="I3421">
            <v>349.99</v>
          </cell>
          <cell r="J3421">
            <v>214.44659999999999</v>
          </cell>
          <cell r="K3421">
            <v>0</v>
          </cell>
          <cell r="L3421">
            <v>214.44659999999999</v>
          </cell>
          <cell r="M3421">
            <v>0</v>
          </cell>
          <cell r="N3421">
            <v>349.99</v>
          </cell>
          <cell r="O3421" t="str">
            <v/>
          </cell>
          <cell r="P3421">
            <v>0</v>
          </cell>
          <cell r="Q3421">
            <v>0.632061315031341</v>
          </cell>
          <cell r="R3421">
            <v>0.632061315031341</v>
          </cell>
          <cell r="S3421" t="e">
            <v>#VALUE!</v>
          </cell>
          <cell r="T3421" t="e">
            <v>#VALUE!</v>
          </cell>
        </row>
        <row r="3422">
          <cell r="A3422" t="str">
            <v>G258047KGL</v>
          </cell>
          <cell r="B3422" t="str">
            <v>MKP000631001151</v>
          </cell>
          <cell r="C3422" t="str">
            <v/>
          </cell>
          <cell r="D3422" t="str">
            <v>Armário Aéreo Madesa Glamy 80 cm 1 Porta Basculante Rustic/Preto</v>
          </cell>
          <cell r="E3422" t="str">
            <v>GLAMY</v>
          </cell>
          <cell r="F3422" t="str">
            <v>MODULAÇÃO</v>
          </cell>
          <cell r="G3422" t="str">
            <v/>
          </cell>
          <cell r="H3422">
            <v>419.99</v>
          </cell>
          <cell r="I3422">
            <v>289.99</v>
          </cell>
          <cell r="J3422">
            <v>174.38910000000001</v>
          </cell>
          <cell r="K3422">
            <v>0</v>
          </cell>
          <cell r="L3422">
            <v>174.38910000000001</v>
          </cell>
          <cell r="M3422">
            <v>0</v>
          </cell>
          <cell r="N3422">
            <v>289.99</v>
          </cell>
          <cell r="O3422" t="str">
            <v/>
          </cell>
          <cell r="P3422">
            <v>0</v>
          </cell>
          <cell r="Q3422">
            <v>0.66289062791195097</v>
          </cell>
          <cell r="R3422">
            <v>0.66289062791195097</v>
          </cell>
          <cell r="S3422" t="e">
            <v>#VALUE!</v>
          </cell>
          <cell r="T3422" t="e">
            <v>#VALUE!</v>
          </cell>
        </row>
        <row r="3423">
          <cell r="A3423" t="str">
            <v>G253509BTE</v>
          </cell>
          <cell r="B3423" t="str">
            <v>MKP000631002108</v>
          </cell>
          <cell r="C3423" t="str">
            <v/>
          </cell>
          <cell r="D3423" t="str">
            <v>Armário Aéreo Madesa Stella 35 cm 1 Porta Branco/Rustic</v>
          </cell>
          <cell r="E3423" t="str">
            <v>STELLA</v>
          </cell>
          <cell r="F3423" t="str">
            <v>MODULAÇÃO</v>
          </cell>
          <cell r="G3423" t="str">
            <v/>
          </cell>
          <cell r="H3423">
            <v>369.99</v>
          </cell>
          <cell r="I3423">
            <v>279.99</v>
          </cell>
          <cell r="J3423">
            <v>165.37479999999999</v>
          </cell>
          <cell r="K3423">
            <v>0</v>
          </cell>
          <cell r="L3423">
            <v>165.37479999999999</v>
          </cell>
          <cell r="M3423">
            <v>0</v>
          </cell>
          <cell r="N3423">
            <v>279.99</v>
          </cell>
          <cell r="O3423" t="str">
            <v/>
          </cell>
          <cell r="P3423">
            <v>0</v>
          </cell>
          <cell r="Q3423">
            <v>0.69306327203419105</v>
          </cell>
          <cell r="R3423">
            <v>0.69306327203419105</v>
          </cell>
          <cell r="S3423" t="e">
            <v>#VALUE!</v>
          </cell>
          <cell r="T3423" t="e">
            <v>#VALUE!</v>
          </cell>
        </row>
        <row r="3424">
          <cell r="A3424" t="str">
            <v>G251537GAG</v>
          </cell>
          <cell r="B3424" t="str">
            <v>MKP000631005408</v>
          </cell>
          <cell r="C3424" t="str">
            <v/>
          </cell>
          <cell r="D3424" t="str">
            <v>Armário Aéreo 150 cm 2 Portas e 2 Nichos Rustic/Crema Agata Madesa</v>
          </cell>
          <cell r="E3424" t="str">
            <v>ÁGATA</v>
          </cell>
          <cell r="F3424" t="str">
            <v>MODULAÇÃO</v>
          </cell>
          <cell r="G3424" t="str">
            <v/>
          </cell>
          <cell r="H3424">
            <v>729.99</v>
          </cell>
          <cell r="I3424">
            <v>629.99</v>
          </cell>
          <cell r="J3424">
            <v>339.77480000000003</v>
          </cell>
          <cell r="K3424">
            <v>0</v>
          </cell>
          <cell r="L3424">
            <v>339.77480000000003</v>
          </cell>
          <cell r="M3424">
            <v>0</v>
          </cell>
          <cell r="N3424">
            <v>629.99</v>
          </cell>
          <cell r="O3424" t="str">
            <v/>
          </cell>
          <cell r="P3424">
            <v>0</v>
          </cell>
          <cell r="Q3424">
            <v>0.85413985969530404</v>
          </cell>
          <cell r="R3424">
            <v>0.85413985969530404</v>
          </cell>
          <cell r="S3424" t="e">
            <v>#VALUE!</v>
          </cell>
          <cell r="T3424" t="e">
            <v>#VALUE!</v>
          </cell>
        </row>
        <row r="3425">
          <cell r="A3425" t="str">
            <v>5363F92VI</v>
          </cell>
          <cell r="B3425" t="str">
            <v>MKP000631005594</v>
          </cell>
          <cell r="C3425" t="str">
            <v/>
          </cell>
          <cell r="D3425" t="str">
            <v>Mesa de Jantar Quadrada Tampo de Vidro Madesa 5363 Rustic/Cinza</v>
          </cell>
          <cell r="E3425">
            <v>5363</v>
          </cell>
          <cell r="F3425" t="str">
            <v>SALA DE JANTAR</v>
          </cell>
          <cell r="G3425" t="str">
            <v/>
          </cell>
          <cell r="H3425">
            <v>699.99</v>
          </cell>
          <cell r="I3425">
            <v>479.99</v>
          </cell>
          <cell r="J3425">
            <v>255.32159999999999</v>
          </cell>
          <cell r="K3425">
            <v>0</v>
          </cell>
          <cell r="L3425">
            <v>255.32159999999999</v>
          </cell>
          <cell r="M3425">
            <v>0</v>
          </cell>
          <cell r="N3425">
            <v>479.99</v>
          </cell>
          <cell r="O3425" t="str">
            <v/>
          </cell>
          <cell r="P3425">
            <v>0</v>
          </cell>
          <cell r="Q3425">
            <v>0.87994278588258901</v>
          </cell>
          <cell r="R3425">
            <v>0.87994278588258901</v>
          </cell>
          <cell r="S3425" t="e">
            <v>#VALUE!</v>
          </cell>
          <cell r="T3425" t="e">
            <v>#VALUE!</v>
          </cell>
        </row>
        <row r="3426">
          <cell r="A3426" t="str">
            <v>G258005LAG</v>
          </cell>
          <cell r="B3426" t="str">
            <v>MKP000631005411</v>
          </cell>
          <cell r="C3426" t="str">
            <v/>
          </cell>
          <cell r="D3426" t="str">
            <v>Armário Aéreo 80 cm 2 Portas Branco/Crema Agata Madesa</v>
          </cell>
          <cell r="E3426" t="str">
            <v>ÁGATA</v>
          </cell>
          <cell r="F3426" t="str">
            <v>MODULAÇÃO</v>
          </cell>
          <cell r="G3426" t="str">
            <v/>
          </cell>
          <cell r="H3426">
            <v>579.99</v>
          </cell>
          <cell r="I3426">
            <v>479.99</v>
          </cell>
          <cell r="J3426">
            <v>252.3895</v>
          </cell>
          <cell r="K3426">
            <v>0</v>
          </cell>
          <cell r="L3426">
            <v>252.3895</v>
          </cell>
          <cell r="M3426">
            <v>0</v>
          </cell>
          <cell r="N3426">
            <v>479.99</v>
          </cell>
          <cell r="O3426" t="str">
            <v/>
          </cell>
          <cell r="P3426">
            <v>0</v>
          </cell>
          <cell r="Q3426">
            <v>0.90178276037632299</v>
          </cell>
          <cell r="R3426">
            <v>0.90178276037632299</v>
          </cell>
          <cell r="S3426" t="e">
            <v>#VALUE!</v>
          </cell>
          <cell r="T3426" t="e">
            <v>#VALUE!</v>
          </cell>
        </row>
        <row r="3427">
          <cell r="A3427" t="str">
            <v>G23655H8LX</v>
          </cell>
          <cell r="B3427" t="str">
            <v>MKP000631004646</v>
          </cell>
          <cell r="C3427" t="str">
            <v/>
          </cell>
          <cell r="D3427" t="str">
            <v>Torre Quente Madesa Lux 60 cm 1 Porta 3 Gavetas Rustic/Branco Veludo</v>
          </cell>
          <cell r="E3427" t="str">
            <v>LUX</v>
          </cell>
          <cell r="F3427" t="str">
            <v>MODULAÇÃO</v>
          </cell>
          <cell r="G3427" t="str">
            <v/>
          </cell>
          <cell r="H3427">
            <v>1749.99</v>
          </cell>
          <cell r="I3427">
            <v>1239.99</v>
          </cell>
          <cell r="J3427">
            <v>644.47339999999997</v>
          </cell>
          <cell r="K3427">
            <v>0</v>
          </cell>
          <cell r="L3427">
            <v>644.47339999999997</v>
          </cell>
          <cell r="M3427">
            <v>0</v>
          </cell>
          <cell r="N3427">
            <v>1239.99</v>
          </cell>
          <cell r="O3427" t="str">
            <v>LOJA</v>
          </cell>
          <cell r="P3427">
            <v>1229.99</v>
          </cell>
          <cell r="Q3427">
            <v>0.92403596486682005</v>
          </cell>
          <cell r="R3427">
            <v>0.92403596486682005</v>
          </cell>
          <cell r="S3427" t="e">
            <v>#VALUE!</v>
          </cell>
          <cell r="T3427" t="e">
            <v>#VALUE!</v>
          </cell>
        </row>
        <row r="3428">
          <cell r="A3428" t="str">
            <v>G22600H8LXCT</v>
          </cell>
          <cell r="B3428" t="str">
            <v>MKP000631005087</v>
          </cell>
          <cell r="C3428" t="str">
            <v/>
          </cell>
          <cell r="D3428" t="str">
            <v>Balcão 60 cm 1 Porta Rustic/Branco Veludo Lux Madesa</v>
          </cell>
          <cell r="E3428" t="str">
            <v>LUX</v>
          </cell>
          <cell r="F3428" t="str">
            <v>MODULAÇÃO</v>
          </cell>
          <cell r="G3428" t="str">
            <v/>
          </cell>
          <cell r="H3428">
            <v>769.99</v>
          </cell>
          <cell r="I3428">
            <v>649.99</v>
          </cell>
          <cell r="J3428">
            <v>325.12520000000001</v>
          </cell>
          <cell r="K3428">
            <v>0</v>
          </cell>
          <cell r="L3428">
            <v>325.12520000000001</v>
          </cell>
          <cell r="M3428">
            <v>0</v>
          </cell>
          <cell r="N3428">
            <v>649.99</v>
          </cell>
          <cell r="O3428" t="str">
            <v>LOJA</v>
          </cell>
          <cell r="P3428">
            <v>639.99</v>
          </cell>
          <cell r="Q3428">
            <v>0.99919907777065597</v>
          </cell>
          <cell r="R3428">
            <v>0.99919907777065597</v>
          </cell>
          <cell r="S3428" t="e">
            <v>#VALUE!</v>
          </cell>
          <cell r="T3428" t="e">
            <v>#VALUE!</v>
          </cell>
        </row>
        <row r="3429">
          <cell r="A3429" t="str">
            <v>G22750H8LXCT</v>
          </cell>
          <cell r="B3429" t="str">
            <v>MKP000631005076</v>
          </cell>
          <cell r="C3429" t="str">
            <v/>
          </cell>
          <cell r="D3429" t="str">
            <v>Balcão de Canto Madesa Lux 1 Porta 60 cm Profundidade (Com Tampo) Rustic/Branco Veludo</v>
          </cell>
          <cell r="E3429" t="str">
            <v>LUX</v>
          </cell>
          <cell r="F3429" t="str">
            <v>MODULAÇÃO</v>
          </cell>
          <cell r="G3429" t="str">
            <v/>
          </cell>
          <cell r="H3429">
            <v>889.99</v>
          </cell>
          <cell r="I3429">
            <v>829.99</v>
          </cell>
          <cell r="J3429">
            <v>393.1848</v>
          </cell>
          <cell r="K3429">
            <v>0</v>
          </cell>
          <cell r="L3429">
            <v>393.1848</v>
          </cell>
          <cell r="M3429">
            <v>0</v>
          </cell>
          <cell r="N3429">
            <v>829.99</v>
          </cell>
          <cell r="O3429" t="str">
            <v>LOJA</v>
          </cell>
          <cell r="P3429">
            <v>819.99</v>
          </cell>
          <cell r="Q3429">
            <v>1.1109412164457999</v>
          </cell>
          <cell r="R3429">
            <v>1.1109412164457999</v>
          </cell>
          <cell r="S3429" t="e">
            <v>#VALUE!</v>
          </cell>
          <cell r="T3429" t="e">
            <v>#VALUE!</v>
          </cell>
        </row>
        <row r="3430">
          <cell r="A3430" t="str">
            <v>GCGL3290029B</v>
          </cell>
          <cell r="B3430" t="str">
            <v>MKP000631004494</v>
          </cell>
          <cell r="C3430" t="str">
            <v/>
          </cell>
          <cell r="D3430" t="str">
            <v>Armário de Cozinha Completa de Canto 329cm Branco Rustic Glamy Madesa 02</v>
          </cell>
          <cell r="E3430" t="str">
            <v>GLAMY</v>
          </cell>
          <cell r="F3430" t="str">
            <v>COZINHA</v>
          </cell>
          <cell r="G3430" t="str">
            <v/>
          </cell>
          <cell r="H3430">
            <v>2299.9899999999998</v>
          </cell>
          <cell r="I3430">
            <v>2199.9899999999998</v>
          </cell>
          <cell r="J3430">
            <v>1895.2592999999999</v>
          </cell>
          <cell r="K3430">
            <v>0</v>
          </cell>
          <cell r="L3430">
            <v>1895.2592999999999</v>
          </cell>
          <cell r="M3430">
            <v>0</v>
          </cell>
          <cell r="N3430">
            <v>2199.9899999999998</v>
          </cell>
          <cell r="O3430" t="str">
            <v/>
          </cell>
          <cell r="P3430">
            <v>0</v>
          </cell>
          <cell r="Q3430">
            <v>0.160785756334239</v>
          </cell>
          <cell r="R3430">
            <v>0.160785756334239</v>
          </cell>
          <cell r="S3430" t="e">
            <v>#VALUE!</v>
          </cell>
          <cell r="T3430" t="e">
            <v>#VALUE!</v>
          </cell>
        </row>
        <row r="3431">
          <cell r="A3431" t="str">
            <v>GRGL220003C7</v>
          </cell>
          <cell r="B3431" t="str">
            <v>MKP000631001241</v>
          </cell>
          <cell r="C3431" t="str">
            <v/>
          </cell>
          <cell r="D3431" t="str">
            <v>Armário de Cozinha Completa 220cm Branco/Preto/Branco Parma Madesa 03</v>
          </cell>
          <cell r="E3431" t="str">
            <v>PARMA/GLAMY</v>
          </cell>
          <cell r="F3431" t="str">
            <v>COZINHA</v>
          </cell>
          <cell r="G3431" t="str">
            <v/>
          </cell>
          <cell r="H3431">
            <v>1899.99</v>
          </cell>
          <cell r="I3431">
            <v>1799.99</v>
          </cell>
          <cell r="J3431">
            <v>1541.2927</v>
          </cell>
          <cell r="K3431">
            <v>0</v>
          </cell>
          <cell r="L3431">
            <v>1541.2927</v>
          </cell>
          <cell r="M3431">
            <v>0</v>
          </cell>
          <cell r="N3431">
            <v>1799.99</v>
          </cell>
          <cell r="O3431" t="str">
            <v/>
          </cell>
          <cell r="P3431">
            <v>0</v>
          </cell>
          <cell r="Q3431">
            <v>0.16784436856153301</v>
          </cell>
          <cell r="R3431">
            <v>0.16784436856153301</v>
          </cell>
          <cell r="S3431" t="e">
            <v>#VALUE!</v>
          </cell>
          <cell r="T3431" t="e">
            <v>#VALUE!</v>
          </cell>
        </row>
        <row r="3432">
          <cell r="A3432" t="str">
            <v>GCGL3490036E</v>
          </cell>
          <cell r="B3432" t="str">
            <v>MKP000631004395</v>
          </cell>
          <cell r="C3432" t="str">
            <v/>
          </cell>
          <cell r="D3432" t="str">
            <v>Armário de Cozinha Completa de Canto 349cm Rustic Branco Glamy Madesa 03</v>
          </cell>
          <cell r="E3432" t="str">
            <v>GLAMY</v>
          </cell>
          <cell r="F3432" t="str">
            <v>COZINHA</v>
          </cell>
          <cell r="G3432" t="str">
            <v/>
          </cell>
          <cell r="H3432">
            <v>2569.9899999999998</v>
          </cell>
          <cell r="I3432">
            <v>2469.9899999999998</v>
          </cell>
          <cell r="J3432">
            <v>2062.3018000000002</v>
          </cell>
          <cell r="K3432">
            <v>0</v>
          </cell>
          <cell r="L3432">
            <v>2062.3018000000002</v>
          </cell>
          <cell r="M3432">
            <v>0</v>
          </cell>
          <cell r="N3432">
            <v>2469.9899999999998</v>
          </cell>
          <cell r="O3432" t="str">
            <v/>
          </cell>
          <cell r="P3432">
            <v>0</v>
          </cell>
          <cell r="Q3432">
            <v>0.19768600308645401</v>
          </cell>
          <cell r="R3432">
            <v>0.19768600308645401</v>
          </cell>
          <cell r="S3432" t="e">
            <v>#VALUE!</v>
          </cell>
          <cell r="T3432" t="e">
            <v>#VALUE!</v>
          </cell>
        </row>
        <row r="3433">
          <cell r="A3433" t="str">
            <v>GRGL290016C7</v>
          </cell>
          <cell r="B3433" t="str">
            <v>MKP000631001307</v>
          </cell>
          <cell r="C3433" t="str">
            <v/>
          </cell>
          <cell r="D3433" t="str">
            <v>Armário de Cozinha Completa 290cm Branco/Preto Vicenza Madesa 16</v>
          </cell>
          <cell r="E3433" t="str">
            <v>VICENZA/GLAMY</v>
          </cell>
          <cell r="F3433" t="str">
            <v>COZINHA</v>
          </cell>
          <cell r="G3433" t="str">
            <v/>
          </cell>
          <cell r="H3433">
            <v>3299.99</v>
          </cell>
          <cell r="I3433">
            <v>2599.9899999999998</v>
          </cell>
          <cell r="J3433">
            <v>2167.4105</v>
          </cell>
          <cell r="K3433">
            <v>0</v>
          </cell>
          <cell r="L3433">
            <v>2167.4105</v>
          </cell>
          <cell r="M3433">
            <v>0</v>
          </cell>
          <cell r="N3433">
            <v>2599.9899999999998</v>
          </cell>
          <cell r="O3433" t="str">
            <v/>
          </cell>
          <cell r="P3433">
            <v>0</v>
          </cell>
          <cell r="Q3433">
            <v>0.19958355835223601</v>
          </cell>
          <cell r="R3433">
            <v>0.19958355835223601</v>
          </cell>
          <cell r="S3433" t="e">
            <v>#VALUE!</v>
          </cell>
          <cell r="T3433" t="e">
            <v>#VALUE!</v>
          </cell>
        </row>
        <row r="3434">
          <cell r="A3434" t="str">
            <v>GREM229015J1</v>
          </cell>
          <cell r="B3434" t="str">
            <v>MKP000631005920</v>
          </cell>
          <cell r="C3434" t="str">
            <v/>
          </cell>
          <cell r="D3434" t="str">
            <v>Armário de Cozinha Compacta 229cm Rustic/Cinza Emilly Madesa 15</v>
          </cell>
          <cell r="E3434" t="str">
            <v>EMILLY</v>
          </cell>
          <cell r="F3434" t="str">
            <v>COZINHA</v>
          </cell>
          <cell r="G3434" t="str">
            <v/>
          </cell>
          <cell r="H3434">
            <v>1029.99</v>
          </cell>
          <cell r="I3434">
            <v>929.99</v>
          </cell>
          <cell r="J3434">
            <v>755.47900000000004</v>
          </cell>
          <cell r="K3434">
            <v>0</v>
          </cell>
          <cell r="L3434">
            <v>755.47900000000004</v>
          </cell>
          <cell r="M3434">
            <v>0</v>
          </cell>
          <cell r="N3434">
            <v>929.99</v>
          </cell>
          <cell r="O3434" t="str">
            <v/>
          </cell>
          <cell r="P3434">
            <v>0</v>
          </cell>
          <cell r="Q3434">
            <v>0.23099384628824901</v>
          </cell>
          <cell r="R3434">
            <v>0.23099384628824901</v>
          </cell>
          <cell r="S3434" t="e">
            <v>#VALUE!</v>
          </cell>
          <cell r="T3434" t="e">
            <v>#VALUE!</v>
          </cell>
        </row>
        <row r="3435">
          <cell r="A3435" t="str">
            <v>GRGL2200025Z9B</v>
          </cell>
          <cell r="B3435" t="str">
            <v>MKP000631001502</v>
          </cell>
          <cell r="C3435" t="str">
            <v/>
          </cell>
          <cell r="D3435" t="str">
            <v>Armário de Cozinha Completa 220cm Rustic/Branco/Rustic Parma Madesa 02</v>
          </cell>
          <cell r="E3435" t="str">
            <v>PARMA/GLAMY</v>
          </cell>
          <cell r="F3435" t="str">
            <v>COZINHA</v>
          </cell>
          <cell r="G3435" t="str">
            <v/>
          </cell>
          <cell r="H3435">
            <v>1969.99</v>
          </cell>
          <cell r="I3435">
            <v>1869.99</v>
          </cell>
          <cell r="J3435">
            <v>1558.7654</v>
          </cell>
          <cell r="K3435">
            <v>0</v>
          </cell>
          <cell r="L3435">
            <v>1558.7654</v>
          </cell>
          <cell r="M3435">
            <v>0</v>
          </cell>
          <cell r="N3435">
            <v>1869.99</v>
          </cell>
          <cell r="O3435" t="str">
            <v/>
          </cell>
          <cell r="P3435">
            <v>0</v>
          </cell>
          <cell r="Q3435">
            <v>0.199660962451438</v>
          </cell>
          <cell r="R3435">
            <v>0.199660962451438</v>
          </cell>
          <cell r="S3435" t="e">
            <v>#VALUE!</v>
          </cell>
          <cell r="T3435" t="e">
            <v>#VALUE!</v>
          </cell>
        </row>
        <row r="3436">
          <cell r="A3436" t="str">
            <v>GRTE2900029B</v>
          </cell>
          <cell r="B3436" t="str">
            <v>MKP000631001999</v>
          </cell>
          <cell r="C3436" t="str">
            <v/>
          </cell>
          <cell r="D3436" t="str">
            <v>Armário de Cozinha Completa 290cm Branco/Rustic Stella Madesa 02</v>
          </cell>
          <cell r="E3436" t="str">
            <v>STELLA</v>
          </cell>
          <cell r="F3436" t="str">
            <v>COZINHA</v>
          </cell>
          <cell r="G3436" t="str">
            <v/>
          </cell>
          <cell r="H3436">
            <v>2299.9899999999998</v>
          </cell>
          <cell r="I3436">
            <v>2199.9899999999998</v>
          </cell>
          <cell r="J3436">
            <v>1815.6566</v>
          </cell>
          <cell r="K3436">
            <v>0</v>
          </cell>
          <cell r="L3436">
            <v>1815.6566</v>
          </cell>
          <cell r="M3436">
            <v>0</v>
          </cell>
          <cell r="N3436">
            <v>2199.9899999999998</v>
          </cell>
          <cell r="O3436" t="str">
            <v/>
          </cell>
          <cell r="P3436">
            <v>0</v>
          </cell>
          <cell r="Q3436">
            <v>0.21167736233823001</v>
          </cell>
          <cell r="R3436">
            <v>0.21167736233823001</v>
          </cell>
          <cell r="S3436" t="e">
            <v>#VALUE!</v>
          </cell>
          <cell r="T3436" t="e">
            <v>#VALUE!</v>
          </cell>
        </row>
        <row r="3437">
          <cell r="A3437" t="str">
            <v>GRGL2400095Z</v>
          </cell>
          <cell r="B3437" t="str">
            <v>MKP000631005210</v>
          </cell>
          <cell r="C3437" t="str">
            <v/>
          </cell>
          <cell r="D3437" t="str">
            <v>Armário de Cozinha Completa 240cm Rustic Glamy Madesa 09</v>
          </cell>
          <cell r="E3437" t="str">
            <v>GLAMY</v>
          </cell>
          <cell r="F3437" t="str">
            <v>COZINHA</v>
          </cell>
          <cell r="G3437" t="str">
            <v/>
          </cell>
          <cell r="H3437">
            <v>1699.99</v>
          </cell>
          <cell r="I3437">
            <v>1599.99</v>
          </cell>
          <cell r="J3437">
            <v>1320.7529999999999</v>
          </cell>
          <cell r="K3437">
            <v>0</v>
          </cell>
          <cell r="L3437">
            <v>1320.7529999999999</v>
          </cell>
          <cell r="M3437">
            <v>0</v>
          </cell>
          <cell r="N3437">
            <v>1599.99</v>
          </cell>
          <cell r="O3437" t="str">
            <v/>
          </cell>
          <cell r="P3437">
            <v>0</v>
          </cell>
          <cell r="Q3437">
            <v>0.21142257484934701</v>
          </cell>
          <cell r="R3437">
            <v>0.21142257484934701</v>
          </cell>
          <cell r="S3437" t="e">
            <v>#VALUE!</v>
          </cell>
          <cell r="T3437" t="e">
            <v>#VALUE!</v>
          </cell>
        </row>
        <row r="3438">
          <cell r="A3438" t="str">
            <v>GCGL41900109</v>
          </cell>
          <cell r="B3438" t="str">
            <v>MKP000631004386</v>
          </cell>
          <cell r="C3438" t="str">
            <v/>
          </cell>
          <cell r="D3438" t="str">
            <v>Armário de Cozinha Completa de Canto 419cm Branco Glamy Madesa 01</v>
          </cell>
          <cell r="E3438" t="str">
            <v>GLAMY</v>
          </cell>
          <cell r="F3438" t="str">
            <v>COZINHA</v>
          </cell>
          <cell r="G3438" t="str">
            <v/>
          </cell>
          <cell r="H3438">
            <v>3299.99</v>
          </cell>
          <cell r="I3438">
            <v>3199.99</v>
          </cell>
          <cell r="J3438">
            <v>2615.1934000000001</v>
          </cell>
          <cell r="K3438">
            <v>0</v>
          </cell>
          <cell r="L3438">
            <v>2615.1934000000001</v>
          </cell>
          <cell r="M3438">
            <v>0</v>
          </cell>
          <cell r="N3438">
            <v>3199.99</v>
          </cell>
          <cell r="O3438" t="str">
            <v/>
          </cell>
          <cell r="P3438">
            <v>0</v>
          </cell>
          <cell r="Q3438">
            <v>0.223615048890839</v>
          </cell>
          <cell r="R3438">
            <v>0.223615048890839</v>
          </cell>
          <cell r="S3438" t="e">
            <v>#VALUE!</v>
          </cell>
          <cell r="T3438" t="e">
            <v>#VALUE!</v>
          </cell>
        </row>
        <row r="3439">
          <cell r="A3439" t="str">
            <v>GCGL26900173</v>
          </cell>
          <cell r="B3439" t="str">
            <v>MKP000631004518</v>
          </cell>
          <cell r="C3439" t="str">
            <v/>
          </cell>
          <cell r="D3439" t="str">
            <v>Armário de Cozinha Compacta de Canto 269cm Branco/Preto Glamy Madesa 01</v>
          </cell>
          <cell r="E3439" t="str">
            <v>GLAMY</v>
          </cell>
          <cell r="F3439" t="str">
            <v>COZINHA</v>
          </cell>
          <cell r="G3439" t="str">
            <v/>
          </cell>
          <cell r="H3439">
            <v>1999.99</v>
          </cell>
          <cell r="I3439">
            <v>1899.99</v>
          </cell>
          <cell r="J3439">
            <v>1554.7215000000001</v>
          </cell>
          <cell r="K3439">
            <v>0</v>
          </cell>
          <cell r="L3439">
            <v>1554.7215000000001</v>
          </cell>
          <cell r="M3439">
            <v>0</v>
          </cell>
          <cell r="N3439">
            <v>1899.99</v>
          </cell>
          <cell r="O3439" t="str">
            <v/>
          </cell>
          <cell r="P3439">
            <v>0</v>
          </cell>
          <cell r="Q3439">
            <v>0.22207739456873801</v>
          </cell>
          <cell r="R3439">
            <v>0.22207739456873801</v>
          </cell>
          <cell r="S3439" t="e">
            <v>#VALUE!</v>
          </cell>
          <cell r="T3439" t="e">
            <v>#VALUE!</v>
          </cell>
        </row>
        <row r="3440">
          <cell r="A3440" t="str">
            <v>GCGL2690019B</v>
          </cell>
          <cell r="B3440" t="str">
            <v>MKP000631004514</v>
          </cell>
          <cell r="C3440" t="str">
            <v/>
          </cell>
          <cell r="D3440" t="str">
            <v>Armário de Cozinha Compacta de Canto 269cm Branco/Rustic Glamy Madesa 01</v>
          </cell>
          <cell r="E3440" t="str">
            <v>GLAMY</v>
          </cell>
          <cell r="F3440" t="str">
            <v>COZINHA</v>
          </cell>
          <cell r="G3440" t="str">
            <v/>
          </cell>
          <cell r="H3440">
            <v>1999.99</v>
          </cell>
          <cell r="I3440">
            <v>1899.99</v>
          </cell>
          <cell r="J3440">
            <v>1554.7215000000001</v>
          </cell>
          <cell r="K3440">
            <v>0</v>
          </cell>
          <cell r="L3440">
            <v>1554.7215000000001</v>
          </cell>
          <cell r="M3440">
            <v>0</v>
          </cell>
          <cell r="N3440">
            <v>1899.99</v>
          </cell>
          <cell r="O3440" t="str">
            <v/>
          </cell>
          <cell r="P3440">
            <v>0</v>
          </cell>
          <cell r="Q3440">
            <v>0.22207739456873801</v>
          </cell>
          <cell r="R3440">
            <v>0.22207739456873801</v>
          </cell>
          <cell r="S3440" t="e">
            <v>#VALUE!</v>
          </cell>
          <cell r="T3440" t="e">
            <v>#VALUE!</v>
          </cell>
        </row>
        <row r="3441">
          <cell r="A3441" t="str">
            <v>GRGL2700117K</v>
          </cell>
          <cell r="B3441" t="str">
            <v>MKP000631004215</v>
          </cell>
          <cell r="C3441" t="str">
            <v/>
          </cell>
          <cell r="D3441" t="str">
            <v>Armário de Cozinha Completa 270cm Rustic Preto Glamy Madesa 11</v>
          </cell>
          <cell r="E3441" t="str">
            <v>GLAMY</v>
          </cell>
          <cell r="F3441" t="str">
            <v>COZINHA</v>
          </cell>
          <cell r="G3441" t="str">
            <v/>
          </cell>
          <cell r="H3441">
            <v>1949.99</v>
          </cell>
          <cell r="I3441">
            <v>1739.99</v>
          </cell>
          <cell r="J3441">
            <v>1419.5397</v>
          </cell>
          <cell r="K3441">
            <v>0</v>
          </cell>
          <cell r="L3441">
            <v>1419.5397</v>
          </cell>
          <cell r="M3441">
            <v>0</v>
          </cell>
          <cell r="N3441">
            <v>1739.99</v>
          </cell>
          <cell r="O3441" t="str">
            <v/>
          </cell>
          <cell r="P3441">
            <v>0</v>
          </cell>
          <cell r="Q3441">
            <v>0.225742400864168</v>
          </cell>
          <cell r="R3441">
            <v>0.225742400864168</v>
          </cell>
          <cell r="S3441" t="e">
            <v>#VALUE!</v>
          </cell>
          <cell r="T3441" t="e">
            <v>#VALUE!</v>
          </cell>
        </row>
        <row r="3442">
          <cell r="A3442" t="str">
            <v>1063771P</v>
          </cell>
          <cell r="B3442" t="str">
            <v>MKP000631003028</v>
          </cell>
          <cell r="C3442" t="str">
            <v/>
          </cell>
          <cell r="D3442" t="str">
            <v>Guarda-Roupa Casal 100% MDF Madesa Royale 3 Portas de Correr Preto/Branco/Preto</v>
          </cell>
          <cell r="E3442" t="str">
            <v>ROYALE</v>
          </cell>
          <cell r="F3442" t="str">
            <v>QUARTO</v>
          </cell>
          <cell r="G3442" t="str">
            <v/>
          </cell>
          <cell r="H3442">
            <v>2469.9899999999998</v>
          </cell>
          <cell r="I3442">
            <v>1899.99</v>
          </cell>
          <cell r="J3442">
            <v>1551.3534</v>
          </cell>
          <cell r="K3442">
            <v>0</v>
          </cell>
          <cell r="L3442">
            <v>1551.3534</v>
          </cell>
          <cell r="M3442">
            <v>0</v>
          </cell>
          <cell r="N3442">
            <v>1899.99</v>
          </cell>
          <cell r="O3442" t="str">
            <v/>
          </cell>
          <cell r="P3442">
            <v>0</v>
          </cell>
          <cell r="Q3442">
            <v>0.22473061263797101</v>
          </cell>
          <cell r="R3442">
            <v>0.22473061263797101</v>
          </cell>
          <cell r="S3442" t="e">
            <v>#VALUE!</v>
          </cell>
          <cell r="T3442" t="e">
            <v>#VALUE!</v>
          </cell>
        </row>
        <row r="3443">
          <cell r="A3443" t="str">
            <v>GRGL18001273</v>
          </cell>
          <cell r="B3443" t="str">
            <v>MKP000631005223</v>
          </cell>
          <cell r="C3443" t="str">
            <v/>
          </cell>
          <cell r="D3443" t="str">
            <v>Armário de Cozinha Compacta 180cm Branco/Preto Glamy Madesa 12</v>
          </cell>
          <cell r="E3443" t="str">
            <v>GLAMY</v>
          </cell>
          <cell r="F3443" t="str">
            <v>COZINHA</v>
          </cell>
          <cell r="G3443" t="str">
            <v/>
          </cell>
          <cell r="H3443">
            <v>1259.99</v>
          </cell>
          <cell r="I3443">
            <v>1259.99</v>
          </cell>
          <cell r="J3443">
            <v>1025.5155999999999</v>
          </cell>
          <cell r="K3443">
            <v>0</v>
          </cell>
          <cell r="L3443">
            <v>1025.5155999999999</v>
          </cell>
          <cell r="M3443">
            <v>0</v>
          </cell>
          <cell r="N3443">
            <v>1259.99</v>
          </cell>
          <cell r="O3443" t="str">
            <v/>
          </cell>
          <cell r="P3443">
            <v>0</v>
          </cell>
          <cell r="Q3443">
            <v>0.22864050044680001</v>
          </cell>
          <cell r="R3443">
            <v>0.22864050044680001</v>
          </cell>
          <cell r="S3443" t="e">
            <v>#VALUE!</v>
          </cell>
          <cell r="T3443" t="e">
            <v>#VALUE!</v>
          </cell>
        </row>
        <row r="3444">
          <cell r="A3444" t="str">
            <v>GRGL1800125Z</v>
          </cell>
          <cell r="B3444" t="str">
            <v>MKP000631005221</v>
          </cell>
          <cell r="C3444" t="str">
            <v/>
          </cell>
          <cell r="D3444" t="str">
            <v>Armário de Cozinha Compacta 180cm Rustic Glamy Madesa 12</v>
          </cell>
          <cell r="E3444" t="str">
            <v>GLAMY</v>
          </cell>
          <cell r="F3444" t="str">
            <v>COZINHA</v>
          </cell>
          <cell r="G3444" t="str">
            <v/>
          </cell>
          <cell r="H3444">
            <v>1259.99</v>
          </cell>
          <cell r="I3444">
            <v>1259.99</v>
          </cell>
          <cell r="J3444">
            <v>1025.5155999999999</v>
          </cell>
          <cell r="K3444">
            <v>0</v>
          </cell>
          <cell r="L3444">
            <v>1025.5155999999999</v>
          </cell>
          <cell r="M3444">
            <v>0</v>
          </cell>
          <cell r="N3444">
            <v>1259.99</v>
          </cell>
          <cell r="O3444" t="str">
            <v/>
          </cell>
          <cell r="P3444">
            <v>0</v>
          </cell>
          <cell r="Q3444">
            <v>0.22864050044680001</v>
          </cell>
          <cell r="R3444">
            <v>0.22864050044680001</v>
          </cell>
          <cell r="S3444" t="e">
            <v>#VALUE!</v>
          </cell>
          <cell r="T3444" t="e">
            <v>#VALUE!</v>
          </cell>
        </row>
        <row r="3445">
          <cell r="A3445" t="str">
            <v>MDJA0800055ZOXF</v>
          </cell>
          <cell r="B3445" t="str">
            <v>MKP000631006088</v>
          </cell>
          <cell r="C3445" t="str">
            <v/>
          </cell>
          <cell r="D3445" t="str">
            <v>Conjunto Sala de Jantar Mesa Tampo de Madeira 8 Cadeiras Rustic/Oxford Doris Madesa</v>
          </cell>
          <cell r="E3445" t="str">
            <v>DORIS</v>
          </cell>
          <cell r="F3445" t="str">
            <v>SALA DE JANTAR</v>
          </cell>
          <cell r="G3445">
            <v>4255</v>
          </cell>
          <cell r="H3445">
            <v>1899.99</v>
          </cell>
          <cell r="I3445">
            <v>1799.99</v>
          </cell>
          <cell r="J3445">
            <v>1396.7150999999999</v>
          </cell>
          <cell r="K3445">
            <v>0</v>
          </cell>
          <cell r="L3445">
            <v>1396.7150999999999</v>
          </cell>
          <cell r="M3445">
            <v>0</v>
          </cell>
          <cell r="N3445">
            <v>1799.99</v>
          </cell>
          <cell r="O3445" t="str">
            <v/>
          </cell>
          <cell r="P3445">
            <v>0</v>
          </cell>
          <cell r="Q3445">
            <v>0.28873096596435399</v>
          </cell>
          <cell r="R3445">
            <v>0.28873096596435399</v>
          </cell>
          <cell r="S3445" t="e">
            <v>#VALUE!</v>
          </cell>
          <cell r="T3445" t="e">
            <v>#VALUE!</v>
          </cell>
        </row>
        <row r="3446">
          <cell r="A3446" t="str">
            <v>GRAG2600026E</v>
          </cell>
          <cell r="B3446" t="str">
            <v>MKP000631004270</v>
          </cell>
          <cell r="C3446" t="str">
            <v/>
          </cell>
          <cell r="D3446" t="str">
            <v>Armário de Cozinha Completa 260cm Rustic Branco Agata Madesa 02</v>
          </cell>
          <cell r="E3446" t="str">
            <v>ÁGATA</v>
          </cell>
          <cell r="F3446" t="str">
            <v>COZINHA</v>
          </cell>
          <cell r="G3446" t="str">
            <v/>
          </cell>
          <cell r="H3446">
            <v>1799.99</v>
          </cell>
          <cell r="I3446">
            <v>1699.99</v>
          </cell>
          <cell r="J3446">
            <v>1382.2617</v>
          </cell>
          <cell r="K3446">
            <v>0</v>
          </cell>
          <cell r="L3446">
            <v>1382.2617</v>
          </cell>
          <cell r="M3446">
            <v>0</v>
          </cell>
          <cell r="N3446">
            <v>1699.99</v>
          </cell>
          <cell r="O3446" t="str">
            <v/>
          </cell>
          <cell r="P3446">
            <v>0</v>
          </cell>
          <cell r="Q3446">
            <v>0.22986117607107201</v>
          </cell>
          <cell r="R3446">
            <v>0.22986117607107201</v>
          </cell>
          <cell r="S3446" t="e">
            <v>#VALUE!</v>
          </cell>
          <cell r="T3446" t="e">
            <v>#VALUE!</v>
          </cell>
        </row>
        <row r="3447">
          <cell r="A3447" t="str">
            <v>GCGL34900773</v>
          </cell>
          <cell r="B3447" t="str">
            <v>MKP000631005241</v>
          </cell>
          <cell r="C3447" t="str">
            <v/>
          </cell>
          <cell r="D3447" t="str">
            <v>Armário de Cozinha Completa de Canto 349cm Branco/Preto Glamy Madesa 07</v>
          </cell>
          <cell r="E3447" t="str">
            <v>GLAMY</v>
          </cell>
          <cell r="F3447" t="str">
            <v>COZINHA</v>
          </cell>
          <cell r="G3447" t="str">
            <v/>
          </cell>
          <cell r="H3447">
            <v>2159.9899999999998</v>
          </cell>
          <cell r="I3447">
            <v>2159.9899999999998</v>
          </cell>
          <cell r="J3447">
            <v>1729.1106</v>
          </cell>
          <cell r="K3447">
            <v>0</v>
          </cell>
          <cell r="L3447">
            <v>1729.1106</v>
          </cell>
          <cell r="M3447">
            <v>0</v>
          </cell>
          <cell r="N3447">
            <v>2159.9899999999998</v>
          </cell>
          <cell r="O3447" t="str">
            <v/>
          </cell>
          <cell r="P3447">
            <v>0</v>
          </cell>
          <cell r="Q3447">
            <v>0.24919134727414199</v>
          </cell>
          <cell r="R3447">
            <v>0.24919134727414199</v>
          </cell>
          <cell r="S3447" t="e">
            <v>#VALUE!</v>
          </cell>
          <cell r="T3447" t="e">
            <v>#VALUE!</v>
          </cell>
        </row>
        <row r="3448">
          <cell r="A3448" t="str">
            <v>GIGL1200017K</v>
          </cell>
          <cell r="B3448" t="str">
            <v>MKP000631006012</v>
          </cell>
          <cell r="C3448" t="str">
            <v/>
          </cell>
          <cell r="D3448" t="str">
            <v>Ilha de Cozinha com Bancada e Balcão 120 cm Rustic/Preto Glamy Madesa</v>
          </cell>
          <cell r="E3448" t="str">
            <v>GLAMY</v>
          </cell>
          <cell r="F3448" t="str">
            <v>MODULAÇÃO</v>
          </cell>
          <cell r="G3448" t="str">
            <v/>
          </cell>
          <cell r="H3448">
            <v>979.99</v>
          </cell>
          <cell r="I3448">
            <v>979.99</v>
          </cell>
          <cell r="J3448">
            <v>757.44100000000003</v>
          </cell>
          <cell r="K3448">
            <v>0</v>
          </cell>
          <cell r="L3448">
            <v>757.44100000000003</v>
          </cell>
          <cell r="M3448">
            <v>0</v>
          </cell>
          <cell r="N3448">
            <v>979.99</v>
          </cell>
          <cell r="O3448" t="str">
            <v/>
          </cell>
          <cell r="P3448">
            <v>0</v>
          </cell>
          <cell r="Q3448">
            <v>0.293816944158027</v>
          </cell>
          <cell r="R3448">
            <v>0.293816944158027</v>
          </cell>
          <cell r="S3448" t="e">
            <v>#VALUE!</v>
          </cell>
          <cell r="T3448" t="e">
            <v>#VALUE!</v>
          </cell>
        </row>
        <row r="3449">
          <cell r="A3449" t="str">
            <v>GRAG18000973</v>
          </cell>
          <cell r="B3449" t="str">
            <v>MKP000631005270</v>
          </cell>
          <cell r="C3449" t="str">
            <v/>
          </cell>
          <cell r="D3449" t="str">
            <v>Armário de  Cozinha Compacta 180cm Branco/Preto Agata Madesa 09</v>
          </cell>
          <cell r="E3449" t="str">
            <v>ÁGATA</v>
          </cell>
          <cell r="F3449" t="str">
            <v>COZINHA</v>
          </cell>
          <cell r="G3449" t="str">
            <v/>
          </cell>
          <cell r="H3449">
            <v>1399.99</v>
          </cell>
          <cell r="I3449">
            <v>1299.99</v>
          </cell>
          <cell r="J3449">
            <v>999.91150000000005</v>
          </cell>
          <cell r="K3449">
            <v>0</v>
          </cell>
          <cell r="L3449">
            <v>999.91150000000005</v>
          </cell>
          <cell r="M3449">
            <v>0</v>
          </cell>
          <cell r="N3449">
            <v>1299.99</v>
          </cell>
          <cell r="O3449" t="str">
            <v/>
          </cell>
          <cell r="P3449">
            <v>0</v>
          </cell>
          <cell r="Q3449">
            <v>0.300105059297748</v>
          </cell>
          <cell r="R3449">
            <v>0.300105059297748</v>
          </cell>
          <cell r="S3449" t="e">
            <v>#VALUE!</v>
          </cell>
          <cell r="T3449" t="e">
            <v>#VALUE!</v>
          </cell>
        </row>
        <row r="3450">
          <cell r="A3450" t="str">
            <v>G241239BGLCT</v>
          </cell>
          <cell r="B3450" t="str">
            <v>MKP000631003010</v>
          </cell>
          <cell r="C3450" t="str">
            <v/>
          </cell>
          <cell r="D3450" t="str">
            <v>Balcão de Pia Madesa Glamy 120 cm 1 Porta e 2 Gavetas (Com Tampo) Branco/Rustic</v>
          </cell>
          <cell r="E3450" t="str">
            <v>GLAMY</v>
          </cell>
          <cell r="F3450" t="str">
            <v>MODULAÇÃO</v>
          </cell>
          <cell r="G3450" t="str">
            <v/>
          </cell>
          <cell r="H3450">
            <v>1279.99</v>
          </cell>
          <cell r="I3450">
            <v>699.99</v>
          </cell>
          <cell r="J3450">
            <v>538.29650000000004</v>
          </cell>
          <cell r="K3450">
            <v>0</v>
          </cell>
          <cell r="L3450">
            <v>538.29650000000004</v>
          </cell>
          <cell r="M3450">
            <v>0</v>
          </cell>
          <cell r="N3450">
            <v>699.99</v>
          </cell>
          <cell r="O3450" t="str">
            <v/>
          </cell>
          <cell r="P3450">
            <v>0</v>
          </cell>
          <cell r="Q3450">
            <v>0.30037999503990798</v>
          </cell>
          <cell r="R3450">
            <v>0.30037999503990798</v>
          </cell>
          <cell r="S3450" t="e">
            <v>#VALUE!</v>
          </cell>
          <cell r="T3450" t="e">
            <v>#VALUE!</v>
          </cell>
        </row>
        <row r="3451">
          <cell r="A3451" t="str">
            <v>G2412309TECT</v>
          </cell>
          <cell r="B3451" t="str">
            <v>MKP000631005814</v>
          </cell>
          <cell r="C3451" t="str">
            <v/>
          </cell>
          <cell r="D3451" t="str">
            <v>Balcão Gabinete de Pia 120 cm 1 Portas e 2 Gavetas (Com Tampo) Branco Stella Madesa</v>
          </cell>
          <cell r="E3451" t="str">
            <v>STELLA</v>
          </cell>
          <cell r="F3451" t="str">
            <v>MODULAÇÃO</v>
          </cell>
          <cell r="G3451" t="str">
            <v/>
          </cell>
          <cell r="H3451">
            <v>699.99</v>
          </cell>
          <cell r="I3451">
            <v>679.99</v>
          </cell>
          <cell r="J3451">
            <v>520.43140000000005</v>
          </cell>
          <cell r="K3451">
            <v>0</v>
          </cell>
          <cell r="L3451">
            <v>520.43140000000005</v>
          </cell>
          <cell r="M3451">
            <v>0</v>
          </cell>
          <cell r="N3451">
            <v>679.99</v>
          </cell>
          <cell r="O3451" t="str">
            <v/>
          </cell>
          <cell r="P3451">
            <v>0</v>
          </cell>
          <cell r="Q3451">
            <v>0.30658911049563897</v>
          </cell>
          <cell r="R3451">
            <v>0.30658911049563897</v>
          </cell>
          <cell r="S3451" t="e">
            <v>#VALUE!</v>
          </cell>
          <cell r="T3451" t="e">
            <v>#VALUE!</v>
          </cell>
        </row>
        <row r="3452">
          <cell r="A3452" t="str">
            <v>G2412373AG</v>
          </cell>
          <cell r="B3452" t="str">
            <v>MKP000631003052</v>
          </cell>
          <cell r="C3452" t="str">
            <v/>
          </cell>
          <cell r="D3452" t="str">
            <v>Balcão Gabinete de Pia Madesa Agata 1 Porta e 2 Gavetas (Sem Tampo e Pia) Branco/Preto</v>
          </cell>
          <cell r="E3452" t="str">
            <v>ÁGATA</v>
          </cell>
          <cell r="F3452" t="str">
            <v>MODULAÇÃO</v>
          </cell>
          <cell r="G3452" t="str">
            <v/>
          </cell>
          <cell r="H3452">
            <v>1139.99</v>
          </cell>
          <cell r="I3452">
            <v>579.99</v>
          </cell>
          <cell r="J3452">
            <v>425.36160000000001</v>
          </cell>
          <cell r="K3452">
            <v>0</v>
          </cell>
          <cell r="L3452">
            <v>425.36160000000001</v>
          </cell>
          <cell r="M3452">
            <v>0</v>
          </cell>
          <cell r="N3452">
            <v>579.99</v>
          </cell>
          <cell r="O3452" t="str">
            <v/>
          </cell>
          <cell r="P3452">
            <v>0</v>
          </cell>
          <cell r="Q3452">
            <v>0.36352223613979201</v>
          </cell>
          <cell r="R3452">
            <v>0.36352223613979201</v>
          </cell>
          <cell r="S3452" t="e">
            <v>#VALUE!</v>
          </cell>
          <cell r="T3452" t="e">
            <v>#VALUE!</v>
          </cell>
        </row>
        <row r="3453">
          <cell r="A3453" t="str">
            <v>G2415373AGCT</v>
          </cell>
          <cell r="B3453" t="str">
            <v>MKP000631004639</v>
          </cell>
          <cell r="C3453" t="str">
            <v/>
          </cell>
          <cell r="D3453" t="str">
            <v>Balcão de Pia Madesa Agata 150 cm 2 Portas e 2 Gavetas (Com Tampo) Branco/Preto</v>
          </cell>
          <cell r="E3453" t="str">
            <v>ÁGATA</v>
          </cell>
          <cell r="F3453" t="str">
            <v>MODULAÇÃO</v>
          </cell>
          <cell r="G3453" t="str">
            <v/>
          </cell>
          <cell r="H3453">
            <v>1219.99</v>
          </cell>
          <cell r="I3453">
            <v>719.99</v>
          </cell>
          <cell r="J3453">
            <v>527.94150000000002</v>
          </cell>
          <cell r="K3453">
            <v>0</v>
          </cell>
          <cell r="L3453">
            <v>527.94150000000002</v>
          </cell>
          <cell r="M3453">
            <v>0</v>
          </cell>
          <cell r="N3453">
            <v>719.99</v>
          </cell>
          <cell r="O3453" t="str">
            <v/>
          </cell>
          <cell r="P3453">
            <v>0</v>
          </cell>
          <cell r="Q3453">
            <v>0.36376852359589101</v>
          </cell>
          <cell r="R3453">
            <v>0.36376852359589101</v>
          </cell>
          <cell r="S3453" t="e">
            <v>#VALUE!</v>
          </cell>
          <cell r="T3453" t="e">
            <v>#VALUE!</v>
          </cell>
        </row>
        <row r="3454">
          <cell r="A3454" t="str">
            <v>G228005LFF</v>
          </cell>
          <cell r="B3454" t="str">
            <v>MKP000631006023</v>
          </cell>
          <cell r="C3454" t="str">
            <v/>
          </cell>
          <cell r="D3454" t="str">
            <v>Balcão para Forno de Embutir 80 x 60 cm Sem Tampo Branco/Crema Agata Madesa</v>
          </cell>
          <cell r="E3454" t="str">
            <v>ÁGATA</v>
          </cell>
          <cell r="F3454" t="str">
            <v>MODULAÇÃO</v>
          </cell>
          <cell r="G3454" t="str">
            <v/>
          </cell>
          <cell r="H3454">
            <v>449.99</v>
          </cell>
          <cell r="I3454">
            <v>449.99</v>
          </cell>
          <cell r="J3454">
            <v>301.64659999999998</v>
          </cell>
          <cell r="K3454">
            <v>0</v>
          </cell>
          <cell r="L3454">
            <v>301.64659999999998</v>
          </cell>
          <cell r="M3454">
            <v>0</v>
          </cell>
          <cell r="N3454">
            <v>449.99</v>
          </cell>
          <cell r="O3454" t="str">
            <v/>
          </cell>
          <cell r="P3454">
            <v>0</v>
          </cell>
          <cell r="Q3454">
            <v>0.49177879014714598</v>
          </cell>
          <cell r="R3454">
            <v>0.49177879014714598</v>
          </cell>
          <cell r="S3454" t="e">
            <v>#VALUE!</v>
          </cell>
          <cell r="T3454" t="e">
            <v>#VALUE!</v>
          </cell>
        </row>
        <row r="3455">
          <cell r="A3455" t="str">
            <v>G246016ETE</v>
          </cell>
          <cell r="B3455" t="str">
            <v>MKP000631002159</v>
          </cell>
          <cell r="C3455" t="str">
            <v/>
          </cell>
          <cell r="D3455" t="str">
            <v>Balcão Madesa Stella 60 cm 3 Gavetas Rustic/Branco</v>
          </cell>
          <cell r="E3455" t="str">
            <v>STELLA</v>
          </cell>
          <cell r="F3455" t="str">
            <v>MODULAÇÃO</v>
          </cell>
          <cell r="G3455" t="str">
            <v/>
          </cell>
          <cell r="H3455">
            <v>989.99</v>
          </cell>
          <cell r="I3455">
            <v>569.99</v>
          </cell>
          <cell r="J3455">
            <v>378.11009999999999</v>
          </cell>
          <cell r="K3455">
            <v>0</v>
          </cell>
          <cell r="L3455">
            <v>378.11009999999999</v>
          </cell>
          <cell r="M3455">
            <v>0</v>
          </cell>
          <cell r="N3455">
            <v>569.99</v>
          </cell>
          <cell r="O3455" t="str">
            <v/>
          </cell>
          <cell r="P3455">
            <v>0</v>
          </cell>
          <cell r="Q3455">
            <v>0.50747097207929703</v>
          </cell>
          <cell r="R3455">
            <v>0.50747097207929703</v>
          </cell>
          <cell r="S3455" t="e">
            <v>#VALUE!</v>
          </cell>
          <cell r="T3455" t="e">
            <v>#VALUE!</v>
          </cell>
        </row>
        <row r="3456">
          <cell r="A3456" t="str">
            <v>G221239BGLCT</v>
          </cell>
          <cell r="B3456" t="str">
            <v>MKP000631004876</v>
          </cell>
          <cell r="C3456" t="str">
            <v/>
          </cell>
          <cell r="D3456" t="str">
            <v>Balcão Gabinete de Pia 120 x 60 cm 1 Porta 2 Gavetas Branco/Rustic (Com Tampo) Glamy Madesa</v>
          </cell>
          <cell r="E3456" t="str">
            <v>GLAMY</v>
          </cell>
          <cell r="F3456" t="str">
            <v>MODULAÇÃO</v>
          </cell>
          <cell r="G3456" t="str">
            <v/>
          </cell>
          <cell r="H3456">
            <v>959.99</v>
          </cell>
          <cell r="I3456">
            <v>859.99</v>
          </cell>
          <cell r="J3456">
            <v>559.35530000000006</v>
          </cell>
          <cell r="K3456">
            <v>0</v>
          </cell>
          <cell r="L3456">
            <v>559.35530000000006</v>
          </cell>
          <cell r="M3456">
            <v>0</v>
          </cell>
          <cell r="N3456">
            <v>859.99</v>
          </cell>
          <cell r="O3456" t="str">
            <v/>
          </cell>
          <cell r="P3456">
            <v>0</v>
          </cell>
          <cell r="Q3456">
            <v>0.53746643680680295</v>
          </cell>
          <cell r="R3456">
            <v>0.53746643680680295</v>
          </cell>
          <cell r="S3456" t="e">
            <v>#VALUE!</v>
          </cell>
          <cell r="T3456" t="e">
            <v>#VALUE!</v>
          </cell>
        </row>
        <row r="3457">
          <cell r="A3457" t="str">
            <v>G277505ZPR</v>
          </cell>
          <cell r="B3457" t="str">
            <v>MKP000631002739</v>
          </cell>
          <cell r="C3457" t="str">
            <v/>
          </cell>
          <cell r="D3457" t="str">
            <v>Tampo para Balcão de Canto de 64 x 102 cm para Cozinhas Madesa Glamy, Lux e Stella Rustic</v>
          </cell>
          <cell r="E3457" t="str">
            <v>LUX</v>
          </cell>
          <cell r="F3457" t="str">
            <v>MODULAÇÃO</v>
          </cell>
          <cell r="G3457" t="str">
            <v/>
          </cell>
          <cell r="H3457">
            <v>389.99</v>
          </cell>
          <cell r="I3457">
            <v>169.99</v>
          </cell>
          <cell r="J3457">
            <v>98.971999999999994</v>
          </cell>
          <cell r="K3457">
            <v>0</v>
          </cell>
          <cell r="L3457">
            <v>98.971999999999994</v>
          </cell>
          <cell r="M3457">
            <v>0</v>
          </cell>
          <cell r="N3457">
            <v>169.99</v>
          </cell>
          <cell r="O3457" t="str">
            <v>LOJA</v>
          </cell>
          <cell r="P3457">
            <v>159.99</v>
          </cell>
          <cell r="Q3457">
            <v>0.71755648062078203</v>
          </cell>
          <cell r="R3457">
            <v>0.71755648062078203</v>
          </cell>
          <cell r="S3457" t="e">
            <v>#VALUE!</v>
          </cell>
          <cell r="T3457" t="e">
            <v>#VALUE!</v>
          </cell>
        </row>
        <row r="3458">
          <cell r="A3458" t="str">
            <v>G251217GAG</v>
          </cell>
          <cell r="B3458" t="str">
            <v>MKP000631005409</v>
          </cell>
          <cell r="C3458" t="str">
            <v/>
          </cell>
          <cell r="D3458" t="str">
            <v>Armário Aéreo 120 cm 2 Portas Rustic/Crema Agata Madesa</v>
          </cell>
          <cell r="E3458" t="str">
            <v>ÁGATA</v>
          </cell>
          <cell r="F3458" t="str">
            <v>MODULAÇÃO</v>
          </cell>
          <cell r="G3458" t="str">
            <v/>
          </cell>
          <cell r="H3458">
            <v>629.99</v>
          </cell>
          <cell r="I3458">
            <v>529.99</v>
          </cell>
          <cell r="J3458">
            <v>307.46719999999999</v>
          </cell>
          <cell r="K3458">
            <v>0</v>
          </cell>
          <cell r="L3458">
            <v>307.46719999999999</v>
          </cell>
          <cell r="M3458">
            <v>0</v>
          </cell>
          <cell r="N3458">
            <v>529.99</v>
          </cell>
          <cell r="O3458" t="str">
            <v/>
          </cell>
          <cell r="P3458">
            <v>0</v>
          </cell>
          <cell r="Q3458">
            <v>0.72372857982900296</v>
          </cell>
          <cell r="R3458">
            <v>0.72372857982900296</v>
          </cell>
          <cell r="S3458" t="e">
            <v>#VALUE!</v>
          </cell>
          <cell r="T3458" t="e">
            <v>#VALUE!</v>
          </cell>
        </row>
        <row r="3459">
          <cell r="A3459" t="str">
            <v>G253506EAG</v>
          </cell>
          <cell r="B3459" t="str">
            <v>MKP000631004429</v>
          </cell>
          <cell r="C3459" t="str">
            <v/>
          </cell>
          <cell r="D3459" t="str">
            <v>Armário Aéreo Madesa Agata 35 cm 1 Porta Rustic/Branco</v>
          </cell>
          <cell r="E3459" t="str">
            <v>ÁGATA</v>
          </cell>
          <cell r="F3459" t="str">
            <v>MODULAÇÃO</v>
          </cell>
          <cell r="G3459" t="str">
            <v/>
          </cell>
          <cell r="H3459">
            <v>379.99</v>
          </cell>
          <cell r="I3459">
            <v>289.99</v>
          </cell>
          <cell r="J3459">
            <v>162.33369999999999</v>
          </cell>
          <cell r="K3459">
            <v>0</v>
          </cell>
          <cell r="L3459">
            <v>162.33369999999999</v>
          </cell>
          <cell r="M3459">
            <v>0</v>
          </cell>
          <cell r="N3459">
            <v>289.99</v>
          </cell>
          <cell r="O3459" t="str">
            <v/>
          </cell>
          <cell r="P3459">
            <v>0</v>
          </cell>
          <cell r="Q3459">
            <v>0.786382002011905</v>
          </cell>
          <cell r="R3459">
            <v>0.786382002011905</v>
          </cell>
          <cell r="S3459" t="e">
            <v>#VALUE!</v>
          </cell>
          <cell r="T3459" t="e">
            <v>#VALUE!</v>
          </cell>
        </row>
        <row r="3460">
          <cell r="A3460" t="str">
            <v>G22120H8LXCT</v>
          </cell>
          <cell r="B3460" t="str">
            <v>MKP000631005114</v>
          </cell>
          <cell r="C3460" t="str">
            <v/>
          </cell>
          <cell r="D3460" t="str">
            <v>Balcão de Pia 120 cm 2 Portas Rustic/Branco Veludo Lux Madesa</v>
          </cell>
          <cell r="E3460" t="str">
            <v>LUX</v>
          </cell>
          <cell r="F3460" t="str">
            <v>MODULAÇÃO</v>
          </cell>
          <cell r="G3460" t="str">
            <v/>
          </cell>
          <cell r="H3460">
            <v>1039.99</v>
          </cell>
          <cell r="I3460">
            <v>919.99</v>
          </cell>
          <cell r="J3460">
            <v>511.43889999999999</v>
          </cell>
          <cell r="K3460">
            <v>0</v>
          </cell>
          <cell r="L3460">
            <v>511.43889999999999</v>
          </cell>
          <cell r="M3460">
            <v>0</v>
          </cell>
          <cell r="N3460">
            <v>919.99</v>
          </cell>
          <cell r="O3460" t="str">
            <v>LOJA</v>
          </cell>
          <cell r="P3460">
            <v>899.99</v>
          </cell>
          <cell r="Q3460">
            <v>0.79882680022970498</v>
          </cell>
          <cell r="R3460">
            <v>0.79882680022970498</v>
          </cell>
          <cell r="S3460" t="e">
            <v>#VALUE!</v>
          </cell>
          <cell r="T3460" t="e">
            <v>#VALUE!</v>
          </cell>
        </row>
        <row r="3461">
          <cell r="A3461" t="str">
            <v>GCGL3490065Z</v>
          </cell>
          <cell r="B3461" t="str">
            <v>MKP000631005247</v>
          </cell>
          <cell r="C3461" t="str">
            <v/>
          </cell>
          <cell r="D3461" t="str">
            <v>Armário de Cozinha Completa de Canto 349cm Rustic Glamy Madesa 06</v>
          </cell>
          <cell r="E3461" t="str">
            <v>GLAMY</v>
          </cell>
          <cell r="F3461" t="str">
            <v>COZINHA</v>
          </cell>
          <cell r="G3461" t="str">
            <v/>
          </cell>
          <cell r="H3461">
            <v>2099.9899999999998</v>
          </cell>
          <cell r="I3461">
            <v>1999.99</v>
          </cell>
          <cell r="J3461">
            <v>1692.2249999999999</v>
          </cell>
          <cell r="K3461">
            <v>0</v>
          </cell>
          <cell r="L3461">
            <v>1692.2249999999999</v>
          </cell>
          <cell r="M3461">
            <v>0</v>
          </cell>
          <cell r="N3461">
            <v>1999.99</v>
          </cell>
          <cell r="O3461" t="str">
            <v/>
          </cell>
          <cell r="P3461">
            <v>0</v>
          </cell>
          <cell r="Q3461">
            <v>0.181870023194315</v>
          </cell>
          <cell r="R3461">
            <v>0.181870023194315</v>
          </cell>
          <cell r="S3461" t="e">
            <v>#VALUE!</v>
          </cell>
          <cell r="T3461" t="e">
            <v>#VALUE!</v>
          </cell>
        </row>
        <row r="3462">
          <cell r="A3462" t="str">
            <v>GRGL290013A5</v>
          </cell>
          <cell r="B3462" t="str">
            <v>MKP000631001260</v>
          </cell>
          <cell r="C3462" t="str">
            <v/>
          </cell>
          <cell r="D3462" t="str">
            <v>Armário de Cozinha Completa 290cm Branco/Branco/Crema Safira Madesa 13</v>
          </cell>
          <cell r="E3462" t="str">
            <v>SAFIRA/GLAMY</v>
          </cell>
          <cell r="F3462" t="str">
            <v>COZINHA</v>
          </cell>
          <cell r="G3462" t="str">
            <v/>
          </cell>
          <cell r="H3462">
            <v>2299.9899999999998</v>
          </cell>
          <cell r="I3462">
            <v>2199.9899999999998</v>
          </cell>
          <cell r="J3462">
            <v>1851.692</v>
          </cell>
          <cell r="K3462">
            <v>0</v>
          </cell>
          <cell r="L3462">
            <v>1851.692</v>
          </cell>
          <cell r="M3462">
            <v>0</v>
          </cell>
          <cell r="N3462">
            <v>2199.9899999999998</v>
          </cell>
          <cell r="O3462" t="str">
            <v/>
          </cell>
          <cell r="P3462">
            <v>0</v>
          </cell>
          <cell r="Q3462">
            <v>0.18809715654655301</v>
          </cell>
          <cell r="R3462">
            <v>0.18809715654655301</v>
          </cell>
          <cell r="S3462" t="e">
            <v>#VALUE!</v>
          </cell>
          <cell r="T3462" t="e">
            <v>#VALUE!</v>
          </cell>
        </row>
        <row r="3463">
          <cell r="A3463" t="str">
            <v>GRGL2900125Z</v>
          </cell>
          <cell r="B3463" t="str">
            <v>MKP000631001272</v>
          </cell>
          <cell r="C3463" t="str">
            <v/>
          </cell>
          <cell r="D3463" t="str">
            <v>Armário de Cozinha Completa 290cm Rustic Vicenza Madesa 12</v>
          </cell>
          <cell r="E3463" t="str">
            <v>VICENZA/GLAMY</v>
          </cell>
          <cell r="F3463" t="str">
            <v>COZINHA</v>
          </cell>
          <cell r="G3463" t="str">
            <v/>
          </cell>
          <cell r="H3463">
            <v>3299.99</v>
          </cell>
          <cell r="I3463">
            <v>2599.9899999999998</v>
          </cell>
          <cell r="J3463">
            <v>2167.4105</v>
          </cell>
          <cell r="K3463">
            <v>0</v>
          </cell>
          <cell r="L3463">
            <v>2167.4105</v>
          </cell>
          <cell r="M3463">
            <v>0</v>
          </cell>
          <cell r="N3463">
            <v>2599.9899999999998</v>
          </cell>
          <cell r="O3463" t="str">
            <v/>
          </cell>
          <cell r="P3463">
            <v>0</v>
          </cell>
          <cell r="Q3463">
            <v>0.19958355835223601</v>
          </cell>
          <cell r="R3463">
            <v>0.19958355835223601</v>
          </cell>
          <cell r="S3463" t="e">
            <v>#VALUE!</v>
          </cell>
          <cell r="T3463" t="e">
            <v>#VALUE!</v>
          </cell>
        </row>
        <row r="3464">
          <cell r="A3464" t="str">
            <v>GREM1050045Z</v>
          </cell>
          <cell r="B3464" t="str">
            <v>MKP000631006042</v>
          </cell>
          <cell r="C3464" t="str">
            <v/>
          </cell>
          <cell r="D3464" t="str">
            <v>Armário de Cozinha Compacta 105cm com Pia Rustic Emilly Madesa 04</v>
          </cell>
          <cell r="E3464" t="str">
            <v>EMILLY</v>
          </cell>
          <cell r="F3464" t="str">
            <v>COZINHA</v>
          </cell>
          <cell r="G3464" t="str">
            <v/>
          </cell>
          <cell r="H3464">
            <v>1029.99</v>
          </cell>
          <cell r="I3464">
            <v>929.99</v>
          </cell>
          <cell r="J3464">
            <v>762.91279999999995</v>
          </cell>
          <cell r="K3464">
            <v>0</v>
          </cell>
          <cell r="L3464">
            <v>762.91279999999995</v>
          </cell>
          <cell r="M3464">
            <v>0</v>
          </cell>
          <cell r="N3464">
            <v>929.99</v>
          </cell>
          <cell r="O3464" t="str">
            <v/>
          </cell>
          <cell r="P3464">
            <v>0</v>
          </cell>
          <cell r="Q3464">
            <v>0.21899907826949599</v>
          </cell>
          <cell r="R3464">
            <v>0.21899907826949599</v>
          </cell>
          <cell r="S3464" t="e">
            <v>#VALUE!</v>
          </cell>
          <cell r="T3464" t="e">
            <v>#VALUE!</v>
          </cell>
        </row>
        <row r="3465">
          <cell r="A3465" t="str">
            <v>GREM2610067K</v>
          </cell>
          <cell r="B3465" t="str">
            <v>MKP000631005158</v>
          </cell>
          <cell r="C3465" t="str">
            <v/>
          </cell>
          <cell r="D3465" t="str">
            <v>Armário de Cozinha Completa 261cm Rustic/Preto Emilly Madesa 06</v>
          </cell>
          <cell r="E3465" t="str">
            <v>EMILLY</v>
          </cell>
          <cell r="F3465" t="str">
            <v>COZINHA</v>
          </cell>
          <cell r="G3465" t="str">
            <v/>
          </cell>
          <cell r="H3465">
            <v>1479.99</v>
          </cell>
          <cell r="I3465">
            <v>1379.99</v>
          </cell>
          <cell r="J3465">
            <v>1119.1684</v>
          </cell>
          <cell r="K3465">
            <v>0</v>
          </cell>
          <cell r="L3465">
            <v>1119.1684</v>
          </cell>
          <cell r="M3465">
            <v>0</v>
          </cell>
          <cell r="N3465">
            <v>1379.99</v>
          </cell>
          <cell r="O3465" t="str">
            <v/>
          </cell>
          <cell r="P3465">
            <v>0</v>
          </cell>
          <cell r="Q3465">
            <v>0.233049467801271</v>
          </cell>
          <cell r="R3465">
            <v>0.233049467801271</v>
          </cell>
          <cell r="S3465" t="e">
            <v>#VALUE!</v>
          </cell>
          <cell r="T3465" t="e">
            <v>#VALUE!</v>
          </cell>
        </row>
        <row r="3466">
          <cell r="A3466" t="str">
            <v>GRGL2700099B</v>
          </cell>
          <cell r="B3466" t="str">
            <v>MKP000631001227</v>
          </cell>
          <cell r="C3466" t="str">
            <v/>
          </cell>
          <cell r="D3466" t="str">
            <v>Armário de Cozinha Completa 270cm Branco/Rustic Jade Madesa 09</v>
          </cell>
          <cell r="E3466" t="str">
            <v>JADE/GLAMY</v>
          </cell>
          <cell r="F3466" t="str">
            <v>COZINHA</v>
          </cell>
          <cell r="G3466" t="str">
            <v/>
          </cell>
          <cell r="H3466">
            <v>2699.99</v>
          </cell>
          <cell r="I3466">
            <v>2099.9899999999998</v>
          </cell>
          <cell r="J3466">
            <v>1727.3339000000001</v>
          </cell>
          <cell r="K3466">
            <v>0</v>
          </cell>
          <cell r="L3466">
            <v>1727.3339000000001</v>
          </cell>
          <cell r="M3466">
            <v>0</v>
          </cell>
          <cell r="N3466">
            <v>2099.9899999999998</v>
          </cell>
          <cell r="O3466" t="str">
            <v/>
          </cell>
          <cell r="P3466">
            <v>0</v>
          </cell>
          <cell r="Q3466">
            <v>0.21574062779639799</v>
          </cell>
          <cell r="R3466">
            <v>0.21574062779639799</v>
          </cell>
          <cell r="S3466" t="e">
            <v>#VALUE!</v>
          </cell>
          <cell r="T3466" t="e">
            <v>#VALUE!</v>
          </cell>
        </row>
        <row r="3467">
          <cell r="A3467" t="str">
            <v>XAGRGL28000409SR</v>
          </cell>
          <cell r="B3467" t="str">
            <v>MKP000631001969</v>
          </cell>
          <cell r="C3467" t="str">
            <v/>
          </cell>
          <cell r="D3467" t="str">
            <v>Armário de Cozinha Completa 280cm Branco Genova Madesa XASR</v>
          </cell>
          <cell r="E3467" t="str">
            <v>GENOVA/GLAMY</v>
          </cell>
          <cell r="F3467" t="str">
            <v>COZINHA</v>
          </cell>
          <cell r="G3467" t="str">
            <v/>
          </cell>
          <cell r="H3467">
            <v>2599.9899999999998</v>
          </cell>
          <cell r="I3467">
            <v>2499.9899999999998</v>
          </cell>
          <cell r="J3467">
            <v>2050.3009000000002</v>
          </cell>
          <cell r="K3467">
            <v>0</v>
          </cell>
          <cell r="L3467">
            <v>2050.3009000000002</v>
          </cell>
          <cell r="M3467">
            <v>0</v>
          </cell>
          <cell r="N3467">
            <v>2499.9899999999998</v>
          </cell>
          <cell r="O3467" t="str">
            <v/>
          </cell>
          <cell r="P3467">
            <v>0</v>
          </cell>
          <cell r="Q3467">
            <v>0.219328343464122</v>
          </cell>
          <cell r="R3467">
            <v>0.219328343464122</v>
          </cell>
          <cell r="S3467" t="e">
            <v>#VALUE!</v>
          </cell>
          <cell r="T3467" t="e">
            <v>#VALUE!</v>
          </cell>
        </row>
        <row r="3468">
          <cell r="A3468" t="str">
            <v>GRGL1800097K</v>
          </cell>
          <cell r="B3468" t="str">
            <v>MKP000631005227</v>
          </cell>
          <cell r="C3468" t="str">
            <v/>
          </cell>
          <cell r="D3468" t="str">
            <v>Armário de Cozinha Compacta 180cm Rustic/Preto Glamy Madesa 09</v>
          </cell>
          <cell r="E3468" t="str">
            <v>GLAMY</v>
          </cell>
          <cell r="F3468" t="str">
            <v>COZINHA</v>
          </cell>
          <cell r="G3468" t="str">
            <v/>
          </cell>
          <cell r="H3468">
            <v>1399.99</v>
          </cell>
          <cell r="I3468">
            <v>1299.99</v>
          </cell>
          <cell r="J3468">
            <v>1045.0156999999999</v>
          </cell>
          <cell r="K3468">
            <v>0</v>
          </cell>
          <cell r="L3468">
            <v>1045.0156999999999</v>
          </cell>
          <cell r="M3468">
            <v>0</v>
          </cell>
          <cell r="N3468">
            <v>1299.99</v>
          </cell>
          <cell r="O3468" t="str">
            <v/>
          </cell>
          <cell r="P3468">
            <v>0</v>
          </cell>
          <cell r="Q3468">
            <v>0.24399087975424699</v>
          </cell>
          <cell r="R3468">
            <v>0.24399087975424699</v>
          </cell>
          <cell r="S3468" t="e">
            <v>#VALUE!</v>
          </cell>
          <cell r="T3468" t="e">
            <v>#VALUE!</v>
          </cell>
        </row>
        <row r="3469">
          <cell r="A3469" t="str">
            <v>GRGL29000473</v>
          </cell>
          <cell r="B3469" t="str">
            <v>MKP000631001810</v>
          </cell>
          <cell r="C3469" t="str">
            <v/>
          </cell>
          <cell r="D3469" t="str">
            <v>Armário de Cozinha Completa 290cm Branco/Preto Safira Madesa 04</v>
          </cell>
          <cell r="E3469" t="str">
            <v>SAFIRA/GLAMY</v>
          </cell>
          <cell r="F3469" t="str">
            <v>COZINHA</v>
          </cell>
          <cell r="G3469" t="str">
            <v/>
          </cell>
          <cell r="H3469">
            <v>2699.99</v>
          </cell>
          <cell r="I3469">
            <v>2239.9899999999998</v>
          </cell>
          <cell r="J3469">
            <v>1743.5204000000001</v>
          </cell>
          <cell r="K3469">
            <v>0</v>
          </cell>
          <cell r="L3469">
            <v>1743.5204000000001</v>
          </cell>
          <cell r="M3469">
            <v>0</v>
          </cell>
          <cell r="N3469">
            <v>2239.9899999999998</v>
          </cell>
          <cell r="O3469" t="str">
            <v/>
          </cell>
          <cell r="P3469">
            <v>0</v>
          </cell>
          <cell r="Q3469">
            <v>0.28475124237146798</v>
          </cell>
          <cell r="R3469">
            <v>0.28475124237146798</v>
          </cell>
          <cell r="S3469" t="e">
            <v>#VALUE!</v>
          </cell>
          <cell r="T3469" t="e">
            <v>#VALUE!</v>
          </cell>
        </row>
        <row r="3470">
          <cell r="A3470" t="str">
            <v>MDJA0401707GFBM</v>
          </cell>
          <cell r="B3470" t="str">
            <v>MKP000631005738</v>
          </cell>
          <cell r="C3470" t="str">
            <v/>
          </cell>
          <cell r="D3470" t="str">
            <v>Conjunto Sala de Jantar Mesa Tampo de Madeira 4 Cadeiras Rustic/Crema/Bege Marrom Sophie Madesa</v>
          </cell>
          <cell r="E3470" t="str">
            <v>SOPHIE</v>
          </cell>
          <cell r="F3470" t="str">
            <v>SALA DE JANTAR</v>
          </cell>
          <cell r="G3470" t="str">
            <v>4291X</v>
          </cell>
          <cell r="H3470">
            <v>699.99</v>
          </cell>
          <cell r="I3470">
            <v>599.99</v>
          </cell>
          <cell r="J3470">
            <v>466.19299999999998</v>
          </cell>
          <cell r="K3470">
            <v>0</v>
          </cell>
          <cell r="L3470">
            <v>466.19299999999998</v>
          </cell>
          <cell r="M3470">
            <v>0</v>
          </cell>
          <cell r="N3470">
            <v>599.99</v>
          </cell>
          <cell r="O3470" t="str">
            <v/>
          </cell>
          <cell r="P3470">
            <v>0</v>
          </cell>
          <cell r="Q3470">
            <v>0.28699916129156799</v>
          </cell>
          <cell r="R3470">
            <v>0.28699916129156799</v>
          </cell>
          <cell r="S3470" t="e">
            <v>#VALUE!</v>
          </cell>
          <cell r="T3470" t="e">
            <v>#VALUE!</v>
          </cell>
        </row>
        <row r="3471">
          <cell r="A3471" t="str">
            <v>MDJA040157F9FBM</v>
          </cell>
          <cell r="B3471" t="str">
            <v>MKP000631005550</v>
          </cell>
          <cell r="C3471" t="str">
            <v/>
          </cell>
          <cell r="D3471" t="str">
            <v>Conjunto Sala de Jantar Mesa Tampo de Madeira 4 Cadeiras Rustic/Cinza/Bege Marrom Samara Madesa</v>
          </cell>
          <cell r="E3471" t="str">
            <v>SAMARA</v>
          </cell>
          <cell r="F3471" t="str">
            <v>SALA DE JANTAR</v>
          </cell>
          <cell r="G3471" t="str">
            <v>4290X</v>
          </cell>
          <cell r="H3471">
            <v>619.99</v>
          </cell>
          <cell r="I3471">
            <v>519.99</v>
          </cell>
          <cell r="J3471">
            <v>400.13900000000001</v>
          </cell>
          <cell r="K3471">
            <v>0</v>
          </cell>
          <cell r="L3471">
            <v>400.13900000000001</v>
          </cell>
          <cell r="M3471">
            <v>0</v>
          </cell>
          <cell r="N3471">
            <v>519.99</v>
          </cell>
          <cell r="O3471" t="str">
            <v/>
          </cell>
          <cell r="P3471">
            <v>0</v>
          </cell>
          <cell r="Q3471">
            <v>0.299523415613074</v>
          </cell>
          <cell r="R3471">
            <v>0.299523415613074</v>
          </cell>
          <cell r="S3471" t="e">
            <v>#VALUE!</v>
          </cell>
          <cell r="T3471" t="e">
            <v>#VALUE!</v>
          </cell>
        </row>
        <row r="3472">
          <cell r="A3472" t="str">
            <v>MDJA0401577KFLH</v>
          </cell>
          <cell r="B3472" t="str">
            <v>MKP000631005539</v>
          </cell>
          <cell r="C3472" t="str">
            <v/>
          </cell>
          <cell r="D3472" t="str">
            <v>Conjunto Sala de Jantar Mesa Tampo de Madeira 4 Cadeiras Rustic/Preto/Floral Hibiscos Samara Madesa</v>
          </cell>
          <cell r="E3472" t="str">
            <v>SAMARA</v>
          </cell>
          <cell r="F3472" t="str">
            <v>SALA DE JANTAR</v>
          </cell>
          <cell r="G3472" t="str">
            <v>4290X</v>
          </cell>
          <cell r="H3472">
            <v>619.99</v>
          </cell>
          <cell r="I3472">
            <v>519.99</v>
          </cell>
          <cell r="J3472">
            <v>400.13900000000001</v>
          </cell>
          <cell r="K3472">
            <v>0</v>
          </cell>
          <cell r="L3472">
            <v>400.13900000000001</v>
          </cell>
          <cell r="M3472">
            <v>0</v>
          </cell>
          <cell r="N3472">
            <v>519.99</v>
          </cell>
          <cell r="O3472" t="str">
            <v/>
          </cell>
          <cell r="P3472">
            <v>0</v>
          </cell>
          <cell r="Q3472">
            <v>0.299523415613074</v>
          </cell>
          <cell r="R3472">
            <v>0.299523415613074</v>
          </cell>
          <cell r="S3472" t="e">
            <v>#VALUE!</v>
          </cell>
          <cell r="T3472" t="e">
            <v>#VALUE!</v>
          </cell>
        </row>
        <row r="3473">
          <cell r="A3473" t="str">
            <v>G241235ZTECT</v>
          </cell>
          <cell r="B3473" t="str">
            <v>MKP000631005816</v>
          </cell>
          <cell r="C3473" t="str">
            <v/>
          </cell>
          <cell r="D3473" t="str">
            <v>Balcão Gabinete de Pia 120 cm 1 Portas e 2 Gavetas (Com Tampo) Rustic Stella Madesa</v>
          </cell>
          <cell r="E3473" t="str">
            <v>STELLA</v>
          </cell>
          <cell r="F3473" t="str">
            <v>MODULAÇÃO</v>
          </cell>
          <cell r="G3473" t="str">
            <v/>
          </cell>
          <cell r="H3473">
            <v>699.99</v>
          </cell>
          <cell r="I3473">
            <v>679.99</v>
          </cell>
          <cell r="J3473">
            <v>520.43140000000005</v>
          </cell>
          <cell r="K3473">
            <v>0</v>
          </cell>
          <cell r="L3473">
            <v>520.43140000000005</v>
          </cell>
          <cell r="M3473">
            <v>0</v>
          </cell>
          <cell r="N3473">
            <v>679.99</v>
          </cell>
          <cell r="O3473" t="str">
            <v/>
          </cell>
          <cell r="P3473">
            <v>0</v>
          </cell>
          <cell r="Q3473">
            <v>0.30658911049563897</v>
          </cell>
          <cell r="R3473">
            <v>0.30658911049563897</v>
          </cell>
          <cell r="S3473" t="e">
            <v>#VALUE!</v>
          </cell>
          <cell r="T3473" t="e">
            <v>#VALUE!</v>
          </cell>
        </row>
        <row r="3474">
          <cell r="A3474" t="str">
            <v>GREM1050035Z</v>
          </cell>
          <cell r="B3474" t="str">
            <v>MKP000631005960</v>
          </cell>
          <cell r="C3474" t="str">
            <v/>
          </cell>
          <cell r="D3474" t="str">
            <v>Armário de Cozinha Compacta 105cm Rustic Emilly Madesa 03</v>
          </cell>
          <cell r="E3474" t="str">
            <v>EMILLY</v>
          </cell>
          <cell r="F3474" t="str">
            <v>COZINHA</v>
          </cell>
          <cell r="G3474" t="str">
            <v/>
          </cell>
          <cell r="H3474">
            <v>669.99</v>
          </cell>
          <cell r="I3474">
            <v>569.99</v>
          </cell>
          <cell r="J3474">
            <v>423.69389999999999</v>
          </cell>
          <cell r="K3474">
            <v>0</v>
          </cell>
          <cell r="L3474">
            <v>423.69389999999999</v>
          </cell>
          <cell r="M3474">
            <v>0</v>
          </cell>
          <cell r="N3474">
            <v>569.99</v>
          </cell>
          <cell r="O3474" t="str">
            <v/>
          </cell>
          <cell r="P3474">
            <v>0</v>
          </cell>
          <cell r="Q3474">
            <v>0.34528724628794499</v>
          </cell>
          <cell r="R3474">
            <v>0.34528724628794499</v>
          </cell>
          <cell r="S3474" t="e">
            <v>#VALUE!</v>
          </cell>
          <cell r="T3474" t="e">
            <v>#VALUE!</v>
          </cell>
        </row>
        <row r="3475">
          <cell r="A3475" t="str">
            <v>G228007KFF</v>
          </cell>
          <cell r="B3475" t="str">
            <v>MKP000631006036</v>
          </cell>
          <cell r="C3475" t="str">
            <v/>
          </cell>
          <cell r="D3475" t="str">
            <v>Balcão para Forno de Embutir 80 x 60 cm Sem Tampo Rustic/Preto Agata, Glamy, Stella Madesa</v>
          </cell>
          <cell r="E3475" t="str">
            <v>PR</v>
          </cell>
          <cell r="F3475" t="str">
            <v>MODULAÇÃO</v>
          </cell>
          <cell r="G3475" t="str">
            <v/>
          </cell>
          <cell r="H3475">
            <v>449.99</v>
          </cell>
          <cell r="I3475">
            <v>449.99</v>
          </cell>
          <cell r="J3475">
            <v>301.64659999999998</v>
          </cell>
          <cell r="K3475">
            <v>0</v>
          </cell>
          <cell r="L3475">
            <v>301.64659999999998</v>
          </cell>
          <cell r="M3475">
            <v>0</v>
          </cell>
          <cell r="N3475">
            <v>449.99</v>
          </cell>
          <cell r="O3475" t="str">
            <v/>
          </cell>
          <cell r="P3475">
            <v>0</v>
          </cell>
          <cell r="Q3475">
            <v>0.49177879014714598</v>
          </cell>
          <cell r="R3475">
            <v>0.49177879014714598</v>
          </cell>
          <cell r="S3475" t="e">
            <v>#VALUE!</v>
          </cell>
          <cell r="T3475" t="e">
            <v>#VALUE!</v>
          </cell>
        </row>
        <row r="3476">
          <cell r="A3476" t="str">
            <v>G2440173GL</v>
          </cell>
          <cell r="B3476" t="str">
            <v>MKP000631002842</v>
          </cell>
          <cell r="C3476" t="str">
            <v/>
          </cell>
          <cell r="D3476" t="str">
            <v>Balcão Madesa Glamy 40 cm 3 Gavetas Branco/Preto</v>
          </cell>
          <cell r="E3476" t="str">
            <v>GLAMY</v>
          </cell>
          <cell r="F3476" t="str">
            <v>MODULAÇÃO</v>
          </cell>
          <cell r="G3476" t="str">
            <v/>
          </cell>
          <cell r="H3476">
            <v>979.99</v>
          </cell>
          <cell r="I3476">
            <v>529.99</v>
          </cell>
          <cell r="J3476">
            <v>348.39670000000001</v>
          </cell>
          <cell r="K3476">
            <v>0</v>
          </cell>
          <cell r="L3476">
            <v>348.39670000000001</v>
          </cell>
          <cell r="M3476">
            <v>0</v>
          </cell>
          <cell r="N3476">
            <v>529.99</v>
          </cell>
          <cell r="O3476" t="str">
            <v/>
          </cell>
          <cell r="P3476">
            <v>0</v>
          </cell>
          <cell r="Q3476">
            <v>0.52122566028897499</v>
          </cell>
          <cell r="R3476">
            <v>0.52122566028897499</v>
          </cell>
          <cell r="S3476" t="e">
            <v>#VALUE!</v>
          </cell>
          <cell r="T3476" t="e">
            <v>#VALUE!</v>
          </cell>
        </row>
        <row r="3477">
          <cell r="A3477" t="str">
            <v>G2512173GL</v>
          </cell>
          <cell r="B3477" t="str">
            <v>MKP000631001153</v>
          </cell>
          <cell r="C3477" t="str">
            <v/>
          </cell>
          <cell r="D3477" t="str">
            <v>Armário Aéreo Madesa Glamy 120 cm 2 Portas Branco/Preto</v>
          </cell>
          <cell r="E3477" t="str">
            <v>GLAMY</v>
          </cell>
          <cell r="F3477" t="str">
            <v>MODULAÇÃO</v>
          </cell>
          <cell r="G3477" t="str">
            <v/>
          </cell>
          <cell r="H3477">
            <v>839.99</v>
          </cell>
          <cell r="I3477">
            <v>519.99</v>
          </cell>
          <cell r="J3477">
            <v>328.85300000000001</v>
          </cell>
          <cell r="K3477">
            <v>0</v>
          </cell>
          <cell r="L3477">
            <v>328.85300000000001</v>
          </cell>
          <cell r="M3477">
            <v>0</v>
          </cell>
          <cell r="N3477">
            <v>519.99</v>
          </cell>
          <cell r="O3477" t="str">
            <v/>
          </cell>
          <cell r="P3477">
            <v>0</v>
          </cell>
          <cell r="Q3477">
            <v>0.58122322131773196</v>
          </cell>
          <cell r="R3477">
            <v>0.58122322131773196</v>
          </cell>
          <cell r="S3477" t="e">
            <v>#VALUE!</v>
          </cell>
          <cell r="T3477" t="e">
            <v>#VALUE!</v>
          </cell>
        </row>
        <row r="3478">
          <cell r="A3478" t="str">
            <v>G2480209AG</v>
          </cell>
          <cell r="B3478" t="str">
            <v>MKP000631005251</v>
          </cell>
          <cell r="C3478" t="str">
            <v/>
          </cell>
          <cell r="D3478" t="str">
            <v>Balcão 80 cm 2 Gavetas Branco Agata Madesa</v>
          </cell>
          <cell r="E3478" t="str">
            <v>ÁGATA</v>
          </cell>
          <cell r="F3478" t="str">
            <v>MODULAÇÃO</v>
          </cell>
          <cell r="G3478" t="str">
            <v/>
          </cell>
          <cell r="H3478">
            <v>689.99</v>
          </cell>
          <cell r="I3478">
            <v>589.99</v>
          </cell>
          <cell r="J3478">
            <v>369.84789999999998</v>
          </cell>
          <cell r="K3478">
            <v>0</v>
          </cell>
          <cell r="L3478">
            <v>369.84789999999998</v>
          </cell>
          <cell r="M3478">
            <v>0</v>
          </cell>
          <cell r="N3478">
            <v>589.99</v>
          </cell>
          <cell r="O3478" t="str">
            <v/>
          </cell>
          <cell r="P3478">
            <v>0</v>
          </cell>
          <cell r="Q3478">
            <v>0.59522333370015101</v>
          </cell>
          <cell r="R3478">
            <v>0.59522333370015101</v>
          </cell>
          <cell r="S3478" t="e">
            <v>#VALUE!</v>
          </cell>
          <cell r="T3478" t="e">
            <v>#VALUE!</v>
          </cell>
        </row>
        <row r="3479">
          <cell r="A3479" t="str">
            <v>G251539BGL</v>
          </cell>
          <cell r="B3479" t="str">
            <v>MKP000631004706</v>
          </cell>
          <cell r="C3479" t="str">
            <v/>
          </cell>
          <cell r="D3479" t="str">
            <v>Armário Aéreo Madesa Glamy 150 cm 2 Portas e 2 Nichos Branco/Rustic</v>
          </cell>
          <cell r="E3479" t="str">
            <v>GLAMY</v>
          </cell>
          <cell r="F3479" t="str">
            <v>MODULAÇÃO</v>
          </cell>
          <cell r="G3479" t="str">
            <v/>
          </cell>
          <cell r="H3479">
            <v>949.99</v>
          </cell>
          <cell r="I3479">
            <v>589.99</v>
          </cell>
          <cell r="J3479">
            <v>361.16059999999999</v>
          </cell>
          <cell r="K3479">
            <v>0</v>
          </cell>
          <cell r="L3479">
            <v>361.16059999999999</v>
          </cell>
          <cell r="M3479">
            <v>0</v>
          </cell>
          <cell r="N3479">
            <v>589.99</v>
          </cell>
          <cell r="O3479" t="str">
            <v/>
          </cell>
          <cell r="P3479">
            <v>0</v>
          </cell>
          <cell r="Q3479">
            <v>0.63359458368382404</v>
          </cell>
          <cell r="R3479">
            <v>0.63359458368382404</v>
          </cell>
          <cell r="S3479" t="e">
            <v>#VALUE!</v>
          </cell>
          <cell r="T3479" t="e">
            <v>#VALUE!</v>
          </cell>
        </row>
        <row r="3480">
          <cell r="A3480" t="str">
            <v>52755Z2</v>
          </cell>
          <cell r="B3480" t="str">
            <v>MKP000631000112</v>
          </cell>
          <cell r="C3480" t="str">
            <v/>
          </cell>
          <cell r="D3480" t="str">
            <v>Mesa de Jantar Retangular Tampo de Madeira Rustic 5275 Madesa</v>
          </cell>
          <cell r="E3480">
            <v>5275</v>
          </cell>
          <cell r="F3480" t="str">
            <v>SALA DE JANTAR</v>
          </cell>
          <cell r="G3480" t="str">
            <v/>
          </cell>
          <cell r="H3480">
            <v>669.99</v>
          </cell>
          <cell r="I3480">
            <v>539.99</v>
          </cell>
          <cell r="J3480">
            <v>282.83319999999998</v>
          </cell>
          <cell r="K3480">
            <v>0</v>
          </cell>
          <cell r="L3480">
            <v>282.83319999999998</v>
          </cell>
          <cell r="M3480">
            <v>0</v>
          </cell>
          <cell r="N3480">
            <v>539.99</v>
          </cell>
          <cell r="O3480" t="str">
            <v/>
          </cell>
          <cell r="P3480">
            <v>0</v>
          </cell>
          <cell r="Q3480">
            <v>0.90921716403873398</v>
          </cell>
          <cell r="R3480">
            <v>0.90921716403873398</v>
          </cell>
          <cell r="S3480" t="e">
            <v>#VALUE!</v>
          </cell>
          <cell r="T3480" t="e">
            <v>#VALUE!</v>
          </cell>
        </row>
        <row r="3481">
          <cell r="A3481" t="str">
            <v>GRLX240005H7</v>
          </cell>
          <cell r="B3481" t="str">
            <v>MKP000631004852</v>
          </cell>
          <cell r="C3481" t="str">
            <v/>
          </cell>
          <cell r="D3481" t="str">
            <v>Armário de Cozinha Completa 240cm Branco Veludo Lux Madesa 05</v>
          </cell>
          <cell r="E3481" t="str">
            <v>LUX</v>
          </cell>
          <cell r="F3481" t="str">
            <v>COZINHA</v>
          </cell>
          <cell r="G3481" t="str">
            <v/>
          </cell>
          <cell r="H3481">
            <v>3379.99</v>
          </cell>
          <cell r="I3481">
            <v>3279.99</v>
          </cell>
          <cell r="J3481">
            <v>1795.4262000000001</v>
          </cell>
          <cell r="K3481">
            <v>0</v>
          </cell>
          <cell r="L3481">
            <v>1795.4262000000001</v>
          </cell>
          <cell r="M3481">
            <v>0</v>
          </cell>
          <cell r="N3481">
            <v>3279.99</v>
          </cell>
          <cell r="O3481" t="str">
            <v>LOJA</v>
          </cell>
          <cell r="P3481">
            <v>2879.99</v>
          </cell>
          <cell r="Q3481">
            <v>0.826858714660619</v>
          </cell>
          <cell r="R3481">
            <v>0.826858714660619</v>
          </cell>
          <cell r="S3481" t="e">
            <v>#VALUE!</v>
          </cell>
          <cell r="T3481" t="e">
            <v>#VALUE!</v>
          </cell>
        </row>
        <row r="3482">
          <cell r="A3482" t="str">
            <v>GRLX260003H7</v>
          </cell>
          <cell r="B3482" t="str">
            <v>MKP000631003770</v>
          </cell>
          <cell r="C3482" t="str">
            <v/>
          </cell>
          <cell r="D3482" t="str">
            <v>Armário de Cozinha Completa 260cm Branco Branco Veludo Lux Madesa 03</v>
          </cell>
          <cell r="E3482" t="str">
            <v>LUX</v>
          </cell>
          <cell r="F3482" t="str">
            <v>COZINHA</v>
          </cell>
          <cell r="G3482" t="str">
            <v/>
          </cell>
          <cell r="H3482">
            <v>3039.99</v>
          </cell>
          <cell r="I3482">
            <v>2939.99</v>
          </cell>
          <cell r="J3482">
            <v>1593.2747999999999</v>
          </cell>
          <cell r="K3482">
            <v>0</v>
          </cell>
          <cell r="L3482">
            <v>1593.2747999999999</v>
          </cell>
          <cell r="M3482">
            <v>0</v>
          </cell>
          <cell r="N3482">
            <v>2939.99</v>
          </cell>
          <cell r="O3482" t="str">
            <v>LOJA</v>
          </cell>
          <cell r="P3482">
            <v>2579.9899999999998</v>
          </cell>
          <cell r="Q3482">
            <v>0.84524979620590202</v>
          </cell>
          <cell r="R3482">
            <v>0.84524979620590202</v>
          </cell>
          <cell r="S3482" t="e">
            <v>#VALUE!</v>
          </cell>
          <cell r="T3482" t="e">
            <v>#VALUE!</v>
          </cell>
        </row>
        <row r="3483">
          <cell r="A3483" t="str">
            <v>G2260173LX</v>
          </cell>
          <cell r="B3483" t="str">
            <v>MKP000631003263</v>
          </cell>
          <cell r="C3483" t="str">
            <v/>
          </cell>
          <cell r="D3483" t="str">
            <v>Balcão Madesa Lux 60 cm 3 Gavetas (Sem Tampo) Branco/Preto</v>
          </cell>
          <cell r="E3483" t="str">
            <v>LUX</v>
          </cell>
          <cell r="F3483" t="str">
            <v>MODULAÇÃO</v>
          </cell>
          <cell r="G3483" t="str">
            <v/>
          </cell>
          <cell r="H3483">
            <v>1259.99</v>
          </cell>
          <cell r="I3483">
            <v>959.99</v>
          </cell>
          <cell r="J3483">
            <v>509.37880000000001</v>
          </cell>
          <cell r="K3483">
            <v>0</v>
          </cell>
          <cell r="L3483">
            <v>509.37880000000001</v>
          </cell>
          <cell r="M3483">
            <v>0</v>
          </cell>
          <cell r="N3483">
            <v>959.99</v>
          </cell>
          <cell r="O3483" t="str">
            <v>LOJA</v>
          </cell>
          <cell r="P3483">
            <v>949.99</v>
          </cell>
          <cell r="Q3483">
            <v>0.88462888522255001</v>
          </cell>
          <cell r="R3483">
            <v>0.88462888522255001</v>
          </cell>
          <cell r="S3483" t="e">
            <v>#VALUE!</v>
          </cell>
          <cell r="T3483" t="e">
            <v>#VALUE!</v>
          </cell>
        </row>
        <row r="3484">
          <cell r="A3484" t="str">
            <v>G272005ZPR</v>
          </cell>
          <cell r="B3484" t="str">
            <v>MKP000631002741</v>
          </cell>
          <cell r="C3484" t="str">
            <v/>
          </cell>
          <cell r="D3484" t="str">
            <v>Tampo para Balcão de 20 x 60 cm para Cozinhas Madesa Glamy, Lux e Stella Rustic</v>
          </cell>
          <cell r="E3484" t="str">
            <v>PR</v>
          </cell>
          <cell r="F3484" t="str">
            <v>MODULAÇÃO</v>
          </cell>
          <cell r="G3484" t="str">
            <v/>
          </cell>
          <cell r="H3484">
            <v>279.99</v>
          </cell>
          <cell r="I3484">
            <v>99.99</v>
          </cell>
          <cell r="J3484">
            <v>51.295400000000001</v>
          </cell>
          <cell r="K3484">
            <v>0</v>
          </cell>
          <cell r="L3484">
            <v>51.295400000000001</v>
          </cell>
          <cell r="M3484">
            <v>0</v>
          </cell>
          <cell r="N3484">
            <v>99.99</v>
          </cell>
          <cell r="O3484" t="str">
            <v/>
          </cell>
          <cell r="P3484">
            <v>0</v>
          </cell>
          <cell r="Q3484">
            <v>0.949297597835283</v>
          </cell>
          <cell r="R3484">
            <v>0.949297597835283</v>
          </cell>
          <cell r="S3484" t="e">
            <v>#VALUE!</v>
          </cell>
          <cell r="T3484" t="e">
            <v>#VALUE!</v>
          </cell>
        </row>
        <row r="3485">
          <cell r="A3485" t="str">
            <v>GREM2930109B</v>
          </cell>
          <cell r="B3485" t="str">
            <v>MKP000631005870</v>
          </cell>
          <cell r="C3485" t="str">
            <v/>
          </cell>
          <cell r="D3485" t="str">
            <v>Armário de Cozinha Completa 293cm Rustic/Branco Emilly Madesa 10</v>
          </cell>
          <cell r="E3485" t="str">
            <v>EMILLY</v>
          </cell>
          <cell r="F3485" t="str">
            <v>COZINHA</v>
          </cell>
          <cell r="G3485" t="str">
            <v/>
          </cell>
          <cell r="H3485">
            <v>1249.99</v>
          </cell>
          <cell r="I3485">
            <v>1149.99</v>
          </cell>
          <cell r="J3485">
            <v>910.59690000000001</v>
          </cell>
          <cell r="K3485">
            <v>0</v>
          </cell>
          <cell r="L3485">
            <v>910.59690000000001</v>
          </cell>
          <cell r="M3485">
            <v>0</v>
          </cell>
          <cell r="N3485">
            <v>1149.99</v>
          </cell>
          <cell r="O3485" t="str">
            <v/>
          </cell>
          <cell r="P3485">
            <v>0</v>
          </cell>
          <cell r="Q3485">
            <v>0.262896897628358</v>
          </cell>
          <cell r="R3485">
            <v>0.262896897628358</v>
          </cell>
          <cell r="S3485" t="e">
            <v>#VALUE!</v>
          </cell>
          <cell r="T3485" t="e">
            <v>#VALUE!</v>
          </cell>
        </row>
        <row r="3486">
          <cell r="A3486" t="str">
            <v>GRGL220003A8</v>
          </cell>
          <cell r="B3486" t="str">
            <v>MKP000631001249</v>
          </cell>
          <cell r="C3486" t="str">
            <v/>
          </cell>
          <cell r="D3486" t="str">
            <v>Armário de Cozinha Completa 220cm Branco/Rustic/Branco Parma Madesa 03</v>
          </cell>
          <cell r="E3486" t="str">
            <v>PARMA/GLAMY</v>
          </cell>
          <cell r="F3486" t="str">
            <v>COZINHA</v>
          </cell>
          <cell r="G3486" t="str">
            <v/>
          </cell>
          <cell r="H3486">
            <v>1899.99</v>
          </cell>
          <cell r="I3486">
            <v>1799.99</v>
          </cell>
          <cell r="J3486">
            <v>1541.2927</v>
          </cell>
          <cell r="K3486">
            <v>0</v>
          </cell>
          <cell r="L3486">
            <v>1541.2927</v>
          </cell>
          <cell r="M3486">
            <v>0</v>
          </cell>
          <cell r="N3486">
            <v>1799.99</v>
          </cell>
          <cell r="O3486" t="str">
            <v/>
          </cell>
          <cell r="P3486">
            <v>0</v>
          </cell>
          <cell r="Q3486">
            <v>0.16784436856153301</v>
          </cell>
          <cell r="R3486">
            <v>0.16784436856153301</v>
          </cell>
          <cell r="S3486" t="e">
            <v>#VALUE!</v>
          </cell>
          <cell r="T3486" t="e">
            <v>#VALUE!</v>
          </cell>
        </row>
        <row r="3487">
          <cell r="A3487" t="str">
            <v>GRTE3300046E</v>
          </cell>
          <cell r="B3487" t="str">
            <v>MKP000631005942</v>
          </cell>
          <cell r="C3487" t="str">
            <v/>
          </cell>
          <cell r="D3487" t="str">
            <v>Armário de Cozinha Completa 330cm Rustic/Branco Stella Madesa 04</v>
          </cell>
          <cell r="E3487" t="str">
            <v>STELLA</v>
          </cell>
          <cell r="F3487" t="str">
            <v>COZINHA</v>
          </cell>
          <cell r="G3487" t="str">
            <v/>
          </cell>
          <cell r="H3487">
            <v>2349.9899999999998</v>
          </cell>
          <cell r="I3487">
            <v>2249.9899999999998</v>
          </cell>
          <cell r="J3487">
            <v>1916.9394</v>
          </cell>
          <cell r="K3487">
            <v>0</v>
          </cell>
          <cell r="L3487">
            <v>1916.9394</v>
          </cell>
          <cell r="M3487">
            <v>0</v>
          </cell>
          <cell r="N3487">
            <v>2249.9899999999998</v>
          </cell>
          <cell r="O3487" t="str">
            <v/>
          </cell>
          <cell r="P3487">
            <v>0</v>
          </cell>
          <cell r="Q3487">
            <v>0.173740807873217</v>
          </cell>
          <cell r="R3487">
            <v>0.173740807873217</v>
          </cell>
          <cell r="S3487" t="e">
            <v>#VALUE!</v>
          </cell>
          <cell r="T3487" t="e">
            <v>#VALUE!</v>
          </cell>
        </row>
        <row r="3488">
          <cell r="A3488" t="str">
            <v>MDJA040172D8SIM</v>
          </cell>
          <cell r="B3488" t="str">
            <v>MKP000631005900</v>
          </cell>
          <cell r="C3488" t="str">
            <v/>
          </cell>
          <cell r="D3488" t="str">
            <v>Conjunto Sala de Jantar Mesa Tampo de Vidro 4 Cadeiras Rustic/Preto/Imperial Ivy Madesa</v>
          </cell>
          <cell r="E3488" t="str">
            <v>IVY</v>
          </cell>
          <cell r="F3488" t="str">
            <v>SALA DE JANTAR</v>
          </cell>
          <cell r="G3488">
            <v>4255</v>
          </cell>
          <cell r="H3488">
            <v>1039.99</v>
          </cell>
          <cell r="I3488">
            <v>1049.99</v>
          </cell>
          <cell r="J3488">
            <v>757.6481</v>
          </cell>
          <cell r="K3488">
            <v>0</v>
          </cell>
          <cell r="L3488">
            <v>757.6481</v>
          </cell>
          <cell r="M3488">
            <v>0</v>
          </cell>
          <cell r="N3488">
            <v>1049.99</v>
          </cell>
          <cell r="O3488" t="str">
            <v>CAMICADO</v>
          </cell>
          <cell r="P3488">
            <v>939.99</v>
          </cell>
          <cell r="Q3488">
            <v>0.38585446198571599</v>
          </cell>
          <cell r="R3488">
            <v>0.38585446198571599</v>
          </cell>
          <cell r="S3488" t="e">
            <v>#VALUE!</v>
          </cell>
          <cell r="T3488" t="e">
            <v>#VALUE!</v>
          </cell>
        </row>
        <row r="3489">
          <cell r="A3489" t="str">
            <v>GCEM417001J1</v>
          </cell>
          <cell r="B3489" t="str">
            <v>MKP000631005597</v>
          </cell>
          <cell r="C3489" t="str">
            <v/>
          </cell>
          <cell r="D3489" t="str">
            <v>Armário de Cozinha Completa de Canto 417cm Rustic/Cinza Emilly Ice Madesa</v>
          </cell>
          <cell r="E3489" t="str">
            <v>ICE/EMILLY</v>
          </cell>
          <cell r="F3489" t="str">
            <v>COZINHA</v>
          </cell>
          <cell r="G3489" t="str">
            <v/>
          </cell>
          <cell r="H3489">
            <v>1799.99</v>
          </cell>
          <cell r="I3489">
            <v>1499.99</v>
          </cell>
          <cell r="J3489">
            <v>1217.7262000000001</v>
          </cell>
          <cell r="K3489">
            <v>0</v>
          </cell>
          <cell r="L3489">
            <v>1217.7262000000001</v>
          </cell>
          <cell r="M3489">
            <v>0</v>
          </cell>
          <cell r="N3489">
            <v>1499.99</v>
          </cell>
          <cell r="O3489" t="str">
            <v/>
          </cell>
          <cell r="P3489">
            <v>0</v>
          </cell>
          <cell r="Q3489">
            <v>0.23179578463533099</v>
          </cell>
          <cell r="R3489">
            <v>0.23179578463533099</v>
          </cell>
          <cell r="S3489" t="e">
            <v>#VALUE!</v>
          </cell>
          <cell r="T3489" t="e">
            <v>#VALUE!</v>
          </cell>
        </row>
        <row r="3490">
          <cell r="A3490" t="str">
            <v>GRGL270008A7</v>
          </cell>
          <cell r="B3490" t="str">
            <v>MKP000631001225</v>
          </cell>
          <cell r="C3490" t="str">
            <v/>
          </cell>
          <cell r="D3490" t="str">
            <v>Armário de Cozinha Completa 270cm Rustic/Branco/Crema Jade Madesa 08</v>
          </cell>
          <cell r="E3490" t="str">
            <v>JADE/GLAMY</v>
          </cell>
          <cell r="F3490" t="str">
            <v>COZINHA</v>
          </cell>
          <cell r="G3490" t="str">
            <v/>
          </cell>
          <cell r="H3490">
            <v>2799.99</v>
          </cell>
          <cell r="I3490">
            <v>2099.9899999999998</v>
          </cell>
          <cell r="J3490">
            <v>1744.8065999999999</v>
          </cell>
          <cell r="K3490">
            <v>0</v>
          </cell>
          <cell r="L3490">
            <v>1744.8065999999999</v>
          </cell>
          <cell r="M3490">
            <v>0</v>
          </cell>
          <cell r="N3490">
            <v>2099.9899999999998</v>
          </cell>
          <cell r="O3490" t="str">
            <v/>
          </cell>
          <cell r="P3490">
            <v>0</v>
          </cell>
          <cell r="Q3490">
            <v>0.2035660571206</v>
          </cell>
          <cell r="R3490">
            <v>0.2035660571206</v>
          </cell>
          <cell r="S3490" t="e">
            <v>#VALUE!</v>
          </cell>
          <cell r="T3490" t="e">
            <v>#VALUE!</v>
          </cell>
        </row>
        <row r="3491">
          <cell r="A3491" t="str">
            <v>GRGL35000109</v>
          </cell>
          <cell r="B3491" t="str">
            <v>MKP000631004350</v>
          </cell>
          <cell r="C3491" t="str">
            <v/>
          </cell>
          <cell r="D3491" t="str">
            <v>Armário de Cozinha Completa 350cm Branco Glamy Madesa 01</v>
          </cell>
          <cell r="E3491" t="str">
            <v>GLAMY</v>
          </cell>
          <cell r="F3491" t="str">
            <v>COZINHA</v>
          </cell>
          <cell r="G3491" t="str">
            <v/>
          </cell>
          <cell r="H3491">
            <v>2099.9899999999998</v>
          </cell>
          <cell r="I3491">
            <v>1999.99</v>
          </cell>
          <cell r="J3491">
            <v>1660.6477</v>
          </cell>
          <cell r="K3491">
            <v>0</v>
          </cell>
          <cell r="L3491">
            <v>1660.6477</v>
          </cell>
          <cell r="M3491">
            <v>0</v>
          </cell>
          <cell r="N3491">
            <v>1999.99</v>
          </cell>
          <cell r="O3491" t="str">
            <v/>
          </cell>
          <cell r="P3491">
            <v>0</v>
          </cell>
          <cell r="Q3491">
            <v>0.20434334145646901</v>
          </cell>
          <cell r="R3491">
            <v>0.20434334145646901</v>
          </cell>
          <cell r="S3491" t="e">
            <v>#VALUE!</v>
          </cell>
          <cell r="T3491" t="e">
            <v>#VALUE!</v>
          </cell>
        </row>
        <row r="3492">
          <cell r="A3492" t="str">
            <v>GRGM3300029B</v>
          </cell>
          <cell r="B3492" t="str">
            <v>MKP000631000203</v>
          </cell>
          <cell r="C3492" t="str">
            <v/>
          </cell>
          <cell r="D3492" t="str">
            <v>Armário de Cozinha Completa 100% MDF 330cm Rustic/Branco Acordes Madesa 02</v>
          </cell>
          <cell r="E3492" t="str">
            <v>ACORDES</v>
          </cell>
          <cell r="F3492" t="str">
            <v>COZINHA</v>
          </cell>
          <cell r="G3492" t="str">
            <v/>
          </cell>
          <cell r="H3492">
            <v>2399.9899999999998</v>
          </cell>
          <cell r="I3492">
            <v>2299.9899999999998</v>
          </cell>
          <cell r="J3492">
            <v>1903.4452000000001</v>
          </cell>
          <cell r="K3492">
            <v>0</v>
          </cell>
          <cell r="L3492">
            <v>1903.4452000000001</v>
          </cell>
          <cell r="M3492">
            <v>0</v>
          </cell>
          <cell r="N3492">
            <v>2299.9899999999998</v>
          </cell>
          <cell r="O3492" t="str">
            <v/>
          </cell>
          <cell r="P3492">
            <v>0</v>
          </cell>
          <cell r="Q3492">
            <v>0.20833003230142899</v>
          </cell>
          <cell r="R3492">
            <v>0.20833003230142899</v>
          </cell>
          <cell r="S3492" t="e">
            <v>#VALUE!</v>
          </cell>
          <cell r="T3492" t="e">
            <v>#VALUE!</v>
          </cell>
        </row>
        <row r="3493">
          <cell r="A3493" t="str">
            <v>GREM2290115Z</v>
          </cell>
          <cell r="B3493" t="str">
            <v>MKP000631005501</v>
          </cell>
          <cell r="C3493" t="str">
            <v/>
          </cell>
          <cell r="D3493" t="str">
            <v>Armário de Cozinha Compacta 229cm com Pia Rustic Emilly Madesa 11</v>
          </cell>
          <cell r="E3493" t="str">
            <v>EMILLY</v>
          </cell>
          <cell r="F3493" t="str">
            <v>COZINHA</v>
          </cell>
          <cell r="G3493" t="str">
            <v/>
          </cell>
          <cell r="H3493">
            <v>1639.99</v>
          </cell>
          <cell r="I3493">
            <v>1539.99</v>
          </cell>
          <cell r="J3493">
            <v>1253.4673</v>
          </cell>
          <cell r="K3493">
            <v>0</v>
          </cell>
          <cell r="L3493">
            <v>1253.4673</v>
          </cell>
          <cell r="M3493">
            <v>0</v>
          </cell>
          <cell r="N3493">
            <v>1539.99</v>
          </cell>
          <cell r="O3493" t="str">
            <v/>
          </cell>
          <cell r="P3493">
            <v>0</v>
          </cell>
          <cell r="Q3493">
            <v>0.22858410426821699</v>
          </cell>
          <cell r="R3493">
            <v>0.22858410426821699</v>
          </cell>
          <cell r="S3493" t="e">
            <v>#VALUE!</v>
          </cell>
          <cell r="T3493" t="e">
            <v>#VALUE!</v>
          </cell>
        </row>
        <row r="3494">
          <cell r="A3494" t="str">
            <v>GREM293010J1</v>
          </cell>
          <cell r="B3494" t="str">
            <v>MKP000631005869</v>
          </cell>
          <cell r="C3494" t="str">
            <v/>
          </cell>
          <cell r="D3494" t="str">
            <v>Armário de Cozinha Completa 293cm Rustic/Cinza Emilly Madesa 10</v>
          </cell>
          <cell r="E3494" t="str">
            <v>EMILLY</v>
          </cell>
          <cell r="F3494" t="str">
            <v>COZINHA</v>
          </cell>
          <cell r="G3494" t="str">
            <v/>
          </cell>
          <cell r="H3494">
            <v>1249.99</v>
          </cell>
          <cell r="I3494">
            <v>1149.99</v>
          </cell>
          <cell r="J3494">
            <v>910.59690000000001</v>
          </cell>
          <cell r="K3494">
            <v>0</v>
          </cell>
          <cell r="L3494">
            <v>910.59690000000001</v>
          </cell>
          <cell r="M3494">
            <v>0</v>
          </cell>
          <cell r="N3494">
            <v>1149.99</v>
          </cell>
          <cell r="O3494" t="str">
            <v/>
          </cell>
          <cell r="P3494">
            <v>0</v>
          </cell>
          <cell r="Q3494">
            <v>0.262896897628358</v>
          </cell>
          <cell r="R3494">
            <v>0.262896897628358</v>
          </cell>
          <cell r="S3494" t="e">
            <v>#VALUE!</v>
          </cell>
          <cell r="T3494" t="e">
            <v>#VALUE!</v>
          </cell>
        </row>
        <row r="3495">
          <cell r="A3495" t="str">
            <v>GRAG18000473</v>
          </cell>
          <cell r="B3495" t="str">
            <v>MKP000631004592</v>
          </cell>
          <cell r="C3495" t="str">
            <v/>
          </cell>
          <cell r="D3495" t="str">
            <v>Armário de Cozinha Compacta 180cm Branco Preto Agata Madesa 04</v>
          </cell>
          <cell r="E3495" t="str">
            <v>ÁGATA</v>
          </cell>
          <cell r="F3495" t="str">
            <v>COZINHA</v>
          </cell>
          <cell r="G3495" t="str">
            <v/>
          </cell>
          <cell r="H3495">
            <v>1599.99</v>
          </cell>
          <cell r="I3495">
            <v>1499.99</v>
          </cell>
          <cell r="J3495">
            <v>1236.3869999999999</v>
          </cell>
          <cell r="K3495">
            <v>0</v>
          </cell>
          <cell r="L3495">
            <v>1236.3869999999999</v>
          </cell>
          <cell r="M3495">
            <v>0</v>
          </cell>
          <cell r="N3495">
            <v>1499.99</v>
          </cell>
          <cell r="O3495" t="str">
            <v/>
          </cell>
          <cell r="P3495">
            <v>0</v>
          </cell>
          <cell r="Q3495">
            <v>0.213204279889711</v>
          </cell>
          <cell r="R3495">
            <v>0.213204279889711</v>
          </cell>
          <cell r="S3495" t="e">
            <v>#VALUE!</v>
          </cell>
          <cell r="T3495" t="e">
            <v>#VALUE!</v>
          </cell>
        </row>
        <row r="3496">
          <cell r="A3496" t="str">
            <v>GREM2610075Z</v>
          </cell>
          <cell r="B3496" t="str">
            <v>MKP000631005153</v>
          </cell>
          <cell r="C3496" t="str">
            <v/>
          </cell>
          <cell r="D3496" t="str">
            <v>Armário de Cozinha Completa 261cm Rustic Emilly Madesa 07</v>
          </cell>
          <cell r="E3496" t="str">
            <v>EMILLY</v>
          </cell>
          <cell r="F3496" t="str">
            <v>COZINHA</v>
          </cell>
          <cell r="G3496" t="str">
            <v/>
          </cell>
          <cell r="H3496">
            <v>1479.99</v>
          </cell>
          <cell r="I3496">
            <v>1379.99</v>
          </cell>
          <cell r="J3496">
            <v>1112.5521000000001</v>
          </cell>
          <cell r="K3496">
            <v>0</v>
          </cell>
          <cell r="L3496">
            <v>1112.5521000000001</v>
          </cell>
          <cell r="M3496">
            <v>0</v>
          </cell>
          <cell r="N3496">
            <v>1379.99</v>
          </cell>
          <cell r="O3496" t="str">
            <v/>
          </cell>
          <cell r="P3496">
            <v>0</v>
          </cell>
          <cell r="Q3496">
            <v>0.24038236052046399</v>
          </cell>
          <cell r="R3496">
            <v>0.24038236052046399</v>
          </cell>
          <cell r="S3496" t="e">
            <v>#VALUE!</v>
          </cell>
          <cell r="T3496" t="e">
            <v>#VALUE!</v>
          </cell>
        </row>
        <row r="3497">
          <cell r="A3497" t="str">
            <v>GRAG18000173</v>
          </cell>
          <cell r="B3497" t="str">
            <v>MKP000631004278</v>
          </cell>
          <cell r="C3497" t="str">
            <v/>
          </cell>
          <cell r="D3497" t="str">
            <v>Armário de Cozinha Compacta 180cm Branco Preto Agata Madesa 01</v>
          </cell>
          <cell r="E3497" t="str">
            <v>ÁGATA</v>
          </cell>
          <cell r="F3497" t="str">
            <v>COZINHA</v>
          </cell>
          <cell r="G3497" t="str">
            <v/>
          </cell>
          <cell r="H3497">
            <v>1999.99</v>
          </cell>
          <cell r="I3497">
            <v>1569.99</v>
          </cell>
          <cell r="J3497">
            <v>1285.3607</v>
          </cell>
          <cell r="K3497">
            <v>0</v>
          </cell>
          <cell r="L3497">
            <v>1285.3607</v>
          </cell>
          <cell r="M3497">
            <v>0</v>
          </cell>
          <cell r="N3497">
            <v>1569.99</v>
          </cell>
          <cell r="O3497" t="str">
            <v/>
          </cell>
          <cell r="P3497">
            <v>0</v>
          </cell>
          <cell r="Q3497">
            <v>0.22143924269662199</v>
          </cell>
          <cell r="R3497">
            <v>0.22143924269662199</v>
          </cell>
          <cell r="S3497" t="e">
            <v>#VALUE!</v>
          </cell>
          <cell r="T3497" t="e">
            <v>#VALUE!</v>
          </cell>
        </row>
        <row r="3498">
          <cell r="A3498" t="str">
            <v>GRTE2700099B</v>
          </cell>
          <cell r="B3498" t="str">
            <v>MKP000631005775</v>
          </cell>
          <cell r="C3498" t="str">
            <v/>
          </cell>
          <cell r="D3498" t="str">
            <v>Armário de Cozinha Completa 270cm Branco/Rustic Stella Madesa 09</v>
          </cell>
          <cell r="E3498" t="str">
            <v>STELLA</v>
          </cell>
          <cell r="F3498" t="str">
            <v>COZINHA</v>
          </cell>
          <cell r="G3498" t="str">
            <v/>
          </cell>
          <cell r="H3498">
            <v>1749.99</v>
          </cell>
          <cell r="I3498">
            <v>1749.99</v>
          </cell>
          <cell r="J3498">
            <v>1416.2479000000001</v>
          </cell>
          <cell r="K3498">
            <v>0</v>
          </cell>
          <cell r="L3498">
            <v>1416.2479000000001</v>
          </cell>
          <cell r="M3498">
            <v>0</v>
          </cell>
          <cell r="N3498">
            <v>1749.99</v>
          </cell>
          <cell r="O3498" t="str">
            <v/>
          </cell>
          <cell r="P3498">
            <v>0</v>
          </cell>
          <cell r="Q3498">
            <v>0.23565231764862599</v>
          </cell>
          <cell r="R3498">
            <v>0.23565231764862599</v>
          </cell>
          <cell r="S3498" t="e">
            <v>#VALUE!</v>
          </cell>
          <cell r="T3498" t="e">
            <v>#VALUE!</v>
          </cell>
        </row>
        <row r="3499">
          <cell r="A3499" t="str">
            <v>GCTE49900109</v>
          </cell>
          <cell r="B3499" t="str">
            <v>MKP000631005759</v>
          </cell>
          <cell r="C3499" t="str">
            <v/>
          </cell>
          <cell r="D3499" t="str">
            <v>Armário de Cozinha Completa de Canto 499cm Branco Stella Madesa 01</v>
          </cell>
          <cell r="E3499" t="str">
            <v>STELLA</v>
          </cell>
          <cell r="F3499" t="str">
            <v>COZINHA</v>
          </cell>
          <cell r="G3499" t="str">
            <v/>
          </cell>
          <cell r="H3499">
            <v>3899.99</v>
          </cell>
          <cell r="I3499">
            <v>3899.99</v>
          </cell>
          <cell r="J3499">
            <v>3139.4506999999999</v>
          </cell>
          <cell r="K3499">
            <v>0</v>
          </cell>
          <cell r="L3499">
            <v>3139.4506999999999</v>
          </cell>
          <cell r="M3499">
            <v>0</v>
          </cell>
          <cell r="N3499">
            <v>3899.99</v>
          </cell>
          <cell r="O3499" t="str">
            <v/>
          </cell>
          <cell r="P3499">
            <v>0</v>
          </cell>
          <cell r="Q3499">
            <v>0.24225234688348499</v>
          </cell>
          <cell r="R3499">
            <v>0.24225234688348499</v>
          </cell>
          <cell r="S3499" t="e">
            <v>#VALUE!</v>
          </cell>
          <cell r="T3499" t="e">
            <v>#VALUE!</v>
          </cell>
        </row>
        <row r="3500">
          <cell r="A3500" t="str">
            <v>G24153F8AGCTFF</v>
          </cell>
          <cell r="B3500" t="str">
            <v>MKP000631005656</v>
          </cell>
          <cell r="C3500" t="str">
            <v/>
          </cell>
          <cell r="D3500" t="str">
            <v>Balcão Gabinete de Pia Madesa Agata 150 cm 2 Gavetas 2 Portas (Com Tampo) Branco/Cinza</v>
          </cell>
          <cell r="E3500" t="str">
            <v>ÁGATA</v>
          </cell>
          <cell r="F3500" t="str">
            <v>MODULAÇÃO</v>
          </cell>
          <cell r="G3500" t="str">
            <v/>
          </cell>
          <cell r="H3500">
            <v>859.99</v>
          </cell>
          <cell r="I3500">
            <v>779.99</v>
          </cell>
          <cell r="J3500">
            <v>581.08989999999994</v>
          </cell>
          <cell r="K3500">
            <v>0</v>
          </cell>
          <cell r="L3500">
            <v>581.08989999999994</v>
          </cell>
          <cell r="M3500">
            <v>0</v>
          </cell>
          <cell r="N3500">
            <v>779.99</v>
          </cell>
          <cell r="O3500" t="str">
            <v/>
          </cell>
          <cell r="P3500">
            <v>0</v>
          </cell>
          <cell r="Q3500">
            <v>0.342288000531415</v>
          </cell>
          <cell r="R3500">
            <v>0.342288000531415</v>
          </cell>
          <cell r="S3500" t="e">
            <v>#VALUE!</v>
          </cell>
          <cell r="T3500" t="e">
            <v>#VALUE!</v>
          </cell>
        </row>
        <row r="3501">
          <cell r="A3501" t="str">
            <v>52318NVI</v>
          </cell>
          <cell r="B3501" t="str">
            <v>MKP000631006084</v>
          </cell>
          <cell r="C3501" t="str">
            <v/>
          </cell>
          <cell r="D3501" t="str">
            <v>Mesa de Jantar Retangular com Tampo de Vidro Preto 5231 Madesa</v>
          </cell>
          <cell r="E3501">
            <v>5231</v>
          </cell>
          <cell r="F3501" t="str">
            <v>SALA DE JANTAR</v>
          </cell>
          <cell r="G3501" t="str">
            <v/>
          </cell>
          <cell r="H3501">
            <v>499.99</v>
          </cell>
          <cell r="I3501">
            <v>499.99</v>
          </cell>
          <cell r="J3501">
            <v>360.572</v>
          </cell>
          <cell r="K3501">
            <v>0</v>
          </cell>
          <cell r="L3501">
            <v>360.572</v>
          </cell>
          <cell r="M3501">
            <v>0</v>
          </cell>
          <cell r="N3501">
            <v>499.99</v>
          </cell>
          <cell r="O3501" t="str">
            <v/>
          </cell>
          <cell r="P3501">
            <v>0</v>
          </cell>
          <cell r="Q3501">
            <v>0.38665786583539502</v>
          </cell>
          <cell r="R3501">
            <v>0.38665786583539502</v>
          </cell>
          <cell r="S3501" t="e">
            <v>#VALUE!</v>
          </cell>
          <cell r="T3501" t="e">
            <v>#VALUE!</v>
          </cell>
        </row>
        <row r="3502">
          <cell r="A3502" t="str">
            <v>G2009609V1</v>
          </cell>
          <cell r="B3502" t="str">
            <v>MKP000631005729</v>
          </cell>
          <cell r="C3502" t="str">
            <v/>
          </cell>
          <cell r="D3502" t="str">
            <v>Balcão de Canto 100% MDF com Tampo Branco Smart Madesa</v>
          </cell>
          <cell r="E3502" t="str">
            <v>SMART</v>
          </cell>
          <cell r="F3502" t="str">
            <v>MODULAÇÃO</v>
          </cell>
          <cell r="G3502" t="str">
            <v/>
          </cell>
          <cell r="H3502">
            <v>599.99</v>
          </cell>
          <cell r="I3502">
            <v>359.99</v>
          </cell>
          <cell r="J3502">
            <v>244.9666</v>
          </cell>
          <cell r="K3502">
            <v>0</v>
          </cell>
          <cell r="L3502">
            <v>244.9666</v>
          </cell>
          <cell r="M3502">
            <v>0</v>
          </cell>
          <cell r="N3502">
            <v>359.99</v>
          </cell>
          <cell r="O3502" t="str">
            <v/>
          </cell>
          <cell r="P3502">
            <v>0</v>
          </cell>
          <cell r="Q3502">
            <v>0.46954727705736199</v>
          </cell>
          <cell r="R3502">
            <v>0.46954727705736199</v>
          </cell>
          <cell r="S3502" t="e">
            <v>#VALUE!</v>
          </cell>
          <cell r="T3502" t="e">
            <v>#VALUE!</v>
          </cell>
        </row>
        <row r="3503">
          <cell r="A3503" t="str">
            <v>G2280073FFCT</v>
          </cell>
          <cell r="B3503" t="str">
            <v>MKP000631006032</v>
          </cell>
          <cell r="C3503" t="str">
            <v/>
          </cell>
          <cell r="D3503" t="str">
            <v>Balcão para Forno de Embutir 80 x 60 cm Com Tampo Branco/Preto Agata, Glamy Madesa</v>
          </cell>
          <cell r="E3503" t="str">
            <v>PR</v>
          </cell>
          <cell r="F3503" t="str">
            <v>MODULAÇÃO</v>
          </cell>
          <cell r="G3503" t="str">
            <v/>
          </cell>
          <cell r="H3503">
            <v>589.99</v>
          </cell>
          <cell r="I3503">
            <v>589.99</v>
          </cell>
          <cell r="J3503">
            <v>382.07769999999999</v>
          </cell>
          <cell r="K3503">
            <v>0</v>
          </cell>
          <cell r="L3503">
            <v>382.07769999999999</v>
          </cell>
          <cell r="M3503">
            <v>0</v>
          </cell>
          <cell r="N3503">
            <v>589.99</v>
          </cell>
          <cell r="O3503" t="str">
            <v/>
          </cell>
          <cell r="P3503">
            <v>0</v>
          </cell>
          <cell r="Q3503">
            <v>0.544162352317343</v>
          </cell>
          <cell r="R3503">
            <v>0.544162352317343</v>
          </cell>
          <cell r="S3503" t="e">
            <v>#VALUE!</v>
          </cell>
          <cell r="T3503" t="e">
            <v>#VALUE!</v>
          </cell>
        </row>
        <row r="3504">
          <cell r="A3504" t="str">
            <v>G22800F8FFCT</v>
          </cell>
          <cell r="B3504" t="str">
            <v>MKP000631006034</v>
          </cell>
          <cell r="C3504" t="str">
            <v/>
          </cell>
          <cell r="D3504" t="str">
            <v>Balcão para Forno de Embutir 80 x 60 cm Com Tampo Branco/Cinza Agata Madesa</v>
          </cell>
          <cell r="E3504" t="str">
            <v>ÁGATA</v>
          </cell>
          <cell r="F3504" t="str">
            <v>MODULAÇÃO</v>
          </cell>
          <cell r="G3504" t="str">
            <v/>
          </cell>
          <cell r="H3504">
            <v>589.99</v>
          </cell>
          <cell r="I3504">
            <v>589.99</v>
          </cell>
          <cell r="J3504">
            <v>382.07769999999999</v>
          </cell>
          <cell r="K3504">
            <v>0</v>
          </cell>
          <cell r="L3504">
            <v>382.07769999999999</v>
          </cell>
          <cell r="M3504">
            <v>0</v>
          </cell>
          <cell r="N3504">
            <v>589.99</v>
          </cell>
          <cell r="O3504" t="str">
            <v/>
          </cell>
          <cell r="P3504">
            <v>0</v>
          </cell>
          <cell r="Q3504">
            <v>0.544162352317343</v>
          </cell>
          <cell r="R3504">
            <v>0.544162352317343</v>
          </cell>
          <cell r="S3504" t="e">
            <v>#VALUE!</v>
          </cell>
          <cell r="T3504" t="e">
            <v>#VALUE!</v>
          </cell>
        </row>
        <row r="3505">
          <cell r="A3505" t="str">
            <v>G2440073GL</v>
          </cell>
          <cell r="B3505" t="str">
            <v>MKP000631003450</v>
          </cell>
          <cell r="C3505" t="str">
            <v/>
          </cell>
          <cell r="D3505" t="str">
            <v>Balcão Madesa Glamy 40 cm 1 Porta Branco/Preto</v>
          </cell>
          <cell r="E3505" t="str">
            <v>GLAMY</v>
          </cell>
          <cell r="F3505" t="str">
            <v>MODULAÇÃO</v>
          </cell>
          <cell r="G3505" t="str">
            <v/>
          </cell>
          <cell r="H3505">
            <v>509.99</v>
          </cell>
          <cell r="I3505">
            <v>349.99</v>
          </cell>
          <cell r="J3505">
            <v>223.8424</v>
          </cell>
          <cell r="K3505">
            <v>0</v>
          </cell>
          <cell r="L3505">
            <v>223.8424</v>
          </cell>
          <cell r="M3505">
            <v>0</v>
          </cell>
          <cell r="N3505">
            <v>349.99</v>
          </cell>
          <cell r="O3505" t="str">
            <v/>
          </cell>
          <cell r="P3505">
            <v>0</v>
          </cell>
          <cell r="Q3505">
            <v>0.56355543007044195</v>
          </cell>
          <cell r="R3505">
            <v>0.56355543007044195</v>
          </cell>
          <cell r="S3505" t="e">
            <v>#VALUE!</v>
          </cell>
          <cell r="T3505" t="e">
            <v>#VALUE!</v>
          </cell>
        </row>
        <row r="3506">
          <cell r="A3506" t="str">
            <v>G257526EAG</v>
          </cell>
          <cell r="B3506" t="str">
            <v>MKP000631004698</v>
          </cell>
          <cell r="C3506" t="str">
            <v/>
          </cell>
          <cell r="D3506" t="str">
            <v>Armário Aéreo de Canto Madesa Agata 1 Porta Rustic/Branco</v>
          </cell>
          <cell r="E3506" t="str">
            <v>ÁGATA</v>
          </cell>
          <cell r="F3506" t="str">
            <v>MODULAÇÃO</v>
          </cell>
          <cell r="G3506" t="str">
            <v/>
          </cell>
          <cell r="H3506">
            <v>519.99</v>
          </cell>
          <cell r="I3506">
            <v>429.99</v>
          </cell>
          <cell r="J3506">
            <v>234.81870000000001</v>
          </cell>
          <cell r="K3506">
            <v>0</v>
          </cell>
          <cell r="L3506">
            <v>234.81870000000001</v>
          </cell>
          <cell r="M3506">
            <v>0</v>
          </cell>
          <cell r="N3506">
            <v>429.99</v>
          </cell>
          <cell r="O3506" t="str">
            <v/>
          </cell>
          <cell r="P3506">
            <v>0</v>
          </cell>
          <cell r="Q3506">
            <v>0.83115739930422905</v>
          </cell>
          <cell r="R3506">
            <v>0.83115739930422905</v>
          </cell>
          <cell r="S3506" t="e">
            <v>#VALUE!</v>
          </cell>
          <cell r="T3506" t="e">
            <v>#VALUE!</v>
          </cell>
        </row>
        <row r="3507">
          <cell r="A3507" t="str">
            <v>G2365573LX</v>
          </cell>
          <cell r="B3507" t="str">
            <v>MKP000631003277</v>
          </cell>
          <cell r="C3507" t="str">
            <v/>
          </cell>
          <cell r="D3507" t="str">
            <v>Torre Quente Madesa Lux 60 cm 1 Porta 3 Gavetas Branco/Preto</v>
          </cell>
          <cell r="E3507" t="str">
            <v>LUX</v>
          </cell>
          <cell r="F3507" t="str">
            <v>MODULAÇÃO</v>
          </cell>
          <cell r="G3507" t="str">
            <v/>
          </cell>
          <cell r="H3507">
            <v>2139.9899999999998</v>
          </cell>
          <cell r="I3507">
            <v>1589.99</v>
          </cell>
          <cell r="J3507">
            <v>860.46780000000001</v>
          </cell>
          <cell r="K3507">
            <v>0</v>
          </cell>
          <cell r="L3507">
            <v>860.46780000000001</v>
          </cell>
          <cell r="M3507">
            <v>0</v>
          </cell>
          <cell r="N3507">
            <v>1589.99</v>
          </cell>
          <cell r="O3507" t="str">
            <v>LOJA</v>
          </cell>
          <cell r="P3507">
            <v>1579.99</v>
          </cell>
          <cell r="Q3507">
            <v>0.84782045301404696</v>
          </cell>
          <cell r="R3507">
            <v>0.84782045301404696</v>
          </cell>
          <cell r="S3507" t="e">
            <v>#VALUE!</v>
          </cell>
          <cell r="T3507" t="e">
            <v>#VALUE!</v>
          </cell>
        </row>
        <row r="3508">
          <cell r="A3508" t="str">
            <v>G256027GAG</v>
          </cell>
          <cell r="B3508" t="str">
            <v>MKP000631005404</v>
          </cell>
          <cell r="C3508" t="str">
            <v/>
          </cell>
          <cell r="D3508" t="str">
            <v>Armário Aéreo 60 cm 1 Porta Basculante Rustic/Crema Agata Madesa</v>
          </cell>
          <cell r="E3508" t="str">
            <v>ÁGATA</v>
          </cell>
          <cell r="F3508" t="str">
            <v>MODULAÇÃO</v>
          </cell>
          <cell r="G3508" t="str">
            <v/>
          </cell>
          <cell r="H3508">
            <v>379.99</v>
          </cell>
          <cell r="I3508">
            <v>279.99</v>
          </cell>
          <cell r="J3508">
            <v>149.85319999999999</v>
          </cell>
          <cell r="K3508">
            <v>0</v>
          </cell>
          <cell r="L3508">
            <v>149.85319999999999</v>
          </cell>
          <cell r="M3508">
            <v>0</v>
          </cell>
          <cell r="N3508">
            <v>279.99</v>
          </cell>
          <cell r="O3508" t="str">
            <v/>
          </cell>
          <cell r="P3508">
            <v>0</v>
          </cell>
          <cell r="Q3508">
            <v>0.86842856875929297</v>
          </cell>
          <cell r="R3508">
            <v>0.86842856875929297</v>
          </cell>
          <cell r="S3508" t="e">
            <v>#VALUE!</v>
          </cell>
          <cell r="T3508" t="e">
            <v>#VALUE!</v>
          </cell>
        </row>
        <row r="3509">
          <cell r="A3509" t="str">
            <v>MDFC03000177</v>
          </cell>
          <cell r="B3509" t="str">
            <v>MKP000631002987</v>
          </cell>
          <cell r="C3509" t="str">
            <v/>
          </cell>
          <cell r="D3509" t="str">
            <v>Escrivaninha Madesa Rubi + Estante 6908 + Estante 6907 Preto/Branco</v>
          </cell>
          <cell r="E3509" t="str">
            <v>RUBI + 6908 + 6907</v>
          </cell>
          <cell r="F3509" t="str">
            <v>ESCRITÓRIO</v>
          </cell>
          <cell r="G3509" t="str">
            <v/>
          </cell>
          <cell r="H3509">
            <v>969.99</v>
          </cell>
          <cell r="I3509">
            <v>699.99</v>
          </cell>
          <cell r="J3509">
            <v>514.83969999999999</v>
          </cell>
          <cell r="K3509">
            <v>0</v>
          </cell>
          <cell r="L3509">
            <v>514.83969999999999</v>
          </cell>
          <cell r="M3509">
            <v>0</v>
          </cell>
          <cell r="N3509">
            <v>699.99</v>
          </cell>
          <cell r="O3509" t="str">
            <v/>
          </cell>
          <cell r="P3509">
            <v>0</v>
          </cell>
          <cell r="Q3509">
            <v>0.35962708392534598</v>
          </cell>
          <cell r="R3509">
            <v>0.35962708392534598</v>
          </cell>
          <cell r="S3509" t="e">
            <v>#VALUE!</v>
          </cell>
          <cell r="T3509" t="e">
            <v>#VALUE!</v>
          </cell>
        </row>
        <row r="3510">
          <cell r="A3510" t="str">
            <v>GCGL34900673</v>
          </cell>
          <cell r="B3510" t="str">
            <v>MKP000631005248</v>
          </cell>
          <cell r="C3510" t="str">
            <v/>
          </cell>
          <cell r="D3510" t="str">
            <v>Armário de Cozinha Completa de Canto 349cm Branco/Preto Glamy Madesa 06</v>
          </cell>
          <cell r="E3510" t="str">
            <v>GLAMY</v>
          </cell>
          <cell r="F3510" t="str">
            <v>COZINHA</v>
          </cell>
          <cell r="G3510" t="str">
            <v/>
          </cell>
          <cell r="H3510">
            <v>2099.9899999999998</v>
          </cell>
          <cell r="I3510">
            <v>1999.99</v>
          </cell>
          <cell r="J3510">
            <v>1692.2249999999999</v>
          </cell>
          <cell r="K3510">
            <v>0</v>
          </cell>
          <cell r="L3510">
            <v>1692.2249999999999</v>
          </cell>
          <cell r="M3510">
            <v>0</v>
          </cell>
          <cell r="N3510">
            <v>1999.99</v>
          </cell>
          <cell r="O3510" t="str">
            <v/>
          </cell>
          <cell r="P3510">
            <v>0</v>
          </cell>
          <cell r="Q3510">
            <v>0.181870023194315</v>
          </cell>
          <cell r="R3510">
            <v>0.181870023194315</v>
          </cell>
          <cell r="S3510" t="e">
            <v>#VALUE!</v>
          </cell>
          <cell r="T3510" t="e">
            <v>#VALUE!</v>
          </cell>
        </row>
        <row r="3511">
          <cell r="A3511" t="str">
            <v>GRGL2200029B</v>
          </cell>
          <cell r="B3511" t="str">
            <v>MKP000631001398</v>
          </cell>
          <cell r="C3511" t="str">
            <v/>
          </cell>
          <cell r="D3511" t="str">
            <v>Armário de Cozinha Completa 220cm Branco/Rustic Parma Madesa 02</v>
          </cell>
          <cell r="E3511" t="str">
            <v>PARMA/GLAMY</v>
          </cell>
          <cell r="F3511" t="str">
            <v>COZINHA</v>
          </cell>
          <cell r="G3511" t="str">
            <v/>
          </cell>
          <cell r="H3511">
            <v>1969.99</v>
          </cell>
          <cell r="I3511">
            <v>1869.99</v>
          </cell>
          <cell r="J3511">
            <v>1558.7654</v>
          </cell>
          <cell r="K3511">
            <v>0</v>
          </cell>
          <cell r="L3511">
            <v>1558.7654</v>
          </cell>
          <cell r="M3511">
            <v>0</v>
          </cell>
          <cell r="N3511">
            <v>1869.99</v>
          </cell>
          <cell r="O3511" t="str">
            <v/>
          </cell>
          <cell r="P3511">
            <v>0</v>
          </cell>
          <cell r="Q3511">
            <v>0.199660962451438</v>
          </cell>
          <cell r="R3511">
            <v>0.199660962451438</v>
          </cell>
          <cell r="S3511" t="e">
            <v>#VALUE!</v>
          </cell>
          <cell r="T3511" t="e">
            <v>#VALUE!</v>
          </cell>
        </row>
        <row r="3512">
          <cell r="A3512" t="str">
            <v>GRGL1800079B</v>
          </cell>
          <cell r="B3512" t="str">
            <v>MKP000631004222</v>
          </cell>
          <cell r="C3512" t="str">
            <v/>
          </cell>
          <cell r="D3512" t="str">
            <v>Armário de Cozinha Compacta 180cm Branco Rustic Glamy Madesa 07</v>
          </cell>
          <cell r="E3512" t="str">
            <v>GLAMY</v>
          </cell>
          <cell r="F3512" t="str">
            <v>COZINHA</v>
          </cell>
          <cell r="G3512" t="str">
            <v/>
          </cell>
          <cell r="H3512">
            <v>1679.99</v>
          </cell>
          <cell r="I3512">
            <v>1579.99</v>
          </cell>
          <cell r="J3512">
            <v>1307.6839</v>
          </cell>
          <cell r="K3512">
            <v>0</v>
          </cell>
          <cell r="L3512">
            <v>1307.6839</v>
          </cell>
          <cell r="M3512">
            <v>0</v>
          </cell>
          <cell r="N3512">
            <v>1579.99</v>
          </cell>
          <cell r="O3512" t="str">
            <v/>
          </cell>
          <cell r="P3512">
            <v>0</v>
          </cell>
          <cell r="Q3512">
            <v>0.208235415301817</v>
          </cell>
          <cell r="R3512">
            <v>0.208235415301817</v>
          </cell>
          <cell r="S3512" t="e">
            <v>#VALUE!</v>
          </cell>
          <cell r="T3512" t="e">
            <v>#VALUE!</v>
          </cell>
        </row>
        <row r="3513">
          <cell r="A3513" t="str">
            <v>GRGL2600057K</v>
          </cell>
          <cell r="B3513" t="str">
            <v>MKP000631005189</v>
          </cell>
          <cell r="C3513" t="str">
            <v/>
          </cell>
          <cell r="D3513" t="str">
            <v>Armário de Cozinha Completa 260cm Rustic/Preto Glamy Madesa 05</v>
          </cell>
          <cell r="E3513" t="str">
            <v>GLAMY</v>
          </cell>
          <cell r="F3513" t="str">
            <v>COZINHA</v>
          </cell>
          <cell r="G3513" t="str">
            <v/>
          </cell>
          <cell r="H3513">
            <v>1799.99</v>
          </cell>
          <cell r="I3513">
            <v>1699.99</v>
          </cell>
          <cell r="J3513">
            <v>1407.5279</v>
          </cell>
          <cell r="K3513">
            <v>0</v>
          </cell>
          <cell r="L3513">
            <v>1407.5279</v>
          </cell>
          <cell r="M3513">
            <v>0</v>
          </cell>
          <cell r="N3513">
            <v>1699.99</v>
          </cell>
          <cell r="O3513" t="str">
            <v/>
          </cell>
          <cell r="P3513">
            <v>0</v>
          </cell>
          <cell r="Q3513">
            <v>0.20778422935701699</v>
          </cell>
          <cell r="R3513">
            <v>0.20778422935701699</v>
          </cell>
          <cell r="S3513" t="e">
            <v>#VALUE!</v>
          </cell>
          <cell r="T3513" t="e">
            <v>#VALUE!</v>
          </cell>
        </row>
        <row r="3514">
          <cell r="A3514" t="str">
            <v>GREM2290047K</v>
          </cell>
          <cell r="B3514" t="str">
            <v>MKP000631005170</v>
          </cell>
          <cell r="C3514" t="str">
            <v/>
          </cell>
          <cell r="D3514" t="str">
            <v>Armário de Cozinha Completa 229cm Rustic/Preto Emilly Madesa 04</v>
          </cell>
          <cell r="E3514" t="str">
            <v>EMILLY</v>
          </cell>
          <cell r="F3514" t="str">
            <v>COZINHA</v>
          </cell>
          <cell r="G3514" t="str">
            <v/>
          </cell>
          <cell r="H3514">
            <v>1239.99</v>
          </cell>
          <cell r="I3514">
            <v>1139.99</v>
          </cell>
          <cell r="J3514">
            <v>914.24839999999995</v>
          </cell>
          <cell r="K3514">
            <v>0</v>
          </cell>
          <cell r="L3514">
            <v>914.24839999999995</v>
          </cell>
          <cell r="M3514">
            <v>0</v>
          </cell>
          <cell r="N3514">
            <v>1139.99</v>
          </cell>
          <cell r="O3514" t="str">
            <v/>
          </cell>
          <cell r="P3514">
            <v>0</v>
          </cell>
          <cell r="Q3514">
            <v>0.24691495221648699</v>
          </cell>
          <cell r="R3514">
            <v>0.24691495221648699</v>
          </cell>
          <cell r="S3514" t="e">
            <v>#VALUE!</v>
          </cell>
          <cell r="T3514" t="e">
            <v>#VALUE!</v>
          </cell>
        </row>
        <row r="3515">
          <cell r="A3515" t="str">
            <v>GCAG38900109</v>
          </cell>
          <cell r="B3515" t="str">
            <v>MKP000631004405</v>
          </cell>
          <cell r="C3515" t="str">
            <v/>
          </cell>
          <cell r="D3515" t="str">
            <v>Armário de Cozinha Completa de Canto 389cm Branco Agata Madesa 01</v>
          </cell>
          <cell r="E3515" t="str">
            <v>ÁGATA</v>
          </cell>
          <cell r="F3515" t="str">
            <v>COZINHA</v>
          </cell>
          <cell r="G3515" t="str">
            <v/>
          </cell>
          <cell r="H3515">
            <v>2959.99</v>
          </cell>
          <cell r="I3515">
            <v>2559.9899999999998</v>
          </cell>
          <cell r="J3515">
            <v>2094.8164999999999</v>
          </cell>
          <cell r="K3515">
            <v>0</v>
          </cell>
          <cell r="L3515">
            <v>2094.8164999999999</v>
          </cell>
          <cell r="M3515">
            <v>0</v>
          </cell>
          <cell r="N3515">
            <v>2559.9899999999998</v>
          </cell>
          <cell r="O3515" t="str">
            <v/>
          </cell>
          <cell r="P3515">
            <v>0</v>
          </cell>
          <cell r="Q3515">
            <v>0.22205930686530301</v>
          </cell>
          <cell r="R3515">
            <v>0.22205930686530301</v>
          </cell>
          <cell r="S3515" t="e">
            <v>#VALUE!</v>
          </cell>
          <cell r="T3515" t="e">
            <v>#VALUE!</v>
          </cell>
        </row>
        <row r="3516">
          <cell r="A3516" t="str">
            <v>GRGL1500017K</v>
          </cell>
          <cell r="B3516" t="str">
            <v>MKP000631004251</v>
          </cell>
          <cell r="C3516" t="str">
            <v/>
          </cell>
          <cell r="D3516" t="str">
            <v>Armário de Cozinha Compacta 150cm Rustic/Preto Glamy Madesa 01</v>
          </cell>
          <cell r="E3516" t="str">
            <v>GLAMY</v>
          </cell>
          <cell r="F3516" t="str">
            <v>COZINHA</v>
          </cell>
          <cell r="G3516" t="str">
            <v/>
          </cell>
          <cell r="H3516">
            <v>1199.99</v>
          </cell>
          <cell r="I3516">
            <v>1099.99</v>
          </cell>
          <cell r="J3516">
            <v>901.11389999999994</v>
          </cell>
          <cell r="K3516">
            <v>0</v>
          </cell>
          <cell r="L3516">
            <v>901.11389999999994</v>
          </cell>
          <cell r="M3516">
            <v>0</v>
          </cell>
          <cell r="N3516">
            <v>1099.99</v>
          </cell>
          <cell r="O3516" t="str">
            <v/>
          </cell>
          <cell r="P3516">
            <v>0</v>
          </cell>
          <cell r="Q3516">
            <v>0.22070029105088701</v>
          </cell>
          <cell r="R3516">
            <v>0.22070029105088701</v>
          </cell>
          <cell r="S3516" t="e">
            <v>#VALUE!</v>
          </cell>
          <cell r="T3516" t="e">
            <v>#VALUE!</v>
          </cell>
        </row>
        <row r="3517">
          <cell r="A3517" t="str">
            <v>XC1063731B</v>
          </cell>
          <cell r="B3517" t="str">
            <v>MKP000631003127</v>
          </cell>
          <cell r="C3517" t="str">
            <v/>
          </cell>
          <cell r="D3517" t="str">
            <v>Guarda-Roupa Casal 100% MDF Madesa Zurique 3 Portas de Correr Branco/Preto/Branco</v>
          </cell>
          <cell r="E3517" t="str">
            <v>ZURIQUE</v>
          </cell>
          <cell r="F3517" t="str">
            <v>QUARTO</v>
          </cell>
          <cell r="G3517" t="str">
            <v/>
          </cell>
          <cell r="H3517">
            <v>2469.9899999999998</v>
          </cell>
          <cell r="I3517">
            <v>1899.99</v>
          </cell>
          <cell r="J3517">
            <v>1551.3534</v>
          </cell>
          <cell r="K3517">
            <v>0</v>
          </cell>
          <cell r="L3517">
            <v>1551.3534</v>
          </cell>
          <cell r="M3517">
            <v>0</v>
          </cell>
          <cell r="N3517">
            <v>1899.99</v>
          </cell>
          <cell r="O3517" t="str">
            <v/>
          </cell>
          <cell r="P3517">
            <v>0</v>
          </cell>
          <cell r="Q3517">
            <v>0.22473061263797101</v>
          </cell>
          <cell r="R3517">
            <v>0.22473061263797101</v>
          </cell>
          <cell r="S3517" t="e">
            <v>#VALUE!</v>
          </cell>
          <cell r="T3517" t="e">
            <v>#VALUE!</v>
          </cell>
        </row>
        <row r="3518">
          <cell r="A3518" t="str">
            <v>GRGL2000069B</v>
          </cell>
          <cell r="B3518" t="str">
            <v>MKP000631005643</v>
          </cell>
          <cell r="C3518" t="str">
            <v/>
          </cell>
          <cell r="D3518" t="str">
            <v>Kit com 2 Balcões de Cozinha Madesa Glamy 4 Portas 3 Gavetas (Sem Tampo e Pia) Branco/Rustic Branco/Rustic</v>
          </cell>
          <cell r="E3518" t="str">
            <v>GLAMY</v>
          </cell>
          <cell r="F3518" t="str">
            <v>COZINHA</v>
          </cell>
          <cell r="G3518" t="str">
            <v/>
          </cell>
          <cell r="H3518">
            <v>1199.99</v>
          </cell>
          <cell r="I3518">
            <v>1099.99</v>
          </cell>
          <cell r="J3518">
            <v>891.15129999999999</v>
          </cell>
          <cell r="K3518">
            <v>0</v>
          </cell>
          <cell r="L3518">
            <v>891.15129999999999</v>
          </cell>
          <cell r="M3518">
            <v>0</v>
          </cell>
          <cell r="N3518">
            <v>1099.99</v>
          </cell>
          <cell r="O3518" t="str">
            <v/>
          </cell>
          <cell r="P3518">
            <v>0</v>
          </cell>
          <cell r="Q3518">
            <v>0.234347074396907</v>
          </cell>
          <cell r="R3518">
            <v>0.234347074396907</v>
          </cell>
          <cell r="S3518" t="e">
            <v>#VALUE!</v>
          </cell>
          <cell r="T3518" t="e">
            <v>#VALUE!</v>
          </cell>
        </row>
        <row r="3519">
          <cell r="A3519" t="str">
            <v>MDJA0401497KOXF</v>
          </cell>
          <cell r="B3519" t="str">
            <v>MKP000631006071</v>
          </cell>
          <cell r="C3519" t="str">
            <v/>
          </cell>
          <cell r="D3519" t="str">
            <v>Conjunto Sala de Jantar Mesa Tampo de Madeira 4 Cadeiras Rustic/Preto/Oxford Ashley Madesa</v>
          </cell>
          <cell r="E3519" t="str">
            <v>ASHLEY</v>
          </cell>
          <cell r="F3519" t="str">
            <v>SALA DE JANTAR</v>
          </cell>
          <cell r="G3519">
            <v>4256</v>
          </cell>
          <cell r="H3519">
            <v>1299.99</v>
          </cell>
          <cell r="I3519">
            <v>1199.99</v>
          </cell>
          <cell r="J3519">
            <v>910.24810000000002</v>
          </cell>
          <cell r="K3519">
            <v>0</v>
          </cell>
          <cell r="L3519">
            <v>910.24810000000002</v>
          </cell>
          <cell r="M3519">
            <v>0</v>
          </cell>
          <cell r="N3519">
            <v>1199.99</v>
          </cell>
          <cell r="O3519" t="str">
            <v/>
          </cell>
          <cell r="P3519">
            <v>0</v>
          </cell>
          <cell r="Q3519">
            <v>0.318310908861002</v>
          </cell>
          <cell r="R3519">
            <v>0.318310908861002</v>
          </cell>
          <cell r="S3519" t="e">
            <v>#VALUE!</v>
          </cell>
          <cell r="T3519" t="e">
            <v>#VALUE!</v>
          </cell>
        </row>
        <row r="3520">
          <cell r="A3520" t="str">
            <v>MDES0200205Z9B</v>
          </cell>
          <cell r="B3520" t="str">
            <v>MKP000631002799</v>
          </cell>
          <cell r="C3520" t="str">
            <v/>
          </cell>
          <cell r="D3520" t="str">
            <v>Rack Madesa Cancun com Pés e Painel para TV até 65 Polegadas Rustic/Branco 5Z9B</v>
          </cell>
          <cell r="E3520" t="str">
            <v>CANCUN</v>
          </cell>
          <cell r="F3520" t="str">
            <v>SALA DE ESTAR</v>
          </cell>
          <cell r="G3520" t="str">
            <v/>
          </cell>
          <cell r="H3520">
            <v>699.99</v>
          </cell>
          <cell r="I3520">
            <v>599.99</v>
          </cell>
          <cell r="J3520">
            <v>470.45490000000001</v>
          </cell>
          <cell r="K3520">
            <v>0</v>
          </cell>
          <cell r="L3520">
            <v>470.45490000000001</v>
          </cell>
          <cell r="M3520">
            <v>0</v>
          </cell>
          <cell r="N3520">
            <v>599.99</v>
          </cell>
          <cell r="O3520" t="str">
            <v/>
          </cell>
          <cell r="P3520">
            <v>0</v>
          </cell>
          <cell r="Q3520">
            <v>0.27534010167605799</v>
          </cell>
          <cell r="R3520">
            <v>0.27534010167605799</v>
          </cell>
          <cell r="S3520" t="e">
            <v>#VALUE!</v>
          </cell>
          <cell r="T3520" t="e">
            <v>#VALUE!</v>
          </cell>
        </row>
        <row r="3521">
          <cell r="A3521" t="str">
            <v>G241246EGLCT</v>
          </cell>
          <cell r="B3521" t="str">
            <v>MKP000631003001</v>
          </cell>
          <cell r="C3521" t="str">
            <v/>
          </cell>
          <cell r="D3521" t="str">
            <v>Balcão de Pia Madesa Glamy 120 cm 2 Portas e 3 Gavetas (Com Tampo) Rustic/Branco</v>
          </cell>
          <cell r="E3521" t="str">
            <v>GLAMY</v>
          </cell>
          <cell r="F3521" t="str">
            <v>MODULAÇÃO</v>
          </cell>
          <cell r="G3521" t="str">
            <v/>
          </cell>
          <cell r="H3521">
            <v>1469.99</v>
          </cell>
          <cell r="I3521">
            <v>829.99</v>
          </cell>
          <cell r="J3521">
            <v>648.65899999999999</v>
          </cell>
          <cell r="K3521">
            <v>0</v>
          </cell>
          <cell r="L3521">
            <v>648.65899999999999</v>
          </cell>
          <cell r="M3521">
            <v>0</v>
          </cell>
          <cell r="N3521">
            <v>829.99</v>
          </cell>
          <cell r="O3521" t="str">
            <v/>
          </cell>
          <cell r="P3521">
            <v>0</v>
          </cell>
          <cell r="Q3521">
            <v>0.27954749722118999</v>
          </cell>
          <cell r="R3521">
            <v>0.27954749722118999</v>
          </cell>
          <cell r="S3521" t="e">
            <v>#VALUE!</v>
          </cell>
          <cell r="T3521" t="e">
            <v>#VALUE!</v>
          </cell>
        </row>
        <row r="3522">
          <cell r="A3522" t="str">
            <v>MDJA0401715ZOXF</v>
          </cell>
          <cell r="B3522" t="str">
            <v>MKP000631006045</v>
          </cell>
          <cell r="C3522" t="str">
            <v/>
          </cell>
          <cell r="D3522" t="str">
            <v>Conjunto Sala de Jantar Mesa Tampo de Vidro 4 Cadeiras Rustic/Oxford Noemi Madesa</v>
          </cell>
          <cell r="E3522" t="str">
            <v>NOEMI</v>
          </cell>
          <cell r="F3522" t="str">
            <v>SALA DE JANTAR</v>
          </cell>
          <cell r="G3522">
            <v>4256</v>
          </cell>
          <cell r="H3522">
            <v>1199.99</v>
          </cell>
          <cell r="I3522">
            <v>1099.99</v>
          </cell>
          <cell r="J3522">
            <v>833.99170000000004</v>
          </cell>
          <cell r="K3522">
            <v>0</v>
          </cell>
          <cell r="L3522">
            <v>833.99170000000004</v>
          </cell>
          <cell r="M3522">
            <v>0</v>
          </cell>
          <cell r="N3522">
            <v>1099.99</v>
          </cell>
          <cell r="O3522" t="str">
            <v/>
          </cell>
          <cell r="P3522">
            <v>0</v>
          </cell>
          <cell r="Q3522">
            <v>0.31894597991802498</v>
          </cell>
          <cell r="R3522">
            <v>0.31894597991802498</v>
          </cell>
          <cell r="S3522" t="e">
            <v>#VALUE!</v>
          </cell>
          <cell r="T3522" t="e">
            <v>#VALUE!</v>
          </cell>
        </row>
        <row r="3523">
          <cell r="A3523" t="str">
            <v>G241536EGLCT</v>
          </cell>
          <cell r="B3523" t="str">
            <v>MKP000631002398</v>
          </cell>
          <cell r="C3523" t="str">
            <v/>
          </cell>
          <cell r="D3523" t="str">
            <v>Balcão de Pia Madesa Glamy 150 cm 2 Portas e 2 Gavetas (Com Tampo) Rustic/Branco</v>
          </cell>
          <cell r="E3523" t="str">
            <v>GLAMY</v>
          </cell>
          <cell r="F3523" t="str">
            <v>MODULAÇÃO</v>
          </cell>
          <cell r="G3523" t="str">
            <v/>
          </cell>
          <cell r="H3523">
            <v>1349.99</v>
          </cell>
          <cell r="I3523">
            <v>689.99</v>
          </cell>
          <cell r="J3523">
            <v>539.95330000000001</v>
          </cell>
          <cell r="K3523">
            <v>0</v>
          </cell>
          <cell r="L3523">
            <v>539.95330000000001</v>
          </cell>
          <cell r="M3523">
            <v>0</v>
          </cell>
          <cell r="N3523">
            <v>689.99</v>
          </cell>
          <cell r="O3523" t="str">
            <v/>
          </cell>
          <cell r="P3523">
            <v>0</v>
          </cell>
          <cell r="Q3523">
            <v>0.277869771330224</v>
          </cell>
          <cell r="R3523">
            <v>0.277869771330224</v>
          </cell>
          <cell r="S3523" t="e">
            <v>#VALUE!</v>
          </cell>
          <cell r="T3523" t="e">
            <v>#VALUE!</v>
          </cell>
        </row>
        <row r="3524">
          <cell r="A3524" t="str">
            <v>G228007GFF</v>
          </cell>
          <cell r="B3524" t="str">
            <v>MKP000631006037</v>
          </cell>
          <cell r="C3524" t="str">
            <v/>
          </cell>
          <cell r="D3524" t="str">
            <v>Balcão para Forno de Embutir 80 x 60 cm Sem Tampo Rustic/Crema Agata Madesa</v>
          </cell>
          <cell r="E3524" t="str">
            <v>ÁGATA</v>
          </cell>
          <cell r="F3524" t="str">
            <v>MODULAÇÃO</v>
          </cell>
          <cell r="G3524" t="str">
            <v/>
          </cell>
          <cell r="H3524">
            <v>449.99</v>
          </cell>
          <cell r="I3524">
            <v>449.99</v>
          </cell>
          <cell r="J3524">
            <v>301.64659999999998</v>
          </cell>
          <cell r="K3524">
            <v>0</v>
          </cell>
          <cell r="L3524">
            <v>301.64659999999998</v>
          </cell>
          <cell r="M3524">
            <v>0</v>
          </cell>
          <cell r="N3524">
            <v>449.99</v>
          </cell>
          <cell r="O3524" t="str">
            <v/>
          </cell>
          <cell r="P3524">
            <v>0</v>
          </cell>
          <cell r="Q3524">
            <v>0.49177879014714598</v>
          </cell>
          <cell r="R3524">
            <v>0.49177879014714598</v>
          </cell>
          <cell r="S3524" t="e">
            <v>#VALUE!</v>
          </cell>
          <cell r="T3524" t="e">
            <v>#VALUE!</v>
          </cell>
        </row>
        <row r="3525">
          <cell r="A3525" t="str">
            <v>G2460073GL</v>
          </cell>
          <cell r="B3525" t="str">
            <v>MKP000631001163</v>
          </cell>
          <cell r="C3525" t="str">
            <v/>
          </cell>
          <cell r="D3525" t="str">
            <v>Balcão Madesa Glamy 60 cm 1 Porta Branco/Preto</v>
          </cell>
          <cell r="E3525" t="str">
            <v>GLAMY</v>
          </cell>
          <cell r="F3525" t="str">
            <v>MODULAÇÃO</v>
          </cell>
          <cell r="G3525" t="str">
            <v/>
          </cell>
          <cell r="H3525">
            <v>819.99</v>
          </cell>
          <cell r="I3525">
            <v>419.99</v>
          </cell>
          <cell r="J3525">
            <v>262.66820000000001</v>
          </cell>
          <cell r="K3525">
            <v>0</v>
          </cell>
          <cell r="L3525">
            <v>262.66820000000001</v>
          </cell>
          <cell r="M3525">
            <v>0</v>
          </cell>
          <cell r="N3525">
            <v>419.99</v>
          </cell>
          <cell r="O3525" t="str">
            <v/>
          </cell>
          <cell r="P3525">
            <v>0</v>
          </cell>
          <cell r="Q3525">
            <v>0.59893736660928099</v>
          </cell>
          <cell r="R3525">
            <v>0.59893736660928099</v>
          </cell>
          <cell r="S3525" t="e">
            <v>#VALUE!</v>
          </cell>
          <cell r="T3525" t="e">
            <v>#VALUE!</v>
          </cell>
        </row>
        <row r="3526">
          <cell r="A3526" t="str">
            <v>G248006EAG</v>
          </cell>
          <cell r="B3526" t="str">
            <v>MKP000631004630</v>
          </cell>
          <cell r="C3526" t="str">
            <v/>
          </cell>
          <cell r="D3526" t="str">
            <v>Balcão Madesa Agata 80 cm 2 Portas Rustic/Branco</v>
          </cell>
          <cell r="E3526" t="str">
            <v>ÁGATA</v>
          </cell>
          <cell r="F3526" t="str">
            <v>MODULAÇÃO</v>
          </cell>
          <cell r="G3526" t="str">
            <v/>
          </cell>
          <cell r="H3526">
            <v>659.99</v>
          </cell>
          <cell r="I3526">
            <v>529.99</v>
          </cell>
          <cell r="J3526">
            <v>325.82279999999997</v>
          </cell>
          <cell r="K3526">
            <v>0</v>
          </cell>
          <cell r="L3526">
            <v>325.82279999999997</v>
          </cell>
          <cell r="M3526">
            <v>0</v>
          </cell>
          <cell r="N3526">
            <v>529.99</v>
          </cell>
          <cell r="O3526" t="str">
            <v/>
          </cell>
          <cell r="P3526">
            <v>0</v>
          </cell>
          <cell r="Q3526">
            <v>0.62662035928731796</v>
          </cell>
          <cell r="R3526">
            <v>0.62662035928731796</v>
          </cell>
          <cell r="S3526" t="e">
            <v>#VALUE!</v>
          </cell>
          <cell r="T3526" t="e">
            <v>#VALUE!</v>
          </cell>
        </row>
        <row r="3527">
          <cell r="A3527" t="str">
            <v>G247509BTE</v>
          </cell>
          <cell r="B3527" t="str">
            <v>MKP000631002114</v>
          </cell>
          <cell r="C3527" t="str">
            <v/>
          </cell>
          <cell r="D3527" t="str">
            <v>Balcão de Canto Madesa Stella 1 Porta Branco/Rustic</v>
          </cell>
          <cell r="E3527" t="str">
            <v>STELLA</v>
          </cell>
          <cell r="F3527" t="str">
            <v>MODULAÇÃO</v>
          </cell>
          <cell r="G3527" t="str">
            <v/>
          </cell>
          <cell r="H3527">
            <v>989.99</v>
          </cell>
          <cell r="I3527">
            <v>529.99</v>
          </cell>
          <cell r="J3527">
            <v>318.06200000000001</v>
          </cell>
          <cell r="K3527">
            <v>0</v>
          </cell>
          <cell r="L3527">
            <v>318.06200000000001</v>
          </cell>
          <cell r="M3527">
            <v>0</v>
          </cell>
          <cell r="N3527">
            <v>529.99</v>
          </cell>
          <cell r="O3527" t="str">
            <v/>
          </cell>
          <cell r="P3527">
            <v>0</v>
          </cell>
          <cell r="Q3527">
            <v>0.66631034200879102</v>
          </cell>
          <cell r="R3527">
            <v>0.66631034200879102</v>
          </cell>
          <cell r="S3527" t="e">
            <v>#VALUE!</v>
          </cell>
          <cell r="T3527" t="e">
            <v>#VALUE!</v>
          </cell>
        </row>
        <row r="3528">
          <cell r="A3528" t="str">
            <v>G253506EGL</v>
          </cell>
          <cell r="B3528" t="str">
            <v>MKP000631000548</v>
          </cell>
          <cell r="C3528" t="str">
            <v/>
          </cell>
          <cell r="D3528" t="str">
            <v>Armário Aéreo Madesa Glamy 35 cm 1 Porta Rustic/Branco</v>
          </cell>
          <cell r="E3528" t="str">
            <v>GLAMY</v>
          </cell>
          <cell r="F3528" t="str">
            <v>MODULAÇÃO</v>
          </cell>
          <cell r="G3528" t="str">
            <v/>
          </cell>
          <cell r="H3528">
            <v>449.99</v>
          </cell>
          <cell r="I3528">
            <v>279.99</v>
          </cell>
          <cell r="J3528">
            <v>164.9606</v>
          </cell>
          <cell r="K3528">
            <v>0</v>
          </cell>
          <cell r="L3528">
            <v>164.9606</v>
          </cell>
          <cell r="M3528">
            <v>0</v>
          </cell>
          <cell r="N3528">
            <v>279.99</v>
          </cell>
          <cell r="O3528" t="str">
            <v/>
          </cell>
          <cell r="P3528">
            <v>0</v>
          </cell>
          <cell r="Q3528">
            <v>0.69731438901167897</v>
          </cell>
          <cell r="R3528">
            <v>0.69731438901167897</v>
          </cell>
          <cell r="S3528" t="e">
            <v>#VALUE!</v>
          </cell>
          <cell r="T3528" t="e">
            <v>#VALUE!</v>
          </cell>
        </row>
        <row r="3529">
          <cell r="A3529" t="str">
            <v>G253505ZTE</v>
          </cell>
          <cell r="B3529" t="str">
            <v>MKP000631002165</v>
          </cell>
          <cell r="C3529" t="str">
            <v/>
          </cell>
          <cell r="D3529" t="str">
            <v>Armário Aéreo Madesa Stella 35 cm 1 Porta Rustic</v>
          </cell>
          <cell r="E3529" t="str">
            <v>STELLA</v>
          </cell>
          <cell r="F3529" t="str">
            <v>MODULAÇÃO</v>
          </cell>
          <cell r="G3529" t="str">
            <v/>
          </cell>
          <cell r="H3529">
            <v>369.99</v>
          </cell>
          <cell r="I3529">
            <v>279.99</v>
          </cell>
          <cell r="J3529">
            <v>165.37479999999999</v>
          </cell>
          <cell r="K3529">
            <v>0</v>
          </cell>
          <cell r="L3529">
            <v>165.37479999999999</v>
          </cell>
          <cell r="M3529">
            <v>0</v>
          </cell>
          <cell r="N3529">
            <v>279.99</v>
          </cell>
          <cell r="O3529" t="str">
            <v/>
          </cell>
          <cell r="P3529">
            <v>0</v>
          </cell>
          <cell r="Q3529">
            <v>0.69306327203419105</v>
          </cell>
          <cell r="R3529">
            <v>0.69306327203419105</v>
          </cell>
          <cell r="S3529" t="e">
            <v>#VALUE!</v>
          </cell>
          <cell r="T3529" t="e">
            <v>#VALUE!</v>
          </cell>
        </row>
        <row r="3530">
          <cell r="A3530" t="str">
            <v>GRLX340001H7</v>
          </cell>
          <cell r="B3530" t="str">
            <v>MKP000631004535</v>
          </cell>
          <cell r="C3530" t="str">
            <v/>
          </cell>
          <cell r="D3530" t="str">
            <v>Armário de Cozinha Completa 340cm Branco/Branco Veludo Lux Madesa 01</v>
          </cell>
          <cell r="E3530" t="str">
            <v>LUX</v>
          </cell>
          <cell r="F3530" t="str">
            <v>COZINHA</v>
          </cell>
          <cell r="G3530" t="str">
            <v/>
          </cell>
          <cell r="H3530">
            <v>3149.99</v>
          </cell>
          <cell r="I3530">
            <v>3049.99</v>
          </cell>
          <cell r="J3530">
            <v>1780.8529000000001</v>
          </cell>
          <cell r="K3530">
            <v>0</v>
          </cell>
          <cell r="L3530">
            <v>1780.8529000000001</v>
          </cell>
          <cell r="M3530">
            <v>0</v>
          </cell>
          <cell r="N3530">
            <v>3049.99</v>
          </cell>
          <cell r="O3530" t="str">
            <v>LOJA</v>
          </cell>
          <cell r="P3530">
            <v>2679.99</v>
          </cell>
          <cell r="Q3530">
            <v>0.71265689602998605</v>
          </cell>
          <cell r="R3530">
            <v>0.71265689602998605</v>
          </cell>
          <cell r="S3530" t="e">
            <v>#VALUE!</v>
          </cell>
          <cell r="T3530" t="e">
            <v>#VALUE!</v>
          </cell>
        </row>
        <row r="3531">
          <cell r="A3531" t="str">
            <v>G2240173LXCT</v>
          </cell>
          <cell r="B3531" t="str">
            <v>MKP000631005095</v>
          </cell>
          <cell r="C3531" t="str">
            <v/>
          </cell>
          <cell r="D3531" t="str">
            <v>Balcão 40 cm 3 Gavetas Branco/Preto Lux Madesa</v>
          </cell>
          <cell r="E3531" t="str">
            <v>LUX</v>
          </cell>
          <cell r="F3531" t="str">
            <v>MODULAÇÃO</v>
          </cell>
          <cell r="G3531" t="str">
            <v/>
          </cell>
          <cell r="H3531">
            <v>1119.99</v>
          </cell>
          <cell r="I3531">
            <v>899.99</v>
          </cell>
          <cell r="J3531">
            <v>483.46949999999998</v>
          </cell>
          <cell r="K3531">
            <v>0</v>
          </cell>
          <cell r="L3531">
            <v>483.46949999999998</v>
          </cell>
          <cell r="M3531">
            <v>0</v>
          </cell>
          <cell r="N3531">
            <v>899.99</v>
          </cell>
          <cell r="O3531" t="str">
            <v>LOJA</v>
          </cell>
          <cell r="P3531">
            <v>889.99</v>
          </cell>
          <cell r="Q3531">
            <v>0.86152383966310198</v>
          </cell>
          <cell r="R3531">
            <v>0.86152383966310198</v>
          </cell>
          <cell r="S3531" t="e">
            <v>#VALUE!</v>
          </cell>
          <cell r="T3531" t="e">
            <v>#VALUE!</v>
          </cell>
        </row>
        <row r="3532">
          <cell r="A3532" t="str">
            <v>G224017KLX</v>
          </cell>
          <cell r="B3532" t="str">
            <v>MKP000631003561</v>
          </cell>
          <cell r="C3532" t="str">
            <v/>
          </cell>
          <cell r="D3532" t="str">
            <v>Balcão Madesa Lux 40 cm 3 Gavetas (Sem Tampo) Rustic/Preto</v>
          </cell>
          <cell r="E3532" t="str">
            <v>LUX</v>
          </cell>
          <cell r="F3532" t="str">
            <v>MODULAÇÃO</v>
          </cell>
          <cell r="G3532" t="str">
            <v/>
          </cell>
          <cell r="H3532">
            <v>1029.99</v>
          </cell>
          <cell r="I3532">
            <v>789.99</v>
          </cell>
          <cell r="J3532">
            <v>422.11340000000001</v>
          </cell>
          <cell r="K3532">
            <v>0</v>
          </cell>
          <cell r="L3532">
            <v>422.11340000000001</v>
          </cell>
          <cell r="M3532">
            <v>0</v>
          </cell>
          <cell r="N3532">
            <v>789.99</v>
          </cell>
          <cell r="O3532" t="str">
            <v>LOJA</v>
          </cell>
          <cell r="P3532">
            <v>779.99</v>
          </cell>
          <cell r="Q3532">
            <v>0.87151130478208005</v>
          </cell>
          <cell r="R3532">
            <v>0.87151130478208005</v>
          </cell>
          <cell r="S3532" t="e">
            <v>#VALUE!</v>
          </cell>
          <cell r="T3532" t="e">
            <v>#VALUE!</v>
          </cell>
        </row>
        <row r="3533">
          <cell r="A3533" t="str">
            <v>G227509RLXCT</v>
          </cell>
          <cell r="B3533" t="str">
            <v>MKP000631005074</v>
          </cell>
          <cell r="C3533" t="str">
            <v/>
          </cell>
          <cell r="D3533" t="str">
            <v>Balcão de Canto Madesa Lux 1 Porta 60 cm Profundidade (Com Tampo) Branco/Cinza</v>
          </cell>
          <cell r="E3533" t="str">
            <v>LUX</v>
          </cell>
          <cell r="F3533" t="str">
            <v>MODULAÇÃO</v>
          </cell>
          <cell r="G3533" t="str">
            <v/>
          </cell>
          <cell r="H3533">
            <v>1039.99</v>
          </cell>
          <cell r="I3533">
            <v>919.99</v>
          </cell>
          <cell r="J3533">
            <v>467.96969999999999</v>
          </cell>
          <cell r="K3533">
            <v>0</v>
          </cell>
          <cell r="L3533">
            <v>467.96969999999999</v>
          </cell>
          <cell r="M3533">
            <v>0</v>
          </cell>
          <cell r="N3533">
            <v>919.99</v>
          </cell>
          <cell r="O3533" t="str">
            <v>LOJA</v>
          </cell>
          <cell r="P3533">
            <v>899.99</v>
          </cell>
          <cell r="Q3533">
            <v>0.96591787887121805</v>
          </cell>
          <cell r="R3533">
            <v>0.96591787887121805</v>
          </cell>
          <cell r="S3533" t="e">
            <v>#VALUE!</v>
          </cell>
          <cell r="T3533" t="e">
            <v>#VALUE!</v>
          </cell>
        </row>
        <row r="3534">
          <cell r="A3534" t="str">
            <v>G22800H8LXCT</v>
          </cell>
          <cell r="B3534" t="str">
            <v>MKP000631005071</v>
          </cell>
          <cell r="C3534" t="str">
            <v/>
          </cell>
          <cell r="D3534" t="str">
            <v>Balcão 80 cm 2 Portas Rustic/Branco Veludo Lux Madesa</v>
          </cell>
          <cell r="E3534" t="str">
            <v>LUX</v>
          </cell>
          <cell r="F3534" t="str">
            <v>MODULAÇÃO</v>
          </cell>
          <cell r="G3534" t="str">
            <v/>
          </cell>
          <cell r="H3534">
            <v>889.99</v>
          </cell>
          <cell r="I3534">
            <v>829.99</v>
          </cell>
          <cell r="J3534">
            <v>419.48649999999998</v>
          </cell>
          <cell r="K3534">
            <v>0</v>
          </cell>
          <cell r="L3534">
            <v>419.48649999999998</v>
          </cell>
          <cell r="M3534">
            <v>0</v>
          </cell>
          <cell r="N3534">
            <v>829.99</v>
          </cell>
          <cell r="O3534" t="str">
            <v>LOJA</v>
          </cell>
          <cell r="P3534">
            <v>819.99</v>
          </cell>
          <cell r="Q3534">
            <v>0.97858572325927096</v>
          </cell>
          <cell r="R3534">
            <v>0.97858572325927096</v>
          </cell>
          <cell r="S3534" t="e">
            <v>#VALUE!</v>
          </cell>
          <cell r="T3534" t="e">
            <v>#VALUE!</v>
          </cell>
        </row>
        <row r="3535">
          <cell r="A3535" t="str">
            <v>G22400H7LXCT</v>
          </cell>
          <cell r="B3535" t="str">
            <v>MKP000631005102</v>
          </cell>
          <cell r="C3535" t="str">
            <v/>
          </cell>
          <cell r="D3535" t="str">
            <v>Balcão 40 cm 1 Porta Branco/Branco Veludo Lux Madesa</v>
          </cell>
          <cell r="E3535" t="str">
            <v>LUX</v>
          </cell>
          <cell r="F3535" t="str">
            <v>MODULAÇÃO</v>
          </cell>
          <cell r="G3535" t="str">
            <v/>
          </cell>
          <cell r="H3535">
            <v>729.99</v>
          </cell>
          <cell r="I3535">
            <v>579.99</v>
          </cell>
          <cell r="J3535">
            <v>288.73009999999999</v>
          </cell>
          <cell r="K3535">
            <v>0</v>
          </cell>
          <cell r="L3535">
            <v>288.73009999999999</v>
          </cell>
          <cell r="M3535">
            <v>0</v>
          </cell>
          <cell r="N3535">
            <v>579.99</v>
          </cell>
          <cell r="O3535" t="str">
            <v>LOJA</v>
          </cell>
          <cell r="P3535">
            <v>569.99</v>
          </cell>
          <cell r="Q3535">
            <v>1.00876181596585</v>
          </cell>
          <cell r="R3535">
            <v>1.00876181596585</v>
          </cell>
          <cell r="S3535" t="e">
            <v>#VALUE!</v>
          </cell>
          <cell r="T3535" t="e">
            <v>#VALUE!</v>
          </cell>
        </row>
        <row r="3536">
          <cell r="A3536" t="str">
            <v>11185Z2E</v>
          </cell>
          <cell r="B3536" t="str">
            <v>MKP000631002679</v>
          </cell>
          <cell r="C3536" t="str">
            <v/>
          </cell>
          <cell r="D3536" t="str">
            <v>Guarda-Roupa Casal Madesa Istambul 3 Portas de Correr com Espelhos 3 Gavetas Rustic</v>
          </cell>
          <cell r="E3536" t="str">
            <v>ISTAMBUL</v>
          </cell>
          <cell r="F3536" t="str">
            <v>QUARTO</v>
          </cell>
          <cell r="G3536" t="str">
            <v/>
          </cell>
          <cell r="H3536">
            <v>2389.9899999999998</v>
          </cell>
          <cell r="I3536">
            <v>1869.99</v>
          </cell>
          <cell r="J3536">
            <v>1565.7304999999999</v>
          </cell>
          <cell r="K3536">
            <v>0</v>
          </cell>
          <cell r="L3536">
            <v>1565.7304999999999</v>
          </cell>
          <cell r="M3536">
            <v>0</v>
          </cell>
          <cell r="N3536">
            <v>1869.99</v>
          </cell>
          <cell r="O3536" t="str">
            <v/>
          </cell>
          <cell r="P3536">
            <v>0</v>
          </cell>
          <cell r="Q3536">
            <v>0.194324310601345</v>
          </cell>
          <cell r="R3536">
            <v>0.194324310601345</v>
          </cell>
          <cell r="S3536" t="e">
            <v>#VALUE!</v>
          </cell>
          <cell r="T3536" t="e">
            <v>#VALUE!</v>
          </cell>
        </row>
        <row r="3537">
          <cell r="A3537" t="str">
            <v>MDJA0601597KOXF</v>
          </cell>
          <cell r="B3537" t="str">
            <v>MKP000631006063</v>
          </cell>
          <cell r="C3537" t="str">
            <v/>
          </cell>
          <cell r="D3537" t="str">
            <v>Conjunto Sala de Jantar Mesa Tampo de Madeira 6 Cadeiras Rustic/Preto/Oxford Renata Madesa</v>
          </cell>
          <cell r="E3537" t="str">
            <v>RENATA</v>
          </cell>
          <cell r="F3537" t="str">
            <v>SALA DE JANTAR</v>
          </cell>
          <cell r="G3537">
            <v>4255</v>
          </cell>
          <cell r="H3537">
            <v>1499.99</v>
          </cell>
          <cell r="I3537">
            <v>1399.99</v>
          </cell>
          <cell r="J3537">
            <v>1105.4344000000001</v>
          </cell>
          <cell r="K3537">
            <v>0</v>
          </cell>
          <cell r="L3537">
            <v>1105.4344000000001</v>
          </cell>
          <cell r="M3537">
            <v>0</v>
          </cell>
          <cell r="N3537">
            <v>1399.99</v>
          </cell>
          <cell r="O3537" t="str">
            <v/>
          </cell>
          <cell r="P3537">
            <v>0</v>
          </cell>
          <cell r="Q3537">
            <v>0.26646140196107498</v>
          </cell>
          <cell r="R3537">
            <v>0.26646140196107498</v>
          </cell>
          <cell r="S3537" t="e">
            <v>#VALUE!</v>
          </cell>
          <cell r="T3537" t="e">
            <v>#VALUE!</v>
          </cell>
        </row>
        <row r="3538">
          <cell r="A3538" t="str">
            <v>GRGL2700146E</v>
          </cell>
          <cell r="B3538" t="str">
            <v>MKP000631004376</v>
          </cell>
          <cell r="C3538" t="str">
            <v/>
          </cell>
          <cell r="D3538" t="str">
            <v>Armário de Cozinha Completa 270cm Rustic/Branco Glamy Madesa 14</v>
          </cell>
          <cell r="E3538" t="str">
            <v>GLAMY</v>
          </cell>
          <cell r="F3538" t="str">
            <v>COZINHA</v>
          </cell>
          <cell r="G3538" t="str">
            <v/>
          </cell>
          <cell r="H3538">
            <v>1999.99</v>
          </cell>
          <cell r="I3538">
            <v>1899.99</v>
          </cell>
          <cell r="J3538">
            <v>1576.9575</v>
          </cell>
          <cell r="K3538">
            <v>0</v>
          </cell>
          <cell r="L3538">
            <v>1576.9575</v>
          </cell>
          <cell r="M3538">
            <v>0</v>
          </cell>
          <cell r="N3538">
            <v>1899.99</v>
          </cell>
          <cell r="O3538" t="str">
            <v/>
          </cell>
          <cell r="P3538">
            <v>0</v>
          </cell>
          <cell r="Q3538">
            <v>0.20484540642344501</v>
          </cell>
          <cell r="R3538">
            <v>0.20484540642344501</v>
          </cell>
          <cell r="S3538" t="e">
            <v>#VALUE!</v>
          </cell>
          <cell r="T3538" t="e">
            <v>#VALUE!</v>
          </cell>
        </row>
        <row r="3539">
          <cell r="A3539" t="str">
            <v>MDJA0401765ZSIL</v>
          </cell>
          <cell r="B3539" t="str">
            <v>MKP000631005877</v>
          </cell>
          <cell r="C3539" t="str">
            <v/>
          </cell>
          <cell r="D3539" t="str">
            <v>Conjunto Sala de Jantar Mesa Tampo de Madeira 4 Cadeiras Rustic/Silver Gisele Madesa</v>
          </cell>
          <cell r="E3539" t="str">
            <v>GISELE</v>
          </cell>
          <cell r="F3539" t="str">
            <v>SALA DE JANTAR</v>
          </cell>
          <cell r="G3539">
            <v>4256</v>
          </cell>
          <cell r="H3539">
            <v>1099.99</v>
          </cell>
          <cell r="I3539">
            <v>999.99</v>
          </cell>
          <cell r="J3539">
            <v>806.1422</v>
          </cell>
          <cell r="K3539">
            <v>0</v>
          </cell>
          <cell r="L3539">
            <v>806.1422</v>
          </cell>
          <cell r="M3539">
            <v>0</v>
          </cell>
          <cell r="N3539">
            <v>999.99</v>
          </cell>
          <cell r="O3539" t="str">
            <v/>
          </cell>
          <cell r="P3539">
            <v>0</v>
          </cell>
          <cell r="Q3539">
            <v>0.240463531123913</v>
          </cell>
          <cell r="R3539">
            <v>0.240463531123913</v>
          </cell>
          <cell r="S3539" t="e">
            <v>#VALUE!</v>
          </cell>
          <cell r="T3539" t="e">
            <v>#VALUE!</v>
          </cell>
        </row>
        <row r="3540">
          <cell r="A3540" t="str">
            <v>GRSM12000109</v>
          </cell>
          <cell r="B3540" t="str">
            <v>MKP000631001793</v>
          </cell>
          <cell r="C3540" t="str">
            <v/>
          </cell>
          <cell r="D3540" t="str">
            <v>Armário de Cozinha Compacta 100% MDF 120 cm Branco Smart Madesa 01</v>
          </cell>
          <cell r="E3540" t="str">
            <v>SMART</v>
          </cell>
          <cell r="F3540" t="str">
            <v>COZINHA</v>
          </cell>
          <cell r="G3540" t="str">
            <v/>
          </cell>
          <cell r="H3540">
            <v>899.99</v>
          </cell>
          <cell r="I3540">
            <v>799.99</v>
          </cell>
          <cell r="J3540">
            <v>650.09780000000001</v>
          </cell>
          <cell r="K3540">
            <v>0</v>
          </cell>
          <cell r="L3540">
            <v>650.09780000000001</v>
          </cell>
          <cell r="M3540">
            <v>0</v>
          </cell>
          <cell r="N3540">
            <v>799.99</v>
          </cell>
          <cell r="O3540" t="str">
            <v>IMPÉRIO</v>
          </cell>
          <cell r="P3540">
            <v>859</v>
          </cell>
          <cell r="Q3540">
            <v>0.23056869289513099</v>
          </cell>
          <cell r="R3540">
            <v>0.23056869289513099</v>
          </cell>
          <cell r="S3540" t="e">
            <v>#VALUE!</v>
          </cell>
          <cell r="T3540" t="e">
            <v>#VALUE!</v>
          </cell>
        </row>
        <row r="3541">
          <cell r="A3541" t="str">
            <v>GRGL2000087K</v>
          </cell>
          <cell r="B3541" t="str">
            <v>MKP000631005214</v>
          </cell>
          <cell r="C3541" t="str">
            <v/>
          </cell>
          <cell r="D3541" t="str">
            <v>Armário de Cozinha Compacta 200cm Rustic/Preto Glamy Madesa 08</v>
          </cell>
          <cell r="E3541" t="str">
            <v>GLAMY</v>
          </cell>
          <cell r="F3541" t="str">
            <v>COZINHA</v>
          </cell>
          <cell r="G3541" t="str">
            <v/>
          </cell>
          <cell r="H3541">
            <v>1349.99</v>
          </cell>
          <cell r="I3541">
            <v>1249.99</v>
          </cell>
          <cell r="J3541">
            <v>1024.3166000000001</v>
          </cell>
          <cell r="K3541">
            <v>0</v>
          </cell>
          <cell r="L3541">
            <v>1024.3166000000001</v>
          </cell>
          <cell r="M3541">
            <v>0</v>
          </cell>
          <cell r="N3541">
            <v>1249.99</v>
          </cell>
          <cell r="O3541" t="str">
            <v/>
          </cell>
          <cell r="P3541">
            <v>0</v>
          </cell>
          <cell r="Q3541">
            <v>0.220316062436165</v>
          </cell>
          <cell r="R3541">
            <v>0.220316062436165</v>
          </cell>
          <cell r="S3541" t="e">
            <v>#VALUE!</v>
          </cell>
          <cell r="T3541" t="e">
            <v>#VALUE!</v>
          </cell>
        </row>
        <row r="3542">
          <cell r="A3542" t="str">
            <v>GRAG330002F9</v>
          </cell>
          <cell r="B3542" t="str">
            <v>MKP000631005623</v>
          </cell>
          <cell r="C3542" t="str">
            <v/>
          </cell>
          <cell r="D3542" t="str">
            <v>Armário de Cozinha Completa 330cm Rustic/Cinza Agata Madesa 02</v>
          </cell>
          <cell r="E3542" t="str">
            <v>ÁGATA</v>
          </cell>
          <cell r="F3542" t="str">
            <v>COZINHA</v>
          </cell>
          <cell r="G3542" t="str">
            <v/>
          </cell>
          <cell r="H3542">
            <v>2699.99</v>
          </cell>
          <cell r="I3542">
            <v>2599.9899999999998</v>
          </cell>
          <cell r="J3542">
            <v>2109.6187</v>
          </cell>
          <cell r="K3542">
            <v>0</v>
          </cell>
          <cell r="L3542">
            <v>2109.6187</v>
          </cell>
          <cell r="M3542">
            <v>0</v>
          </cell>
          <cell r="N3542">
            <v>2599.9899999999998</v>
          </cell>
          <cell r="O3542" t="str">
            <v/>
          </cell>
          <cell r="P3542">
            <v>0</v>
          </cell>
          <cell r="Q3542">
            <v>0.23244546514495701</v>
          </cell>
          <cell r="R3542">
            <v>0.23244546514495701</v>
          </cell>
          <cell r="S3542" t="e">
            <v>#VALUE!</v>
          </cell>
          <cell r="T3542" t="e">
            <v>#VALUE!</v>
          </cell>
        </row>
        <row r="3543">
          <cell r="A3543" t="str">
            <v>MDJA0401585ZFLH</v>
          </cell>
          <cell r="B3543" t="str">
            <v>MKP000631005528</v>
          </cell>
          <cell r="C3543" t="str">
            <v/>
          </cell>
          <cell r="D3543" t="str">
            <v>Conjunto Sala de Jantar Mesa Tampo de Vidro 4 Cadeiras Rustic/Floral Hibiscos Espanha Madesa</v>
          </cell>
          <cell r="E3543" t="str">
            <v>ESPANHA</v>
          </cell>
          <cell r="F3543" t="str">
            <v>SALA DE JANTAR</v>
          </cell>
          <cell r="G3543" t="str">
            <v>4290X</v>
          </cell>
          <cell r="H3543">
            <v>1099.99</v>
          </cell>
          <cell r="I3543">
            <v>999.99</v>
          </cell>
          <cell r="J3543">
            <v>810.84010000000001</v>
          </cell>
          <cell r="K3543">
            <v>0</v>
          </cell>
          <cell r="L3543">
            <v>810.84010000000001</v>
          </cell>
          <cell r="M3543">
            <v>0</v>
          </cell>
          <cell r="N3543">
            <v>999.99</v>
          </cell>
          <cell r="O3543" t="str">
            <v/>
          </cell>
          <cell r="P3543">
            <v>0</v>
          </cell>
          <cell r="Q3543">
            <v>0.233276449943707</v>
          </cell>
          <cell r="R3543">
            <v>0.233276449943707</v>
          </cell>
          <cell r="S3543" t="e">
            <v>#VALUE!</v>
          </cell>
          <cell r="T3543" t="e">
            <v>#VALUE!</v>
          </cell>
        </row>
        <row r="3544">
          <cell r="A3544" t="str">
            <v>GRGL16000709</v>
          </cell>
          <cell r="B3544" t="str">
            <v>MKP000631005236</v>
          </cell>
          <cell r="C3544" t="str">
            <v/>
          </cell>
          <cell r="D3544" t="str">
            <v>Armário de Cozinha Compacta 160cm Branco Glamy Madesa 07</v>
          </cell>
          <cell r="E3544" t="str">
            <v>GLAMY</v>
          </cell>
          <cell r="F3544" t="str">
            <v>COZINHA</v>
          </cell>
          <cell r="G3544" t="str">
            <v/>
          </cell>
          <cell r="H3544">
            <v>1249.99</v>
          </cell>
          <cell r="I3544">
            <v>1249.99</v>
          </cell>
          <cell r="J3544">
            <v>1009.3291</v>
          </cell>
          <cell r="K3544">
            <v>0</v>
          </cell>
          <cell r="L3544">
            <v>1009.3291</v>
          </cell>
          <cell r="M3544">
            <v>0</v>
          </cell>
          <cell r="N3544">
            <v>1249.99</v>
          </cell>
          <cell r="O3544" t="str">
            <v/>
          </cell>
          <cell r="P3544">
            <v>0</v>
          </cell>
          <cell r="Q3544">
            <v>0.238436502028922</v>
          </cell>
          <cell r="R3544">
            <v>0.238436502028922</v>
          </cell>
          <cell r="S3544" t="e">
            <v>#VALUE!</v>
          </cell>
          <cell r="T3544" t="e">
            <v>#VALUE!</v>
          </cell>
        </row>
        <row r="3545">
          <cell r="A3545" t="str">
            <v>GRGL1600077K</v>
          </cell>
          <cell r="B3545" t="str">
            <v>MKP000631005232</v>
          </cell>
          <cell r="C3545" t="str">
            <v/>
          </cell>
          <cell r="D3545" t="str">
            <v>Armário de Cozinha Compacta 160cm Rustic/Preto Glamy Madesa 07</v>
          </cell>
          <cell r="E3545" t="str">
            <v>GLAMY</v>
          </cell>
          <cell r="F3545" t="str">
            <v>COZINHA</v>
          </cell>
          <cell r="G3545" t="str">
            <v/>
          </cell>
          <cell r="H3545">
            <v>1249.99</v>
          </cell>
          <cell r="I3545">
            <v>1249.99</v>
          </cell>
          <cell r="J3545">
            <v>1009.3291</v>
          </cell>
          <cell r="K3545">
            <v>0</v>
          </cell>
          <cell r="L3545">
            <v>1009.3291</v>
          </cell>
          <cell r="M3545">
            <v>0</v>
          </cell>
          <cell r="N3545">
            <v>1249.99</v>
          </cell>
          <cell r="O3545" t="str">
            <v/>
          </cell>
          <cell r="P3545">
            <v>0</v>
          </cell>
          <cell r="Q3545">
            <v>0.238436502028922</v>
          </cell>
          <cell r="R3545">
            <v>0.238436502028922</v>
          </cell>
          <cell r="S3545" t="e">
            <v>#VALUE!</v>
          </cell>
          <cell r="T3545" t="e">
            <v>#VALUE!</v>
          </cell>
        </row>
        <row r="3546">
          <cell r="A3546" t="str">
            <v>GREM1650097K</v>
          </cell>
          <cell r="B3546" t="str">
            <v>MKP000631006038</v>
          </cell>
          <cell r="C3546" t="str">
            <v/>
          </cell>
          <cell r="D3546" t="str">
            <v>Armário de Cozinha Compacta 165cm com Pia Rustic/Preto Emilly Madesa 09</v>
          </cell>
          <cell r="E3546" t="str">
            <v>EMILLY</v>
          </cell>
          <cell r="F3546" t="str">
            <v>COZINHA</v>
          </cell>
          <cell r="G3546" t="str">
            <v/>
          </cell>
          <cell r="H3546">
            <v>1149.99</v>
          </cell>
          <cell r="I3546">
            <v>1049.99</v>
          </cell>
          <cell r="J3546">
            <v>836.62950000000001</v>
          </cell>
          <cell r="K3546">
            <v>0</v>
          </cell>
          <cell r="L3546">
            <v>836.62950000000001</v>
          </cell>
          <cell r="M3546">
            <v>0</v>
          </cell>
          <cell r="N3546">
            <v>1049.99</v>
          </cell>
          <cell r="O3546" t="str">
            <v/>
          </cell>
          <cell r="P3546">
            <v>0</v>
          </cell>
          <cell r="Q3546">
            <v>0.25502387855078001</v>
          </cell>
          <cell r="R3546">
            <v>0.25502387855078001</v>
          </cell>
          <cell r="S3546" t="e">
            <v>#VALUE!</v>
          </cell>
          <cell r="T3546" t="e">
            <v>#VALUE!</v>
          </cell>
        </row>
        <row r="3547">
          <cell r="A3547" t="str">
            <v>GREM2930085Z</v>
          </cell>
          <cell r="B3547" t="str">
            <v>MKP000631005509</v>
          </cell>
          <cell r="C3547" t="str">
            <v/>
          </cell>
          <cell r="D3547" t="str">
            <v>Armário de Cozinha Completa 293cm com Pia Rustic Emilly Madesa 08</v>
          </cell>
          <cell r="E3547" t="str">
            <v>EMILLY</v>
          </cell>
          <cell r="F3547" t="str">
            <v>COZINHA</v>
          </cell>
          <cell r="G3547" t="str">
            <v/>
          </cell>
          <cell r="H3547">
            <v>1699.99</v>
          </cell>
          <cell r="I3547">
            <v>1599.99</v>
          </cell>
          <cell r="J3547">
            <v>1249.8158000000001</v>
          </cell>
          <cell r="K3547">
            <v>0</v>
          </cell>
          <cell r="L3547">
            <v>1249.8158000000001</v>
          </cell>
          <cell r="M3547">
            <v>0</v>
          </cell>
          <cell r="N3547">
            <v>1599.99</v>
          </cell>
          <cell r="O3547" t="str">
            <v/>
          </cell>
          <cell r="P3547">
            <v>0</v>
          </cell>
          <cell r="Q3547">
            <v>0.28018064742020399</v>
          </cell>
          <cell r="R3547">
            <v>0.28018064742020399</v>
          </cell>
          <cell r="S3547" t="e">
            <v>#VALUE!</v>
          </cell>
          <cell r="T3547" t="e">
            <v>#VALUE!</v>
          </cell>
        </row>
        <row r="3548">
          <cell r="A3548" t="str">
            <v>GCGL3490075Z</v>
          </cell>
          <cell r="B3548" t="str">
            <v>MKP000631005239</v>
          </cell>
          <cell r="C3548" t="str">
            <v/>
          </cell>
          <cell r="D3548" t="str">
            <v>Armário de Cozinha Completa de Canto 349cm Rustic Glamy Madesa 07</v>
          </cell>
          <cell r="E3548" t="str">
            <v>GLAMY</v>
          </cell>
          <cell r="F3548" t="str">
            <v>COZINHA</v>
          </cell>
          <cell r="G3548" t="str">
            <v/>
          </cell>
          <cell r="H3548">
            <v>2159.9899999999998</v>
          </cell>
          <cell r="I3548">
            <v>2159.9899999999998</v>
          </cell>
          <cell r="J3548">
            <v>1729.1106</v>
          </cell>
          <cell r="K3548">
            <v>0</v>
          </cell>
          <cell r="L3548">
            <v>1729.1106</v>
          </cell>
          <cell r="M3548">
            <v>0</v>
          </cell>
          <cell r="N3548">
            <v>2159.9899999999998</v>
          </cell>
          <cell r="O3548" t="str">
            <v/>
          </cell>
          <cell r="P3548">
            <v>0</v>
          </cell>
          <cell r="Q3548">
            <v>0.24919134727414199</v>
          </cell>
          <cell r="R3548">
            <v>0.24919134727414199</v>
          </cell>
          <cell r="S3548" t="e">
            <v>#VALUE!</v>
          </cell>
          <cell r="T3548" t="e">
            <v>#VALUE!</v>
          </cell>
        </row>
        <row r="3549">
          <cell r="A3549" t="str">
            <v>GRAG310002F9</v>
          </cell>
          <cell r="B3549" t="str">
            <v>MKP000631005660</v>
          </cell>
          <cell r="C3549" t="str">
            <v/>
          </cell>
          <cell r="D3549" t="str">
            <v>Armário de Cozinha Completa 310cm Rustic/Cinza Agata Madesa 02</v>
          </cell>
          <cell r="E3549" t="str">
            <v>ÁGATA</v>
          </cell>
          <cell r="F3549" t="str">
            <v>COZINHA</v>
          </cell>
          <cell r="G3549" t="str">
            <v/>
          </cell>
          <cell r="H3549">
            <v>2599.9899999999998</v>
          </cell>
          <cell r="I3549">
            <v>2499.9899999999998</v>
          </cell>
          <cell r="J3549">
            <v>2000.3897999999999</v>
          </cell>
          <cell r="K3549">
            <v>0</v>
          </cell>
          <cell r="L3549">
            <v>2000.3897999999999</v>
          </cell>
          <cell r="M3549">
            <v>0</v>
          </cell>
          <cell r="N3549">
            <v>2499.9899999999998</v>
          </cell>
          <cell r="O3549" t="str">
            <v/>
          </cell>
          <cell r="P3549">
            <v>0</v>
          </cell>
          <cell r="Q3549">
            <v>0.24975142344757001</v>
          </cell>
          <cell r="R3549">
            <v>0.24975142344757001</v>
          </cell>
          <cell r="S3549" t="e">
            <v>#VALUE!</v>
          </cell>
          <cell r="T3549" t="e">
            <v>#VALUE!</v>
          </cell>
        </row>
        <row r="3550">
          <cell r="A3550" t="str">
            <v>GCAG4990017K</v>
          </cell>
          <cell r="B3550" t="str">
            <v>MKP000631005616</v>
          </cell>
          <cell r="C3550" t="str">
            <v/>
          </cell>
          <cell r="D3550" t="str">
            <v>Armário de Cozinha Planejada de Canto 499cm Rustic/Preto Agata Madesa 01</v>
          </cell>
          <cell r="E3550" t="str">
            <v>ÁGATA</v>
          </cell>
          <cell r="F3550" t="str">
            <v>COZINHA</v>
          </cell>
          <cell r="G3550" t="str">
            <v/>
          </cell>
          <cell r="H3550">
            <v>4219.99</v>
          </cell>
          <cell r="I3550">
            <v>4099.99</v>
          </cell>
          <cell r="J3550">
            <v>3274.9268000000002</v>
          </cell>
          <cell r="K3550">
            <v>0</v>
          </cell>
          <cell r="L3550">
            <v>3274.9268000000002</v>
          </cell>
          <cell r="M3550">
            <v>0</v>
          </cell>
          <cell r="N3550">
            <v>4099.99</v>
          </cell>
          <cell r="O3550" t="str">
            <v>MADEIRAMADEIRA</v>
          </cell>
          <cell r="P3550">
            <v>3989.99</v>
          </cell>
          <cell r="Q3550">
            <v>0.25193332565478999</v>
          </cell>
          <cell r="R3550">
            <v>0.25193332565478999</v>
          </cell>
          <cell r="S3550" t="e">
            <v>#VALUE!</v>
          </cell>
          <cell r="T3550" t="e">
            <v>#VALUE!</v>
          </cell>
        </row>
        <row r="3551">
          <cell r="A3551" t="str">
            <v>MDJA0601565ZPT</v>
          </cell>
          <cell r="B3551" t="str">
            <v>MKP000631005893</v>
          </cell>
          <cell r="C3551" t="str">
            <v/>
          </cell>
          <cell r="D3551" t="str">
            <v>Conjunto Sala de Jantar Mesa Tampo de Madeira 6 Cadeiras Rustic/Preto Sharon Madesa</v>
          </cell>
          <cell r="E3551" t="str">
            <v>SHARON</v>
          </cell>
          <cell r="F3551" t="str">
            <v>SALA DE JANTAR</v>
          </cell>
          <cell r="G3551" t="str">
            <v>4290X</v>
          </cell>
          <cell r="H3551">
            <v>839.99</v>
          </cell>
          <cell r="I3551">
            <v>739.99</v>
          </cell>
          <cell r="J3551">
            <v>588.73080000000004</v>
          </cell>
          <cell r="K3551">
            <v>0</v>
          </cell>
          <cell r="L3551">
            <v>588.73080000000004</v>
          </cell>
          <cell r="M3551">
            <v>0</v>
          </cell>
          <cell r="N3551">
            <v>739.99</v>
          </cell>
          <cell r="O3551" t="str">
            <v/>
          </cell>
          <cell r="P3551">
            <v>0</v>
          </cell>
          <cell r="Q3551">
            <v>0.256924217316301</v>
          </cell>
          <cell r="R3551">
            <v>0.256924217316301</v>
          </cell>
          <cell r="S3551" t="e">
            <v>#VALUE!</v>
          </cell>
          <cell r="T3551" t="e">
            <v>#VALUE!</v>
          </cell>
        </row>
        <row r="3552">
          <cell r="A3552" t="str">
            <v>MDES020020D8D8</v>
          </cell>
          <cell r="B3552" t="str">
            <v>MKP000631002807</v>
          </cell>
          <cell r="C3552" t="str">
            <v/>
          </cell>
          <cell r="D3552" t="str">
            <v>Rack Madesa Cancun com Pés e Painel para TV até 65 Polegadas Rustic/Preto D8D8</v>
          </cell>
          <cell r="E3552" t="str">
            <v>CANCUN</v>
          </cell>
          <cell r="F3552" t="str">
            <v>SALA DE ESTAR</v>
          </cell>
          <cell r="G3552" t="str">
            <v/>
          </cell>
          <cell r="H3552">
            <v>699.99</v>
          </cell>
          <cell r="I3552">
            <v>599.99</v>
          </cell>
          <cell r="J3552">
            <v>470.45490000000001</v>
          </cell>
          <cell r="K3552">
            <v>0</v>
          </cell>
          <cell r="L3552">
            <v>470.45490000000001</v>
          </cell>
          <cell r="M3552">
            <v>0</v>
          </cell>
          <cell r="N3552">
            <v>599.99</v>
          </cell>
          <cell r="O3552" t="str">
            <v/>
          </cell>
          <cell r="P3552">
            <v>0</v>
          </cell>
          <cell r="Q3552">
            <v>0.27534010167605799</v>
          </cell>
          <cell r="R3552">
            <v>0.27534010167605799</v>
          </cell>
          <cell r="S3552" t="e">
            <v>#VALUE!</v>
          </cell>
          <cell r="T3552" t="e">
            <v>#VALUE!</v>
          </cell>
        </row>
        <row r="3553">
          <cell r="A3553" t="str">
            <v>GRAG2700036E</v>
          </cell>
          <cell r="B3553" t="str">
            <v>MKP000631004265</v>
          </cell>
          <cell r="C3553" t="str">
            <v/>
          </cell>
          <cell r="D3553" t="str">
            <v>Armário de Cozinha Completa 270cm Rustic Branco Agata Madesa 03</v>
          </cell>
          <cell r="E3553" t="str">
            <v>ÁGATA</v>
          </cell>
          <cell r="F3553" t="str">
            <v>COZINHA</v>
          </cell>
          <cell r="G3553" t="str">
            <v/>
          </cell>
          <cell r="H3553">
            <v>2289.9899999999998</v>
          </cell>
          <cell r="I3553">
            <v>2179.9899999999998</v>
          </cell>
          <cell r="J3553">
            <v>1695.8765000000001</v>
          </cell>
          <cell r="K3553">
            <v>0</v>
          </cell>
          <cell r="L3553">
            <v>1695.8765000000001</v>
          </cell>
          <cell r="M3553">
            <v>0</v>
          </cell>
          <cell r="N3553">
            <v>2179.9899999999998</v>
          </cell>
          <cell r="O3553" t="str">
            <v/>
          </cell>
          <cell r="P3553">
            <v>0</v>
          </cell>
          <cell r="Q3553">
            <v>0.28546506776879099</v>
          </cell>
          <cell r="R3553">
            <v>0.28546506776879099</v>
          </cell>
          <cell r="S3553" t="e">
            <v>#VALUE!</v>
          </cell>
          <cell r="T3553" t="e">
            <v>#VALUE!</v>
          </cell>
        </row>
        <row r="3554">
          <cell r="A3554" t="str">
            <v>MDJA0401697GLIB</v>
          </cell>
          <cell r="B3554" t="str">
            <v>MKP000631005722</v>
          </cell>
          <cell r="C3554" t="str">
            <v/>
          </cell>
          <cell r="D3554" t="str">
            <v>Conjunto Sala de Jantar Mesa Tampo de Madeira 4 Cadeiras Rustic/Crema/Lírio Bege Marilyn Madesa</v>
          </cell>
          <cell r="E3554" t="str">
            <v>MARILYN</v>
          </cell>
          <cell r="F3554" t="str">
            <v>SALA DE JANTAR</v>
          </cell>
          <cell r="G3554" t="str">
            <v>4290X</v>
          </cell>
          <cell r="H3554">
            <v>699.99</v>
          </cell>
          <cell r="I3554">
            <v>599.99</v>
          </cell>
          <cell r="J3554">
            <v>465.66980000000001</v>
          </cell>
          <cell r="K3554">
            <v>0</v>
          </cell>
          <cell r="L3554">
            <v>465.66980000000001</v>
          </cell>
          <cell r="M3554">
            <v>0</v>
          </cell>
          <cell r="N3554">
            <v>599.99</v>
          </cell>
          <cell r="O3554" t="str">
            <v/>
          </cell>
          <cell r="P3554">
            <v>0</v>
          </cell>
          <cell r="Q3554">
            <v>0.28844516006835702</v>
          </cell>
          <cell r="R3554">
            <v>0.28844516006835702</v>
          </cell>
          <cell r="S3554" t="e">
            <v>#VALUE!</v>
          </cell>
          <cell r="T3554" t="e">
            <v>#VALUE!</v>
          </cell>
        </row>
        <row r="3555">
          <cell r="A3555" t="str">
            <v>GRAG270007F8</v>
          </cell>
          <cell r="B3555" t="str">
            <v>MKP000631005266</v>
          </cell>
          <cell r="C3555" t="str">
            <v/>
          </cell>
          <cell r="D3555" t="str">
            <v>Armário de  Cozinha Completa 270cm Branco/Cinza Agata Madesa 07</v>
          </cell>
          <cell r="E3555" t="str">
            <v>ÁGATA</v>
          </cell>
          <cell r="F3555" t="str">
            <v>COZINHA</v>
          </cell>
          <cell r="G3555" t="str">
            <v/>
          </cell>
          <cell r="H3555">
            <v>2219.9899999999998</v>
          </cell>
          <cell r="I3555">
            <v>2099.9899999999998</v>
          </cell>
          <cell r="J3555">
            <v>1623.3152</v>
          </cell>
          <cell r="K3555">
            <v>0</v>
          </cell>
          <cell r="L3555">
            <v>1623.3152</v>
          </cell>
          <cell r="M3555">
            <v>0</v>
          </cell>
          <cell r="N3555">
            <v>2099.9899999999998</v>
          </cell>
          <cell r="O3555" t="str">
            <v/>
          </cell>
          <cell r="P3555">
            <v>0</v>
          </cell>
          <cell r="Q3555">
            <v>0.29364278730341398</v>
          </cell>
          <cell r="R3555">
            <v>0.29364278730341398</v>
          </cell>
          <cell r="S3555" t="e">
            <v>#VALUE!</v>
          </cell>
          <cell r="T3555" t="e">
            <v>#VALUE!</v>
          </cell>
        </row>
        <row r="3556">
          <cell r="A3556" t="str">
            <v>G24153F9AGCTFF</v>
          </cell>
          <cell r="B3556" t="str">
            <v>MKP000631005614</v>
          </cell>
          <cell r="C3556" t="str">
            <v/>
          </cell>
          <cell r="D3556" t="str">
            <v>Balcão Gabinete de Pia Madesa Agata 150 cm 2 Gavetas 2 Portas (Com Tampo) Rustic/Cinza</v>
          </cell>
          <cell r="E3556" t="str">
            <v>ÁGATA</v>
          </cell>
          <cell r="F3556" t="str">
            <v>MODULAÇÃO</v>
          </cell>
          <cell r="G3556" t="str">
            <v/>
          </cell>
          <cell r="H3556">
            <v>859.99</v>
          </cell>
          <cell r="I3556">
            <v>779.99</v>
          </cell>
          <cell r="J3556">
            <v>581.08989999999994</v>
          </cell>
          <cell r="K3556">
            <v>0</v>
          </cell>
          <cell r="L3556">
            <v>581.08989999999994</v>
          </cell>
          <cell r="M3556">
            <v>0</v>
          </cell>
          <cell r="N3556">
            <v>779.99</v>
          </cell>
          <cell r="O3556" t="str">
            <v/>
          </cell>
          <cell r="P3556">
            <v>0</v>
          </cell>
          <cell r="Q3556">
            <v>0.342288000531415</v>
          </cell>
          <cell r="R3556">
            <v>0.342288000531415</v>
          </cell>
          <cell r="S3556" t="e">
            <v>#VALUE!</v>
          </cell>
          <cell r="T3556" t="e">
            <v>#VALUE!</v>
          </cell>
        </row>
        <row r="3557">
          <cell r="A3557" t="str">
            <v>XAMDFC02000173</v>
          </cell>
          <cell r="B3557" t="str">
            <v>MKP000631003378</v>
          </cell>
          <cell r="C3557" t="str">
            <v/>
          </cell>
          <cell r="D3557" t="str">
            <v>Mesa para Computador Gamer e Painel para TV até 50 Madesa Branco/Preto</v>
          </cell>
          <cell r="E3557" t="str">
            <v>GAMER</v>
          </cell>
          <cell r="F3557" t="str">
            <v>ESCRITÓRIO</v>
          </cell>
          <cell r="G3557" t="str">
            <v/>
          </cell>
          <cell r="H3557">
            <v>699.99</v>
          </cell>
          <cell r="I3557">
            <v>469.99</v>
          </cell>
          <cell r="J3557">
            <v>340.625</v>
          </cell>
          <cell r="K3557">
            <v>0</v>
          </cell>
          <cell r="L3557">
            <v>340.625</v>
          </cell>
          <cell r="M3557">
            <v>0</v>
          </cell>
          <cell r="N3557">
            <v>469.99</v>
          </cell>
          <cell r="O3557" t="str">
            <v/>
          </cell>
          <cell r="P3557">
            <v>0</v>
          </cell>
          <cell r="Q3557">
            <v>0.37978715596330298</v>
          </cell>
          <cell r="R3557">
            <v>0.37978715596330298</v>
          </cell>
          <cell r="S3557" t="e">
            <v>#VALUE!</v>
          </cell>
          <cell r="T3557" t="e">
            <v>#VALUE!</v>
          </cell>
        </row>
        <row r="3558">
          <cell r="A3558" t="str">
            <v>5275F92VI</v>
          </cell>
          <cell r="B3558" t="str">
            <v>MKP000631005638</v>
          </cell>
          <cell r="C3558" t="str">
            <v/>
          </cell>
          <cell r="D3558" t="str">
            <v>Mesa de Jantar Retangular Tampo de Vidro Rustic/Cinza 5275 Madesa</v>
          </cell>
          <cell r="E3558">
            <v>5363</v>
          </cell>
          <cell r="F3558" t="str">
            <v>SALA DE JANTAR</v>
          </cell>
          <cell r="G3558" t="str">
            <v/>
          </cell>
          <cell r="H3558">
            <v>799.99</v>
          </cell>
          <cell r="I3558">
            <v>799.99</v>
          </cell>
          <cell r="J3558">
            <v>515.26480000000004</v>
          </cell>
          <cell r="K3558">
            <v>0</v>
          </cell>
          <cell r="L3558">
            <v>515.26480000000004</v>
          </cell>
          <cell r="M3558">
            <v>0</v>
          </cell>
          <cell r="N3558">
            <v>799.99</v>
          </cell>
          <cell r="O3558" t="str">
            <v/>
          </cell>
          <cell r="P3558">
            <v>0</v>
          </cell>
          <cell r="Q3558">
            <v>0.55258034315559701</v>
          </cell>
          <cell r="R3558">
            <v>0.55258034315559701</v>
          </cell>
          <cell r="S3558" t="e">
            <v>#VALUE!</v>
          </cell>
          <cell r="T3558" t="e">
            <v>#VALUE!</v>
          </cell>
        </row>
        <row r="3559">
          <cell r="A3559" t="str">
            <v>G2470009</v>
          </cell>
          <cell r="B3559" t="str">
            <v>MKP000631005744</v>
          </cell>
          <cell r="C3559" t="str">
            <v/>
          </cell>
          <cell r="D3559" t="str">
            <v>Balcão 100% MDF 70 cm 2 Portas Frentes Branco Brilho Acordes Madesa</v>
          </cell>
          <cell r="E3559" t="str">
            <v>ACORDES</v>
          </cell>
          <cell r="F3559" t="str">
            <v>MODULAÇÃO</v>
          </cell>
          <cell r="G3559" t="str">
            <v/>
          </cell>
          <cell r="H3559">
            <v>549.99</v>
          </cell>
          <cell r="I3559">
            <v>529.99</v>
          </cell>
          <cell r="J3559">
            <v>345.67169999999999</v>
          </cell>
          <cell r="K3559">
            <v>0</v>
          </cell>
          <cell r="L3559">
            <v>345.67169999999999</v>
          </cell>
          <cell r="M3559">
            <v>0</v>
          </cell>
          <cell r="N3559">
            <v>529.99</v>
          </cell>
          <cell r="O3559" t="str">
            <v/>
          </cell>
          <cell r="P3559">
            <v>0</v>
          </cell>
          <cell r="Q3559">
            <v>0.53321779017489701</v>
          </cell>
          <cell r="R3559">
            <v>0.53321779017489701</v>
          </cell>
          <cell r="S3559" t="e">
            <v>#VALUE!</v>
          </cell>
          <cell r="T3559" t="e">
            <v>#VALUE!</v>
          </cell>
        </row>
        <row r="3560">
          <cell r="A3560" t="str">
            <v>G2280009FFCT</v>
          </cell>
          <cell r="B3560" t="str">
            <v>MKP000631006035</v>
          </cell>
          <cell r="C3560" t="str">
            <v/>
          </cell>
          <cell r="D3560" t="str">
            <v>Balcão para Forno de Embutir 80 x 60 cm Com Tampo Branco Agata, Glamy, Stella Madesa</v>
          </cell>
          <cell r="E3560" t="str">
            <v>PR</v>
          </cell>
          <cell r="F3560" t="str">
            <v>MODULAÇÃO</v>
          </cell>
          <cell r="G3560" t="str">
            <v/>
          </cell>
          <cell r="H3560">
            <v>589.99</v>
          </cell>
          <cell r="I3560">
            <v>589.99</v>
          </cell>
          <cell r="J3560">
            <v>382.07769999999999</v>
          </cell>
          <cell r="K3560">
            <v>0</v>
          </cell>
          <cell r="L3560">
            <v>382.07769999999999</v>
          </cell>
          <cell r="M3560">
            <v>0</v>
          </cell>
          <cell r="N3560">
            <v>589.99</v>
          </cell>
          <cell r="O3560" t="str">
            <v/>
          </cell>
          <cell r="P3560">
            <v>0</v>
          </cell>
          <cell r="Q3560">
            <v>0.544162352317343</v>
          </cell>
          <cell r="R3560">
            <v>0.544162352317343</v>
          </cell>
          <cell r="S3560" t="e">
            <v>#VALUE!</v>
          </cell>
          <cell r="T3560" t="e">
            <v>#VALUE!</v>
          </cell>
        </row>
        <row r="3561">
          <cell r="A3561" t="str">
            <v>G24350F8AG</v>
          </cell>
          <cell r="B3561" t="str">
            <v>MKP000631002933</v>
          </cell>
          <cell r="C3561" t="str">
            <v/>
          </cell>
          <cell r="D3561" t="str">
            <v>Balcão Madesa Agata 35 cm 1 Porta Branco/Cinza</v>
          </cell>
          <cell r="E3561" t="str">
            <v>ÁGATA</v>
          </cell>
          <cell r="F3561" t="str">
            <v>MODULAÇÃO</v>
          </cell>
          <cell r="G3561" t="str">
            <v/>
          </cell>
          <cell r="H3561">
            <v>679.99</v>
          </cell>
          <cell r="I3561">
            <v>349.99</v>
          </cell>
          <cell r="J3561">
            <v>214.44659999999999</v>
          </cell>
          <cell r="K3561">
            <v>0</v>
          </cell>
          <cell r="L3561">
            <v>214.44659999999999</v>
          </cell>
          <cell r="M3561">
            <v>0</v>
          </cell>
          <cell r="N3561">
            <v>349.99</v>
          </cell>
          <cell r="O3561" t="str">
            <v/>
          </cell>
          <cell r="P3561">
            <v>0</v>
          </cell>
          <cell r="Q3561">
            <v>0.632061315031341</v>
          </cell>
          <cell r="R3561">
            <v>0.632061315031341</v>
          </cell>
          <cell r="S3561" t="e">
            <v>#VALUE!</v>
          </cell>
          <cell r="T3561" t="e">
            <v>#VALUE!</v>
          </cell>
        </row>
        <row r="3562">
          <cell r="A3562" t="str">
            <v>G256025LAG</v>
          </cell>
          <cell r="B3562" t="str">
            <v>MKP000631005334</v>
          </cell>
          <cell r="C3562" t="str">
            <v/>
          </cell>
          <cell r="D3562" t="str">
            <v>Armário Aéreo 60 cm 1 Porta Basculante Branco/Crema Agata Madesa</v>
          </cell>
          <cell r="E3562" t="str">
            <v>ÁGATA</v>
          </cell>
          <cell r="F3562" t="str">
            <v>MODULAÇÃO</v>
          </cell>
          <cell r="G3562" t="str">
            <v/>
          </cell>
          <cell r="H3562">
            <v>379.99</v>
          </cell>
          <cell r="I3562">
            <v>279.99</v>
          </cell>
          <cell r="J3562">
            <v>149.85319999999999</v>
          </cell>
          <cell r="K3562">
            <v>0</v>
          </cell>
          <cell r="L3562">
            <v>149.85319999999999</v>
          </cell>
          <cell r="M3562">
            <v>0</v>
          </cell>
          <cell r="N3562">
            <v>279.99</v>
          </cell>
          <cell r="O3562" t="str">
            <v/>
          </cell>
          <cell r="P3562">
            <v>0</v>
          </cell>
          <cell r="Q3562">
            <v>0.86842856875929297</v>
          </cell>
          <cell r="R3562">
            <v>0.86842856875929297</v>
          </cell>
          <cell r="S3562" t="e">
            <v>#VALUE!</v>
          </cell>
          <cell r="T3562" t="e">
            <v>#VALUE!</v>
          </cell>
        </row>
        <row r="3563">
          <cell r="A3563" t="str">
            <v>G226017KLXCT</v>
          </cell>
          <cell r="B3563" t="str">
            <v>MKP000631005079</v>
          </cell>
          <cell r="C3563" t="str">
            <v/>
          </cell>
          <cell r="D3563" t="str">
            <v>Balcão 60 cm 3 Gavetas Rustic/Preto Lux Madesa</v>
          </cell>
          <cell r="E3563" t="str">
            <v>LUX</v>
          </cell>
          <cell r="F3563" t="str">
            <v>MODULAÇÃO</v>
          </cell>
          <cell r="G3563" t="str">
            <v/>
          </cell>
          <cell r="H3563">
            <v>1419.99</v>
          </cell>
          <cell r="I3563">
            <v>1089.99</v>
          </cell>
          <cell r="J3563">
            <v>580.10889999999995</v>
          </cell>
          <cell r="K3563">
            <v>0</v>
          </cell>
          <cell r="L3563">
            <v>580.10889999999995</v>
          </cell>
          <cell r="M3563">
            <v>0</v>
          </cell>
          <cell r="N3563">
            <v>1089.99</v>
          </cell>
          <cell r="O3563" t="str">
            <v>LOJA</v>
          </cell>
          <cell r="P3563">
            <v>1079.99</v>
          </cell>
          <cell r="Q3563">
            <v>0.87894031620614699</v>
          </cell>
          <cell r="R3563">
            <v>0.87894031620614699</v>
          </cell>
          <cell r="S3563" t="e">
            <v>#VALUE!</v>
          </cell>
          <cell r="T3563" t="e">
            <v>#VALUE!</v>
          </cell>
        </row>
        <row r="3564">
          <cell r="A3564" t="str">
            <v>G22601H8LXCT</v>
          </cell>
          <cell r="B3564" t="str">
            <v>MKP000631005081</v>
          </cell>
          <cell r="C3564" t="str">
            <v/>
          </cell>
          <cell r="D3564" t="str">
            <v>Balcão 60 cm 3 Gavetas Rustic/Branco Veludo Lux Madesa</v>
          </cell>
          <cell r="E3564" t="str">
            <v>LUX</v>
          </cell>
          <cell r="F3564" t="str">
            <v>MODULAÇÃO</v>
          </cell>
          <cell r="G3564" t="str">
            <v/>
          </cell>
          <cell r="H3564">
            <v>1089.99</v>
          </cell>
          <cell r="I3564">
            <v>919.99</v>
          </cell>
          <cell r="J3564">
            <v>471.6103</v>
          </cell>
          <cell r="K3564">
            <v>0</v>
          </cell>
          <cell r="L3564">
            <v>471.6103</v>
          </cell>
          <cell r="M3564">
            <v>0</v>
          </cell>
          <cell r="N3564">
            <v>919.99</v>
          </cell>
          <cell r="O3564" t="str">
            <v>LOJA</v>
          </cell>
          <cell r="P3564">
            <v>899.99</v>
          </cell>
          <cell r="Q3564">
            <v>0.95074195792585503</v>
          </cell>
          <cell r="R3564">
            <v>0.95074195792585503</v>
          </cell>
          <cell r="S3564" t="e">
            <v>#VALUE!</v>
          </cell>
          <cell r="T3564" t="e">
            <v>#VALUE!</v>
          </cell>
        </row>
        <row r="3565">
          <cell r="A3565" t="str">
            <v>MDJA0601565ZFBM</v>
          </cell>
          <cell r="B3565" t="str">
            <v>MKP000631005892</v>
          </cell>
          <cell r="C3565" t="str">
            <v/>
          </cell>
          <cell r="D3565" t="str">
            <v>Conjunto Sala de Jantar Mesa Tampo de Madeira 6 Cadeiras Rustic/Bege Marrom Sharon Madesa</v>
          </cell>
          <cell r="E3565" t="str">
            <v>SHARON</v>
          </cell>
          <cell r="F3565" t="str">
            <v>SALA DE JANTAR</v>
          </cell>
          <cell r="G3565" t="str">
            <v>4290X</v>
          </cell>
          <cell r="H3565">
            <v>849.99</v>
          </cell>
          <cell r="I3565">
            <v>749.99</v>
          </cell>
          <cell r="J3565">
            <v>588.73080000000004</v>
          </cell>
          <cell r="K3565">
            <v>0</v>
          </cell>
          <cell r="L3565">
            <v>588.73080000000004</v>
          </cell>
          <cell r="M3565">
            <v>0</v>
          </cell>
          <cell r="N3565">
            <v>749.99</v>
          </cell>
          <cell r="O3565" t="str">
            <v/>
          </cell>
          <cell r="P3565">
            <v>0</v>
          </cell>
          <cell r="Q3565">
            <v>0.27390990924884501</v>
          </cell>
          <cell r="R3565">
            <v>0.27390990924884501</v>
          </cell>
          <cell r="S3565" t="e">
            <v>#VALUE!</v>
          </cell>
          <cell r="T3565" t="e">
            <v>#VALUE!</v>
          </cell>
        </row>
        <row r="3566">
          <cell r="A3566" t="str">
            <v>GRGL220003D7</v>
          </cell>
          <cell r="B3566" t="str">
            <v>MKP000631001460</v>
          </cell>
          <cell r="C3566" t="str">
            <v/>
          </cell>
          <cell r="D3566" t="str">
            <v>Armário de Cozinha Completa 220cm Branco/Rustic/Preto Parma Madesa 03</v>
          </cell>
          <cell r="E3566" t="str">
            <v>PARMA/GLAMY</v>
          </cell>
          <cell r="F3566" t="str">
            <v>COZINHA</v>
          </cell>
          <cell r="G3566" t="str">
            <v/>
          </cell>
          <cell r="H3566">
            <v>1899.99</v>
          </cell>
          <cell r="I3566">
            <v>1799.99</v>
          </cell>
          <cell r="J3566">
            <v>1541.2927</v>
          </cell>
          <cell r="K3566">
            <v>0</v>
          </cell>
          <cell r="L3566">
            <v>1541.2927</v>
          </cell>
          <cell r="M3566">
            <v>0</v>
          </cell>
          <cell r="N3566">
            <v>1799.99</v>
          </cell>
          <cell r="O3566" t="str">
            <v/>
          </cell>
          <cell r="P3566">
            <v>0</v>
          </cell>
          <cell r="Q3566">
            <v>0.16784436856153301</v>
          </cell>
          <cell r="R3566">
            <v>0.16784436856153301</v>
          </cell>
          <cell r="S3566" t="e">
            <v>#VALUE!</v>
          </cell>
          <cell r="T3566" t="e">
            <v>#VALUE!</v>
          </cell>
        </row>
        <row r="3567">
          <cell r="A3567" t="str">
            <v>GCGL3490066E</v>
          </cell>
          <cell r="B3567" t="str">
            <v>MKP000631005246</v>
          </cell>
          <cell r="C3567" t="str">
            <v/>
          </cell>
          <cell r="D3567" t="str">
            <v>Armário de Cozinha Completa de Canto 349cm Rustic/Branco Glamy Madesa 06</v>
          </cell>
          <cell r="E3567" t="str">
            <v>GLAMY</v>
          </cell>
          <cell r="F3567" t="str">
            <v>COZINHA</v>
          </cell>
          <cell r="G3567" t="str">
            <v/>
          </cell>
          <cell r="H3567">
            <v>1999.99</v>
          </cell>
          <cell r="I3567">
            <v>1999.99</v>
          </cell>
          <cell r="J3567">
            <v>1692.2249999999999</v>
          </cell>
          <cell r="K3567">
            <v>0</v>
          </cell>
          <cell r="L3567">
            <v>1692.2249999999999</v>
          </cell>
          <cell r="M3567">
            <v>0</v>
          </cell>
          <cell r="N3567">
            <v>1999.99</v>
          </cell>
          <cell r="O3567" t="str">
            <v/>
          </cell>
          <cell r="P3567">
            <v>0</v>
          </cell>
          <cell r="Q3567">
            <v>0.181870023194315</v>
          </cell>
          <cell r="R3567">
            <v>0.181870023194315</v>
          </cell>
          <cell r="S3567" t="e">
            <v>#VALUE!</v>
          </cell>
          <cell r="T3567" t="e">
            <v>#VALUE!</v>
          </cell>
        </row>
        <row r="3568">
          <cell r="A3568" t="str">
            <v>GRAG25000173</v>
          </cell>
          <cell r="B3568" t="str">
            <v>MKP000631005673</v>
          </cell>
          <cell r="C3568" t="str">
            <v/>
          </cell>
          <cell r="D3568" t="str">
            <v>Armário de Cozinha Completa 250cm Branco/Preto Agata Madesa 01</v>
          </cell>
          <cell r="E3568" t="str">
            <v>ÁGATA</v>
          </cell>
          <cell r="F3568" t="str">
            <v>COZINHA</v>
          </cell>
          <cell r="G3568" t="str">
            <v/>
          </cell>
          <cell r="H3568">
            <v>2149.9899999999998</v>
          </cell>
          <cell r="I3568">
            <v>1999.99</v>
          </cell>
          <cell r="J3568">
            <v>1674.4907000000001</v>
          </cell>
          <cell r="K3568">
            <v>0</v>
          </cell>
          <cell r="L3568">
            <v>1674.4907000000001</v>
          </cell>
          <cell r="M3568">
            <v>0</v>
          </cell>
          <cell r="N3568">
            <v>1999.99</v>
          </cell>
          <cell r="O3568" t="str">
            <v/>
          </cell>
          <cell r="P3568">
            <v>0</v>
          </cell>
          <cell r="Q3568">
            <v>0.194387045565556</v>
          </cell>
          <cell r="R3568">
            <v>0.194387045565556</v>
          </cell>
          <cell r="S3568" t="e">
            <v>#VALUE!</v>
          </cell>
          <cell r="T3568" t="e">
            <v>#VALUE!</v>
          </cell>
        </row>
        <row r="3569">
          <cell r="A3569" t="str">
            <v>GRGL290012A8</v>
          </cell>
          <cell r="B3569" t="str">
            <v>MKP000631001255</v>
          </cell>
          <cell r="C3569" t="str">
            <v/>
          </cell>
          <cell r="D3569" t="str">
            <v>Armário de Cozinha Completa 290cm Branco/Rustic/Branco Vicenza Madesa 12</v>
          </cell>
          <cell r="E3569" t="str">
            <v>VICENZA/GLAMY</v>
          </cell>
          <cell r="F3569" t="str">
            <v>COZINHA</v>
          </cell>
          <cell r="G3569" t="str">
            <v/>
          </cell>
          <cell r="H3569">
            <v>3299.99</v>
          </cell>
          <cell r="I3569">
            <v>2599.9899999999998</v>
          </cell>
          <cell r="J3569">
            <v>2167.4105</v>
          </cell>
          <cell r="K3569">
            <v>0</v>
          </cell>
          <cell r="L3569">
            <v>2167.4105</v>
          </cell>
          <cell r="M3569">
            <v>0</v>
          </cell>
          <cell r="N3569">
            <v>2599.9899999999998</v>
          </cell>
          <cell r="O3569" t="str">
            <v/>
          </cell>
          <cell r="P3569">
            <v>0</v>
          </cell>
          <cell r="Q3569">
            <v>0.19958355835223601</v>
          </cell>
          <cell r="R3569">
            <v>0.19958355835223601</v>
          </cell>
          <cell r="S3569" t="e">
            <v>#VALUE!</v>
          </cell>
          <cell r="T3569" t="e">
            <v>#VALUE!</v>
          </cell>
        </row>
        <row r="3570">
          <cell r="A3570" t="str">
            <v>GRGL2200026E</v>
          </cell>
          <cell r="B3570" t="str">
            <v>MKP000631001400</v>
          </cell>
          <cell r="C3570" t="str">
            <v/>
          </cell>
          <cell r="D3570" t="str">
            <v>Armário de Cozinha Completa 220cm Rustic/Branco Parma Madesa 02</v>
          </cell>
          <cell r="E3570" t="str">
            <v>PARMA/GLAMY</v>
          </cell>
          <cell r="F3570" t="str">
            <v>COZINHA</v>
          </cell>
          <cell r="G3570" t="str">
            <v/>
          </cell>
          <cell r="H3570">
            <v>1969.99</v>
          </cell>
          <cell r="I3570">
            <v>1869.99</v>
          </cell>
          <cell r="J3570">
            <v>1558.7654</v>
          </cell>
          <cell r="K3570">
            <v>0</v>
          </cell>
          <cell r="L3570">
            <v>1558.7654</v>
          </cell>
          <cell r="M3570">
            <v>0</v>
          </cell>
          <cell r="N3570">
            <v>1869.99</v>
          </cell>
          <cell r="O3570" t="str">
            <v/>
          </cell>
          <cell r="P3570">
            <v>0</v>
          </cell>
          <cell r="Q3570">
            <v>0.199660962451438</v>
          </cell>
          <cell r="R3570">
            <v>0.199660962451438</v>
          </cell>
          <cell r="S3570" t="e">
            <v>#VALUE!</v>
          </cell>
          <cell r="T3570" t="e">
            <v>#VALUE!</v>
          </cell>
        </row>
        <row r="3571">
          <cell r="A3571" t="str">
            <v>GRGL27001509</v>
          </cell>
          <cell r="B3571" t="str">
            <v>MKP000631005670</v>
          </cell>
          <cell r="C3571" t="str">
            <v/>
          </cell>
          <cell r="D3571" t="str">
            <v>Armário de Cozinha Completa 270cm Branco Glamy Madesa 15</v>
          </cell>
          <cell r="E3571" t="str">
            <v>GLAMY</v>
          </cell>
          <cell r="F3571" t="str">
            <v>COZINHA</v>
          </cell>
          <cell r="G3571" t="str">
            <v/>
          </cell>
          <cell r="H3571">
            <v>1899.99</v>
          </cell>
          <cell r="I3571">
            <v>1799.99</v>
          </cell>
          <cell r="J3571">
            <v>1486.2585999999999</v>
          </cell>
          <cell r="K3571">
            <v>0</v>
          </cell>
          <cell r="L3571">
            <v>1486.2585999999999</v>
          </cell>
          <cell r="M3571">
            <v>0</v>
          </cell>
          <cell r="N3571">
            <v>1799.99</v>
          </cell>
          <cell r="O3571" t="str">
            <v/>
          </cell>
          <cell r="P3571">
            <v>0</v>
          </cell>
          <cell r="Q3571">
            <v>0.211088030037303</v>
          </cell>
          <cell r="R3571">
            <v>0.211088030037303</v>
          </cell>
          <cell r="S3571" t="e">
            <v>#VALUE!</v>
          </cell>
          <cell r="T3571" t="e">
            <v>#VALUE!</v>
          </cell>
        </row>
        <row r="3572">
          <cell r="A3572" t="str">
            <v>GREM2290045Z</v>
          </cell>
          <cell r="B3572" t="str">
            <v>MKP000631005176</v>
          </cell>
          <cell r="C3572" t="str">
            <v/>
          </cell>
          <cell r="D3572" t="str">
            <v>Armário de Cozinha Completa 229cm Rustic Emilly Madesa 04</v>
          </cell>
          <cell r="E3572" t="str">
            <v>EMILLY</v>
          </cell>
          <cell r="F3572" t="str">
            <v>COZINHA</v>
          </cell>
          <cell r="G3572" t="str">
            <v/>
          </cell>
          <cell r="H3572">
            <v>1239.99</v>
          </cell>
          <cell r="I3572">
            <v>1139.99</v>
          </cell>
          <cell r="J3572">
            <v>914.24839999999995</v>
          </cell>
          <cell r="K3572">
            <v>0</v>
          </cell>
          <cell r="L3572">
            <v>914.24839999999995</v>
          </cell>
          <cell r="M3572">
            <v>0</v>
          </cell>
          <cell r="N3572">
            <v>1139.99</v>
          </cell>
          <cell r="O3572" t="str">
            <v/>
          </cell>
          <cell r="P3572">
            <v>0</v>
          </cell>
          <cell r="Q3572">
            <v>0.24691495221648699</v>
          </cell>
          <cell r="R3572">
            <v>0.24691495221648699</v>
          </cell>
          <cell r="S3572" t="e">
            <v>#VALUE!</v>
          </cell>
          <cell r="T3572" t="e">
            <v>#VALUE!</v>
          </cell>
        </row>
        <row r="3573">
          <cell r="A3573" t="str">
            <v>GCGL4190017K</v>
          </cell>
          <cell r="B3573" t="str">
            <v>MKP000631004381</v>
          </cell>
          <cell r="C3573" t="str">
            <v/>
          </cell>
          <cell r="D3573" t="str">
            <v>Armário de Cozinha Completa de Canto 419cm Rustic/Preto Glamy Madesa 01</v>
          </cell>
          <cell r="E3573" t="str">
            <v>GLAMY</v>
          </cell>
          <cell r="F3573" t="str">
            <v>COZINHA</v>
          </cell>
          <cell r="G3573" t="str">
            <v/>
          </cell>
          <cell r="H3573">
            <v>3299.99</v>
          </cell>
          <cell r="I3573">
            <v>3199.99</v>
          </cell>
          <cell r="J3573">
            <v>2615.1934000000001</v>
          </cell>
          <cell r="K3573">
            <v>0</v>
          </cell>
          <cell r="L3573">
            <v>2615.1934000000001</v>
          </cell>
          <cell r="M3573">
            <v>0</v>
          </cell>
          <cell r="N3573">
            <v>3199.99</v>
          </cell>
          <cell r="O3573" t="str">
            <v/>
          </cell>
          <cell r="P3573">
            <v>0</v>
          </cell>
          <cell r="Q3573">
            <v>0.223615048890839</v>
          </cell>
          <cell r="R3573">
            <v>0.223615048890839</v>
          </cell>
          <cell r="S3573" t="e">
            <v>#VALUE!</v>
          </cell>
          <cell r="T3573" t="e">
            <v>#VALUE!</v>
          </cell>
        </row>
        <row r="3574">
          <cell r="A3574" t="str">
            <v>GCTE4990036E</v>
          </cell>
          <cell r="B3574" t="str">
            <v>MKP000631005765</v>
          </cell>
          <cell r="C3574" t="str">
            <v/>
          </cell>
          <cell r="D3574" t="str">
            <v>Armário de Cozinha Completa de Canto 499cm Rustic/Branco Stella Madesa 03</v>
          </cell>
          <cell r="E3574" t="str">
            <v>STELLA</v>
          </cell>
          <cell r="F3574" t="str">
            <v>COZINHA</v>
          </cell>
          <cell r="G3574" t="str">
            <v/>
          </cell>
          <cell r="H3574">
            <v>3799.99</v>
          </cell>
          <cell r="I3574">
            <v>3799.99</v>
          </cell>
          <cell r="J3574">
            <v>3091.0873999999999</v>
          </cell>
          <cell r="K3574">
            <v>0</v>
          </cell>
          <cell r="L3574">
            <v>3091.0873999999999</v>
          </cell>
          <cell r="M3574">
            <v>0</v>
          </cell>
          <cell r="N3574">
            <v>3799.99</v>
          </cell>
          <cell r="O3574" t="str">
            <v/>
          </cell>
          <cell r="P3574">
            <v>0</v>
          </cell>
          <cell r="Q3574">
            <v>0.22933761109440001</v>
          </cell>
          <cell r="R3574">
            <v>0.22933761109440001</v>
          </cell>
          <cell r="S3574" t="e">
            <v>#VALUE!</v>
          </cell>
          <cell r="T3574" t="e">
            <v>#VALUE!</v>
          </cell>
        </row>
        <row r="3575">
          <cell r="A3575" t="str">
            <v>GRAG27000473</v>
          </cell>
          <cell r="B3575" t="str">
            <v>MKP000631004554</v>
          </cell>
          <cell r="C3575" t="str">
            <v/>
          </cell>
          <cell r="D3575" t="str">
            <v>Armário de Cozinha Completa 270cm Branco Preto Agata Madesa 04</v>
          </cell>
          <cell r="E3575" t="str">
            <v>ÁGATA</v>
          </cell>
          <cell r="F3575" t="str">
            <v>COZINHA</v>
          </cell>
          <cell r="G3575" t="str">
            <v/>
          </cell>
          <cell r="H3575">
            <v>1799.99</v>
          </cell>
          <cell r="I3575">
            <v>1699.99</v>
          </cell>
          <cell r="J3575">
            <v>1370.0536999999999</v>
          </cell>
          <cell r="K3575">
            <v>0</v>
          </cell>
          <cell r="L3575">
            <v>1370.0536999999999</v>
          </cell>
          <cell r="M3575">
            <v>0</v>
          </cell>
          <cell r="N3575">
            <v>1699.99</v>
          </cell>
          <cell r="O3575" t="str">
            <v/>
          </cell>
          <cell r="P3575">
            <v>0</v>
          </cell>
          <cell r="Q3575">
            <v>0.24081997661843499</v>
          </cell>
          <cell r="R3575">
            <v>0.24081997661843499</v>
          </cell>
          <cell r="S3575" t="e">
            <v>#VALUE!</v>
          </cell>
          <cell r="T3575" t="e">
            <v>#VALUE!</v>
          </cell>
        </row>
        <row r="3576">
          <cell r="A3576" t="str">
            <v>MDES020023095Z</v>
          </cell>
          <cell r="B3576" t="str">
            <v>MKP000631001660</v>
          </cell>
          <cell r="C3576" t="str">
            <v/>
          </cell>
          <cell r="D3576" t="str">
            <v>Rack Madesa Cancun e Painel para TV até 65 Polegadas Branco/Rustic 095Z</v>
          </cell>
          <cell r="E3576" t="str">
            <v>CANCUN</v>
          </cell>
          <cell r="F3576" t="str">
            <v>SALA DE ESTAR</v>
          </cell>
          <cell r="G3576" t="str">
            <v/>
          </cell>
          <cell r="H3576">
            <v>1149.99</v>
          </cell>
          <cell r="I3576">
            <v>569.99</v>
          </cell>
          <cell r="J3576">
            <v>449.15629999999999</v>
          </cell>
          <cell r="K3576">
            <v>0</v>
          </cell>
          <cell r="L3576">
            <v>449.15629999999999</v>
          </cell>
          <cell r="M3576">
            <v>0</v>
          </cell>
          <cell r="N3576">
            <v>569.99</v>
          </cell>
          <cell r="O3576" t="str">
            <v/>
          </cell>
          <cell r="P3576">
            <v>0</v>
          </cell>
          <cell r="Q3576">
            <v>0.26902372292228799</v>
          </cell>
          <cell r="R3576">
            <v>0.26902372292228799</v>
          </cell>
          <cell r="S3576" t="e">
            <v>#VALUE!</v>
          </cell>
          <cell r="T3576" t="e">
            <v>#VALUE!</v>
          </cell>
        </row>
        <row r="3577">
          <cell r="A3577" t="str">
            <v>MDES0200237709</v>
          </cell>
          <cell r="B3577" t="str">
            <v>MKP000631001651</v>
          </cell>
          <cell r="C3577" t="str">
            <v/>
          </cell>
          <cell r="D3577" t="str">
            <v>Rack Madesa Cancun e Painel para TV até 65 Polegadas Preto/Branco 7709</v>
          </cell>
          <cell r="E3577" t="str">
            <v>CANCUN</v>
          </cell>
          <cell r="F3577" t="str">
            <v>SALA DE ESTAR</v>
          </cell>
          <cell r="G3577" t="str">
            <v/>
          </cell>
          <cell r="H3577">
            <v>1149.99</v>
          </cell>
          <cell r="I3577">
            <v>569.99</v>
          </cell>
          <cell r="J3577">
            <v>449.15629999999999</v>
          </cell>
          <cell r="K3577">
            <v>0</v>
          </cell>
          <cell r="L3577">
            <v>449.15629999999999</v>
          </cell>
          <cell r="M3577">
            <v>0</v>
          </cell>
          <cell r="N3577">
            <v>569.99</v>
          </cell>
          <cell r="O3577" t="str">
            <v/>
          </cell>
          <cell r="P3577">
            <v>0</v>
          </cell>
          <cell r="Q3577">
            <v>0.26902372292228799</v>
          </cell>
          <cell r="R3577">
            <v>0.26902372292228799</v>
          </cell>
          <cell r="S3577" t="e">
            <v>#VALUE!</v>
          </cell>
          <cell r="T3577" t="e">
            <v>#VALUE!</v>
          </cell>
        </row>
        <row r="3578">
          <cell r="A3578" t="str">
            <v>MDES0200206E09</v>
          </cell>
          <cell r="B3578" t="str">
            <v>MKP000631002800</v>
          </cell>
          <cell r="C3578" t="str">
            <v/>
          </cell>
          <cell r="D3578" t="str">
            <v>Rack Madesa Cancun com Pés e Painel para TV até 65 Polegadas Rustic/Branco 6E09</v>
          </cell>
          <cell r="E3578" t="str">
            <v>CANCUN</v>
          </cell>
          <cell r="F3578" t="str">
            <v>SALA DE ESTAR</v>
          </cell>
          <cell r="G3578" t="str">
            <v/>
          </cell>
          <cell r="H3578">
            <v>699.99</v>
          </cell>
          <cell r="I3578">
            <v>599.99</v>
          </cell>
          <cell r="J3578">
            <v>470.45490000000001</v>
          </cell>
          <cell r="K3578">
            <v>0</v>
          </cell>
          <cell r="L3578">
            <v>470.45490000000001</v>
          </cell>
          <cell r="M3578">
            <v>0</v>
          </cell>
          <cell r="N3578">
            <v>599.99</v>
          </cell>
          <cell r="O3578" t="str">
            <v/>
          </cell>
          <cell r="P3578">
            <v>0</v>
          </cell>
          <cell r="Q3578">
            <v>0.27534010167605799</v>
          </cell>
          <cell r="R3578">
            <v>0.27534010167605799</v>
          </cell>
          <cell r="S3578" t="e">
            <v>#VALUE!</v>
          </cell>
          <cell r="T3578" t="e">
            <v>#VALUE!</v>
          </cell>
        </row>
        <row r="3579">
          <cell r="A3579" t="str">
            <v>MDES0200205Z09</v>
          </cell>
          <cell r="B3579" t="str">
            <v>MKP000631002798</v>
          </cell>
          <cell r="C3579" t="str">
            <v/>
          </cell>
          <cell r="D3579" t="str">
            <v>Rack Madesa Cancun com Pés e Painel para TV até 65 Polegadas Rustic/Branco 5Z09</v>
          </cell>
          <cell r="E3579" t="str">
            <v>CANCUN</v>
          </cell>
          <cell r="F3579" t="str">
            <v>SALA DE ESTAR</v>
          </cell>
          <cell r="G3579" t="str">
            <v/>
          </cell>
          <cell r="H3579">
            <v>699.99</v>
          </cell>
          <cell r="I3579">
            <v>599.99</v>
          </cell>
          <cell r="J3579">
            <v>470.45490000000001</v>
          </cell>
          <cell r="K3579">
            <v>0</v>
          </cell>
          <cell r="L3579">
            <v>470.45490000000001</v>
          </cell>
          <cell r="M3579">
            <v>0</v>
          </cell>
          <cell r="N3579">
            <v>599.99</v>
          </cell>
          <cell r="O3579" t="str">
            <v/>
          </cell>
          <cell r="P3579">
            <v>0</v>
          </cell>
          <cell r="Q3579">
            <v>0.27534010167605799</v>
          </cell>
          <cell r="R3579">
            <v>0.27534010167605799</v>
          </cell>
          <cell r="S3579" t="e">
            <v>#VALUE!</v>
          </cell>
          <cell r="T3579" t="e">
            <v>#VALUE!</v>
          </cell>
        </row>
        <row r="3580">
          <cell r="A3580" t="str">
            <v>G2412409TECT</v>
          </cell>
          <cell r="B3580" t="str">
            <v>MKP000631005838</v>
          </cell>
          <cell r="C3580" t="str">
            <v/>
          </cell>
          <cell r="D3580" t="str">
            <v>Balcão de Pia Cozinha 2 Portas e 3 Gavetas (Com Tampo) Branco Stella Madesa</v>
          </cell>
          <cell r="E3580" t="str">
            <v>STELLA</v>
          </cell>
          <cell r="F3580" t="str">
            <v>MODULAÇÃO</v>
          </cell>
          <cell r="G3580" t="str">
            <v/>
          </cell>
          <cell r="H3580">
            <v>929.99</v>
          </cell>
          <cell r="I3580">
            <v>829.99</v>
          </cell>
          <cell r="J3580">
            <v>644.04830000000004</v>
          </cell>
          <cell r="K3580">
            <v>0</v>
          </cell>
          <cell r="L3580">
            <v>644.04830000000004</v>
          </cell>
          <cell r="M3580">
            <v>0</v>
          </cell>
          <cell r="N3580">
            <v>829.99</v>
          </cell>
          <cell r="O3580" t="str">
            <v/>
          </cell>
          <cell r="P3580">
            <v>0</v>
          </cell>
          <cell r="Q3580">
            <v>0.288707694748981</v>
          </cell>
          <cell r="R3580">
            <v>0.288707694748981</v>
          </cell>
          <cell r="S3580" t="e">
            <v>#VALUE!</v>
          </cell>
          <cell r="T3580" t="e">
            <v>#VALUE!</v>
          </cell>
        </row>
        <row r="3581">
          <cell r="A3581" t="str">
            <v>MDJA0401647GLIB</v>
          </cell>
          <cell r="B3581" t="str">
            <v>MKP000631005575</v>
          </cell>
          <cell r="C3581" t="str">
            <v/>
          </cell>
          <cell r="D3581" t="str">
            <v>Conjunto Sala de Jantar Mesa Tampo de Vidro 4 Cadeiras Rustic/Crema/Lírio Bege Perla Madesa</v>
          </cell>
          <cell r="E3581" t="str">
            <v>PERLA</v>
          </cell>
          <cell r="F3581" t="str">
            <v>SALA DE JANTAR</v>
          </cell>
          <cell r="G3581" t="str">
            <v>4290X</v>
          </cell>
          <cell r="H3581">
            <v>759.99</v>
          </cell>
          <cell r="I3581">
            <v>659.99</v>
          </cell>
          <cell r="J3581">
            <v>512.16920000000005</v>
          </cell>
          <cell r="K3581">
            <v>0</v>
          </cell>
          <cell r="L3581">
            <v>512.16920000000005</v>
          </cell>
          <cell r="M3581">
            <v>0</v>
          </cell>
          <cell r="N3581">
            <v>659.99</v>
          </cell>
          <cell r="O3581" t="str">
            <v/>
          </cell>
          <cell r="P3581">
            <v>0</v>
          </cell>
          <cell r="Q3581">
            <v>0.28861712106077397</v>
          </cell>
          <cell r="R3581">
            <v>0.28861712106077397</v>
          </cell>
          <cell r="S3581" t="e">
            <v>#VALUE!</v>
          </cell>
          <cell r="T3581" t="e">
            <v>#VALUE!</v>
          </cell>
        </row>
        <row r="3582">
          <cell r="A3582" t="str">
            <v>G241236ETECT</v>
          </cell>
          <cell r="B3582" t="str">
            <v>MKP000631005815</v>
          </cell>
          <cell r="C3582" t="str">
            <v/>
          </cell>
          <cell r="D3582" t="str">
            <v>Balcão Gabinete de Pia 120 cm 1 Portas e 2 Gavetas (Com Tampo) Rustic/Branco Stella Madesa</v>
          </cell>
          <cell r="E3582" t="str">
            <v>STELLA</v>
          </cell>
          <cell r="F3582" t="str">
            <v>MODULAÇÃO</v>
          </cell>
          <cell r="G3582" t="str">
            <v/>
          </cell>
          <cell r="H3582">
            <v>699.99</v>
          </cell>
          <cell r="I3582">
            <v>679.99</v>
          </cell>
          <cell r="J3582">
            <v>520.43140000000005</v>
          </cell>
          <cell r="K3582">
            <v>0</v>
          </cell>
          <cell r="L3582">
            <v>520.43140000000005</v>
          </cell>
          <cell r="M3582">
            <v>0</v>
          </cell>
          <cell r="N3582">
            <v>679.99</v>
          </cell>
          <cell r="O3582" t="str">
            <v/>
          </cell>
          <cell r="P3582">
            <v>0</v>
          </cell>
          <cell r="Q3582">
            <v>0.30658911049563897</v>
          </cell>
          <cell r="R3582">
            <v>0.30658911049563897</v>
          </cell>
          <cell r="S3582" t="e">
            <v>#VALUE!</v>
          </cell>
          <cell r="T3582" t="e">
            <v>#VALUE!</v>
          </cell>
        </row>
        <row r="3583">
          <cell r="A3583" t="str">
            <v>XA70038N1-1E</v>
          </cell>
          <cell r="B3583" t="str">
            <v>MKP000631001545</v>
          </cell>
          <cell r="C3583" t="str">
            <v/>
          </cell>
          <cell r="D3583" t="str">
            <v>Rack com Painel para TV até 65 Polegadas Madesa Dublin 1 Porta com Espelho Preto</v>
          </cell>
          <cell r="E3583" t="str">
            <v>DUBLIN</v>
          </cell>
          <cell r="F3583" t="str">
            <v>SALA DE ESTAR</v>
          </cell>
          <cell r="G3583" t="str">
            <v/>
          </cell>
          <cell r="H3583">
            <v>769.99</v>
          </cell>
          <cell r="I3583">
            <v>559.99</v>
          </cell>
          <cell r="J3583">
            <v>397.53390000000002</v>
          </cell>
          <cell r="K3583">
            <v>0</v>
          </cell>
          <cell r="L3583">
            <v>397.53390000000002</v>
          </cell>
          <cell r="M3583">
            <v>0</v>
          </cell>
          <cell r="N3583">
            <v>559.99</v>
          </cell>
          <cell r="O3583" t="str">
            <v/>
          </cell>
          <cell r="P3583" t="e">
            <v>#VALUE!</v>
          </cell>
          <cell r="Q3583">
            <v>0.40865973945869799</v>
          </cell>
          <cell r="R3583">
            <v>0.40865973945869799</v>
          </cell>
          <cell r="S3583" t="e">
            <v>#VALUE!</v>
          </cell>
          <cell r="T3583" t="e">
            <v>#VALUE!</v>
          </cell>
        </row>
        <row r="3584">
          <cell r="A3584" t="str">
            <v>GRAG15000209</v>
          </cell>
          <cell r="B3584" t="str">
            <v>MKP000631004671</v>
          </cell>
          <cell r="C3584" t="str">
            <v/>
          </cell>
          <cell r="D3584" t="str">
            <v>Armário de Cozinha Compacta 150cm Branco Agata Madesa 02</v>
          </cell>
          <cell r="E3584" t="str">
            <v>ÁGATA</v>
          </cell>
          <cell r="F3584" t="str">
            <v>COZINHA</v>
          </cell>
          <cell r="G3584" t="str">
            <v/>
          </cell>
          <cell r="H3584">
            <v>1099.99</v>
          </cell>
          <cell r="I3584">
            <v>1069.99</v>
          </cell>
          <cell r="J3584">
            <v>764.01369999999997</v>
          </cell>
          <cell r="K3584">
            <v>0</v>
          </cell>
          <cell r="L3584">
            <v>764.01369999999997</v>
          </cell>
          <cell r="M3584">
            <v>0</v>
          </cell>
          <cell r="N3584">
            <v>1069.99</v>
          </cell>
          <cell r="O3584" t="str">
            <v/>
          </cell>
          <cell r="P3584">
            <v>0</v>
          </cell>
          <cell r="Q3584">
            <v>0.400485357788741</v>
          </cell>
          <cell r="R3584">
            <v>0.400485357788741</v>
          </cell>
          <cell r="S3584" t="e">
            <v>#VALUE!</v>
          </cell>
          <cell r="T3584" t="e">
            <v>#VALUE!</v>
          </cell>
        </row>
        <row r="3585">
          <cell r="A3585" t="str">
            <v>G241235LAGCT</v>
          </cell>
          <cell r="B3585" t="str">
            <v>MKP000631005821</v>
          </cell>
          <cell r="C3585" t="str">
            <v/>
          </cell>
          <cell r="D3585" t="str">
            <v>Balcão de Pia Cozinha 1 Porta e 2 Gavetas (Com Tampo) Branco/Crema Agata Madesa</v>
          </cell>
          <cell r="E3585" t="str">
            <v>ÁGATA</v>
          </cell>
          <cell r="F3585" t="str">
            <v>MODULAÇÃO</v>
          </cell>
          <cell r="G3585" t="str">
            <v/>
          </cell>
          <cell r="H3585">
            <v>849.99</v>
          </cell>
          <cell r="I3585">
            <v>749.99</v>
          </cell>
          <cell r="J3585">
            <v>516.06050000000005</v>
          </cell>
          <cell r="K3585">
            <v>0</v>
          </cell>
          <cell r="L3585">
            <v>516.06050000000005</v>
          </cell>
          <cell r="M3585">
            <v>0</v>
          </cell>
          <cell r="N3585">
            <v>749.99</v>
          </cell>
          <cell r="O3585" t="str">
            <v/>
          </cell>
          <cell r="P3585">
            <v>0</v>
          </cell>
          <cell r="Q3585">
            <v>0.45329859580417398</v>
          </cell>
          <cell r="R3585">
            <v>0.45329859580417398</v>
          </cell>
          <cell r="S3585" t="e">
            <v>#VALUE!</v>
          </cell>
          <cell r="T3585" t="e">
            <v>#VALUE!</v>
          </cell>
        </row>
        <row r="3586">
          <cell r="A3586" t="str">
            <v>G244019BTE</v>
          </cell>
          <cell r="B3586" t="str">
            <v>MKP000631002119</v>
          </cell>
          <cell r="C3586" t="str">
            <v/>
          </cell>
          <cell r="D3586" t="str">
            <v>Balcão Madesa Stella 40 cm 3 Gavetas Branco/Rustic</v>
          </cell>
          <cell r="E3586" t="str">
            <v>STELLA</v>
          </cell>
          <cell r="F3586" t="str">
            <v>MODULAÇÃO</v>
          </cell>
          <cell r="G3586" t="str">
            <v/>
          </cell>
          <cell r="H3586">
            <v>939.99</v>
          </cell>
          <cell r="I3586">
            <v>519.99</v>
          </cell>
          <cell r="J3586">
            <v>344.87599999999998</v>
          </cell>
          <cell r="K3586">
            <v>0</v>
          </cell>
          <cell r="L3586">
            <v>344.87599999999998</v>
          </cell>
          <cell r="M3586">
            <v>0</v>
          </cell>
          <cell r="N3586">
            <v>519.99</v>
          </cell>
          <cell r="O3586" t="str">
            <v/>
          </cell>
          <cell r="P3586">
            <v>0</v>
          </cell>
          <cell r="Q3586">
            <v>0.507759310592793</v>
          </cell>
          <cell r="R3586">
            <v>0.507759310592793</v>
          </cell>
          <cell r="S3586" t="e">
            <v>#VALUE!</v>
          </cell>
          <cell r="T3586" t="e">
            <v>#VALUE!</v>
          </cell>
        </row>
        <row r="3587">
          <cell r="A3587" t="str">
            <v>G25702H8LX</v>
          </cell>
          <cell r="B3587" t="str">
            <v>MKP000631005444</v>
          </cell>
          <cell r="C3587" t="str">
            <v/>
          </cell>
          <cell r="D3587" t="str">
            <v>Armário Aéreo 70 cm 1 Porta Rustic/Branco Veludo Lux Madesa</v>
          </cell>
          <cell r="E3587" t="str">
            <v>LUX</v>
          </cell>
          <cell r="F3587" t="str">
            <v>MODULAÇÃO</v>
          </cell>
          <cell r="G3587" t="str">
            <v/>
          </cell>
          <cell r="H3587">
            <v>419.99</v>
          </cell>
          <cell r="I3587">
            <v>319.99</v>
          </cell>
          <cell r="J3587">
            <v>178.6619</v>
          </cell>
          <cell r="K3587">
            <v>0</v>
          </cell>
          <cell r="L3587">
            <v>178.6619</v>
          </cell>
          <cell r="M3587">
            <v>0</v>
          </cell>
          <cell r="N3587">
            <v>319.99</v>
          </cell>
          <cell r="O3587" t="str">
            <v>LOJA</v>
          </cell>
          <cell r="P3587">
            <v>299.99</v>
          </cell>
          <cell r="Q3587">
            <v>0.79103658922243703</v>
          </cell>
          <cell r="R3587">
            <v>0.79103658922243703</v>
          </cell>
          <cell r="S3587" t="e">
            <v>#VALUE!</v>
          </cell>
          <cell r="T3587" t="e">
            <v>#VALUE!</v>
          </cell>
        </row>
        <row r="3588">
          <cell r="A3588" t="str">
            <v>G228137KLXCT</v>
          </cell>
          <cell r="B3588" t="str">
            <v>MKP000631005061</v>
          </cell>
          <cell r="C3588" t="str">
            <v/>
          </cell>
          <cell r="D3588" t="str">
            <v>Balcão 80 cm 2 Gavetas Rustic/Preto Lux Madesa</v>
          </cell>
          <cell r="E3588" t="str">
            <v>LUX</v>
          </cell>
          <cell r="F3588" t="str">
            <v>MODULAÇÃO</v>
          </cell>
          <cell r="G3588" t="str">
            <v/>
          </cell>
          <cell r="H3588">
            <v>1419.99</v>
          </cell>
          <cell r="I3588">
            <v>1139.99</v>
          </cell>
          <cell r="J3588">
            <v>608.2527</v>
          </cell>
          <cell r="K3588">
            <v>0</v>
          </cell>
          <cell r="L3588">
            <v>608.2527</v>
          </cell>
          <cell r="M3588">
            <v>0</v>
          </cell>
          <cell r="N3588">
            <v>1139.99</v>
          </cell>
          <cell r="O3588" t="str">
            <v>LOJA</v>
          </cell>
          <cell r="P3588">
            <v>1129.99</v>
          </cell>
          <cell r="Q3588">
            <v>0.87420458635037701</v>
          </cell>
          <cell r="R3588">
            <v>0.87420458635037701</v>
          </cell>
          <cell r="S3588" t="e">
            <v>#VALUE!</v>
          </cell>
          <cell r="T3588" t="e">
            <v>#VALUE!</v>
          </cell>
        </row>
        <row r="3589">
          <cell r="A3589" t="str">
            <v>G2260173LXCT</v>
          </cell>
          <cell r="B3589" t="str">
            <v>MKP000631005082</v>
          </cell>
          <cell r="C3589" t="str">
            <v/>
          </cell>
          <cell r="D3589" t="str">
            <v>Balcão 60 cm 3 Gavetas Branco/Preto Lux Madesa</v>
          </cell>
          <cell r="E3589" t="str">
            <v>LUX</v>
          </cell>
          <cell r="F3589" t="str">
            <v>MODULAÇÃO</v>
          </cell>
          <cell r="G3589" t="str">
            <v/>
          </cell>
          <cell r="H3589">
            <v>1419.99</v>
          </cell>
          <cell r="I3589">
            <v>1089.99</v>
          </cell>
          <cell r="J3589">
            <v>580.10889999999995</v>
          </cell>
          <cell r="K3589">
            <v>0</v>
          </cell>
          <cell r="L3589">
            <v>580.10889999999995</v>
          </cell>
          <cell r="M3589">
            <v>0</v>
          </cell>
          <cell r="N3589">
            <v>1089.99</v>
          </cell>
          <cell r="O3589" t="str">
            <v>LOJA</v>
          </cell>
          <cell r="P3589">
            <v>1079.99</v>
          </cell>
          <cell r="Q3589">
            <v>0.87894031620614699</v>
          </cell>
          <cell r="R3589">
            <v>0.87894031620614699</v>
          </cell>
          <cell r="S3589" t="e">
            <v>#VALUE!</v>
          </cell>
          <cell r="T3589" t="e">
            <v>#VALUE!</v>
          </cell>
        </row>
        <row r="3590">
          <cell r="A3590" t="str">
            <v>G274006SPR</v>
          </cell>
          <cell r="B3590" t="str">
            <v>MKP000631003271</v>
          </cell>
          <cell r="C3590" t="str">
            <v/>
          </cell>
          <cell r="D3590" t="str">
            <v>Tampo para Balcão de 40 x 60 cm para Cozinhas Madesa Glamy, Lux e Stella Mood</v>
          </cell>
          <cell r="E3590" t="str">
            <v>PR</v>
          </cell>
          <cell r="F3590" t="str">
            <v>MODULAÇÃO</v>
          </cell>
          <cell r="G3590" t="str">
            <v/>
          </cell>
          <cell r="H3590">
            <v>269.99</v>
          </cell>
          <cell r="I3590">
            <v>119.99</v>
          </cell>
          <cell r="J3590">
            <v>61.356099999999998</v>
          </cell>
          <cell r="K3590">
            <v>0</v>
          </cell>
          <cell r="L3590">
            <v>61.356099999999998</v>
          </cell>
          <cell r="M3590">
            <v>0</v>
          </cell>
          <cell r="N3590">
            <v>119.99</v>
          </cell>
          <cell r="O3590" t="str">
            <v/>
          </cell>
          <cell r="P3590">
            <v>0</v>
          </cell>
          <cell r="Q3590">
            <v>0.95563277326948703</v>
          </cell>
          <cell r="R3590">
            <v>0.95563277326948703</v>
          </cell>
          <cell r="S3590" t="e">
            <v>#VALUE!</v>
          </cell>
          <cell r="T3590" t="e">
            <v>#VALUE!</v>
          </cell>
        </row>
        <row r="3591">
          <cell r="A3591" t="str">
            <v>MDJA060169D8PT</v>
          </cell>
          <cell r="B3591" t="str">
            <v>MKP000631006108</v>
          </cell>
          <cell r="C3591" t="str">
            <v/>
          </cell>
          <cell r="D3591" t="str">
            <v>Conjunto Sala de Jantar Mesa Tampo de Vidro 6 Cadeiras Preto/Rustic Heloísa Madesa</v>
          </cell>
          <cell r="E3591" t="str">
            <v>HELOÍSA</v>
          </cell>
          <cell r="F3591" t="str">
            <v>SALA DE JANTAR</v>
          </cell>
          <cell r="G3591" t="str">
            <v>4291X</v>
          </cell>
          <cell r="H3591">
            <v>1119.99</v>
          </cell>
          <cell r="I3591">
            <v>1019.99</v>
          </cell>
          <cell r="J3591">
            <v>742.24639999999999</v>
          </cell>
          <cell r="K3591">
            <v>0</v>
          </cell>
          <cell r="L3591">
            <v>742.24639999999999</v>
          </cell>
          <cell r="M3591">
            <v>0</v>
          </cell>
          <cell r="N3591">
            <v>1019.99</v>
          </cell>
          <cell r="O3591" t="str">
            <v/>
          </cell>
          <cell r="P3591">
            <v>0</v>
          </cell>
          <cell r="Q3591">
            <v>0.374193259812375</v>
          </cell>
          <cell r="R3591">
            <v>0.374193259812375</v>
          </cell>
          <cell r="S3591" t="e">
            <v>#VALUE!</v>
          </cell>
          <cell r="T3591" t="e">
            <v>#VALUE!</v>
          </cell>
        </row>
        <row r="3592">
          <cell r="A3592" t="str">
            <v>GRGL18000873</v>
          </cell>
          <cell r="B3592" t="str">
            <v>MKP000631004617</v>
          </cell>
          <cell r="C3592" t="str">
            <v/>
          </cell>
          <cell r="D3592" t="str">
            <v>Armário de Cozinha Compacta 180cm Branco Preto Glamy Madesa 08</v>
          </cell>
          <cell r="E3592" t="str">
            <v>GLAMY</v>
          </cell>
          <cell r="F3592" t="str">
            <v>COZINHA</v>
          </cell>
          <cell r="G3592" t="str">
            <v/>
          </cell>
          <cell r="H3592">
            <v>1599.99</v>
          </cell>
          <cell r="I3592">
            <v>1499.99</v>
          </cell>
          <cell r="J3592">
            <v>1270.7982999999999</v>
          </cell>
          <cell r="K3592">
            <v>0</v>
          </cell>
          <cell r="L3592">
            <v>1270.7982999999999</v>
          </cell>
          <cell r="M3592">
            <v>0</v>
          </cell>
          <cell r="N3592">
            <v>1499.99</v>
          </cell>
          <cell r="O3592" t="str">
            <v/>
          </cell>
          <cell r="P3592">
            <v>0</v>
          </cell>
          <cell r="Q3592">
            <v>0.18035253902999401</v>
          </cell>
          <cell r="R3592">
            <v>0.18035253902999401</v>
          </cell>
          <cell r="S3592" t="e">
            <v>#VALUE!</v>
          </cell>
          <cell r="T3592" t="e">
            <v>#VALUE!</v>
          </cell>
        </row>
        <row r="3593">
          <cell r="A3593" t="str">
            <v>GRGL18000573</v>
          </cell>
          <cell r="B3593" t="str">
            <v>MKP000631004244</v>
          </cell>
          <cell r="C3593" t="str">
            <v/>
          </cell>
          <cell r="D3593" t="str">
            <v>Armário de Cozinha Compacta 180cm Branco Preto Glamy Madesa 05</v>
          </cell>
          <cell r="E3593" t="str">
            <v>GLAMY</v>
          </cell>
          <cell r="F3593" t="str">
            <v>COZINHA</v>
          </cell>
          <cell r="G3593" t="str">
            <v/>
          </cell>
          <cell r="H3593">
            <v>1699.99</v>
          </cell>
          <cell r="I3593">
            <v>1599.99</v>
          </cell>
          <cell r="J3593">
            <v>1343.5012999999999</v>
          </cell>
          <cell r="K3593">
            <v>0</v>
          </cell>
          <cell r="L3593">
            <v>1343.5012999999999</v>
          </cell>
          <cell r="M3593">
            <v>0</v>
          </cell>
          <cell r="N3593">
            <v>1599.99</v>
          </cell>
          <cell r="O3593" t="str">
            <v/>
          </cell>
          <cell r="P3593">
            <v>0</v>
          </cell>
          <cell r="Q3593">
            <v>0.19091064519252801</v>
          </cell>
          <cell r="R3593">
            <v>0.19091064519252801</v>
          </cell>
          <cell r="S3593" t="e">
            <v>#VALUE!</v>
          </cell>
          <cell r="T3593" t="e">
            <v>#VALUE!</v>
          </cell>
        </row>
        <row r="3594">
          <cell r="A3594" t="str">
            <v>GREM1650057K</v>
          </cell>
          <cell r="B3594" t="str">
            <v>MKP000631005860</v>
          </cell>
          <cell r="C3594" t="str">
            <v/>
          </cell>
          <cell r="D3594" t="str">
            <v>Armário de Cozinha Compacta 165cm com Pia Rustic/Preto Emilly Madesa 05</v>
          </cell>
          <cell r="E3594" t="str">
            <v>EMILLY</v>
          </cell>
          <cell r="F3594" t="str">
            <v>COZINHA</v>
          </cell>
          <cell r="G3594" t="str">
            <v/>
          </cell>
          <cell r="H3594">
            <v>1099.99</v>
          </cell>
          <cell r="I3594">
            <v>1099.99</v>
          </cell>
          <cell r="J3594">
            <v>912.95129999999995</v>
          </cell>
          <cell r="K3594">
            <v>0</v>
          </cell>
          <cell r="L3594">
            <v>912.95129999999995</v>
          </cell>
          <cell r="M3594">
            <v>0</v>
          </cell>
          <cell r="N3594">
            <v>1099.99</v>
          </cell>
          <cell r="O3594" t="str">
            <v/>
          </cell>
          <cell r="P3594">
            <v>0</v>
          </cell>
          <cell r="Q3594">
            <v>0.20487259287543599</v>
          </cell>
          <cell r="R3594">
            <v>0.20487259287543599</v>
          </cell>
          <cell r="S3594" t="e">
            <v>#VALUE!</v>
          </cell>
          <cell r="T3594" t="e">
            <v>#VALUE!</v>
          </cell>
        </row>
        <row r="3595">
          <cell r="A3595" t="str">
            <v>GRGL290014D7</v>
          </cell>
          <cell r="B3595" t="str">
            <v>MKP000631001266</v>
          </cell>
          <cell r="C3595" t="str">
            <v/>
          </cell>
          <cell r="D3595" t="str">
            <v>Armário de Cozinha Completa 290cm Branco/Preto/Rustic Safira Madesa 14</v>
          </cell>
          <cell r="E3595" t="str">
            <v>SAFIRA/GLAMY</v>
          </cell>
          <cell r="F3595" t="str">
            <v>COZINHA</v>
          </cell>
          <cell r="G3595" t="str">
            <v/>
          </cell>
          <cell r="H3595">
            <v>2999.99</v>
          </cell>
          <cell r="I3595">
            <v>2199.9899999999998</v>
          </cell>
          <cell r="J3595">
            <v>1834.2193</v>
          </cell>
          <cell r="K3595">
            <v>0</v>
          </cell>
          <cell r="L3595">
            <v>1834.2193</v>
          </cell>
          <cell r="M3595">
            <v>0</v>
          </cell>
          <cell r="N3595">
            <v>2199.9899999999998</v>
          </cell>
          <cell r="O3595" t="str">
            <v/>
          </cell>
          <cell r="P3595">
            <v>0</v>
          </cell>
          <cell r="Q3595">
            <v>0.199414922741245</v>
          </cell>
          <cell r="R3595">
            <v>0.199414922741245</v>
          </cell>
          <cell r="S3595" t="e">
            <v>#VALUE!</v>
          </cell>
          <cell r="T3595" t="e">
            <v>#VALUE!</v>
          </cell>
        </row>
        <row r="3596">
          <cell r="A3596" t="str">
            <v>GREM229014J1</v>
          </cell>
          <cell r="B3596" t="str">
            <v>MKP000631005915</v>
          </cell>
          <cell r="C3596" t="str">
            <v/>
          </cell>
          <cell r="D3596" t="str">
            <v>Armário de Cozinha Compacta 229cm Rustic/Cinza Emilly Madesa 14</v>
          </cell>
          <cell r="E3596" t="str">
            <v>EMILLY</v>
          </cell>
          <cell r="F3596" t="str">
            <v>COZINHA</v>
          </cell>
          <cell r="G3596" t="str">
            <v/>
          </cell>
          <cell r="H3596">
            <v>1029.99</v>
          </cell>
          <cell r="I3596">
            <v>929.99</v>
          </cell>
          <cell r="J3596">
            <v>755.47900000000004</v>
          </cell>
          <cell r="K3596">
            <v>0</v>
          </cell>
          <cell r="L3596">
            <v>755.47900000000004</v>
          </cell>
          <cell r="M3596">
            <v>0</v>
          </cell>
          <cell r="N3596">
            <v>929.99</v>
          </cell>
          <cell r="O3596" t="str">
            <v/>
          </cell>
          <cell r="P3596">
            <v>0</v>
          </cell>
          <cell r="Q3596">
            <v>0.23099384628824901</v>
          </cell>
          <cell r="R3596">
            <v>0.23099384628824901</v>
          </cell>
          <cell r="S3596" t="e">
            <v>#VALUE!</v>
          </cell>
          <cell r="T3596" t="e">
            <v>#VALUE!</v>
          </cell>
        </row>
        <row r="3597">
          <cell r="A3597" t="str">
            <v>GRGL220002C5</v>
          </cell>
          <cell r="B3597" t="str">
            <v>MKP000631001252</v>
          </cell>
          <cell r="C3597" t="str">
            <v/>
          </cell>
          <cell r="D3597" t="str">
            <v>Armário de Cozinha Completa 220cm Branco/Preto/Crema Parma Madesa 02</v>
          </cell>
          <cell r="E3597" t="str">
            <v>PARMA/GLAMY</v>
          </cell>
          <cell r="F3597" t="str">
            <v>COZINHA</v>
          </cell>
          <cell r="G3597" t="str">
            <v/>
          </cell>
          <cell r="H3597">
            <v>1969.99</v>
          </cell>
          <cell r="I3597">
            <v>1869.99</v>
          </cell>
          <cell r="J3597">
            <v>1558.7654</v>
          </cell>
          <cell r="K3597">
            <v>0</v>
          </cell>
          <cell r="L3597">
            <v>1558.7654</v>
          </cell>
          <cell r="M3597">
            <v>0</v>
          </cell>
          <cell r="N3597">
            <v>1869.99</v>
          </cell>
          <cell r="O3597" t="str">
            <v/>
          </cell>
          <cell r="P3597">
            <v>0</v>
          </cell>
          <cell r="Q3597">
            <v>0.199660962451438</v>
          </cell>
          <cell r="R3597">
            <v>0.199660962451438</v>
          </cell>
          <cell r="S3597" t="e">
            <v>#VALUE!</v>
          </cell>
          <cell r="T3597" t="e">
            <v>#VALUE!</v>
          </cell>
        </row>
        <row r="3598">
          <cell r="A3598" t="str">
            <v>GRGL220002C7</v>
          </cell>
          <cell r="B3598" t="str">
            <v>MKP000631001399</v>
          </cell>
          <cell r="C3598" t="str">
            <v/>
          </cell>
          <cell r="D3598" t="str">
            <v>Armário de Cozinha Completa 220cm Branco/Preto/Branco Parma Madesa 02</v>
          </cell>
          <cell r="E3598" t="str">
            <v>PARMA/GLAMY</v>
          </cell>
          <cell r="F3598" t="str">
            <v>COZINHA</v>
          </cell>
          <cell r="G3598" t="str">
            <v/>
          </cell>
          <cell r="H3598">
            <v>1969.99</v>
          </cell>
          <cell r="I3598">
            <v>1869.99</v>
          </cell>
          <cell r="J3598">
            <v>1558.7654</v>
          </cell>
          <cell r="K3598">
            <v>0</v>
          </cell>
          <cell r="L3598">
            <v>1558.7654</v>
          </cell>
          <cell r="M3598">
            <v>0</v>
          </cell>
          <cell r="N3598">
            <v>1869.99</v>
          </cell>
          <cell r="O3598" t="str">
            <v/>
          </cell>
          <cell r="P3598">
            <v>0</v>
          </cell>
          <cell r="Q3598">
            <v>0.199660962451438</v>
          </cell>
          <cell r="R3598">
            <v>0.199660962451438</v>
          </cell>
          <cell r="S3598" t="e">
            <v>#VALUE!</v>
          </cell>
          <cell r="T3598" t="e">
            <v>#VALUE!</v>
          </cell>
        </row>
        <row r="3599">
          <cell r="A3599" t="str">
            <v>GRGL2600059B</v>
          </cell>
          <cell r="B3599" t="str">
            <v>MKP000631005192</v>
          </cell>
          <cell r="C3599" t="str">
            <v/>
          </cell>
          <cell r="D3599" t="str">
            <v>Armário de Cozinha Completa 260cm Branco/Rustic Glamy Madesa 05</v>
          </cell>
          <cell r="E3599" t="str">
            <v>GLAMY</v>
          </cell>
          <cell r="F3599" t="str">
            <v>COZINHA</v>
          </cell>
          <cell r="G3599" t="str">
            <v/>
          </cell>
          <cell r="H3599">
            <v>1799.99</v>
          </cell>
          <cell r="I3599">
            <v>1699.99</v>
          </cell>
          <cell r="J3599">
            <v>1407.5279</v>
          </cell>
          <cell r="K3599">
            <v>0</v>
          </cell>
          <cell r="L3599">
            <v>1407.5279</v>
          </cell>
          <cell r="M3599">
            <v>0</v>
          </cell>
          <cell r="N3599">
            <v>1699.99</v>
          </cell>
          <cell r="O3599" t="str">
            <v/>
          </cell>
          <cell r="P3599">
            <v>0</v>
          </cell>
          <cell r="Q3599">
            <v>0.20778422935701699</v>
          </cell>
          <cell r="R3599">
            <v>0.20778422935701699</v>
          </cell>
          <cell r="S3599" t="e">
            <v>#VALUE!</v>
          </cell>
          <cell r="T3599" t="e">
            <v>#VALUE!</v>
          </cell>
        </row>
        <row r="3600">
          <cell r="A3600" t="str">
            <v>GRGL2600055Z</v>
          </cell>
          <cell r="B3600" t="str">
            <v>MKP000631005191</v>
          </cell>
          <cell r="C3600" t="str">
            <v/>
          </cell>
          <cell r="D3600" t="str">
            <v>Armário de Cozinha Completa 260cm Rustic Glamy Madesa 05</v>
          </cell>
          <cell r="E3600" t="str">
            <v>GLAMY</v>
          </cell>
          <cell r="F3600" t="str">
            <v>COZINHA</v>
          </cell>
          <cell r="G3600" t="str">
            <v/>
          </cell>
          <cell r="H3600">
            <v>1799.99</v>
          </cell>
          <cell r="I3600">
            <v>1699.99</v>
          </cell>
          <cell r="J3600">
            <v>1407.5279</v>
          </cell>
          <cell r="K3600">
            <v>0</v>
          </cell>
          <cell r="L3600">
            <v>1407.5279</v>
          </cell>
          <cell r="M3600">
            <v>0</v>
          </cell>
          <cell r="N3600">
            <v>1699.99</v>
          </cell>
          <cell r="O3600" t="str">
            <v/>
          </cell>
          <cell r="P3600">
            <v>0</v>
          </cell>
          <cell r="Q3600">
            <v>0.20778422935701699</v>
          </cell>
          <cell r="R3600">
            <v>0.20778422935701699</v>
          </cell>
          <cell r="S3600" t="e">
            <v>#VALUE!</v>
          </cell>
          <cell r="T3600" t="e">
            <v>#VALUE!</v>
          </cell>
        </row>
        <row r="3601">
          <cell r="A3601" t="str">
            <v>GRGL2400096E</v>
          </cell>
          <cell r="B3601" t="str">
            <v>MKP000631005207</v>
          </cell>
          <cell r="C3601" t="str">
            <v/>
          </cell>
          <cell r="D3601" t="str">
            <v>Armário de Cozinha Completa 240cm Rustic/Branco Glamy Madesa 09</v>
          </cell>
          <cell r="E3601" t="str">
            <v>GLAMY</v>
          </cell>
          <cell r="F3601" t="str">
            <v>COZINHA</v>
          </cell>
          <cell r="G3601" t="str">
            <v/>
          </cell>
          <cell r="H3601">
            <v>1599.99</v>
          </cell>
          <cell r="I3601">
            <v>1599.99</v>
          </cell>
          <cell r="J3601">
            <v>1320.7529999999999</v>
          </cell>
          <cell r="K3601">
            <v>0</v>
          </cell>
          <cell r="L3601">
            <v>1320.7529999999999</v>
          </cell>
          <cell r="M3601">
            <v>0</v>
          </cell>
          <cell r="N3601">
            <v>1599.99</v>
          </cell>
          <cell r="O3601" t="str">
            <v/>
          </cell>
          <cell r="P3601">
            <v>0</v>
          </cell>
          <cell r="Q3601">
            <v>0.21142257484934701</v>
          </cell>
          <cell r="R3601">
            <v>0.21142257484934701</v>
          </cell>
          <cell r="S3601" t="e">
            <v>#VALUE!</v>
          </cell>
          <cell r="T3601" t="e">
            <v>#VALUE!</v>
          </cell>
        </row>
        <row r="3602">
          <cell r="A3602" t="str">
            <v>GREM2290085Z</v>
          </cell>
          <cell r="B3602" t="str">
            <v>MKP000631005172</v>
          </cell>
          <cell r="C3602" t="str">
            <v/>
          </cell>
          <cell r="D3602" t="str">
            <v>Armário de Cozinha Completa 229cm Rustic Emilly Madesa 08</v>
          </cell>
          <cell r="E3602" t="str">
            <v>EMILLY</v>
          </cell>
          <cell r="F3602" t="str">
            <v>COZINHA</v>
          </cell>
          <cell r="G3602" t="str">
            <v/>
          </cell>
          <cell r="H3602">
            <v>1259.99</v>
          </cell>
          <cell r="I3602">
            <v>1159.99</v>
          </cell>
          <cell r="J3602">
            <v>937.35640000000001</v>
          </cell>
          <cell r="K3602">
            <v>0</v>
          </cell>
          <cell r="L3602">
            <v>937.35640000000001</v>
          </cell>
          <cell r="M3602">
            <v>0</v>
          </cell>
          <cell r="N3602">
            <v>1159.99</v>
          </cell>
          <cell r="O3602" t="str">
            <v/>
          </cell>
          <cell r="P3602">
            <v>0</v>
          </cell>
          <cell r="Q3602">
            <v>0.237512220538527</v>
          </cell>
          <cell r="R3602">
            <v>0.237512220538527</v>
          </cell>
          <cell r="S3602" t="e">
            <v>#VALUE!</v>
          </cell>
          <cell r="T3602" t="e">
            <v>#VALUE!</v>
          </cell>
        </row>
        <row r="3603">
          <cell r="A3603" t="str">
            <v>GREM2930067K</v>
          </cell>
          <cell r="B3603" t="str">
            <v>MKP000631005506</v>
          </cell>
          <cell r="C3603" t="str">
            <v/>
          </cell>
          <cell r="D3603" t="str">
            <v>Armário de Cozinha Completa 293cm com Pia Rustic/Preto Emilly Madesa 06</v>
          </cell>
          <cell r="E3603" t="str">
            <v>EMILLY</v>
          </cell>
          <cell r="F3603" t="str">
            <v>COZINHA</v>
          </cell>
          <cell r="G3603" t="str">
            <v/>
          </cell>
          <cell r="H3603">
            <v>1999.99</v>
          </cell>
          <cell r="I3603">
            <v>1899.99</v>
          </cell>
          <cell r="J3603">
            <v>1534.6437000000001</v>
          </cell>
          <cell r="K3603">
            <v>0</v>
          </cell>
          <cell r="L3603">
            <v>1534.6437000000001</v>
          </cell>
          <cell r="M3603">
            <v>0</v>
          </cell>
          <cell r="N3603">
            <v>1899.99</v>
          </cell>
          <cell r="O3603" t="str">
            <v/>
          </cell>
          <cell r="P3603">
            <v>0</v>
          </cell>
          <cell r="Q3603">
            <v>0.23806587809274601</v>
          </cell>
          <cell r="R3603">
            <v>0.23806587809274601</v>
          </cell>
          <cell r="S3603" t="e">
            <v>#VALUE!</v>
          </cell>
          <cell r="T3603" t="e">
            <v>#VALUE!</v>
          </cell>
        </row>
        <row r="3604">
          <cell r="A3604" t="str">
            <v>GRGL280003C1</v>
          </cell>
          <cell r="B3604" t="str">
            <v>MKP000631002851</v>
          </cell>
          <cell r="C3604" t="str">
            <v/>
          </cell>
          <cell r="D3604" t="str">
            <v>Armário de Cozinha Completa 280cm Rustic/Preto/Rustic Marcela Madesa 03</v>
          </cell>
          <cell r="E3604" t="str">
            <v>MARCELA/GLAMY</v>
          </cell>
          <cell r="F3604" t="str">
            <v>COZINHA</v>
          </cell>
          <cell r="G3604" t="str">
            <v/>
          </cell>
          <cell r="H3604">
            <v>2149.9899999999998</v>
          </cell>
          <cell r="I3604">
            <v>2049.9899999999998</v>
          </cell>
          <cell r="J3604">
            <v>1671.624</v>
          </cell>
          <cell r="K3604">
            <v>0</v>
          </cell>
          <cell r="L3604">
            <v>1671.624</v>
          </cell>
          <cell r="M3604">
            <v>0</v>
          </cell>
          <cell r="N3604">
            <v>2049.9899999999998</v>
          </cell>
          <cell r="O3604" t="str">
            <v/>
          </cell>
          <cell r="P3604">
            <v>0</v>
          </cell>
          <cell r="Q3604">
            <v>0.226346355400497</v>
          </cell>
          <cell r="R3604">
            <v>0.226346355400497</v>
          </cell>
          <cell r="S3604" t="e">
            <v>#VALUE!</v>
          </cell>
          <cell r="T3604" t="e">
            <v>#VALUE!</v>
          </cell>
        </row>
        <row r="3605">
          <cell r="A3605" t="str">
            <v>MDES0200206E5Z</v>
          </cell>
          <cell r="B3605" t="str">
            <v>MKP000631002801</v>
          </cell>
          <cell r="C3605" t="str">
            <v/>
          </cell>
          <cell r="D3605" t="str">
            <v>Rack Madesa Cancun com Pés e Painel para TV até 65 Polegadas Rustic/Branco 6E5Z</v>
          </cell>
          <cell r="E3605" t="str">
            <v>CANCUN</v>
          </cell>
          <cell r="F3605" t="str">
            <v>SALA DE ESTAR</v>
          </cell>
          <cell r="G3605" t="str">
            <v/>
          </cell>
          <cell r="H3605">
            <v>699.99</v>
          </cell>
          <cell r="I3605">
            <v>599.99</v>
          </cell>
          <cell r="J3605">
            <v>470.45490000000001</v>
          </cell>
          <cell r="K3605">
            <v>0</v>
          </cell>
          <cell r="L3605">
            <v>470.45490000000001</v>
          </cell>
          <cell r="M3605">
            <v>0</v>
          </cell>
          <cell r="N3605">
            <v>599.99</v>
          </cell>
          <cell r="O3605" t="str">
            <v/>
          </cell>
          <cell r="P3605">
            <v>0</v>
          </cell>
          <cell r="Q3605">
            <v>0.27534010167605799</v>
          </cell>
          <cell r="R3605">
            <v>0.27534010167605799</v>
          </cell>
          <cell r="S3605" t="e">
            <v>#VALUE!</v>
          </cell>
          <cell r="T3605" t="e">
            <v>#VALUE!</v>
          </cell>
        </row>
        <row r="3606">
          <cell r="A3606" t="str">
            <v>MDES0200206E6E</v>
          </cell>
          <cell r="B3606" t="str">
            <v>MKP000631002802</v>
          </cell>
          <cell r="C3606" t="str">
            <v/>
          </cell>
          <cell r="D3606" t="str">
            <v>Rack Madesa Cancun com Pés e Painel para TV até 65 Polegadas Rustic/Branco 6E6E</v>
          </cell>
          <cell r="E3606" t="str">
            <v>CANCUN</v>
          </cell>
          <cell r="F3606" t="str">
            <v>SALA DE ESTAR</v>
          </cell>
          <cell r="G3606" t="str">
            <v/>
          </cell>
          <cell r="H3606">
            <v>699.99</v>
          </cell>
          <cell r="I3606">
            <v>599.99</v>
          </cell>
          <cell r="J3606">
            <v>470.45490000000001</v>
          </cell>
          <cell r="K3606">
            <v>0</v>
          </cell>
          <cell r="L3606">
            <v>470.45490000000001</v>
          </cell>
          <cell r="M3606">
            <v>0</v>
          </cell>
          <cell r="N3606">
            <v>599.99</v>
          </cell>
          <cell r="O3606" t="str">
            <v/>
          </cell>
          <cell r="P3606">
            <v>0</v>
          </cell>
          <cell r="Q3606">
            <v>0.27534010167605799</v>
          </cell>
          <cell r="R3606">
            <v>0.27534010167605799</v>
          </cell>
          <cell r="S3606" t="e">
            <v>#VALUE!</v>
          </cell>
          <cell r="T3606" t="e">
            <v>#VALUE!</v>
          </cell>
        </row>
        <row r="3607">
          <cell r="A3607" t="str">
            <v>MDJA0200525ZSIL</v>
          </cell>
          <cell r="B3607" t="str">
            <v>MKP000631006051</v>
          </cell>
          <cell r="C3607" t="str">
            <v/>
          </cell>
          <cell r="D3607" t="str">
            <v>Conjunto Sala de Jantar Mesa Tampo de Madeira 2 Cadeiras Rustic/Silver Tainá Madesa</v>
          </cell>
          <cell r="E3607" t="str">
            <v>TAINÁ</v>
          </cell>
          <cell r="F3607" t="str">
            <v>SALA DE JANTAR</v>
          </cell>
          <cell r="G3607">
            <v>4256</v>
          </cell>
          <cell r="H3607">
            <v>679.99</v>
          </cell>
          <cell r="I3607">
            <v>579.99</v>
          </cell>
          <cell r="J3607">
            <v>438.01650000000001</v>
          </cell>
          <cell r="K3607">
            <v>0</v>
          </cell>
          <cell r="L3607">
            <v>438.01650000000001</v>
          </cell>
          <cell r="M3607">
            <v>0</v>
          </cell>
          <cell r="N3607">
            <v>579.99</v>
          </cell>
          <cell r="O3607" t="str">
            <v/>
          </cell>
          <cell r="P3607">
            <v>0</v>
          </cell>
          <cell r="Q3607">
            <v>0.324128200649975</v>
          </cell>
          <cell r="R3607">
            <v>0.324128200649975</v>
          </cell>
          <cell r="S3607" t="e">
            <v>#VALUE!</v>
          </cell>
          <cell r="T3607" t="e">
            <v>#VALUE!</v>
          </cell>
        </row>
        <row r="3608">
          <cell r="A3608" t="str">
            <v>MDJA0401577GFBM</v>
          </cell>
          <cell r="B3608" t="str">
            <v>MKP000631005545</v>
          </cell>
          <cell r="C3608" t="str">
            <v/>
          </cell>
          <cell r="D3608" t="str">
            <v>Conjunto Sala de Jantar Mesa Tampo de Madeira 4 Cadeiras Rustic/Crema/Bege Marrom Samara Madesa</v>
          </cell>
          <cell r="E3608" t="str">
            <v>SAMARA</v>
          </cell>
          <cell r="F3608" t="str">
            <v>SALA DE JANTAR</v>
          </cell>
          <cell r="G3608" t="str">
            <v>4290X</v>
          </cell>
          <cell r="H3608">
            <v>619.99</v>
          </cell>
          <cell r="I3608">
            <v>519.99</v>
          </cell>
          <cell r="J3608">
            <v>400.13900000000001</v>
          </cell>
          <cell r="K3608">
            <v>0</v>
          </cell>
          <cell r="L3608">
            <v>400.13900000000001</v>
          </cell>
          <cell r="M3608">
            <v>0</v>
          </cell>
          <cell r="N3608">
            <v>519.99</v>
          </cell>
          <cell r="O3608" t="str">
            <v/>
          </cell>
          <cell r="P3608">
            <v>0</v>
          </cell>
          <cell r="Q3608">
            <v>0.299523415613074</v>
          </cell>
          <cell r="R3608">
            <v>0.299523415613074</v>
          </cell>
          <cell r="S3608" t="e">
            <v>#VALUE!</v>
          </cell>
          <cell r="T3608" t="e">
            <v>#VALUE!</v>
          </cell>
        </row>
        <row r="3609">
          <cell r="A3609" t="str">
            <v>G200277G</v>
          </cell>
          <cell r="B3609" t="str">
            <v>MKP000631005581</v>
          </cell>
          <cell r="C3609" t="str">
            <v/>
          </cell>
          <cell r="D3609" t="str">
            <v>Armário de Cozinha Compacta 120cm Rustic/Crema Life Madesa</v>
          </cell>
          <cell r="E3609" t="str">
            <v>LIFE</v>
          </cell>
          <cell r="F3609" t="str">
            <v>COZINHA</v>
          </cell>
          <cell r="G3609" t="str">
            <v/>
          </cell>
          <cell r="H3609">
            <v>469.99</v>
          </cell>
          <cell r="I3609">
            <v>469.99</v>
          </cell>
          <cell r="J3609">
            <v>338.08530000000002</v>
          </cell>
          <cell r="K3609">
            <v>0</v>
          </cell>
          <cell r="L3609">
            <v>338.08530000000002</v>
          </cell>
          <cell r="M3609">
            <v>0</v>
          </cell>
          <cell r="N3609">
            <v>469.99</v>
          </cell>
          <cell r="O3609" t="str">
            <v>MELI</v>
          </cell>
          <cell r="P3609">
            <v>533.33000000000004</v>
          </cell>
          <cell r="Q3609">
            <v>0.39015213024641998</v>
          </cell>
          <cell r="R3609">
            <v>0.39015213024641998</v>
          </cell>
          <cell r="S3609" t="e">
            <v>#VALUE!</v>
          </cell>
          <cell r="T3609" t="e">
            <v>#VALUE!</v>
          </cell>
        </row>
        <row r="3610">
          <cell r="A3610" t="str">
            <v>G2440173AG</v>
          </cell>
          <cell r="B3610" t="str">
            <v>MKP000631003057</v>
          </cell>
          <cell r="C3610" t="str">
            <v/>
          </cell>
          <cell r="D3610" t="str">
            <v>Balcão Madesa Agata 40 cm 3 Gavetas Branco/Preto</v>
          </cell>
          <cell r="E3610" t="str">
            <v>ÁGATA</v>
          </cell>
          <cell r="F3610" t="str">
            <v>MODULAÇÃO</v>
          </cell>
          <cell r="G3610" t="str">
            <v/>
          </cell>
          <cell r="H3610">
            <v>949.99</v>
          </cell>
          <cell r="I3610">
            <v>539.99</v>
          </cell>
          <cell r="J3610">
            <v>340.39609999999999</v>
          </cell>
          <cell r="K3610">
            <v>0</v>
          </cell>
          <cell r="L3610">
            <v>340.39609999999999</v>
          </cell>
          <cell r="M3610">
            <v>0</v>
          </cell>
          <cell r="N3610">
            <v>539.99</v>
          </cell>
          <cell r="O3610" t="str">
            <v/>
          </cell>
          <cell r="P3610">
            <v>0</v>
          </cell>
          <cell r="Q3610">
            <v>0.58635777554443202</v>
          </cell>
          <cell r="R3610">
            <v>0.58635777554443202</v>
          </cell>
          <cell r="S3610" t="e">
            <v>#VALUE!</v>
          </cell>
          <cell r="T3610" t="e">
            <v>#VALUE!</v>
          </cell>
        </row>
        <row r="3611">
          <cell r="A3611" t="str">
            <v>G2665573AG</v>
          </cell>
          <cell r="B3611" t="str">
            <v>MKP000631003062</v>
          </cell>
          <cell r="C3611" t="str">
            <v/>
          </cell>
          <cell r="D3611" t="str">
            <v>Torre Quente Madesa Agata 60 cm 1 Porta 3 Gavetas Branco/Preto</v>
          </cell>
          <cell r="E3611" t="str">
            <v>ÁGATA</v>
          </cell>
          <cell r="F3611" t="str">
            <v>MODULAÇÃO</v>
          </cell>
          <cell r="G3611" t="str">
            <v/>
          </cell>
          <cell r="H3611">
            <v>1359.99</v>
          </cell>
          <cell r="I3611">
            <v>919.99</v>
          </cell>
          <cell r="J3611">
            <v>547.2672</v>
          </cell>
          <cell r="K3611">
            <v>0</v>
          </cell>
          <cell r="L3611">
            <v>547.2672</v>
          </cell>
          <cell r="M3611">
            <v>0</v>
          </cell>
          <cell r="N3611">
            <v>919.99</v>
          </cell>
          <cell r="O3611" t="str">
            <v/>
          </cell>
          <cell r="P3611">
            <v>0</v>
          </cell>
          <cell r="Q3611">
            <v>0.68106182866431597</v>
          </cell>
          <cell r="R3611">
            <v>0.68106182866431597</v>
          </cell>
          <cell r="S3611" t="e">
            <v>#VALUE!</v>
          </cell>
          <cell r="T3611" t="e">
            <v>#VALUE!</v>
          </cell>
        </row>
        <row r="3612">
          <cell r="A3612" t="str">
            <v>G224019RLX</v>
          </cell>
          <cell r="B3612" t="str">
            <v>MKP000631003557</v>
          </cell>
          <cell r="C3612" t="str">
            <v/>
          </cell>
          <cell r="D3612" t="str">
            <v>Balcão Madesa Lux 40 cm 3 Gavetas (Sem Tampo) Branco/Cinza</v>
          </cell>
          <cell r="E3612" t="str">
            <v>LUX</v>
          </cell>
          <cell r="F3612" t="str">
            <v>MODULAÇÃO</v>
          </cell>
          <cell r="G3612" t="str">
            <v/>
          </cell>
          <cell r="H3612">
            <v>989.99</v>
          </cell>
          <cell r="I3612">
            <v>759.99</v>
          </cell>
          <cell r="J3612">
            <v>422.11340000000001</v>
          </cell>
          <cell r="K3612">
            <v>0</v>
          </cell>
          <cell r="L3612">
            <v>422.11340000000001</v>
          </cell>
          <cell r="M3612">
            <v>0</v>
          </cell>
          <cell r="N3612">
            <v>759.99</v>
          </cell>
          <cell r="O3612" t="str">
            <v>LOJA</v>
          </cell>
          <cell r="P3612">
            <v>749.99</v>
          </cell>
          <cell r="Q3612">
            <v>0.80044035560112503</v>
          </cell>
          <cell r="R3612">
            <v>0.80044035560112503</v>
          </cell>
          <cell r="S3612" t="e">
            <v>#VALUE!</v>
          </cell>
          <cell r="T3612" t="e">
            <v>#VALUE!</v>
          </cell>
        </row>
        <row r="3613">
          <cell r="A3613" t="str">
            <v>G243507GAG</v>
          </cell>
          <cell r="B3613" t="str">
            <v>MKP000631005382</v>
          </cell>
          <cell r="C3613" t="str">
            <v/>
          </cell>
          <cell r="D3613" t="str">
            <v>Balcão 35 cm 1 Porta Rustic/Crema Agata Madesa</v>
          </cell>
          <cell r="E3613" t="str">
            <v>ÁGATA</v>
          </cell>
          <cell r="F3613" t="str">
            <v>MODULAÇÃO</v>
          </cell>
          <cell r="G3613" t="str">
            <v/>
          </cell>
          <cell r="H3613">
            <v>489.99</v>
          </cell>
          <cell r="I3613">
            <v>389.99</v>
          </cell>
          <cell r="J3613">
            <v>214.44659999999999</v>
          </cell>
          <cell r="K3613">
            <v>0</v>
          </cell>
          <cell r="L3613">
            <v>214.44659999999999</v>
          </cell>
          <cell r="M3613">
            <v>0</v>
          </cell>
          <cell r="N3613">
            <v>389.99</v>
          </cell>
          <cell r="O3613" t="str">
            <v/>
          </cell>
          <cell r="P3613">
            <v>0</v>
          </cell>
          <cell r="Q3613">
            <v>0.81858793750985104</v>
          </cell>
          <cell r="R3613">
            <v>0.81858793750985104</v>
          </cell>
          <cell r="S3613" t="e">
            <v>#VALUE!</v>
          </cell>
          <cell r="T3613" t="e">
            <v>#VALUE!</v>
          </cell>
        </row>
        <row r="3614">
          <cell r="A3614" t="str">
            <v>G25400H7LX</v>
          </cell>
          <cell r="B3614" t="str">
            <v>MKP000631004426</v>
          </cell>
          <cell r="C3614" t="str">
            <v/>
          </cell>
          <cell r="D3614" t="str">
            <v>Armário Aéreo Madesa Lux 40 cm 1 Porta Branco/Branco Veludo</v>
          </cell>
          <cell r="E3614" t="str">
            <v>LUX</v>
          </cell>
          <cell r="F3614" t="str">
            <v>MODULAÇÃO</v>
          </cell>
          <cell r="G3614" t="str">
            <v/>
          </cell>
          <cell r="H3614">
            <v>539.99</v>
          </cell>
          <cell r="I3614">
            <v>349.99</v>
          </cell>
          <cell r="J3614">
            <v>181.80109999999999</v>
          </cell>
          <cell r="K3614">
            <v>0</v>
          </cell>
          <cell r="L3614">
            <v>181.80109999999999</v>
          </cell>
          <cell r="M3614">
            <v>0</v>
          </cell>
          <cell r="N3614">
            <v>349.99</v>
          </cell>
          <cell r="O3614" t="str">
            <v>LOJA</v>
          </cell>
          <cell r="P3614">
            <v>339.99</v>
          </cell>
          <cell r="Q3614">
            <v>0.92512586557507104</v>
          </cell>
          <cell r="R3614">
            <v>0.92512586557507104</v>
          </cell>
          <cell r="S3614" t="e">
            <v>#VALUE!</v>
          </cell>
          <cell r="T3614" t="e">
            <v>#VALUE!</v>
          </cell>
        </row>
        <row r="3615">
          <cell r="A3615" t="str">
            <v>53647G2</v>
          </cell>
          <cell r="B3615" t="str">
            <v>MKP000631003135</v>
          </cell>
          <cell r="C3615" t="str">
            <v/>
          </cell>
          <cell r="D3615" t="str">
            <v>Mesa de Jantar Madesa Retangular Tampo de Madeira 5364 Rustic/Crema</v>
          </cell>
          <cell r="E3615">
            <v>5364</v>
          </cell>
          <cell r="F3615" t="str">
            <v>SALA DE JANTAR</v>
          </cell>
          <cell r="G3615" t="str">
            <v/>
          </cell>
          <cell r="H3615">
            <v>869.99</v>
          </cell>
          <cell r="I3615">
            <v>739.99</v>
          </cell>
          <cell r="J3615">
            <v>312.92809999999997</v>
          </cell>
          <cell r="K3615">
            <v>0</v>
          </cell>
          <cell r="L3615">
            <v>312.92809999999997</v>
          </cell>
          <cell r="M3615">
            <v>0</v>
          </cell>
          <cell r="N3615">
            <v>739.99</v>
          </cell>
          <cell r="O3615" t="str">
            <v/>
          </cell>
          <cell r="P3615">
            <v>0</v>
          </cell>
          <cell r="Q3615">
            <v>1.36472851111805</v>
          </cell>
          <cell r="R3615">
            <v>1.36472851111805</v>
          </cell>
          <cell r="S3615" t="e">
            <v>#VALUE!</v>
          </cell>
          <cell r="T3615" t="e">
            <v>#VALUE!</v>
          </cell>
        </row>
        <row r="3616">
          <cell r="A3616" t="str">
            <v>GREM1650087K</v>
          </cell>
          <cell r="B3616" t="str">
            <v>MKP000631005909</v>
          </cell>
          <cell r="C3616" t="str">
            <v/>
          </cell>
          <cell r="D3616" t="str">
            <v>Armário de Cozinha Compacta 165cm Rustic/Preto Emilly Madesa 08</v>
          </cell>
          <cell r="E3616" t="str">
            <v>EMILLY</v>
          </cell>
          <cell r="F3616" t="str">
            <v>COZINHA</v>
          </cell>
          <cell r="G3616" t="str">
            <v/>
          </cell>
          <cell r="H3616">
            <v>739.99</v>
          </cell>
          <cell r="I3616">
            <v>639.99</v>
          </cell>
          <cell r="J3616">
            <v>497.41059999999999</v>
          </cell>
          <cell r="K3616">
            <v>0</v>
          </cell>
          <cell r="L3616">
            <v>497.41059999999999</v>
          </cell>
          <cell r="M3616">
            <v>0</v>
          </cell>
          <cell r="N3616">
            <v>639.99</v>
          </cell>
          <cell r="O3616" t="str">
            <v/>
          </cell>
          <cell r="P3616">
            <v>0</v>
          </cell>
          <cell r="Q3616">
            <v>0.28664326815713198</v>
          </cell>
          <cell r="R3616">
            <v>0.28664326815713198</v>
          </cell>
          <cell r="S3616" t="e">
            <v>#VALUE!</v>
          </cell>
          <cell r="T3616" t="e">
            <v>#VALUE!</v>
          </cell>
        </row>
        <row r="3617">
          <cell r="A3617" t="str">
            <v>GCGL3490069B</v>
          </cell>
          <cell r="B3617" t="str">
            <v>MKP000631005243</v>
          </cell>
          <cell r="C3617" t="str">
            <v/>
          </cell>
          <cell r="D3617" t="str">
            <v>Armário de Cozinha Completa de Canto 349cm Branco/Rustic Glamy Madesa 06</v>
          </cell>
          <cell r="E3617" t="str">
            <v>GLAMY</v>
          </cell>
          <cell r="F3617" t="str">
            <v>COZINHA</v>
          </cell>
          <cell r="G3617" t="str">
            <v/>
          </cell>
          <cell r="H3617">
            <v>2099.9899999999998</v>
          </cell>
          <cell r="I3617">
            <v>1999.99</v>
          </cell>
          <cell r="J3617">
            <v>1692.2249999999999</v>
          </cell>
          <cell r="K3617">
            <v>0</v>
          </cell>
          <cell r="L3617">
            <v>1692.2249999999999</v>
          </cell>
          <cell r="M3617">
            <v>0</v>
          </cell>
          <cell r="N3617">
            <v>1999.99</v>
          </cell>
          <cell r="O3617" t="str">
            <v/>
          </cell>
          <cell r="P3617">
            <v>0</v>
          </cell>
          <cell r="Q3617">
            <v>0.181870023194315</v>
          </cell>
          <cell r="R3617">
            <v>0.181870023194315</v>
          </cell>
          <cell r="S3617" t="e">
            <v>#VALUE!</v>
          </cell>
          <cell r="T3617" t="e">
            <v>#VALUE!</v>
          </cell>
        </row>
        <row r="3618">
          <cell r="A3618" t="str">
            <v>GRAG2500017K</v>
          </cell>
          <cell r="B3618" t="str">
            <v>MKP000631005671</v>
          </cell>
          <cell r="C3618" t="str">
            <v/>
          </cell>
          <cell r="D3618" t="str">
            <v>Armário de Cozinha Completa 250cm Rustic/Preto Agata Madesa 01</v>
          </cell>
          <cell r="E3618" t="str">
            <v>ÁGATA</v>
          </cell>
          <cell r="F3618" t="str">
            <v>COZINHA</v>
          </cell>
          <cell r="G3618" t="str">
            <v/>
          </cell>
          <cell r="H3618">
            <v>2149.9899999999998</v>
          </cell>
          <cell r="I3618">
            <v>1999.99</v>
          </cell>
          <cell r="J3618">
            <v>1674.4907000000001</v>
          </cell>
          <cell r="K3618">
            <v>0</v>
          </cell>
          <cell r="L3618">
            <v>1674.4907000000001</v>
          </cell>
          <cell r="M3618">
            <v>0</v>
          </cell>
          <cell r="N3618">
            <v>1999.99</v>
          </cell>
          <cell r="O3618" t="str">
            <v/>
          </cell>
          <cell r="P3618">
            <v>0</v>
          </cell>
          <cell r="Q3618">
            <v>0.194387045565556</v>
          </cell>
          <cell r="R3618">
            <v>0.194387045565556</v>
          </cell>
          <cell r="S3618" t="e">
            <v>#VALUE!</v>
          </cell>
          <cell r="T3618" t="e">
            <v>#VALUE!</v>
          </cell>
        </row>
        <row r="3619">
          <cell r="A3619" t="str">
            <v>GRGL2600056E</v>
          </cell>
          <cell r="B3619" t="str">
            <v>MKP000631005190</v>
          </cell>
          <cell r="C3619" t="str">
            <v/>
          </cell>
          <cell r="D3619" t="str">
            <v>Armário de Cozinha Completa 260cm Rustic/Branco Glamy Madesa 05</v>
          </cell>
          <cell r="E3619" t="str">
            <v>GLAMY</v>
          </cell>
          <cell r="F3619" t="str">
            <v>COZINHA</v>
          </cell>
          <cell r="G3619" t="str">
            <v/>
          </cell>
          <cell r="H3619">
            <v>1699.99</v>
          </cell>
          <cell r="I3619">
            <v>1699.99</v>
          </cell>
          <cell r="J3619">
            <v>1407.5279</v>
          </cell>
          <cell r="K3619">
            <v>0</v>
          </cell>
          <cell r="L3619">
            <v>1407.5279</v>
          </cell>
          <cell r="M3619">
            <v>0</v>
          </cell>
          <cell r="N3619">
            <v>1699.99</v>
          </cell>
          <cell r="O3619" t="str">
            <v/>
          </cell>
          <cell r="P3619">
            <v>0</v>
          </cell>
          <cell r="Q3619">
            <v>0.20778422935701699</v>
          </cell>
          <cell r="R3619">
            <v>0.20778422935701699</v>
          </cell>
          <cell r="S3619" t="e">
            <v>#VALUE!</v>
          </cell>
          <cell r="T3619" t="e">
            <v>#VALUE!</v>
          </cell>
        </row>
        <row r="3620">
          <cell r="A3620" t="str">
            <v>GREM2610097K</v>
          </cell>
          <cell r="B3620" t="str">
            <v>MKP000631005962</v>
          </cell>
          <cell r="C3620" t="str">
            <v/>
          </cell>
          <cell r="D3620" t="str">
            <v>Armário de Cozinha Compacta 261 cm Rustic/Preto Emilly Madesa 09</v>
          </cell>
          <cell r="E3620" t="str">
            <v>EMILLY</v>
          </cell>
          <cell r="F3620" t="str">
            <v>COZINHA</v>
          </cell>
          <cell r="G3620" t="str">
            <v/>
          </cell>
          <cell r="H3620">
            <v>1269.99</v>
          </cell>
          <cell r="I3620">
            <v>1169.99</v>
          </cell>
          <cell r="J3620">
            <v>937.29100000000005</v>
          </cell>
          <cell r="K3620">
            <v>0</v>
          </cell>
          <cell r="L3620">
            <v>937.29100000000005</v>
          </cell>
          <cell r="M3620">
            <v>0</v>
          </cell>
          <cell r="N3620">
            <v>1169.99</v>
          </cell>
          <cell r="O3620" t="str">
            <v/>
          </cell>
          <cell r="P3620">
            <v>0</v>
          </cell>
          <cell r="Q3620">
            <v>0.24826761379336801</v>
          </cell>
          <cell r="R3620">
            <v>0.24826761379336801</v>
          </cell>
          <cell r="S3620" t="e">
            <v>#VALUE!</v>
          </cell>
          <cell r="T3620" t="e">
            <v>#VALUE!</v>
          </cell>
        </row>
        <row r="3621">
          <cell r="A3621" t="str">
            <v>GREM2290127K</v>
          </cell>
          <cell r="B3621" t="str">
            <v>MKP000631005514</v>
          </cell>
          <cell r="C3621" t="str">
            <v/>
          </cell>
          <cell r="D3621" t="str">
            <v>Armário de Cozinha Compacta 229cm com Pia Rustic/Preto Emilly Madesa 12</v>
          </cell>
          <cell r="E3621" t="str">
            <v>EMILLY</v>
          </cell>
          <cell r="F3621" t="str">
            <v>COZINHA</v>
          </cell>
          <cell r="G3621" t="str">
            <v/>
          </cell>
          <cell r="H3621">
            <v>1339.99</v>
          </cell>
          <cell r="I3621">
            <v>1239.99</v>
          </cell>
          <cell r="J3621">
            <v>991.74739999999997</v>
          </cell>
          <cell r="K3621">
            <v>0</v>
          </cell>
          <cell r="L3621">
            <v>991.74739999999997</v>
          </cell>
          <cell r="M3621">
            <v>0</v>
          </cell>
          <cell r="N3621">
            <v>1239.99</v>
          </cell>
          <cell r="O3621" t="str">
            <v/>
          </cell>
          <cell r="P3621">
            <v>0</v>
          </cell>
          <cell r="Q3621">
            <v>0.25030829422895401</v>
          </cell>
          <cell r="R3621">
            <v>0.25030829422895401</v>
          </cell>
          <cell r="S3621" t="e">
            <v>#VALUE!</v>
          </cell>
          <cell r="T3621" t="e">
            <v>#VALUE!</v>
          </cell>
        </row>
        <row r="3622">
          <cell r="A3622" t="str">
            <v>GRGL2000086E</v>
          </cell>
          <cell r="B3622" t="str">
            <v>MKP000631005215</v>
          </cell>
          <cell r="C3622" t="str">
            <v/>
          </cell>
          <cell r="D3622" t="str">
            <v>Armário de Cozinha Compacta 200cm Rustic/Branco Glamy Madesa 08</v>
          </cell>
          <cell r="E3622" t="str">
            <v>GLAMY</v>
          </cell>
          <cell r="F3622" t="str">
            <v>COZINHA</v>
          </cell>
          <cell r="G3622" t="str">
            <v/>
          </cell>
          <cell r="H3622">
            <v>1349.99</v>
          </cell>
          <cell r="I3622">
            <v>1249.99</v>
          </cell>
          <cell r="J3622">
            <v>1024.3166000000001</v>
          </cell>
          <cell r="K3622">
            <v>0</v>
          </cell>
          <cell r="L3622">
            <v>1024.3166000000001</v>
          </cell>
          <cell r="M3622">
            <v>0</v>
          </cell>
          <cell r="N3622">
            <v>1249.99</v>
          </cell>
          <cell r="O3622" t="str">
            <v/>
          </cell>
          <cell r="P3622">
            <v>0</v>
          </cell>
          <cell r="Q3622">
            <v>0.220316062436165</v>
          </cell>
          <cell r="R3622">
            <v>0.220316062436165</v>
          </cell>
          <cell r="S3622" t="e">
            <v>#VALUE!</v>
          </cell>
          <cell r="T3622" t="e">
            <v>#VALUE!</v>
          </cell>
        </row>
        <row r="3623">
          <cell r="A3623" t="str">
            <v>GCGL41900173</v>
          </cell>
          <cell r="B3623" t="str">
            <v>MKP000631004380</v>
          </cell>
          <cell r="C3623" t="str">
            <v/>
          </cell>
          <cell r="D3623" t="str">
            <v>Armário de Cozinha Completa de Canto 419cm Branco/Preto Glamy Madesa 01</v>
          </cell>
          <cell r="E3623" t="str">
            <v>GLAMY</v>
          </cell>
          <cell r="F3623" t="str">
            <v>COZINHA</v>
          </cell>
          <cell r="G3623" t="str">
            <v/>
          </cell>
          <cell r="H3623">
            <v>3299.99</v>
          </cell>
          <cell r="I3623">
            <v>3199.99</v>
          </cell>
          <cell r="J3623">
            <v>2615.1934000000001</v>
          </cell>
          <cell r="K3623">
            <v>0</v>
          </cell>
          <cell r="L3623">
            <v>2615.1934000000001</v>
          </cell>
          <cell r="M3623">
            <v>0</v>
          </cell>
          <cell r="N3623">
            <v>3199.99</v>
          </cell>
          <cell r="O3623" t="str">
            <v/>
          </cell>
          <cell r="P3623">
            <v>0</v>
          </cell>
          <cell r="Q3623">
            <v>0.223615048890839</v>
          </cell>
          <cell r="R3623">
            <v>0.223615048890839</v>
          </cell>
          <cell r="S3623" t="e">
            <v>#VALUE!</v>
          </cell>
          <cell r="T3623" t="e">
            <v>#VALUE!</v>
          </cell>
        </row>
        <row r="3624">
          <cell r="A3624" t="str">
            <v>MDJA0601457GFLH</v>
          </cell>
          <cell r="B3624" t="str">
            <v>MKP000631005553</v>
          </cell>
          <cell r="C3624" t="str">
            <v/>
          </cell>
          <cell r="D3624" t="str">
            <v>Conjunto Sala de Jantar Mesa Tampo de Vidro 6 Cadeiras Rustic/Crema/Floral Hibiscos Yolanda Madesa</v>
          </cell>
          <cell r="E3624" t="str">
            <v>YOLANDA</v>
          </cell>
          <cell r="F3624" t="str">
            <v>SALA DE JANTAR</v>
          </cell>
          <cell r="G3624" t="str">
            <v>4291X</v>
          </cell>
          <cell r="H3624">
            <v>1249.99</v>
          </cell>
          <cell r="I3624">
            <v>1149.99</v>
          </cell>
          <cell r="J3624">
            <v>935.66690000000006</v>
          </cell>
          <cell r="K3624">
            <v>0</v>
          </cell>
          <cell r="L3624">
            <v>935.66690000000006</v>
          </cell>
          <cell r="M3624">
            <v>0</v>
          </cell>
          <cell r="N3624">
            <v>1149.99</v>
          </cell>
          <cell r="O3624" t="str">
            <v/>
          </cell>
          <cell r="P3624">
            <v>0</v>
          </cell>
          <cell r="Q3624">
            <v>0.229059187623288</v>
          </cell>
          <cell r="R3624">
            <v>0.229059187623288</v>
          </cell>
          <cell r="S3624" t="e">
            <v>#VALUE!</v>
          </cell>
          <cell r="T3624" t="e">
            <v>#VALUE!</v>
          </cell>
        </row>
        <row r="3625">
          <cell r="A3625" t="str">
            <v>GREM1370067K</v>
          </cell>
          <cell r="B3625" t="str">
            <v>MKP000631005795</v>
          </cell>
          <cell r="C3625" t="str">
            <v/>
          </cell>
          <cell r="D3625" t="str">
            <v>Armário de Cozinha Compacta 137cm Rustic/Preto Emilly Madesa 06</v>
          </cell>
          <cell r="E3625" t="str">
            <v>EMILLY</v>
          </cell>
          <cell r="F3625" t="str">
            <v>COZINHA</v>
          </cell>
          <cell r="G3625" t="str">
            <v/>
          </cell>
          <cell r="H3625">
            <v>849.99</v>
          </cell>
          <cell r="I3625">
            <v>849.99</v>
          </cell>
          <cell r="J3625">
            <v>675.21140000000003</v>
          </cell>
          <cell r="K3625">
            <v>0</v>
          </cell>
          <cell r="L3625">
            <v>675.21140000000003</v>
          </cell>
          <cell r="M3625">
            <v>0</v>
          </cell>
          <cell r="N3625">
            <v>849.99</v>
          </cell>
          <cell r="O3625" t="str">
            <v/>
          </cell>
          <cell r="P3625">
            <v>0</v>
          </cell>
          <cell r="Q3625">
            <v>0.25885019121418801</v>
          </cell>
          <cell r="R3625">
            <v>0.25885019121418801</v>
          </cell>
          <cell r="S3625" t="e">
            <v>#VALUE!</v>
          </cell>
          <cell r="T3625" t="e">
            <v>#VALUE!</v>
          </cell>
        </row>
        <row r="3626">
          <cell r="A3626" t="str">
            <v>GREM1650095Z</v>
          </cell>
          <cell r="B3626" t="str">
            <v>MKP000631006040</v>
          </cell>
          <cell r="C3626" t="str">
            <v/>
          </cell>
          <cell r="D3626" t="str">
            <v>Armário de Cozinha Compacta 165cm com Pia Rustic Emilly Madesa 09</v>
          </cell>
          <cell r="E3626" t="str">
            <v>EMILLY</v>
          </cell>
          <cell r="F3626" t="str">
            <v>COZINHA</v>
          </cell>
          <cell r="G3626" t="str">
            <v/>
          </cell>
          <cell r="H3626">
            <v>1149.99</v>
          </cell>
          <cell r="I3626">
            <v>1049.99</v>
          </cell>
          <cell r="J3626">
            <v>836.62950000000001</v>
          </cell>
          <cell r="K3626">
            <v>0</v>
          </cell>
          <cell r="L3626">
            <v>836.62950000000001</v>
          </cell>
          <cell r="M3626">
            <v>0</v>
          </cell>
          <cell r="N3626">
            <v>1049.99</v>
          </cell>
          <cell r="O3626" t="str">
            <v/>
          </cell>
          <cell r="P3626">
            <v>0</v>
          </cell>
          <cell r="Q3626">
            <v>0.25502387855078001</v>
          </cell>
          <cell r="R3626">
            <v>0.25502387855078001</v>
          </cell>
          <cell r="S3626" t="e">
            <v>#VALUE!</v>
          </cell>
          <cell r="T3626" t="e">
            <v>#VALUE!</v>
          </cell>
        </row>
        <row r="3627">
          <cell r="A3627" t="str">
            <v>GRTE3300025Z</v>
          </cell>
          <cell r="B3627" t="str">
            <v>MKP000631005749</v>
          </cell>
          <cell r="C3627" t="str">
            <v/>
          </cell>
          <cell r="D3627" t="str">
            <v>Armário de Cozinha Completa 330cm Rustic Stella Madesa 02</v>
          </cell>
          <cell r="E3627" t="str">
            <v>STELLA</v>
          </cell>
          <cell r="F3627" t="str">
            <v>COZINHA</v>
          </cell>
          <cell r="G3627" t="str">
            <v/>
          </cell>
          <cell r="H3627">
            <v>2599.9899999999998</v>
          </cell>
          <cell r="I3627">
            <v>2599.9899999999998</v>
          </cell>
          <cell r="J3627">
            <v>2079.2730999999999</v>
          </cell>
          <cell r="K3627">
            <v>0</v>
          </cell>
          <cell r="L3627">
            <v>2079.2730999999999</v>
          </cell>
          <cell r="M3627">
            <v>0</v>
          </cell>
          <cell r="N3627">
            <v>2599.9899999999998</v>
          </cell>
          <cell r="O3627" t="str">
            <v/>
          </cell>
          <cell r="P3627">
            <v>0</v>
          </cell>
          <cell r="Q3627">
            <v>0.250432182285242</v>
          </cell>
          <cell r="R3627">
            <v>0.250432182285242</v>
          </cell>
          <cell r="S3627" t="e">
            <v>#VALUE!</v>
          </cell>
          <cell r="T3627" t="e">
            <v>#VALUE!</v>
          </cell>
        </row>
        <row r="3628">
          <cell r="A3628" t="str">
            <v>MDJA040189D8PT</v>
          </cell>
          <cell r="B3628" t="str">
            <v>MKP000631006097</v>
          </cell>
          <cell r="C3628" t="str">
            <v/>
          </cell>
          <cell r="D3628" t="str">
            <v>Conjunto Sala de Jantar Mesa Tampo de Vidro 4 Cadeiras Preto/Rustic Suzy Madesa</v>
          </cell>
          <cell r="E3628" t="str">
            <v>SUZY</v>
          </cell>
          <cell r="F3628" t="str">
            <v>SALA DE JANTAR</v>
          </cell>
          <cell r="G3628" t="str">
            <v>4291X</v>
          </cell>
          <cell r="H3628">
            <v>869.99</v>
          </cell>
          <cell r="I3628">
            <v>769.99</v>
          </cell>
          <cell r="J3628">
            <v>617.94280000000003</v>
          </cell>
          <cell r="K3628">
            <v>0</v>
          </cell>
          <cell r="L3628">
            <v>617.94280000000003</v>
          </cell>
          <cell r="M3628">
            <v>0</v>
          </cell>
          <cell r="N3628">
            <v>769.99</v>
          </cell>
          <cell r="O3628" t="str">
            <v/>
          </cell>
          <cell r="P3628">
            <v>0</v>
          </cell>
          <cell r="Q3628">
            <v>0.24605384187662699</v>
          </cell>
          <cell r="R3628">
            <v>0.24605384187662699</v>
          </cell>
          <cell r="S3628" t="e">
            <v>#VALUE!</v>
          </cell>
          <cell r="T3628" t="e">
            <v>#VALUE!</v>
          </cell>
        </row>
        <row r="3629">
          <cell r="A3629" t="str">
            <v>GCGL3490079B</v>
          </cell>
          <cell r="B3629" t="str">
            <v>MKP000631005240</v>
          </cell>
          <cell r="C3629" t="str">
            <v/>
          </cell>
          <cell r="D3629" t="str">
            <v>Armário de Cozinha Completa de Canto 349cm Branco/Rustic Glamy Madesa 07</v>
          </cell>
          <cell r="E3629" t="str">
            <v>GLAMY</v>
          </cell>
          <cell r="F3629" t="str">
            <v>COZINHA</v>
          </cell>
          <cell r="G3629" t="str">
            <v/>
          </cell>
          <cell r="H3629">
            <v>2259.9899999999998</v>
          </cell>
          <cell r="I3629">
            <v>2159.9899999999998</v>
          </cell>
          <cell r="J3629">
            <v>1729.1106</v>
          </cell>
          <cell r="K3629">
            <v>0</v>
          </cell>
          <cell r="L3629">
            <v>1729.1106</v>
          </cell>
          <cell r="M3629">
            <v>0</v>
          </cell>
          <cell r="N3629">
            <v>2159.9899999999998</v>
          </cell>
          <cell r="O3629" t="str">
            <v/>
          </cell>
          <cell r="P3629">
            <v>0</v>
          </cell>
          <cell r="Q3629">
            <v>0.24919134727414199</v>
          </cell>
          <cell r="R3629">
            <v>0.24919134727414199</v>
          </cell>
          <cell r="S3629" t="e">
            <v>#VALUE!</v>
          </cell>
          <cell r="T3629" t="e">
            <v>#VALUE!</v>
          </cell>
        </row>
        <row r="3630">
          <cell r="A3630" t="str">
            <v>GRAG29000109</v>
          </cell>
          <cell r="B3630" t="str">
            <v>MKP000631004552</v>
          </cell>
          <cell r="C3630" t="str">
            <v/>
          </cell>
          <cell r="D3630" t="str">
            <v>Armário de Cozinha Completa 290cm Branco Agata Madesa 01</v>
          </cell>
          <cell r="E3630" t="str">
            <v>ÁGATA</v>
          </cell>
          <cell r="F3630" t="str">
            <v>COZINHA</v>
          </cell>
          <cell r="G3630" t="str">
            <v/>
          </cell>
          <cell r="H3630">
            <v>2599.9899999999998</v>
          </cell>
          <cell r="I3630">
            <v>2499.9899999999998</v>
          </cell>
          <cell r="J3630">
            <v>1998.4713999999999</v>
          </cell>
          <cell r="K3630">
            <v>0</v>
          </cell>
          <cell r="L3630">
            <v>1998.4713999999999</v>
          </cell>
          <cell r="M3630">
            <v>0</v>
          </cell>
          <cell r="N3630">
            <v>2499.9899999999998</v>
          </cell>
          <cell r="O3630" t="str">
            <v/>
          </cell>
          <cell r="P3630">
            <v>0</v>
          </cell>
          <cell r="Q3630">
            <v>0.25095110192720299</v>
          </cell>
          <cell r="R3630">
            <v>0.25095110192720299</v>
          </cell>
          <cell r="S3630" t="e">
            <v>#VALUE!</v>
          </cell>
          <cell r="T3630" t="e">
            <v>#VALUE!</v>
          </cell>
        </row>
        <row r="3631">
          <cell r="A3631" t="str">
            <v>GRAG2600025L</v>
          </cell>
          <cell r="B3631" t="str">
            <v>MKP000631005965</v>
          </cell>
          <cell r="C3631" t="str">
            <v/>
          </cell>
          <cell r="D3631" t="str">
            <v>Armário de Cozinha Completa 260cm Branco/Crema Agata Madesa 02</v>
          </cell>
          <cell r="E3631" t="str">
            <v>ÁGATA</v>
          </cell>
          <cell r="F3631" t="str">
            <v>COZINHA</v>
          </cell>
          <cell r="G3631" t="str">
            <v/>
          </cell>
          <cell r="H3631">
            <v>1749.99</v>
          </cell>
          <cell r="I3631">
            <v>1749.99</v>
          </cell>
          <cell r="J3631">
            <v>1382.2617</v>
          </cell>
          <cell r="K3631">
            <v>0</v>
          </cell>
          <cell r="L3631">
            <v>1382.2617</v>
          </cell>
          <cell r="M3631">
            <v>0</v>
          </cell>
          <cell r="N3631">
            <v>1749.99</v>
          </cell>
          <cell r="O3631" t="str">
            <v/>
          </cell>
          <cell r="P3631">
            <v>0</v>
          </cell>
          <cell r="Q3631">
            <v>0.26603377638257603</v>
          </cell>
          <cell r="R3631">
            <v>0.26603377638257603</v>
          </cell>
          <cell r="S3631" t="e">
            <v>#VALUE!</v>
          </cell>
          <cell r="T3631" t="e">
            <v>#VALUE!</v>
          </cell>
        </row>
        <row r="3632">
          <cell r="A3632" t="str">
            <v>MDJA0401597KPT</v>
          </cell>
          <cell r="B3632" t="str">
            <v>MKP000631005534</v>
          </cell>
          <cell r="C3632" t="str">
            <v/>
          </cell>
          <cell r="D3632" t="str">
            <v>Conjunto Sala de Jantar Mesa Tampo de Vidro 4 Cadeiras Rustic/Preto Savana Madesa</v>
          </cell>
          <cell r="E3632" t="str">
            <v>SAVANA</v>
          </cell>
          <cell r="F3632" t="str">
            <v>SALA DE JANTAR</v>
          </cell>
          <cell r="G3632" t="str">
            <v>4280X</v>
          </cell>
          <cell r="H3632">
            <v>1159.99</v>
          </cell>
          <cell r="I3632">
            <v>1059.99</v>
          </cell>
          <cell r="J3632">
            <v>836.73850000000004</v>
          </cell>
          <cell r="K3632">
            <v>0</v>
          </cell>
          <cell r="L3632">
            <v>836.73850000000004</v>
          </cell>
          <cell r="M3632">
            <v>0</v>
          </cell>
          <cell r="N3632">
            <v>1059.99</v>
          </cell>
          <cell r="O3632" t="str">
            <v/>
          </cell>
          <cell r="P3632">
            <v>0</v>
          </cell>
          <cell r="Q3632">
            <v>0.266811554625489</v>
          </cell>
          <cell r="R3632">
            <v>0.266811554625489</v>
          </cell>
          <cell r="S3632" t="e">
            <v>#VALUE!</v>
          </cell>
          <cell r="T3632" t="e">
            <v>#VALUE!</v>
          </cell>
        </row>
        <row r="3633">
          <cell r="A3633" t="str">
            <v>MDJA0401627GFBM</v>
          </cell>
          <cell r="B3633" t="str">
            <v>MKP000631005563</v>
          </cell>
          <cell r="C3633" t="str">
            <v/>
          </cell>
          <cell r="D3633" t="str">
            <v>Conjunto Sala de Jantar Mesa Tampo de Madeira 4 Cadeiras Rustic/Crema/Bege Marrom Briana Madesa</v>
          </cell>
          <cell r="E3633" t="str">
            <v>BRIANA</v>
          </cell>
          <cell r="F3633" t="str">
            <v>SALA DE JANTAR</v>
          </cell>
          <cell r="G3633" t="str">
            <v>4291X</v>
          </cell>
          <cell r="H3633">
            <v>669.99</v>
          </cell>
          <cell r="I3633">
            <v>519.99</v>
          </cell>
          <cell r="J3633">
            <v>400.66219999999998</v>
          </cell>
          <cell r="K3633">
            <v>0</v>
          </cell>
          <cell r="L3633">
            <v>400.66219999999998</v>
          </cell>
          <cell r="M3633">
            <v>0</v>
          </cell>
          <cell r="N3633">
            <v>519.99</v>
          </cell>
          <cell r="O3633" t="str">
            <v/>
          </cell>
          <cell r="P3633">
            <v>0</v>
          </cell>
          <cell r="Q3633">
            <v>0.29782644831481497</v>
          </cell>
          <cell r="R3633">
            <v>0.29782644831481497</v>
          </cell>
          <cell r="S3633" t="e">
            <v>#VALUE!</v>
          </cell>
          <cell r="T3633" t="e">
            <v>#VALUE!</v>
          </cell>
        </row>
        <row r="3634">
          <cell r="A3634" t="str">
            <v>GRAG1800096E</v>
          </cell>
          <cell r="B3634" t="str">
            <v>MKP000631005269</v>
          </cell>
          <cell r="C3634" t="str">
            <v/>
          </cell>
          <cell r="D3634" t="str">
            <v>Armário de  Cozinha Compacta 180cm Rustic/Branco Agata Madesa 09</v>
          </cell>
          <cell r="E3634" t="str">
            <v>ÁGATA</v>
          </cell>
          <cell r="F3634" t="str">
            <v>COZINHA</v>
          </cell>
          <cell r="G3634" t="str">
            <v/>
          </cell>
          <cell r="H3634">
            <v>1399.99</v>
          </cell>
          <cell r="I3634">
            <v>1299.99</v>
          </cell>
          <cell r="J3634">
            <v>999.91150000000005</v>
          </cell>
          <cell r="K3634">
            <v>0</v>
          </cell>
          <cell r="L3634">
            <v>999.91150000000005</v>
          </cell>
          <cell r="M3634">
            <v>0</v>
          </cell>
          <cell r="N3634">
            <v>1299.99</v>
          </cell>
          <cell r="O3634" t="str">
            <v/>
          </cell>
          <cell r="P3634">
            <v>0</v>
          </cell>
          <cell r="Q3634">
            <v>0.300105059297748</v>
          </cell>
          <cell r="R3634">
            <v>0.300105059297748</v>
          </cell>
          <cell r="S3634" t="e">
            <v>#VALUE!</v>
          </cell>
          <cell r="T3634" t="e">
            <v>#VALUE!</v>
          </cell>
        </row>
        <row r="3635">
          <cell r="A3635" t="str">
            <v>42917G6XTLIB</v>
          </cell>
          <cell r="B3635" t="str">
            <v>MKP000631006091</v>
          </cell>
          <cell r="C3635" t="str">
            <v/>
          </cell>
          <cell r="D3635" t="str">
            <v>Kit 6 Cadeiras de Jantar 4291 Rustic/Crema/Lírio Bege Madesa</v>
          </cell>
          <cell r="E3635">
            <v>4291</v>
          </cell>
          <cell r="F3635" t="str">
            <v>SALA DE JANTAR</v>
          </cell>
          <cell r="G3635" t="str">
            <v>4291X</v>
          </cell>
          <cell r="H3635">
            <v>599.99</v>
          </cell>
          <cell r="I3635">
            <v>499.99</v>
          </cell>
          <cell r="J3635">
            <v>381.67439999999999</v>
          </cell>
          <cell r="K3635">
            <v>0</v>
          </cell>
          <cell r="L3635">
            <v>381.67439999999999</v>
          </cell>
          <cell r="M3635">
            <v>0</v>
          </cell>
          <cell r="N3635">
            <v>499.99</v>
          </cell>
          <cell r="O3635" t="str">
            <v/>
          </cell>
          <cell r="P3635">
            <v>0</v>
          </cell>
          <cell r="Q3635">
            <v>0.30999092420136098</v>
          </cell>
          <cell r="R3635">
            <v>0.30999092420136098</v>
          </cell>
          <cell r="S3635" t="e">
            <v>#VALUE!</v>
          </cell>
          <cell r="T3635" t="e">
            <v>#VALUE!</v>
          </cell>
        </row>
        <row r="3636">
          <cell r="A3636" t="str">
            <v>MDJA060148J7PT</v>
          </cell>
          <cell r="B3636" t="str">
            <v>MKP000631005714</v>
          </cell>
          <cell r="C3636" t="str">
            <v/>
          </cell>
          <cell r="D3636" t="str">
            <v>Conjunto Sala de Jantar Mesa Tampo de Madeira 6 Cadeiras Rustic/Crema/Preto Beverly Madesa</v>
          </cell>
          <cell r="E3636" t="str">
            <v>BEVERLY</v>
          </cell>
          <cell r="F3636" t="str">
            <v>SALA DE JANTAR</v>
          </cell>
          <cell r="G3636" t="str">
            <v>4284X</v>
          </cell>
          <cell r="H3636">
            <v>899.99</v>
          </cell>
          <cell r="I3636">
            <v>799.99</v>
          </cell>
          <cell r="J3636">
            <v>608.61239999999998</v>
          </cell>
          <cell r="K3636">
            <v>0</v>
          </cell>
          <cell r="L3636">
            <v>608.61239999999998</v>
          </cell>
          <cell r="M3636">
            <v>0</v>
          </cell>
          <cell r="N3636">
            <v>799.99</v>
          </cell>
          <cell r="O3636" t="str">
            <v/>
          </cell>
          <cell r="P3636">
            <v>0</v>
          </cell>
          <cell r="Q3636">
            <v>0.31444906479066098</v>
          </cell>
          <cell r="R3636">
            <v>0.31444906479066098</v>
          </cell>
          <cell r="S3636" t="e">
            <v>#VALUE!</v>
          </cell>
          <cell r="T3636" t="e">
            <v>#VALUE!</v>
          </cell>
        </row>
        <row r="3637">
          <cell r="A3637" t="str">
            <v>GRAG270002F8</v>
          </cell>
          <cell r="B3637" t="str">
            <v>MKP000631004562</v>
          </cell>
          <cell r="C3637" t="str">
            <v/>
          </cell>
          <cell r="D3637" t="str">
            <v>Armário de Cozinha Completa 270cm Branco Cinza Agata Madesa 02</v>
          </cell>
          <cell r="E3637" t="str">
            <v>ÁGATA</v>
          </cell>
          <cell r="F3637" t="str">
            <v>COZINHA</v>
          </cell>
          <cell r="G3637" t="str">
            <v/>
          </cell>
          <cell r="H3637">
            <v>2999.99</v>
          </cell>
          <cell r="I3637">
            <v>2399.9899999999998</v>
          </cell>
          <cell r="J3637">
            <v>1787.4256</v>
          </cell>
          <cell r="K3637">
            <v>0</v>
          </cell>
          <cell r="L3637">
            <v>1787.4256</v>
          </cell>
          <cell r="M3637">
            <v>0</v>
          </cell>
          <cell r="N3637">
            <v>2399.9899999999998</v>
          </cell>
          <cell r="O3637" t="str">
            <v/>
          </cell>
          <cell r="P3637">
            <v>0</v>
          </cell>
          <cell r="Q3637">
            <v>0.34270763493596601</v>
          </cell>
          <cell r="R3637">
            <v>0.34270763493596601</v>
          </cell>
          <cell r="S3637" t="e">
            <v>#VALUE!</v>
          </cell>
          <cell r="T3637" t="e">
            <v>#VALUE!</v>
          </cell>
        </row>
        <row r="3638">
          <cell r="A3638" t="str">
            <v>XAMDFC02000273</v>
          </cell>
          <cell r="B3638" t="str">
            <v>MKP000631003384</v>
          </cell>
          <cell r="C3638" t="str">
            <v/>
          </cell>
          <cell r="D3638" t="str">
            <v>Mesa para Computador Gamer e Painel TV Madesa Branco/Preto</v>
          </cell>
          <cell r="E3638" t="str">
            <v>GAMER</v>
          </cell>
          <cell r="F3638" t="str">
            <v>ESCRITÓRIO</v>
          </cell>
          <cell r="G3638" t="str">
            <v/>
          </cell>
          <cell r="H3638">
            <v>859.99</v>
          </cell>
          <cell r="I3638">
            <v>589.99</v>
          </cell>
          <cell r="J3638">
            <v>434.67020000000002</v>
          </cell>
          <cell r="K3638">
            <v>0</v>
          </cell>
          <cell r="L3638">
            <v>434.67020000000002</v>
          </cell>
          <cell r="M3638">
            <v>0</v>
          </cell>
          <cell r="N3638">
            <v>589.99</v>
          </cell>
          <cell r="O3638" t="str">
            <v/>
          </cell>
          <cell r="P3638">
            <v>0</v>
          </cell>
          <cell r="Q3638">
            <v>0.35732792356135801</v>
          </cell>
          <cell r="R3638">
            <v>0.35732792356135801</v>
          </cell>
          <cell r="S3638" t="e">
            <v>#VALUE!</v>
          </cell>
          <cell r="T3638" t="e">
            <v>#VALUE!</v>
          </cell>
        </row>
        <row r="3639">
          <cell r="A3639" t="str">
            <v>G246019BTE</v>
          </cell>
          <cell r="B3639" t="str">
            <v>MKP000631002212</v>
          </cell>
          <cell r="C3639" t="str">
            <v/>
          </cell>
          <cell r="D3639" t="str">
            <v>Balcão Madesa Stella 60 cm 3 Gavetas Branco/Rustic</v>
          </cell>
          <cell r="E3639" t="str">
            <v>STELLA</v>
          </cell>
          <cell r="F3639" t="str">
            <v>MODULAÇÃO</v>
          </cell>
          <cell r="G3639" t="str">
            <v/>
          </cell>
          <cell r="H3639">
            <v>989.99</v>
          </cell>
          <cell r="I3639">
            <v>569.99</v>
          </cell>
          <cell r="J3639">
            <v>378.11009999999999</v>
          </cell>
          <cell r="K3639">
            <v>0</v>
          </cell>
          <cell r="L3639">
            <v>378.11009999999999</v>
          </cell>
          <cell r="M3639">
            <v>0</v>
          </cell>
          <cell r="N3639">
            <v>569.99</v>
          </cell>
          <cell r="O3639" t="str">
            <v/>
          </cell>
          <cell r="P3639">
            <v>0</v>
          </cell>
          <cell r="Q3639">
            <v>0.50747097207929703</v>
          </cell>
          <cell r="R3639">
            <v>0.50747097207929703</v>
          </cell>
          <cell r="S3639" t="e">
            <v>#VALUE!</v>
          </cell>
          <cell r="T3639" t="e">
            <v>#VALUE!</v>
          </cell>
        </row>
        <row r="3640">
          <cell r="A3640" t="str">
            <v>G22800F9FFCT</v>
          </cell>
          <cell r="B3640" t="str">
            <v>MKP000631006028</v>
          </cell>
          <cell r="C3640" t="str">
            <v/>
          </cell>
          <cell r="D3640" t="str">
            <v>Balcão para Forno de Embutir 80 x 60 cm Com Tampo Rustic/Cinza Agata Madesa</v>
          </cell>
          <cell r="E3640" t="str">
            <v>ÁGATA</v>
          </cell>
          <cell r="F3640" t="str">
            <v>MODULAÇÃO</v>
          </cell>
          <cell r="G3640" t="str">
            <v/>
          </cell>
          <cell r="H3640">
            <v>589.99</v>
          </cell>
          <cell r="I3640">
            <v>589.99</v>
          </cell>
          <cell r="J3640">
            <v>382.07769999999999</v>
          </cell>
          <cell r="K3640">
            <v>0</v>
          </cell>
          <cell r="L3640">
            <v>382.07769999999999</v>
          </cell>
          <cell r="M3640">
            <v>0</v>
          </cell>
          <cell r="N3640">
            <v>589.99</v>
          </cell>
          <cell r="O3640" t="str">
            <v/>
          </cell>
          <cell r="P3640">
            <v>0</v>
          </cell>
          <cell r="Q3640">
            <v>0.544162352317343</v>
          </cell>
          <cell r="R3640">
            <v>0.544162352317343</v>
          </cell>
          <cell r="S3640" t="e">
            <v>#VALUE!</v>
          </cell>
          <cell r="T3640" t="e">
            <v>#VALUE!</v>
          </cell>
        </row>
        <row r="3641">
          <cell r="A3641" t="str">
            <v>GRLX18000173</v>
          </cell>
          <cell r="B3641" t="str">
            <v>MKP000631003334</v>
          </cell>
          <cell r="C3641" t="str">
            <v/>
          </cell>
          <cell r="D3641" t="str">
            <v>Armário de Cozinha Compacta 180cm Branco/Preto Lux Madesa 01</v>
          </cell>
          <cell r="E3641" t="str">
            <v>LUX</v>
          </cell>
          <cell r="F3641" t="str">
            <v>COZINHA</v>
          </cell>
          <cell r="G3641" t="str">
            <v/>
          </cell>
          <cell r="H3641">
            <v>3669.99</v>
          </cell>
          <cell r="I3641">
            <v>3569.99</v>
          </cell>
          <cell r="J3641">
            <v>2051.6743000000001</v>
          </cell>
          <cell r="K3641">
            <v>0</v>
          </cell>
          <cell r="L3641">
            <v>2051.6743000000001</v>
          </cell>
          <cell r="M3641">
            <v>0</v>
          </cell>
          <cell r="N3641">
            <v>3569.99</v>
          </cell>
          <cell r="O3641" t="str">
            <v>LOJA</v>
          </cell>
          <cell r="P3641">
            <v>3139.99</v>
          </cell>
          <cell r="Q3641">
            <v>0.74003739287468795</v>
          </cell>
          <cell r="R3641">
            <v>0.74003739287468795</v>
          </cell>
          <cell r="S3641" t="e">
            <v>#VALUE!</v>
          </cell>
          <cell r="T3641" t="e">
            <v>#VALUE!</v>
          </cell>
        </row>
        <row r="3642">
          <cell r="A3642" t="str">
            <v>G227507KLXCT</v>
          </cell>
          <cell r="B3642" t="str">
            <v>MKP000631005075</v>
          </cell>
          <cell r="C3642" t="str">
            <v/>
          </cell>
          <cell r="D3642" t="str">
            <v>Balcão de Canto Madesa Lux 1 Porta 60 cm Profundidade (Com Tampo) Rustic/Preto</v>
          </cell>
          <cell r="E3642" t="str">
            <v>LUX</v>
          </cell>
          <cell r="F3642" t="str">
            <v>MODULAÇÃO</v>
          </cell>
          <cell r="G3642" t="str">
            <v/>
          </cell>
          <cell r="H3642">
            <v>1089.99</v>
          </cell>
          <cell r="I3642">
            <v>939.99</v>
          </cell>
          <cell r="J3642">
            <v>467.96969999999999</v>
          </cell>
          <cell r="K3642">
            <v>0</v>
          </cell>
          <cell r="L3642">
            <v>467.96969999999999</v>
          </cell>
          <cell r="M3642">
            <v>0</v>
          </cell>
          <cell r="N3642">
            <v>939.99</v>
          </cell>
          <cell r="O3642" t="str">
            <v>LOJA</v>
          </cell>
          <cell r="P3642">
            <v>929.99</v>
          </cell>
          <cell r="Q3642">
            <v>1.00865568860548</v>
          </cell>
          <cell r="R3642">
            <v>1.00865568860548</v>
          </cell>
          <cell r="S3642" t="e">
            <v>#VALUE!</v>
          </cell>
          <cell r="T3642" t="e">
            <v>#VALUE!</v>
          </cell>
        </row>
        <row r="3643">
          <cell r="A3643" t="str">
            <v>GCGL3290016E</v>
          </cell>
          <cell r="B3643" t="str">
            <v>MKP000631004512</v>
          </cell>
          <cell r="C3643" t="str">
            <v/>
          </cell>
          <cell r="D3643" t="str">
            <v>Armário de Cozinha Completa de Canto 329cm Rustic Branco Glamy Madesa 01</v>
          </cell>
          <cell r="E3643" t="str">
            <v>GLAMY</v>
          </cell>
          <cell r="F3643" t="str">
            <v>COZINHA</v>
          </cell>
          <cell r="G3643" t="str">
            <v/>
          </cell>
          <cell r="H3643">
            <v>2599.9899999999998</v>
          </cell>
          <cell r="I3643">
            <v>2499.9899999999998</v>
          </cell>
          <cell r="J3643">
            <v>2100.0702999999999</v>
          </cell>
          <cell r="K3643">
            <v>0</v>
          </cell>
          <cell r="L3643">
            <v>2100.0702999999999</v>
          </cell>
          <cell r="M3643">
            <v>0</v>
          </cell>
          <cell r="N3643">
            <v>2499.9899999999998</v>
          </cell>
          <cell r="O3643" t="str">
            <v/>
          </cell>
          <cell r="P3643">
            <v>0</v>
          </cell>
          <cell r="Q3643">
            <v>0.190431577457193</v>
          </cell>
          <cell r="R3643">
            <v>0.190431577457193</v>
          </cell>
          <cell r="S3643" t="e">
            <v>#VALUE!</v>
          </cell>
          <cell r="T3643" t="e">
            <v>#VALUE!</v>
          </cell>
        </row>
        <row r="3644">
          <cell r="A3644" t="str">
            <v>1118D82E</v>
          </cell>
          <cell r="B3644" t="str">
            <v>MKP000631002678</v>
          </cell>
          <cell r="C3644" t="str">
            <v/>
          </cell>
          <cell r="D3644" t="str">
            <v>Guarda-Roupa Casal Madesa Istambul 3 Portas de Correr com Espelhos 3 Gavetas Preto/Rustic</v>
          </cell>
          <cell r="E3644" t="str">
            <v>ISTAMBUL</v>
          </cell>
          <cell r="F3644" t="str">
            <v>QUARTO</v>
          </cell>
          <cell r="G3644" t="str">
            <v/>
          </cell>
          <cell r="H3644">
            <v>2389.9899999999998</v>
          </cell>
          <cell r="I3644">
            <v>1869.99</v>
          </cell>
          <cell r="J3644">
            <v>1565.7304999999999</v>
          </cell>
          <cell r="K3644">
            <v>0</v>
          </cell>
          <cell r="L3644">
            <v>1565.7304999999999</v>
          </cell>
          <cell r="M3644">
            <v>0</v>
          </cell>
          <cell r="N3644">
            <v>1869.99</v>
          </cell>
          <cell r="O3644" t="str">
            <v/>
          </cell>
          <cell r="P3644">
            <v>0</v>
          </cell>
          <cell r="Q3644">
            <v>0.194324310601345</v>
          </cell>
          <cell r="R3644">
            <v>0.194324310601345</v>
          </cell>
          <cell r="S3644" t="e">
            <v>#VALUE!</v>
          </cell>
          <cell r="T3644" t="e">
            <v>#VALUE!</v>
          </cell>
        </row>
        <row r="3645">
          <cell r="A3645" t="str">
            <v>GRGL2200025Z77</v>
          </cell>
          <cell r="B3645" t="str">
            <v>MKP000631001501</v>
          </cell>
          <cell r="C3645" t="str">
            <v/>
          </cell>
          <cell r="D3645" t="str">
            <v>Armário de Cozinha Completa 220cm Rustic/Preto/Branco Parma Madesa 02</v>
          </cell>
          <cell r="E3645" t="str">
            <v>PARMA/GLAMY</v>
          </cell>
          <cell r="F3645" t="str">
            <v>COZINHA</v>
          </cell>
          <cell r="G3645" t="str">
            <v/>
          </cell>
          <cell r="H3645">
            <v>1969.99</v>
          </cell>
          <cell r="I3645">
            <v>1869.99</v>
          </cell>
          <cell r="J3645">
            <v>1558.7654</v>
          </cell>
          <cell r="K3645">
            <v>0</v>
          </cell>
          <cell r="L3645">
            <v>1558.7654</v>
          </cell>
          <cell r="M3645">
            <v>0</v>
          </cell>
          <cell r="N3645">
            <v>1869.99</v>
          </cell>
          <cell r="O3645" t="str">
            <v/>
          </cell>
          <cell r="P3645">
            <v>0</v>
          </cell>
          <cell r="Q3645">
            <v>0.199660962451438</v>
          </cell>
          <cell r="R3645">
            <v>0.199660962451438</v>
          </cell>
          <cell r="S3645" t="e">
            <v>#VALUE!</v>
          </cell>
          <cell r="T3645" t="e">
            <v>#VALUE!</v>
          </cell>
        </row>
        <row r="3646">
          <cell r="A3646" t="str">
            <v>GRGL26000573</v>
          </cell>
          <cell r="B3646" t="str">
            <v>MKP000631005193</v>
          </cell>
          <cell r="C3646" t="str">
            <v/>
          </cell>
          <cell r="D3646" t="str">
            <v>Armário de Cozinha Completa 260cm Branco/Preto Glamy Madesa 05</v>
          </cell>
          <cell r="E3646" t="str">
            <v>GLAMY</v>
          </cell>
          <cell r="F3646" t="str">
            <v>COZINHA</v>
          </cell>
          <cell r="G3646" t="str">
            <v/>
          </cell>
          <cell r="H3646">
            <v>1699.99</v>
          </cell>
          <cell r="I3646">
            <v>1699.99</v>
          </cell>
          <cell r="J3646">
            <v>1407.5279</v>
          </cell>
          <cell r="K3646">
            <v>0</v>
          </cell>
          <cell r="L3646">
            <v>1407.5279</v>
          </cell>
          <cell r="M3646">
            <v>0</v>
          </cell>
          <cell r="N3646">
            <v>1699.99</v>
          </cell>
          <cell r="O3646" t="str">
            <v/>
          </cell>
          <cell r="P3646">
            <v>0</v>
          </cell>
          <cell r="Q3646">
            <v>0.20778422935701699</v>
          </cell>
          <cell r="R3646">
            <v>0.20778422935701699</v>
          </cell>
          <cell r="S3646" t="e">
            <v>#VALUE!</v>
          </cell>
          <cell r="T3646" t="e">
            <v>#VALUE!</v>
          </cell>
        </row>
        <row r="3647">
          <cell r="A3647" t="str">
            <v>GREM2610085Z</v>
          </cell>
          <cell r="B3647" t="str">
            <v>MKP000631005162</v>
          </cell>
          <cell r="C3647" t="str">
            <v/>
          </cell>
          <cell r="D3647" t="str">
            <v>Armário de Cozinha Completa 261cm Rustic Emilly Madesa 08</v>
          </cell>
          <cell r="E3647" t="str">
            <v>EMILLY</v>
          </cell>
          <cell r="F3647" t="str">
            <v>COZINHA</v>
          </cell>
          <cell r="G3647" t="str">
            <v/>
          </cell>
          <cell r="H3647">
            <v>1469.99</v>
          </cell>
          <cell r="I3647">
            <v>1369.99</v>
          </cell>
          <cell r="J3647">
            <v>1096.0604000000001</v>
          </cell>
          <cell r="K3647">
            <v>0</v>
          </cell>
          <cell r="L3647">
            <v>1096.0604000000001</v>
          </cell>
          <cell r="M3647">
            <v>0</v>
          </cell>
          <cell r="N3647">
            <v>1369.99</v>
          </cell>
          <cell r="O3647" t="str">
            <v/>
          </cell>
          <cell r="P3647">
            <v>0</v>
          </cell>
          <cell r="Q3647">
            <v>0.24992199335000101</v>
          </cell>
          <cell r="R3647">
            <v>0.24992199335000101</v>
          </cell>
          <cell r="S3647" t="e">
            <v>#VALUE!</v>
          </cell>
          <cell r="T3647" t="e">
            <v>#VALUE!</v>
          </cell>
        </row>
        <row r="3648">
          <cell r="A3648" t="str">
            <v>MDJA0401475ZOXF</v>
          </cell>
          <cell r="B3648" t="str">
            <v>MKP000631006076</v>
          </cell>
          <cell r="C3648" t="str">
            <v/>
          </cell>
          <cell r="D3648" t="str">
            <v>Conjunto Sala de Jantar Mesa Tampo de Vidro Redondo 4 Cadeiras Rustic/Oxford Irene Madesa</v>
          </cell>
          <cell r="E3648" t="str">
            <v>IRENE</v>
          </cell>
          <cell r="F3648" t="str">
            <v>SALA DE JANTAR</v>
          </cell>
          <cell r="G3648">
            <v>4256</v>
          </cell>
          <cell r="H3648">
            <v>1299.99</v>
          </cell>
          <cell r="I3648">
            <v>1199.99</v>
          </cell>
          <cell r="J3648">
            <v>957.37969999999996</v>
          </cell>
          <cell r="K3648">
            <v>0</v>
          </cell>
          <cell r="L3648">
            <v>957.37969999999996</v>
          </cell>
          <cell r="M3648">
            <v>0</v>
          </cell>
          <cell r="N3648">
            <v>1199.99</v>
          </cell>
          <cell r="O3648" t="str">
            <v/>
          </cell>
          <cell r="P3648">
            <v>0</v>
          </cell>
          <cell r="Q3648">
            <v>0.25341074184046303</v>
          </cell>
          <cell r="R3648">
            <v>0.25341074184046303</v>
          </cell>
          <cell r="S3648" t="e">
            <v>#VALUE!</v>
          </cell>
          <cell r="T3648" t="e">
            <v>#VALUE!</v>
          </cell>
        </row>
        <row r="3649">
          <cell r="A3649" t="str">
            <v>GCTE4990039B</v>
          </cell>
          <cell r="B3649" t="str">
            <v>MKP000631005767</v>
          </cell>
          <cell r="C3649" t="str">
            <v/>
          </cell>
          <cell r="D3649" t="str">
            <v>Armário de Cozinha Completa de Canto 499cm Branco/Rustic Stella Madesa 03</v>
          </cell>
          <cell r="E3649" t="str">
            <v>STELLA</v>
          </cell>
          <cell r="F3649" t="str">
            <v>COZINHA</v>
          </cell>
          <cell r="G3649" t="str">
            <v/>
          </cell>
          <cell r="H3649">
            <v>3799.99</v>
          </cell>
          <cell r="I3649">
            <v>3799.99</v>
          </cell>
          <cell r="J3649">
            <v>3091.0873999999999</v>
          </cell>
          <cell r="K3649">
            <v>0</v>
          </cell>
          <cell r="L3649">
            <v>3091.0873999999999</v>
          </cell>
          <cell r="M3649">
            <v>0</v>
          </cell>
          <cell r="N3649">
            <v>3799.99</v>
          </cell>
          <cell r="O3649" t="str">
            <v/>
          </cell>
          <cell r="P3649">
            <v>0</v>
          </cell>
          <cell r="Q3649">
            <v>0.22933761109440001</v>
          </cell>
          <cell r="R3649">
            <v>0.22933761109440001</v>
          </cell>
          <cell r="S3649" t="e">
            <v>#VALUE!</v>
          </cell>
          <cell r="T3649" t="e">
            <v>#VALUE!</v>
          </cell>
        </row>
        <row r="3650">
          <cell r="A3650" t="str">
            <v>GRGL18001209</v>
          </cell>
          <cell r="B3650" t="str">
            <v>MKP000631005224</v>
          </cell>
          <cell r="C3650" t="str">
            <v/>
          </cell>
          <cell r="D3650" t="str">
            <v>Armário de Cozinha Compacta 180cm Branco Glamy Madesa 12</v>
          </cell>
          <cell r="E3650" t="str">
            <v>GLAMY</v>
          </cell>
          <cell r="F3650" t="str">
            <v>COZINHA</v>
          </cell>
          <cell r="G3650" t="str">
            <v/>
          </cell>
          <cell r="H3650">
            <v>1259.99</v>
          </cell>
          <cell r="I3650">
            <v>1259.99</v>
          </cell>
          <cell r="J3650">
            <v>1025.5155999999999</v>
          </cell>
          <cell r="K3650">
            <v>0</v>
          </cell>
          <cell r="L3650">
            <v>1025.5155999999999</v>
          </cell>
          <cell r="M3650">
            <v>0</v>
          </cell>
          <cell r="N3650">
            <v>1259.99</v>
          </cell>
          <cell r="O3650" t="str">
            <v/>
          </cell>
          <cell r="P3650">
            <v>0</v>
          </cell>
          <cell r="Q3650">
            <v>0.22864050044680001</v>
          </cell>
          <cell r="R3650">
            <v>0.22864050044680001</v>
          </cell>
          <cell r="S3650" t="e">
            <v>#VALUE!</v>
          </cell>
          <cell r="T3650" t="e">
            <v>#VALUE!</v>
          </cell>
        </row>
        <row r="3651">
          <cell r="A3651" t="str">
            <v>GRGL2000067K</v>
          </cell>
          <cell r="B3651" t="str">
            <v>MKP000631005640</v>
          </cell>
          <cell r="C3651" t="str">
            <v/>
          </cell>
          <cell r="D3651" t="str">
            <v>Kit com 2 Balcões de Cozinha Madesa Glamy 4 Portas 3 Gavetas (Sem Tampo e Pia) Rustic/Preto</v>
          </cell>
          <cell r="E3651" t="str">
            <v>GLAMY</v>
          </cell>
          <cell r="F3651" t="str">
            <v>COZINHA</v>
          </cell>
          <cell r="G3651" t="str">
            <v/>
          </cell>
          <cell r="H3651">
            <v>1199.99</v>
          </cell>
          <cell r="I3651">
            <v>1099.99</v>
          </cell>
          <cell r="J3651">
            <v>891.15129999999999</v>
          </cell>
          <cell r="K3651">
            <v>0</v>
          </cell>
          <cell r="L3651">
            <v>891.15129999999999</v>
          </cell>
          <cell r="M3651">
            <v>0</v>
          </cell>
          <cell r="N3651">
            <v>1099.99</v>
          </cell>
          <cell r="O3651" t="str">
            <v/>
          </cell>
          <cell r="P3651">
            <v>0</v>
          </cell>
          <cell r="Q3651">
            <v>0.234347074396907</v>
          </cell>
          <cell r="R3651">
            <v>0.234347074396907</v>
          </cell>
          <cell r="S3651" t="e">
            <v>#VALUE!</v>
          </cell>
          <cell r="T3651" t="e">
            <v>#VALUE!</v>
          </cell>
        </row>
        <row r="3652">
          <cell r="A3652" t="str">
            <v>GCAG39900209</v>
          </cell>
          <cell r="B3652" t="str">
            <v>MKP000631004534</v>
          </cell>
          <cell r="C3652" t="str">
            <v/>
          </cell>
          <cell r="D3652" t="str">
            <v>Armário de Cozinha Completa de Canto 399cm Branco Agata Madesa 02</v>
          </cell>
          <cell r="E3652" t="str">
            <v>ÁGATA</v>
          </cell>
          <cell r="F3652" t="str">
            <v>COZINHA</v>
          </cell>
          <cell r="G3652" t="str">
            <v/>
          </cell>
          <cell r="H3652">
            <v>2599.9899999999998</v>
          </cell>
          <cell r="I3652">
            <v>2499.9899999999998</v>
          </cell>
          <cell r="J3652">
            <v>2030.0596</v>
          </cell>
          <cell r="K3652">
            <v>0</v>
          </cell>
          <cell r="L3652">
            <v>2030.0596</v>
          </cell>
          <cell r="M3652">
            <v>0</v>
          </cell>
          <cell r="N3652">
            <v>2499.9899999999998</v>
          </cell>
          <cell r="O3652" t="str">
            <v/>
          </cell>
          <cell r="P3652">
            <v>0</v>
          </cell>
          <cell r="Q3652">
            <v>0.23148601154369999</v>
          </cell>
          <cell r="R3652">
            <v>0.23148601154369999</v>
          </cell>
          <cell r="S3652" t="e">
            <v>#VALUE!</v>
          </cell>
          <cell r="T3652" t="e">
            <v>#VALUE!</v>
          </cell>
        </row>
        <row r="3653">
          <cell r="A3653" t="str">
            <v>GRGL3300036E</v>
          </cell>
          <cell r="B3653" t="str">
            <v>MKP000631004343</v>
          </cell>
          <cell r="C3653" t="str">
            <v/>
          </cell>
          <cell r="D3653" t="str">
            <v>Armário de Cozinha Completa 330cm Rustic/Branco Glamy Madesa 03</v>
          </cell>
          <cell r="E3653" t="str">
            <v>GLAMY</v>
          </cell>
          <cell r="F3653" t="str">
            <v>COZINHA</v>
          </cell>
          <cell r="G3653" t="str">
            <v/>
          </cell>
          <cell r="H3653">
            <v>2799.99</v>
          </cell>
          <cell r="I3653">
            <v>2699.99</v>
          </cell>
          <cell r="J3653">
            <v>2173.8415</v>
          </cell>
          <cell r="K3653">
            <v>0</v>
          </cell>
          <cell r="L3653">
            <v>2173.8415</v>
          </cell>
          <cell r="M3653">
            <v>0</v>
          </cell>
          <cell r="N3653">
            <v>2699.99</v>
          </cell>
          <cell r="O3653" t="str">
            <v/>
          </cell>
          <cell r="P3653">
            <v>0</v>
          </cell>
          <cell r="Q3653">
            <v>0.242036275413824</v>
          </cell>
          <cell r="R3653">
            <v>0.242036275413824</v>
          </cell>
          <cell r="S3653" t="e">
            <v>#VALUE!</v>
          </cell>
          <cell r="T3653" t="e">
            <v>#VALUE!</v>
          </cell>
        </row>
        <row r="3654">
          <cell r="A3654" t="str">
            <v>GCGL34900709</v>
          </cell>
          <cell r="B3654" t="str">
            <v>MKP000631005242</v>
          </cell>
          <cell r="C3654" t="str">
            <v/>
          </cell>
          <cell r="D3654" t="str">
            <v>Armário de Cozinha Completa de Canto 349cm Branco Glamy Madesa 07</v>
          </cell>
          <cell r="E3654" t="str">
            <v>GLAMY</v>
          </cell>
          <cell r="F3654" t="str">
            <v>COZINHA</v>
          </cell>
          <cell r="G3654" t="str">
            <v/>
          </cell>
          <cell r="H3654">
            <v>2159.9899999999998</v>
          </cell>
          <cell r="I3654">
            <v>2159.9899999999998</v>
          </cell>
          <cell r="J3654">
            <v>1729.1106</v>
          </cell>
          <cell r="K3654">
            <v>0</v>
          </cell>
          <cell r="L3654">
            <v>1729.1106</v>
          </cell>
          <cell r="M3654">
            <v>0</v>
          </cell>
          <cell r="N3654">
            <v>2159.9899999999998</v>
          </cell>
          <cell r="O3654" t="str">
            <v/>
          </cell>
          <cell r="P3654">
            <v>0</v>
          </cell>
          <cell r="Q3654">
            <v>0.24919134727414199</v>
          </cell>
          <cell r="R3654">
            <v>0.24919134727414199</v>
          </cell>
          <cell r="S3654" t="e">
            <v>#VALUE!</v>
          </cell>
          <cell r="T3654" t="e">
            <v>#VALUE!</v>
          </cell>
        </row>
        <row r="3655">
          <cell r="A3655" t="str">
            <v>MDES0200209B9B</v>
          </cell>
          <cell r="B3655" t="str">
            <v>MKP000631002789</v>
          </cell>
          <cell r="C3655" t="str">
            <v/>
          </cell>
          <cell r="D3655" t="str">
            <v>Rack Madesa Cancun com Pés e Painel para TV até 65 Polegadas Branco/Rustic 9B9B</v>
          </cell>
          <cell r="E3655" t="str">
            <v>CANCUN</v>
          </cell>
          <cell r="F3655" t="str">
            <v>SALA DE ESTAR</v>
          </cell>
          <cell r="G3655" t="str">
            <v/>
          </cell>
          <cell r="H3655">
            <v>699.99</v>
          </cell>
          <cell r="I3655">
            <v>599.99</v>
          </cell>
          <cell r="J3655">
            <v>470.45490000000001</v>
          </cell>
          <cell r="K3655">
            <v>0</v>
          </cell>
          <cell r="L3655">
            <v>470.45490000000001</v>
          </cell>
          <cell r="M3655">
            <v>0</v>
          </cell>
          <cell r="N3655">
            <v>599.99</v>
          </cell>
          <cell r="O3655" t="str">
            <v/>
          </cell>
          <cell r="P3655">
            <v>0</v>
          </cell>
          <cell r="Q3655">
            <v>0.27534010167605799</v>
          </cell>
          <cell r="R3655">
            <v>0.27534010167605799</v>
          </cell>
          <cell r="S3655" t="e">
            <v>#VALUE!</v>
          </cell>
          <cell r="T3655" t="e">
            <v>#VALUE!</v>
          </cell>
        </row>
        <row r="3656">
          <cell r="A3656" t="str">
            <v>MDJA0401377KOXF</v>
          </cell>
          <cell r="B3656" t="str">
            <v>MKP000631006060</v>
          </cell>
          <cell r="C3656" t="str">
            <v/>
          </cell>
          <cell r="D3656" t="str">
            <v>Conjunto Sala de Jantar Mesa Tampo de Madeira 4 Cadeiras Rustic/Preto/Oxford Livia Madesa</v>
          </cell>
          <cell r="E3656" t="str">
            <v>LIVIA</v>
          </cell>
          <cell r="F3656" t="str">
            <v>SALA DE JANTAR</v>
          </cell>
          <cell r="G3656">
            <v>4256</v>
          </cell>
          <cell r="H3656">
            <v>1069.99</v>
          </cell>
          <cell r="I3656">
            <v>969.99</v>
          </cell>
          <cell r="J3656">
            <v>740.6114</v>
          </cell>
          <cell r="K3656">
            <v>0</v>
          </cell>
          <cell r="L3656">
            <v>740.6114</v>
          </cell>
          <cell r="M3656">
            <v>0</v>
          </cell>
          <cell r="N3656">
            <v>969.99</v>
          </cell>
          <cell r="O3656" t="str">
            <v/>
          </cell>
          <cell r="P3656">
            <v>0</v>
          </cell>
          <cell r="Q3656">
            <v>0.30971518936921599</v>
          </cell>
          <cell r="R3656">
            <v>0.30971518936921599</v>
          </cell>
          <cell r="S3656" t="e">
            <v>#VALUE!</v>
          </cell>
          <cell r="T3656" t="e">
            <v>#VALUE!</v>
          </cell>
        </row>
        <row r="3657">
          <cell r="A3657" t="str">
            <v>GIGL12000173</v>
          </cell>
          <cell r="B3657" t="str">
            <v>MKP000631006014</v>
          </cell>
          <cell r="C3657" t="str">
            <v/>
          </cell>
          <cell r="D3657" t="str">
            <v>Ilha de Cozinha com Bancada e Balcão 120 cm Branco/Preto Glamy Madesa</v>
          </cell>
          <cell r="E3657" t="str">
            <v>GLAMY</v>
          </cell>
          <cell r="F3657" t="str">
            <v>MODULAÇÃO</v>
          </cell>
          <cell r="G3657" t="str">
            <v/>
          </cell>
          <cell r="H3657">
            <v>979.99</v>
          </cell>
          <cell r="I3657">
            <v>979.99</v>
          </cell>
          <cell r="J3657">
            <v>757.44100000000003</v>
          </cell>
          <cell r="K3657">
            <v>0</v>
          </cell>
          <cell r="L3657">
            <v>757.44100000000003</v>
          </cell>
          <cell r="M3657">
            <v>0</v>
          </cell>
          <cell r="N3657">
            <v>979.99</v>
          </cell>
          <cell r="O3657" t="str">
            <v/>
          </cell>
          <cell r="P3657">
            <v>0</v>
          </cell>
          <cell r="Q3657">
            <v>0.293816944158027</v>
          </cell>
          <cell r="R3657">
            <v>0.293816944158027</v>
          </cell>
          <cell r="S3657" t="e">
            <v>#VALUE!</v>
          </cell>
          <cell r="T3657" t="e">
            <v>#VALUE!</v>
          </cell>
        </row>
        <row r="3658">
          <cell r="A3658" t="str">
            <v>G241206ECT</v>
          </cell>
          <cell r="B3658" t="str">
            <v>MKP000631005850</v>
          </cell>
          <cell r="C3658" t="str">
            <v/>
          </cell>
          <cell r="D3658" t="str">
            <v>Balcão de Pia Cozinha 100% MDF 120 cm 2 Portas Branco/Rustic Acordes Madesa</v>
          </cell>
          <cell r="E3658" t="str">
            <v>ACORDES</v>
          </cell>
          <cell r="F3658" t="str">
            <v>MODULAÇÃO</v>
          </cell>
          <cell r="G3658" t="str">
            <v/>
          </cell>
          <cell r="H3658">
            <v>759.99</v>
          </cell>
          <cell r="I3658">
            <v>659.99</v>
          </cell>
          <cell r="J3658">
            <v>509.34609999999998</v>
          </cell>
          <cell r="K3658">
            <v>0</v>
          </cell>
          <cell r="L3658">
            <v>509.34609999999998</v>
          </cell>
          <cell r="M3658">
            <v>0</v>
          </cell>
          <cell r="N3658">
            <v>659.99</v>
          </cell>
          <cell r="O3658" t="str">
            <v/>
          </cell>
          <cell r="P3658">
            <v>0</v>
          </cell>
          <cell r="Q3658">
            <v>0.29575940603059497</v>
          </cell>
          <cell r="R3658">
            <v>0.29575940603059497</v>
          </cell>
          <cell r="S3658" t="e">
            <v>#VALUE!</v>
          </cell>
          <cell r="T3658" t="e">
            <v>#VALUE!</v>
          </cell>
        </row>
        <row r="3659">
          <cell r="A3659" t="str">
            <v>G241236EAG</v>
          </cell>
          <cell r="B3659" t="str">
            <v>MKP000631004749</v>
          </cell>
          <cell r="C3659" t="str">
            <v/>
          </cell>
          <cell r="D3659" t="str">
            <v>Balcão de Pia Madesa Agata 1 Porta e 2 Gavetas Rustic/Branco</v>
          </cell>
          <cell r="E3659" t="str">
            <v>ÁGATA</v>
          </cell>
          <cell r="F3659" t="str">
            <v>MODULAÇÃO</v>
          </cell>
          <cell r="G3659" t="str">
            <v/>
          </cell>
          <cell r="H3659">
            <v>839.99</v>
          </cell>
          <cell r="I3659">
            <v>579.99</v>
          </cell>
          <cell r="J3659">
            <v>425.36160000000001</v>
          </cell>
          <cell r="K3659">
            <v>0</v>
          </cell>
          <cell r="L3659">
            <v>425.36160000000001</v>
          </cell>
          <cell r="M3659">
            <v>0</v>
          </cell>
          <cell r="N3659">
            <v>579.99</v>
          </cell>
          <cell r="O3659" t="str">
            <v/>
          </cell>
          <cell r="P3659">
            <v>0</v>
          </cell>
          <cell r="Q3659">
            <v>0.36352223613979201</v>
          </cell>
          <cell r="R3659">
            <v>0.36352223613979201</v>
          </cell>
          <cell r="S3659" t="e">
            <v>#VALUE!</v>
          </cell>
          <cell r="T3659" t="e">
            <v>#VALUE!</v>
          </cell>
        </row>
        <row r="3660">
          <cell r="A3660" t="str">
            <v>G241535LAG</v>
          </cell>
          <cell r="B3660" t="str">
            <v>MKP000631005383</v>
          </cell>
          <cell r="C3660" t="str">
            <v/>
          </cell>
          <cell r="D3660" t="str">
            <v>Balcão de Pia 150 cm 2 Portas e 2 Gavetas (Sem Tampo e Pia) Branco/Crema Agata Madesa</v>
          </cell>
          <cell r="E3660" t="str">
            <v>ÁGATA</v>
          </cell>
          <cell r="F3660" t="str">
            <v>MODULAÇÃO</v>
          </cell>
          <cell r="G3660" t="str">
            <v/>
          </cell>
          <cell r="H3660">
            <v>719.99</v>
          </cell>
          <cell r="I3660">
            <v>619.99</v>
          </cell>
          <cell r="J3660">
            <v>424.2389</v>
          </cell>
          <cell r="K3660">
            <v>0</v>
          </cell>
          <cell r="L3660">
            <v>424.2389</v>
          </cell>
          <cell r="M3660">
            <v>0</v>
          </cell>
          <cell r="N3660">
            <v>619.99</v>
          </cell>
          <cell r="O3660" t="str">
            <v/>
          </cell>
          <cell r="P3660">
            <v>0</v>
          </cell>
          <cell r="Q3660">
            <v>0.46141714020095798</v>
          </cell>
          <cell r="R3660">
            <v>0.46141714020095798</v>
          </cell>
          <cell r="S3660" t="e">
            <v>#VALUE!</v>
          </cell>
          <cell r="T3660" t="e">
            <v>#VALUE!</v>
          </cell>
        </row>
        <row r="3661">
          <cell r="A3661" t="str">
            <v>G22800F9FF</v>
          </cell>
          <cell r="B3661" t="str">
            <v>MKP000631006018</v>
          </cell>
          <cell r="C3661" t="str">
            <v/>
          </cell>
          <cell r="D3661" t="str">
            <v>Balcão para Forno de Embutir 80 x 60 cm Sem Tampo Rustic/Cinza Agata Madesa</v>
          </cell>
          <cell r="E3661" t="str">
            <v>ÁGATA</v>
          </cell>
          <cell r="F3661" t="str">
            <v>MODULAÇÃO</v>
          </cell>
          <cell r="G3661" t="str">
            <v/>
          </cell>
          <cell r="H3661">
            <v>449.99</v>
          </cell>
          <cell r="I3661">
            <v>449.99</v>
          </cell>
          <cell r="J3661">
            <v>301.64659999999998</v>
          </cell>
          <cell r="K3661">
            <v>0</v>
          </cell>
          <cell r="L3661">
            <v>301.64659999999998</v>
          </cell>
          <cell r="M3661">
            <v>0</v>
          </cell>
          <cell r="N3661">
            <v>449.99</v>
          </cell>
          <cell r="O3661" t="str">
            <v/>
          </cell>
          <cell r="P3661">
            <v>0</v>
          </cell>
          <cell r="Q3661">
            <v>0.49177879014714598</v>
          </cell>
          <cell r="R3661">
            <v>0.49177879014714598</v>
          </cell>
          <cell r="S3661" t="e">
            <v>#VALUE!</v>
          </cell>
          <cell r="T3661" t="e">
            <v>#VALUE!</v>
          </cell>
        </row>
        <row r="3662">
          <cell r="A3662" t="str">
            <v>G228005ZFF</v>
          </cell>
          <cell r="B3662" t="str">
            <v>MKP000631006019</v>
          </cell>
          <cell r="C3662" t="str">
            <v/>
          </cell>
          <cell r="D3662" t="str">
            <v>Balcão para Forno de Embutir 80 x 60 cm Sem Tampo Rustic Glamy, Stella Madesa</v>
          </cell>
          <cell r="E3662" t="str">
            <v>PR</v>
          </cell>
          <cell r="F3662" t="str">
            <v>MODULAÇÃO</v>
          </cell>
          <cell r="G3662" t="str">
            <v/>
          </cell>
          <cell r="H3662">
            <v>449.99</v>
          </cell>
          <cell r="I3662">
            <v>449.99</v>
          </cell>
          <cell r="J3662">
            <v>301.64659999999998</v>
          </cell>
          <cell r="K3662">
            <v>0</v>
          </cell>
          <cell r="L3662">
            <v>301.64659999999998</v>
          </cell>
          <cell r="M3662">
            <v>0</v>
          </cell>
          <cell r="N3662">
            <v>449.99</v>
          </cell>
          <cell r="O3662" t="str">
            <v/>
          </cell>
          <cell r="P3662">
            <v>0</v>
          </cell>
          <cell r="Q3662">
            <v>0.49177879014714598</v>
          </cell>
          <cell r="R3662">
            <v>0.49177879014714598</v>
          </cell>
          <cell r="S3662" t="e">
            <v>#VALUE!</v>
          </cell>
          <cell r="T3662" t="e">
            <v>#VALUE!</v>
          </cell>
        </row>
        <row r="3663">
          <cell r="A3663" t="str">
            <v>G248025ZGL</v>
          </cell>
          <cell r="B3663" t="str">
            <v>MKP000631000352</v>
          </cell>
          <cell r="C3663" t="str">
            <v/>
          </cell>
          <cell r="D3663" t="str">
            <v>Balcão 80 cm 2 Gavetas Rustic Glamy Madesa</v>
          </cell>
          <cell r="E3663" t="str">
            <v>GLAMY</v>
          </cell>
          <cell r="F3663" t="str">
            <v>MODULAÇÃO</v>
          </cell>
          <cell r="G3663" t="str">
            <v/>
          </cell>
          <cell r="H3663">
            <v>679.99</v>
          </cell>
          <cell r="I3663">
            <v>599.99</v>
          </cell>
          <cell r="J3663">
            <v>392.3673</v>
          </cell>
          <cell r="K3663">
            <v>0</v>
          </cell>
          <cell r="L3663">
            <v>392.3673</v>
          </cell>
          <cell r="M3663">
            <v>0</v>
          </cell>
          <cell r="N3663">
            <v>599.99</v>
          </cell>
          <cell r="O3663" t="str">
            <v/>
          </cell>
          <cell r="P3663">
            <v>0</v>
          </cell>
          <cell r="Q3663">
            <v>0.52915393306221004</v>
          </cell>
          <cell r="R3663">
            <v>0.52915393306221004</v>
          </cell>
          <cell r="S3663" t="e">
            <v>#VALUE!</v>
          </cell>
          <cell r="T3663" t="e">
            <v>#VALUE!</v>
          </cell>
        </row>
        <row r="3664">
          <cell r="A3664" t="str">
            <v>G2220009PRCT</v>
          </cell>
          <cell r="B3664" t="str">
            <v>MKP000631005599</v>
          </cell>
          <cell r="C3664" t="str">
            <v/>
          </cell>
          <cell r="D3664" t="str">
            <v>Balcão Porta-Pano 20 x 60 cm para Cozinhas Madesa Lux, Glamy, Agata (Com Tampo) Branco</v>
          </cell>
          <cell r="E3664" t="str">
            <v>PR</v>
          </cell>
          <cell r="F3664" t="str">
            <v>MODULAÇÃO</v>
          </cell>
          <cell r="G3664" t="str">
            <v/>
          </cell>
          <cell r="H3664">
            <v>369.99</v>
          </cell>
          <cell r="I3664">
            <v>319.99</v>
          </cell>
          <cell r="J3664">
            <v>197.62790000000001</v>
          </cell>
          <cell r="K3664">
            <v>0</v>
          </cell>
          <cell r="L3664">
            <v>197.62790000000001</v>
          </cell>
          <cell r="M3664">
            <v>0</v>
          </cell>
          <cell r="N3664">
            <v>319.99</v>
          </cell>
          <cell r="O3664" t="str">
            <v/>
          </cell>
          <cell r="P3664">
            <v>0</v>
          </cell>
          <cell r="Q3664">
            <v>0.619153975729135</v>
          </cell>
          <cell r="R3664">
            <v>0.619153975729135</v>
          </cell>
          <cell r="S3664" t="e">
            <v>#VALUE!</v>
          </cell>
          <cell r="T3664" t="e">
            <v>#VALUE!</v>
          </cell>
        </row>
        <row r="3665">
          <cell r="A3665" t="str">
            <v>53647G2VI</v>
          </cell>
          <cell r="B3665" t="str">
            <v>MKP000631003139</v>
          </cell>
          <cell r="C3665" t="str">
            <v/>
          </cell>
          <cell r="D3665" t="str">
            <v>Mesa de Jantar Madesa Retangular Tampo de Vidro 5364 Rustic/Crema</v>
          </cell>
          <cell r="E3665">
            <v>5364</v>
          </cell>
          <cell r="F3665" t="str">
            <v>SALA DE JANTAR</v>
          </cell>
          <cell r="G3665" t="str">
            <v/>
          </cell>
          <cell r="H3665">
            <v>1319.99</v>
          </cell>
          <cell r="I3665">
            <v>969.99</v>
          </cell>
          <cell r="J3665">
            <v>545.35969999999998</v>
          </cell>
          <cell r="K3665">
            <v>0</v>
          </cell>
          <cell r="L3665">
            <v>545.35969999999998</v>
          </cell>
          <cell r="M3665">
            <v>0</v>
          </cell>
          <cell r="N3665">
            <v>969.99</v>
          </cell>
          <cell r="O3665" t="str">
            <v/>
          </cell>
          <cell r="P3665">
            <v>0</v>
          </cell>
          <cell r="Q3665">
            <v>0.77862427311735705</v>
          </cell>
          <cell r="R3665">
            <v>0.77862427311735705</v>
          </cell>
          <cell r="S3665" t="e">
            <v>#VALUE!</v>
          </cell>
          <cell r="T3665" t="e">
            <v>#VALUE!</v>
          </cell>
        </row>
        <row r="3666">
          <cell r="A3666" t="str">
            <v>G2535073LX</v>
          </cell>
          <cell r="B3666" t="str">
            <v>MKP000631003252</v>
          </cell>
          <cell r="C3666" t="str">
            <v/>
          </cell>
          <cell r="D3666" t="str">
            <v>Armário Aéreo Madesa Lux 35 cm 1 Porta Branco/Preto</v>
          </cell>
          <cell r="E3666" t="str">
            <v>LUX</v>
          </cell>
          <cell r="F3666" t="str">
            <v>MODULAÇÃO</v>
          </cell>
          <cell r="G3666" t="str">
            <v/>
          </cell>
          <cell r="H3666">
            <v>799.99</v>
          </cell>
          <cell r="I3666">
            <v>429.99</v>
          </cell>
          <cell r="J3666">
            <v>240.56299999999999</v>
          </cell>
          <cell r="K3666">
            <v>0</v>
          </cell>
          <cell r="L3666">
            <v>240.56299999999999</v>
          </cell>
          <cell r="M3666">
            <v>0</v>
          </cell>
          <cell r="N3666">
            <v>429.99</v>
          </cell>
          <cell r="O3666" t="str">
            <v>LOJA</v>
          </cell>
          <cell r="P3666">
            <v>419.99</v>
          </cell>
          <cell r="Q3666">
            <v>0.78743198247444501</v>
          </cell>
          <cell r="R3666">
            <v>0.78743198247444501</v>
          </cell>
          <cell r="S3666" t="e">
            <v>#VALUE!</v>
          </cell>
          <cell r="T3666" t="e">
            <v>#VALUE!</v>
          </cell>
        </row>
        <row r="3667">
          <cell r="A3667" t="str">
            <v>G224019NLXCT</v>
          </cell>
          <cell r="B3667" t="str">
            <v>MKP000631005093</v>
          </cell>
          <cell r="C3667" t="str">
            <v/>
          </cell>
          <cell r="D3667" t="str">
            <v>Balcão 40 cm 3 Gavetas Rustic/Cinza Lux Madesa</v>
          </cell>
          <cell r="E3667" t="str">
            <v>LUX</v>
          </cell>
          <cell r="F3667" t="str">
            <v>MODULAÇÃO</v>
          </cell>
          <cell r="G3667" t="str">
            <v/>
          </cell>
          <cell r="H3667">
            <v>1039.99</v>
          </cell>
          <cell r="I3667">
            <v>869.99</v>
          </cell>
          <cell r="J3667">
            <v>483.46949999999998</v>
          </cell>
          <cell r="K3667">
            <v>0</v>
          </cell>
          <cell r="L3667">
            <v>483.46949999999998</v>
          </cell>
          <cell r="M3667">
            <v>0</v>
          </cell>
          <cell r="N3667">
            <v>869.99</v>
          </cell>
          <cell r="O3667" t="str">
            <v>LOJA</v>
          </cell>
          <cell r="P3667">
            <v>859.99</v>
          </cell>
          <cell r="Q3667">
            <v>0.79947235554673002</v>
          </cell>
          <cell r="R3667">
            <v>0.79947235554673002</v>
          </cell>
          <cell r="S3667" t="e">
            <v>#VALUE!</v>
          </cell>
          <cell r="T3667" t="e">
            <v>#VALUE!</v>
          </cell>
        </row>
        <row r="3668">
          <cell r="A3668" t="str">
            <v>G223509NLXCT</v>
          </cell>
          <cell r="B3668" t="str">
            <v>MKP000631005106</v>
          </cell>
          <cell r="C3668" t="str">
            <v/>
          </cell>
          <cell r="D3668" t="str">
            <v>Balcão 35 cm 1 Porta Rustic/Cinza Lux Madesa</v>
          </cell>
          <cell r="E3668" t="str">
            <v>LUX</v>
          </cell>
          <cell r="F3668" t="str">
            <v>MODULAÇÃO</v>
          </cell>
          <cell r="G3668" t="str">
            <v/>
          </cell>
          <cell r="H3668">
            <v>729.99</v>
          </cell>
          <cell r="I3668">
            <v>629.99</v>
          </cell>
          <cell r="J3668">
            <v>345.53</v>
          </cell>
          <cell r="K3668">
            <v>0</v>
          </cell>
          <cell r="L3668">
            <v>345.53</v>
          </cell>
          <cell r="M3668">
            <v>0</v>
          </cell>
          <cell r="N3668">
            <v>629.99</v>
          </cell>
          <cell r="O3668" t="str">
            <v>LOJA</v>
          </cell>
          <cell r="P3668">
            <v>619.99</v>
          </cell>
          <cell r="Q3668">
            <v>0.82325702543918</v>
          </cell>
          <cell r="R3668">
            <v>0.82325702543918</v>
          </cell>
          <cell r="S3668" t="e">
            <v>#VALUE!</v>
          </cell>
          <cell r="T3668" t="e">
            <v>#VALUE!</v>
          </cell>
        </row>
        <row r="3669">
          <cell r="A3669" t="str">
            <v>G257027GAG</v>
          </cell>
          <cell r="B3669" t="str">
            <v>MKP000631005402</v>
          </cell>
          <cell r="C3669" t="str">
            <v/>
          </cell>
          <cell r="D3669" t="str">
            <v>Armário Aéreo 70 cm 1 Porta Basculante Rustic/Crema Agata Madesa</v>
          </cell>
          <cell r="E3669" t="str">
            <v>ÁGATA</v>
          </cell>
          <cell r="F3669" t="str">
            <v>MODULAÇÃO</v>
          </cell>
          <cell r="G3669" t="str">
            <v/>
          </cell>
          <cell r="H3669">
            <v>389.99</v>
          </cell>
          <cell r="I3669">
            <v>289.99</v>
          </cell>
          <cell r="J3669">
            <v>156.62209999999999</v>
          </cell>
          <cell r="K3669">
            <v>0</v>
          </cell>
          <cell r="L3669">
            <v>156.62209999999999</v>
          </cell>
          <cell r="M3669">
            <v>0</v>
          </cell>
          <cell r="N3669">
            <v>289.99</v>
          </cell>
          <cell r="O3669" t="str">
            <v/>
          </cell>
          <cell r="P3669">
            <v>0</v>
          </cell>
          <cell r="Q3669">
            <v>0.85152670025494503</v>
          </cell>
          <cell r="R3669">
            <v>0.85152670025494503</v>
          </cell>
          <cell r="S3669" t="e">
            <v>#VALUE!</v>
          </cell>
          <cell r="T3669" t="e">
            <v>#VALUE!</v>
          </cell>
        </row>
        <row r="3670">
          <cell r="A3670" t="str">
            <v>G2240073LX</v>
          </cell>
          <cell r="B3670" t="str">
            <v>MKP000631003261</v>
          </cell>
          <cell r="C3670" t="str">
            <v/>
          </cell>
          <cell r="D3670" t="str">
            <v>Balcão Madesa Lux 40 cm 1 Porta (Sem Tampo) Branco/Preto</v>
          </cell>
          <cell r="E3670" t="str">
            <v>LUX</v>
          </cell>
          <cell r="F3670" t="str">
            <v>MODULAÇÃO</v>
          </cell>
          <cell r="G3670" t="str">
            <v/>
          </cell>
          <cell r="H3670">
            <v>869.99</v>
          </cell>
          <cell r="I3670">
            <v>569.99</v>
          </cell>
          <cell r="J3670">
            <v>302.15890000000002</v>
          </cell>
          <cell r="K3670">
            <v>0</v>
          </cell>
          <cell r="L3670">
            <v>302.15890000000002</v>
          </cell>
          <cell r="M3670">
            <v>0</v>
          </cell>
          <cell r="N3670">
            <v>569.99</v>
          </cell>
          <cell r="O3670" t="str">
            <v>LOJA</v>
          </cell>
          <cell r="P3670">
            <v>559.99</v>
          </cell>
          <cell r="Q3670">
            <v>0.88639156417368503</v>
          </cell>
          <cell r="R3670">
            <v>0.88639156417368503</v>
          </cell>
          <cell r="S3670" t="e">
            <v>#VALUE!</v>
          </cell>
          <cell r="T3670" t="e">
            <v>#VALUE!</v>
          </cell>
        </row>
        <row r="3671">
          <cell r="A3671" t="str">
            <v>G2260073LXCT</v>
          </cell>
          <cell r="B3671" t="str">
            <v>MKP000631005088</v>
          </cell>
          <cell r="C3671" t="str">
            <v/>
          </cell>
          <cell r="D3671" t="str">
            <v>Balcão 60 cm 1 Porta Branco/Preto Lux Madesa</v>
          </cell>
          <cell r="E3671" t="str">
            <v>LUX</v>
          </cell>
          <cell r="F3671" t="str">
            <v>MODULAÇÃO</v>
          </cell>
          <cell r="G3671" t="str">
            <v/>
          </cell>
          <cell r="H3671">
            <v>959.99</v>
          </cell>
          <cell r="I3671">
            <v>819.99</v>
          </cell>
          <cell r="J3671">
            <v>432.62099999999998</v>
          </cell>
          <cell r="K3671">
            <v>0</v>
          </cell>
          <cell r="L3671">
            <v>432.62099999999998</v>
          </cell>
          <cell r="M3671">
            <v>0</v>
          </cell>
          <cell r="N3671">
            <v>819.99</v>
          </cell>
          <cell r="O3671" t="str">
            <v>LOJA</v>
          </cell>
          <cell r="P3671">
            <v>799.99</v>
          </cell>
          <cell r="Q3671">
            <v>0.895400361979654</v>
          </cell>
          <cell r="R3671">
            <v>0.895400361979654</v>
          </cell>
          <cell r="S3671" t="e">
            <v>#VALUE!</v>
          </cell>
          <cell r="T3671" t="e">
            <v>#VALUE!</v>
          </cell>
        </row>
        <row r="3672">
          <cell r="A3672" t="str">
            <v>MDES020023098N</v>
          </cell>
          <cell r="B3672" t="str">
            <v>MKP000631001662</v>
          </cell>
          <cell r="C3672" t="str">
            <v/>
          </cell>
          <cell r="D3672" t="str">
            <v>Rack Madesa Cancun e Painel para TV até 65 Polegadas Branco/Preto 098N</v>
          </cell>
          <cell r="E3672" t="str">
            <v>CANCUN</v>
          </cell>
          <cell r="F3672" t="str">
            <v>SALA DE ESTAR</v>
          </cell>
          <cell r="G3672" t="str">
            <v/>
          </cell>
          <cell r="H3672">
            <v>1149.99</v>
          </cell>
          <cell r="I3672">
            <v>569.99</v>
          </cell>
          <cell r="J3672">
            <v>449.15629999999999</v>
          </cell>
          <cell r="K3672">
            <v>0</v>
          </cell>
          <cell r="L3672">
            <v>449.15629999999999</v>
          </cell>
          <cell r="M3672">
            <v>0</v>
          </cell>
          <cell r="N3672">
            <v>569.99</v>
          </cell>
          <cell r="O3672" t="str">
            <v/>
          </cell>
          <cell r="P3672">
            <v>0</v>
          </cell>
          <cell r="Q3672">
            <v>0.26902372292228799</v>
          </cell>
          <cell r="R3672">
            <v>0.26902372292228799</v>
          </cell>
          <cell r="S3672" t="e">
            <v>#VALUE!</v>
          </cell>
          <cell r="T3672" t="e">
            <v>#VALUE!</v>
          </cell>
        </row>
        <row r="3673">
          <cell r="A3673" t="str">
            <v>MDJA0601467GSIM</v>
          </cell>
          <cell r="B3673" t="str">
            <v>MKP000631005707</v>
          </cell>
          <cell r="C3673" t="str">
            <v/>
          </cell>
          <cell r="D3673" t="str">
            <v>Conjunto Sala de Jantar Mesa Tampo de Madeira 6 Cadeiras Rustic/Crema/Imperial Fabiana Madesa</v>
          </cell>
          <cell r="E3673" t="str">
            <v>FABIANA</v>
          </cell>
          <cell r="F3673" t="str">
            <v>SALA DE JANTAR</v>
          </cell>
          <cell r="G3673">
            <v>4256</v>
          </cell>
          <cell r="H3673">
            <v>1499.99</v>
          </cell>
          <cell r="I3673">
            <v>1399.99</v>
          </cell>
          <cell r="J3673">
            <v>1104.8022000000001</v>
          </cell>
          <cell r="K3673">
            <v>0</v>
          </cell>
          <cell r="L3673">
            <v>1104.8022000000001</v>
          </cell>
          <cell r="M3673">
            <v>0</v>
          </cell>
          <cell r="N3673">
            <v>1399.99</v>
          </cell>
          <cell r="O3673" t="str">
            <v/>
          </cell>
          <cell r="P3673">
            <v>0</v>
          </cell>
          <cell r="Q3673">
            <v>0.26718610806531701</v>
          </cell>
          <cell r="R3673">
            <v>0.26718610806531701</v>
          </cell>
          <cell r="S3673" t="e">
            <v>#VALUE!</v>
          </cell>
          <cell r="T3673" t="e">
            <v>#VALUE!</v>
          </cell>
        </row>
        <row r="3674">
          <cell r="A3674" t="str">
            <v>GRTE3100039B</v>
          </cell>
          <cell r="B3674" t="str">
            <v>MKP000631005938</v>
          </cell>
          <cell r="C3674" t="str">
            <v/>
          </cell>
          <cell r="D3674" t="str">
            <v>Armário de Cozinha Completa 310cm Branco/Rustic Stella Madesa 03</v>
          </cell>
          <cell r="E3674" t="str">
            <v>STELLA</v>
          </cell>
          <cell r="F3674" t="str">
            <v>COZINHA</v>
          </cell>
          <cell r="G3674" t="str">
            <v/>
          </cell>
          <cell r="H3674">
            <v>2599.9899999999998</v>
          </cell>
          <cell r="I3674">
            <v>2499.9899999999998</v>
          </cell>
          <cell r="J3674">
            <v>2104.6592000000001</v>
          </cell>
          <cell r="K3674">
            <v>0</v>
          </cell>
          <cell r="L3674">
            <v>2104.6592000000001</v>
          </cell>
          <cell r="M3674">
            <v>0</v>
          </cell>
          <cell r="N3674">
            <v>2499.9899999999998</v>
          </cell>
          <cell r="O3674" t="str">
            <v/>
          </cell>
          <cell r="P3674">
            <v>0</v>
          </cell>
          <cell r="Q3674">
            <v>0.187836016396384</v>
          </cell>
          <cell r="R3674">
            <v>0.187836016396384</v>
          </cell>
          <cell r="S3674" t="e">
            <v>#VALUE!</v>
          </cell>
          <cell r="T3674" t="e">
            <v>#VALUE!</v>
          </cell>
        </row>
        <row r="3675">
          <cell r="A3675" t="str">
            <v>GCGL34900273</v>
          </cell>
          <cell r="B3675" t="str">
            <v>MKP000631004597</v>
          </cell>
          <cell r="C3675" t="str">
            <v/>
          </cell>
          <cell r="D3675" t="str">
            <v>Armário de Cozinha Completa de Canto 349cm Branco Preto Glamy Madesa 02</v>
          </cell>
          <cell r="E3675" t="str">
            <v>GLAMY</v>
          </cell>
          <cell r="F3675" t="str">
            <v>COZINHA</v>
          </cell>
          <cell r="G3675" t="str">
            <v/>
          </cell>
          <cell r="H3675">
            <v>2499.9899999999998</v>
          </cell>
          <cell r="I3675">
            <v>2399.9899999999998</v>
          </cell>
          <cell r="J3675">
            <v>2025.4161999999999</v>
          </cell>
          <cell r="K3675">
            <v>0</v>
          </cell>
          <cell r="L3675">
            <v>2025.4161999999999</v>
          </cell>
          <cell r="M3675">
            <v>0</v>
          </cell>
          <cell r="N3675">
            <v>2399.9899999999998</v>
          </cell>
          <cell r="O3675" t="str">
            <v/>
          </cell>
          <cell r="P3675">
            <v>0</v>
          </cell>
          <cell r="Q3675">
            <v>0.18493670584840799</v>
          </cell>
          <cell r="R3675">
            <v>0.18493670584840799</v>
          </cell>
          <cell r="S3675" t="e">
            <v>#VALUE!</v>
          </cell>
          <cell r="T3675" t="e">
            <v>#VALUE!</v>
          </cell>
        </row>
        <row r="3676">
          <cell r="A3676" t="str">
            <v>GCGL32900173</v>
          </cell>
          <cell r="B3676" t="str">
            <v>MKP000631004511</v>
          </cell>
          <cell r="C3676" t="str">
            <v/>
          </cell>
          <cell r="D3676" t="str">
            <v>Armário de Cozinha Completa de Canto 329cm Branco Preto Glamy Madesa 01</v>
          </cell>
          <cell r="E3676" t="str">
            <v>GLAMY</v>
          </cell>
          <cell r="F3676" t="str">
            <v>COZINHA</v>
          </cell>
          <cell r="G3676" t="str">
            <v/>
          </cell>
          <cell r="H3676">
            <v>2599.9899999999998</v>
          </cell>
          <cell r="I3676">
            <v>2499.9899999999998</v>
          </cell>
          <cell r="J3676">
            <v>2100.0702999999999</v>
          </cell>
          <cell r="K3676">
            <v>0</v>
          </cell>
          <cell r="L3676">
            <v>2100.0702999999999</v>
          </cell>
          <cell r="M3676">
            <v>0</v>
          </cell>
          <cell r="N3676">
            <v>2499.9899999999998</v>
          </cell>
          <cell r="O3676" t="str">
            <v/>
          </cell>
          <cell r="P3676">
            <v>0</v>
          </cell>
          <cell r="Q3676">
            <v>0.190431577457193</v>
          </cell>
          <cell r="R3676">
            <v>0.190431577457193</v>
          </cell>
          <cell r="S3676" t="e">
            <v>#VALUE!</v>
          </cell>
          <cell r="T3676" t="e">
            <v>#VALUE!</v>
          </cell>
        </row>
        <row r="3677">
          <cell r="A3677" t="str">
            <v>GRGL2700135Z</v>
          </cell>
          <cell r="B3677" t="str">
            <v>MKP000631004369</v>
          </cell>
          <cell r="C3677" t="str">
            <v/>
          </cell>
          <cell r="D3677" t="str">
            <v>Armário de Cozinha Completa 270cm Rustic Glamy Madesa 13</v>
          </cell>
          <cell r="E3677" t="str">
            <v>GLAMY</v>
          </cell>
          <cell r="F3677" t="str">
            <v>COZINHA</v>
          </cell>
          <cell r="G3677" t="str">
            <v/>
          </cell>
          <cell r="H3677">
            <v>2299.9899999999998</v>
          </cell>
          <cell r="I3677">
            <v>2199.9899999999998</v>
          </cell>
          <cell r="J3677">
            <v>1819.4498000000001</v>
          </cell>
          <cell r="K3677">
            <v>0</v>
          </cell>
          <cell r="L3677">
            <v>1819.4498000000001</v>
          </cell>
          <cell r="M3677">
            <v>0</v>
          </cell>
          <cell r="N3677">
            <v>2199.9899999999998</v>
          </cell>
          <cell r="O3677" t="str">
            <v/>
          </cell>
          <cell r="P3677">
            <v>0</v>
          </cell>
          <cell r="Q3677">
            <v>0.20915125000975501</v>
          </cell>
          <cell r="R3677">
            <v>0.20915125000975501</v>
          </cell>
          <cell r="S3677" t="e">
            <v>#VALUE!</v>
          </cell>
          <cell r="T3677" t="e">
            <v>#VALUE!</v>
          </cell>
        </row>
        <row r="3678">
          <cell r="A3678" t="str">
            <v>GRGL2600046E</v>
          </cell>
          <cell r="B3678" t="str">
            <v>MKP000631005197</v>
          </cell>
          <cell r="C3678" t="str">
            <v/>
          </cell>
          <cell r="D3678" t="str">
            <v>Armário de Cozinha Completa 260cm Rustic/Branco Glamy Madesa 04</v>
          </cell>
          <cell r="E3678" t="str">
            <v>GLAMY</v>
          </cell>
          <cell r="F3678" t="str">
            <v>COZINHA</v>
          </cell>
          <cell r="G3678" t="str">
            <v/>
          </cell>
          <cell r="H3678">
            <v>1699.99</v>
          </cell>
          <cell r="I3678">
            <v>1699.99</v>
          </cell>
          <cell r="J3678">
            <v>1407.5279</v>
          </cell>
          <cell r="K3678">
            <v>0</v>
          </cell>
          <cell r="L3678">
            <v>1407.5279</v>
          </cell>
          <cell r="M3678">
            <v>0</v>
          </cell>
          <cell r="N3678">
            <v>1699.99</v>
          </cell>
          <cell r="O3678" t="str">
            <v/>
          </cell>
          <cell r="P3678">
            <v>0</v>
          </cell>
          <cell r="Q3678">
            <v>0.20778422935701699</v>
          </cell>
          <cell r="R3678">
            <v>0.20778422935701699</v>
          </cell>
          <cell r="S3678" t="e">
            <v>#VALUE!</v>
          </cell>
          <cell r="T3678" t="e">
            <v>#VALUE!</v>
          </cell>
        </row>
        <row r="3679">
          <cell r="A3679" t="str">
            <v>MDJA0800055ZSIM</v>
          </cell>
          <cell r="B3679" t="str">
            <v>MKP000631006085</v>
          </cell>
          <cell r="C3679" t="str">
            <v/>
          </cell>
          <cell r="D3679" t="str">
            <v>Conjunto Sala de Jantar Mesa Tampo de Madeira 8 Cadeiras Rustic/Imperial Doris Madesa</v>
          </cell>
          <cell r="E3679" t="str">
            <v>DORIS</v>
          </cell>
          <cell r="F3679" t="str">
            <v>SALA DE JANTAR</v>
          </cell>
          <cell r="G3679">
            <v>4255</v>
          </cell>
          <cell r="H3679">
            <v>1869.99</v>
          </cell>
          <cell r="I3679">
            <v>1769.99</v>
          </cell>
          <cell r="J3679">
            <v>1396.7150999999999</v>
          </cell>
          <cell r="K3679">
            <v>0</v>
          </cell>
          <cell r="L3679">
            <v>1396.7150999999999</v>
          </cell>
          <cell r="M3679">
            <v>0</v>
          </cell>
          <cell r="N3679">
            <v>1769.99</v>
          </cell>
          <cell r="O3679" t="str">
            <v/>
          </cell>
          <cell r="P3679">
            <v>0</v>
          </cell>
          <cell r="Q3679">
            <v>0.26725199720401099</v>
          </cell>
          <cell r="R3679">
            <v>0.26725199720401099</v>
          </cell>
          <cell r="S3679" t="e">
            <v>#VALUE!</v>
          </cell>
          <cell r="T3679" t="e">
            <v>#VALUE!</v>
          </cell>
        </row>
        <row r="3680">
          <cell r="A3680" t="str">
            <v>GREM229010F9</v>
          </cell>
          <cell r="B3680" t="str">
            <v>MKP000631005503</v>
          </cell>
          <cell r="C3680" t="str">
            <v/>
          </cell>
          <cell r="D3680" t="str">
            <v>Armário de Cozinha Compacta 229cm com Pia Rustic/Cinza Emilly Madesa 10</v>
          </cell>
          <cell r="E3680" t="str">
            <v>EMILLY</v>
          </cell>
          <cell r="F3680" t="str">
            <v>COZINHA</v>
          </cell>
          <cell r="G3680" t="str">
            <v/>
          </cell>
          <cell r="H3680">
            <v>1339.99</v>
          </cell>
          <cell r="I3680">
            <v>1239.99</v>
          </cell>
          <cell r="J3680">
            <v>991.74739999999997</v>
          </cell>
          <cell r="K3680">
            <v>0</v>
          </cell>
          <cell r="L3680">
            <v>991.74739999999997</v>
          </cell>
          <cell r="M3680">
            <v>0</v>
          </cell>
          <cell r="N3680">
            <v>1239.99</v>
          </cell>
          <cell r="O3680" t="str">
            <v/>
          </cell>
          <cell r="P3680">
            <v>0</v>
          </cell>
          <cell r="Q3680">
            <v>0.25030829422895401</v>
          </cell>
          <cell r="R3680">
            <v>0.25030829422895401</v>
          </cell>
          <cell r="S3680" t="e">
            <v>#VALUE!</v>
          </cell>
          <cell r="T3680" t="e">
            <v>#VALUE!</v>
          </cell>
        </row>
        <row r="3681">
          <cell r="A3681" t="str">
            <v>GRTE2700085Z</v>
          </cell>
          <cell r="B3681" t="str">
            <v>MKP000631005769</v>
          </cell>
          <cell r="C3681" t="str">
            <v/>
          </cell>
          <cell r="D3681" t="str">
            <v>Armário de Cozinha Completa 270cm Rustic Stella Madesa 08</v>
          </cell>
          <cell r="E3681" t="str">
            <v>STELLA</v>
          </cell>
          <cell r="F3681" t="str">
            <v>COZINHA</v>
          </cell>
          <cell r="G3681" t="str">
            <v/>
          </cell>
          <cell r="H3681">
            <v>1699.99</v>
          </cell>
          <cell r="I3681">
            <v>1699.99</v>
          </cell>
          <cell r="J3681">
            <v>1386.4146000000001</v>
          </cell>
          <cell r="K3681">
            <v>0</v>
          </cell>
          <cell r="L3681">
            <v>1386.4146000000001</v>
          </cell>
          <cell r="M3681">
            <v>0</v>
          </cell>
          <cell r="N3681">
            <v>1699.99</v>
          </cell>
          <cell r="O3681" t="str">
            <v/>
          </cell>
          <cell r="P3681">
            <v>0</v>
          </cell>
          <cell r="Q3681">
            <v>0.226177220003309</v>
          </cell>
          <cell r="R3681">
            <v>0.226177220003309</v>
          </cell>
          <cell r="S3681" t="e">
            <v>#VALUE!</v>
          </cell>
          <cell r="T3681" t="e">
            <v>#VALUE!</v>
          </cell>
        </row>
        <row r="3682">
          <cell r="A3682" t="str">
            <v>GRGL2000076E</v>
          </cell>
          <cell r="B3682" t="str">
            <v>MKP000631005633</v>
          </cell>
          <cell r="C3682" t="str">
            <v/>
          </cell>
          <cell r="D3682" t="str">
            <v>Armário de Cozinha Compacta 200cm Rustic/Branco Glamy Madesa 07</v>
          </cell>
          <cell r="E3682" t="str">
            <v>GLAMY</v>
          </cell>
          <cell r="F3682" t="str">
            <v>COZINHA</v>
          </cell>
          <cell r="G3682" t="str">
            <v/>
          </cell>
          <cell r="H3682">
            <v>1699.99</v>
          </cell>
          <cell r="I3682">
            <v>1599.99</v>
          </cell>
          <cell r="J3682">
            <v>1301.5036</v>
          </cell>
          <cell r="K3682">
            <v>0</v>
          </cell>
          <cell r="L3682">
            <v>1301.5036</v>
          </cell>
          <cell r="M3682">
            <v>0</v>
          </cell>
          <cell r="N3682">
            <v>1599.99</v>
          </cell>
          <cell r="O3682" t="str">
            <v/>
          </cell>
          <cell r="P3682">
            <v>0</v>
          </cell>
          <cell r="Q3682">
            <v>0.22933966529174399</v>
          </cell>
          <cell r="R3682">
            <v>0.22933966529174399</v>
          </cell>
          <cell r="S3682" t="e">
            <v>#VALUE!</v>
          </cell>
          <cell r="T3682" t="e">
            <v>#VALUE!</v>
          </cell>
        </row>
        <row r="3683">
          <cell r="A3683" t="str">
            <v>MDJA0401585ZPT</v>
          </cell>
          <cell r="B3683" t="str">
            <v>MKP000631005526</v>
          </cell>
          <cell r="C3683" t="str">
            <v/>
          </cell>
          <cell r="D3683" t="str">
            <v>Conjunto Sala de Jantar Mesa Tampo de Vidro 4 Cadeiras Rustic/Preto Espanha Madesa</v>
          </cell>
          <cell r="E3683" t="str">
            <v>ESPANHA</v>
          </cell>
          <cell r="F3683" t="str">
            <v>SALA DE JANTAR</v>
          </cell>
          <cell r="G3683" t="str">
            <v>4290X</v>
          </cell>
          <cell r="H3683">
            <v>1099.99</v>
          </cell>
          <cell r="I3683">
            <v>999.99</v>
          </cell>
          <cell r="J3683">
            <v>810.84010000000001</v>
          </cell>
          <cell r="K3683">
            <v>0</v>
          </cell>
          <cell r="L3683">
            <v>810.84010000000001</v>
          </cell>
          <cell r="M3683">
            <v>0</v>
          </cell>
          <cell r="N3683">
            <v>999.99</v>
          </cell>
          <cell r="O3683" t="str">
            <v/>
          </cell>
          <cell r="P3683">
            <v>0</v>
          </cell>
          <cell r="Q3683">
            <v>0.233276449943707</v>
          </cell>
          <cell r="R3683">
            <v>0.233276449943707</v>
          </cell>
          <cell r="S3683" t="e">
            <v>#VALUE!</v>
          </cell>
          <cell r="T3683" t="e">
            <v>#VALUE!</v>
          </cell>
        </row>
        <row r="3684">
          <cell r="A3684" t="str">
            <v>GCTE4990026E</v>
          </cell>
          <cell r="B3684" t="str">
            <v>MKP000631005762</v>
          </cell>
          <cell r="C3684" t="str">
            <v/>
          </cell>
          <cell r="D3684" t="str">
            <v>Armário de Cozinha Completa de Canto 499cm Rustic/Branco Stella Madesa 02</v>
          </cell>
          <cell r="E3684" t="str">
            <v>STELLA</v>
          </cell>
          <cell r="F3684" t="str">
            <v>COZINHA</v>
          </cell>
          <cell r="G3684" t="str">
            <v/>
          </cell>
          <cell r="H3684">
            <v>3899.99</v>
          </cell>
          <cell r="I3684">
            <v>3899.99</v>
          </cell>
          <cell r="J3684">
            <v>3120.9207000000001</v>
          </cell>
          <cell r="K3684">
            <v>0</v>
          </cell>
          <cell r="L3684">
            <v>3120.9207000000001</v>
          </cell>
          <cell r="M3684">
            <v>0</v>
          </cell>
          <cell r="N3684">
            <v>3899.99</v>
          </cell>
          <cell r="O3684" t="str">
            <v/>
          </cell>
          <cell r="P3684">
            <v>0</v>
          </cell>
          <cell r="Q3684">
            <v>0.24962803444509199</v>
          </cell>
          <cell r="R3684">
            <v>0.24962803444509199</v>
          </cell>
          <cell r="S3684" t="e">
            <v>#VALUE!</v>
          </cell>
          <cell r="T3684" t="e">
            <v>#VALUE!</v>
          </cell>
        </row>
        <row r="3685">
          <cell r="A3685" t="str">
            <v>GRTE2700109B</v>
          </cell>
          <cell r="B3685" t="str">
            <v>MKP000631005929</v>
          </cell>
          <cell r="C3685" t="str">
            <v/>
          </cell>
          <cell r="D3685" t="str">
            <v>Armário de Cozinha Completa 270cm Branco/Rustic Stella Madesa 10</v>
          </cell>
          <cell r="E3685" t="str">
            <v>STELLA</v>
          </cell>
          <cell r="F3685" t="str">
            <v>COZINHA</v>
          </cell>
          <cell r="G3685" t="str">
            <v/>
          </cell>
          <cell r="H3685">
            <v>1899.99</v>
          </cell>
          <cell r="I3685">
            <v>1799.99</v>
          </cell>
          <cell r="J3685">
            <v>1434.7779</v>
          </cell>
          <cell r="K3685">
            <v>0</v>
          </cell>
          <cell r="L3685">
            <v>1434.7779</v>
          </cell>
          <cell r="M3685">
            <v>0</v>
          </cell>
          <cell r="N3685">
            <v>1799.99</v>
          </cell>
          <cell r="O3685" t="str">
            <v/>
          </cell>
          <cell r="P3685">
            <v>0</v>
          </cell>
          <cell r="Q3685">
            <v>0.25454260202920598</v>
          </cell>
          <cell r="R3685">
            <v>0.25454260202920598</v>
          </cell>
          <cell r="S3685" t="e">
            <v>#VALUE!</v>
          </cell>
          <cell r="T3685" t="e">
            <v>#VALUE!</v>
          </cell>
        </row>
        <row r="3686">
          <cell r="A3686" t="str">
            <v>GRGL2800019B</v>
          </cell>
          <cell r="B3686" t="str">
            <v>MKP000631000185</v>
          </cell>
          <cell r="C3686" t="str">
            <v/>
          </cell>
          <cell r="D3686" t="str">
            <v>Armário de Cozinha Compacta 280cm Branco/Rustic Marina Madesa 01</v>
          </cell>
          <cell r="E3686" t="str">
            <v>MARINA/GLAMY</v>
          </cell>
          <cell r="F3686" t="str">
            <v>COZINHA</v>
          </cell>
          <cell r="G3686" t="str">
            <v/>
          </cell>
          <cell r="H3686">
            <v>1899.99</v>
          </cell>
          <cell r="I3686">
            <v>1579.99</v>
          </cell>
          <cell r="J3686">
            <v>1253.0640000000001</v>
          </cell>
          <cell r="K3686">
            <v>0</v>
          </cell>
          <cell r="L3686">
            <v>1253.0640000000001</v>
          </cell>
          <cell r="M3686">
            <v>0</v>
          </cell>
          <cell r="N3686">
            <v>1579.99</v>
          </cell>
          <cell r="O3686" t="str">
            <v/>
          </cell>
          <cell r="P3686">
            <v>0</v>
          </cell>
          <cell r="Q3686">
            <v>0.260901278785441</v>
          </cell>
          <cell r="R3686">
            <v>0.260901278785441</v>
          </cell>
          <cell r="S3686" t="e">
            <v>#VALUE!</v>
          </cell>
          <cell r="T3686" t="e">
            <v>#VALUE!</v>
          </cell>
        </row>
        <row r="3687">
          <cell r="A3687" t="str">
            <v>MDES0200207709</v>
          </cell>
          <cell r="B3687" t="str">
            <v>MKP000631002790</v>
          </cell>
          <cell r="C3687" t="str">
            <v/>
          </cell>
          <cell r="D3687" t="str">
            <v>Rack Madesa Cancun com Pés e Painel para TV até 65 Polegadas Preto/Branco 7709</v>
          </cell>
          <cell r="E3687" t="str">
            <v>CANCUN</v>
          </cell>
          <cell r="F3687" t="str">
            <v>SALA DE ESTAR</v>
          </cell>
          <cell r="G3687" t="str">
            <v/>
          </cell>
          <cell r="H3687">
            <v>699.99</v>
          </cell>
          <cell r="I3687">
            <v>599.99</v>
          </cell>
          <cell r="J3687">
            <v>470.45490000000001</v>
          </cell>
          <cell r="K3687">
            <v>0</v>
          </cell>
          <cell r="L3687">
            <v>470.45490000000001</v>
          </cell>
          <cell r="M3687">
            <v>0</v>
          </cell>
          <cell r="N3687">
            <v>599.99</v>
          </cell>
          <cell r="O3687" t="str">
            <v/>
          </cell>
          <cell r="P3687">
            <v>0</v>
          </cell>
          <cell r="Q3687">
            <v>0.27534010167605799</v>
          </cell>
          <cell r="R3687">
            <v>0.27534010167605799</v>
          </cell>
          <cell r="S3687" t="e">
            <v>#VALUE!</v>
          </cell>
          <cell r="T3687" t="e">
            <v>#VALUE!</v>
          </cell>
        </row>
        <row r="3688">
          <cell r="A3688" t="str">
            <v>MDJA0200525ZOXF</v>
          </cell>
          <cell r="B3688" t="str">
            <v>MKP000631006086</v>
          </cell>
          <cell r="C3688" t="str">
            <v/>
          </cell>
          <cell r="D3688" t="str">
            <v>Conjunto Sala de Jantar Mesa Tampo de Madeira 2 Cadeiras Rustic/Oxford Tainá Madesa</v>
          </cell>
          <cell r="E3688" t="str">
            <v>TAINÁ</v>
          </cell>
          <cell r="F3688" t="str">
            <v>SALA DE JANTAR</v>
          </cell>
          <cell r="G3688">
            <v>4256</v>
          </cell>
          <cell r="H3688">
            <v>679.99</v>
          </cell>
          <cell r="I3688">
            <v>579.99</v>
          </cell>
          <cell r="J3688">
            <v>438.01650000000001</v>
          </cell>
          <cell r="K3688">
            <v>0</v>
          </cell>
          <cell r="L3688">
            <v>438.01650000000001</v>
          </cell>
          <cell r="M3688">
            <v>0</v>
          </cell>
          <cell r="N3688">
            <v>579.99</v>
          </cell>
          <cell r="O3688" t="str">
            <v/>
          </cell>
          <cell r="P3688">
            <v>0</v>
          </cell>
          <cell r="Q3688">
            <v>0.324128200649975</v>
          </cell>
          <cell r="R3688">
            <v>0.324128200649975</v>
          </cell>
          <cell r="S3688" t="e">
            <v>#VALUE!</v>
          </cell>
          <cell r="T3688" t="e">
            <v>#VALUE!</v>
          </cell>
        </row>
        <row r="3689">
          <cell r="A3689" t="str">
            <v>GRAG27000773</v>
          </cell>
          <cell r="B3689" t="str">
            <v>MKP000631005263</v>
          </cell>
          <cell r="C3689" t="str">
            <v/>
          </cell>
          <cell r="D3689" t="str">
            <v>Armário de  Cozinha Completa 270cm Branco/Preto Agata Madesa 07</v>
          </cell>
          <cell r="E3689" t="str">
            <v>ÁGATA</v>
          </cell>
          <cell r="F3689" t="str">
            <v>COZINHA</v>
          </cell>
          <cell r="G3689" t="str">
            <v/>
          </cell>
          <cell r="H3689">
            <v>2219.9899999999998</v>
          </cell>
          <cell r="I3689">
            <v>2099.9899999999998</v>
          </cell>
          <cell r="J3689">
            <v>1623.3152</v>
          </cell>
          <cell r="K3689">
            <v>0</v>
          </cell>
          <cell r="L3689">
            <v>1623.3152</v>
          </cell>
          <cell r="M3689">
            <v>0</v>
          </cell>
          <cell r="N3689">
            <v>2099.9899999999998</v>
          </cell>
          <cell r="O3689" t="str">
            <v/>
          </cell>
          <cell r="P3689">
            <v>0</v>
          </cell>
          <cell r="Q3689">
            <v>0.29364278730341398</v>
          </cell>
          <cell r="R3689">
            <v>0.29364278730341398</v>
          </cell>
          <cell r="S3689" t="e">
            <v>#VALUE!</v>
          </cell>
          <cell r="T3689" t="e">
            <v>#VALUE!</v>
          </cell>
        </row>
        <row r="3690">
          <cell r="A3690" t="str">
            <v>MDJA0401577GFLH</v>
          </cell>
          <cell r="B3690" t="str">
            <v>MKP000631005544</v>
          </cell>
          <cell r="C3690" t="str">
            <v/>
          </cell>
          <cell r="D3690" t="str">
            <v>Conjunto Sala de Jantar Mesa Tampo de Madeira 4 Cadeiras Rustic/Crema/Floral Hibiscos Samara Madesa</v>
          </cell>
          <cell r="E3690" t="str">
            <v>SAMARA</v>
          </cell>
          <cell r="F3690" t="str">
            <v>SALA DE JANTAR</v>
          </cell>
          <cell r="G3690" t="str">
            <v>4290X</v>
          </cell>
          <cell r="H3690">
            <v>619.99</v>
          </cell>
          <cell r="I3690">
            <v>519.99</v>
          </cell>
          <cell r="J3690">
            <v>400.13900000000001</v>
          </cell>
          <cell r="K3690">
            <v>0</v>
          </cell>
          <cell r="L3690">
            <v>400.13900000000001</v>
          </cell>
          <cell r="M3690">
            <v>0</v>
          </cell>
          <cell r="N3690">
            <v>519.99</v>
          </cell>
          <cell r="O3690" t="str">
            <v/>
          </cell>
          <cell r="P3690">
            <v>0</v>
          </cell>
          <cell r="Q3690">
            <v>0.299523415613074</v>
          </cell>
          <cell r="R3690">
            <v>0.299523415613074</v>
          </cell>
          <cell r="S3690" t="e">
            <v>#VALUE!</v>
          </cell>
          <cell r="T3690" t="e">
            <v>#VALUE!</v>
          </cell>
        </row>
        <row r="3691">
          <cell r="A3691" t="str">
            <v>G228009BFF</v>
          </cell>
          <cell r="B3691" t="str">
            <v>MKP000631006021</v>
          </cell>
          <cell r="C3691" t="str">
            <v/>
          </cell>
          <cell r="D3691" t="str">
            <v>Balcão para Forno de Embutir 80 x 60 cm Sem Tampo Branco/Rustic Glamy, Stella Madesa</v>
          </cell>
          <cell r="E3691" t="str">
            <v>PR</v>
          </cell>
          <cell r="F3691" t="str">
            <v>MODULAÇÃO</v>
          </cell>
          <cell r="G3691" t="str">
            <v/>
          </cell>
          <cell r="H3691">
            <v>449.99</v>
          </cell>
          <cell r="I3691">
            <v>449.99</v>
          </cell>
          <cell r="J3691">
            <v>301.64659999999998</v>
          </cell>
          <cell r="K3691">
            <v>0</v>
          </cell>
          <cell r="L3691">
            <v>301.64659999999998</v>
          </cell>
          <cell r="M3691">
            <v>0</v>
          </cell>
          <cell r="N3691">
            <v>449.99</v>
          </cell>
          <cell r="O3691" t="str">
            <v/>
          </cell>
          <cell r="P3691">
            <v>0</v>
          </cell>
          <cell r="Q3691">
            <v>0.49177879014714598</v>
          </cell>
          <cell r="R3691">
            <v>0.49177879014714598</v>
          </cell>
          <cell r="S3691" t="e">
            <v>#VALUE!</v>
          </cell>
          <cell r="T3691" t="e">
            <v>#VALUE!</v>
          </cell>
        </row>
        <row r="3692">
          <cell r="A3692" t="str">
            <v>G221236EGLCT</v>
          </cell>
          <cell r="B3692" t="str">
            <v>MKP000631004870</v>
          </cell>
          <cell r="C3692" t="str">
            <v/>
          </cell>
          <cell r="D3692" t="str">
            <v>Balcão Gabinete de Pia 120 x 60 cm 1 Porta 2 Gavetas Rustic/Branco (Com Tampo) Glamy Madesa</v>
          </cell>
          <cell r="E3692" t="str">
            <v>GLAMY</v>
          </cell>
          <cell r="F3692" t="str">
            <v>MODULAÇÃO</v>
          </cell>
          <cell r="G3692" t="str">
            <v/>
          </cell>
          <cell r="H3692">
            <v>959.99</v>
          </cell>
          <cell r="I3692">
            <v>859.99</v>
          </cell>
          <cell r="J3692">
            <v>559.35530000000006</v>
          </cell>
          <cell r="K3692">
            <v>0</v>
          </cell>
          <cell r="L3692">
            <v>559.35530000000006</v>
          </cell>
          <cell r="M3692">
            <v>0</v>
          </cell>
          <cell r="N3692">
            <v>859.99</v>
          </cell>
          <cell r="O3692" t="str">
            <v/>
          </cell>
          <cell r="P3692">
            <v>0</v>
          </cell>
          <cell r="Q3692">
            <v>0.53746643680680295</v>
          </cell>
          <cell r="R3692">
            <v>0.53746643680680295</v>
          </cell>
          <cell r="S3692" t="e">
            <v>#VALUE!</v>
          </cell>
          <cell r="T3692" t="e">
            <v>#VALUE!</v>
          </cell>
        </row>
        <row r="3693">
          <cell r="A3693" t="str">
            <v>G244006ETE</v>
          </cell>
          <cell r="B3693" t="str">
            <v>MKP000631002156</v>
          </cell>
          <cell r="C3693" t="str">
            <v/>
          </cell>
          <cell r="D3693" t="str">
            <v>Balcão Madesa Stella 40 cm 1 Porta Rustic/Branco</v>
          </cell>
          <cell r="E3693" t="str">
            <v>STELLA</v>
          </cell>
          <cell r="F3693" t="str">
            <v>MODULAÇÃO</v>
          </cell>
          <cell r="G3693" t="str">
            <v/>
          </cell>
          <cell r="H3693">
            <v>489.99</v>
          </cell>
          <cell r="I3693">
            <v>349.99</v>
          </cell>
          <cell r="J3693">
            <v>223.29740000000001</v>
          </cell>
          <cell r="K3693">
            <v>0</v>
          </cell>
          <cell r="L3693">
            <v>223.29740000000001</v>
          </cell>
          <cell r="M3693">
            <v>0</v>
          </cell>
          <cell r="N3693">
            <v>349.99</v>
          </cell>
          <cell r="O3693" t="str">
            <v/>
          </cell>
          <cell r="P3693">
            <v>0</v>
          </cell>
          <cell r="Q3693">
            <v>0.567371586055189</v>
          </cell>
          <cell r="R3693">
            <v>0.567371586055189</v>
          </cell>
          <cell r="S3693" t="e">
            <v>#VALUE!</v>
          </cell>
          <cell r="T3693" t="e">
            <v>#VALUE!</v>
          </cell>
        </row>
        <row r="3694">
          <cell r="A3694" t="str">
            <v>G244006EAG</v>
          </cell>
          <cell r="B3694" t="str">
            <v>MKP000631004634</v>
          </cell>
          <cell r="C3694" t="str">
            <v/>
          </cell>
          <cell r="D3694" t="str">
            <v>Balcão Madesa Agata 40 cm 1 Porta Rustic/Branco</v>
          </cell>
          <cell r="E3694" t="str">
            <v>ÁGATA</v>
          </cell>
          <cell r="F3694" t="str">
            <v>MODULAÇÃO</v>
          </cell>
          <cell r="G3694" t="str">
            <v/>
          </cell>
          <cell r="H3694">
            <v>459.99</v>
          </cell>
          <cell r="I3694">
            <v>359.99</v>
          </cell>
          <cell r="J3694">
            <v>220.15819999999999</v>
          </cell>
          <cell r="K3694">
            <v>0</v>
          </cell>
          <cell r="L3694">
            <v>220.15819999999999</v>
          </cell>
          <cell r="M3694">
            <v>0</v>
          </cell>
          <cell r="N3694">
            <v>359.99</v>
          </cell>
          <cell r="O3694" t="str">
            <v/>
          </cell>
          <cell r="P3694">
            <v>0</v>
          </cell>
          <cell r="Q3694">
            <v>0.63514236580785999</v>
          </cell>
          <cell r="R3694">
            <v>0.63514236580785999</v>
          </cell>
          <cell r="S3694" t="e">
            <v>#VALUE!</v>
          </cell>
          <cell r="T3694" t="e">
            <v>#VALUE!</v>
          </cell>
        </row>
        <row r="3695">
          <cell r="A3695" t="str">
            <v>G251537KGL</v>
          </cell>
          <cell r="B3695" t="str">
            <v>MKP000631004431</v>
          </cell>
          <cell r="C3695" t="str">
            <v/>
          </cell>
          <cell r="D3695" t="str">
            <v>Armário Aéreo Madesa Glamy 150 cm 2 Portas e 2 Nichos Rustic/Preto</v>
          </cell>
          <cell r="E3695" t="str">
            <v>GLAMY</v>
          </cell>
          <cell r="F3695" t="str">
            <v>MODULAÇÃO</v>
          </cell>
          <cell r="G3695" t="str">
            <v/>
          </cell>
          <cell r="H3695">
            <v>949.99</v>
          </cell>
          <cell r="I3695">
            <v>589.99</v>
          </cell>
          <cell r="J3695">
            <v>361.16059999999999</v>
          </cell>
          <cell r="K3695">
            <v>0</v>
          </cell>
          <cell r="L3695">
            <v>361.16059999999999</v>
          </cell>
          <cell r="M3695">
            <v>0</v>
          </cell>
          <cell r="N3695">
            <v>589.99</v>
          </cell>
          <cell r="O3695" t="str">
            <v/>
          </cell>
          <cell r="P3695">
            <v>0</v>
          </cell>
          <cell r="Q3695">
            <v>0.63359458368382404</v>
          </cell>
          <cell r="R3695">
            <v>0.63359458368382404</v>
          </cell>
          <cell r="S3695" t="e">
            <v>#VALUE!</v>
          </cell>
          <cell r="T3695" t="e">
            <v>#VALUE!</v>
          </cell>
        </row>
        <row r="3696">
          <cell r="A3696" t="str">
            <v>G2570273AG</v>
          </cell>
          <cell r="B3696" t="str">
            <v>MKP000631003436</v>
          </cell>
          <cell r="C3696" t="str">
            <v/>
          </cell>
          <cell r="D3696" t="str">
            <v>Armário Aéreo de Cozinha Madesa Agata 70 cm 1 Porta Basculante Branco/Preto</v>
          </cell>
          <cell r="E3696" t="str">
            <v>ÁGATA</v>
          </cell>
          <cell r="F3696" t="str">
            <v>MODULAÇÃO</v>
          </cell>
          <cell r="G3696" t="str">
            <v/>
          </cell>
          <cell r="H3696">
            <v>369.99</v>
          </cell>
          <cell r="I3696">
            <v>259.99</v>
          </cell>
          <cell r="J3696">
            <v>156.62209999999999</v>
          </cell>
          <cell r="K3696">
            <v>0</v>
          </cell>
          <cell r="L3696">
            <v>156.62209999999999</v>
          </cell>
          <cell r="M3696">
            <v>0</v>
          </cell>
          <cell r="N3696">
            <v>259.99</v>
          </cell>
          <cell r="O3696" t="str">
            <v/>
          </cell>
          <cell r="P3696">
            <v>0</v>
          </cell>
          <cell r="Q3696">
            <v>0.65998285044064597</v>
          </cell>
          <cell r="R3696">
            <v>0.65998285044064597</v>
          </cell>
          <cell r="S3696" t="e">
            <v>#VALUE!</v>
          </cell>
          <cell r="T3696" t="e">
            <v>#VALUE!</v>
          </cell>
        </row>
        <row r="3697">
          <cell r="A3697" t="str">
            <v>G267556EAG</v>
          </cell>
          <cell r="B3697" t="str">
            <v>MKP000631004407</v>
          </cell>
          <cell r="C3697" t="str">
            <v/>
          </cell>
          <cell r="D3697" t="str">
            <v>Torre Quente Madesa Agata 70 cm 3 Portas Rustic/Branco</v>
          </cell>
          <cell r="E3697" t="str">
            <v>ÁGATA</v>
          </cell>
          <cell r="F3697" t="str">
            <v>MODULAÇÃO</v>
          </cell>
          <cell r="G3697" t="str">
            <v/>
          </cell>
          <cell r="H3697">
            <v>939.99</v>
          </cell>
          <cell r="I3697">
            <v>889.99</v>
          </cell>
          <cell r="J3697">
            <v>520.20249999999999</v>
          </cell>
          <cell r="K3697">
            <v>0</v>
          </cell>
          <cell r="L3697">
            <v>520.20249999999999</v>
          </cell>
          <cell r="M3697">
            <v>0</v>
          </cell>
          <cell r="N3697">
            <v>889.99</v>
          </cell>
          <cell r="O3697" t="str">
            <v/>
          </cell>
          <cell r="P3697">
            <v>0</v>
          </cell>
          <cell r="Q3697">
            <v>0.71085298513559603</v>
          </cell>
          <cell r="R3697">
            <v>0.71085298513559603</v>
          </cell>
          <cell r="S3697" t="e">
            <v>#VALUE!</v>
          </cell>
          <cell r="T3697" t="e">
            <v>#VALUE!</v>
          </cell>
        </row>
        <row r="3698">
          <cell r="A3698" t="str">
            <v>G257526EGL</v>
          </cell>
          <cell r="B3698" t="str">
            <v>MKP000631000546</v>
          </cell>
          <cell r="C3698" t="str">
            <v/>
          </cell>
          <cell r="D3698" t="str">
            <v>Armário Aéreo de Canto Madesa Glamy 1 Porta Rustic/Branco</v>
          </cell>
          <cell r="E3698" t="str">
            <v>GLAMY</v>
          </cell>
          <cell r="F3698" t="str">
            <v>MODULAÇÃO</v>
          </cell>
          <cell r="G3698" t="str">
            <v/>
          </cell>
          <cell r="H3698">
            <v>759.99</v>
          </cell>
          <cell r="I3698">
            <v>429.99</v>
          </cell>
          <cell r="J3698">
            <v>245.51159999999999</v>
          </cell>
          <cell r="K3698">
            <v>0</v>
          </cell>
          <cell r="L3698">
            <v>245.51159999999999</v>
          </cell>
          <cell r="M3698">
            <v>0</v>
          </cell>
          <cell r="N3698">
            <v>429.99</v>
          </cell>
          <cell r="O3698" t="str">
            <v/>
          </cell>
          <cell r="P3698">
            <v>0</v>
          </cell>
          <cell r="Q3698">
            <v>0.75140400697971099</v>
          </cell>
          <cell r="R3698">
            <v>0.75140400697971099</v>
          </cell>
          <cell r="S3698" t="e">
            <v>#VALUE!</v>
          </cell>
          <cell r="T3698" t="e">
            <v>#VALUE!</v>
          </cell>
        </row>
        <row r="3699">
          <cell r="A3699" t="str">
            <v>G2575273GL</v>
          </cell>
          <cell r="B3699" t="str">
            <v>MKP000631001295</v>
          </cell>
          <cell r="C3699" t="str">
            <v/>
          </cell>
          <cell r="D3699" t="str">
            <v>Armário Aéreo de Canto Madesa Glamy 1 Porta Branco/Preto</v>
          </cell>
          <cell r="E3699" t="str">
            <v>GLAMY</v>
          </cell>
          <cell r="F3699" t="str">
            <v>MODULAÇÃO</v>
          </cell>
          <cell r="G3699" t="str">
            <v/>
          </cell>
          <cell r="H3699">
            <v>759.99</v>
          </cell>
          <cell r="I3699">
            <v>429.99</v>
          </cell>
          <cell r="J3699">
            <v>245.51159999999999</v>
          </cell>
          <cell r="K3699">
            <v>0</v>
          </cell>
          <cell r="L3699">
            <v>245.51159999999999</v>
          </cell>
          <cell r="M3699">
            <v>0</v>
          </cell>
          <cell r="N3699">
            <v>429.99</v>
          </cell>
          <cell r="O3699" t="str">
            <v/>
          </cell>
          <cell r="P3699">
            <v>0</v>
          </cell>
          <cell r="Q3699">
            <v>0.75140400697971099</v>
          </cell>
          <cell r="R3699">
            <v>0.75140400697971099</v>
          </cell>
          <cell r="S3699" t="e">
            <v>#VALUE!</v>
          </cell>
          <cell r="T3699" t="e">
            <v>#VALUE!</v>
          </cell>
        </row>
        <row r="3700">
          <cell r="A3700" t="str">
            <v>G257529BTE</v>
          </cell>
          <cell r="B3700" t="str">
            <v>MKP000631002107</v>
          </cell>
          <cell r="C3700" t="str">
            <v/>
          </cell>
          <cell r="D3700" t="str">
            <v>Armário Aéreo de Canto Madesa Stella 1 Porta Branco/Rustic</v>
          </cell>
          <cell r="E3700" t="str">
            <v>STELLA</v>
          </cell>
          <cell r="F3700" t="str">
            <v>MODULAÇÃO</v>
          </cell>
          <cell r="G3700" t="str">
            <v/>
          </cell>
          <cell r="H3700">
            <v>739.99</v>
          </cell>
          <cell r="I3700">
            <v>419.99</v>
          </cell>
          <cell r="J3700">
            <v>236.3338</v>
          </cell>
          <cell r="K3700">
            <v>0</v>
          </cell>
          <cell r="L3700">
            <v>236.3338</v>
          </cell>
          <cell r="M3700">
            <v>0</v>
          </cell>
          <cell r="N3700">
            <v>419.99</v>
          </cell>
          <cell r="O3700" t="str">
            <v/>
          </cell>
          <cell r="P3700">
            <v>0</v>
          </cell>
          <cell r="Q3700">
            <v>0.77710509457386101</v>
          </cell>
          <cell r="R3700">
            <v>0.77710509457386101</v>
          </cell>
          <cell r="S3700" t="e">
            <v>#VALUE!</v>
          </cell>
          <cell r="T3700" t="e">
            <v>#VALUE!</v>
          </cell>
        </row>
        <row r="3701">
          <cell r="A3701" t="str">
            <v>G223509RLXCT</v>
          </cell>
          <cell r="B3701" t="str">
            <v>MKP000631005107</v>
          </cell>
          <cell r="C3701" t="str">
            <v/>
          </cell>
          <cell r="D3701" t="str">
            <v>Balcão 35 cm 1 Porta Branco/Cinza Lux Madesa</v>
          </cell>
          <cell r="E3701" t="str">
            <v>LUX</v>
          </cell>
          <cell r="F3701" t="str">
            <v>MODULAÇÃO</v>
          </cell>
          <cell r="G3701" t="str">
            <v/>
          </cell>
          <cell r="H3701">
            <v>729.99</v>
          </cell>
          <cell r="I3701">
            <v>629.99</v>
          </cell>
          <cell r="J3701">
            <v>345.53</v>
          </cell>
          <cell r="K3701">
            <v>0</v>
          </cell>
          <cell r="L3701">
            <v>345.53</v>
          </cell>
          <cell r="M3701">
            <v>0</v>
          </cell>
          <cell r="N3701">
            <v>629.99</v>
          </cell>
          <cell r="O3701" t="str">
            <v>LOJA</v>
          </cell>
          <cell r="P3701">
            <v>619.99</v>
          </cell>
          <cell r="Q3701">
            <v>0.82325702543918</v>
          </cell>
          <cell r="R3701">
            <v>0.82325702543918</v>
          </cell>
          <cell r="S3701" t="e">
            <v>#VALUE!</v>
          </cell>
          <cell r="T3701" t="e">
            <v>#VALUE!</v>
          </cell>
        </row>
        <row r="3702">
          <cell r="A3702" t="str">
            <v>G257026E</v>
          </cell>
          <cell r="B3702" t="str">
            <v>MKP000631005747</v>
          </cell>
          <cell r="C3702" t="str">
            <v/>
          </cell>
          <cell r="D3702" t="str">
            <v>Armário Aéreo 100% MDF 70 cm 1 Porta Basculante Branco/Rustic Acordes Madesa</v>
          </cell>
          <cell r="E3702" t="str">
            <v>ACORDES</v>
          </cell>
          <cell r="F3702" t="str">
            <v>MODULAÇÃO</v>
          </cell>
          <cell r="G3702" t="str">
            <v/>
          </cell>
          <cell r="H3702">
            <v>359.99</v>
          </cell>
          <cell r="I3702">
            <v>259.99</v>
          </cell>
          <cell r="J3702">
            <v>166.53020000000001</v>
          </cell>
          <cell r="K3702">
            <v>0</v>
          </cell>
          <cell r="L3702">
            <v>166.53020000000001</v>
          </cell>
          <cell r="M3702">
            <v>0</v>
          </cell>
          <cell r="N3702">
            <v>259.99</v>
          </cell>
          <cell r="O3702" t="str">
            <v/>
          </cell>
          <cell r="P3702">
            <v>0</v>
          </cell>
          <cell r="Q3702">
            <v>0.56121832556497298</v>
          </cell>
          <cell r="R3702">
            <v>0.56121832556497298</v>
          </cell>
          <cell r="S3702" t="e">
            <v>#VALUE!</v>
          </cell>
          <cell r="T3702" t="e">
            <v>#VALUE!</v>
          </cell>
        </row>
        <row r="3703">
          <cell r="A3703" t="str">
            <v>GCGL3290017K</v>
          </cell>
          <cell r="B3703" t="str">
            <v>MKP000631004513</v>
          </cell>
          <cell r="C3703" t="str">
            <v/>
          </cell>
          <cell r="D3703" t="str">
            <v>Armário de Cozinha Completa de Canto 329cm Rustic Preto Glamy Madesa 01</v>
          </cell>
          <cell r="E3703" t="str">
            <v>GLAMY</v>
          </cell>
          <cell r="F3703" t="str">
            <v>COZINHA</v>
          </cell>
          <cell r="G3703" t="str">
            <v/>
          </cell>
          <cell r="H3703">
            <v>2599.9899999999998</v>
          </cell>
          <cell r="I3703">
            <v>2499.9899999999998</v>
          </cell>
          <cell r="J3703">
            <v>2100.0702999999999</v>
          </cell>
          <cell r="K3703">
            <v>0</v>
          </cell>
          <cell r="L3703">
            <v>2100.0702999999999</v>
          </cell>
          <cell r="M3703">
            <v>0</v>
          </cell>
          <cell r="N3703">
            <v>2499.9899999999998</v>
          </cell>
          <cell r="O3703" t="str">
            <v/>
          </cell>
          <cell r="P3703">
            <v>0</v>
          </cell>
          <cell r="Q3703">
            <v>0.190431577457193</v>
          </cell>
          <cell r="R3703">
            <v>0.190431577457193</v>
          </cell>
          <cell r="S3703" t="e">
            <v>#VALUE!</v>
          </cell>
          <cell r="T3703" t="e">
            <v>#VALUE!</v>
          </cell>
        </row>
        <row r="3704">
          <cell r="A3704" t="str">
            <v>GCGL3290019B</v>
          </cell>
          <cell r="B3704" t="str">
            <v>MKP000631004509</v>
          </cell>
          <cell r="C3704" t="str">
            <v/>
          </cell>
          <cell r="D3704" t="str">
            <v>Armário de Cozinha Completa de Canto 329cm Branco Rustic Glamy Madesa 01</v>
          </cell>
          <cell r="E3704" t="str">
            <v>GLAMY</v>
          </cell>
          <cell r="F3704" t="str">
            <v>COZINHA</v>
          </cell>
          <cell r="G3704" t="str">
            <v/>
          </cell>
          <cell r="H3704">
            <v>2599.9899999999998</v>
          </cell>
          <cell r="I3704">
            <v>2499.9899999999998</v>
          </cell>
          <cell r="J3704">
            <v>2100.0702999999999</v>
          </cell>
          <cell r="K3704">
            <v>0</v>
          </cell>
          <cell r="L3704">
            <v>2100.0702999999999</v>
          </cell>
          <cell r="M3704">
            <v>0</v>
          </cell>
          <cell r="N3704">
            <v>2499.9899999999998</v>
          </cell>
          <cell r="O3704" t="str">
            <v/>
          </cell>
          <cell r="P3704">
            <v>0</v>
          </cell>
          <cell r="Q3704">
            <v>0.190431577457193</v>
          </cell>
          <cell r="R3704">
            <v>0.190431577457193</v>
          </cell>
          <cell r="S3704" t="e">
            <v>#VALUE!</v>
          </cell>
          <cell r="T3704" t="e">
            <v>#VALUE!</v>
          </cell>
        </row>
        <row r="3705">
          <cell r="A3705" t="str">
            <v>GRGL3100027K</v>
          </cell>
          <cell r="B3705" t="str">
            <v>MKP000631004361</v>
          </cell>
          <cell r="C3705" t="str">
            <v/>
          </cell>
          <cell r="D3705" t="str">
            <v>Armário de Cozinha Completa 310cm Rustic/Preto Glamy Madesa 02</v>
          </cell>
          <cell r="E3705" t="str">
            <v>GLAMY</v>
          </cell>
          <cell r="F3705" t="str">
            <v>COZINHA</v>
          </cell>
          <cell r="G3705" t="str">
            <v/>
          </cell>
          <cell r="H3705">
            <v>2599.9899999999998</v>
          </cell>
          <cell r="I3705">
            <v>2499.9899999999998</v>
          </cell>
          <cell r="J3705">
            <v>2091.3067000000001</v>
          </cell>
          <cell r="K3705">
            <v>0</v>
          </cell>
          <cell r="L3705">
            <v>2091.3067000000001</v>
          </cell>
          <cell r="M3705">
            <v>0</v>
          </cell>
          <cell r="N3705">
            <v>2499.9899999999998</v>
          </cell>
          <cell r="O3705" t="str">
            <v/>
          </cell>
          <cell r="P3705">
            <v>0</v>
          </cell>
          <cell r="Q3705">
            <v>0.195420069184496</v>
          </cell>
          <cell r="R3705">
            <v>0.195420069184496</v>
          </cell>
          <cell r="S3705" t="e">
            <v>#VALUE!</v>
          </cell>
          <cell r="T3705" t="e">
            <v>#VALUE!</v>
          </cell>
        </row>
        <row r="3706">
          <cell r="A3706" t="str">
            <v>GRGL31000209</v>
          </cell>
          <cell r="B3706" t="str">
            <v>MKP000631004367</v>
          </cell>
          <cell r="C3706" t="str">
            <v/>
          </cell>
          <cell r="D3706" t="str">
            <v>Armário de Cozinha Completa 310cm Branco Glamy Madesa 02</v>
          </cell>
          <cell r="E3706" t="str">
            <v>GLAMY</v>
          </cell>
          <cell r="F3706" t="str">
            <v>COZINHA</v>
          </cell>
          <cell r="G3706" t="str">
            <v/>
          </cell>
          <cell r="H3706">
            <v>2599.9899999999998</v>
          </cell>
          <cell r="I3706">
            <v>2499.9899999999998</v>
          </cell>
          <cell r="J3706">
            <v>2091.3067000000001</v>
          </cell>
          <cell r="K3706">
            <v>0</v>
          </cell>
          <cell r="L3706">
            <v>2091.3067000000001</v>
          </cell>
          <cell r="M3706">
            <v>0</v>
          </cell>
          <cell r="N3706">
            <v>2499.9899999999998</v>
          </cell>
          <cell r="O3706" t="str">
            <v/>
          </cell>
          <cell r="P3706">
            <v>0</v>
          </cell>
          <cell r="Q3706">
            <v>0.195420069184496</v>
          </cell>
          <cell r="R3706">
            <v>0.195420069184496</v>
          </cell>
          <cell r="S3706" t="e">
            <v>#VALUE!</v>
          </cell>
          <cell r="T3706" t="e">
            <v>#VALUE!</v>
          </cell>
        </row>
        <row r="3707">
          <cell r="A3707" t="str">
            <v>GRGL31000273</v>
          </cell>
          <cell r="B3707" t="str">
            <v>MKP000631004742</v>
          </cell>
          <cell r="C3707" t="str">
            <v/>
          </cell>
          <cell r="D3707" t="str">
            <v>Armário de Cozinha Completa 310cm Branco/Preto Glamy Madesa 02</v>
          </cell>
          <cell r="E3707" t="str">
            <v>GLAMY</v>
          </cell>
          <cell r="F3707" t="str">
            <v>COZINHA</v>
          </cell>
          <cell r="G3707" t="str">
            <v/>
          </cell>
          <cell r="H3707">
            <v>2599.9899999999998</v>
          </cell>
          <cell r="I3707">
            <v>2499.9899999999998</v>
          </cell>
          <cell r="J3707">
            <v>2091.3067000000001</v>
          </cell>
          <cell r="K3707">
            <v>0</v>
          </cell>
          <cell r="L3707">
            <v>2091.3067000000001</v>
          </cell>
          <cell r="M3707">
            <v>0</v>
          </cell>
          <cell r="N3707">
            <v>2499.9899999999998</v>
          </cell>
          <cell r="O3707" t="str">
            <v/>
          </cell>
          <cell r="P3707">
            <v>0</v>
          </cell>
          <cell r="Q3707">
            <v>0.195420069184496</v>
          </cell>
          <cell r="R3707">
            <v>0.195420069184496</v>
          </cell>
          <cell r="S3707" t="e">
            <v>#VALUE!</v>
          </cell>
          <cell r="T3707" t="e">
            <v>#VALUE!</v>
          </cell>
        </row>
        <row r="3708">
          <cell r="A3708" t="str">
            <v>1118772E</v>
          </cell>
          <cell r="B3708" t="str">
            <v>MKP000631002677</v>
          </cell>
          <cell r="C3708" t="str">
            <v/>
          </cell>
          <cell r="D3708" t="str">
            <v>Guarda-Roupa Casal Madesa Istambul 3 Portas de Correr com Espelhos 3 Gavetas Preto/Branco</v>
          </cell>
          <cell r="E3708" t="str">
            <v>ISTAMBUL</v>
          </cell>
          <cell r="F3708" t="str">
            <v>QUARTO</v>
          </cell>
          <cell r="G3708" t="str">
            <v/>
          </cell>
          <cell r="H3708">
            <v>2389.9899999999998</v>
          </cell>
          <cell r="I3708">
            <v>1869.99</v>
          </cell>
          <cell r="J3708">
            <v>1565.7304999999999</v>
          </cell>
          <cell r="K3708">
            <v>0</v>
          </cell>
          <cell r="L3708">
            <v>1565.7304999999999</v>
          </cell>
          <cell r="M3708">
            <v>0</v>
          </cell>
          <cell r="N3708">
            <v>1869.99</v>
          </cell>
          <cell r="O3708" t="str">
            <v/>
          </cell>
          <cell r="P3708">
            <v>0</v>
          </cell>
          <cell r="Q3708">
            <v>0.194324310601345</v>
          </cell>
          <cell r="R3708">
            <v>0.194324310601345</v>
          </cell>
          <cell r="S3708" t="e">
            <v>#VALUE!</v>
          </cell>
          <cell r="T3708" t="e">
            <v>#VALUE!</v>
          </cell>
        </row>
        <row r="3709">
          <cell r="A3709" t="str">
            <v>GCGL34900309</v>
          </cell>
          <cell r="B3709" t="str">
            <v>MKP000631004387</v>
          </cell>
          <cell r="C3709" t="str">
            <v/>
          </cell>
          <cell r="D3709" t="str">
            <v>Armário de Cozinha Completa de Canto 349cm Branco Glamy Madesa 03</v>
          </cell>
          <cell r="E3709" t="str">
            <v>GLAMY</v>
          </cell>
          <cell r="F3709" t="str">
            <v>COZINHA</v>
          </cell>
          <cell r="G3709" t="str">
            <v/>
          </cell>
          <cell r="H3709">
            <v>2569.9899999999998</v>
          </cell>
          <cell r="I3709">
            <v>2469.9899999999998</v>
          </cell>
          <cell r="J3709">
            <v>2062.3018000000002</v>
          </cell>
          <cell r="K3709">
            <v>0</v>
          </cell>
          <cell r="L3709">
            <v>2062.3018000000002</v>
          </cell>
          <cell r="M3709">
            <v>0</v>
          </cell>
          <cell r="N3709">
            <v>2469.9899999999998</v>
          </cell>
          <cell r="O3709" t="str">
            <v/>
          </cell>
          <cell r="P3709">
            <v>0</v>
          </cell>
          <cell r="Q3709">
            <v>0.19768600308645401</v>
          </cell>
          <cell r="R3709">
            <v>0.19768600308645401</v>
          </cell>
          <cell r="S3709" t="e">
            <v>#VALUE!</v>
          </cell>
          <cell r="T3709" t="e">
            <v>#VALUE!</v>
          </cell>
        </row>
        <row r="3710">
          <cell r="A3710" t="str">
            <v>MDJA040172D8SIL</v>
          </cell>
          <cell r="B3710" t="str">
            <v>MKP000631005901</v>
          </cell>
          <cell r="C3710" t="str">
            <v/>
          </cell>
          <cell r="D3710" t="str">
            <v>Conjunto Sala de Jantar Mesa Tampo de Vidro 4 Cadeiras Rustic/Preto/Silver Ivy  Madesa</v>
          </cell>
          <cell r="E3710" t="str">
            <v>IVY</v>
          </cell>
          <cell r="F3710" t="str">
            <v>SALA DE JANTAR</v>
          </cell>
          <cell r="G3710">
            <v>4255</v>
          </cell>
          <cell r="H3710">
            <v>1039.99</v>
          </cell>
          <cell r="I3710">
            <v>939.99</v>
          </cell>
          <cell r="J3710">
            <v>757.6481</v>
          </cell>
          <cell r="K3710">
            <v>0</v>
          </cell>
          <cell r="L3710">
            <v>757.6481</v>
          </cell>
          <cell r="M3710">
            <v>0</v>
          </cell>
          <cell r="N3710">
            <v>939.99</v>
          </cell>
          <cell r="O3710" t="str">
            <v/>
          </cell>
          <cell r="P3710">
            <v>0</v>
          </cell>
          <cell r="Q3710">
            <v>0.240668326100204</v>
          </cell>
          <cell r="R3710">
            <v>0.240668326100204</v>
          </cell>
          <cell r="S3710" t="e">
            <v>#VALUE!</v>
          </cell>
          <cell r="T3710" t="e">
            <v>#VALUE!</v>
          </cell>
        </row>
        <row r="3711">
          <cell r="A3711" t="str">
            <v>GRGL24000909</v>
          </cell>
          <cell r="B3711" t="str">
            <v>MKP000631005211</v>
          </cell>
          <cell r="C3711" t="str">
            <v/>
          </cell>
          <cell r="D3711" t="str">
            <v>Armário de Cozinha Completa 240cm Branco Glamy Madesa 09</v>
          </cell>
          <cell r="E3711" t="str">
            <v>GLAMY</v>
          </cell>
          <cell r="F3711" t="str">
            <v>COZINHA</v>
          </cell>
          <cell r="G3711" t="str">
            <v/>
          </cell>
          <cell r="H3711">
            <v>1599.99</v>
          </cell>
          <cell r="I3711">
            <v>1599.99</v>
          </cell>
          <cell r="J3711">
            <v>1320.7529999999999</v>
          </cell>
          <cell r="K3711">
            <v>0</v>
          </cell>
          <cell r="L3711">
            <v>1320.7529999999999</v>
          </cell>
          <cell r="M3711">
            <v>0</v>
          </cell>
          <cell r="N3711">
            <v>1599.99</v>
          </cell>
          <cell r="O3711" t="str">
            <v/>
          </cell>
          <cell r="P3711">
            <v>0</v>
          </cell>
          <cell r="Q3711">
            <v>0.21142257484934701</v>
          </cell>
          <cell r="R3711">
            <v>0.21142257484934701</v>
          </cell>
          <cell r="S3711" t="e">
            <v>#VALUE!</v>
          </cell>
          <cell r="T3711" t="e">
            <v>#VALUE!</v>
          </cell>
        </row>
        <row r="3712">
          <cell r="A3712" t="str">
            <v>GREM2930105Z</v>
          </cell>
          <cell r="B3712" t="str">
            <v>MKP000631005871</v>
          </cell>
          <cell r="C3712" t="str">
            <v/>
          </cell>
          <cell r="D3712" t="str">
            <v>Armário de Cozinha Completa 293cm Rustic Emilly Madesa 10</v>
          </cell>
          <cell r="E3712" t="str">
            <v>EMILLY</v>
          </cell>
          <cell r="F3712" t="str">
            <v>COZINHA</v>
          </cell>
          <cell r="G3712" t="str">
            <v/>
          </cell>
          <cell r="H3712">
            <v>1249.99</v>
          </cell>
          <cell r="I3712">
            <v>1149.99</v>
          </cell>
          <cell r="J3712">
            <v>910.59690000000001</v>
          </cell>
          <cell r="K3712">
            <v>0</v>
          </cell>
          <cell r="L3712">
            <v>910.59690000000001</v>
          </cell>
          <cell r="M3712">
            <v>0</v>
          </cell>
          <cell r="N3712">
            <v>1149.99</v>
          </cell>
          <cell r="O3712" t="str">
            <v/>
          </cell>
          <cell r="P3712">
            <v>0</v>
          </cell>
          <cell r="Q3712">
            <v>0.262896897628358</v>
          </cell>
          <cell r="R3712">
            <v>0.262896897628358</v>
          </cell>
          <cell r="S3712" t="e">
            <v>#VALUE!</v>
          </cell>
          <cell r="T3712" t="e">
            <v>#VALUE!</v>
          </cell>
        </row>
        <row r="3713">
          <cell r="A3713" t="str">
            <v>GREM2290067K</v>
          </cell>
          <cell r="B3713" t="str">
            <v>MKP000631005168</v>
          </cell>
          <cell r="C3713" t="str">
            <v/>
          </cell>
          <cell r="D3713" t="str">
            <v>Armário de Cozinha Completa 229cm Rustic/Preto Emilly Madesa 06</v>
          </cell>
          <cell r="E3713" t="str">
            <v>EMILLY</v>
          </cell>
          <cell r="F3713" t="str">
            <v>COZINHA</v>
          </cell>
          <cell r="G3713" t="str">
            <v/>
          </cell>
          <cell r="H3713">
            <v>1249.99</v>
          </cell>
          <cell r="I3713">
            <v>1149.99</v>
          </cell>
          <cell r="J3713">
            <v>930.74009999999998</v>
          </cell>
          <cell r="K3713">
            <v>0</v>
          </cell>
          <cell r="L3713">
            <v>930.74009999999998</v>
          </cell>
          <cell r="M3713">
            <v>0</v>
          </cell>
          <cell r="N3713">
            <v>1149.99</v>
          </cell>
          <cell r="O3713" t="str">
            <v/>
          </cell>
          <cell r="P3713">
            <v>0</v>
          </cell>
          <cell r="Q3713">
            <v>0.23556511640575101</v>
          </cell>
          <cell r="R3713">
            <v>0.23556511640575101</v>
          </cell>
          <cell r="S3713" t="e">
            <v>#VALUE!</v>
          </cell>
          <cell r="T3713" t="e">
            <v>#VALUE!</v>
          </cell>
        </row>
        <row r="3714">
          <cell r="A3714" t="str">
            <v>GRGL2000037K</v>
          </cell>
          <cell r="B3714" t="str">
            <v>MKP000631004224</v>
          </cell>
          <cell r="C3714" t="str">
            <v/>
          </cell>
          <cell r="D3714" t="str">
            <v>Armário de Cozinha Compacta 200cm Rustic Preto Glamy Madesa 03</v>
          </cell>
          <cell r="E3714" t="str">
            <v>GLAMY</v>
          </cell>
          <cell r="F3714" t="str">
            <v>COZINHA</v>
          </cell>
          <cell r="G3714" t="str">
            <v/>
          </cell>
          <cell r="H3714">
            <v>1749.99</v>
          </cell>
          <cell r="I3714">
            <v>1649.99</v>
          </cell>
          <cell r="J3714">
            <v>1357.5078000000001</v>
          </cell>
          <cell r="K3714">
            <v>0</v>
          </cell>
          <cell r="L3714">
            <v>1357.5078000000001</v>
          </cell>
          <cell r="M3714">
            <v>0</v>
          </cell>
          <cell r="N3714">
            <v>1649.99</v>
          </cell>
          <cell r="O3714" t="str">
            <v/>
          </cell>
          <cell r="P3714">
            <v>0</v>
          </cell>
          <cell r="Q3714">
            <v>0.21545526294581899</v>
          </cell>
          <cell r="R3714">
            <v>0.21545526294581899</v>
          </cell>
          <cell r="S3714" t="e">
            <v>#VALUE!</v>
          </cell>
          <cell r="T3714" t="e">
            <v>#VALUE!</v>
          </cell>
        </row>
        <row r="3715">
          <cell r="A3715" t="str">
            <v>GREM2290057K</v>
          </cell>
          <cell r="B3715" t="str">
            <v>MKP000631005169</v>
          </cell>
          <cell r="C3715" t="str">
            <v/>
          </cell>
          <cell r="D3715" t="str">
            <v>Armário de Cozinha Completa 229cm Rustic/Preto Emilly Madesa 05</v>
          </cell>
          <cell r="E3715" t="str">
            <v>EMILLY</v>
          </cell>
          <cell r="F3715" t="str">
            <v>COZINHA</v>
          </cell>
          <cell r="G3715" t="str">
            <v/>
          </cell>
          <cell r="H3715">
            <v>1259.99</v>
          </cell>
          <cell r="I3715">
            <v>1159.99</v>
          </cell>
          <cell r="J3715">
            <v>937.35640000000001</v>
          </cell>
          <cell r="K3715">
            <v>0</v>
          </cell>
          <cell r="L3715">
            <v>937.35640000000001</v>
          </cell>
          <cell r="M3715">
            <v>0</v>
          </cell>
          <cell r="N3715">
            <v>1159.99</v>
          </cell>
          <cell r="O3715" t="str">
            <v/>
          </cell>
          <cell r="P3715">
            <v>0</v>
          </cell>
          <cell r="Q3715">
            <v>0.237512220538527</v>
          </cell>
          <cell r="R3715">
            <v>0.237512220538527</v>
          </cell>
          <cell r="S3715" t="e">
            <v>#VALUE!</v>
          </cell>
          <cell r="T3715" t="e">
            <v>#VALUE!</v>
          </cell>
        </row>
        <row r="3716">
          <cell r="A3716" t="str">
            <v>GRGL2800037K</v>
          </cell>
          <cell r="B3716" t="str">
            <v>MKP000631002850</v>
          </cell>
          <cell r="C3716" t="str">
            <v/>
          </cell>
          <cell r="D3716" t="str">
            <v>Armário de Cozinha Completa 280cm Rustic/Preto Marcela Madesa 03</v>
          </cell>
          <cell r="E3716" t="str">
            <v>MARCELA/GLAMY</v>
          </cell>
          <cell r="F3716" t="str">
            <v>COZINHA</v>
          </cell>
          <cell r="G3716" t="str">
            <v/>
          </cell>
          <cell r="H3716">
            <v>2149.9899999999998</v>
          </cell>
          <cell r="I3716">
            <v>2049.9899999999998</v>
          </cell>
          <cell r="J3716">
            <v>1671.624</v>
          </cell>
          <cell r="K3716">
            <v>0</v>
          </cell>
          <cell r="L3716">
            <v>1671.624</v>
          </cell>
          <cell r="M3716">
            <v>0</v>
          </cell>
          <cell r="N3716">
            <v>2049.9899999999998</v>
          </cell>
          <cell r="O3716" t="str">
            <v/>
          </cell>
          <cell r="P3716">
            <v>0</v>
          </cell>
          <cell r="Q3716">
            <v>0.226346355400497</v>
          </cell>
          <cell r="R3716">
            <v>0.226346355400497</v>
          </cell>
          <cell r="S3716" t="e">
            <v>#VALUE!</v>
          </cell>
          <cell r="T3716" t="e">
            <v>#VALUE!</v>
          </cell>
        </row>
        <row r="3717">
          <cell r="A3717" t="str">
            <v>GRGL1800126E</v>
          </cell>
          <cell r="B3717" t="str">
            <v>MKP000631005220</v>
          </cell>
          <cell r="C3717" t="str">
            <v/>
          </cell>
          <cell r="D3717" t="str">
            <v>Armário de Cozinha Compacta 180cm Rustic/Branco Glamy Madesa 12</v>
          </cell>
          <cell r="E3717" t="str">
            <v>GLAMY</v>
          </cell>
          <cell r="F3717" t="str">
            <v>COZINHA</v>
          </cell>
          <cell r="G3717" t="str">
            <v/>
          </cell>
          <cell r="H3717">
            <v>1359.99</v>
          </cell>
          <cell r="I3717">
            <v>1259.99</v>
          </cell>
          <cell r="J3717">
            <v>1025.5155999999999</v>
          </cell>
          <cell r="K3717">
            <v>0</v>
          </cell>
          <cell r="L3717">
            <v>1025.5155999999999</v>
          </cell>
          <cell r="M3717">
            <v>0</v>
          </cell>
          <cell r="N3717">
            <v>1259.99</v>
          </cell>
          <cell r="O3717" t="str">
            <v/>
          </cell>
          <cell r="P3717">
            <v>0</v>
          </cell>
          <cell r="Q3717">
            <v>0.22864050044680001</v>
          </cell>
          <cell r="R3717">
            <v>0.22864050044680001</v>
          </cell>
          <cell r="S3717" t="e">
            <v>#VALUE!</v>
          </cell>
          <cell r="T3717" t="e">
            <v>#VALUE!</v>
          </cell>
        </row>
        <row r="3718">
          <cell r="A3718" t="str">
            <v>GRGL1800127K</v>
          </cell>
          <cell r="B3718" t="str">
            <v>MKP000631005219</v>
          </cell>
          <cell r="C3718" t="str">
            <v/>
          </cell>
          <cell r="D3718" t="str">
            <v>Armário de Cozinha Compacta 180cm Rustic/Preto Glamy Madesa 12</v>
          </cell>
          <cell r="E3718" t="str">
            <v>GLAMY</v>
          </cell>
          <cell r="F3718" t="str">
            <v>COZINHA</v>
          </cell>
          <cell r="G3718" t="str">
            <v/>
          </cell>
          <cell r="H3718">
            <v>1359.99</v>
          </cell>
          <cell r="I3718">
            <v>1259.99</v>
          </cell>
          <cell r="J3718">
            <v>1025.5155999999999</v>
          </cell>
          <cell r="K3718">
            <v>0</v>
          </cell>
          <cell r="L3718">
            <v>1025.5155999999999</v>
          </cell>
          <cell r="M3718">
            <v>0</v>
          </cell>
          <cell r="N3718">
            <v>1259.99</v>
          </cell>
          <cell r="O3718" t="str">
            <v/>
          </cell>
          <cell r="P3718">
            <v>0</v>
          </cell>
          <cell r="Q3718">
            <v>0.22864050044680001</v>
          </cell>
          <cell r="R3718">
            <v>0.22864050044680001</v>
          </cell>
          <cell r="S3718" t="e">
            <v>#VALUE!</v>
          </cell>
          <cell r="T3718" t="e">
            <v>#VALUE!</v>
          </cell>
        </row>
        <row r="3719">
          <cell r="A3719" t="str">
            <v>GRAG33000209</v>
          </cell>
          <cell r="B3719" t="str">
            <v>MKP000631005627</v>
          </cell>
          <cell r="C3719" t="str">
            <v/>
          </cell>
          <cell r="D3719" t="str">
            <v>Armário de Cozinha Completa 330cm Branco Agata Madesa 02</v>
          </cell>
          <cell r="E3719" t="str">
            <v>ÁGATA</v>
          </cell>
          <cell r="F3719" t="str">
            <v>COZINHA</v>
          </cell>
          <cell r="G3719" t="str">
            <v/>
          </cell>
          <cell r="H3719">
            <v>2699.99</v>
          </cell>
          <cell r="I3719">
            <v>2599.9899999999998</v>
          </cell>
          <cell r="J3719">
            <v>2109.6187</v>
          </cell>
          <cell r="K3719">
            <v>0</v>
          </cell>
          <cell r="L3719">
            <v>2109.6187</v>
          </cell>
          <cell r="M3719">
            <v>0</v>
          </cell>
          <cell r="N3719">
            <v>2599.9899999999998</v>
          </cell>
          <cell r="O3719" t="str">
            <v/>
          </cell>
          <cell r="P3719">
            <v>0</v>
          </cell>
          <cell r="Q3719">
            <v>0.23244546514495701</v>
          </cell>
          <cell r="R3719">
            <v>0.23244546514495701</v>
          </cell>
          <cell r="S3719" t="e">
            <v>#VALUE!</v>
          </cell>
          <cell r="T3719" t="e">
            <v>#VALUE!</v>
          </cell>
        </row>
        <row r="3720">
          <cell r="A3720" t="str">
            <v>GRGL18000973</v>
          </cell>
          <cell r="B3720" t="str">
            <v>MKP000631005226</v>
          </cell>
          <cell r="C3720" t="str">
            <v/>
          </cell>
          <cell r="D3720" t="str">
            <v>Armário de Cozinha Compacta 180cm Branco/Preto Glamy Madesa 09</v>
          </cell>
          <cell r="E3720" t="str">
            <v>GLAMY</v>
          </cell>
          <cell r="F3720" t="str">
            <v>COZINHA</v>
          </cell>
          <cell r="G3720" t="str">
            <v/>
          </cell>
          <cell r="H3720">
            <v>1399.99</v>
          </cell>
          <cell r="I3720">
            <v>1299.99</v>
          </cell>
          <cell r="J3720">
            <v>1045.0156999999999</v>
          </cell>
          <cell r="K3720">
            <v>0</v>
          </cell>
          <cell r="L3720">
            <v>1045.0156999999999</v>
          </cell>
          <cell r="M3720">
            <v>0</v>
          </cell>
          <cell r="N3720">
            <v>1299.99</v>
          </cell>
          <cell r="O3720" t="str">
            <v/>
          </cell>
          <cell r="P3720">
            <v>0</v>
          </cell>
          <cell r="Q3720">
            <v>0.24399087975424699</v>
          </cell>
          <cell r="R3720">
            <v>0.24399087975424699</v>
          </cell>
          <cell r="S3720" t="e">
            <v>#VALUE!</v>
          </cell>
          <cell r="T3720" t="e">
            <v>#VALUE!</v>
          </cell>
        </row>
        <row r="3721">
          <cell r="A3721" t="str">
            <v>GCTE4990025Z</v>
          </cell>
          <cell r="B3721" t="str">
            <v>MKP000631005763</v>
          </cell>
          <cell r="C3721" t="str">
            <v/>
          </cell>
          <cell r="D3721" t="str">
            <v>Armário de Cozinha Completa de Canto 499cm Rustic Stella Madesa 02</v>
          </cell>
          <cell r="E3721" t="str">
            <v>STELLA</v>
          </cell>
          <cell r="F3721" t="str">
            <v>COZINHA</v>
          </cell>
          <cell r="G3721" t="str">
            <v/>
          </cell>
          <cell r="H3721">
            <v>3899.99</v>
          </cell>
          <cell r="I3721">
            <v>3899.99</v>
          </cell>
          <cell r="J3721">
            <v>3120.9207000000001</v>
          </cell>
          <cell r="K3721">
            <v>0</v>
          </cell>
          <cell r="L3721">
            <v>3120.9207000000001</v>
          </cell>
          <cell r="M3721">
            <v>0</v>
          </cell>
          <cell r="N3721">
            <v>3899.99</v>
          </cell>
          <cell r="O3721" t="str">
            <v/>
          </cell>
          <cell r="P3721">
            <v>0</v>
          </cell>
          <cell r="Q3721">
            <v>0.24962803444509199</v>
          </cell>
          <cell r="R3721">
            <v>0.24962803444509199</v>
          </cell>
          <cell r="S3721" t="e">
            <v>#VALUE!</v>
          </cell>
          <cell r="T3721" t="e">
            <v>#VALUE!</v>
          </cell>
        </row>
        <row r="3722">
          <cell r="A3722" t="str">
            <v>GCAG49900173</v>
          </cell>
          <cell r="B3722" t="str">
            <v>MKP000631005619</v>
          </cell>
          <cell r="C3722" t="str">
            <v/>
          </cell>
          <cell r="D3722" t="str">
            <v>Armário de Cozinha Planejada de Canto 499cm Branco/Preto Agata Madesa 01</v>
          </cell>
          <cell r="E3722" t="str">
            <v>ÁGATA</v>
          </cell>
          <cell r="F3722" t="str">
            <v>COZINHA</v>
          </cell>
          <cell r="G3722" t="str">
            <v/>
          </cell>
          <cell r="H3722">
            <v>4219.99</v>
          </cell>
          <cell r="I3722">
            <v>4099.99</v>
          </cell>
          <cell r="J3722">
            <v>3274.9268000000002</v>
          </cell>
          <cell r="K3722">
            <v>0</v>
          </cell>
          <cell r="L3722">
            <v>3274.9268000000002</v>
          </cell>
          <cell r="M3722">
            <v>0</v>
          </cell>
          <cell r="N3722">
            <v>4099.99</v>
          </cell>
          <cell r="O3722" t="str">
            <v/>
          </cell>
          <cell r="P3722">
            <v>0</v>
          </cell>
          <cell r="Q3722">
            <v>0.25193332565478999</v>
          </cell>
          <cell r="R3722">
            <v>0.25193332565478999</v>
          </cell>
          <cell r="S3722" t="e">
            <v>#VALUE!</v>
          </cell>
          <cell r="T3722" t="e">
            <v>#VALUE!</v>
          </cell>
        </row>
        <row r="3723">
          <cell r="A3723" t="str">
            <v>MDES0200207309</v>
          </cell>
          <cell r="B3723" t="str">
            <v>MKP000631002782</v>
          </cell>
          <cell r="C3723" t="str">
            <v/>
          </cell>
          <cell r="D3723" t="str">
            <v>Rack Madesa Cancun com Pés e Painel para TV até 65 Polegadas Branco/Preto 7309</v>
          </cell>
          <cell r="E3723" t="str">
            <v>CANCUN</v>
          </cell>
          <cell r="F3723" t="str">
            <v>SALA DE ESTAR</v>
          </cell>
          <cell r="G3723" t="str">
            <v/>
          </cell>
          <cell r="H3723">
            <v>699.99</v>
          </cell>
          <cell r="I3723">
            <v>599.99</v>
          </cell>
          <cell r="J3723">
            <v>470.45490000000001</v>
          </cell>
          <cell r="K3723">
            <v>0</v>
          </cell>
          <cell r="L3723">
            <v>470.45490000000001</v>
          </cell>
          <cell r="M3723">
            <v>0</v>
          </cell>
          <cell r="N3723">
            <v>599.99</v>
          </cell>
          <cell r="O3723" t="str">
            <v/>
          </cell>
          <cell r="P3723">
            <v>0</v>
          </cell>
          <cell r="Q3723">
            <v>0.27534010167605799</v>
          </cell>
          <cell r="R3723">
            <v>0.27534010167605799</v>
          </cell>
          <cell r="S3723" t="e">
            <v>#VALUE!</v>
          </cell>
          <cell r="T3723" t="e">
            <v>#VALUE!</v>
          </cell>
        </row>
        <row r="3724">
          <cell r="A3724" t="str">
            <v>GREM1650077K</v>
          </cell>
          <cell r="B3724" t="str">
            <v>MKP000631006062</v>
          </cell>
          <cell r="C3724" t="str">
            <v/>
          </cell>
          <cell r="D3724" t="str">
            <v>Armário de Cozinha Compacta 165cm Rustic/Preto Emilly Madesa 07</v>
          </cell>
          <cell r="E3724" t="str">
            <v>EMILLY</v>
          </cell>
          <cell r="F3724" t="str">
            <v>COZINHA</v>
          </cell>
          <cell r="G3724" t="str">
            <v/>
          </cell>
          <cell r="H3724">
            <v>739.99</v>
          </cell>
          <cell r="I3724">
            <v>639.99</v>
          </cell>
          <cell r="J3724">
            <v>497.41059999999999</v>
          </cell>
          <cell r="K3724">
            <v>0</v>
          </cell>
          <cell r="L3724">
            <v>497.41059999999999</v>
          </cell>
          <cell r="M3724">
            <v>0</v>
          </cell>
          <cell r="N3724">
            <v>639.99</v>
          </cell>
          <cell r="O3724" t="str">
            <v>CAMICADO</v>
          </cell>
          <cell r="P3724">
            <v>639.99</v>
          </cell>
          <cell r="Q3724">
            <v>0.28664326815713198</v>
          </cell>
          <cell r="R3724">
            <v>0.28664326815713198</v>
          </cell>
          <cell r="S3724" t="e">
            <v>#VALUE!</v>
          </cell>
          <cell r="T3724" t="e">
            <v>#VALUE!</v>
          </cell>
        </row>
        <row r="3725">
          <cell r="A3725" t="str">
            <v>MDES0200205ZD8</v>
          </cell>
          <cell r="B3725" t="str">
            <v>MKP000631002806</v>
          </cell>
          <cell r="C3725" t="str">
            <v/>
          </cell>
          <cell r="D3725" t="str">
            <v>Rack Madesa Cancun com Pés e Painel para TV até 65 Polegadas Rustic/Preto 5ZD8</v>
          </cell>
          <cell r="E3725" t="str">
            <v>CANCUN</v>
          </cell>
          <cell r="F3725" t="str">
            <v>SALA DE ESTAR</v>
          </cell>
          <cell r="G3725" t="str">
            <v/>
          </cell>
          <cell r="H3725">
            <v>699.99</v>
          </cell>
          <cell r="I3725">
            <v>599.99</v>
          </cell>
          <cell r="J3725">
            <v>470.45490000000001</v>
          </cell>
          <cell r="K3725">
            <v>0</v>
          </cell>
          <cell r="L3725">
            <v>470.45490000000001</v>
          </cell>
          <cell r="M3725">
            <v>0</v>
          </cell>
          <cell r="N3725">
            <v>599.99</v>
          </cell>
          <cell r="O3725" t="str">
            <v/>
          </cell>
          <cell r="P3725">
            <v>0</v>
          </cell>
          <cell r="Q3725">
            <v>0.27534010167605799</v>
          </cell>
          <cell r="R3725">
            <v>0.27534010167605799</v>
          </cell>
          <cell r="S3725" t="e">
            <v>#VALUE!</v>
          </cell>
          <cell r="T3725" t="e">
            <v>#VALUE!</v>
          </cell>
        </row>
        <row r="3726">
          <cell r="A3726" t="str">
            <v>MDJA0401707GFLH</v>
          </cell>
          <cell r="B3726" t="str">
            <v>MKP000631005736</v>
          </cell>
          <cell r="C3726" t="str">
            <v/>
          </cell>
          <cell r="D3726" t="str">
            <v>Conjunto Sala de Jantar Mesa Tampo de Madeira 4 Cadeiras Rustic/Crema/Hibiscos Sophie Madesa</v>
          </cell>
          <cell r="E3726" t="str">
            <v>SOPHIE</v>
          </cell>
          <cell r="F3726" t="str">
            <v>SALA DE JANTAR</v>
          </cell>
          <cell r="G3726" t="str">
            <v>4291X</v>
          </cell>
          <cell r="H3726">
            <v>699.99</v>
          </cell>
          <cell r="I3726">
            <v>599.99</v>
          </cell>
          <cell r="J3726">
            <v>466.19299999999998</v>
          </cell>
          <cell r="K3726">
            <v>0</v>
          </cell>
          <cell r="L3726">
            <v>466.19299999999998</v>
          </cell>
          <cell r="M3726">
            <v>0</v>
          </cell>
          <cell r="N3726">
            <v>599.99</v>
          </cell>
          <cell r="O3726" t="str">
            <v/>
          </cell>
          <cell r="P3726">
            <v>0</v>
          </cell>
          <cell r="Q3726">
            <v>0.28699916129156799</v>
          </cell>
          <cell r="R3726">
            <v>0.28699916129156799</v>
          </cell>
          <cell r="S3726" t="e">
            <v>#VALUE!</v>
          </cell>
          <cell r="T3726" t="e">
            <v>#VALUE!</v>
          </cell>
        </row>
        <row r="3727">
          <cell r="A3727" t="str">
            <v>GRAG2200017G</v>
          </cell>
          <cell r="B3727" t="str">
            <v>MKP000631005494</v>
          </cell>
          <cell r="C3727" t="str">
            <v/>
          </cell>
          <cell r="D3727" t="str">
            <v>Armário de Cozinha Completa 220cm Rustic/Crema Agata da Thêmis Madesa</v>
          </cell>
          <cell r="E3727" t="str">
            <v>ÁGATA</v>
          </cell>
          <cell r="F3727" t="str">
            <v>COZINHA</v>
          </cell>
          <cell r="G3727" t="str">
            <v/>
          </cell>
          <cell r="H3727">
            <v>2299.9899999999998</v>
          </cell>
          <cell r="I3727">
            <v>2299.9899999999998</v>
          </cell>
          <cell r="J3727">
            <v>1717.7963999999999</v>
          </cell>
          <cell r="K3727">
            <v>0</v>
          </cell>
          <cell r="L3727">
            <v>1717.7963999999999</v>
          </cell>
          <cell r="M3727">
            <v>0</v>
          </cell>
          <cell r="N3727">
            <v>2299.9899999999998</v>
          </cell>
          <cell r="O3727" t="str">
            <v/>
          </cell>
          <cell r="P3727">
            <v>0</v>
          </cell>
          <cell r="Q3727">
            <v>0.338918861397078</v>
          </cell>
          <cell r="R3727">
            <v>0.338918861397078</v>
          </cell>
          <cell r="S3727" t="e">
            <v>#VALUE!</v>
          </cell>
          <cell r="T3727" t="e">
            <v>#VALUE!</v>
          </cell>
        </row>
        <row r="3728">
          <cell r="A3728" t="str">
            <v>MDJA0401627GFLH</v>
          </cell>
          <cell r="B3728" t="str">
            <v>MKP000631005564</v>
          </cell>
          <cell r="C3728" t="str">
            <v/>
          </cell>
          <cell r="D3728" t="str">
            <v>Conjunto Sala de Jantar Mesa Tampo de Madeira 4 Cadeiras Rustic/Crema/ Hibiscos Briana Madesa</v>
          </cell>
          <cell r="E3728" t="str">
            <v>BRIANA</v>
          </cell>
          <cell r="F3728" t="str">
            <v>SALA DE JANTAR</v>
          </cell>
          <cell r="G3728" t="str">
            <v>4291X</v>
          </cell>
          <cell r="H3728">
            <v>669.99</v>
          </cell>
          <cell r="I3728">
            <v>539.99</v>
          </cell>
          <cell r="J3728">
            <v>400.66219999999998</v>
          </cell>
          <cell r="K3728">
            <v>0</v>
          </cell>
          <cell r="L3728">
            <v>400.66219999999998</v>
          </cell>
          <cell r="M3728">
            <v>0</v>
          </cell>
          <cell r="N3728">
            <v>539.99</v>
          </cell>
          <cell r="O3728" t="str">
            <v/>
          </cell>
          <cell r="P3728">
            <v>0</v>
          </cell>
          <cell r="Q3728">
            <v>0.34774381012234201</v>
          </cell>
          <cell r="R3728">
            <v>0.34774381012234201</v>
          </cell>
          <cell r="S3728" t="e">
            <v>#VALUE!</v>
          </cell>
          <cell r="T3728" t="e">
            <v>#VALUE!</v>
          </cell>
        </row>
        <row r="3729">
          <cell r="A3729" t="str">
            <v>53837G</v>
          </cell>
          <cell r="B3729" t="str">
            <v>MKP000631005703</v>
          </cell>
          <cell r="C3729" t="str">
            <v/>
          </cell>
          <cell r="D3729" t="str">
            <v>Mesa de Jantar Retangular com Tampo de Madeira Rustic/Crema 5383 Madesa</v>
          </cell>
          <cell r="E3729">
            <v>5383</v>
          </cell>
          <cell r="F3729" t="str">
            <v>SALA DE JANTAR</v>
          </cell>
          <cell r="G3729" t="str">
            <v/>
          </cell>
          <cell r="H3729">
            <v>299.99</v>
          </cell>
          <cell r="I3729">
            <v>299.99</v>
          </cell>
          <cell r="J3729">
            <v>208.82220000000001</v>
          </cell>
          <cell r="K3729">
            <v>0</v>
          </cell>
          <cell r="L3729">
            <v>208.82220000000001</v>
          </cell>
          <cell r="M3729">
            <v>0</v>
          </cell>
          <cell r="N3729">
            <v>299.99</v>
          </cell>
          <cell r="O3729" t="str">
            <v/>
          </cell>
          <cell r="P3729">
            <v>0</v>
          </cell>
          <cell r="Q3729">
            <v>0.436580976543681</v>
          </cell>
          <cell r="R3729">
            <v>0.436580976543681</v>
          </cell>
          <cell r="S3729" t="e">
            <v>#VALUE!</v>
          </cell>
          <cell r="T3729" t="e">
            <v>#VALUE!</v>
          </cell>
        </row>
        <row r="3730">
          <cell r="A3730" t="str">
            <v>G24401F8AG</v>
          </cell>
          <cell r="B3730" t="str">
            <v>MKP000631002639</v>
          </cell>
          <cell r="C3730" t="str">
            <v/>
          </cell>
          <cell r="D3730" t="str">
            <v>Balcão Madesa Agata 40 cm 3 Gavetas Branco/Cinza</v>
          </cell>
          <cell r="E3730" t="str">
            <v>ÁGATA</v>
          </cell>
          <cell r="F3730" t="str">
            <v>MODULAÇÃO</v>
          </cell>
          <cell r="G3730" t="str">
            <v/>
          </cell>
          <cell r="H3730">
            <v>949.99</v>
          </cell>
          <cell r="I3730">
            <v>539.99</v>
          </cell>
          <cell r="J3730">
            <v>340.39609999999999</v>
          </cell>
          <cell r="K3730">
            <v>0</v>
          </cell>
          <cell r="L3730">
            <v>340.39609999999999</v>
          </cell>
          <cell r="M3730">
            <v>0</v>
          </cell>
          <cell r="N3730">
            <v>539.99</v>
          </cell>
          <cell r="O3730" t="str">
            <v/>
          </cell>
          <cell r="P3730">
            <v>0</v>
          </cell>
          <cell r="Q3730">
            <v>0.58635777554443202</v>
          </cell>
          <cell r="R3730">
            <v>0.58635777554443202</v>
          </cell>
          <cell r="S3730" t="e">
            <v>#VALUE!</v>
          </cell>
          <cell r="T3730" t="e">
            <v>#VALUE!</v>
          </cell>
        </row>
        <row r="3731">
          <cell r="A3731" t="str">
            <v>G2480273AG</v>
          </cell>
          <cell r="B3731" t="str">
            <v>MKP000631005051</v>
          </cell>
          <cell r="C3731" t="str">
            <v/>
          </cell>
          <cell r="D3731" t="str">
            <v>Balcão 80 cm 2 Gavetas Branco/Preto Agata Madesa</v>
          </cell>
          <cell r="E3731" t="str">
            <v>ÁGATA</v>
          </cell>
          <cell r="F3731" t="str">
            <v>MODULAÇÃO</v>
          </cell>
          <cell r="G3731" t="str">
            <v/>
          </cell>
          <cell r="H3731">
            <v>689.99</v>
          </cell>
          <cell r="I3731">
            <v>589.99</v>
          </cell>
          <cell r="J3731">
            <v>369.84789999999998</v>
          </cell>
          <cell r="K3731">
            <v>0</v>
          </cell>
          <cell r="L3731">
            <v>369.84789999999998</v>
          </cell>
          <cell r="M3731">
            <v>0</v>
          </cell>
          <cell r="N3731">
            <v>589.99</v>
          </cell>
          <cell r="O3731" t="str">
            <v/>
          </cell>
          <cell r="P3731">
            <v>0</v>
          </cell>
          <cell r="Q3731">
            <v>0.59522333370015101</v>
          </cell>
          <cell r="R3731">
            <v>0.59522333370015101</v>
          </cell>
          <cell r="S3731" t="e">
            <v>#VALUE!</v>
          </cell>
          <cell r="T3731" t="e">
            <v>#VALUE!</v>
          </cell>
        </row>
        <row r="3732">
          <cell r="A3732" t="str">
            <v>G2435073AG</v>
          </cell>
          <cell r="B3732" t="str">
            <v>MKP000631003055</v>
          </cell>
          <cell r="C3732" t="str">
            <v/>
          </cell>
          <cell r="D3732" t="str">
            <v>Balcão Madesa Agata 35 cm 1 Porta Branco/Preto</v>
          </cell>
          <cell r="E3732" t="str">
            <v>ÁGATA</v>
          </cell>
          <cell r="F3732" t="str">
            <v>MODULAÇÃO</v>
          </cell>
          <cell r="G3732" t="str">
            <v/>
          </cell>
          <cell r="H3732">
            <v>679.99</v>
          </cell>
          <cell r="I3732">
            <v>349.99</v>
          </cell>
          <cell r="J3732">
            <v>214.44659999999999</v>
          </cell>
          <cell r="K3732">
            <v>0</v>
          </cell>
          <cell r="L3732">
            <v>214.44659999999999</v>
          </cell>
          <cell r="M3732">
            <v>0</v>
          </cell>
          <cell r="N3732">
            <v>349.99</v>
          </cell>
          <cell r="O3732" t="str">
            <v/>
          </cell>
          <cell r="P3732">
            <v>0</v>
          </cell>
          <cell r="Q3732">
            <v>0.632061315031341</v>
          </cell>
          <cell r="R3732">
            <v>0.632061315031341</v>
          </cell>
          <cell r="S3732" t="e">
            <v>#VALUE!</v>
          </cell>
          <cell r="T3732" t="e">
            <v>#VALUE!</v>
          </cell>
        </row>
        <row r="3733">
          <cell r="A3733" t="str">
            <v>GRLX2600057K</v>
          </cell>
          <cell r="B3733" t="str">
            <v>MKP000631002717</v>
          </cell>
          <cell r="C3733" t="str">
            <v/>
          </cell>
          <cell r="D3733" t="str">
            <v>Armário de Cozinha Completa 260cm Rustic/Preto Lux Madesa 05</v>
          </cell>
          <cell r="E3733" t="str">
            <v>LUX</v>
          </cell>
          <cell r="F3733" t="str">
            <v>COZINHA</v>
          </cell>
          <cell r="G3733" t="str">
            <v/>
          </cell>
          <cell r="H3733">
            <v>3929.99</v>
          </cell>
          <cell r="I3733">
            <v>3849.99</v>
          </cell>
          <cell r="J3733">
            <v>2310.8326999999999</v>
          </cell>
          <cell r="K3733">
            <v>0</v>
          </cell>
          <cell r="L3733">
            <v>2310.8326999999999</v>
          </cell>
          <cell r="M3733">
            <v>0</v>
          </cell>
          <cell r="N3733">
            <v>3849.99</v>
          </cell>
          <cell r="O3733" t="str">
            <v>LOJA</v>
          </cell>
          <cell r="P3733">
            <v>3379.99</v>
          </cell>
          <cell r="Q3733">
            <v>0.66606176206525003</v>
          </cell>
          <cell r="R3733">
            <v>0.66606176206525003</v>
          </cell>
          <cell r="S3733" t="e">
            <v>#VALUE!</v>
          </cell>
          <cell r="T3733" t="e">
            <v>#VALUE!</v>
          </cell>
        </row>
        <row r="3734">
          <cell r="A3734" t="str">
            <v>G257007KGL</v>
          </cell>
          <cell r="B3734" t="str">
            <v>MKP000631005450</v>
          </cell>
          <cell r="C3734" t="str">
            <v/>
          </cell>
          <cell r="D3734" t="str">
            <v>Armário Aéreo 70 cm 2 Portas Rustic/Preto Glamy Madesa</v>
          </cell>
          <cell r="E3734" t="str">
            <v>GLAMY</v>
          </cell>
          <cell r="F3734" t="str">
            <v>MODULAÇÃO</v>
          </cell>
          <cell r="G3734" t="str">
            <v/>
          </cell>
          <cell r="H3734">
            <v>519.99</v>
          </cell>
          <cell r="I3734">
            <v>419.99</v>
          </cell>
          <cell r="J3734">
            <v>249.31569999999999</v>
          </cell>
          <cell r="K3734">
            <v>0</v>
          </cell>
          <cell r="L3734">
            <v>249.31569999999999</v>
          </cell>
          <cell r="M3734">
            <v>0</v>
          </cell>
          <cell r="N3734">
            <v>419.99</v>
          </cell>
          <cell r="O3734" t="str">
            <v/>
          </cell>
          <cell r="P3734">
            <v>0</v>
          </cell>
          <cell r="Q3734">
            <v>0.68457100776244695</v>
          </cell>
          <cell r="R3734">
            <v>0.68457100776244695</v>
          </cell>
          <cell r="S3734" t="e">
            <v>#VALUE!</v>
          </cell>
          <cell r="T3734" t="e">
            <v>#VALUE!</v>
          </cell>
        </row>
        <row r="3735">
          <cell r="A3735" t="str">
            <v>G253509BGL</v>
          </cell>
          <cell r="B3735" t="str">
            <v>MKP000631000491</v>
          </cell>
          <cell r="C3735" t="str">
            <v/>
          </cell>
          <cell r="D3735" t="str">
            <v>Armário Aéreo Madesa Glamy 35 cm 1 Porta Branco/Rustic</v>
          </cell>
          <cell r="E3735" t="str">
            <v>GLAMY</v>
          </cell>
          <cell r="F3735" t="str">
            <v>MODULAÇÃO</v>
          </cell>
          <cell r="G3735" t="str">
            <v/>
          </cell>
          <cell r="H3735">
            <v>449.99</v>
          </cell>
          <cell r="I3735">
            <v>279.99</v>
          </cell>
          <cell r="J3735">
            <v>164.9606</v>
          </cell>
          <cell r="K3735">
            <v>0</v>
          </cell>
          <cell r="L3735">
            <v>164.9606</v>
          </cell>
          <cell r="M3735">
            <v>0</v>
          </cell>
          <cell r="N3735">
            <v>279.99</v>
          </cell>
          <cell r="O3735" t="str">
            <v/>
          </cell>
          <cell r="P3735">
            <v>0</v>
          </cell>
          <cell r="Q3735">
            <v>0.69731438901167897</v>
          </cell>
          <cell r="R3735">
            <v>0.69731438901167897</v>
          </cell>
          <cell r="S3735" t="e">
            <v>#VALUE!</v>
          </cell>
          <cell r="T3735" t="e">
            <v>#VALUE!</v>
          </cell>
        </row>
        <row r="3736">
          <cell r="A3736" t="str">
            <v>G2575273AG</v>
          </cell>
          <cell r="B3736" t="str">
            <v>MKP000631003043</v>
          </cell>
          <cell r="C3736" t="str">
            <v/>
          </cell>
          <cell r="D3736" t="str">
            <v>Armário Aéreo de Canto Madesa Agata 1 Porta Branco/Preto</v>
          </cell>
          <cell r="E3736" t="str">
            <v>ÁGATA</v>
          </cell>
          <cell r="F3736" t="str">
            <v>MODULAÇÃO</v>
          </cell>
          <cell r="G3736" t="str">
            <v/>
          </cell>
          <cell r="H3736">
            <v>749.99</v>
          </cell>
          <cell r="I3736">
            <v>429.99</v>
          </cell>
          <cell r="J3736">
            <v>234.81870000000001</v>
          </cell>
          <cell r="K3736">
            <v>0</v>
          </cell>
          <cell r="L3736">
            <v>234.81870000000001</v>
          </cell>
          <cell r="M3736">
            <v>0</v>
          </cell>
          <cell r="N3736">
            <v>429.99</v>
          </cell>
          <cell r="O3736" t="str">
            <v/>
          </cell>
          <cell r="P3736">
            <v>0</v>
          </cell>
          <cell r="Q3736">
            <v>0.83115739930422905</v>
          </cell>
          <cell r="R3736">
            <v>0.83115739930422905</v>
          </cell>
          <cell r="S3736" t="e">
            <v>#VALUE!</v>
          </cell>
          <cell r="T3736" t="e">
            <v>#VALUE!</v>
          </cell>
        </row>
        <row r="3737">
          <cell r="A3737" t="str">
            <v>GRLX300001H8</v>
          </cell>
          <cell r="B3737" t="str">
            <v>MKP000631005128</v>
          </cell>
          <cell r="C3737" t="str">
            <v/>
          </cell>
          <cell r="D3737" t="str">
            <v>Armário de Cozinha Completa 300cm Rustic/Branco Veludo Lux da Sabrina Madesa</v>
          </cell>
          <cell r="E3737" t="str">
            <v>LUX</v>
          </cell>
          <cell r="F3737" t="str">
            <v>COZINHA</v>
          </cell>
          <cell r="G3737" t="str">
            <v/>
          </cell>
          <cell r="H3737">
            <v>4929.99</v>
          </cell>
          <cell r="I3737">
            <v>4869.99</v>
          </cell>
          <cell r="J3737">
            <v>2643.4789000000001</v>
          </cell>
          <cell r="K3737">
            <v>0</v>
          </cell>
          <cell r="L3737">
            <v>2643.4789000000001</v>
          </cell>
          <cell r="M3737">
            <v>0</v>
          </cell>
          <cell r="N3737">
            <v>4869.99</v>
          </cell>
          <cell r="O3737" t="str">
            <v>LOJA</v>
          </cell>
          <cell r="P3737">
            <v>4279.99</v>
          </cell>
          <cell r="Q3737">
            <v>0.84226550853120097</v>
          </cell>
          <cell r="R3737">
            <v>0.84226550853120097</v>
          </cell>
          <cell r="S3737" t="e">
            <v>#VALUE!</v>
          </cell>
          <cell r="T3737" t="e">
            <v>#VALUE!</v>
          </cell>
        </row>
        <row r="3738">
          <cell r="A3738" t="str">
            <v>G2240173LX</v>
          </cell>
          <cell r="B3738" t="str">
            <v>MKP000631003558</v>
          </cell>
          <cell r="C3738" t="str">
            <v/>
          </cell>
          <cell r="D3738" t="str">
            <v>Balcão Madesa Lux 40 cm 3 Gavetas (Sem Tampo) Branco/Preto</v>
          </cell>
          <cell r="E3738" t="str">
            <v>LUX</v>
          </cell>
          <cell r="F3738" t="str">
            <v>MODULAÇÃO</v>
          </cell>
          <cell r="G3738" t="str">
            <v/>
          </cell>
          <cell r="H3738">
            <v>1029.99</v>
          </cell>
          <cell r="I3738">
            <v>789.99</v>
          </cell>
          <cell r="J3738">
            <v>422.11340000000001</v>
          </cell>
          <cell r="K3738">
            <v>0</v>
          </cell>
          <cell r="L3738">
            <v>422.11340000000001</v>
          </cell>
          <cell r="M3738">
            <v>0</v>
          </cell>
          <cell r="N3738">
            <v>789.99</v>
          </cell>
          <cell r="O3738" t="str">
            <v>LOJA</v>
          </cell>
          <cell r="P3738">
            <v>779.99</v>
          </cell>
          <cell r="Q3738">
            <v>0.87151130478208005</v>
          </cell>
          <cell r="R3738">
            <v>0.87151130478208005</v>
          </cell>
          <cell r="S3738" t="e">
            <v>#VALUE!</v>
          </cell>
          <cell r="T3738" t="e">
            <v>#VALUE!</v>
          </cell>
        </row>
        <row r="3739">
          <cell r="A3739" t="str">
            <v>G2260073LX</v>
          </cell>
          <cell r="B3739" t="str">
            <v>MKP000631003262</v>
          </cell>
          <cell r="C3739" t="str">
            <v/>
          </cell>
          <cell r="D3739" t="str">
            <v>Balcão Madesa Lux 60 cm 1 Porta (Sem Tampo) Branco/Preto</v>
          </cell>
          <cell r="E3739" t="str">
            <v>LUX</v>
          </cell>
          <cell r="F3739" t="str">
            <v>MODULAÇÃO</v>
          </cell>
          <cell r="G3739" t="str">
            <v/>
          </cell>
          <cell r="H3739">
            <v>989.99</v>
          </cell>
          <cell r="I3739">
            <v>679.99</v>
          </cell>
          <cell r="J3739">
            <v>361.89089999999999</v>
          </cell>
          <cell r="K3739">
            <v>0</v>
          </cell>
          <cell r="L3739">
            <v>361.89089999999999</v>
          </cell>
          <cell r="M3739">
            <v>0</v>
          </cell>
          <cell r="N3739">
            <v>679.99</v>
          </cell>
          <cell r="O3739" t="str">
            <v>LOJA</v>
          </cell>
          <cell r="P3739">
            <v>669.99</v>
          </cell>
          <cell r="Q3739">
            <v>0.87899170716920505</v>
          </cell>
          <cell r="R3739">
            <v>0.87899170716920505</v>
          </cell>
          <cell r="S3739" t="e">
            <v>#VALUE!</v>
          </cell>
          <cell r="T3739" t="e">
            <v>#VALUE!</v>
          </cell>
        </row>
        <row r="3740">
          <cell r="A3740" t="str">
            <v>G25757H8LX</v>
          </cell>
          <cell r="B3740" t="str">
            <v>MKP000631004412</v>
          </cell>
          <cell r="C3740" t="str">
            <v/>
          </cell>
          <cell r="D3740" t="str">
            <v>Armário Aéreo de Canto com Adega Acoplada Madesa Lux 1 Porta Rustic/Branco Veludo</v>
          </cell>
          <cell r="E3740" t="str">
            <v>LUX</v>
          </cell>
          <cell r="F3740" t="str">
            <v>MODULAÇÃO</v>
          </cell>
          <cell r="G3740" t="str">
            <v/>
          </cell>
          <cell r="H3740">
            <v>959.99</v>
          </cell>
          <cell r="I3740">
            <v>639.99</v>
          </cell>
          <cell r="J3740">
            <v>305.37439999999998</v>
          </cell>
          <cell r="K3740">
            <v>0</v>
          </cell>
          <cell r="L3740">
            <v>305.37439999999998</v>
          </cell>
          <cell r="M3740">
            <v>0</v>
          </cell>
          <cell r="N3740">
            <v>639.99</v>
          </cell>
          <cell r="O3740" t="str">
            <v>LOJA</v>
          </cell>
          <cell r="P3740">
            <v>629.99</v>
          </cell>
          <cell r="Q3740">
            <v>1.0957552433995801</v>
          </cell>
          <cell r="R3740">
            <v>1.0957552433995801</v>
          </cell>
          <cell r="S3740" t="e">
            <v>#VALUE!</v>
          </cell>
          <cell r="T3740" t="e">
            <v>#VALUE!</v>
          </cell>
        </row>
        <row r="3741">
          <cell r="A3741" t="str">
            <v>G265000909</v>
          </cell>
          <cell r="B3741" t="str">
            <v>MKP000631000714</v>
          </cell>
          <cell r="C3741" t="str">
            <v/>
          </cell>
          <cell r="D3741" t="str">
            <v>Paneleiro 100% MDF 2 Portas Branco Smart Madesa</v>
          </cell>
          <cell r="E3741" t="str">
            <v>SMART</v>
          </cell>
          <cell r="F3741" t="str">
            <v>MODULAÇÃO</v>
          </cell>
          <cell r="G3741" t="str">
            <v/>
          </cell>
          <cell r="H3741">
            <v>629.99</v>
          </cell>
          <cell r="I3741">
            <v>459.99</v>
          </cell>
          <cell r="J3741">
            <v>319.82780000000002</v>
          </cell>
          <cell r="K3741">
            <v>0</v>
          </cell>
          <cell r="L3741">
            <v>319.82780000000002</v>
          </cell>
          <cell r="M3741">
            <v>0</v>
          </cell>
          <cell r="N3741">
            <v>459.99</v>
          </cell>
          <cell r="O3741" t="str">
            <v/>
          </cell>
          <cell r="P3741">
            <v>0</v>
          </cell>
          <cell r="Q3741">
            <v>0.43824270435528101</v>
          </cell>
          <cell r="R3741">
            <v>0.43824270435528101</v>
          </cell>
          <cell r="S3741" t="e">
            <v>#VALUE!</v>
          </cell>
          <cell r="T3741" t="e">
            <v>#VALUE!</v>
          </cell>
        </row>
        <row r="3742">
          <cell r="A3742" t="str">
            <v>GRGL220003097K</v>
          </cell>
          <cell r="B3742" t="str">
            <v>MKP000631001452</v>
          </cell>
          <cell r="C3742" t="str">
            <v/>
          </cell>
          <cell r="D3742" t="str">
            <v>Armário de Cozinha Completa 220cm Branco/Preto/Rustic Parma Madesa 03</v>
          </cell>
          <cell r="E3742" t="str">
            <v>PARMA/GLAMY</v>
          </cell>
          <cell r="F3742" t="str">
            <v>COZINHA</v>
          </cell>
          <cell r="G3742" t="str">
            <v/>
          </cell>
          <cell r="H3742">
            <v>1899.99</v>
          </cell>
          <cell r="I3742">
            <v>1799.99</v>
          </cell>
          <cell r="J3742">
            <v>1541.2927</v>
          </cell>
          <cell r="K3742">
            <v>0</v>
          </cell>
          <cell r="L3742">
            <v>1541.2927</v>
          </cell>
          <cell r="M3742">
            <v>0</v>
          </cell>
          <cell r="N3742">
            <v>1799.99</v>
          </cell>
          <cell r="O3742" t="str">
            <v/>
          </cell>
          <cell r="P3742">
            <v>0</v>
          </cell>
          <cell r="Q3742">
            <v>0.16784436856153301</v>
          </cell>
          <cell r="R3742">
            <v>0.16784436856153301</v>
          </cell>
          <cell r="S3742" t="e">
            <v>#VALUE!</v>
          </cell>
          <cell r="T3742" t="e">
            <v>#VALUE!</v>
          </cell>
        </row>
        <row r="3743">
          <cell r="A3743" t="str">
            <v>GCGL34900373</v>
          </cell>
          <cell r="B3743" t="str">
            <v>MKP000631004495</v>
          </cell>
          <cell r="C3743" t="str">
            <v/>
          </cell>
          <cell r="D3743" t="str">
            <v>Armário de Cozinha Completa de Canto 349cm Branco Preto Glamy Madesa 03</v>
          </cell>
          <cell r="E3743" t="str">
            <v>GLAMY</v>
          </cell>
          <cell r="F3743" t="str">
            <v>COZINHA</v>
          </cell>
          <cell r="G3743" t="str">
            <v/>
          </cell>
          <cell r="H3743">
            <v>2569.9899999999998</v>
          </cell>
          <cell r="I3743">
            <v>2469.9899999999998</v>
          </cell>
          <cell r="J3743">
            <v>2062.3018000000002</v>
          </cell>
          <cell r="K3743">
            <v>0</v>
          </cell>
          <cell r="L3743">
            <v>2062.3018000000002</v>
          </cell>
          <cell r="M3743">
            <v>0</v>
          </cell>
          <cell r="N3743">
            <v>2469.9899999999998</v>
          </cell>
          <cell r="O3743" t="str">
            <v/>
          </cell>
          <cell r="P3743">
            <v>0</v>
          </cell>
          <cell r="Q3743">
            <v>0.19768600308645401</v>
          </cell>
          <cell r="R3743">
            <v>0.19768600308645401</v>
          </cell>
          <cell r="S3743" t="e">
            <v>#VALUE!</v>
          </cell>
          <cell r="T3743" t="e">
            <v>#VALUE!</v>
          </cell>
        </row>
        <row r="3744">
          <cell r="A3744" t="str">
            <v>GRGL18000773</v>
          </cell>
          <cell r="B3744" t="str">
            <v>MKP000631004232</v>
          </cell>
          <cell r="C3744" t="str">
            <v/>
          </cell>
          <cell r="D3744" t="str">
            <v>Armário de Cozinha Compacta 180cm Branco Preto Glamy Madesa 07</v>
          </cell>
          <cell r="E3744" t="str">
            <v>GLAMY</v>
          </cell>
          <cell r="F3744" t="str">
            <v>COZINHA</v>
          </cell>
          <cell r="G3744" t="str">
            <v/>
          </cell>
          <cell r="H3744">
            <v>1679.99</v>
          </cell>
          <cell r="I3744">
            <v>1579.99</v>
          </cell>
          <cell r="J3744">
            <v>1307.6839</v>
          </cell>
          <cell r="K3744">
            <v>0</v>
          </cell>
          <cell r="L3744">
            <v>1307.6839</v>
          </cell>
          <cell r="M3744">
            <v>0</v>
          </cell>
          <cell r="N3744">
            <v>1579.99</v>
          </cell>
          <cell r="O3744" t="str">
            <v/>
          </cell>
          <cell r="P3744">
            <v>0</v>
          </cell>
          <cell r="Q3744">
            <v>0.208235415301817</v>
          </cell>
          <cell r="R3744">
            <v>0.208235415301817</v>
          </cell>
          <cell r="S3744" t="e">
            <v>#VALUE!</v>
          </cell>
          <cell r="T3744" t="e">
            <v>#VALUE!</v>
          </cell>
        </row>
        <row r="3745">
          <cell r="A3745" t="str">
            <v>GRGL270009C1</v>
          </cell>
          <cell r="B3745" t="str">
            <v>MKP000631001218</v>
          </cell>
          <cell r="C3745" t="str">
            <v/>
          </cell>
          <cell r="D3745" t="str">
            <v>Armário de Cozinha Completa 270cm Rustic/Preto/Rustic Jade Madesa 09</v>
          </cell>
          <cell r="E3745" t="str">
            <v>JADE/GLAMY</v>
          </cell>
          <cell r="F3745" t="str">
            <v>COZINHA</v>
          </cell>
          <cell r="G3745" t="str">
            <v/>
          </cell>
          <cell r="H3745">
            <v>2699.99</v>
          </cell>
          <cell r="I3745">
            <v>2099.9899999999998</v>
          </cell>
          <cell r="J3745">
            <v>1727.3339000000001</v>
          </cell>
          <cell r="K3745">
            <v>0</v>
          </cell>
          <cell r="L3745">
            <v>1727.3339000000001</v>
          </cell>
          <cell r="M3745">
            <v>0</v>
          </cell>
          <cell r="N3745">
            <v>2099.9899999999998</v>
          </cell>
          <cell r="O3745" t="str">
            <v/>
          </cell>
          <cell r="P3745">
            <v>0</v>
          </cell>
          <cell r="Q3745">
            <v>0.21574062779639799</v>
          </cell>
          <cell r="R3745">
            <v>0.21574062779639799</v>
          </cell>
          <cell r="S3745" t="e">
            <v>#VALUE!</v>
          </cell>
          <cell r="T3745" t="e">
            <v>#VALUE!</v>
          </cell>
        </row>
        <row r="3746">
          <cell r="A3746" t="str">
            <v>GRGL2700095Z</v>
          </cell>
          <cell r="B3746" t="str">
            <v>MKP000631001226</v>
          </cell>
          <cell r="C3746" t="str">
            <v/>
          </cell>
          <cell r="D3746" t="str">
            <v>Armário de Cozinha Completa 270cm Rustic Jade Madesa 09</v>
          </cell>
          <cell r="E3746" t="str">
            <v>JADE/GLAMY</v>
          </cell>
          <cell r="F3746" t="str">
            <v>COZINHA</v>
          </cell>
          <cell r="G3746" t="str">
            <v/>
          </cell>
          <cell r="H3746">
            <v>2699.99</v>
          </cell>
          <cell r="I3746">
            <v>2099.9899999999998</v>
          </cell>
          <cell r="J3746">
            <v>1727.3339000000001</v>
          </cell>
          <cell r="K3746">
            <v>0</v>
          </cell>
          <cell r="L3746">
            <v>1727.3339000000001</v>
          </cell>
          <cell r="M3746">
            <v>0</v>
          </cell>
          <cell r="N3746">
            <v>2099.9899999999998</v>
          </cell>
          <cell r="O3746" t="str">
            <v/>
          </cell>
          <cell r="P3746">
            <v>0</v>
          </cell>
          <cell r="Q3746">
            <v>0.21574062779639799</v>
          </cell>
          <cell r="R3746">
            <v>0.21574062779639799</v>
          </cell>
          <cell r="S3746" t="e">
            <v>#VALUE!</v>
          </cell>
          <cell r="T3746" t="e">
            <v>#VALUE!</v>
          </cell>
        </row>
        <row r="3747">
          <cell r="A3747" t="str">
            <v>XB10639B1R</v>
          </cell>
          <cell r="B3747" t="str">
            <v>MKP000631001423</v>
          </cell>
          <cell r="C3747" t="str">
            <v/>
          </cell>
          <cell r="D3747" t="str">
            <v>Guarda-Roupa Juvenil 100% MDF Madesa Kevin 3 Portas de Correr Branco/Branco/Rustic</v>
          </cell>
          <cell r="E3747" t="str">
            <v>KEVIN</v>
          </cell>
          <cell r="F3747" t="str">
            <v>QUARTO</v>
          </cell>
          <cell r="G3747" t="str">
            <v/>
          </cell>
          <cell r="H3747">
            <v>2469.9899999999998</v>
          </cell>
          <cell r="I3747">
            <v>1899.99</v>
          </cell>
          <cell r="J3747">
            <v>1551.3534</v>
          </cell>
          <cell r="K3747">
            <v>0</v>
          </cell>
          <cell r="L3747">
            <v>1551.3534</v>
          </cell>
          <cell r="M3747">
            <v>0</v>
          </cell>
          <cell r="N3747">
            <v>1899.99</v>
          </cell>
          <cell r="O3747" t="str">
            <v/>
          </cell>
          <cell r="P3747">
            <v>0</v>
          </cell>
          <cell r="Q3747">
            <v>0.22473061263797101</v>
          </cell>
          <cell r="R3747">
            <v>0.22473061263797101</v>
          </cell>
          <cell r="S3747" t="e">
            <v>#VALUE!</v>
          </cell>
          <cell r="T3747" t="e">
            <v>#VALUE!</v>
          </cell>
        </row>
        <row r="3748">
          <cell r="A3748" t="str">
            <v>MDJA0401837KOXF</v>
          </cell>
          <cell r="B3748" t="str">
            <v>MKP000631006054</v>
          </cell>
          <cell r="C3748" t="str">
            <v/>
          </cell>
          <cell r="D3748" t="str">
            <v>Conjunto Sala de Jantar Mesa Tampo de Madeira 4 Cadeiras Rustic/Preto/Oxford Keila Madesa</v>
          </cell>
          <cell r="E3748" t="str">
            <v>KEILA</v>
          </cell>
          <cell r="F3748" t="str">
            <v>SALA DE JANTAR</v>
          </cell>
          <cell r="G3748">
            <v>4255</v>
          </cell>
          <cell r="H3748">
            <v>1199.99</v>
          </cell>
          <cell r="I3748">
            <v>1099.99</v>
          </cell>
          <cell r="J3748">
            <v>831.23400000000004</v>
          </cell>
          <cell r="K3748">
            <v>0</v>
          </cell>
          <cell r="L3748">
            <v>831.23400000000004</v>
          </cell>
          <cell r="M3748">
            <v>0</v>
          </cell>
          <cell r="N3748">
            <v>1099.99</v>
          </cell>
          <cell r="O3748" t="str">
            <v/>
          </cell>
          <cell r="P3748">
            <v>0</v>
          </cell>
          <cell r="Q3748">
            <v>0.32332171205701399</v>
          </cell>
          <cell r="R3748">
            <v>0.32332171205701399</v>
          </cell>
          <cell r="S3748" t="e">
            <v>#VALUE!</v>
          </cell>
          <cell r="T3748" t="e">
            <v>#VALUE!</v>
          </cell>
        </row>
        <row r="3749">
          <cell r="A3749" t="str">
            <v>GCAG4990016E</v>
          </cell>
          <cell r="B3749" t="str">
            <v>MKP000631005618</v>
          </cell>
          <cell r="C3749" t="str">
            <v/>
          </cell>
          <cell r="D3749" t="str">
            <v>Armário de Cozinha Planejada de Canto 499cm Rustic/Branco Agata Madesa 01</v>
          </cell>
          <cell r="E3749" t="str">
            <v>ÁGATA</v>
          </cell>
          <cell r="F3749" t="str">
            <v>COZINHA</v>
          </cell>
          <cell r="G3749" t="str">
            <v/>
          </cell>
          <cell r="H3749">
            <v>4219.99</v>
          </cell>
          <cell r="I3749">
            <v>4099.99</v>
          </cell>
          <cell r="J3749">
            <v>3274.9268000000002</v>
          </cell>
          <cell r="K3749">
            <v>0</v>
          </cell>
          <cell r="L3749">
            <v>3274.9268000000002</v>
          </cell>
          <cell r="M3749">
            <v>0</v>
          </cell>
          <cell r="N3749">
            <v>4099.99</v>
          </cell>
          <cell r="O3749" t="str">
            <v/>
          </cell>
          <cell r="P3749">
            <v>0</v>
          </cell>
          <cell r="Q3749">
            <v>0.25193332565478999</v>
          </cell>
          <cell r="R3749">
            <v>0.25193332565478999</v>
          </cell>
          <cell r="S3749" t="e">
            <v>#VALUE!</v>
          </cell>
          <cell r="T3749" t="e">
            <v>#VALUE!</v>
          </cell>
        </row>
        <row r="3750">
          <cell r="A3750" t="str">
            <v>GRAG2700076E</v>
          </cell>
          <cell r="B3750" t="str">
            <v>MKP000631005262</v>
          </cell>
          <cell r="C3750" t="str">
            <v/>
          </cell>
          <cell r="D3750" t="str">
            <v>Armário de  Cozinha Completa 270cm Rustic/Branco Agata Madesa 07</v>
          </cell>
          <cell r="E3750" t="str">
            <v>ÁGATA</v>
          </cell>
          <cell r="F3750" t="str">
            <v>COZINHA</v>
          </cell>
          <cell r="G3750" t="str">
            <v/>
          </cell>
          <cell r="H3750">
            <v>2219.9899999999998</v>
          </cell>
          <cell r="I3750">
            <v>2099.9899999999998</v>
          </cell>
          <cell r="J3750">
            <v>1623.3152</v>
          </cell>
          <cell r="K3750">
            <v>0</v>
          </cell>
          <cell r="L3750">
            <v>1623.3152</v>
          </cell>
          <cell r="M3750">
            <v>0</v>
          </cell>
          <cell r="N3750">
            <v>2099.9899999999998</v>
          </cell>
          <cell r="O3750" t="str">
            <v/>
          </cell>
          <cell r="P3750">
            <v>0</v>
          </cell>
          <cell r="Q3750">
            <v>0.29364278730341398</v>
          </cell>
          <cell r="R3750">
            <v>0.29364278730341398</v>
          </cell>
          <cell r="S3750" t="e">
            <v>#VALUE!</v>
          </cell>
          <cell r="T3750" t="e">
            <v>#VALUE!</v>
          </cell>
        </row>
        <row r="3751">
          <cell r="A3751" t="str">
            <v>G278015Z</v>
          </cell>
          <cell r="B3751" t="str">
            <v>MKP000631005646</v>
          </cell>
          <cell r="C3751" t="str">
            <v/>
          </cell>
          <cell r="D3751" t="str">
            <v>Kit 2 Prateleiras Suspensas para Cozinha Madesa 80 cm com Mão Francesa Rustic</v>
          </cell>
          <cell r="E3751" t="str">
            <v>PR</v>
          </cell>
          <cell r="F3751" t="str">
            <v>MODULAÇÃO</v>
          </cell>
          <cell r="G3751" t="str">
            <v/>
          </cell>
          <cell r="H3751">
            <v>299.99</v>
          </cell>
          <cell r="I3751">
            <v>199.99</v>
          </cell>
          <cell r="J3751">
            <v>127.72620000000001</v>
          </cell>
          <cell r="K3751">
            <v>0</v>
          </cell>
          <cell r="L3751">
            <v>127.72620000000001</v>
          </cell>
          <cell r="M3751">
            <v>0</v>
          </cell>
          <cell r="N3751">
            <v>199.99</v>
          </cell>
          <cell r="O3751" t="str">
            <v/>
          </cell>
          <cell r="P3751">
            <v>0</v>
          </cell>
          <cell r="Q3751">
            <v>0.56577115736630401</v>
          </cell>
          <cell r="R3751">
            <v>0.56577115736630401</v>
          </cell>
          <cell r="S3751" t="e">
            <v>#VALUE!</v>
          </cell>
          <cell r="T3751" t="e">
            <v>#VALUE!</v>
          </cell>
        </row>
        <row r="3752">
          <cell r="A3752" t="str">
            <v>G257529BGL</v>
          </cell>
          <cell r="B3752" t="str">
            <v>MKP000631000487</v>
          </cell>
          <cell r="C3752" t="str">
            <v/>
          </cell>
          <cell r="D3752" t="str">
            <v>Armário Aéreo de Canto Madesa Glamy 1 Porta Branco/Rustic</v>
          </cell>
          <cell r="E3752" t="str">
            <v>GLAMY</v>
          </cell>
          <cell r="F3752" t="str">
            <v>MODULAÇÃO</v>
          </cell>
          <cell r="G3752" t="str">
            <v/>
          </cell>
          <cell r="H3752">
            <v>759.99</v>
          </cell>
          <cell r="I3752">
            <v>429.99</v>
          </cell>
          <cell r="J3752">
            <v>245.51159999999999</v>
          </cell>
          <cell r="K3752">
            <v>0</v>
          </cell>
          <cell r="L3752">
            <v>245.51159999999999</v>
          </cell>
          <cell r="M3752">
            <v>0</v>
          </cell>
          <cell r="N3752">
            <v>429.99</v>
          </cell>
          <cell r="O3752" t="str">
            <v/>
          </cell>
          <cell r="P3752">
            <v>0</v>
          </cell>
          <cell r="Q3752">
            <v>0.75140400697971099</v>
          </cell>
          <cell r="R3752">
            <v>0.75140400697971099</v>
          </cell>
          <cell r="S3752" t="e">
            <v>#VALUE!</v>
          </cell>
          <cell r="T3752" t="e">
            <v>#VALUE!</v>
          </cell>
        </row>
        <row r="3753">
          <cell r="A3753" t="str">
            <v>G266557GAG</v>
          </cell>
          <cell r="B3753" t="str">
            <v>MKP000631005471</v>
          </cell>
          <cell r="C3753" t="str">
            <v/>
          </cell>
          <cell r="D3753" t="str">
            <v>Torre Quente 60 cm 1 Porta 3 Gavetas Rustic/Crema Agata Madesa</v>
          </cell>
          <cell r="E3753" t="str">
            <v>ÁGATA</v>
          </cell>
          <cell r="F3753" t="str">
            <v>MODULAÇÃO</v>
          </cell>
          <cell r="G3753" t="str">
            <v/>
          </cell>
          <cell r="H3753">
            <v>1089.99</v>
          </cell>
          <cell r="I3753">
            <v>989.99</v>
          </cell>
          <cell r="J3753">
            <v>547.2672</v>
          </cell>
          <cell r="K3753">
            <v>0</v>
          </cell>
          <cell r="L3753">
            <v>547.2672</v>
          </cell>
          <cell r="M3753">
            <v>0</v>
          </cell>
          <cell r="N3753">
            <v>989.99</v>
          </cell>
          <cell r="O3753" t="str">
            <v/>
          </cell>
          <cell r="P3753">
            <v>0</v>
          </cell>
          <cell r="Q3753">
            <v>0.80897009723951996</v>
          </cell>
          <cell r="R3753">
            <v>0.80897009723951996</v>
          </cell>
          <cell r="S3753" t="e">
            <v>#VALUE!</v>
          </cell>
          <cell r="T3753" t="e">
            <v>#VALUE!</v>
          </cell>
        </row>
        <row r="3754">
          <cell r="A3754" t="str">
            <v>G227009RLX</v>
          </cell>
          <cell r="B3754" t="str">
            <v>MKP000631005185</v>
          </cell>
          <cell r="C3754" t="str">
            <v/>
          </cell>
          <cell r="D3754" t="str">
            <v>Balcão Madesa Lux 70 cm 2 Portas - Branco/Cinza (Sem Tampo)</v>
          </cell>
          <cell r="E3754" t="str">
            <v>LUX</v>
          </cell>
          <cell r="F3754" t="str">
            <v>MODULAÇÃO</v>
          </cell>
          <cell r="G3754" t="str">
            <v/>
          </cell>
          <cell r="H3754">
            <v>919.99</v>
          </cell>
          <cell r="I3754">
            <v>819.99</v>
          </cell>
          <cell r="J3754">
            <v>453.22199999999998</v>
          </cell>
          <cell r="K3754">
            <v>0</v>
          </cell>
          <cell r="L3754">
            <v>453.22199999999998</v>
          </cell>
          <cell r="M3754">
            <v>0</v>
          </cell>
          <cell r="N3754">
            <v>819.99</v>
          </cell>
          <cell r="O3754" t="str">
            <v>LOJA</v>
          </cell>
          <cell r="P3754">
            <v>799.99</v>
          </cell>
          <cell r="Q3754">
            <v>0.80924580007148805</v>
          </cell>
          <cell r="R3754">
            <v>0.80924580007148805</v>
          </cell>
          <cell r="S3754" t="e">
            <v>#VALUE!</v>
          </cell>
          <cell r="T3754" t="e">
            <v>#VALUE!</v>
          </cell>
        </row>
        <row r="3755">
          <cell r="A3755" t="str">
            <v>GRLX260003H8</v>
          </cell>
          <cell r="B3755" t="str">
            <v>MKP000631003771</v>
          </cell>
          <cell r="C3755" t="str">
            <v/>
          </cell>
          <cell r="D3755" t="str">
            <v>Armário de Cozinha Completa 260cm Rustic/Branco Veludo Lux Madesa 03</v>
          </cell>
          <cell r="E3755" t="str">
            <v>LUX</v>
          </cell>
          <cell r="F3755" t="str">
            <v>COZINHA</v>
          </cell>
          <cell r="G3755" t="str">
            <v/>
          </cell>
          <cell r="H3755">
            <v>3039.99</v>
          </cell>
          <cell r="I3755">
            <v>2939.99</v>
          </cell>
          <cell r="J3755">
            <v>1593.2747999999999</v>
          </cell>
          <cell r="K3755">
            <v>0</v>
          </cell>
          <cell r="L3755">
            <v>1593.2747999999999</v>
          </cell>
          <cell r="M3755">
            <v>0</v>
          </cell>
          <cell r="N3755">
            <v>2939.99</v>
          </cell>
          <cell r="O3755" t="str">
            <v>LOJA</v>
          </cell>
          <cell r="P3755">
            <v>2579.9899999999998</v>
          </cell>
          <cell r="Q3755">
            <v>0.84524979620590202</v>
          </cell>
          <cell r="R3755">
            <v>0.84524979620590202</v>
          </cell>
          <cell r="S3755" t="e">
            <v>#VALUE!</v>
          </cell>
          <cell r="T3755" t="e">
            <v>#VALUE!</v>
          </cell>
        </row>
        <row r="3756">
          <cell r="A3756" t="str">
            <v>G2240073LXCT</v>
          </cell>
          <cell r="B3756" t="str">
            <v>MKP000631005098</v>
          </cell>
          <cell r="C3756" t="str">
            <v/>
          </cell>
          <cell r="D3756" t="str">
            <v>Balcão 40 cm 1 Porta Branco/Preto Lux Madesa</v>
          </cell>
          <cell r="E3756" t="str">
            <v>LUX</v>
          </cell>
          <cell r="F3756" t="str">
            <v>MODULAÇÃO</v>
          </cell>
          <cell r="G3756" t="str">
            <v/>
          </cell>
          <cell r="H3756">
            <v>819.99</v>
          </cell>
          <cell r="I3756">
            <v>689.99</v>
          </cell>
          <cell r="J3756">
            <v>363.51499999999999</v>
          </cell>
          <cell r="K3756">
            <v>0</v>
          </cell>
          <cell r="L3756">
            <v>363.51499999999999</v>
          </cell>
          <cell r="M3756">
            <v>0</v>
          </cell>
          <cell r="N3756">
            <v>689.99</v>
          </cell>
          <cell r="O3756" t="str">
            <v>LOJA</v>
          </cell>
          <cell r="P3756">
            <v>679.99</v>
          </cell>
          <cell r="Q3756">
            <v>0.89810599287512205</v>
          </cell>
          <cell r="R3756">
            <v>0.89810599287512205</v>
          </cell>
          <cell r="S3756" t="e">
            <v>#VALUE!</v>
          </cell>
          <cell r="T3756" t="e">
            <v>#VALUE!</v>
          </cell>
        </row>
        <row r="3757">
          <cell r="A3757" t="str">
            <v>GRGL2400065Z</v>
          </cell>
          <cell r="B3757" t="str">
            <v>MKP000631005677</v>
          </cell>
          <cell r="C3757" t="str">
            <v/>
          </cell>
          <cell r="D3757" t="str">
            <v>Armário de Cozinha Completa 240cm Rustic Glamy Madesa 06</v>
          </cell>
          <cell r="E3757" t="str">
            <v>GLAMY</v>
          </cell>
          <cell r="F3757" t="str">
            <v>COZINHA</v>
          </cell>
          <cell r="G3757" t="str">
            <v/>
          </cell>
          <cell r="H3757">
            <v>2099.9899999999998</v>
          </cell>
          <cell r="I3757">
            <v>1999.99</v>
          </cell>
          <cell r="J3757">
            <v>1646.5867000000001</v>
          </cell>
          <cell r="K3757">
            <v>0</v>
          </cell>
          <cell r="L3757">
            <v>1646.5867000000001</v>
          </cell>
          <cell r="M3757">
            <v>0</v>
          </cell>
          <cell r="N3757">
            <v>1999.99</v>
          </cell>
          <cell r="O3757" t="str">
            <v/>
          </cell>
          <cell r="P3757">
            <v>0</v>
          </cell>
          <cell r="Q3757">
            <v>0.214627811581376</v>
          </cell>
          <cell r="R3757">
            <v>0.214627811581376</v>
          </cell>
          <cell r="S3757" t="e">
            <v>#VALUE!</v>
          </cell>
          <cell r="T3757" t="e">
            <v>#VALUE!</v>
          </cell>
        </row>
        <row r="3758">
          <cell r="A3758" t="str">
            <v>MDJA0200485ZOXF</v>
          </cell>
          <cell r="B3758" t="str">
            <v>MKP000631006046</v>
          </cell>
          <cell r="C3758" t="str">
            <v/>
          </cell>
          <cell r="D3758" t="str">
            <v>Conjunto Sala de Jantar Mesa Tampo de Madeira 2 Cadeiras Rustic/Oxford Manu Madesa</v>
          </cell>
          <cell r="E3758" t="str">
            <v>MANU</v>
          </cell>
          <cell r="F3758" t="str">
            <v>SALA DE JANTAR</v>
          </cell>
          <cell r="G3758">
            <v>4255</v>
          </cell>
          <cell r="H3758">
            <v>699.99</v>
          </cell>
          <cell r="I3758">
            <v>599.99</v>
          </cell>
          <cell r="J3758">
            <v>399.84469999999999</v>
          </cell>
          <cell r="K3758">
            <v>0</v>
          </cell>
          <cell r="L3758">
            <v>399.84469999999999</v>
          </cell>
          <cell r="M3758">
            <v>0</v>
          </cell>
          <cell r="N3758">
            <v>599.99</v>
          </cell>
          <cell r="O3758" t="str">
            <v/>
          </cell>
          <cell r="P3758">
            <v>0</v>
          </cell>
          <cell r="Q3758">
            <v>0.50055759148489398</v>
          </cell>
          <cell r="R3758">
            <v>0.50055759148489398</v>
          </cell>
          <cell r="S3758" t="e">
            <v>#VALUE!</v>
          </cell>
          <cell r="T3758" t="e">
            <v>#VALUE!</v>
          </cell>
        </row>
        <row r="3759">
          <cell r="A3759" t="str">
            <v>MDJA0601685ZPT</v>
          </cell>
          <cell r="B3759" t="str">
            <v>MKP000631006111</v>
          </cell>
          <cell r="C3759" t="str">
            <v/>
          </cell>
          <cell r="D3759" t="str">
            <v>Conjunto Sala de Jantar Mesa Tampo de Vidro 6 Cadeiras Rustic/Sintético Preto Isla Madesa</v>
          </cell>
          <cell r="E3759" t="str">
            <v>ISLA</v>
          </cell>
          <cell r="F3759" t="str">
            <v>SALA DE JANTAR</v>
          </cell>
          <cell r="G3759" t="str">
            <v>4290X</v>
          </cell>
          <cell r="H3759">
            <v>1119.99</v>
          </cell>
          <cell r="I3759">
            <v>1019.99</v>
          </cell>
          <cell r="J3759">
            <v>740.48059999999998</v>
          </cell>
          <cell r="K3759">
            <v>0</v>
          </cell>
          <cell r="L3759">
            <v>740.48059999999998</v>
          </cell>
          <cell r="M3759">
            <v>0</v>
          </cell>
          <cell r="N3759">
            <v>1019.99</v>
          </cell>
          <cell r="O3759" t="str">
            <v/>
          </cell>
          <cell r="P3759">
            <v>0</v>
          </cell>
          <cell r="Q3759">
            <v>0.37747025377842403</v>
          </cell>
          <cell r="R3759">
            <v>0.37747025377842403</v>
          </cell>
          <cell r="S3759" t="e">
            <v>#VALUE!</v>
          </cell>
          <cell r="T3759" t="e">
            <v>#VALUE!</v>
          </cell>
        </row>
        <row r="3760">
          <cell r="A3760" t="str">
            <v>GRTE33000609</v>
          </cell>
          <cell r="B3760" t="str">
            <v>MKP000631005951</v>
          </cell>
          <cell r="C3760" t="str">
            <v/>
          </cell>
          <cell r="D3760" t="str">
            <v>Armário de Cozinha Completa 330cm Branco Stella Madesa 06</v>
          </cell>
          <cell r="E3760" t="str">
            <v>STELLA</v>
          </cell>
          <cell r="F3760" t="str">
            <v>COZINHA</v>
          </cell>
          <cell r="G3760" t="str">
            <v/>
          </cell>
          <cell r="H3760">
            <v>2399.9899999999998</v>
          </cell>
          <cell r="I3760">
            <v>2299.9899999999998</v>
          </cell>
          <cell r="J3760">
            <v>1946.7727</v>
          </cell>
          <cell r="K3760">
            <v>0</v>
          </cell>
          <cell r="L3760">
            <v>1946.7727</v>
          </cell>
          <cell r="M3760">
            <v>0</v>
          </cell>
          <cell r="N3760">
            <v>2299.9899999999998</v>
          </cell>
          <cell r="O3760" t="str">
            <v/>
          </cell>
          <cell r="P3760">
            <v>0</v>
          </cell>
          <cell r="Q3760">
            <v>0.18143736040679001</v>
          </cell>
          <cell r="R3760">
            <v>0.18143736040679001</v>
          </cell>
          <cell r="S3760" t="e">
            <v>#VALUE!</v>
          </cell>
          <cell r="T3760" t="e">
            <v>#VALUE!</v>
          </cell>
        </row>
        <row r="3761">
          <cell r="A3761" t="str">
            <v>GRGL2700119B</v>
          </cell>
          <cell r="B3761" t="str">
            <v>MKP000631004611</v>
          </cell>
          <cell r="C3761" t="str">
            <v/>
          </cell>
          <cell r="D3761" t="str">
            <v>Armário de Cozinha Completa 270cm Branco Rustic Glamy Madesa 11</v>
          </cell>
          <cell r="E3761" t="str">
            <v>GLAMY</v>
          </cell>
          <cell r="F3761" t="str">
            <v>COZINHA</v>
          </cell>
          <cell r="G3761" t="str">
            <v/>
          </cell>
          <cell r="H3761">
            <v>1799.99</v>
          </cell>
          <cell r="I3761">
            <v>1699.99</v>
          </cell>
          <cell r="J3761">
            <v>1419.5397</v>
          </cell>
          <cell r="K3761">
            <v>0</v>
          </cell>
          <cell r="L3761">
            <v>1419.5397</v>
          </cell>
          <cell r="M3761">
            <v>0</v>
          </cell>
          <cell r="N3761">
            <v>1699.99</v>
          </cell>
          <cell r="O3761" t="str">
            <v/>
          </cell>
          <cell r="P3761">
            <v>0</v>
          </cell>
          <cell r="Q3761">
            <v>0.197564252694025</v>
          </cell>
          <cell r="R3761">
            <v>0.197564252694025</v>
          </cell>
          <cell r="S3761" t="e">
            <v>#VALUE!</v>
          </cell>
          <cell r="T3761" t="e">
            <v>#VALUE!</v>
          </cell>
        </row>
        <row r="3762">
          <cell r="A3762" t="str">
            <v>GRGL220002D9</v>
          </cell>
          <cell r="B3762" t="str">
            <v>MKP000631001405</v>
          </cell>
          <cell r="C3762" t="str">
            <v/>
          </cell>
          <cell r="D3762" t="str">
            <v>Armário de Cozinha Completa 220cm Rustic/Rustic/Branco Parma Madesa 02</v>
          </cell>
          <cell r="E3762" t="str">
            <v>PARMA/GLAMY</v>
          </cell>
          <cell r="F3762" t="str">
            <v>COZINHA</v>
          </cell>
          <cell r="G3762" t="str">
            <v/>
          </cell>
          <cell r="H3762">
            <v>1969.99</v>
          </cell>
          <cell r="I3762">
            <v>1869.99</v>
          </cell>
          <cell r="J3762">
            <v>1558.7654</v>
          </cell>
          <cell r="K3762">
            <v>0</v>
          </cell>
          <cell r="L3762">
            <v>1558.7654</v>
          </cell>
          <cell r="M3762">
            <v>0</v>
          </cell>
          <cell r="N3762">
            <v>1869.99</v>
          </cell>
          <cell r="O3762" t="str">
            <v/>
          </cell>
          <cell r="P3762">
            <v>0</v>
          </cell>
          <cell r="Q3762">
            <v>0.199660962451438</v>
          </cell>
          <cell r="R3762">
            <v>0.199660962451438</v>
          </cell>
          <cell r="S3762" t="e">
            <v>#VALUE!</v>
          </cell>
          <cell r="T3762" t="e">
            <v>#VALUE!</v>
          </cell>
        </row>
        <row r="3763">
          <cell r="A3763" t="str">
            <v>GRGL220002C1</v>
          </cell>
          <cell r="B3763" t="str">
            <v>MKP000631001406</v>
          </cell>
          <cell r="C3763" t="str">
            <v/>
          </cell>
          <cell r="D3763" t="str">
            <v>Armário de Cozinha Completa 220cm Rustic/Preto/Rustic Parma Madesa 02</v>
          </cell>
          <cell r="E3763" t="str">
            <v>PARMA/GLAMY</v>
          </cell>
          <cell r="F3763" t="str">
            <v>COZINHA</v>
          </cell>
          <cell r="G3763" t="str">
            <v/>
          </cell>
          <cell r="H3763">
            <v>1969.99</v>
          </cell>
          <cell r="I3763">
            <v>1869.99</v>
          </cell>
          <cell r="J3763">
            <v>1558.7654</v>
          </cell>
          <cell r="K3763">
            <v>0</v>
          </cell>
          <cell r="L3763">
            <v>1558.7654</v>
          </cell>
          <cell r="M3763">
            <v>0</v>
          </cell>
          <cell r="N3763">
            <v>1869.99</v>
          </cell>
          <cell r="O3763" t="str">
            <v/>
          </cell>
          <cell r="P3763">
            <v>0</v>
          </cell>
          <cell r="Q3763">
            <v>0.199660962451438</v>
          </cell>
          <cell r="R3763">
            <v>0.199660962451438</v>
          </cell>
          <cell r="S3763" t="e">
            <v>#VALUE!</v>
          </cell>
          <cell r="T3763" t="e">
            <v>#VALUE!</v>
          </cell>
        </row>
        <row r="3764">
          <cell r="A3764" t="str">
            <v>GRGL290004D7</v>
          </cell>
          <cell r="B3764" t="str">
            <v>MKP000631001167</v>
          </cell>
          <cell r="C3764" t="str">
            <v/>
          </cell>
          <cell r="D3764" t="str">
            <v>Armário de Cozinha Completa 290cm Branco/Preto/Rustic Safira Madesa 04</v>
          </cell>
          <cell r="E3764" t="str">
            <v>SAFIRA/GLAMY</v>
          </cell>
          <cell r="F3764" t="str">
            <v>COZINHA</v>
          </cell>
          <cell r="G3764" t="str">
            <v/>
          </cell>
          <cell r="H3764">
            <v>2199.9899999999998</v>
          </cell>
          <cell r="I3764">
            <v>2099.9899999999998</v>
          </cell>
          <cell r="J3764">
            <v>1743.5204000000001</v>
          </cell>
          <cell r="K3764">
            <v>0</v>
          </cell>
          <cell r="L3764">
            <v>1743.5204000000001</v>
          </cell>
          <cell r="M3764">
            <v>0</v>
          </cell>
          <cell r="N3764">
            <v>2099.9899999999998</v>
          </cell>
          <cell r="O3764" t="str">
            <v/>
          </cell>
          <cell r="P3764">
            <v>0</v>
          </cell>
          <cell r="Q3764">
            <v>0.20445393125311301</v>
          </cell>
          <cell r="R3764">
            <v>0.20445393125311301</v>
          </cell>
          <cell r="S3764" t="e">
            <v>#VALUE!</v>
          </cell>
          <cell r="T3764" t="e">
            <v>#VALUE!</v>
          </cell>
        </row>
        <row r="3765">
          <cell r="A3765" t="str">
            <v>GRGL1800076E</v>
          </cell>
          <cell r="B3765" t="str">
            <v>MKP000631004237</v>
          </cell>
          <cell r="C3765" t="str">
            <v/>
          </cell>
          <cell r="D3765" t="str">
            <v>Armário de Cozinha Compacta 180cm Rustic Branco Glamy Madesa 07</v>
          </cell>
          <cell r="E3765" t="str">
            <v>GLAMY</v>
          </cell>
          <cell r="F3765" t="str">
            <v>COZINHA</v>
          </cell>
          <cell r="G3765" t="str">
            <v/>
          </cell>
          <cell r="H3765">
            <v>1679.99</v>
          </cell>
          <cell r="I3765">
            <v>1579.99</v>
          </cell>
          <cell r="J3765">
            <v>1307.6839</v>
          </cell>
          <cell r="K3765">
            <v>0</v>
          </cell>
          <cell r="L3765">
            <v>1307.6839</v>
          </cell>
          <cell r="M3765">
            <v>0</v>
          </cell>
          <cell r="N3765">
            <v>1579.99</v>
          </cell>
          <cell r="O3765" t="str">
            <v/>
          </cell>
          <cell r="P3765">
            <v>0</v>
          </cell>
          <cell r="Q3765">
            <v>0.208235415301817</v>
          </cell>
          <cell r="R3765">
            <v>0.208235415301817</v>
          </cell>
          <cell r="S3765" t="e">
            <v>#VALUE!</v>
          </cell>
          <cell r="T3765" t="e">
            <v>#VALUE!</v>
          </cell>
        </row>
        <row r="3766">
          <cell r="A3766" t="str">
            <v>GRGL2700137K</v>
          </cell>
          <cell r="B3766" t="str">
            <v>MKP000631004209</v>
          </cell>
          <cell r="C3766" t="str">
            <v/>
          </cell>
          <cell r="D3766" t="str">
            <v>Armário de Cozinha Completa 270cm Rustic/Preto Glamy Madesa 13</v>
          </cell>
          <cell r="E3766" t="str">
            <v>GLAMY</v>
          </cell>
          <cell r="F3766" t="str">
            <v>COZINHA</v>
          </cell>
          <cell r="G3766" t="str">
            <v/>
          </cell>
          <cell r="H3766">
            <v>2299.9899999999998</v>
          </cell>
          <cell r="I3766">
            <v>2199.9899999999998</v>
          </cell>
          <cell r="J3766">
            <v>1819.4498000000001</v>
          </cell>
          <cell r="K3766">
            <v>0</v>
          </cell>
          <cell r="L3766">
            <v>1819.4498000000001</v>
          </cell>
          <cell r="M3766">
            <v>0</v>
          </cell>
          <cell r="N3766">
            <v>2199.9899999999998</v>
          </cell>
          <cell r="O3766" t="str">
            <v/>
          </cell>
          <cell r="P3766">
            <v>0</v>
          </cell>
          <cell r="Q3766">
            <v>0.20915125000975501</v>
          </cell>
          <cell r="R3766">
            <v>0.20915125000975501</v>
          </cell>
          <cell r="S3766" t="e">
            <v>#VALUE!</v>
          </cell>
          <cell r="T3766" t="e">
            <v>#VALUE!</v>
          </cell>
        </row>
        <row r="3767">
          <cell r="A3767" t="str">
            <v>GRAG3300016E</v>
          </cell>
          <cell r="B3767" t="str">
            <v>MKP000631004458</v>
          </cell>
          <cell r="C3767" t="str">
            <v/>
          </cell>
          <cell r="D3767" t="str">
            <v>Armário de Cozinha Completa 330cm Rustic Branco Agata Madesa 01</v>
          </cell>
          <cell r="E3767" t="str">
            <v>ÁGATA</v>
          </cell>
          <cell r="F3767" t="str">
            <v>COZINHA</v>
          </cell>
          <cell r="G3767" t="str">
            <v/>
          </cell>
          <cell r="H3767">
            <v>2499.9899999999998</v>
          </cell>
          <cell r="I3767">
            <v>2299.9899999999998</v>
          </cell>
          <cell r="J3767">
            <v>1902.4641999999999</v>
          </cell>
          <cell r="K3767">
            <v>0</v>
          </cell>
          <cell r="L3767">
            <v>1902.4641999999999</v>
          </cell>
          <cell r="M3767">
            <v>0</v>
          </cell>
          <cell r="N3767">
            <v>2299.9899999999998</v>
          </cell>
          <cell r="O3767" t="str">
            <v/>
          </cell>
          <cell r="P3767">
            <v>0</v>
          </cell>
          <cell r="Q3767">
            <v>0.208953104084691</v>
          </cell>
          <cell r="R3767">
            <v>0.208953104084691</v>
          </cell>
          <cell r="S3767" t="e">
            <v>#VALUE!</v>
          </cell>
          <cell r="T3767" t="e">
            <v>#VALUE!</v>
          </cell>
        </row>
        <row r="3768">
          <cell r="A3768" t="str">
            <v>GREM2930077K</v>
          </cell>
          <cell r="B3768" t="str">
            <v>MKP000631005511</v>
          </cell>
          <cell r="C3768" t="str">
            <v/>
          </cell>
          <cell r="D3768" t="str">
            <v>Armário de Cozinha Completa 293cm com Pia Rustic/Preto Emilly Madesa 07</v>
          </cell>
          <cell r="E3768" t="str">
            <v>EMILLY</v>
          </cell>
          <cell r="F3768" t="str">
            <v>COZINHA</v>
          </cell>
          <cell r="G3768" t="str">
            <v/>
          </cell>
          <cell r="H3768">
            <v>1999.99</v>
          </cell>
          <cell r="I3768">
            <v>1899.99</v>
          </cell>
          <cell r="J3768">
            <v>1528.0273999999999</v>
          </cell>
          <cell r="K3768">
            <v>0</v>
          </cell>
          <cell r="L3768">
            <v>1528.0273999999999</v>
          </cell>
          <cell r="M3768">
            <v>0</v>
          </cell>
          <cell r="N3768">
            <v>1899.99</v>
          </cell>
          <cell r="O3768" t="str">
            <v/>
          </cell>
          <cell r="P3768">
            <v>0</v>
          </cell>
          <cell r="Q3768">
            <v>0.24342665583091</v>
          </cell>
          <cell r="R3768">
            <v>0.24342665583091</v>
          </cell>
          <cell r="S3768" t="e">
            <v>#VALUE!</v>
          </cell>
          <cell r="T3768" t="e">
            <v>#VALUE!</v>
          </cell>
        </row>
        <row r="3769">
          <cell r="A3769" t="str">
            <v>GRGL20000873</v>
          </cell>
          <cell r="B3769" t="str">
            <v>MKP000631005216</v>
          </cell>
          <cell r="C3769" t="str">
            <v/>
          </cell>
          <cell r="D3769" t="str">
            <v>Armário de Cozinha Compacta 200cm Branco/Preto Glamy Madesa 08</v>
          </cell>
          <cell r="E3769" t="str">
            <v>GLAMY</v>
          </cell>
          <cell r="F3769" t="str">
            <v>COZINHA</v>
          </cell>
          <cell r="G3769" t="str">
            <v/>
          </cell>
          <cell r="H3769">
            <v>1249.99</v>
          </cell>
          <cell r="I3769">
            <v>1249.99</v>
          </cell>
          <cell r="J3769">
            <v>1024.3166000000001</v>
          </cell>
          <cell r="K3769">
            <v>0</v>
          </cell>
          <cell r="L3769">
            <v>1024.3166000000001</v>
          </cell>
          <cell r="M3769">
            <v>0</v>
          </cell>
          <cell r="N3769">
            <v>1249.99</v>
          </cell>
          <cell r="O3769" t="str">
            <v/>
          </cell>
          <cell r="P3769">
            <v>0</v>
          </cell>
          <cell r="Q3769">
            <v>0.220316062436165</v>
          </cell>
          <cell r="R3769">
            <v>0.220316062436165</v>
          </cell>
          <cell r="S3769" t="e">
            <v>#VALUE!</v>
          </cell>
          <cell r="T3769" t="e">
            <v>#VALUE!</v>
          </cell>
        </row>
        <row r="3770">
          <cell r="A3770" t="str">
            <v>GRGL2000089B</v>
          </cell>
          <cell r="B3770" t="str">
            <v>MKP000631005217</v>
          </cell>
          <cell r="C3770" t="str">
            <v/>
          </cell>
          <cell r="D3770" t="str">
            <v>Armário de Cozinha Compacta 200cm Branco/Rustic Glamy Madesa 08</v>
          </cell>
          <cell r="E3770" t="str">
            <v>GLAMY</v>
          </cell>
          <cell r="F3770" t="str">
            <v>COZINHA</v>
          </cell>
          <cell r="G3770" t="str">
            <v/>
          </cell>
          <cell r="H3770">
            <v>1249.99</v>
          </cell>
          <cell r="I3770">
            <v>1249.99</v>
          </cell>
          <cell r="J3770">
            <v>1024.3166000000001</v>
          </cell>
          <cell r="K3770">
            <v>0</v>
          </cell>
          <cell r="L3770">
            <v>1024.3166000000001</v>
          </cell>
          <cell r="M3770">
            <v>0</v>
          </cell>
          <cell r="N3770">
            <v>1249.99</v>
          </cell>
          <cell r="O3770" t="str">
            <v/>
          </cell>
          <cell r="P3770">
            <v>0</v>
          </cell>
          <cell r="Q3770">
            <v>0.220316062436165</v>
          </cell>
          <cell r="R3770">
            <v>0.220316062436165</v>
          </cell>
          <cell r="S3770" t="e">
            <v>#VALUE!</v>
          </cell>
          <cell r="T3770" t="e">
            <v>#VALUE!</v>
          </cell>
        </row>
        <row r="3771">
          <cell r="A3771" t="str">
            <v>GRGL2000085Z</v>
          </cell>
          <cell r="B3771" t="str">
            <v>MKP000631005213</v>
          </cell>
          <cell r="C3771" t="str">
            <v/>
          </cell>
          <cell r="D3771" t="str">
            <v>Armário de Cozinha Compacta 200cm Rustic Glamy Madesa 08</v>
          </cell>
          <cell r="E3771" t="str">
            <v>GLAMY</v>
          </cell>
          <cell r="F3771" t="str">
            <v>COZINHA</v>
          </cell>
          <cell r="G3771" t="str">
            <v/>
          </cell>
          <cell r="H3771">
            <v>1249.99</v>
          </cell>
          <cell r="I3771">
            <v>1249.99</v>
          </cell>
          <cell r="J3771">
            <v>1024.3166000000001</v>
          </cell>
          <cell r="K3771">
            <v>0</v>
          </cell>
          <cell r="L3771">
            <v>1024.3166000000001</v>
          </cell>
          <cell r="M3771">
            <v>0</v>
          </cell>
          <cell r="N3771">
            <v>1249.99</v>
          </cell>
          <cell r="O3771" t="str">
            <v/>
          </cell>
          <cell r="P3771">
            <v>0</v>
          </cell>
          <cell r="Q3771">
            <v>0.220316062436165</v>
          </cell>
          <cell r="R3771">
            <v>0.220316062436165</v>
          </cell>
          <cell r="S3771" t="e">
            <v>#VALUE!</v>
          </cell>
          <cell r="T3771" t="e">
            <v>#VALUE!</v>
          </cell>
        </row>
        <row r="3772">
          <cell r="A3772" t="str">
            <v>GCGL4190016E</v>
          </cell>
          <cell r="B3772" t="str">
            <v>MKP000631004384</v>
          </cell>
          <cell r="C3772" t="str">
            <v/>
          </cell>
          <cell r="D3772" t="str">
            <v>Armário de Cozinha Completa de Canto 419cm Rustic/Branco Glamy Madesa 01</v>
          </cell>
          <cell r="E3772" t="str">
            <v>GLAMY</v>
          </cell>
          <cell r="F3772" t="str">
            <v>COZINHA</v>
          </cell>
          <cell r="G3772" t="str">
            <v/>
          </cell>
          <cell r="H3772">
            <v>3299.99</v>
          </cell>
          <cell r="I3772">
            <v>3199.99</v>
          </cell>
          <cell r="J3772">
            <v>2615.1934000000001</v>
          </cell>
          <cell r="K3772">
            <v>0</v>
          </cell>
          <cell r="L3772">
            <v>2615.1934000000001</v>
          </cell>
          <cell r="M3772">
            <v>0</v>
          </cell>
          <cell r="N3772">
            <v>3199.99</v>
          </cell>
          <cell r="O3772" t="str">
            <v/>
          </cell>
          <cell r="P3772">
            <v>0</v>
          </cell>
          <cell r="Q3772">
            <v>0.223615048890839</v>
          </cell>
          <cell r="R3772">
            <v>0.223615048890839</v>
          </cell>
          <cell r="S3772" t="e">
            <v>#VALUE!</v>
          </cell>
          <cell r="T3772" t="e">
            <v>#VALUE!</v>
          </cell>
        </row>
        <row r="3773">
          <cell r="A3773" t="str">
            <v>GRGL200007A7</v>
          </cell>
          <cell r="B3773" t="str">
            <v>MKP000631005632</v>
          </cell>
          <cell r="C3773" t="str">
            <v/>
          </cell>
          <cell r="D3773" t="str">
            <v>Armário de Cozinha Compacta 200cm Rustic/Branco/Crema Glamy Madesa 07</v>
          </cell>
          <cell r="E3773" t="str">
            <v>GLAMY</v>
          </cell>
          <cell r="F3773" t="str">
            <v>COZINHA</v>
          </cell>
          <cell r="G3773" t="str">
            <v/>
          </cell>
          <cell r="H3773">
            <v>1699.99</v>
          </cell>
          <cell r="I3773">
            <v>1599.99</v>
          </cell>
          <cell r="J3773">
            <v>1301.5036</v>
          </cell>
          <cell r="K3773">
            <v>0</v>
          </cell>
          <cell r="L3773">
            <v>1301.5036</v>
          </cell>
          <cell r="M3773">
            <v>0</v>
          </cell>
          <cell r="N3773">
            <v>1599.99</v>
          </cell>
          <cell r="O3773" t="str">
            <v/>
          </cell>
          <cell r="P3773">
            <v>0</v>
          </cell>
          <cell r="Q3773">
            <v>0.22933966529174399</v>
          </cell>
          <cell r="R3773">
            <v>0.22933966529174399</v>
          </cell>
          <cell r="S3773" t="e">
            <v>#VALUE!</v>
          </cell>
          <cell r="T3773" t="e">
            <v>#VALUE!</v>
          </cell>
        </row>
        <row r="3774">
          <cell r="A3774" t="str">
            <v>GRGL2400106E</v>
          </cell>
          <cell r="B3774" t="str">
            <v>MKP000631005202</v>
          </cell>
          <cell r="C3774" t="str">
            <v/>
          </cell>
          <cell r="D3774" t="str">
            <v>Armário de Cozinha Completa 240cm Rustic/Branco Glamy Madesa 10</v>
          </cell>
          <cell r="E3774" t="str">
            <v>GLAMY</v>
          </cell>
          <cell r="F3774" t="str">
            <v>COZINHA</v>
          </cell>
          <cell r="G3774" t="str">
            <v/>
          </cell>
          <cell r="H3774">
            <v>1669.99</v>
          </cell>
          <cell r="I3774">
            <v>1569.99</v>
          </cell>
          <cell r="J3774">
            <v>1274.6895999999999</v>
          </cell>
          <cell r="K3774">
            <v>0</v>
          </cell>
          <cell r="L3774">
            <v>1274.6895999999999</v>
          </cell>
          <cell r="M3774">
            <v>0</v>
          </cell>
          <cell r="N3774">
            <v>1569.99</v>
          </cell>
          <cell r="O3774" t="str">
            <v/>
          </cell>
          <cell r="P3774">
            <v>0</v>
          </cell>
          <cell r="Q3774">
            <v>0.231664555825983</v>
          </cell>
          <cell r="R3774">
            <v>0.231664555825983</v>
          </cell>
          <cell r="S3774" t="e">
            <v>#VALUE!</v>
          </cell>
          <cell r="T3774" t="e">
            <v>#VALUE!</v>
          </cell>
        </row>
        <row r="3775">
          <cell r="A3775" t="str">
            <v>MDJA0401607KPT</v>
          </cell>
          <cell r="B3775" t="str">
            <v>MKP000631005530</v>
          </cell>
          <cell r="C3775" t="str">
            <v/>
          </cell>
          <cell r="D3775" t="str">
            <v>Conjunto Sala de Jantar Mesa Tampo de Vidro 4 Cadeiras Rustic/Preto Yara Madesa</v>
          </cell>
          <cell r="E3775" t="str">
            <v>YARA</v>
          </cell>
          <cell r="F3775" t="str">
            <v>SALA DE JANTAR</v>
          </cell>
          <cell r="G3775" t="str">
            <v>4291X</v>
          </cell>
          <cell r="H3775">
            <v>1099.99</v>
          </cell>
          <cell r="I3775">
            <v>999.99</v>
          </cell>
          <cell r="J3775">
            <v>811.36329999999998</v>
          </cell>
          <cell r="K3775">
            <v>0</v>
          </cell>
          <cell r="L3775">
            <v>811.36329999999998</v>
          </cell>
          <cell r="M3775">
            <v>0</v>
          </cell>
          <cell r="N3775">
            <v>999.99</v>
          </cell>
          <cell r="O3775" t="str">
            <v/>
          </cell>
          <cell r="P3775">
            <v>0</v>
          </cell>
          <cell r="Q3775">
            <v>0.23248118321348801</v>
          </cell>
          <cell r="R3775">
            <v>0.23248118321348801</v>
          </cell>
          <cell r="S3775" t="e">
            <v>#VALUE!</v>
          </cell>
          <cell r="T3775" t="e">
            <v>#VALUE!</v>
          </cell>
        </row>
        <row r="3776">
          <cell r="A3776" t="str">
            <v>GRGL1600079B</v>
          </cell>
          <cell r="B3776" t="str">
            <v>MKP000631005235</v>
          </cell>
          <cell r="C3776" t="str">
            <v/>
          </cell>
          <cell r="D3776" t="str">
            <v>Armário de Cozinha Compacta 160cm Branco/Rustic Glamy Madesa 07</v>
          </cell>
          <cell r="E3776" t="str">
            <v>GLAMY</v>
          </cell>
          <cell r="F3776" t="str">
            <v>COZINHA</v>
          </cell>
          <cell r="G3776" t="str">
            <v/>
          </cell>
          <cell r="H3776">
            <v>1249.99</v>
          </cell>
          <cell r="I3776">
            <v>1249.99</v>
          </cell>
          <cell r="J3776">
            <v>1009.3291</v>
          </cell>
          <cell r="K3776">
            <v>0</v>
          </cell>
          <cell r="L3776">
            <v>1009.3291</v>
          </cell>
          <cell r="M3776">
            <v>0</v>
          </cell>
          <cell r="N3776">
            <v>1249.99</v>
          </cell>
          <cell r="O3776" t="str">
            <v/>
          </cell>
          <cell r="P3776">
            <v>0</v>
          </cell>
          <cell r="Q3776">
            <v>0.238436502028922</v>
          </cell>
          <cell r="R3776">
            <v>0.238436502028922</v>
          </cell>
          <cell r="S3776" t="e">
            <v>#VALUE!</v>
          </cell>
          <cell r="T3776" t="e">
            <v>#VALUE!</v>
          </cell>
        </row>
        <row r="3777">
          <cell r="A3777" t="str">
            <v>GRGL1600075Z</v>
          </cell>
          <cell r="B3777" t="str">
            <v>MKP000631005233</v>
          </cell>
          <cell r="C3777" t="str">
            <v/>
          </cell>
          <cell r="D3777" t="str">
            <v>Armário de Cozinha Compacta 160cm Rustic Glamy Madesa 07</v>
          </cell>
          <cell r="E3777" t="str">
            <v>GLAMY</v>
          </cell>
          <cell r="F3777" t="str">
            <v>COZINHA</v>
          </cell>
          <cell r="G3777" t="str">
            <v/>
          </cell>
          <cell r="H3777">
            <v>1349.99</v>
          </cell>
          <cell r="I3777">
            <v>1249.99</v>
          </cell>
          <cell r="J3777">
            <v>1009.3291</v>
          </cell>
          <cell r="K3777">
            <v>0</v>
          </cell>
          <cell r="L3777">
            <v>1009.3291</v>
          </cell>
          <cell r="M3777">
            <v>0</v>
          </cell>
          <cell r="N3777">
            <v>1249.99</v>
          </cell>
          <cell r="O3777" t="str">
            <v/>
          </cell>
          <cell r="P3777">
            <v>0</v>
          </cell>
          <cell r="Q3777">
            <v>0.238436502028922</v>
          </cell>
          <cell r="R3777">
            <v>0.238436502028922</v>
          </cell>
          <cell r="S3777" t="e">
            <v>#VALUE!</v>
          </cell>
          <cell r="T3777" t="e">
            <v>#VALUE!</v>
          </cell>
        </row>
        <row r="3778">
          <cell r="A3778" t="str">
            <v>GRTE2700069B</v>
          </cell>
          <cell r="B3778" t="str">
            <v>MKP000631005484</v>
          </cell>
          <cell r="C3778" t="str">
            <v/>
          </cell>
          <cell r="D3778" t="str">
            <v>Armário de Cozinha Completa 270cm Branco/Rustic Stella Madesa 06</v>
          </cell>
          <cell r="E3778" t="str">
            <v>STELLA</v>
          </cell>
          <cell r="F3778" t="str">
            <v>COZINHA</v>
          </cell>
          <cell r="G3778" t="str">
            <v/>
          </cell>
          <cell r="H3778">
            <v>1869.99</v>
          </cell>
          <cell r="I3778">
            <v>1869.99</v>
          </cell>
          <cell r="J3778">
            <v>1510.0315000000001</v>
          </cell>
          <cell r="K3778">
            <v>0</v>
          </cell>
          <cell r="L3778">
            <v>1510.0315000000001</v>
          </cell>
          <cell r="M3778">
            <v>0</v>
          </cell>
          <cell r="N3778">
            <v>1869.99</v>
          </cell>
          <cell r="O3778" t="str">
            <v/>
          </cell>
          <cell r="P3778">
            <v>0</v>
          </cell>
          <cell r="Q3778">
            <v>0.23837813979377301</v>
          </cell>
          <cell r="R3778">
            <v>0.23837813979377301</v>
          </cell>
          <cell r="S3778" t="e">
            <v>#VALUE!</v>
          </cell>
          <cell r="T3778" t="e">
            <v>#VALUE!</v>
          </cell>
        </row>
        <row r="3779">
          <cell r="A3779" t="str">
            <v>GRAG27000409</v>
          </cell>
          <cell r="B3779" t="str">
            <v>MKP000631004556</v>
          </cell>
          <cell r="C3779" t="str">
            <v/>
          </cell>
          <cell r="D3779" t="str">
            <v>Armário de Cozinha Completa 270cm Branco Agata Madesa 04</v>
          </cell>
          <cell r="E3779" t="str">
            <v>ÁGATA</v>
          </cell>
          <cell r="F3779" t="str">
            <v>COZINHA</v>
          </cell>
          <cell r="G3779" t="str">
            <v/>
          </cell>
          <cell r="H3779">
            <v>1799.99</v>
          </cell>
          <cell r="I3779">
            <v>1699.99</v>
          </cell>
          <cell r="J3779">
            <v>1370.0536999999999</v>
          </cell>
          <cell r="K3779">
            <v>0</v>
          </cell>
          <cell r="L3779">
            <v>1370.0536999999999</v>
          </cell>
          <cell r="M3779">
            <v>0</v>
          </cell>
          <cell r="N3779">
            <v>1699.99</v>
          </cell>
          <cell r="O3779" t="str">
            <v/>
          </cell>
          <cell r="P3779">
            <v>0</v>
          </cell>
          <cell r="Q3779">
            <v>0.24081997661843499</v>
          </cell>
          <cell r="R3779">
            <v>0.24081997661843499</v>
          </cell>
          <cell r="S3779" t="e">
            <v>#VALUE!</v>
          </cell>
          <cell r="T3779" t="e">
            <v>#VALUE!</v>
          </cell>
        </row>
        <row r="3780">
          <cell r="A3780" t="str">
            <v>MDJA0401165ZOXF</v>
          </cell>
          <cell r="B3780" t="str">
            <v>MKP000631006080</v>
          </cell>
          <cell r="C3780" t="str">
            <v/>
          </cell>
          <cell r="D3780" t="str">
            <v>Conjunto Sala de Jantar Mesa Tampo de Vidro Redondo 4 Cadeiras Rustic/Oxford Mile Madesa</v>
          </cell>
          <cell r="E3780" t="str">
            <v>MILE</v>
          </cell>
          <cell r="F3780" t="str">
            <v>SALA DE JANTAR</v>
          </cell>
          <cell r="G3780">
            <v>4255</v>
          </cell>
          <cell r="H3780">
            <v>1239.99</v>
          </cell>
          <cell r="I3780">
            <v>1139.99</v>
          </cell>
          <cell r="J3780">
            <v>908.46050000000002</v>
          </cell>
          <cell r="K3780">
            <v>0</v>
          </cell>
          <cell r="L3780">
            <v>908.46050000000002</v>
          </cell>
          <cell r="M3780">
            <v>0</v>
          </cell>
          <cell r="N3780">
            <v>1139.99</v>
          </cell>
          <cell r="O3780" t="str">
            <v/>
          </cell>
          <cell r="P3780">
            <v>0</v>
          </cell>
          <cell r="Q3780">
            <v>0.254859182099827</v>
          </cell>
          <cell r="R3780">
            <v>0.254859182099827</v>
          </cell>
          <cell r="S3780" t="e">
            <v>#VALUE!</v>
          </cell>
          <cell r="T3780" t="e">
            <v>#VALUE!</v>
          </cell>
        </row>
        <row r="3781">
          <cell r="A3781" t="str">
            <v>MDES020020095Z</v>
          </cell>
          <cell r="B3781" t="str">
            <v>MKP000631002784</v>
          </cell>
          <cell r="C3781" t="str">
            <v/>
          </cell>
          <cell r="D3781" t="str">
            <v>Rack Madesa Cancun com Pés e Painel para TV até 65 Polegadas Branco/Rustic 095Z</v>
          </cell>
          <cell r="E3781" t="str">
            <v>CANCUN</v>
          </cell>
          <cell r="F3781" t="str">
            <v>SALA DE ESTAR</v>
          </cell>
          <cell r="G3781" t="str">
            <v/>
          </cell>
          <cell r="H3781">
            <v>699.99</v>
          </cell>
          <cell r="I3781">
            <v>599.99</v>
          </cell>
          <cell r="J3781">
            <v>470.45490000000001</v>
          </cell>
          <cell r="K3781">
            <v>0</v>
          </cell>
          <cell r="L3781">
            <v>470.45490000000001</v>
          </cell>
          <cell r="M3781">
            <v>0</v>
          </cell>
          <cell r="N3781">
            <v>599.99</v>
          </cell>
          <cell r="O3781" t="str">
            <v/>
          </cell>
          <cell r="P3781">
            <v>0</v>
          </cell>
          <cell r="Q3781">
            <v>0.27534010167605799</v>
          </cell>
          <cell r="R3781">
            <v>0.27534010167605799</v>
          </cell>
          <cell r="S3781" t="e">
            <v>#VALUE!</v>
          </cell>
          <cell r="T3781" t="e">
            <v>#VALUE!</v>
          </cell>
        </row>
        <row r="3782">
          <cell r="A3782" t="str">
            <v>GRAG35000109</v>
          </cell>
          <cell r="B3782" t="str">
            <v>MKP000631004547</v>
          </cell>
          <cell r="C3782" t="str">
            <v/>
          </cell>
          <cell r="D3782" t="str">
            <v>Armário de Cozinha Completa 350cm Branco Agata Madesa 01</v>
          </cell>
          <cell r="E3782" t="str">
            <v>ÁGATA</v>
          </cell>
          <cell r="F3782" t="str">
            <v>COZINHA</v>
          </cell>
          <cell r="G3782" t="str">
            <v/>
          </cell>
          <cell r="H3782">
            <v>2029.99</v>
          </cell>
          <cell r="I3782">
            <v>1999.99</v>
          </cell>
          <cell r="J3782">
            <v>1577.7422999999999</v>
          </cell>
          <cell r="K3782">
            <v>0</v>
          </cell>
          <cell r="L3782">
            <v>1577.7422999999999</v>
          </cell>
          <cell r="M3782">
            <v>0</v>
          </cell>
          <cell r="N3782">
            <v>1999.99</v>
          </cell>
          <cell r="O3782" t="str">
            <v/>
          </cell>
          <cell r="P3782">
            <v>0</v>
          </cell>
          <cell r="Q3782">
            <v>0.26762779954622501</v>
          </cell>
          <cell r="R3782">
            <v>0.26762779954622501</v>
          </cell>
          <cell r="S3782" t="e">
            <v>#VALUE!</v>
          </cell>
          <cell r="T3782" t="e">
            <v>#VALUE!</v>
          </cell>
        </row>
        <row r="3783">
          <cell r="A3783" t="str">
            <v>GRAG12000273</v>
          </cell>
          <cell r="B3783" t="str">
            <v>MKP000631004670</v>
          </cell>
          <cell r="C3783" t="str">
            <v/>
          </cell>
          <cell r="D3783" t="str">
            <v>Armário de Cozinha Compacta 120cm Branco/Preto Agata Madesa 02</v>
          </cell>
          <cell r="E3783" t="str">
            <v>ÁGATA</v>
          </cell>
          <cell r="F3783" t="str">
            <v>COZINHA</v>
          </cell>
          <cell r="G3783" t="str">
            <v/>
          </cell>
          <cell r="H3783">
            <v>1369.99</v>
          </cell>
          <cell r="I3783">
            <v>1059.99</v>
          </cell>
          <cell r="J3783">
            <v>834.55849999999998</v>
          </cell>
          <cell r="K3783">
            <v>0</v>
          </cell>
          <cell r="L3783">
            <v>834.55849999999998</v>
          </cell>
          <cell r="M3783">
            <v>0</v>
          </cell>
          <cell r="N3783">
            <v>1059.99</v>
          </cell>
          <cell r="O3783" t="str">
            <v/>
          </cell>
          <cell r="P3783">
            <v>0</v>
          </cell>
          <cell r="Q3783">
            <v>0.27012066859303502</v>
          </cell>
          <cell r="R3783">
            <v>0.27012066859303502</v>
          </cell>
          <cell r="S3783" t="e">
            <v>#VALUE!</v>
          </cell>
          <cell r="T3783" t="e">
            <v>#VALUE!</v>
          </cell>
        </row>
        <row r="3784">
          <cell r="A3784" t="str">
            <v>MDJA0401785ZLIB</v>
          </cell>
          <cell r="B3784" t="str">
            <v>MKP000631005886</v>
          </cell>
          <cell r="C3784" t="str">
            <v/>
          </cell>
          <cell r="D3784" t="str">
            <v>Conjunto Sala de Jantar Mesa Tampo de Madeira 4 Cadeiras Rustic/Lírio Bege Marilyn Madesa</v>
          </cell>
          <cell r="E3784" t="str">
            <v>MARILYN</v>
          </cell>
          <cell r="F3784" t="str">
            <v>SALA DE JANTAR</v>
          </cell>
          <cell r="G3784" t="str">
            <v>4290X</v>
          </cell>
          <cell r="H3784">
            <v>699.99</v>
          </cell>
          <cell r="I3784">
            <v>599.99</v>
          </cell>
          <cell r="J3784">
            <v>465.66980000000001</v>
          </cell>
          <cell r="K3784">
            <v>0</v>
          </cell>
          <cell r="L3784">
            <v>465.66980000000001</v>
          </cell>
          <cell r="M3784">
            <v>0</v>
          </cell>
          <cell r="N3784">
            <v>599.99</v>
          </cell>
          <cell r="O3784" t="str">
            <v/>
          </cell>
          <cell r="P3784">
            <v>0</v>
          </cell>
          <cell r="Q3784">
            <v>0.28844516006835702</v>
          </cell>
          <cell r="R3784">
            <v>0.28844516006835702</v>
          </cell>
          <cell r="S3784" t="e">
            <v>#VALUE!</v>
          </cell>
          <cell r="T3784" t="e">
            <v>#VALUE!</v>
          </cell>
        </row>
        <row r="3785">
          <cell r="A3785" t="str">
            <v>GIGL1200016E</v>
          </cell>
          <cell r="B3785" t="str">
            <v>MKP000631006010</v>
          </cell>
          <cell r="C3785" t="str">
            <v/>
          </cell>
          <cell r="D3785" t="str">
            <v>Ilha de Cozinha com Bancada e Balcão 120 cm Rustic/Branco Glamy Madesa</v>
          </cell>
          <cell r="E3785" t="str">
            <v>GLAMY</v>
          </cell>
          <cell r="F3785" t="str">
            <v>MODULAÇÃO</v>
          </cell>
          <cell r="G3785" t="str">
            <v/>
          </cell>
          <cell r="H3785">
            <v>979.99</v>
          </cell>
          <cell r="I3785">
            <v>979.99</v>
          </cell>
          <cell r="J3785">
            <v>757.44100000000003</v>
          </cell>
          <cell r="K3785">
            <v>0</v>
          </cell>
          <cell r="L3785">
            <v>757.44100000000003</v>
          </cell>
          <cell r="M3785">
            <v>0</v>
          </cell>
          <cell r="N3785">
            <v>979.99</v>
          </cell>
          <cell r="O3785" t="str">
            <v/>
          </cell>
          <cell r="P3785">
            <v>0</v>
          </cell>
          <cell r="Q3785">
            <v>0.293816944158027</v>
          </cell>
          <cell r="R3785">
            <v>0.293816944158027</v>
          </cell>
          <cell r="S3785" t="e">
            <v>#VALUE!</v>
          </cell>
          <cell r="T3785" t="e">
            <v>#VALUE!</v>
          </cell>
        </row>
        <row r="3786">
          <cell r="A3786" t="str">
            <v>MDJA0401577GPT</v>
          </cell>
          <cell r="B3786" t="str">
            <v>MKP000631005542</v>
          </cell>
          <cell r="C3786" t="str">
            <v/>
          </cell>
          <cell r="D3786" t="str">
            <v>Conjunto Sala de Jantar Mesa Tampo de Madeira 4 Cadeiras Rustic/Crema/Preto Samara Madesa</v>
          </cell>
          <cell r="E3786" t="str">
            <v>SAMARA</v>
          </cell>
          <cell r="F3786" t="str">
            <v>SALA DE JANTAR</v>
          </cell>
          <cell r="G3786" t="str">
            <v>4290X</v>
          </cell>
          <cell r="H3786">
            <v>619.99</v>
          </cell>
          <cell r="I3786">
            <v>519.99</v>
          </cell>
          <cell r="J3786">
            <v>400.13900000000001</v>
          </cell>
          <cell r="K3786">
            <v>0</v>
          </cell>
          <cell r="L3786">
            <v>400.13900000000001</v>
          </cell>
          <cell r="M3786">
            <v>0</v>
          </cell>
          <cell r="N3786">
            <v>519.99</v>
          </cell>
          <cell r="O3786" t="str">
            <v/>
          </cell>
          <cell r="P3786">
            <v>0</v>
          </cell>
          <cell r="Q3786">
            <v>0.299523415613074</v>
          </cell>
          <cell r="R3786">
            <v>0.299523415613074</v>
          </cell>
          <cell r="S3786" t="e">
            <v>#VALUE!</v>
          </cell>
          <cell r="T3786" t="e">
            <v>#VALUE!</v>
          </cell>
        </row>
        <row r="3787">
          <cell r="A3787" t="str">
            <v>52315ZVI</v>
          </cell>
          <cell r="B3787" t="str">
            <v>MKP000631006083</v>
          </cell>
          <cell r="C3787" t="str">
            <v/>
          </cell>
          <cell r="D3787" t="str">
            <v>Mesa de Jantar Retangular com Tampo de Vidro Rustic 5231 Madesa</v>
          </cell>
          <cell r="E3787">
            <v>5231</v>
          </cell>
          <cell r="F3787" t="str">
            <v>SALA DE JANTAR</v>
          </cell>
          <cell r="G3787" t="str">
            <v/>
          </cell>
          <cell r="H3787">
            <v>499.99</v>
          </cell>
          <cell r="I3787">
            <v>499.99</v>
          </cell>
          <cell r="J3787">
            <v>360.572</v>
          </cell>
          <cell r="K3787">
            <v>0</v>
          </cell>
          <cell r="L3787">
            <v>360.572</v>
          </cell>
          <cell r="M3787">
            <v>0</v>
          </cell>
          <cell r="N3787">
            <v>499.99</v>
          </cell>
          <cell r="O3787" t="str">
            <v/>
          </cell>
          <cell r="P3787">
            <v>0</v>
          </cell>
          <cell r="Q3787">
            <v>0.38665786583539502</v>
          </cell>
          <cell r="R3787">
            <v>0.38665786583539502</v>
          </cell>
          <cell r="S3787" t="e">
            <v>#VALUE!</v>
          </cell>
          <cell r="T3787" t="e">
            <v>#VALUE!</v>
          </cell>
        </row>
        <row r="3788">
          <cell r="A3788" t="str">
            <v>G22800F8FF</v>
          </cell>
          <cell r="B3788" t="str">
            <v>MKP000631006024</v>
          </cell>
          <cell r="C3788" t="str">
            <v/>
          </cell>
          <cell r="D3788" t="str">
            <v>Balcão para Forno de Embutir 80 x 60 cm Sem Tampo Branco/Cinza Agata Madesa</v>
          </cell>
          <cell r="E3788" t="str">
            <v>ÁGATA</v>
          </cell>
          <cell r="F3788" t="str">
            <v>MODULAÇÃO</v>
          </cell>
          <cell r="G3788" t="str">
            <v/>
          </cell>
          <cell r="H3788">
            <v>449.99</v>
          </cell>
          <cell r="I3788">
            <v>449.99</v>
          </cell>
          <cell r="J3788">
            <v>301.64659999999998</v>
          </cell>
          <cell r="K3788">
            <v>0</v>
          </cell>
          <cell r="L3788">
            <v>301.64659999999998</v>
          </cell>
          <cell r="M3788">
            <v>0</v>
          </cell>
          <cell r="N3788">
            <v>449.99</v>
          </cell>
          <cell r="O3788" t="str">
            <v/>
          </cell>
          <cell r="P3788">
            <v>0</v>
          </cell>
          <cell r="Q3788">
            <v>0.49177879014714598</v>
          </cell>
          <cell r="R3788">
            <v>0.49177879014714598</v>
          </cell>
          <cell r="S3788" t="e">
            <v>#VALUE!</v>
          </cell>
          <cell r="T3788" t="e">
            <v>#VALUE!</v>
          </cell>
        </row>
        <row r="3789">
          <cell r="A3789" t="str">
            <v>G247006E</v>
          </cell>
          <cell r="B3789" t="str">
            <v>MKP000631005745</v>
          </cell>
          <cell r="C3789" t="str">
            <v/>
          </cell>
          <cell r="D3789" t="str">
            <v>Balcão 100% MDF 70 cm 2 Portas Branco/Rustic Acordes Madesa</v>
          </cell>
          <cell r="E3789" t="str">
            <v>ACORDES</v>
          </cell>
          <cell r="F3789" t="str">
            <v>MODULAÇÃO</v>
          </cell>
          <cell r="G3789" t="str">
            <v/>
          </cell>
          <cell r="H3789">
            <v>549.99</v>
          </cell>
          <cell r="I3789">
            <v>529.99</v>
          </cell>
          <cell r="J3789">
            <v>345.67169999999999</v>
          </cell>
          <cell r="K3789">
            <v>0</v>
          </cell>
          <cell r="L3789">
            <v>345.67169999999999</v>
          </cell>
          <cell r="M3789">
            <v>0</v>
          </cell>
          <cell r="N3789">
            <v>529.99</v>
          </cell>
          <cell r="O3789" t="str">
            <v/>
          </cell>
          <cell r="P3789">
            <v>0</v>
          </cell>
          <cell r="Q3789">
            <v>0.53321779017489701</v>
          </cell>
          <cell r="R3789">
            <v>0.53321779017489701</v>
          </cell>
          <cell r="S3789" t="e">
            <v>#VALUE!</v>
          </cell>
          <cell r="T3789" t="e">
            <v>#VALUE!</v>
          </cell>
        </row>
        <row r="3790">
          <cell r="A3790" t="str">
            <v>G2470073AG</v>
          </cell>
          <cell r="B3790" t="str">
            <v>MKP000631003444</v>
          </cell>
          <cell r="C3790" t="str">
            <v/>
          </cell>
          <cell r="D3790" t="str">
            <v>Balcão de Cozinha Madesa Agata 70 cm 2 Portas Branco/Preto</v>
          </cell>
          <cell r="E3790" t="str">
            <v>ÁGATA</v>
          </cell>
          <cell r="F3790" t="str">
            <v>MODULAÇÃO</v>
          </cell>
          <cell r="G3790" t="str">
            <v/>
          </cell>
          <cell r="H3790">
            <v>869.99</v>
          </cell>
          <cell r="I3790">
            <v>519.99</v>
          </cell>
          <cell r="J3790">
            <v>316.08909999999997</v>
          </cell>
          <cell r="K3790">
            <v>0</v>
          </cell>
          <cell r="L3790">
            <v>316.08909999999997</v>
          </cell>
          <cell r="M3790">
            <v>0</v>
          </cell>
          <cell r="N3790">
            <v>519.99</v>
          </cell>
          <cell r="O3790" t="str">
            <v/>
          </cell>
          <cell r="P3790">
            <v>0</v>
          </cell>
          <cell r="Q3790">
            <v>0.64507412625111105</v>
          </cell>
          <cell r="R3790">
            <v>0.64507412625111105</v>
          </cell>
          <cell r="S3790" t="e">
            <v>#VALUE!</v>
          </cell>
          <cell r="T3790" t="e">
            <v>#VALUE!</v>
          </cell>
        </row>
        <row r="3791">
          <cell r="A3791" t="str">
            <v>G2475073GL</v>
          </cell>
          <cell r="B3791" t="str">
            <v>MKP000631001293</v>
          </cell>
          <cell r="C3791" t="str">
            <v/>
          </cell>
          <cell r="D3791" t="str">
            <v>Balcão de Canto Madesa Glamy 1 Porta Branco/Preto</v>
          </cell>
          <cell r="E3791" t="str">
            <v>GLAMY</v>
          </cell>
          <cell r="F3791" t="str">
            <v>MODULAÇÃO</v>
          </cell>
          <cell r="G3791" t="str">
            <v/>
          </cell>
          <cell r="H3791">
            <v>1019.99</v>
          </cell>
          <cell r="I3791">
            <v>529.99</v>
          </cell>
          <cell r="J3791">
            <v>318.60700000000003</v>
          </cell>
          <cell r="K3791">
            <v>0</v>
          </cell>
          <cell r="L3791">
            <v>318.60700000000003</v>
          </cell>
          <cell r="M3791">
            <v>0</v>
          </cell>
          <cell r="N3791">
            <v>529.99</v>
          </cell>
          <cell r="O3791" t="str">
            <v/>
          </cell>
          <cell r="P3791">
            <v>0</v>
          </cell>
          <cell r="Q3791">
            <v>0.66345999930949395</v>
          </cell>
          <cell r="R3791">
            <v>0.66345999930949395</v>
          </cell>
          <cell r="S3791" t="e">
            <v>#VALUE!</v>
          </cell>
          <cell r="T3791" t="e">
            <v>#VALUE!</v>
          </cell>
        </row>
        <row r="3792">
          <cell r="A3792" t="str">
            <v>G258009BTE</v>
          </cell>
          <cell r="B3792" t="str">
            <v>MKP000631002113</v>
          </cell>
          <cell r="C3792" t="str">
            <v/>
          </cell>
          <cell r="D3792" t="str">
            <v>Armário Aéreo Madesa Stella 80 cm 2 Portas Branco/Rustic</v>
          </cell>
          <cell r="E3792" t="str">
            <v>STELLA</v>
          </cell>
          <cell r="F3792" t="str">
            <v>MODULAÇÃO</v>
          </cell>
          <cell r="G3792" t="str">
            <v/>
          </cell>
          <cell r="H3792">
            <v>489.99</v>
          </cell>
          <cell r="I3792">
            <v>429.99</v>
          </cell>
          <cell r="J3792">
            <v>258.66789999999997</v>
          </cell>
          <cell r="K3792">
            <v>0</v>
          </cell>
          <cell r="L3792">
            <v>258.66789999999997</v>
          </cell>
          <cell r="M3792">
            <v>0</v>
          </cell>
          <cell r="N3792">
            <v>429.99</v>
          </cell>
          <cell r="O3792" t="str">
            <v/>
          </cell>
          <cell r="P3792">
            <v>0</v>
          </cell>
          <cell r="Q3792">
            <v>0.66232454819480902</v>
          </cell>
          <cell r="R3792">
            <v>0.66232454819480902</v>
          </cell>
          <cell r="S3792" t="e">
            <v>#VALUE!</v>
          </cell>
          <cell r="T3792" t="e">
            <v>#VALUE!</v>
          </cell>
        </row>
        <row r="3793">
          <cell r="A3793" t="str">
            <v>GRLX2600037K</v>
          </cell>
          <cell r="B3793" t="str">
            <v>MKP000631002727</v>
          </cell>
          <cell r="C3793" t="str">
            <v/>
          </cell>
          <cell r="D3793" t="str">
            <v>Armário de Cozinha Completa 260cm Rustic/Preto Lux Madesa 03</v>
          </cell>
          <cell r="E3793" t="str">
            <v>LUX</v>
          </cell>
          <cell r="F3793" t="str">
            <v>COZINHA</v>
          </cell>
          <cell r="G3793" t="str">
            <v/>
          </cell>
          <cell r="H3793">
            <v>3929.99</v>
          </cell>
          <cell r="I3793">
            <v>3849.99</v>
          </cell>
          <cell r="J3793">
            <v>2310.8326999999999</v>
          </cell>
          <cell r="K3793">
            <v>0</v>
          </cell>
          <cell r="L3793">
            <v>2310.8326999999999</v>
          </cell>
          <cell r="M3793">
            <v>0</v>
          </cell>
          <cell r="N3793">
            <v>3849.99</v>
          </cell>
          <cell r="O3793" t="str">
            <v>LOJA</v>
          </cell>
          <cell r="P3793">
            <v>3379.99</v>
          </cell>
          <cell r="Q3793">
            <v>0.66606176206525003</v>
          </cell>
          <cell r="R3793">
            <v>0.66606176206525003</v>
          </cell>
          <cell r="S3793" t="e">
            <v>#VALUE!</v>
          </cell>
          <cell r="T3793" t="e">
            <v>#VALUE!</v>
          </cell>
        </row>
        <row r="3794">
          <cell r="A3794" t="str">
            <v>GRLX26000373</v>
          </cell>
          <cell r="B3794" t="str">
            <v>MKP000631003284</v>
          </cell>
          <cell r="C3794" t="str">
            <v/>
          </cell>
          <cell r="D3794" t="str">
            <v>Armário de Cozinha Completa 260cm Branco/Preto Lux Madesa 03</v>
          </cell>
          <cell r="E3794" t="str">
            <v>LUX</v>
          </cell>
          <cell r="F3794" t="str">
            <v>COZINHA</v>
          </cell>
          <cell r="G3794" t="str">
            <v/>
          </cell>
          <cell r="H3794">
            <v>3929.99</v>
          </cell>
          <cell r="I3794">
            <v>3849.99</v>
          </cell>
          <cell r="J3794">
            <v>2310.8326999999999</v>
          </cell>
          <cell r="K3794">
            <v>0</v>
          </cell>
          <cell r="L3794">
            <v>2310.8326999999999</v>
          </cell>
          <cell r="M3794">
            <v>0</v>
          </cell>
          <cell r="N3794">
            <v>3849.99</v>
          </cell>
          <cell r="O3794" t="str">
            <v>LOJA</v>
          </cell>
          <cell r="P3794">
            <v>3379.99</v>
          </cell>
          <cell r="Q3794">
            <v>0.66606176206525003</v>
          </cell>
          <cell r="R3794">
            <v>0.66606176206525003</v>
          </cell>
          <cell r="S3794" t="e">
            <v>#VALUE!</v>
          </cell>
          <cell r="T3794" t="e">
            <v>#VALUE!</v>
          </cell>
        </row>
        <row r="3795">
          <cell r="A3795" t="str">
            <v>G257006EAG</v>
          </cell>
          <cell r="B3795" t="str">
            <v>MKP000631004418</v>
          </cell>
          <cell r="C3795" t="str">
            <v/>
          </cell>
          <cell r="D3795" t="str">
            <v>Armário Aéreo Madesa Agata 70 cm 2 Portas Rustic/Branco</v>
          </cell>
          <cell r="E3795" t="str">
            <v>ÁGATA</v>
          </cell>
          <cell r="F3795" t="str">
            <v>MODULAÇÃO</v>
          </cell>
          <cell r="G3795" t="str">
            <v/>
          </cell>
          <cell r="H3795">
            <v>529.99</v>
          </cell>
          <cell r="I3795">
            <v>419.99</v>
          </cell>
          <cell r="J3795">
            <v>244.06190000000001</v>
          </cell>
          <cell r="K3795">
            <v>0</v>
          </cell>
          <cell r="L3795">
            <v>244.06190000000001</v>
          </cell>
          <cell r="M3795">
            <v>0</v>
          </cell>
          <cell r="N3795">
            <v>419.99</v>
          </cell>
          <cell r="O3795" t="str">
            <v/>
          </cell>
          <cell r="P3795">
            <v>0</v>
          </cell>
          <cell r="Q3795">
            <v>0.72083393598099499</v>
          </cell>
          <cell r="R3795">
            <v>0.72083393598099499</v>
          </cell>
          <cell r="S3795" t="e">
            <v>#VALUE!</v>
          </cell>
          <cell r="T3795" t="e">
            <v>#VALUE!</v>
          </cell>
        </row>
        <row r="3796">
          <cell r="A3796" t="str">
            <v>G248007GAG</v>
          </cell>
          <cell r="B3796" t="str">
            <v>MKP000631005472</v>
          </cell>
          <cell r="C3796" t="str">
            <v/>
          </cell>
          <cell r="D3796" t="str">
            <v>Balcão 80 cm 2 Portas Rustic/Crema Agata Madesa</v>
          </cell>
          <cell r="E3796" t="str">
            <v>ÁGATA</v>
          </cell>
          <cell r="F3796" t="str">
            <v>MODULAÇÃO</v>
          </cell>
          <cell r="G3796" t="str">
            <v/>
          </cell>
          <cell r="H3796">
            <v>669.99</v>
          </cell>
          <cell r="I3796">
            <v>569.99</v>
          </cell>
          <cell r="J3796">
            <v>325.82279999999997</v>
          </cell>
          <cell r="K3796">
            <v>0</v>
          </cell>
          <cell r="L3796">
            <v>325.82279999999997</v>
          </cell>
          <cell r="M3796">
            <v>0</v>
          </cell>
          <cell r="N3796">
            <v>569.99</v>
          </cell>
          <cell r="O3796" t="str">
            <v/>
          </cell>
          <cell r="P3796">
            <v>0</v>
          </cell>
          <cell r="Q3796">
            <v>0.74938647633007904</v>
          </cell>
          <cell r="R3796">
            <v>0.74938647633007904</v>
          </cell>
          <cell r="S3796" t="e">
            <v>#VALUE!</v>
          </cell>
          <cell r="T3796" t="e">
            <v>#VALUE!</v>
          </cell>
        </row>
        <row r="3797">
          <cell r="A3797" t="str">
            <v>G2560073LX</v>
          </cell>
          <cell r="B3797" t="str">
            <v>MKP000631003254</v>
          </cell>
          <cell r="C3797" t="str">
            <v/>
          </cell>
          <cell r="D3797" t="str">
            <v>Armário Aéreo Madesa Lux 60 cm 1 Porta Branco/Preto</v>
          </cell>
          <cell r="E3797" t="str">
            <v>LUX</v>
          </cell>
          <cell r="F3797" t="str">
            <v>MODULAÇÃO</v>
          </cell>
          <cell r="G3797" t="str">
            <v/>
          </cell>
          <cell r="H3797">
            <v>879.99</v>
          </cell>
          <cell r="I3797">
            <v>549.99</v>
          </cell>
          <cell r="J3797">
            <v>311.33670000000001</v>
          </cell>
          <cell r="K3797">
            <v>0</v>
          </cell>
          <cell r="L3797">
            <v>311.33670000000001</v>
          </cell>
          <cell r="M3797">
            <v>0</v>
          </cell>
          <cell r="N3797">
            <v>549.99</v>
          </cell>
          <cell r="O3797" t="str">
            <v>LOJA</v>
          </cell>
          <cell r="P3797">
            <v>539.99</v>
          </cell>
          <cell r="Q3797">
            <v>0.766544066279369</v>
          </cell>
          <cell r="R3797">
            <v>0.766544066279369</v>
          </cell>
          <cell r="S3797" t="e">
            <v>#VALUE!</v>
          </cell>
          <cell r="T3797" t="e">
            <v>#VALUE!</v>
          </cell>
        </row>
        <row r="3798">
          <cell r="A3798" t="str">
            <v>G224009RLXCT</v>
          </cell>
          <cell r="B3798" t="str">
            <v>MKP000631005099</v>
          </cell>
          <cell r="C3798" t="str">
            <v/>
          </cell>
          <cell r="D3798" t="str">
            <v>Balcão 40 cm 1 Porta Branco/Cinza Lux Madesa</v>
          </cell>
          <cell r="E3798" t="str">
            <v>LUX</v>
          </cell>
          <cell r="F3798" t="str">
            <v>MODULAÇÃO</v>
          </cell>
          <cell r="G3798" t="str">
            <v/>
          </cell>
          <cell r="H3798">
            <v>749.99</v>
          </cell>
          <cell r="I3798">
            <v>659.99</v>
          </cell>
          <cell r="J3798">
            <v>363.51499999999999</v>
          </cell>
          <cell r="K3798">
            <v>0</v>
          </cell>
          <cell r="L3798">
            <v>363.51499999999999</v>
          </cell>
          <cell r="M3798">
            <v>0</v>
          </cell>
          <cell r="N3798">
            <v>659.99</v>
          </cell>
          <cell r="O3798" t="str">
            <v>LOJA</v>
          </cell>
          <cell r="P3798">
            <v>649.99</v>
          </cell>
          <cell r="Q3798">
            <v>0.81557844930745604</v>
          </cell>
          <cell r="R3798">
            <v>0.81557844930745604</v>
          </cell>
          <cell r="S3798" t="e">
            <v>#VALUE!</v>
          </cell>
          <cell r="T3798" t="e">
            <v>#VALUE!</v>
          </cell>
        </row>
        <row r="3799">
          <cell r="A3799" t="str">
            <v>G22700H8LX</v>
          </cell>
          <cell r="B3799" t="str">
            <v>MKP000631005181</v>
          </cell>
          <cell r="C3799" t="str">
            <v/>
          </cell>
          <cell r="D3799" t="str">
            <v>Balcão Madesa Lux 70 cm 2 Portas - Rustic/Branco Veludo (Sem Tampo)</v>
          </cell>
          <cell r="E3799" t="str">
            <v>LUX</v>
          </cell>
          <cell r="F3799" t="str">
            <v>MODULAÇÃO</v>
          </cell>
          <cell r="G3799" t="str">
            <v/>
          </cell>
          <cell r="H3799">
            <v>729.99</v>
          </cell>
          <cell r="I3799">
            <v>639.99</v>
          </cell>
          <cell r="J3799">
            <v>320.65620000000001</v>
          </cell>
          <cell r="K3799">
            <v>0</v>
          </cell>
          <cell r="L3799">
            <v>320.65620000000001</v>
          </cell>
          <cell r="M3799">
            <v>0</v>
          </cell>
          <cell r="N3799">
            <v>639.99</v>
          </cell>
          <cell r="O3799" t="str">
            <v>LOJA</v>
          </cell>
          <cell r="P3799">
            <v>629.99</v>
          </cell>
          <cell r="Q3799">
            <v>0.99587595686595198</v>
          </cell>
          <cell r="R3799">
            <v>0.99587595686595198</v>
          </cell>
          <cell r="S3799" t="e">
            <v>#VALUE!</v>
          </cell>
          <cell r="T3799" t="e">
            <v>#VALUE!</v>
          </cell>
        </row>
        <row r="3800">
          <cell r="A3800" t="str">
            <v>G2275073LXCT</v>
          </cell>
          <cell r="B3800" t="str">
            <v>MKP000631005077</v>
          </cell>
          <cell r="C3800" t="str">
            <v/>
          </cell>
          <cell r="D3800" t="str">
            <v>Balcão de Canto Madesa Lux 1 Porta 60 cm Profundidade (Com Tampo) Branco/Preto</v>
          </cell>
          <cell r="E3800" t="str">
            <v>LUX</v>
          </cell>
          <cell r="F3800" t="str">
            <v>MODULAÇÃO</v>
          </cell>
          <cell r="G3800" t="str">
            <v/>
          </cell>
          <cell r="H3800">
            <v>1089.99</v>
          </cell>
          <cell r="I3800">
            <v>939.99</v>
          </cell>
          <cell r="J3800">
            <v>467.96969999999999</v>
          </cell>
          <cell r="K3800">
            <v>0</v>
          </cell>
          <cell r="L3800">
            <v>467.96969999999999</v>
          </cell>
          <cell r="M3800">
            <v>0</v>
          </cell>
          <cell r="N3800">
            <v>939.99</v>
          </cell>
          <cell r="O3800" t="str">
            <v>LOJA</v>
          </cell>
          <cell r="P3800">
            <v>929.99</v>
          </cell>
          <cell r="Q3800">
            <v>1.00865568860548</v>
          </cell>
          <cell r="R3800">
            <v>1.00865568860548</v>
          </cell>
          <cell r="S3800" t="e">
            <v>#VALUE!</v>
          </cell>
          <cell r="T3800" t="e">
            <v>#VALUE!</v>
          </cell>
        </row>
        <row r="3801">
          <cell r="A3801" t="str">
            <v>G22400H8LXCT</v>
          </cell>
          <cell r="B3801" t="str">
            <v>MKP000631005101</v>
          </cell>
          <cell r="C3801" t="str">
            <v/>
          </cell>
          <cell r="D3801" t="str">
            <v>Balcão 40 cm 1 Porta Rustic/Branco Veludo Lux Madesa</v>
          </cell>
          <cell r="E3801" t="str">
            <v>LUX</v>
          </cell>
          <cell r="F3801" t="str">
            <v>MODULAÇÃO</v>
          </cell>
          <cell r="G3801" t="str">
            <v/>
          </cell>
          <cell r="H3801">
            <v>729.99</v>
          </cell>
          <cell r="I3801">
            <v>579.99</v>
          </cell>
          <cell r="J3801">
            <v>288.73009999999999</v>
          </cell>
          <cell r="K3801">
            <v>0</v>
          </cell>
          <cell r="L3801">
            <v>288.73009999999999</v>
          </cell>
          <cell r="M3801">
            <v>0</v>
          </cell>
          <cell r="N3801">
            <v>579.99</v>
          </cell>
          <cell r="O3801" t="str">
            <v>LOJA</v>
          </cell>
          <cell r="P3801">
            <v>569.99</v>
          </cell>
          <cell r="Q3801">
            <v>1.00876181596585</v>
          </cell>
          <cell r="R3801">
            <v>1.00876181596585</v>
          </cell>
          <cell r="S3801" t="e">
            <v>#VALUE!</v>
          </cell>
          <cell r="T3801" t="e">
            <v>#VALUE!</v>
          </cell>
        </row>
        <row r="3802">
          <cell r="A3802" t="str">
            <v>GRTE3300059B</v>
          </cell>
          <cell r="B3802" t="str">
            <v>MKP000631005947</v>
          </cell>
          <cell r="C3802" t="str">
            <v/>
          </cell>
          <cell r="D3802" t="str">
            <v>Armário de Cozinha Completa 330cm Branco/Rustic Stella Madesa 05</v>
          </cell>
          <cell r="E3802" t="str">
            <v>STELLA</v>
          </cell>
          <cell r="F3802" t="str">
            <v>COZINHA</v>
          </cell>
          <cell r="G3802" t="str">
            <v/>
          </cell>
          <cell r="H3802">
            <v>2299.9899999999998</v>
          </cell>
          <cell r="I3802">
            <v>2299.9899999999998</v>
          </cell>
          <cell r="J3802">
            <v>1965.3027</v>
          </cell>
          <cell r="K3802">
            <v>0</v>
          </cell>
          <cell r="L3802">
            <v>1965.3027</v>
          </cell>
          <cell r="M3802">
            <v>0</v>
          </cell>
          <cell r="N3802">
            <v>2299.9899999999998</v>
          </cell>
          <cell r="O3802" t="str">
            <v/>
          </cell>
          <cell r="P3802">
            <v>0</v>
          </cell>
          <cell r="Q3802">
            <v>0.170298091993666</v>
          </cell>
          <cell r="R3802">
            <v>0.170298091993666</v>
          </cell>
          <cell r="S3802" t="e">
            <v>#VALUE!</v>
          </cell>
          <cell r="T3802" t="e">
            <v>#VALUE!</v>
          </cell>
        </row>
        <row r="3803">
          <cell r="A3803" t="str">
            <v>GRTE3300056E</v>
          </cell>
          <cell r="B3803" t="str">
            <v>MKP000631005945</v>
          </cell>
          <cell r="C3803" t="str">
            <v/>
          </cell>
          <cell r="D3803" t="str">
            <v>Armário de Cozinha Completa 330cm Rustic/Branco Stella Madesa 05</v>
          </cell>
          <cell r="E3803" t="str">
            <v>STELLA</v>
          </cell>
          <cell r="F3803" t="str">
            <v>COZINHA</v>
          </cell>
          <cell r="G3803" t="str">
            <v/>
          </cell>
          <cell r="H3803">
            <v>2299.9899999999998</v>
          </cell>
          <cell r="I3803">
            <v>2299.9899999999998</v>
          </cell>
          <cell r="J3803">
            <v>1965.3027</v>
          </cell>
          <cell r="K3803">
            <v>0</v>
          </cell>
          <cell r="L3803">
            <v>1965.3027</v>
          </cell>
          <cell r="M3803">
            <v>0</v>
          </cell>
          <cell r="N3803">
            <v>2299.9899999999998</v>
          </cell>
          <cell r="O3803" t="str">
            <v/>
          </cell>
          <cell r="P3803">
            <v>0</v>
          </cell>
          <cell r="Q3803">
            <v>0.170298091993666</v>
          </cell>
          <cell r="R3803">
            <v>0.170298091993666</v>
          </cell>
          <cell r="S3803" t="e">
            <v>#VALUE!</v>
          </cell>
          <cell r="T3803" t="e">
            <v>#VALUE!</v>
          </cell>
        </row>
        <row r="3804">
          <cell r="A3804" t="str">
            <v>GRGL27001109</v>
          </cell>
          <cell r="B3804" t="str">
            <v>MKP000631004370</v>
          </cell>
          <cell r="C3804" t="str">
            <v/>
          </cell>
          <cell r="D3804" t="str">
            <v>Armário de Cozinha Completa 270cm Branco Glamy Madesa 11</v>
          </cell>
          <cell r="E3804" t="str">
            <v>GLAMY</v>
          </cell>
          <cell r="F3804" t="str">
            <v>COZINHA</v>
          </cell>
          <cell r="G3804" t="str">
            <v/>
          </cell>
          <cell r="H3804">
            <v>1799.99</v>
          </cell>
          <cell r="I3804">
            <v>1699.99</v>
          </cell>
          <cell r="J3804">
            <v>1419.5397</v>
          </cell>
          <cell r="K3804">
            <v>0</v>
          </cell>
          <cell r="L3804">
            <v>1419.5397</v>
          </cell>
          <cell r="M3804">
            <v>0</v>
          </cell>
          <cell r="N3804">
            <v>1699.99</v>
          </cell>
          <cell r="O3804" t="str">
            <v/>
          </cell>
          <cell r="P3804">
            <v>0</v>
          </cell>
          <cell r="Q3804">
            <v>0.197564252694025</v>
          </cell>
          <cell r="R3804">
            <v>0.197564252694025</v>
          </cell>
          <cell r="S3804" t="e">
            <v>#VALUE!</v>
          </cell>
          <cell r="T3804" t="e">
            <v>#VALUE!</v>
          </cell>
        </row>
        <row r="3805">
          <cell r="A3805" t="str">
            <v>GRTE3100016E</v>
          </cell>
          <cell r="B3805" t="str">
            <v>MKP000631005931</v>
          </cell>
          <cell r="C3805" t="str">
            <v/>
          </cell>
          <cell r="D3805" t="str">
            <v>Armário de Cozinha Completa 310cm Rustic/Branco Stella Madesa 01</v>
          </cell>
          <cell r="E3805" t="str">
            <v>STELLA</v>
          </cell>
          <cell r="F3805" t="str">
            <v>COZINHA</v>
          </cell>
          <cell r="G3805" t="str">
            <v/>
          </cell>
          <cell r="H3805">
            <v>2599.9899999999998</v>
          </cell>
          <cell r="I3805">
            <v>2599.9899999999998</v>
          </cell>
          <cell r="J3805">
            <v>2153.0225</v>
          </cell>
          <cell r="K3805">
            <v>0</v>
          </cell>
          <cell r="L3805">
            <v>2153.0225</v>
          </cell>
          <cell r="M3805">
            <v>0</v>
          </cell>
          <cell r="N3805">
            <v>2599.9899999999998</v>
          </cell>
          <cell r="O3805" t="str">
            <v/>
          </cell>
          <cell r="P3805">
            <v>0</v>
          </cell>
          <cell r="Q3805">
            <v>0.20760001346943599</v>
          </cell>
          <cell r="R3805">
            <v>0.20760001346943599</v>
          </cell>
          <cell r="S3805" t="e">
            <v>#VALUE!</v>
          </cell>
          <cell r="T3805" t="e">
            <v>#VALUE!</v>
          </cell>
        </row>
        <row r="3806">
          <cell r="A3806" t="str">
            <v>GREM1650017K</v>
          </cell>
          <cell r="B3806" t="str">
            <v>MKP000631005807</v>
          </cell>
          <cell r="C3806" t="str">
            <v/>
          </cell>
          <cell r="D3806" t="str">
            <v>Armário de Cozinha Compacta 165cm com Pia Rustic/Preto Emilly Madesa 01</v>
          </cell>
          <cell r="E3806" t="str">
            <v>EMILLY</v>
          </cell>
          <cell r="F3806" t="str">
            <v>COZINHA</v>
          </cell>
          <cell r="G3806" t="str">
            <v/>
          </cell>
          <cell r="H3806">
            <v>1079.99</v>
          </cell>
          <cell r="I3806">
            <v>1079.99</v>
          </cell>
          <cell r="J3806">
            <v>889.8433</v>
          </cell>
          <cell r="K3806">
            <v>0</v>
          </cell>
          <cell r="L3806">
            <v>889.8433</v>
          </cell>
          <cell r="M3806">
            <v>0</v>
          </cell>
          <cell r="N3806">
            <v>1079.99</v>
          </cell>
          <cell r="O3806" t="str">
            <v/>
          </cell>
          <cell r="P3806">
            <v>0</v>
          </cell>
          <cell r="Q3806">
            <v>0.21368560059956601</v>
          </cell>
          <cell r="R3806">
            <v>0.21368560059956601</v>
          </cell>
          <cell r="S3806" t="e">
            <v>#VALUE!</v>
          </cell>
          <cell r="T3806" t="e">
            <v>#VALUE!</v>
          </cell>
        </row>
        <row r="3807">
          <cell r="A3807" t="str">
            <v>GRGL1800075Z</v>
          </cell>
          <cell r="B3807" t="str">
            <v>MKP000631004231</v>
          </cell>
          <cell r="C3807" t="str">
            <v/>
          </cell>
          <cell r="D3807" t="str">
            <v>Armário de Cozinha Compacta 180cm Rustic Glamy Madesa 07</v>
          </cell>
          <cell r="E3807" t="str">
            <v>GLAMY</v>
          </cell>
          <cell r="F3807" t="str">
            <v>COZINHA</v>
          </cell>
          <cell r="G3807" t="str">
            <v/>
          </cell>
          <cell r="H3807">
            <v>1679.99</v>
          </cell>
          <cell r="I3807">
            <v>1579.99</v>
          </cell>
          <cell r="J3807">
            <v>1307.6839</v>
          </cell>
          <cell r="K3807">
            <v>0</v>
          </cell>
          <cell r="L3807">
            <v>1307.6839</v>
          </cell>
          <cell r="M3807">
            <v>0</v>
          </cell>
          <cell r="N3807">
            <v>1579.99</v>
          </cell>
          <cell r="O3807" t="str">
            <v/>
          </cell>
          <cell r="P3807">
            <v>0</v>
          </cell>
          <cell r="Q3807">
            <v>0.208235415301817</v>
          </cell>
          <cell r="R3807">
            <v>0.208235415301817</v>
          </cell>
          <cell r="S3807" t="e">
            <v>#VALUE!</v>
          </cell>
          <cell r="T3807" t="e">
            <v>#VALUE!</v>
          </cell>
        </row>
        <row r="3808">
          <cell r="A3808" t="str">
            <v>GRGL31500109</v>
          </cell>
          <cell r="B3808" t="str">
            <v>MKP000631004356</v>
          </cell>
          <cell r="C3808" t="str">
            <v/>
          </cell>
          <cell r="D3808" t="str">
            <v>Armário de Cozinha Completa 315cm Branco Glamy Madesa 01</v>
          </cell>
          <cell r="E3808" t="str">
            <v>GLAMY</v>
          </cell>
          <cell r="F3808" t="str">
            <v>COZINHA</v>
          </cell>
          <cell r="G3808" t="str">
            <v/>
          </cell>
          <cell r="H3808">
            <v>2599.9899999999998</v>
          </cell>
          <cell r="I3808">
            <v>2469.9899999999998</v>
          </cell>
          <cell r="J3808">
            <v>2041.8098</v>
          </cell>
          <cell r="K3808">
            <v>0</v>
          </cell>
          <cell r="L3808">
            <v>2041.8098</v>
          </cell>
          <cell r="M3808">
            <v>0</v>
          </cell>
          <cell r="N3808">
            <v>2469.9899999999998</v>
          </cell>
          <cell r="O3808" t="str">
            <v/>
          </cell>
          <cell r="P3808">
            <v>0</v>
          </cell>
          <cell r="Q3808">
            <v>0.20970621259629499</v>
          </cell>
          <cell r="R3808">
            <v>0.20970621259629499</v>
          </cell>
          <cell r="S3808" t="e">
            <v>#VALUE!</v>
          </cell>
          <cell r="T3808" t="e">
            <v>#VALUE!</v>
          </cell>
        </row>
        <row r="3809">
          <cell r="A3809" t="str">
            <v>GRGL2400097K</v>
          </cell>
          <cell r="B3809" t="str">
            <v>MKP000631005208</v>
          </cell>
          <cell r="C3809" t="str">
            <v/>
          </cell>
          <cell r="D3809" t="str">
            <v>Armário de Cozinha Completa 240cm Rustic/Preto Glamy Madesa 09</v>
          </cell>
          <cell r="E3809" t="str">
            <v>GLAMY</v>
          </cell>
          <cell r="F3809" t="str">
            <v>COZINHA</v>
          </cell>
          <cell r="G3809" t="str">
            <v/>
          </cell>
          <cell r="H3809">
            <v>1599.99</v>
          </cell>
          <cell r="I3809">
            <v>1599.99</v>
          </cell>
          <cell r="J3809">
            <v>1320.7529999999999</v>
          </cell>
          <cell r="K3809">
            <v>0</v>
          </cell>
          <cell r="L3809">
            <v>1320.7529999999999</v>
          </cell>
          <cell r="M3809">
            <v>0</v>
          </cell>
          <cell r="N3809">
            <v>1599.99</v>
          </cell>
          <cell r="O3809" t="str">
            <v/>
          </cell>
          <cell r="P3809">
            <v>0</v>
          </cell>
          <cell r="Q3809">
            <v>0.21142257484934701</v>
          </cell>
          <cell r="R3809">
            <v>0.21142257484934701</v>
          </cell>
          <cell r="S3809" t="e">
            <v>#VALUE!</v>
          </cell>
          <cell r="T3809" t="e">
            <v>#VALUE!</v>
          </cell>
        </row>
        <row r="3810">
          <cell r="A3810" t="str">
            <v>GRGL2800036E</v>
          </cell>
          <cell r="B3810" t="str">
            <v>MKP000631001496</v>
          </cell>
          <cell r="C3810" t="str">
            <v/>
          </cell>
          <cell r="D3810" t="str">
            <v>Armário de Cozinha Completa 280cm Rustic/Branco Marcela Madesa 03</v>
          </cell>
          <cell r="E3810" t="str">
            <v>MARCELA/GLAMY</v>
          </cell>
          <cell r="F3810" t="str">
            <v>COZINHA</v>
          </cell>
          <cell r="G3810" t="str">
            <v/>
          </cell>
          <cell r="H3810">
            <v>2149.9899999999998</v>
          </cell>
          <cell r="I3810">
            <v>2049.9899999999998</v>
          </cell>
          <cell r="J3810">
            <v>1671.624</v>
          </cell>
          <cell r="K3810">
            <v>0</v>
          </cell>
          <cell r="L3810">
            <v>1671.624</v>
          </cell>
          <cell r="M3810">
            <v>0</v>
          </cell>
          <cell r="N3810">
            <v>2049.9899999999998</v>
          </cell>
          <cell r="O3810" t="str">
            <v/>
          </cell>
          <cell r="P3810">
            <v>0</v>
          </cell>
          <cell r="Q3810">
            <v>0.226346355400497</v>
          </cell>
          <cell r="R3810">
            <v>0.226346355400497</v>
          </cell>
          <cell r="S3810" t="e">
            <v>#VALUE!</v>
          </cell>
          <cell r="T3810" t="e">
            <v>#VALUE!</v>
          </cell>
        </row>
        <row r="3811">
          <cell r="A3811" t="str">
            <v>GREM1370055Z</v>
          </cell>
          <cell r="B3811" t="str">
            <v>MKP000631005793</v>
          </cell>
          <cell r="C3811" t="str">
            <v/>
          </cell>
          <cell r="D3811" t="str">
            <v>Armário de Cozinha Compacta 137cm Rustic Emilly Madesa 05</v>
          </cell>
          <cell r="E3811" t="str">
            <v>EMILLY</v>
          </cell>
          <cell r="F3811" t="str">
            <v>COZINHA</v>
          </cell>
          <cell r="G3811" t="str">
            <v/>
          </cell>
          <cell r="H3811">
            <v>849.99</v>
          </cell>
          <cell r="I3811">
            <v>849.99</v>
          </cell>
          <cell r="J3811">
            <v>681.82770000000005</v>
          </cell>
          <cell r="K3811">
            <v>0</v>
          </cell>
          <cell r="L3811">
            <v>681.82770000000005</v>
          </cell>
          <cell r="M3811">
            <v>0</v>
          </cell>
          <cell r="N3811">
            <v>849.99</v>
          </cell>
          <cell r="O3811" t="str">
            <v/>
          </cell>
          <cell r="P3811">
            <v>0</v>
          </cell>
          <cell r="Q3811">
            <v>0.24663459698102599</v>
          </cell>
          <cell r="R3811">
            <v>0.24663459698102599</v>
          </cell>
          <cell r="S3811" t="e">
            <v>#VALUE!</v>
          </cell>
          <cell r="T3811" t="e">
            <v>#VALUE!</v>
          </cell>
        </row>
        <row r="3812">
          <cell r="A3812" t="str">
            <v>GRGL2400107K</v>
          </cell>
          <cell r="B3812" t="str">
            <v>MKP000631005201</v>
          </cell>
          <cell r="C3812" t="str">
            <v/>
          </cell>
          <cell r="D3812" t="str">
            <v>Armário de Cozinha Completa 240cm Rustic/Preto Glamy Madesa 10</v>
          </cell>
          <cell r="E3812" t="str">
            <v>GLAMY</v>
          </cell>
          <cell r="F3812" t="str">
            <v>COZINHA</v>
          </cell>
          <cell r="G3812" t="str">
            <v/>
          </cell>
          <cell r="H3812">
            <v>1669.99</v>
          </cell>
          <cell r="I3812">
            <v>1569.99</v>
          </cell>
          <cell r="J3812">
            <v>1274.6895999999999</v>
          </cell>
          <cell r="K3812">
            <v>0</v>
          </cell>
          <cell r="L3812">
            <v>1274.6895999999999</v>
          </cell>
          <cell r="M3812">
            <v>0</v>
          </cell>
          <cell r="N3812">
            <v>1569.99</v>
          </cell>
          <cell r="O3812" t="str">
            <v/>
          </cell>
          <cell r="P3812">
            <v>0</v>
          </cell>
          <cell r="Q3812">
            <v>0.231664555825983</v>
          </cell>
          <cell r="R3812">
            <v>0.231664555825983</v>
          </cell>
          <cell r="S3812" t="e">
            <v>#VALUE!</v>
          </cell>
          <cell r="T3812" t="e">
            <v>#VALUE!</v>
          </cell>
        </row>
        <row r="3813">
          <cell r="A3813" t="str">
            <v>MDJA0601457GFBM</v>
          </cell>
          <cell r="B3813" t="str">
            <v>MKP000631005554</v>
          </cell>
          <cell r="C3813" t="str">
            <v/>
          </cell>
          <cell r="D3813" t="str">
            <v>Conjunto Sala de Jantar Mesa Tampo de Vidro 6 Cadeiras Rustic/Crema/Bege Marrom Yolanda Madesa</v>
          </cell>
          <cell r="E3813" t="str">
            <v>YOLANDA</v>
          </cell>
          <cell r="F3813" t="str">
            <v>SALA DE JANTAR</v>
          </cell>
          <cell r="G3813" t="str">
            <v>4291X</v>
          </cell>
          <cell r="H3813">
            <v>1249.99</v>
          </cell>
          <cell r="I3813">
            <v>1149.99</v>
          </cell>
          <cell r="J3813">
            <v>935.66690000000006</v>
          </cell>
          <cell r="K3813">
            <v>0</v>
          </cell>
          <cell r="L3813">
            <v>935.66690000000006</v>
          </cell>
          <cell r="M3813">
            <v>0</v>
          </cell>
          <cell r="N3813">
            <v>1149.99</v>
          </cell>
          <cell r="O3813" t="str">
            <v/>
          </cell>
          <cell r="P3813">
            <v>0</v>
          </cell>
          <cell r="Q3813">
            <v>0.229059187623288</v>
          </cell>
          <cell r="R3813">
            <v>0.229059187623288</v>
          </cell>
          <cell r="S3813" t="e">
            <v>#VALUE!</v>
          </cell>
          <cell r="T3813" t="e">
            <v>#VALUE!</v>
          </cell>
        </row>
        <row r="3814">
          <cell r="A3814" t="str">
            <v>MDJA0401677GSIL</v>
          </cell>
          <cell r="B3814" t="str">
            <v>MKP000631005711</v>
          </cell>
          <cell r="C3814" t="str">
            <v/>
          </cell>
          <cell r="D3814" t="str">
            <v>Conjunto Sala de Jantar Mesa Tampo de Madeira 4 Cadeiras Rustic/Crema/Silver Agnes Madesa</v>
          </cell>
          <cell r="E3814" t="str">
            <v>AGNES</v>
          </cell>
          <cell r="F3814" t="str">
            <v>SALA DE JANTAR</v>
          </cell>
          <cell r="G3814">
            <v>4255</v>
          </cell>
          <cell r="H3814">
            <v>969.99</v>
          </cell>
          <cell r="I3814">
            <v>929.99</v>
          </cell>
          <cell r="J3814">
            <v>729.79859999999996</v>
          </cell>
          <cell r="K3814">
            <v>0</v>
          </cell>
          <cell r="L3814">
            <v>729.79859999999996</v>
          </cell>
          <cell r="M3814">
            <v>0</v>
          </cell>
          <cell r="N3814">
            <v>929.99</v>
          </cell>
          <cell r="O3814" t="str">
            <v/>
          </cell>
          <cell r="P3814">
            <v>0</v>
          </cell>
          <cell r="Q3814">
            <v>0.27431047414999199</v>
          </cell>
          <cell r="R3814">
            <v>0.27431047414999199</v>
          </cell>
          <cell r="S3814" t="e">
            <v>#VALUE!</v>
          </cell>
          <cell r="T3814" t="e">
            <v>#VALUE!</v>
          </cell>
        </row>
        <row r="3815">
          <cell r="A3815" t="str">
            <v>GRTE3300026E</v>
          </cell>
          <cell r="B3815" t="str">
            <v>MKP000631005750</v>
          </cell>
          <cell r="C3815" t="str">
            <v/>
          </cell>
          <cell r="D3815" t="str">
            <v>Armário de Cozinha Completa 330cm Rustic/Branco Stella Madesa 02</v>
          </cell>
          <cell r="E3815" t="str">
            <v>STELLA</v>
          </cell>
          <cell r="F3815" t="str">
            <v>COZINHA</v>
          </cell>
          <cell r="G3815" t="str">
            <v/>
          </cell>
          <cell r="H3815">
            <v>2599.9899999999998</v>
          </cell>
          <cell r="I3815">
            <v>2599.9899999999998</v>
          </cell>
          <cell r="J3815">
            <v>2079.2730999999999</v>
          </cell>
          <cell r="K3815">
            <v>0</v>
          </cell>
          <cell r="L3815">
            <v>2079.2730999999999</v>
          </cell>
          <cell r="M3815">
            <v>0</v>
          </cell>
          <cell r="N3815">
            <v>2599.9899999999998</v>
          </cell>
          <cell r="O3815" t="str">
            <v/>
          </cell>
          <cell r="P3815">
            <v>0</v>
          </cell>
          <cell r="Q3815">
            <v>0.250432182285242</v>
          </cell>
          <cell r="R3815">
            <v>0.250432182285242</v>
          </cell>
          <cell r="S3815" t="e">
            <v>#VALUE!</v>
          </cell>
          <cell r="T3815" t="e">
            <v>#VALUE!</v>
          </cell>
        </row>
        <row r="3816">
          <cell r="A3816" t="str">
            <v>GRGL1800096E</v>
          </cell>
          <cell r="B3816" t="str">
            <v>MKP000631005228</v>
          </cell>
          <cell r="C3816" t="str">
            <v/>
          </cell>
          <cell r="D3816" t="str">
            <v>Armário de Cozinha Compacta 180cm Rustic/Branco Glamy Madesa 09</v>
          </cell>
          <cell r="E3816" t="str">
            <v>GLAMY</v>
          </cell>
          <cell r="F3816" t="str">
            <v>COZINHA</v>
          </cell>
          <cell r="G3816" t="str">
            <v/>
          </cell>
          <cell r="H3816">
            <v>1399.99</v>
          </cell>
          <cell r="I3816">
            <v>1299.99</v>
          </cell>
          <cell r="J3816">
            <v>1045.0156999999999</v>
          </cell>
          <cell r="K3816">
            <v>0</v>
          </cell>
          <cell r="L3816">
            <v>1045.0156999999999</v>
          </cell>
          <cell r="M3816">
            <v>0</v>
          </cell>
          <cell r="N3816">
            <v>1299.99</v>
          </cell>
          <cell r="O3816" t="str">
            <v/>
          </cell>
          <cell r="P3816">
            <v>0</v>
          </cell>
          <cell r="Q3816">
            <v>0.24399087975424699</v>
          </cell>
          <cell r="R3816">
            <v>0.24399087975424699</v>
          </cell>
          <cell r="S3816" t="e">
            <v>#VALUE!</v>
          </cell>
          <cell r="T3816" t="e">
            <v>#VALUE!</v>
          </cell>
        </row>
        <row r="3817">
          <cell r="A3817" t="str">
            <v>MDJA0601507GFBM</v>
          </cell>
          <cell r="B3817" t="str">
            <v>MKP000631005734</v>
          </cell>
          <cell r="C3817" t="str">
            <v/>
          </cell>
          <cell r="D3817" t="str">
            <v>Conjunto Sala de Jantar Mesa Tampo de Madeira 6 Cadeiras Rustic/Crema/Bege Marrom Wendy Madesa</v>
          </cell>
          <cell r="E3817" t="str">
            <v>WENDY</v>
          </cell>
          <cell r="F3817" t="str">
            <v>SALA DE JANTAR</v>
          </cell>
          <cell r="G3817" t="str">
            <v>4291X</v>
          </cell>
          <cell r="H3817">
            <v>839.99</v>
          </cell>
          <cell r="I3817">
            <v>739.99</v>
          </cell>
          <cell r="J3817">
            <v>590.49659999999994</v>
          </cell>
          <cell r="K3817">
            <v>0</v>
          </cell>
          <cell r="L3817">
            <v>590.49659999999994</v>
          </cell>
          <cell r="M3817">
            <v>0</v>
          </cell>
          <cell r="N3817">
            <v>739.99</v>
          </cell>
          <cell r="O3817" t="str">
            <v/>
          </cell>
          <cell r="P3817">
            <v>0</v>
          </cell>
          <cell r="Q3817">
            <v>0.253165555906672</v>
          </cell>
          <cell r="R3817">
            <v>0.253165555906672</v>
          </cell>
          <cell r="S3817" t="e">
            <v>#VALUE!</v>
          </cell>
          <cell r="T3817" t="e">
            <v>#VALUE!</v>
          </cell>
        </row>
        <row r="3818">
          <cell r="A3818" t="str">
            <v>GREM165008J1</v>
          </cell>
          <cell r="B3818" t="str">
            <v>MKP000631005910</v>
          </cell>
          <cell r="C3818" t="str">
            <v/>
          </cell>
          <cell r="D3818" t="str">
            <v>Armário de Cozinha Compacta 165cm Rustic/Cinza Emilly Madesa 08</v>
          </cell>
          <cell r="E3818" t="str">
            <v>EMILLY</v>
          </cell>
          <cell r="F3818" t="str">
            <v>COZINHA</v>
          </cell>
          <cell r="G3818" t="str">
            <v/>
          </cell>
          <cell r="H3818">
            <v>739.99</v>
          </cell>
          <cell r="I3818">
            <v>639.99</v>
          </cell>
          <cell r="J3818">
            <v>497.41059999999999</v>
          </cell>
          <cell r="K3818">
            <v>0</v>
          </cell>
          <cell r="L3818">
            <v>497.41059999999999</v>
          </cell>
          <cell r="M3818">
            <v>0</v>
          </cell>
          <cell r="N3818">
            <v>639.99</v>
          </cell>
          <cell r="O3818" t="str">
            <v/>
          </cell>
          <cell r="P3818">
            <v>0</v>
          </cell>
          <cell r="Q3818">
            <v>0.28664326815713198</v>
          </cell>
          <cell r="R3818">
            <v>0.28664326815713198</v>
          </cell>
          <cell r="S3818" t="e">
            <v>#VALUE!</v>
          </cell>
          <cell r="T3818" t="e">
            <v>#VALUE!</v>
          </cell>
        </row>
        <row r="3819">
          <cell r="A3819" t="str">
            <v>MDJA0401597GBE</v>
          </cell>
          <cell r="B3819" t="str">
            <v>MKP000631005535</v>
          </cell>
          <cell r="C3819" t="str">
            <v/>
          </cell>
          <cell r="D3819" t="str">
            <v>Conjunto Sala de Jantar Mesa Tampo de Vidro 4 Cadeiras Rustic/Crema/Sintético Bege Savana Madesa</v>
          </cell>
          <cell r="E3819" t="str">
            <v>SAVANA</v>
          </cell>
          <cell r="F3819" t="str">
            <v>SALA DE JANTAR</v>
          </cell>
          <cell r="G3819" t="str">
            <v>4280X</v>
          </cell>
          <cell r="H3819">
            <v>1159.99</v>
          </cell>
          <cell r="I3819">
            <v>1059.99</v>
          </cell>
          <cell r="J3819">
            <v>836.73850000000004</v>
          </cell>
          <cell r="K3819">
            <v>0</v>
          </cell>
          <cell r="L3819">
            <v>836.73850000000004</v>
          </cell>
          <cell r="M3819">
            <v>0</v>
          </cell>
          <cell r="N3819">
            <v>1059.99</v>
          </cell>
          <cell r="O3819" t="str">
            <v/>
          </cell>
          <cell r="P3819">
            <v>0</v>
          </cell>
          <cell r="Q3819">
            <v>0.266811554625489</v>
          </cell>
          <cell r="R3819">
            <v>0.266811554625489</v>
          </cell>
          <cell r="S3819" t="e">
            <v>#VALUE!</v>
          </cell>
          <cell r="T3819" t="e">
            <v>#VALUE!</v>
          </cell>
        </row>
        <row r="3820">
          <cell r="A3820" t="str">
            <v>GRAG3300017G</v>
          </cell>
          <cell r="B3820" t="str">
            <v>MKP000631005966</v>
          </cell>
          <cell r="C3820" t="str">
            <v/>
          </cell>
          <cell r="D3820" t="str">
            <v>Armário de Cozinha Completa 330cm Rustic/Crema Agata Madesa 01</v>
          </cell>
          <cell r="E3820" t="str">
            <v>ÁGATA</v>
          </cell>
          <cell r="F3820" t="str">
            <v>COZINHA</v>
          </cell>
          <cell r="G3820" t="str">
            <v/>
          </cell>
          <cell r="H3820">
            <v>2429.9899999999998</v>
          </cell>
          <cell r="I3820">
            <v>2429.9899999999998</v>
          </cell>
          <cell r="J3820">
            <v>1902.4641999999999</v>
          </cell>
          <cell r="K3820">
            <v>0</v>
          </cell>
          <cell r="L3820">
            <v>1902.4641999999999</v>
          </cell>
          <cell r="M3820">
            <v>0</v>
          </cell>
          <cell r="N3820">
            <v>2429.9899999999998</v>
          </cell>
          <cell r="O3820" t="str">
            <v/>
          </cell>
          <cell r="P3820">
            <v>0</v>
          </cell>
          <cell r="Q3820">
            <v>0.27728553315221399</v>
          </cell>
          <cell r="R3820">
            <v>0.27728553315221399</v>
          </cell>
          <cell r="S3820" t="e">
            <v>#VALUE!</v>
          </cell>
          <cell r="T3820" t="e">
            <v>#VALUE!</v>
          </cell>
        </row>
        <row r="3821">
          <cell r="A3821" t="str">
            <v>GREM105003F9</v>
          </cell>
          <cell r="B3821" t="str">
            <v>MKP000631005959</v>
          </cell>
          <cell r="C3821" t="str">
            <v/>
          </cell>
          <cell r="D3821" t="str">
            <v>Armário de Cozinha Compacta 105cm Rustic/Cinza Emilly Madesa 03</v>
          </cell>
          <cell r="E3821" t="str">
            <v>EMILLY</v>
          </cell>
          <cell r="F3821" t="str">
            <v>COZINHA</v>
          </cell>
          <cell r="G3821" t="str">
            <v/>
          </cell>
          <cell r="H3821">
            <v>669.99</v>
          </cell>
          <cell r="I3821">
            <v>569.99</v>
          </cell>
          <cell r="J3821">
            <v>423.69389999999999</v>
          </cell>
          <cell r="K3821">
            <v>0</v>
          </cell>
          <cell r="L3821">
            <v>423.69389999999999</v>
          </cell>
          <cell r="M3821">
            <v>0</v>
          </cell>
          <cell r="N3821">
            <v>569.99</v>
          </cell>
          <cell r="O3821" t="str">
            <v/>
          </cell>
          <cell r="P3821">
            <v>0</v>
          </cell>
          <cell r="Q3821">
            <v>0.34528724628794499</v>
          </cell>
          <cell r="R3821">
            <v>0.34528724628794499</v>
          </cell>
          <cell r="S3821" t="e">
            <v>#VALUE!</v>
          </cell>
          <cell r="T3821" t="e">
            <v>#VALUE!</v>
          </cell>
        </row>
        <row r="3822">
          <cell r="A3822" t="str">
            <v>G24123F8AGCT</v>
          </cell>
          <cell r="B3822" t="str">
            <v>MKP000631005817</v>
          </cell>
          <cell r="C3822" t="str">
            <v/>
          </cell>
          <cell r="D3822" t="str">
            <v>Balcão de Pia Cozinha 1 Porta e 2 Gavetas (Com Tampo) Branco/Cinza Agata Madesa</v>
          </cell>
          <cell r="E3822" t="str">
            <v>ÁGATA</v>
          </cell>
          <cell r="F3822" t="str">
            <v>MODULAÇÃO</v>
          </cell>
          <cell r="G3822" t="str">
            <v/>
          </cell>
          <cell r="H3822">
            <v>799.99</v>
          </cell>
          <cell r="I3822">
            <v>699.99</v>
          </cell>
          <cell r="J3822">
            <v>516.06050000000005</v>
          </cell>
          <cell r="K3822">
            <v>0</v>
          </cell>
          <cell r="L3822">
            <v>516.06050000000005</v>
          </cell>
          <cell r="M3822">
            <v>0</v>
          </cell>
          <cell r="N3822">
            <v>699.99</v>
          </cell>
          <cell r="O3822" t="str">
            <v/>
          </cell>
          <cell r="P3822">
            <v>0</v>
          </cell>
          <cell r="Q3822">
            <v>0.35641073091236403</v>
          </cell>
          <cell r="R3822">
            <v>0.35641073091236403</v>
          </cell>
          <cell r="S3822" t="e">
            <v>#VALUE!</v>
          </cell>
          <cell r="T3822" t="e">
            <v>#VALUE!</v>
          </cell>
        </row>
        <row r="3823">
          <cell r="A3823" t="str">
            <v>G2412009AGCT</v>
          </cell>
          <cell r="B3823" t="str">
            <v>MKP000631005853</v>
          </cell>
          <cell r="C3823" t="str">
            <v/>
          </cell>
          <cell r="D3823" t="str">
            <v>Balcão de Pia Cozinha 2 Portas (Com Tampo) Branco Agata Madesa</v>
          </cell>
          <cell r="E3823" t="str">
            <v>ÁGATA</v>
          </cell>
          <cell r="F3823" t="str">
            <v>MODULAÇÃO</v>
          </cell>
          <cell r="G3823" t="str">
            <v/>
          </cell>
          <cell r="H3823">
            <v>719.99</v>
          </cell>
          <cell r="I3823">
            <v>619.99</v>
          </cell>
          <cell r="J3823">
            <v>446.32229999999998</v>
          </cell>
          <cell r="K3823">
            <v>0</v>
          </cell>
          <cell r="L3823">
            <v>446.32229999999998</v>
          </cell>
          <cell r="M3823">
            <v>0</v>
          </cell>
          <cell r="N3823">
            <v>619.99</v>
          </cell>
          <cell r="O3823" t="str">
            <v/>
          </cell>
          <cell r="P3823">
            <v>0</v>
          </cell>
          <cell r="Q3823">
            <v>0.38910827444651502</v>
          </cell>
          <cell r="R3823">
            <v>0.38910827444651502</v>
          </cell>
          <cell r="S3823" t="e">
            <v>#VALUE!</v>
          </cell>
          <cell r="T3823" t="e">
            <v>#VALUE!</v>
          </cell>
        </row>
        <row r="3824">
          <cell r="A3824" t="str">
            <v>G241207KAGCT</v>
          </cell>
          <cell r="B3824" t="str">
            <v>MKP000631005854</v>
          </cell>
          <cell r="C3824" t="str">
            <v/>
          </cell>
          <cell r="D3824" t="str">
            <v>Balcão de Pia Cozinha 2 Portas (Com Tampo) Rustic/Preto Agata Madesa</v>
          </cell>
          <cell r="E3824" t="str">
            <v>ÁGATA</v>
          </cell>
          <cell r="F3824" t="str">
            <v>MODULAÇÃO</v>
          </cell>
          <cell r="G3824" t="str">
            <v/>
          </cell>
          <cell r="H3824">
            <v>719.99</v>
          </cell>
          <cell r="I3824">
            <v>619.99</v>
          </cell>
          <cell r="J3824">
            <v>446.32229999999998</v>
          </cell>
          <cell r="K3824">
            <v>0</v>
          </cell>
          <cell r="L3824">
            <v>446.32229999999998</v>
          </cell>
          <cell r="M3824">
            <v>0</v>
          </cell>
          <cell r="N3824">
            <v>619.99</v>
          </cell>
          <cell r="O3824" t="str">
            <v/>
          </cell>
          <cell r="P3824">
            <v>0</v>
          </cell>
          <cell r="Q3824">
            <v>0.38910827444651502</v>
          </cell>
          <cell r="R3824">
            <v>0.38910827444651502</v>
          </cell>
          <cell r="S3824" t="e">
            <v>#VALUE!</v>
          </cell>
          <cell r="T3824" t="e">
            <v>#VALUE!</v>
          </cell>
        </row>
        <row r="3825">
          <cell r="A3825" t="str">
            <v>G241237GAG</v>
          </cell>
          <cell r="B3825" t="str">
            <v>MKP000631005474</v>
          </cell>
          <cell r="C3825" t="str">
            <v/>
          </cell>
          <cell r="D3825" t="str">
            <v>Balcão Gabinete de Pia 1 Porta e 2 Gavetas Rustic/Crema Agata Madesa</v>
          </cell>
          <cell r="E3825" t="str">
            <v>ÁGATA</v>
          </cell>
          <cell r="F3825" t="str">
            <v>MODULAÇÃO</v>
          </cell>
          <cell r="G3825" t="str">
            <v/>
          </cell>
          <cell r="H3825">
            <v>729.99</v>
          </cell>
          <cell r="I3825">
            <v>629.99</v>
          </cell>
          <cell r="J3825">
            <v>425.36160000000001</v>
          </cell>
          <cell r="K3825">
            <v>0</v>
          </cell>
          <cell r="L3825">
            <v>425.36160000000001</v>
          </cell>
          <cell r="M3825">
            <v>0</v>
          </cell>
          <cell r="N3825">
            <v>629.99</v>
          </cell>
          <cell r="O3825" t="str">
            <v/>
          </cell>
          <cell r="P3825">
            <v>0</v>
          </cell>
          <cell r="Q3825">
            <v>0.481069283169896</v>
          </cell>
          <cell r="R3825">
            <v>0.481069283169896</v>
          </cell>
          <cell r="S3825" t="e">
            <v>#VALUE!</v>
          </cell>
          <cell r="T3825" t="e">
            <v>#VALUE!</v>
          </cell>
        </row>
        <row r="3826">
          <cell r="A3826" t="str">
            <v>G228005LFFCT</v>
          </cell>
          <cell r="B3826" t="str">
            <v>MKP000631006033</v>
          </cell>
          <cell r="C3826" t="str">
            <v/>
          </cell>
          <cell r="D3826" t="str">
            <v>Balcão para Forno de Embutir 80 x 60 cm Com Tampo Branco/Crema Agata Madesa</v>
          </cell>
          <cell r="E3826" t="str">
            <v>ÁGATA</v>
          </cell>
          <cell r="F3826" t="str">
            <v>MODULAÇÃO</v>
          </cell>
          <cell r="G3826" t="str">
            <v/>
          </cell>
          <cell r="H3826">
            <v>589.99</v>
          </cell>
          <cell r="I3826">
            <v>589.99</v>
          </cell>
          <cell r="J3826">
            <v>382.07769999999999</v>
          </cell>
          <cell r="K3826">
            <v>0</v>
          </cell>
          <cell r="L3826">
            <v>382.07769999999999</v>
          </cell>
          <cell r="M3826">
            <v>0</v>
          </cell>
          <cell r="N3826">
            <v>589.99</v>
          </cell>
          <cell r="O3826" t="str">
            <v/>
          </cell>
          <cell r="P3826">
            <v>0</v>
          </cell>
          <cell r="Q3826">
            <v>0.544162352317343</v>
          </cell>
          <cell r="R3826">
            <v>0.544162352317343</v>
          </cell>
          <cell r="S3826" t="e">
            <v>#VALUE!</v>
          </cell>
          <cell r="T3826" t="e">
            <v>#VALUE!</v>
          </cell>
        </row>
        <row r="3827">
          <cell r="A3827" t="str">
            <v>G228007KFFCT</v>
          </cell>
          <cell r="B3827" t="str">
            <v>MKP000631006026</v>
          </cell>
          <cell r="C3827" t="str">
            <v/>
          </cell>
          <cell r="D3827" t="str">
            <v>Balcão para Forno de Embutir 80 x 60 cm Com Tampo Rustic/Preto Agata, Glamy, Stella Madesa</v>
          </cell>
          <cell r="E3827" t="str">
            <v>PR</v>
          </cell>
          <cell r="F3827" t="str">
            <v>MODULAÇÃO</v>
          </cell>
          <cell r="G3827" t="str">
            <v/>
          </cell>
          <cell r="H3827">
            <v>589.99</v>
          </cell>
          <cell r="I3827">
            <v>589.99</v>
          </cell>
          <cell r="J3827">
            <v>382.07769999999999</v>
          </cell>
          <cell r="K3827">
            <v>0</v>
          </cell>
          <cell r="L3827">
            <v>382.07769999999999</v>
          </cell>
          <cell r="M3827">
            <v>0</v>
          </cell>
          <cell r="N3827">
            <v>589.99</v>
          </cell>
          <cell r="O3827" t="str">
            <v/>
          </cell>
          <cell r="P3827">
            <v>0</v>
          </cell>
          <cell r="Q3827">
            <v>0.544162352317343</v>
          </cell>
          <cell r="R3827">
            <v>0.544162352317343</v>
          </cell>
          <cell r="S3827" t="e">
            <v>#VALUE!</v>
          </cell>
          <cell r="T3827" t="e">
            <v>#VALUE!</v>
          </cell>
        </row>
        <row r="3828">
          <cell r="A3828" t="str">
            <v>G244009BTE</v>
          </cell>
          <cell r="B3828" t="str">
            <v>MKP000631002118</v>
          </cell>
          <cell r="C3828" t="str">
            <v/>
          </cell>
          <cell r="D3828" t="str">
            <v>Balcão Madesa Stella 40 cm 1 Porta Branco/Rustic</v>
          </cell>
          <cell r="E3828" t="str">
            <v>STELLA</v>
          </cell>
          <cell r="F3828" t="str">
            <v>MODULAÇÃO</v>
          </cell>
          <cell r="G3828" t="str">
            <v/>
          </cell>
          <cell r="H3828">
            <v>489.99</v>
          </cell>
          <cell r="I3828">
            <v>349.99</v>
          </cell>
          <cell r="J3828">
            <v>223.29740000000001</v>
          </cell>
          <cell r="K3828">
            <v>0</v>
          </cell>
          <cell r="L3828">
            <v>223.29740000000001</v>
          </cell>
          <cell r="M3828">
            <v>0</v>
          </cell>
          <cell r="N3828">
            <v>349.99</v>
          </cell>
          <cell r="O3828" t="str">
            <v/>
          </cell>
          <cell r="P3828">
            <v>0</v>
          </cell>
          <cell r="Q3828">
            <v>0.567371586055189</v>
          </cell>
          <cell r="R3828">
            <v>0.567371586055189</v>
          </cell>
          <cell r="S3828" t="e">
            <v>#VALUE!</v>
          </cell>
          <cell r="T3828" t="e">
            <v>#VALUE!</v>
          </cell>
        </row>
        <row r="3829">
          <cell r="A3829" t="str">
            <v>G254009BTE</v>
          </cell>
          <cell r="B3829" t="str">
            <v>MKP000631002109</v>
          </cell>
          <cell r="C3829" t="str">
            <v/>
          </cell>
          <cell r="D3829" t="str">
            <v>Armário Aéreo Madesa Stella 40 cm 1 Porta Branco/Rustic</v>
          </cell>
          <cell r="E3829" t="str">
            <v>STELLA</v>
          </cell>
          <cell r="F3829" t="str">
            <v>MODULAÇÃO</v>
          </cell>
          <cell r="G3829" t="str">
            <v/>
          </cell>
          <cell r="H3829">
            <v>399.99</v>
          </cell>
          <cell r="I3829">
            <v>289.99</v>
          </cell>
          <cell r="J3829">
            <v>170.05090000000001</v>
          </cell>
          <cell r="K3829">
            <v>0</v>
          </cell>
          <cell r="L3829">
            <v>170.05090000000001</v>
          </cell>
          <cell r="M3829">
            <v>0</v>
          </cell>
          <cell r="N3829">
            <v>289.99</v>
          </cell>
          <cell r="O3829" t="str">
            <v/>
          </cell>
          <cell r="P3829">
            <v>0</v>
          </cell>
          <cell r="Q3829">
            <v>0.70531293865542599</v>
          </cell>
          <cell r="R3829">
            <v>0.70531293865542599</v>
          </cell>
          <cell r="S3829" t="e">
            <v>#VALUE!</v>
          </cell>
          <cell r="T3829" t="e">
            <v>#VALUE!</v>
          </cell>
        </row>
        <row r="3830">
          <cell r="A3830" t="str">
            <v>53646E2VI</v>
          </cell>
          <cell r="B3830" t="str">
            <v>MKP000631003138</v>
          </cell>
          <cell r="C3830" t="str">
            <v/>
          </cell>
          <cell r="D3830" t="str">
            <v>Mesa de Jantar Madesa Retangular Tampo de Vidro 5364 Rustic/Branco</v>
          </cell>
          <cell r="E3830">
            <v>5364</v>
          </cell>
          <cell r="F3830" t="str">
            <v>SALA DE JANTAR</v>
          </cell>
          <cell r="G3830" t="str">
            <v/>
          </cell>
          <cell r="H3830">
            <v>1319.99</v>
          </cell>
          <cell r="I3830">
            <v>969.99</v>
          </cell>
          <cell r="J3830">
            <v>545.35969999999998</v>
          </cell>
          <cell r="K3830">
            <v>0</v>
          </cell>
          <cell r="L3830">
            <v>545.35969999999998</v>
          </cell>
          <cell r="M3830">
            <v>0</v>
          </cell>
          <cell r="N3830">
            <v>969.99</v>
          </cell>
          <cell r="O3830" t="str">
            <v/>
          </cell>
          <cell r="P3830">
            <v>0</v>
          </cell>
          <cell r="Q3830">
            <v>0.77862427311735705</v>
          </cell>
          <cell r="R3830">
            <v>0.77862427311735705</v>
          </cell>
          <cell r="S3830" t="e">
            <v>#VALUE!</v>
          </cell>
          <cell r="T3830" t="e">
            <v>#VALUE!</v>
          </cell>
        </row>
        <row r="3831">
          <cell r="A3831" t="str">
            <v>G2515373AG</v>
          </cell>
          <cell r="B3831" t="str">
            <v>MKP000631004707</v>
          </cell>
          <cell r="C3831" t="str">
            <v/>
          </cell>
          <cell r="D3831" t="str">
            <v>Armário Aéreo Madesa Agata 150 cm 2 Portas e 2 Nichos Branco/Preto</v>
          </cell>
          <cell r="E3831" t="str">
            <v>ÁGATA</v>
          </cell>
          <cell r="F3831" t="str">
            <v>MODULAÇÃO</v>
          </cell>
          <cell r="G3831" t="str">
            <v/>
          </cell>
          <cell r="H3831">
            <v>939.99</v>
          </cell>
          <cell r="I3831">
            <v>579.99</v>
          </cell>
          <cell r="J3831">
            <v>339.77480000000003</v>
          </cell>
          <cell r="K3831">
            <v>0</v>
          </cell>
          <cell r="L3831">
            <v>339.77480000000003</v>
          </cell>
          <cell r="M3831">
            <v>0</v>
          </cell>
          <cell r="N3831">
            <v>579.99</v>
          </cell>
          <cell r="O3831" t="str">
            <v/>
          </cell>
          <cell r="P3831">
            <v>0</v>
          </cell>
          <cell r="Q3831">
            <v>0.70698356676245599</v>
          </cell>
          <cell r="R3831">
            <v>0.70698356676245599</v>
          </cell>
          <cell r="S3831" t="e">
            <v>#VALUE!</v>
          </cell>
          <cell r="T3831" t="e">
            <v>#VALUE!</v>
          </cell>
        </row>
        <row r="3832">
          <cell r="A3832" t="str">
            <v>G248005LAG</v>
          </cell>
          <cell r="B3832" t="str">
            <v>MKP000631005389</v>
          </cell>
          <cell r="C3832" t="str">
            <v/>
          </cell>
          <cell r="D3832" t="str">
            <v>Balcão 80 cm 2 Portas Branco/Crema Agata Madesa</v>
          </cell>
          <cell r="E3832" t="str">
            <v>ÁGATA</v>
          </cell>
          <cell r="F3832" t="str">
            <v>MODULAÇÃO</v>
          </cell>
          <cell r="G3832" t="str">
            <v/>
          </cell>
          <cell r="H3832">
            <v>669.99</v>
          </cell>
          <cell r="I3832">
            <v>569.99</v>
          </cell>
          <cell r="J3832">
            <v>325.82279999999997</v>
          </cell>
          <cell r="K3832">
            <v>0</v>
          </cell>
          <cell r="L3832">
            <v>325.82279999999997</v>
          </cell>
          <cell r="M3832">
            <v>0</v>
          </cell>
          <cell r="N3832">
            <v>569.99</v>
          </cell>
          <cell r="O3832" t="str">
            <v/>
          </cell>
          <cell r="P3832">
            <v>0</v>
          </cell>
          <cell r="Q3832">
            <v>0.74938647633007904</v>
          </cell>
          <cell r="R3832">
            <v>0.74938647633007904</v>
          </cell>
          <cell r="S3832" t="e">
            <v>#VALUE!</v>
          </cell>
          <cell r="T3832" t="e">
            <v>#VALUE!</v>
          </cell>
        </row>
        <row r="3833">
          <cell r="A3833" t="str">
            <v>G228009RLXCT</v>
          </cell>
          <cell r="B3833" t="str">
            <v>MKP000631005070</v>
          </cell>
          <cell r="C3833" t="str">
            <v/>
          </cell>
          <cell r="D3833" t="str">
            <v>Balcão 80 cm 2 Portas Branco/Cinza Lux Madesa</v>
          </cell>
          <cell r="E3833" t="str">
            <v>LUX</v>
          </cell>
          <cell r="F3833" t="str">
            <v>MODULAÇÃO</v>
          </cell>
          <cell r="G3833" t="str">
            <v/>
          </cell>
          <cell r="H3833">
            <v>1119.99</v>
          </cell>
          <cell r="I3833">
            <v>1019.99</v>
          </cell>
          <cell r="J3833">
            <v>569.05629999999996</v>
          </cell>
          <cell r="K3833">
            <v>0</v>
          </cell>
          <cell r="L3833">
            <v>569.05629999999996</v>
          </cell>
          <cell r="M3833">
            <v>0</v>
          </cell>
          <cell r="N3833">
            <v>1019.99</v>
          </cell>
          <cell r="O3833" t="str">
            <v>LOJA</v>
          </cell>
          <cell r="P3833">
            <v>999.99</v>
          </cell>
          <cell r="Q3833">
            <v>0.79242370218904501</v>
          </cell>
          <cell r="R3833">
            <v>0.79242370218904501</v>
          </cell>
          <cell r="S3833" t="e">
            <v>#VALUE!</v>
          </cell>
          <cell r="T3833" t="e">
            <v>#VALUE!</v>
          </cell>
        </row>
        <row r="3834">
          <cell r="A3834" t="str">
            <v>G2281373LX</v>
          </cell>
          <cell r="B3834" t="str">
            <v>MKP000631003264</v>
          </cell>
          <cell r="C3834" t="str">
            <v/>
          </cell>
          <cell r="D3834" t="str">
            <v>Balcão Madesa Lux 80 cm 2 Gavetas (Sem Tampo) Branco/Preto</v>
          </cell>
          <cell r="E3834" t="str">
            <v>LUX</v>
          </cell>
          <cell r="F3834" t="str">
            <v>MODULAÇÃO</v>
          </cell>
          <cell r="G3834" t="str">
            <v/>
          </cell>
          <cell r="H3834">
            <v>1459.99</v>
          </cell>
          <cell r="I3834">
            <v>989.99</v>
          </cell>
          <cell r="J3834">
            <v>527.82159999999999</v>
          </cell>
          <cell r="K3834">
            <v>0</v>
          </cell>
          <cell r="L3834">
            <v>527.82159999999999</v>
          </cell>
          <cell r="M3834">
            <v>0</v>
          </cell>
          <cell r="N3834">
            <v>989.99</v>
          </cell>
          <cell r="O3834" t="str">
            <v>LOJA</v>
          </cell>
          <cell r="P3834">
            <v>979.99</v>
          </cell>
          <cell r="Q3834">
            <v>0.87561479105819096</v>
          </cell>
          <cell r="R3834">
            <v>0.87561479105819096</v>
          </cell>
          <cell r="S3834" t="e">
            <v>#VALUE!</v>
          </cell>
          <cell r="T3834" t="e">
            <v>#VALUE!</v>
          </cell>
        </row>
        <row r="3835">
          <cell r="A3835" t="str">
            <v>G25800H7LX</v>
          </cell>
          <cell r="B3835" t="str">
            <v>MKP000631004694</v>
          </cell>
          <cell r="C3835" t="str">
            <v/>
          </cell>
          <cell r="D3835" t="str">
            <v>Armário Aéreo Madesa Lux 80 cm 2 Portas Branco/Branco Veludo</v>
          </cell>
          <cell r="E3835" t="str">
            <v>LUX</v>
          </cell>
          <cell r="F3835" t="str">
            <v>MODULAÇÃO</v>
          </cell>
          <cell r="G3835" t="str">
            <v/>
          </cell>
          <cell r="H3835">
            <v>919.99</v>
          </cell>
          <cell r="I3835">
            <v>529.99</v>
          </cell>
          <cell r="J3835">
            <v>282.16829999999999</v>
          </cell>
          <cell r="K3835">
            <v>0</v>
          </cell>
          <cell r="L3835">
            <v>282.16829999999999</v>
          </cell>
          <cell r="M3835">
            <v>0</v>
          </cell>
          <cell r="N3835">
            <v>529.99</v>
          </cell>
          <cell r="O3835" t="str">
            <v>LOJA</v>
          </cell>
          <cell r="P3835">
            <v>519.99</v>
          </cell>
          <cell r="Q3835">
            <v>0.87827619190391004</v>
          </cell>
          <cell r="R3835">
            <v>0.87827619190391004</v>
          </cell>
          <cell r="S3835" t="e">
            <v>#VALUE!</v>
          </cell>
          <cell r="T3835" t="e">
            <v>#VALUE!</v>
          </cell>
        </row>
        <row r="3836">
          <cell r="A3836" t="str">
            <v>G2280073LX</v>
          </cell>
          <cell r="B3836" t="str">
            <v>MKP000631003265</v>
          </cell>
          <cell r="C3836" t="str">
            <v/>
          </cell>
          <cell r="D3836" t="str">
            <v>Balcão Madesa Lux 80 cm 2 Portas (Sem Tampo) Branco/Preto</v>
          </cell>
          <cell r="E3836" t="str">
            <v>LUX</v>
          </cell>
          <cell r="F3836" t="str">
            <v>MODULAÇÃO</v>
          </cell>
          <cell r="G3836" t="str">
            <v/>
          </cell>
          <cell r="H3836">
            <v>1179.99</v>
          </cell>
          <cell r="I3836">
            <v>919.99</v>
          </cell>
          <cell r="J3836">
            <v>488.62520000000001</v>
          </cell>
          <cell r="K3836">
            <v>0</v>
          </cell>
          <cell r="L3836">
            <v>488.62520000000001</v>
          </cell>
          <cell r="M3836">
            <v>0</v>
          </cell>
          <cell r="N3836">
            <v>919.99</v>
          </cell>
          <cell r="O3836" t="str">
            <v>LOJA</v>
          </cell>
          <cell r="P3836">
            <v>899.99</v>
          </cell>
          <cell r="Q3836">
            <v>0.88281324827290897</v>
          </cell>
          <cell r="R3836">
            <v>0.88281324827290897</v>
          </cell>
          <cell r="S3836" t="e">
            <v>#VALUE!</v>
          </cell>
          <cell r="T3836" t="e">
            <v>#VALUE!</v>
          </cell>
        </row>
        <row r="3837">
          <cell r="A3837" t="str">
            <v>G223507KLXCT</v>
          </cell>
          <cell r="B3837" t="str">
            <v>MKP000631005104</v>
          </cell>
          <cell r="C3837" t="str">
            <v/>
          </cell>
          <cell r="D3837" t="str">
            <v>Balcão 35 cm 1 Porta Rustic/Preto Lux Madesa</v>
          </cell>
          <cell r="E3837" t="str">
            <v>LUX</v>
          </cell>
          <cell r="F3837" t="str">
            <v>MODULAÇÃO</v>
          </cell>
          <cell r="G3837" t="str">
            <v/>
          </cell>
          <cell r="H3837">
            <v>749.99</v>
          </cell>
          <cell r="I3837">
            <v>659.99</v>
          </cell>
          <cell r="J3837">
            <v>345.53</v>
          </cell>
          <cell r="K3837">
            <v>0</v>
          </cell>
          <cell r="L3837">
            <v>345.53</v>
          </cell>
          <cell r="M3837">
            <v>0</v>
          </cell>
          <cell r="N3837">
            <v>659.99</v>
          </cell>
          <cell r="O3837" t="str">
            <v>LOJA</v>
          </cell>
          <cell r="P3837">
            <v>649.99</v>
          </cell>
          <cell r="Q3837">
            <v>0.91008016670043101</v>
          </cell>
          <cell r="R3837">
            <v>0.91008016670043101</v>
          </cell>
          <cell r="S3837" t="e">
            <v>#VALUE!</v>
          </cell>
          <cell r="T3837" t="e">
            <v>#VALUE!</v>
          </cell>
        </row>
        <row r="3838">
          <cell r="A3838" t="str">
            <v>G22401H8LXCT</v>
          </cell>
          <cell r="B3838" t="str">
            <v>MKP000631005094</v>
          </cell>
          <cell r="C3838" t="str">
            <v/>
          </cell>
          <cell r="D3838" t="str">
            <v>Balcão 40 cm 3 Gavetas Rustic/Branco Veludo Lux Madesa</v>
          </cell>
          <cell r="E3838" t="str">
            <v>LUX</v>
          </cell>
          <cell r="F3838" t="str">
            <v>MODULAÇÃO</v>
          </cell>
          <cell r="G3838" t="str">
            <v/>
          </cell>
          <cell r="H3838">
            <v>889.99</v>
          </cell>
          <cell r="I3838">
            <v>819.99</v>
          </cell>
          <cell r="J3838">
            <v>415.31180000000001</v>
          </cell>
          <cell r="K3838">
            <v>0</v>
          </cell>
          <cell r="L3838">
            <v>415.31180000000001</v>
          </cell>
          <cell r="M3838">
            <v>0</v>
          </cell>
          <cell r="N3838">
            <v>819.99</v>
          </cell>
          <cell r="O3838" t="str">
            <v>LOJA</v>
          </cell>
          <cell r="P3838">
            <v>799.99</v>
          </cell>
          <cell r="Q3838">
            <v>0.97439610432450996</v>
          </cell>
          <cell r="R3838">
            <v>0.97439610432450996</v>
          </cell>
          <cell r="S3838" t="e">
            <v>#VALUE!</v>
          </cell>
          <cell r="T3838" t="e">
            <v>#VALUE!</v>
          </cell>
        </row>
        <row r="3839">
          <cell r="A3839" t="str">
            <v>GRTE3300055Z</v>
          </cell>
          <cell r="B3839" t="str">
            <v>MKP000631005946</v>
          </cell>
          <cell r="C3839" t="str">
            <v/>
          </cell>
          <cell r="D3839" t="str">
            <v>Armário de Cozinha Completa 330cm Rustic Stella Madesa 05</v>
          </cell>
          <cell r="E3839" t="str">
            <v>STELLA</v>
          </cell>
          <cell r="F3839" t="str">
            <v>COZINHA</v>
          </cell>
          <cell r="G3839" t="str">
            <v/>
          </cell>
          <cell r="H3839">
            <v>2299.9899999999998</v>
          </cell>
          <cell r="I3839">
            <v>2299.9899999999998</v>
          </cell>
          <cell r="J3839">
            <v>1965.3027</v>
          </cell>
          <cell r="K3839">
            <v>0</v>
          </cell>
          <cell r="L3839">
            <v>1965.3027</v>
          </cell>
          <cell r="M3839">
            <v>0</v>
          </cell>
          <cell r="N3839">
            <v>2299.9899999999998</v>
          </cell>
          <cell r="O3839" t="str">
            <v/>
          </cell>
          <cell r="P3839">
            <v>0</v>
          </cell>
          <cell r="Q3839">
            <v>0.170298091993666</v>
          </cell>
          <cell r="R3839">
            <v>0.170298091993666</v>
          </cell>
          <cell r="S3839" t="e">
            <v>#VALUE!</v>
          </cell>
          <cell r="T3839" t="e">
            <v>#VALUE!</v>
          </cell>
        </row>
        <row r="3840">
          <cell r="A3840" t="str">
            <v>GRGL290009A9</v>
          </cell>
          <cell r="B3840" t="str">
            <v>MKP000631001254</v>
          </cell>
          <cell r="C3840" t="str">
            <v/>
          </cell>
          <cell r="D3840" t="str">
            <v>Armário de Cozinha Completa 290cm Branco/Rustic/Crema Cristal Madesa 09</v>
          </cell>
          <cell r="E3840" t="str">
            <v>CRISTAL/GLAMY</v>
          </cell>
          <cell r="F3840" t="str">
            <v>COZINHA</v>
          </cell>
          <cell r="G3840" t="str">
            <v/>
          </cell>
          <cell r="H3840">
            <v>2199.9899999999998</v>
          </cell>
          <cell r="I3840">
            <v>2099.9899999999998</v>
          </cell>
          <cell r="J3840">
            <v>1760.9930999999999</v>
          </cell>
          <cell r="K3840">
            <v>0</v>
          </cell>
          <cell r="L3840">
            <v>1760.9930999999999</v>
          </cell>
          <cell r="M3840">
            <v>0</v>
          </cell>
          <cell r="N3840">
            <v>2099.9899999999998</v>
          </cell>
          <cell r="O3840" t="str">
            <v/>
          </cell>
          <cell r="P3840">
            <v>0</v>
          </cell>
          <cell r="Q3840">
            <v>0.19250325285204101</v>
          </cell>
          <cell r="R3840">
            <v>0.19250325285204101</v>
          </cell>
          <cell r="S3840" t="e">
            <v>#VALUE!</v>
          </cell>
          <cell r="T3840" t="e">
            <v>#VALUE!</v>
          </cell>
        </row>
        <row r="3841">
          <cell r="A3841" t="str">
            <v>GRGL2700127K</v>
          </cell>
          <cell r="B3841" t="str">
            <v>MKP000631004213</v>
          </cell>
          <cell r="C3841" t="str">
            <v/>
          </cell>
          <cell r="D3841" t="str">
            <v>Armário de Cozinha Completa 270cm Rustic/Preto Glamy Madesa 12</v>
          </cell>
          <cell r="E3841" t="str">
            <v>GLAMY</v>
          </cell>
          <cell r="F3841" t="str">
            <v>COZINHA</v>
          </cell>
          <cell r="G3841" t="str">
            <v/>
          </cell>
          <cell r="H3841">
            <v>1799.99</v>
          </cell>
          <cell r="I3841">
            <v>1699.99</v>
          </cell>
          <cell r="J3841">
            <v>1419.5397</v>
          </cell>
          <cell r="K3841">
            <v>0</v>
          </cell>
          <cell r="L3841">
            <v>1419.5397</v>
          </cell>
          <cell r="M3841">
            <v>0</v>
          </cell>
          <cell r="N3841">
            <v>1699.99</v>
          </cell>
          <cell r="O3841" t="str">
            <v/>
          </cell>
          <cell r="P3841">
            <v>0</v>
          </cell>
          <cell r="Q3841">
            <v>0.197564252694025</v>
          </cell>
          <cell r="R3841">
            <v>0.197564252694025</v>
          </cell>
          <cell r="S3841" t="e">
            <v>#VALUE!</v>
          </cell>
          <cell r="T3841" t="e">
            <v>#VALUE!</v>
          </cell>
        </row>
        <row r="3842">
          <cell r="A3842" t="str">
            <v>GREM2290109B</v>
          </cell>
          <cell r="B3842" t="str">
            <v>MKP000631005504</v>
          </cell>
          <cell r="C3842" t="str">
            <v/>
          </cell>
          <cell r="D3842" t="str">
            <v>Armário de Cozinha Compacta 229cm com Pia Rustic/Branco Emilly Madesa 10</v>
          </cell>
          <cell r="E3842" t="str">
            <v>EMILLY</v>
          </cell>
          <cell r="F3842" t="str">
            <v>COZINHA</v>
          </cell>
          <cell r="G3842" t="str">
            <v/>
          </cell>
          <cell r="H3842">
            <v>1339.99</v>
          </cell>
          <cell r="I3842">
            <v>1239.99</v>
          </cell>
          <cell r="J3842">
            <v>991.74739999999997</v>
          </cell>
          <cell r="K3842">
            <v>0</v>
          </cell>
          <cell r="L3842">
            <v>991.74739999999997</v>
          </cell>
          <cell r="M3842">
            <v>0</v>
          </cell>
          <cell r="N3842">
            <v>1239.99</v>
          </cell>
          <cell r="O3842" t="str">
            <v/>
          </cell>
          <cell r="P3842">
            <v>0</v>
          </cell>
          <cell r="Q3842">
            <v>0.25030829422895401</v>
          </cell>
          <cell r="R3842">
            <v>0.25030829422895401</v>
          </cell>
          <cell r="S3842" t="e">
            <v>#VALUE!</v>
          </cell>
          <cell r="T3842" t="e">
            <v>#VALUE!</v>
          </cell>
        </row>
        <row r="3843">
          <cell r="A3843" t="str">
            <v>GRGL24000609</v>
          </cell>
          <cell r="B3843" t="str">
            <v>MKP000631005680</v>
          </cell>
          <cell r="C3843" t="str">
            <v/>
          </cell>
          <cell r="D3843" t="str">
            <v>Armário de Cozinha Completa 240cm Branco Glamy Madesa 06</v>
          </cell>
          <cell r="E3843" t="str">
            <v>GLAMY</v>
          </cell>
          <cell r="F3843" t="str">
            <v>COZINHA</v>
          </cell>
          <cell r="G3843" t="str">
            <v/>
          </cell>
          <cell r="H3843">
            <v>2099.9899999999998</v>
          </cell>
          <cell r="I3843">
            <v>1999.99</v>
          </cell>
          <cell r="J3843">
            <v>1646.5867000000001</v>
          </cell>
          <cell r="K3843">
            <v>0</v>
          </cell>
          <cell r="L3843">
            <v>1646.5867000000001</v>
          </cell>
          <cell r="M3843">
            <v>0</v>
          </cell>
          <cell r="N3843">
            <v>1999.99</v>
          </cell>
          <cell r="O3843" t="str">
            <v/>
          </cell>
          <cell r="P3843">
            <v>0</v>
          </cell>
          <cell r="Q3843">
            <v>0.214627811581376</v>
          </cell>
          <cell r="R3843">
            <v>0.214627811581376</v>
          </cell>
          <cell r="S3843" t="e">
            <v>#VALUE!</v>
          </cell>
          <cell r="T3843" t="e">
            <v>#VALUE!</v>
          </cell>
        </row>
        <row r="3844">
          <cell r="A3844" t="str">
            <v>GRGL2400069B</v>
          </cell>
          <cell r="B3844" t="str">
            <v>MKP000631005678</v>
          </cell>
          <cell r="C3844" t="str">
            <v/>
          </cell>
          <cell r="D3844" t="str">
            <v>Armário de Cozinha Completa 240cm Branco/Rustic Glamy Madesa 06</v>
          </cell>
          <cell r="E3844" t="str">
            <v>GLAMY</v>
          </cell>
          <cell r="F3844" t="str">
            <v>COZINHA</v>
          </cell>
          <cell r="G3844" t="str">
            <v/>
          </cell>
          <cell r="H3844">
            <v>2099.9899999999998</v>
          </cell>
          <cell r="I3844">
            <v>1999.99</v>
          </cell>
          <cell r="J3844">
            <v>1646.5867000000001</v>
          </cell>
          <cell r="K3844">
            <v>0</v>
          </cell>
          <cell r="L3844">
            <v>1646.5867000000001</v>
          </cell>
          <cell r="M3844">
            <v>0</v>
          </cell>
          <cell r="N3844">
            <v>1999.99</v>
          </cell>
          <cell r="O3844" t="str">
            <v/>
          </cell>
          <cell r="P3844">
            <v>0</v>
          </cell>
          <cell r="Q3844">
            <v>0.214627811581376</v>
          </cell>
          <cell r="R3844">
            <v>0.214627811581376</v>
          </cell>
          <cell r="S3844" t="e">
            <v>#VALUE!</v>
          </cell>
          <cell r="T3844" t="e">
            <v>#VALUE!</v>
          </cell>
        </row>
        <row r="3845">
          <cell r="A3845" t="str">
            <v>GREM1370077K</v>
          </cell>
          <cell r="B3845" t="str">
            <v>MKP000631005800</v>
          </cell>
          <cell r="C3845" t="str">
            <v/>
          </cell>
          <cell r="D3845" t="str">
            <v>Armário de Cozinha Compacta 137cm com Pia Rustic/Preto Emilly Madesa 07</v>
          </cell>
          <cell r="E3845" t="str">
            <v>EMILLY</v>
          </cell>
          <cell r="F3845" t="str">
            <v>COZINHA</v>
          </cell>
          <cell r="G3845" t="str">
            <v/>
          </cell>
          <cell r="H3845">
            <v>1359.99</v>
          </cell>
          <cell r="I3845">
            <v>1259.99</v>
          </cell>
          <cell r="J3845">
            <v>1021.0466</v>
          </cell>
          <cell r="K3845">
            <v>0</v>
          </cell>
          <cell r="L3845">
            <v>1021.0466</v>
          </cell>
          <cell r="M3845">
            <v>0</v>
          </cell>
          <cell r="N3845">
            <v>1259.99</v>
          </cell>
          <cell r="O3845" t="str">
            <v/>
          </cell>
          <cell r="P3845">
            <v>0</v>
          </cell>
          <cell r="Q3845">
            <v>0.23401811435442799</v>
          </cell>
          <cell r="R3845">
            <v>0.23401811435442799</v>
          </cell>
          <cell r="S3845" t="e">
            <v>#VALUE!</v>
          </cell>
          <cell r="T3845" t="e">
            <v>#VALUE!</v>
          </cell>
        </row>
        <row r="3846">
          <cell r="A3846" t="str">
            <v>GCGL34900173</v>
          </cell>
          <cell r="B3846" t="str">
            <v>MKP000631004502</v>
          </cell>
          <cell r="C3846" t="str">
            <v/>
          </cell>
          <cell r="D3846" t="str">
            <v>Armário de Cozinha Completa de Canto 349cm Branco/Preto Glamy Madesa 01</v>
          </cell>
          <cell r="E3846" t="str">
            <v>GLAMY</v>
          </cell>
          <cell r="F3846" t="str">
            <v>COZINHA</v>
          </cell>
          <cell r="G3846" t="str">
            <v/>
          </cell>
          <cell r="H3846">
            <v>2639.99</v>
          </cell>
          <cell r="I3846">
            <v>2539.9899999999998</v>
          </cell>
          <cell r="J3846">
            <v>2079.7745</v>
          </cell>
          <cell r="K3846">
            <v>0</v>
          </cell>
          <cell r="L3846">
            <v>2079.7745</v>
          </cell>
          <cell r="M3846">
            <v>0</v>
          </cell>
          <cell r="N3846">
            <v>2539.9899999999998</v>
          </cell>
          <cell r="O3846" t="str">
            <v/>
          </cell>
          <cell r="P3846">
            <v>0</v>
          </cell>
          <cell r="Q3846">
            <v>0.22128144181015799</v>
          </cell>
          <cell r="R3846">
            <v>0.22128144181015799</v>
          </cell>
          <cell r="S3846" t="e">
            <v>#VALUE!</v>
          </cell>
          <cell r="T3846" t="e">
            <v>#VALUE!</v>
          </cell>
        </row>
        <row r="3847">
          <cell r="A3847" t="str">
            <v>GRTE2700089B</v>
          </cell>
          <cell r="B3847" t="str">
            <v>MKP000631005772</v>
          </cell>
          <cell r="C3847" t="str">
            <v/>
          </cell>
          <cell r="D3847" t="str">
            <v>Armário de Cozinha Completa 270cm Branco/Rustic Stella Madesa 08</v>
          </cell>
          <cell r="E3847" t="str">
            <v>STELLA</v>
          </cell>
          <cell r="F3847" t="str">
            <v>COZINHA</v>
          </cell>
          <cell r="G3847" t="str">
            <v/>
          </cell>
          <cell r="H3847">
            <v>1699.99</v>
          </cell>
          <cell r="I3847">
            <v>1699.99</v>
          </cell>
          <cell r="J3847">
            <v>1386.4146000000001</v>
          </cell>
          <cell r="K3847">
            <v>0</v>
          </cell>
          <cell r="L3847">
            <v>1386.4146000000001</v>
          </cell>
          <cell r="M3847">
            <v>0</v>
          </cell>
          <cell r="N3847">
            <v>1699.99</v>
          </cell>
          <cell r="O3847" t="str">
            <v/>
          </cell>
          <cell r="P3847">
            <v>0</v>
          </cell>
          <cell r="Q3847">
            <v>0.226177220003309</v>
          </cell>
          <cell r="R3847">
            <v>0.226177220003309</v>
          </cell>
          <cell r="S3847" t="e">
            <v>#VALUE!</v>
          </cell>
          <cell r="T3847" t="e">
            <v>#VALUE!</v>
          </cell>
        </row>
        <row r="3848">
          <cell r="A3848" t="str">
            <v>GRGL2000079Y</v>
          </cell>
          <cell r="B3848" t="str">
            <v>MKP000631005631</v>
          </cell>
          <cell r="C3848" t="str">
            <v/>
          </cell>
          <cell r="D3848" t="str">
            <v>Armário de Cozinha Compacta 200cm Rustic/Crema Glamy Madesa 07</v>
          </cell>
          <cell r="E3848" t="str">
            <v>GLAMY</v>
          </cell>
          <cell r="F3848" t="str">
            <v>COZINHA</v>
          </cell>
          <cell r="G3848" t="str">
            <v/>
          </cell>
          <cell r="H3848">
            <v>1699.99</v>
          </cell>
          <cell r="I3848">
            <v>1599.99</v>
          </cell>
          <cell r="J3848">
            <v>1301.5036</v>
          </cell>
          <cell r="K3848">
            <v>0</v>
          </cell>
          <cell r="L3848">
            <v>1301.5036</v>
          </cell>
          <cell r="M3848">
            <v>0</v>
          </cell>
          <cell r="N3848">
            <v>1599.99</v>
          </cell>
          <cell r="O3848" t="str">
            <v/>
          </cell>
          <cell r="P3848">
            <v>0</v>
          </cell>
          <cell r="Q3848">
            <v>0.22933966529174399</v>
          </cell>
          <cell r="R3848">
            <v>0.22933966529174399</v>
          </cell>
          <cell r="S3848" t="e">
            <v>#VALUE!</v>
          </cell>
          <cell r="T3848" t="e">
            <v>#VALUE!</v>
          </cell>
        </row>
        <row r="3849">
          <cell r="A3849" t="str">
            <v>MDJA0401607GFLH</v>
          </cell>
          <cell r="B3849" t="str">
            <v>MKP000631005532</v>
          </cell>
          <cell r="C3849" t="str">
            <v/>
          </cell>
          <cell r="D3849" t="str">
            <v>Conjunto Sala de Jantar Mesa Tampo de Vidro 4 Cadeiras Rustic/Crema/Floral Hibiscos Yara Madesa</v>
          </cell>
          <cell r="E3849" t="str">
            <v>YARA</v>
          </cell>
          <cell r="F3849" t="str">
            <v>SALA DE JANTAR</v>
          </cell>
          <cell r="G3849" t="str">
            <v>4291X</v>
          </cell>
          <cell r="H3849">
            <v>1099.99</v>
          </cell>
          <cell r="I3849">
            <v>999.99</v>
          </cell>
          <cell r="J3849">
            <v>811.36329999999998</v>
          </cell>
          <cell r="K3849">
            <v>0</v>
          </cell>
          <cell r="L3849">
            <v>811.36329999999998</v>
          </cell>
          <cell r="M3849">
            <v>0</v>
          </cell>
          <cell r="N3849">
            <v>999.99</v>
          </cell>
          <cell r="O3849" t="str">
            <v/>
          </cell>
          <cell r="P3849">
            <v>0</v>
          </cell>
          <cell r="Q3849">
            <v>0.23248118321348801</v>
          </cell>
          <cell r="R3849">
            <v>0.23248118321348801</v>
          </cell>
          <cell r="S3849" t="e">
            <v>#VALUE!</v>
          </cell>
          <cell r="T3849" t="e">
            <v>#VALUE!</v>
          </cell>
        </row>
        <row r="3850">
          <cell r="A3850" t="str">
            <v>MDJA0401607GBE</v>
          </cell>
          <cell r="B3850" t="str">
            <v>MKP000631005531</v>
          </cell>
          <cell r="C3850" t="str">
            <v/>
          </cell>
          <cell r="D3850" t="str">
            <v>Conjunto Sala de Jantar Mesa Tampo de Vidro 4 Cadeiras Rustic/Crema/Sintético Bege Yara Madesa</v>
          </cell>
          <cell r="E3850" t="str">
            <v>YARA</v>
          </cell>
          <cell r="F3850" t="str">
            <v>SALA DE JANTAR</v>
          </cell>
          <cell r="G3850" t="str">
            <v>4291X</v>
          </cell>
          <cell r="H3850">
            <v>1099.99</v>
          </cell>
          <cell r="I3850">
            <v>999.99</v>
          </cell>
          <cell r="J3850">
            <v>811.36329999999998</v>
          </cell>
          <cell r="K3850">
            <v>0</v>
          </cell>
          <cell r="L3850">
            <v>811.36329999999998</v>
          </cell>
          <cell r="M3850">
            <v>0</v>
          </cell>
          <cell r="N3850">
            <v>999.99</v>
          </cell>
          <cell r="O3850" t="str">
            <v/>
          </cell>
          <cell r="P3850">
            <v>0</v>
          </cell>
          <cell r="Q3850">
            <v>0.23248118321348801</v>
          </cell>
          <cell r="R3850">
            <v>0.23248118321348801</v>
          </cell>
          <cell r="S3850" t="e">
            <v>#VALUE!</v>
          </cell>
          <cell r="T3850" t="e">
            <v>#VALUE!</v>
          </cell>
        </row>
        <row r="3851">
          <cell r="A3851" t="str">
            <v>GREM1370065Z</v>
          </cell>
          <cell r="B3851" t="str">
            <v>MKP000631005804</v>
          </cell>
          <cell r="C3851" t="str">
            <v/>
          </cell>
          <cell r="D3851" t="str">
            <v>Armário de Cozinha Compacta 137cm Rustic Emilly Madesa 06</v>
          </cell>
          <cell r="E3851" t="str">
            <v>EMILLY</v>
          </cell>
          <cell r="F3851" t="str">
            <v>COZINHA</v>
          </cell>
          <cell r="G3851" t="str">
            <v/>
          </cell>
          <cell r="H3851">
            <v>849.99</v>
          </cell>
          <cell r="I3851">
            <v>849.99</v>
          </cell>
          <cell r="J3851">
            <v>675.21140000000003</v>
          </cell>
          <cell r="K3851">
            <v>0</v>
          </cell>
          <cell r="L3851">
            <v>675.21140000000003</v>
          </cell>
          <cell r="M3851">
            <v>0</v>
          </cell>
          <cell r="N3851">
            <v>849.99</v>
          </cell>
          <cell r="O3851" t="str">
            <v/>
          </cell>
          <cell r="P3851">
            <v>0</v>
          </cell>
          <cell r="Q3851">
            <v>0.25885019121418801</v>
          </cell>
          <cell r="R3851">
            <v>0.25885019121418801</v>
          </cell>
          <cell r="S3851" t="e">
            <v>#VALUE!</v>
          </cell>
          <cell r="T3851" t="e">
            <v>#VALUE!</v>
          </cell>
        </row>
        <row r="3852">
          <cell r="A3852" t="str">
            <v>GCTE49900209</v>
          </cell>
          <cell r="B3852" t="str">
            <v>MKP000631005761</v>
          </cell>
          <cell r="C3852" t="str">
            <v/>
          </cell>
          <cell r="D3852" t="str">
            <v>Armário de Cozinha Completa de Canto 499cm Branco Stella Madesa 02</v>
          </cell>
          <cell r="E3852" t="str">
            <v>STELLA</v>
          </cell>
          <cell r="F3852" t="str">
            <v>COZINHA</v>
          </cell>
          <cell r="G3852" t="str">
            <v/>
          </cell>
          <cell r="H3852">
            <v>3899.99</v>
          </cell>
          <cell r="I3852">
            <v>3899.99</v>
          </cell>
          <cell r="J3852">
            <v>3120.9207000000001</v>
          </cell>
          <cell r="K3852">
            <v>0</v>
          </cell>
          <cell r="L3852">
            <v>3120.9207000000001</v>
          </cell>
          <cell r="M3852">
            <v>0</v>
          </cell>
          <cell r="N3852">
            <v>3899.99</v>
          </cell>
          <cell r="O3852" t="str">
            <v/>
          </cell>
          <cell r="P3852">
            <v>0</v>
          </cell>
          <cell r="Q3852">
            <v>0.24962803444509199</v>
          </cell>
          <cell r="R3852">
            <v>0.24962803444509199</v>
          </cell>
          <cell r="S3852" t="e">
            <v>#VALUE!</v>
          </cell>
          <cell r="T3852" t="e">
            <v>#VALUE!</v>
          </cell>
        </row>
        <row r="3853">
          <cell r="A3853" t="str">
            <v>GCGL3490077K</v>
          </cell>
          <cell r="B3853" t="str">
            <v>MKP000631005237</v>
          </cell>
          <cell r="C3853" t="str">
            <v/>
          </cell>
          <cell r="D3853" t="str">
            <v>Armário de Cozinha Completa de Canto 349cm Rustic/Preto Glamy Madesa 07</v>
          </cell>
          <cell r="E3853" t="str">
            <v>GLAMY</v>
          </cell>
          <cell r="F3853" t="str">
            <v>COZINHA</v>
          </cell>
          <cell r="G3853" t="str">
            <v/>
          </cell>
          <cell r="H3853">
            <v>2159.9899999999998</v>
          </cell>
          <cell r="I3853">
            <v>2159.9899999999998</v>
          </cell>
          <cell r="J3853">
            <v>1729.1106</v>
          </cell>
          <cell r="K3853">
            <v>0</v>
          </cell>
          <cell r="L3853">
            <v>1729.1106</v>
          </cell>
          <cell r="M3853">
            <v>0</v>
          </cell>
          <cell r="N3853">
            <v>2159.9899999999998</v>
          </cell>
          <cell r="O3853" t="str">
            <v/>
          </cell>
          <cell r="P3853">
            <v>0</v>
          </cell>
          <cell r="Q3853">
            <v>0.24919134727414199</v>
          </cell>
          <cell r="R3853">
            <v>0.24919134727414199</v>
          </cell>
          <cell r="S3853" t="e">
            <v>#VALUE!</v>
          </cell>
          <cell r="T3853" t="e">
            <v>#VALUE!</v>
          </cell>
        </row>
        <row r="3854">
          <cell r="A3854" t="str">
            <v>MDES0200239B5Z</v>
          </cell>
          <cell r="B3854" t="str">
            <v>MKP000631001653</v>
          </cell>
          <cell r="C3854" t="str">
            <v/>
          </cell>
          <cell r="D3854" t="str">
            <v>Rack Madesa Cancun e Painel para TV até 65 Polegadas Branco/Rustic 9B5Z</v>
          </cell>
          <cell r="E3854" t="str">
            <v>CANCUN</v>
          </cell>
          <cell r="F3854" t="str">
            <v>SALA DE ESTAR</v>
          </cell>
          <cell r="G3854" t="str">
            <v/>
          </cell>
          <cell r="H3854">
            <v>1149.99</v>
          </cell>
          <cell r="I3854">
            <v>569.99</v>
          </cell>
          <cell r="J3854">
            <v>449.15629999999999</v>
          </cell>
          <cell r="K3854">
            <v>0</v>
          </cell>
          <cell r="L3854">
            <v>449.15629999999999</v>
          </cell>
          <cell r="M3854">
            <v>0</v>
          </cell>
          <cell r="N3854">
            <v>569.99</v>
          </cell>
          <cell r="O3854" t="str">
            <v/>
          </cell>
          <cell r="P3854">
            <v>0</v>
          </cell>
          <cell r="Q3854">
            <v>0.26902372292228799</v>
          </cell>
          <cell r="R3854">
            <v>0.26902372292228799</v>
          </cell>
          <cell r="S3854" t="e">
            <v>#VALUE!</v>
          </cell>
          <cell r="T3854" t="e">
            <v>#VALUE!</v>
          </cell>
        </row>
        <row r="3855">
          <cell r="A3855" t="str">
            <v>GRAG3300015L</v>
          </cell>
          <cell r="B3855" t="str">
            <v>MKP000631005967</v>
          </cell>
          <cell r="C3855" t="str">
            <v/>
          </cell>
          <cell r="D3855" t="str">
            <v>Armário de Cozinha Completa 330cm Branco/Crema Agata Madesa 01</v>
          </cell>
          <cell r="E3855" t="str">
            <v>ÁGATA</v>
          </cell>
          <cell r="F3855" t="str">
            <v>COZINHA</v>
          </cell>
          <cell r="G3855" t="str">
            <v/>
          </cell>
          <cell r="H3855">
            <v>2429.9899999999998</v>
          </cell>
          <cell r="I3855">
            <v>2429.9899999999998</v>
          </cell>
          <cell r="J3855">
            <v>1902.4641999999999</v>
          </cell>
          <cell r="K3855">
            <v>0</v>
          </cell>
          <cell r="L3855">
            <v>1902.4641999999999</v>
          </cell>
          <cell r="M3855">
            <v>0</v>
          </cell>
          <cell r="N3855">
            <v>2429.9899999999998</v>
          </cell>
          <cell r="O3855" t="str">
            <v/>
          </cell>
          <cell r="P3855">
            <v>0</v>
          </cell>
          <cell r="Q3855">
            <v>0.27728553315221399</v>
          </cell>
          <cell r="R3855">
            <v>0.27728553315221399</v>
          </cell>
          <cell r="S3855" t="e">
            <v>#VALUE!</v>
          </cell>
          <cell r="T3855" t="e">
            <v>#VALUE!</v>
          </cell>
        </row>
        <row r="3856">
          <cell r="A3856" t="str">
            <v>G241247KGLCT</v>
          </cell>
          <cell r="B3856" t="str">
            <v>MKP000631003002</v>
          </cell>
          <cell r="C3856" t="str">
            <v/>
          </cell>
          <cell r="D3856" t="str">
            <v>Balcão de Pia Madesa Glamy 120 cm 2 Portas e 3 Gavetas (Com Tampo) Rustic/Preto</v>
          </cell>
          <cell r="E3856" t="str">
            <v>GLAMY</v>
          </cell>
          <cell r="F3856" t="str">
            <v>MODULAÇÃO</v>
          </cell>
          <cell r="G3856" t="str">
            <v/>
          </cell>
          <cell r="H3856">
            <v>1469.99</v>
          </cell>
          <cell r="I3856">
            <v>829.99</v>
          </cell>
          <cell r="J3856">
            <v>648.65899999999999</v>
          </cell>
          <cell r="K3856">
            <v>0</v>
          </cell>
          <cell r="L3856">
            <v>648.65899999999999</v>
          </cell>
          <cell r="M3856">
            <v>0</v>
          </cell>
          <cell r="N3856">
            <v>829.99</v>
          </cell>
          <cell r="O3856" t="str">
            <v/>
          </cell>
          <cell r="P3856">
            <v>0</v>
          </cell>
          <cell r="Q3856">
            <v>0.27954749722118999</v>
          </cell>
          <cell r="R3856">
            <v>0.27954749722118999</v>
          </cell>
          <cell r="S3856" t="e">
            <v>#VALUE!</v>
          </cell>
          <cell r="T3856" t="e">
            <v>#VALUE!</v>
          </cell>
        </row>
        <row r="3857">
          <cell r="A3857" t="str">
            <v>G2412073CT</v>
          </cell>
          <cell r="B3857" t="str">
            <v>MKP000631005858</v>
          </cell>
          <cell r="C3857" t="str">
            <v/>
          </cell>
          <cell r="D3857" t="str">
            <v>Balcão de Pia Cozinha 100% MDF 120 cm 2 Portas Branco/Preto Acordes Madesa</v>
          </cell>
          <cell r="E3857" t="str">
            <v>ACORDES</v>
          </cell>
          <cell r="F3857" t="str">
            <v>MODULAÇÃO</v>
          </cell>
          <cell r="G3857" t="str">
            <v/>
          </cell>
          <cell r="H3857">
            <v>759.99</v>
          </cell>
          <cell r="I3857">
            <v>659.99</v>
          </cell>
          <cell r="J3857">
            <v>509.34609999999998</v>
          </cell>
          <cell r="K3857">
            <v>0</v>
          </cell>
          <cell r="L3857">
            <v>509.34609999999998</v>
          </cell>
          <cell r="M3857">
            <v>0</v>
          </cell>
          <cell r="N3857">
            <v>659.99</v>
          </cell>
          <cell r="O3857" t="str">
            <v/>
          </cell>
          <cell r="P3857">
            <v>0</v>
          </cell>
          <cell r="Q3857">
            <v>0.29575940603059497</v>
          </cell>
          <cell r="R3857">
            <v>0.29575940603059497</v>
          </cell>
          <cell r="S3857" t="e">
            <v>#VALUE!</v>
          </cell>
          <cell r="T3857" t="e">
            <v>#VALUE!</v>
          </cell>
        </row>
        <row r="3858">
          <cell r="A3858" t="str">
            <v>GRAG270008F8</v>
          </cell>
          <cell r="B3858" t="str">
            <v>MKP000631005260</v>
          </cell>
          <cell r="C3858" t="str">
            <v/>
          </cell>
          <cell r="D3858" t="str">
            <v>Armário de  Cozinha Completa 270cm Branco/Cinza Agata Madesa 08</v>
          </cell>
          <cell r="E3858" t="str">
            <v>ÁGATA</v>
          </cell>
          <cell r="F3858" t="str">
            <v>COZINHA</v>
          </cell>
          <cell r="G3858" t="str">
            <v/>
          </cell>
          <cell r="H3858">
            <v>2119.9899999999998</v>
          </cell>
          <cell r="I3858">
            <v>1999.99</v>
          </cell>
          <cell r="J3858">
            <v>1532.6162999999999</v>
          </cell>
          <cell r="K3858">
            <v>0</v>
          </cell>
          <cell r="L3858">
            <v>1532.6162999999999</v>
          </cell>
          <cell r="M3858">
            <v>0</v>
          </cell>
          <cell r="N3858">
            <v>1999.99</v>
          </cell>
          <cell r="O3858" t="str">
            <v/>
          </cell>
          <cell r="P3858">
            <v>0</v>
          </cell>
          <cell r="Q3858">
            <v>0.30495153940356801</v>
          </cell>
          <cell r="R3858">
            <v>0.30495153940356801</v>
          </cell>
          <cell r="S3858" t="e">
            <v>#VALUE!</v>
          </cell>
          <cell r="T3858" t="e">
            <v>#VALUE!</v>
          </cell>
        </row>
        <row r="3859">
          <cell r="A3859" t="str">
            <v>G24124F8AGCT</v>
          </cell>
          <cell r="B3859" t="str">
            <v>MKP000631005845</v>
          </cell>
          <cell r="C3859" t="str">
            <v/>
          </cell>
          <cell r="D3859" t="str">
            <v>Balcão de Pia Cozinha 2 Portas e 3 Gavetas (Com Tampo) Branco/Cinza Agata Madesa</v>
          </cell>
          <cell r="E3859" t="str">
            <v>ÁGATA</v>
          </cell>
          <cell r="F3859" t="str">
            <v>MODULAÇÃO</v>
          </cell>
          <cell r="G3859" t="str">
            <v/>
          </cell>
          <cell r="H3859">
            <v>949.99</v>
          </cell>
          <cell r="I3859">
            <v>849.99</v>
          </cell>
          <cell r="J3859">
            <v>633.29</v>
          </cell>
          <cell r="K3859">
            <v>0</v>
          </cell>
          <cell r="L3859">
            <v>633.29</v>
          </cell>
          <cell r="M3859">
            <v>0</v>
          </cell>
          <cell r="N3859">
            <v>849.99</v>
          </cell>
          <cell r="O3859" t="str">
            <v/>
          </cell>
          <cell r="P3859">
            <v>0</v>
          </cell>
          <cell r="Q3859">
            <v>0.34218130714206701</v>
          </cell>
          <cell r="R3859">
            <v>0.34218130714206701</v>
          </cell>
          <cell r="S3859" t="e">
            <v>#VALUE!</v>
          </cell>
          <cell r="T3859" t="e">
            <v>#VALUE!</v>
          </cell>
        </row>
        <row r="3860">
          <cell r="A3860" t="str">
            <v>G24123F9AGCT</v>
          </cell>
          <cell r="B3860" t="str">
            <v>MKP000631005823</v>
          </cell>
          <cell r="C3860" t="str">
            <v/>
          </cell>
          <cell r="D3860" t="str">
            <v>Balcão de Pia Cozinha 1 Porta e 2 Gavetas (Com Tampo) Rustic/Cinza Agata Madesa</v>
          </cell>
          <cell r="E3860" t="str">
            <v>ÁGATA</v>
          </cell>
          <cell r="F3860" t="str">
            <v>MODULAÇÃO</v>
          </cell>
          <cell r="G3860" t="str">
            <v/>
          </cell>
          <cell r="H3860">
            <v>799.99</v>
          </cell>
          <cell r="I3860">
            <v>699.99</v>
          </cell>
          <cell r="J3860">
            <v>516.06050000000005</v>
          </cell>
          <cell r="K3860">
            <v>0</v>
          </cell>
          <cell r="L3860">
            <v>516.06050000000005</v>
          </cell>
          <cell r="M3860">
            <v>0</v>
          </cell>
          <cell r="N3860">
            <v>699.99</v>
          </cell>
          <cell r="O3860" t="str">
            <v/>
          </cell>
          <cell r="P3860">
            <v>0</v>
          </cell>
          <cell r="Q3860">
            <v>0.35641073091236403</v>
          </cell>
          <cell r="R3860">
            <v>0.35641073091236403</v>
          </cell>
          <cell r="S3860" t="e">
            <v>#VALUE!</v>
          </cell>
          <cell r="T3860" t="e">
            <v>#VALUE!</v>
          </cell>
        </row>
        <row r="3861">
          <cell r="A3861" t="str">
            <v>G2470073</v>
          </cell>
          <cell r="B3861" t="str">
            <v>MKP000631005743</v>
          </cell>
          <cell r="C3861" t="str">
            <v/>
          </cell>
          <cell r="D3861" t="str">
            <v>Balcão 100% MDF 70 cm 2 Portas Branco/Preto Acordes Madesa</v>
          </cell>
          <cell r="E3861" t="str">
            <v>ACORDES</v>
          </cell>
          <cell r="F3861" t="str">
            <v>MODULAÇÃO</v>
          </cell>
          <cell r="G3861" t="str">
            <v/>
          </cell>
          <cell r="H3861">
            <v>549.99</v>
          </cell>
          <cell r="I3861">
            <v>529.99</v>
          </cell>
          <cell r="J3861">
            <v>345.67169999999999</v>
          </cell>
          <cell r="K3861">
            <v>0</v>
          </cell>
          <cell r="L3861">
            <v>345.67169999999999</v>
          </cell>
          <cell r="M3861">
            <v>0</v>
          </cell>
          <cell r="N3861">
            <v>529.99</v>
          </cell>
          <cell r="O3861" t="str">
            <v/>
          </cell>
          <cell r="P3861">
            <v>0</v>
          </cell>
          <cell r="Q3861">
            <v>0.53321779017489701</v>
          </cell>
          <cell r="R3861">
            <v>0.53321779017489701</v>
          </cell>
          <cell r="S3861" t="e">
            <v>#VALUE!</v>
          </cell>
          <cell r="T3861" t="e">
            <v>#VALUE!</v>
          </cell>
        </row>
        <row r="3862">
          <cell r="A3862" t="str">
            <v>G276015Z</v>
          </cell>
          <cell r="B3862" t="str">
            <v>MKP000631005649</v>
          </cell>
          <cell r="C3862" t="str">
            <v/>
          </cell>
          <cell r="D3862" t="str">
            <v>Kit 2 Prateleiras Suspensas para Cozinha Madesa 60 cm com Mão Francesa Rustic</v>
          </cell>
          <cell r="E3862" t="str">
            <v>PR</v>
          </cell>
          <cell r="F3862" t="str">
            <v>MODULAÇÃO</v>
          </cell>
          <cell r="G3862" t="str">
            <v/>
          </cell>
          <cell r="H3862">
            <v>399.99</v>
          </cell>
          <cell r="I3862">
            <v>189.99</v>
          </cell>
          <cell r="J3862">
            <v>118.6247</v>
          </cell>
          <cell r="K3862">
            <v>0</v>
          </cell>
          <cell r="L3862">
            <v>118.6247</v>
          </cell>
          <cell r="M3862">
            <v>0</v>
          </cell>
          <cell r="N3862">
            <v>189.99</v>
          </cell>
          <cell r="O3862" t="str">
            <v/>
          </cell>
          <cell r="P3862">
            <v>0</v>
          </cell>
          <cell r="Q3862">
            <v>0.60160573641071402</v>
          </cell>
          <cell r="R3862">
            <v>0.60160573641071402</v>
          </cell>
          <cell r="S3862" t="e">
            <v>#VALUE!</v>
          </cell>
          <cell r="T3862" t="e">
            <v>#VALUE!</v>
          </cell>
        </row>
        <row r="3863">
          <cell r="A3863" t="str">
            <v>G228005ZFFCT</v>
          </cell>
          <cell r="B3863" t="str">
            <v>MKP000631006030</v>
          </cell>
          <cell r="C3863" t="str">
            <v/>
          </cell>
          <cell r="D3863" t="str">
            <v>Balcão para Forno de Embutir 80 x 60 cm Com Tampo Rustic Glamy, Stella Madesa</v>
          </cell>
          <cell r="E3863" t="str">
            <v>PR</v>
          </cell>
          <cell r="F3863" t="str">
            <v>MODULAÇÃO</v>
          </cell>
          <cell r="G3863" t="str">
            <v/>
          </cell>
          <cell r="H3863">
            <v>589.99</v>
          </cell>
          <cell r="I3863">
            <v>589.99</v>
          </cell>
          <cell r="J3863">
            <v>382.07769999999999</v>
          </cell>
          <cell r="K3863">
            <v>0</v>
          </cell>
          <cell r="L3863">
            <v>382.07769999999999</v>
          </cell>
          <cell r="M3863">
            <v>0</v>
          </cell>
          <cell r="N3863">
            <v>589.99</v>
          </cell>
          <cell r="O3863" t="str">
            <v/>
          </cell>
          <cell r="P3863">
            <v>0</v>
          </cell>
          <cell r="Q3863">
            <v>0.544162352317343</v>
          </cell>
          <cell r="R3863">
            <v>0.544162352317343</v>
          </cell>
          <cell r="S3863" t="e">
            <v>#VALUE!</v>
          </cell>
          <cell r="T3863" t="e">
            <v>#VALUE!</v>
          </cell>
        </row>
        <row r="3864">
          <cell r="A3864" t="str">
            <v>G248026EAG</v>
          </cell>
          <cell r="B3864" t="str">
            <v>MKP000631005050</v>
          </cell>
          <cell r="C3864" t="str">
            <v/>
          </cell>
          <cell r="D3864" t="str">
            <v>Balcão 80 cm 2 Gavetas Rustic/Branco Agata Madesa</v>
          </cell>
          <cell r="E3864" t="str">
            <v>ÁGATA</v>
          </cell>
          <cell r="F3864" t="str">
            <v>MODULAÇÃO</v>
          </cell>
          <cell r="G3864" t="str">
            <v/>
          </cell>
          <cell r="H3864">
            <v>689.99</v>
          </cell>
          <cell r="I3864">
            <v>589.99</v>
          </cell>
          <cell r="J3864">
            <v>369.84789999999998</v>
          </cell>
          <cell r="K3864">
            <v>0</v>
          </cell>
          <cell r="L3864">
            <v>369.84789999999998</v>
          </cell>
          <cell r="M3864">
            <v>0</v>
          </cell>
          <cell r="N3864">
            <v>589.99</v>
          </cell>
          <cell r="O3864" t="str">
            <v/>
          </cell>
          <cell r="P3864">
            <v>0</v>
          </cell>
          <cell r="Q3864">
            <v>0.59522333370015101</v>
          </cell>
          <cell r="R3864">
            <v>0.59522333370015101</v>
          </cell>
          <cell r="S3864" t="e">
            <v>#VALUE!</v>
          </cell>
          <cell r="T3864" t="e">
            <v>#VALUE!</v>
          </cell>
        </row>
        <row r="3865">
          <cell r="A3865" t="str">
            <v>GRLX30000173</v>
          </cell>
          <cell r="B3865" t="str">
            <v>MKP000631005129</v>
          </cell>
          <cell r="C3865" t="str">
            <v/>
          </cell>
          <cell r="D3865" t="str">
            <v>Armário de Cozinha Completa 300cm Branco/Preto Lux da Sabrina Madesa</v>
          </cell>
          <cell r="E3865" t="str">
            <v>LUX</v>
          </cell>
          <cell r="F3865" t="str">
            <v>COZINHA</v>
          </cell>
          <cell r="G3865" t="str">
            <v/>
          </cell>
          <cell r="H3865">
            <v>6009.99</v>
          </cell>
          <cell r="I3865">
            <v>5969.99</v>
          </cell>
          <cell r="J3865">
            <v>3512.2197999999999</v>
          </cell>
          <cell r="K3865">
            <v>0</v>
          </cell>
          <cell r="L3865">
            <v>3512.2197999999999</v>
          </cell>
          <cell r="M3865">
            <v>0</v>
          </cell>
          <cell r="N3865">
            <v>5969.99</v>
          </cell>
          <cell r="O3865" t="str">
            <v>LOJA</v>
          </cell>
          <cell r="P3865">
            <v>5249.99</v>
          </cell>
          <cell r="Q3865">
            <v>0.69977687615108797</v>
          </cell>
          <cell r="R3865">
            <v>0.69977687615108797</v>
          </cell>
          <cell r="S3865" t="e">
            <v>#VALUE!</v>
          </cell>
          <cell r="T3865" t="e">
            <v>#VALUE!</v>
          </cell>
        </row>
        <row r="3866">
          <cell r="A3866" t="str">
            <v>G247005LAG</v>
          </cell>
          <cell r="B3866" t="str">
            <v>MKP000631005391</v>
          </cell>
          <cell r="C3866" t="str">
            <v/>
          </cell>
          <cell r="D3866" t="str">
            <v>Balcão de Cozinha 70 cm 2 Portas Branco/Crema Agata Madesa</v>
          </cell>
          <cell r="E3866" t="str">
            <v>ÁGATA</v>
          </cell>
          <cell r="F3866" t="str">
            <v>MODULAÇÃO</v>
          </cell>
          <cell r="G3866" t="str">
            <v/>
          </cell>
          <cell r="H3866">
            <v>649.99</v>
          </cell>
          <cell r="I3866">
            <v>549.99</v>
          </cell>
          <cell r="J3866">
            <v>316.08909999999997</v>
          </cell>
          <cell r="K3866">
            <v>0</v>
          </cell>
          <cell r="L3866">
            <v>316.08909999999997</v>
          </cell>
          <cell r="M3866">
            <v>0</v>
          </cell>
          <cell r="N3866">
            <v>549.99</v>
          </cell>
          <cell r="O3866" t="str">
            <v/>
          </cell>
          <cell r="P3866">
            <v>0</v>
          </cell>
          <cell r="Q3866">
            <v>0.73998407411074896</v>
          </cell>
          <cell r="R3866">
            <v>0.73998407411074896</v>
          </cell>
          <cell r="S3866" t="e">
            <v>#VALUE!</v>
          </cell>
          <cell r="T3866" t="e">
            <v>#VALUE!</v>
          </cell>
        </row>
        <row r="3867">
          <cell r="A3867" t="str">
            <v>G246005LAG</v>
          </cell>
          <cell r="B3867" t="str">
            <v>MKP000631005393</v>
          </cell>
          <cell r="C3867" t="str">
            <v/>
          </cell>
          <cell r="D3867" t="str">
            <v>Balcão 60 cm 1 Porta Branco/Crema Agata Madesa</v>
          </cell>
          <cell r="E3867" t="str">
            <v>ÁGATA</v>
          </cell>
          <cell r="F3867" t="str">
            <v>MODULAÇÃO</v>
          </cell>
          <cell r="G3867" t="str">
            <v/>
          </cell>
          <cell r="H3867">
            <v>549.99</v>
          </cell>
          <cell r="I3867">
            <v>449.99</v>
          </cell>
          <cell r="J3867">
            <v>251.9753</v>
          </cell>
          <cell r="K3867">
            <v>0</v>
          </cell>
          <cell r="L3867">
            <v>251.9753</v>
          </cell>
          <cell r="M3867">
            <v>0</v>
          </cell>
          <cell r="N3867">
            <v>449.99</v>
          </cell>
          <cell r="O3867" t="str">
            <v/>
          </cell>
          <cell r="P3867">
            <v>0</v>
          </cell>
          <cell r="Q3867">
            <v>0.78584964478661201</v>
          </cell>
          <cell r="R3867">
            <v>0.78584964478661201</v>
          </cell>
          <cell r="S3867" t="e">
            <v>#VALUE!</v>
          </cell>
          <cell r="T3867" t="e">
            <v>#VALUE!</v>
          </cell>
        </row>
        <row r="3868">
          <cell r="A3868" t="str">
            <v>G2281373LXCT</v>
          </cell>
          <cell r="B3868" t="str">
            <v>MKP000631005064</v>
          </cell>
          <cell r="C3868" t="str">
            <v/>
          </cell>
          <cell r="D3868" t="str">
            <v>Balcão 80 cm 2 Gavetas Branco/Preto Lux Madesa</v>
          </cell>
          <cell r="E3868" t="str">
            <v>LUX</v>
          </cell>
          <cell r="F3868" t="str">
            <v>MODULAÇÃO</v>
          </cell>
          <cell r="G3868" t="str">
            <v/>
          </cell>
          <cell r="H3868">
            <v>1419.99</v>
          </cell>
          <cell r="I3868">
            <v>1139.99</v>
          </cell>
          <cell r="J3868">
            <v>608.2527</v>
          </cell>
          <cell r="K3868">
            <v>0</v>
          </cell>
          <cell r="L3868">
            <v>608.2527</v>
          </cell>
          <cell r="M3868">
            <v>0</v>
          </cell>
          <cell r="N3868">
            <v>1139.99</v>
          </cell>
          <cell r="O3868" t="str">
            <v>LOJA</v>
          </cell>
          <cell r="P3868">
            <v>1129.99</v>
          </cell>
          <cell r="Q3868">
            <v>0.87420458635037701</v>
          </cell>
          <cell r="R3868">
            <v>0.87420458635037701</v>
          </cell>
          <cell r="S3868" t="e">
            <v>#VALUE!</v>
          </cell>
          <cell r="T3868" t="e">
            <v>#VALUE!</v>
          </cell>
        </row>
        <row r="3869">
          <cell r="A3869" t="str">
            <v>G227007KLX</v>
          </cell>
          <cell r="B3869" t="str">
            <v>MKP000631005177</v>
          </cell>
          <cell r="C3869" t="str">
            <v/>
          </cell>
          <cell r="D3869" t="str">
            <v>Balcão Madesa Lux 70 cm 2 Portas - Rustic/Preto (Sem Tampo)</v>
          </cell>
          <cell r="E3869" t="str">
            <v>LUX</v>
          </cell>
          <cell r="F3869" t="str">
            <v>MODULAÇÃO</v>
          </cell>
          <cell r="G3869" t="str">
            <v/>
          </cell>
          <cell r="H3869">
            <v>959.99</v>
          </cell>
          <cell r="I3869">
            <v>859.99</v>
          </cell>
          <cell r="J3869">
            <v>453.22199999999998</v>
          </cell>
          <cell r="K3869">
            <v>0</v>
          </cell>
          <cell r="L3869">
            <v>453.22199999999998</v>
          </cell>
          <cell r="M3869">
            <v>0</v>
          </cell>
          <cell r="N3869">
            <v>859.99</v>
          </cell>
          <cell r="O3869" t="str">
            <v>LOJA</v>
          </cell>
          <cell r="P3869">
            <v>849.99</v>
          </cell>
          <cell r="Q3869">
            <v>0.89750276906240201</v>
          </cell>
          <cell r="R3869">
            <v>0.89750276906240201</v>
          </cell>
          <cell r="S3869" t="e">
            <v>#VALUE!</v>
          </cell>
          <cell r="T3869" t="e">
            <v>#VALUE!</v>
          </cell>
        </row>
        <row r="3870">
          <cell r="A3870" t="str">
            <v>G22350H8LXCT</v>
          </cell>
          <cell r="B3870" t="str">
            <v>MKP000631005103</v>
          </cell>
          <cell r="C3870" t="str">
            <v/>
          </cell>
          <cell r="D3870" t="str">
            <v>Balcão 35 cm 1 Porta Rustic/Branco Veludo Lux Madesa</v>
          </cell>
          <cell r="E3870" t="str">
            <v>LUX</v>
          </cell>
          <cell r="F3870" t="str">
            <v>MODULAÇÃO</v>
          </cell>
          <cell r="G3870" t="str">
            <v/>
          </cell>
          <cell r="H3870">
            <v>639.99</v>
          </cell>
          <cell r="I3870">
            <v>559.99</v>
          </cell>
          <cell r="J3870">
            <v>279.24709999999999</v>
          </cell>
          <cell r="K3870">
            <v>0</v>
          </cell>
          <cell r="L3870">
            <v>279.24709999999999</v>
          </cell>
          <cell r="M3870">
            <v>0</v>
          </cell>
          <cell r="N3870">
            <v>559.99</v>
          </cell>
          <cell r="O3870" t="str">
            <v>LOJA</v>
          </cell>
          <cell r="P3870">
            <v>549.99</v>
          </cell>
          <cell r="Q3870">
            <v>1.0053565462273399</v>
          </cell>
          <cell r="R3870">
            <v>1.0053565462273399</v>
          </cell>
          <cell r="S3870" t="e">
            <v>#VALUE!</v>
          </cell>
          <cell r="T3870" t="e">
            <v>#VALUE!</v>
          </cell>
        </row>
        <row r="3871">
          <cell r="A3871" t="str">
            <v>G25757H7LX</v>
          </cell>
          <cell r="B3871" t="str">
            <v>MKP000631004696</v>
          </cell>
          <cell r="C3871" t="str">
            <v/>
          </cell>
          <cell r="D3871" t="str">
            <v>Armário Aéreo de Canto com Adega Acoplada Madesa Lux 1 Porta Branco/Branco Veludo</v>
          </cell>
          <cell r="E3871" t="str">
            <v>LUX</v>
          </cell>
          <cell r="F3871" t="str">
            <v>MODULAÇÃO</v>
          </cell>
          <cell r="G3871" t="str">
            <v/>
          </cell>
          <cell r="H3871">
            <v>959.99</v>
          </cell>
          <cell r="I3871">
            <v>639.99</v>
          </cell>
          <cell r="J3871">
            <v>305.37439999999998</v>
          </cell>
          <cell r="K3871">
            <v>0</v>
          </cell>
          <cell r="L3871">
            <v>305.37439999999998</v>
          </cell>
          <cell r="M3871">
            <v>0</v>
          </cell>
          <cell r="N3871">
            <v>639.99</v>
          </cell>
          <cell r="O3871" t="str">
            <v>LOJA</v>
          </cell>
          <cell r="P3871">
            <v>629.99</v>
          </cell>
          <cell r="Q3871">
            <v>1.0957552433995801</v>
          </cell>
          <cell r="R3871">
            <v>1.0957552433995801</v>
          </cell>
          <cell r="S3871" t="e">
            <v>#VALUE!</v>
          </cell>
          <cell r="T3871" t="e">
            <v>#VALUE!</v>
          </cell>
        </row>
        <row r="3872">
          <cell r="A3872" t="str">
            <v>G22750H7LXCT</v>
          </cell>
          <cell r="B3872" t="str">
            <v>MKP000631005078</v>
          </cell>
          <cell r="C3872" t="str">
            <v/>
          </cell>
          <cell r="D3872" t="str">
            <v>Balcão de Canto Madesa Lux 1 Porta 60 cm Profundidade (Com Tampo) Branco/Branco Veludo</v>
          </cell>
          <cell r="E3872" t="str">
            <v>LUX</v>
          </cell>
          <cell r="F3872" t="str">
            <v>MODULAÇÃO</v>
          </cell>
          <cell r="G3872" t="str">
            <v/>
          </cell>
          <cell r="H3872">
            <v>889.99</v>
          </cell>
          <cell r="I3872">
            <v>829.99</v>
          </cell>
          <cell r="J3872">
            <v>393.1848</v>
          </cell>
          <cell r="K3872">
            <v>0</v>
          </cell>
          <cell r="L3872">
            <v>393.1848</v>
          </cell>
          <cell r="M3872">
            <v>0</v>
          </cell>
          <cell r="N3872">
            <v>829.99</v>
          </cell>
          <cell r="O3872" t="str">
            <v>LOJA</v>
          </cell>
          <cell r="P3872">
            <v>819.99</v>
          </cell>
          <cell r="Q3872">
            <v>1.1109412164457999</v>
          </cell>
          <cell r="R3872">
            <v>1.1109412164457999</v>
          </cell>
          <cell r="S3872" t="e">
            <v>#VALUE!</v>
          </cell>
          <cell r="T3872" t="e">
            <v>#VALUE!</v>
          </cell>
        </row>
        <row r="3873">
          <cell r="A3873" t="str">
            <v>GRTE3100025Z</v>
          </cell>
          <cell r="B3873" t="str">
            <v>MKP000631005935</v>
          </cell>
          <cell r="C3873" t="str">
            <v/>
          </cell>
          <cell r="D3873" t="str">
            <v>Armário de Cozinha Completa 310cm Rustic Stella Madesa 02</v>
          </cell>
          <cell r="E3873" t="str">
            <v>STELLA</v>
          </cell>
          <cell r="F3873" t="str">
            <v>COZINHA</v>
          </cell>
          <cell r="G3873" t="str">
            <v/>
          </cell>
          <cell r="H3873">
            <v>2499.9899999999998</v>
          </cell>
          <cell r="I3873">
            <v>2499.9899999999998</v>
          </cell>
          <cell r="J3873">
            <v>2134.4924999999998</v>
          </cell>
          <cell r="K3873">
            <v>0</v>
          </cell>
          <cell r="L3873">
            <v>2134.4924999999998</v>
          </cell>
          <cell r="M3873">
            <v>0</v>
          </cell>
          <cell r="N3873">
            <v>2499.9899999999998</v>
          </cell>
          <cell r="O3873" t="str">
            <v/>
          </cell>
          <cell r="P3873">
            <v>0</v>
          </cell>
          <cell r="Q3873">
            <v>0.171233911573828</v>
          </cell>
          <cell r="R3873">
            <v>0.171233911573828</v>
          </cell>
          <cell r="S3873" t="e">
            <v>#VALUE!</v>
          </cell>
          <cell r="T3873" t="e">
            <v>#VALUE!</v>
          </cell>
        </row>
        <row r="3874">
          <cell r="A3874" t="str">
            <v>GRGL2200030973</v>
          </cell>
          <cell r="B3874" t="str">
            <v>MKP000631001450</v>
          </cell>
          <cell r="C3874" t="str">
            <v/>
          </cell>
          <cell r="D3874" t="str">
            <v>Armário de Cozinha Completa 220cm Branco/Branco/Preto Parma Madesa 03</v>
          </cell>
          <cell r="E3874" t="str">
            <v>PARMA/GLAMY</v>
          </cell>
          <cell r="F3874" t="str">
            <v>COZINHA</v>
          </cell>
          <cell r="G3874" t="str">
            <v/>
          </cell>
          <cell r="H3874">
            <v>1899.99</v>
          </cell>
          <cell r="I3874">
            <v>1799.99</v>
          </cell>
          <cell r="J3874">
            <v>1541.2927</v>
          </cell>
          <cell r="K3874">
            <v>0</v>
          </cell>
          <cell r="L3874">
            <v>1541.2927</v>
          </cell>
          <cell r="M3874">
            <v>0</v>
          </cell>
          <cell r="N3874">
            <v>1799.99</v>
          </cell>
          <cell r="O3874" t="str">
            <v/>
          </cell>
          <cell r="P3874">
            <v>0</v>
          </cell>
          <cell r="Q3874">
            <v>0.16784436856153301</v>
          </cell>
          <cell r="R3874">
            <v>0.16784436856153301</v>
          </cell>
          <cell r="S3874" t="e">
            <v>#VALUE!</v>
          </cell>
          <cell r="T3874" t="e">
            <v>#VALUE!</v>
          </cell>
        </row>
        <row r="3875">
          <cell r="A3875" t="str">
            <v>GRTE33000709</v>
          </cell>
          <cell r="B3875" t="str">
            <v>MKP000631005955</v>
          </cell>
          <cell r="C3875" t="str">
            <v/>
          </cell>
          <cell r="D3875" t="str">
            <v>Armário de Cozinha Completa 330cm Branco Stella Madesa 07</v>
          </cell>
          <cell r="E3875" t="str">
            <v>STELLA</v>
          </cell>
          <cell r="F3875" t="str">
            <v>COZINHA</v>
          </cell>
          <cell r="G3875" t="str">
            <v/>
          </cell>
          <cell r="H3875">
            <v>2499.9899999999998</v>
          </cell>
          <cell r="I3875">
            <v>2399.9899999999998</v>
          </cell>
          <cell r="J3875">
            <v>2030.9097999999999</v>
          </cell>
          <cell r="K3875">
            <v>0</v>
          </cell>
          <cell r="L3875">
            <v>2030.9097999999999</v>
          </cell>
          <cell r="M3875">
            <v>0</v>
          </cell>
          <cell r="N3875">
            <v>2399.9899999999998</v>
          </cell>
          <cell r="O3875" t="str">
            <v/>
          </cell>
          <cell r="P3875">
            <v>0</v>
          </cell>
          <cell r="Q3875">
            <v>0.18173145848230199</v>
          </cell>
          <cell r="R3875">
            <v>0.18173145848230199</v>
          </cell>
          <cell r="S3875" t="e">
            <v>#VALUE!</v>
          </cell>
          <cell r="T3875" t="e">
            <v>#VALUE!</v>
          </cell>
        </row>
        <row r="3876">
          <cell r="A3876" t="str">
            <v>GREM2290135Z</v>
          </cell>
          <cell r="B3876" t="str">
            <v>MKP000631005914</v>
          </cell>
          <cell r="C3876" t="str">
            <v/>
          </cell>
          <cell r="D3876" t="str">
            <v>Armário de Cozinha Compacta 229cm Rustic Emilly Madesa 13</v>
          </cell>
          <cell r="E3876" t="str">
            <v>EMILLY</v>
          </cell>
          <cell r="F3876" t="str">
            <v>COZINHA</v>
          </cell>
          <cell r="G3876" t="str">
            <v/>
          </cell>
          <cell r="H3876">
            <v>1029.99</v>
          </cell>
          <cell r="I3876">
            <v>929.99</v>
          </cell>
          <cell r="J3876">
            <v>755.47900000000004</v>
          </cell>
          <cell r="K3876">
            <v>0</v>
          </cell>
          <cell r="L3876">
            <v>755.47900000000004</v>
          </cell>
          <cell r="M3876">
            <v>0</v>
          </cell>
          <cell r="N3876">
            <v>929.99</v>
          </cell>
          <cell r="O3876" t="str">
            <v/>
          </cell>
          <cell r="P3876">
            <v>0</v>
          </cell>
          <cell r="Q3876">
            <v>0.23099384628824901</v>
          </cell>
          <cell r="R3876">
            <v>0.23099384628824901</v>
          </cell>
          <cell r="S3876" t="e">
            <v>#VALUE!</v>
          </cell>
          <cell r="T3876" t="e">
            <v>#VALUE!</v>
          </cell>
        </row>
        <row r="3877">
          <cell r="A3877" t="str">
            <v>MDJA0401667GSIL</v>
          </cell>
          <cell r="B3877" t="str">
            <v>MKP000631005704</v>
          </cell>
          <cell r="C3877" t="str">
            <v/>
          </cell>
          <cell r="D3877" t="str">
            <v>Conjunto Sala de Jantar Mesa Tampo de Madeira 4 Cadeiras Rustic/Crema/Silver Gisele Madesa</v>
          </cell>
          <cell r="E3877" t="str">
            <v>GISELE</v>
          </cell>
          <cell r="F3877" t="str">
            <v>SALA DE JANTAR</v>
          </cell>
          <cell r="G3877">
            <v>4256</v>
          </cell>
          <cell r="H3877">
            <v>1099.99</v>
          </cell>
          <cell r="I3877">
            <v>999.99</v>
          </cell>
          <cell r="J3877">
            <v>806.1422</v>
          </cell>
          <cell r="K3877">
            <v>0</v>
          </cell>
          <cell r="L3877">
            <v>806.1422</v>
          </cell>
          <cell r="M3877">
            <v>0</v>
          </cell>
          <cell r="N3877">
            <v>999.99</v>
          </cell>
          <cell r="O3877" t="str">
            <v/>
          </cell>
          <cell r="P3877">
            <v>0</v>
          </cell>
          <cell r="Q3877">
            <v>0.240463531123913</v>
          </cell>
          <cell r="R3877">
            <v>0.240463531123913</v>
          </cell>
          <cell r="S3877" t="e">
            <v>#VALUE!</v>
          </cell>
          <cell r="T3877" t="e">
            <v>#VALUE!</v>
          </cell>
        </row>
        <row r="3878">
          <cell r="A3878" t="str">
            <v>GRGL26000409</v>
          </cell>
          <cell r="B3878" t="str">
            <v>MKP000631005200</v>
          </cell>
          <cell r="C3878" t="str">
            <v/>
          </cell>
          <cell r="D3878" t="str">
            <v>Armário de Cozinha Completa 260cm Branco Glamy Madesa 04</v>
          </cell>
          <cell r="E3878" t="str">
            <v>GLAMY</v>
          </cell>
          <cell r="F3878" t="str">
            <v>COZINHA</v>
          </cell>
          <cell r="G3878" t="str">
            <v/>
          </cell>
          <cell r="H3878">
            <v>1799.99</v>
          </cell>
          <cell r="I3878">
            <v>1699.99</v>
          </cell>
          <cell r="J3878">
            <v>1407.5279</v>
          </cell>
          <cell r="K3878">
            <v>0</v>
          </cell>
          <cell r="L3878">
            <v>1407.5279</v>
          </cell>
          <cell r="M3878">
            <v>0</v>
          </cell>
          <cell r="N3878">
            <v>1699.99</v>
          </cell>
          <cell r="O3878" t="str">
            <v/>
          </cell>
          <cell r="P3878">
            <v>0</v>
          </cell>
          <cell r="Q3878">
            <v>0.20778422935701699</v>
          </cell>
          <cell r="R3878">
            <v>0.20778422935701699</v>
          </cell>
          <cell r="S3878" t="e">
            <v>#VALUE!</v>
          </cell>
          <cell r="T3878" t="e">
            <v>#VALUE!</v>
          </cell>
        </row>
        <row r="3879">
          <cell r="A3879" t="str">
            <v>GRGL3150019B</v>
          </cell>
          <cell r="B3879" t="str">
            <v>MKP000631004362</v>
          </cell>
          <cell r="C3879" t="str">
            <v/>
          </cell>
          <cell r="D3879" t="str">
            <v>Armário de Cozinha Completa 315cm Branco/Rustic Glamy Madesa 01</v>
          </cell>
          <cell r="E3879" t="str">
            <v>GLAMY</v>
          </cell>
          <cell r="F3879" t="str">
            <v>COZINHA</v>
          </cell>
          <cell r="G3879" t="str">
            <v/>
          </cell>
          <cell r="H3879">
            <v>2599.9899999999998</v>
          </cell>
          <cell r="I3879">
            <v>2469.9899999999998</v>
          </cell>
          <cell r="J3879">
            <v>2041.8098</v>
          </cell>
          <cell r="K3879">
            <v>0</v>
          </cell>
          <cell r="L3879">
            <v>2041.8098</v>
          </cell>
          <cell r="M3879">
            <v>0</v>
          </cell>
          <cell r="N3879">
            <v>2469.9899999999998</v>
          </cell>
          <cell r="O3879" t="str">
            <v/>
          </cell>
          <cell r="P3879">
            <v>0</v>
          </cell>
          <cell r="Q3879">
            <v>0.20970621259629499</v>
          </cell>
          <cell r="R3879">
            <v>0.20970621259629499</v>
          </cell>
          <cell r="S3879" t="e">
            <v>#VALUE!</v>
          </cell>
          <cell r="T3879" t="e">
            <v>#VALUE!</v>
          </cell>
        </row>
        <row r="3880">
          <cell r="A3880" t="str">
            <v>MDJA0601607KOXF</v>
          </cell>
          <cell r="B3880" t="str">
            <v>MKP000631006068</v>
          </cell>
          <cell r="C3880" t="str">
            <v/>
          </cell>
          <cell r="D3880" t="str">
            <v>Conjunto Sala de Jantar Mesa Tampo de Madeira 6 Cadeiras Rustic/Preto/Oxford Hanna Madesa</v>
          </cell>
          <cell r="E3880" t="str">
            <v>HANNA</v>
          </cell>
          <cell r="F3880" t="str">
            <v>SALA DE JANTAR</v>
          </cell>
          <cell r="G3880">
            <v>4256</v>
          </cell>
          <cell r="H3880">
            <v>1599.99</v>
          </cell>
          <cell r="I3880">
            <v>1499.99</v>
          </cell>
          <cell r="J3880">
            <v>1178.8132000000001</v>
          </cell>
          <cell r="K3880">
            <v>0</v>
          </cell>
          <cell r="L3880">
            <v>1178.8132000000001</v>
          </cell>
          <cell r="M3880">
            <v>0</v>
          </cell>
          <cell r="N3880">
            <v>1499.99</v>
          </cell>
          <cell r="O3880" t="str">
            <v/>
          </cell>
          <cell r="P3880">
            <v>0</v>
          </cell>
          <cell r="Q3880">
            <v>0.27245775666577199</v>
          </cell>
          <cell r="R3880">
            <v>0.27245775666577199</v>
          </cell>
          <cell r="S3880" t="e">
            <v>#VALUE!</v>
          </cell>
          <cell r="T3880" t="e">
            <v>#VALUE!</v>
          </cell>
        </row>
        <row r="3881">
          <cell r="A3881" t="str">
            <v>GREM2930065Z</v>
          </cell>
          <cell r="B3881" t="str">
            <v>MKP000631005513</v>
          </cell>
          <cell r="C3881" t="str">
            <v/>
          </cell>
          <cell r="D3881" t="str">
            <v>Armário de Cozinha Completa 293cm com Pia Rustic Emilly Madesa 06</v>
          </cell>
          <cell r="E3881" t="str">
            <v>EMILLY</v>
          </cell>
          <cell r="F3881" t="str">
            <v>COZINHA</v>
          </cell>
          <cell r="G3881" t="str">
            <v/>
          </cell>
          <cell r="H3881">
            <v>1999.99</v>
          </cell>
          <cell r="I3881">
            <v>1899.99</v>
          </cell>
          <cell r="J3881">
            <v>1534.6437000000001</v>
          </cell>
          <cell r="K3881">
            <v>0</v>
          </cell>
          <cell r="L3881">
            <v>1534.6437000000001</v>
          </cell>
          <cell r="M3881">
            <v>0</v>
          </cell>
          <cell r="N3881">
            <v>1899.99</v>
          </cell>
          <cell r="O3881" t="str">
            <v/>
          </cell>
          <cell r="P3881">
            <v>0</v>
          </cell>
          <cell r="Q3881">
            <v>0.23806587809274601</v>
          </cell>
          <cell r="R3881">
            <v>0.23806587809274601</v>
          </cell>
          <cell r="S3881" t="e">
            <v>#VALUE!</v>
          </cell>
          <cell r="T3881" t="e">
            <v>#VALUE!</v>
          </cell>
        </row>
        <row r="3882">
          <cell r="A3882" t="str">
            <v>GRGL1500019B</v>
          </cell>
          <cell r="B3882" t="str">
            <v>MKP000631004624</v>
          </cell>
          <cell r="C3882" t="str">
            <v/>
          </cell>
          <cell r="D3882" t="str">
            <v>Armário de Cozinha Compacta 150cm Branco/Rustic Glamy Madesa 01</v>
          </cell>
          <cell r="E3882" t="str">
            <v>GLAMY</v>
          </cell>
          <cell r="F3882" t="str">
            <v>COZINHA</v>
          </cell>
          <cell r="G3882" t="str">
            <v/>
          </cell>
          <cell r="H3882">
            <v>1199.99</v>
          </cell>
          <cell r="I3882">
            <v>1099.99</v>
          </cell>
          <cell r="J3882">
            <v>901.11389999999994</v>
          </cell>
          <cell r="K3882">
            <v>0</v>
          </cell>
          <cell r="L3882">
            <v>901.11389999999994</v>
          </cell>
          <cell r="M3882">
            <v>0</v>
          </cell>
          <cell r="N3882">
            <v>1099.99</v>
          </cell>
          <cell r="O3882" t="str">
            <v/>
          </cell>
          <cell r="P3882">
            <v>0</v>
          </cell>
          <cell r="Q3882">
            <v>0.22070029105088701</v>
          </cell>
          <cell r="R3882">
            <v>0.22070029105088701</v>
          </cell>
          <cell r="S3882" t="e">
            <v>#VALUE!</v>
          </cell>
          <cell r="T3882" t="e">
            <v>#VALUE!</v>
          </cell>
        </row>
        <row r="3883">
          <cell r="A3883" t="str">
            <v>GRGL280003D7</v>
          </cell>
          <cell r="B3883" t="str">
            <v>MKP000631002849</v>
          </cell>
          <cell r="C3883" t="str">
            <v/>
          </cell>
          <cell r="D3883" t="str">
            <v>Armário de Cozinha Completa 280cm Branco/Preto/Rustic Marcela Madesa 03</v>
          </cell>
          <cell r="E3883" t="str">
            <v>MARCELA/GLAMY</v>
          </cell>
          <cell r="F3883" t="str">
            <v>COZINHA</v>
          </cell>
          <cell r="G3883" t="str">
            <v/>
          </cell>
          <cell r="H3883">
            <v>2149.9899999999998</v>
          </cell>
          <cell r="I3883">
            <v>2049.9899999999998</v>
          </cell>
          <cell r="J3883">
            <v>1671.624</v>
          </cell>
          <cell r="K3883">
            <v>0</v>
          </cell>
          <cell r="L3883">
            <v>1671.624</v>
          </cell>
          <cell r="M3883">
            <v>0</v>
          </cell>
          <cell r="N3883">
            <v>2049.9899999999998</v>
          </cell>
          <cell r="O3883" t="str">
            <v/>
          </cell>
          <cell r="P3883">
            <v>0</v>
          </cell>
          <cell r="Q3883">
            <v>0.226346355400497</v>
          </cell>
          <cell r="R3883">
            <v>0.226346355400497</v>
          </cell>
          <cell r="S3883" t="e">
            <v>#VALUE!</v>
          </cell>
          <cell r="T3883" t="e">
            <v>#VALUE!</v>
          </cell>
        </row>
        <row r="3884">
          <cell r="A3884" t="str">
            <v>GRGL2000075Z</v>
          </cell>
          <cell r="B3884" t="str">
            <v>MKP000631005634</v>
          </cell>
          <cell r="C3884" t="str">
            <v/>
          </cell>
          <cell r="D3884" t="str">
            <v>Armário de Cozinha Compacta 200cm Rustic Glamy Madesa 07</v>
          </cell>
          <cell r="E3884" t="str">
            <v>GLAMY</v>
          </cell>
          <cell r="F3884" t="str">
            <v>COZINHA</v>
          </cell>
          <cell r="G3884" t="str">
            <v/>
          </cell>
          <cell r="H3884">
            <v>1699.99</v>
          </cell>
          <cell r="I3884">
            <v>1599.99</v>
          </cell>
          <cell r="J3884">
            <v>1301.5036</v>
          </cell>
          <cell r="K3884">
            <v>0</v>
          </cell>
          <cell r="L3884">
            <v>1301.5036</v>
          </cell>
          <cell r="M3884">
            <v>0</v>
          </cell>
          <cell r="N3884">
            <v>1599.99</v>
          </cell>
          <cell r="O3884" t="str">
            <v/>
          </cell>
          <cell r="P3884">
            <v>0</v>
          </cell>
          <cell r="Q3884">
            <v>0.22933966529174399</v>
          </cell>
          <cell r="R3884">
            <v>0.22933966529174399</v>
          </cell>
          <cell r="S3884" t="e">
            <v>#VALUE!</v>
          </cell>
          <cell r="T3884" t="e">
            <v>#VALUE!</v>
          </cell>
        </row>
        <row r="3885">
          <cell r="A3885" t="str">
            <v>GRGL24001009</v>
          </cell>
          <cell r="B3885" t="str">
            <v>MKP000631005206</v>
          </cell>
          <cell r="C3885" t="str">
            <v/>
          </cell>
          <cell r="D3885" t="str">
            <v>Armário de Cozinha Completa 240cm Branco Glamy Madesa 10</v>
          </cell>
          <cell r="E3885" t="str">
            <v>GLAMY</v>
          </cell>
          <cell r="F3885" t="str">
            <v>COZINHA</v>
          </cell>
          <cell r="G3885" t="str">
            <v/>
          </cell>
          <cell r="H3885">
            <v>1569.99</v>
          </cell>
          <cell r="I3885">
            <v>1569.99</v>
          </cell>
          <cell r="J3885">
            <v>1274.6895999999999</v>
          </cell>
          <cell r="K3885">
            <v>0</v>
          </cell>
          <cell r="L3885">
            <v>1274.6895999999999</v>
          </cell>
          <cell r="M3885">
            <v>0</v>
          </cell>
          <cell r="N3885">
            <v>1569.99</v>
          </cell>
          <cell r="O3885" t="str">
            <v/>
          </cell>
          <cell r="P3885">
            <v>0</v>
          </cell>
          <cell r="Q3885">
            <v>0.231664555825983</v>
          </cell>
          <cell r="R3885">
            <v>0.231664555825983</v>
          </cell>
          <cell r="S3885" t="e">
            <v>#VALUE!</v>
          </cell>
          <cell r="T3885" t="e">
            <v>#VALUE!</v>
          </cell>
        </row>
        <row r="3886">
          <cell r="A3886" t="str">
            <v>GRAG3300027K</v>
          </cell>
          <cell r="B3886" t="str">
            <v>MKP000631005622</v>
          </cell>
          <cell r="C3886" t="str">
            <v/>
          </cell>
          <cell r="D3886" t="str">
            <v>Armário de Cozinha Completa 330cm Rustic/Preto Agata Madesa 02</v>
          </cell>
          <cell r="E3886" t="str">
            <v>ÁGATA</v>
          </cell>
          <cell r="F3886" t="str">
            <v>COZINHA</v>
          </cell>
          <cell r="G3886" t="str">
            <v/>
          </cell>
          <cell r="H3886">
            <v>2699.99</v>
          </cell>
          <cell r="I3886">
            <v>2599.9899999999998</v>
          </cell>
          <cell r="J3886">
            <v>2109.6187</v>
          </cell>
          <cell r="K3886">
            <v>0</v>
          </cell>
          <cell r="L3886">
            <v>2109.6187</v>
          </cell>
          <cell r="M3886">
            <v>0</v>
          </cell>
          <cell r="N3886">
            <v>2599.9899999999998</v>
          </cell>
          <cell r="O3886" t="str">
            <v/>
          </cell>
          <cell r="P3886">
            <v>0</v>
          </cell>
          <cell r="Q3886">
            <v>0.23244546514495701</v>
          </cell>
          <cell r="R3886">
            <v>0.23244546514495701</v>
          </cell>
          <cell r="S3886" t="e">
            <v>#VALUE!</v>
          </cell>
          <cell r="T3886" t="e">
            <v>#VALUE!</v>
          </cell>
        </row>
        <row r="3887">
          <cell r="A3887" t="str">
            <v>GRAG27000573</v>
          </cell>
          <cell r="B3887" t="str">
            <v>MKP000631004557</v>
          </cell>
          <cell r="C3887" t="str">
            <v/>
          </cell>
          <cell r="D3887" t="str">
            <v>Armário de Cozinha Completa 270cm Branco/Preto Agata Madesa 05</v>
          </cell>
          <cell r="E3887" t="str">
            <v>ÁGATA</v>
          </cell>
          <cell r="F3887" t="str">
            <v>COZINHA</v>
          </cell>
          <cell r="G3887" t="str">
            <v/>
          </cell>
          <cell r="H3887">
            <v>1799.99</v>
          </cell>
          <cell r="I3887">
            <v>1699.99</v>
          </cell>
          <cell r="J3887">
            <v>1370.0536999999999</v>
          </cell>
          <cell r="K3887">
            <v>0</v>
          </cell>
          <cell r="L3887">
            <v>1370.0536999999999</v>
          </cell>
          <cell r="M3887">
            <v>0</v>
          </cell>
          <cell r="N3887">
            <v>1699.99</v>
          </cell>
          <cell r="O3887" t="str">
            <v/>
          </cell>
          <cell r="P3887">
            <v>0</v>
          </cell>
          <cell r="Q3887">
            <v>0.24081997661843499</v>
          </cell>
          <cell r="R3887">
            <v>0.24081997661843499</v>
          </cell>
          <cell r="S3887" t="e">
            <v>#VALUE!</v>
          </cell>
          <cell r="T3887" t="e">
            <v>#VALUE!</v>
          </cell>
        </row>
        <row r="3888">
          <cell r="A3888" t="str">
            <v>MDJA0401897GFB</v>
          </cell>
          <cell r="B3888" t="str">
            <v>MKP000631006095</v>
          </cell>
          <cell r="C3888" t="str">
            <v/>
          </cell>
          <cell r="D3888" t="str">
            <v>Conjunto Sala de Jantar Mesa Tampo de Vidro 4 Cadeiras Rustic/Crema/Bege Marrom Suzy Madesa</v>
          </cell>
          <cell r="E3888" t="str">
            <v>SUZY</v>
          </cell>
          <cell r="F3888" t="str">
            <v>SALA DE JANTAR</v>
          </cell>
          <cell r="G3888" t="str">
            <v>4291X</v>
          </cell>
          <cell r="H3888">
            <v>869.99</v>
          </cell>
          <cell r="I3888">
            <v>769.99</v>
          </cell>
          <cell r="J3888">
            <v>617.94280000000003</v>
          </cell>
          <cell r="K3888">
            <v>0</v>
          </cell>
          <cell r="L3888">
            <v>617.94280000000003</v>
          </cell>
          <cell r="M3888">
            <v>0</v>
          </cell>
          <cell r="N3888">
            <v>769.99</v>
          </cell>
          <cell r="O3888" t="str">
            <v/>
          </cell>
          <cell r="P3888">
            <v>0</v>
          </cell>
          <cell r="Q3888">
            <v>0.24605384187662699</v>
          </cell>
          <cell r="R3888">
            <v>0.24605384187662699</v>
          </cell>
          <cell r="S3888" t="e">
            <v>#VALUE!</v>
          </cell>
          <cell r="T3888" t="e">
            <v>#VALUE!</v>
          </cell>
        </row>
        <row r="3889">
          <cell r="A3889" t="str">
            <v>GREM1650025Z</v>
          </cell>
          <cell r="B3889" t="str">
            <v>MKP000631005806</v>
          </cell>
          <cell r="C3889" t="str">
            <v/>
          </cell>
          <cell r="D3889" t="str">
            <v>Armário de Cozinha Compacta 165cm Rustic Emilly Madesa 02</v>
          </cell>
          <cell r="E3889" t="str">
            <v>EMILLY</v>
          </cell>
          <cell r="F3889" t="str">
            <v>COZINHA</v>
          </cell>
          <cell r="G3889" t="str">
            <v/>
          </cell>
          <cell r="H3889">
            <v>699.99</v>
          </cell>
          <cell r="I3889">
            <v>699.99</v>
          </cell>
          <cell r="J3889">
            <v>550.62440000000004</v>
          </cell>
          <cell r="K3889">
            <v>0</v>
          </cell>
          <cell r="L3889">
            <v>550.62440000000004</v>
          </cell>
          <cell r="M3889">
            <v>0</v>
          </cell>
          <cell r="N3889">
            <v>699.99</v>
          </cell>
          <cell r="O3889" t="str">
            <v/>
          </cell>
          <cell r="P3889">
            <v>0</v>
          </cell>
          <cell r="Q3889">
            <v>0.27126585745201298</v>
          </cell>
          <cell r="R3889">
            <v>0.27126585745201298</v>
          </cell>
          <cell r="S3889" t="e">
            <v>#VALUE!</v>
          </cell>
          <cell r="T3889" t="e">
            <v>#VALUE!</v>
          </cell>
        </row>
        <row r="3890">
          <cell r="A3890" t="str">
            <v>MDJA0601565ZFLH</v>
          </cell>
          <cell r="B3890" t="str">
            <v>MKP000631005890</v>
          </cell>
          <cell r="C3890" t="str">
            <v/>
          </cell>
          <cell r="D3890" t="str">
            <v>Conjunto Sala de Jantar Mesa Tampo de Madeira 6 Cadeiras Rustic/Hibiscos Sharon Madesa</v>
          </cell>
          <cell r="E3890" t="str">
            <v>SHARON</v>
          </cell>
          <cell r="F3890" t="str">
            <v>SALA DE JANTAR</v>
          </cell>
          <cell r="G3890" t="str">
            <v>4290X</v>
          </cell>
          <cell r="H3890">
            <v>839.99</v>
          </cell>
          <cell r="I3890">
            <v>739.99</v>
          </cell>
          <cell r="J3890">
            <v>588.73080000000004</v>
          </cell>
          <cell r="K3890">
            <v>0</v>
          </cell>
          <cell r="L3890">
            <v>588.73080000000004</v>
          </cell>
          <cell r="M3890">
            <v>0</v>
          </cell>
          <cell r="N3890">
            <v>739.99</v>
          </cell>
          <cell r="O3890" t="str">
            <v/>
          </cell>
          <cell r="P3890">
            <v>0</v>
          </cell>
          <cell r="Q3890">
            <v>0.256924217316301</v>
          </cell>
          <cell r="R3890">
            <v>0.256924217316301</v>
          </cell>
          <cell r="S3890" t="e">
            <v>#VALUE!</v>
          </cell>
          <cell r="T3890" t="e">
            <v>#VALUE!</v>
          </cell>
        </row>
        <row r="3891">
          <cell r="A3891" t="str">
            <v>MDJA0601535ZSIL</v>
          </cell>
          <cell r="B3891" t="str">
            <v>MKP000631005875</v>
          </cell>
          <cell r="C3891" t="str">
            <v/>
          </cell>
          <cell r="D3891" t="str">
            <v>Conjunto Sala de Jantar Mesa Tampo de Madeira 6 Cadeiras Rustic/Silver Cheryl Madesa</v>
          </cell>
          <cell r="E3891" t="str">
            <v>CHERYL</v>
          </cell>
          <cell r="F3891" t="str">
            <v>SALA DE JANTAR</v>
          </cell>
          <cell r="G3891">
            <v>4255</v>
          </cell>
          <cell r="H3891">
            <v>1399.99</v>
          </cell>
          <cell r="I3891">
            <v>1299.99</v>
          </cell>
          <cell r="J3891">
            <v>990.28679999999997</v>
          </cell>
          <cell r="K3891">
            <v>0</v>
          </cell>
          <cell r="L3891">
            <v>990.28679999999997</v>
          </cell>
          <cell r="M3891">
            <v>0</v>
          </cell>
          <cell r="N3891">
            <v>1299.99</v>
          </cell>
          <cell r="O3891" t="str">
            <v/>
          </cell>
          <cell r="P3891">
            <v>0</v>
          </cell>
          <cell r="Q3891">
            <v>0.312740915056123</v>
          </cell>
          <cell r="R3891">
            <v>0.312740915056123</v>
          </cell>
          <cell r="S3891" t="e">
            <v>#VALUE!</v>
          </cell>
          <cell r="T3891" t="e">
            <v>#VALUE!</v>
          </cell>
        </row>
        <row r="3892">
          <cell r="A3892" t="str">
            <v>MDJA0601477GSIL</v>
          </cell>
          <cell r="B3892" t="str">
            <v>MKP000631005708</v>
          </cell>
          <cell r="C3892" t="str">
            <v/>
          </cell>
          <cell r="D3892" t="str">
            <v>Conjunto Sala de Jantar Mesa Tampo de Madeira 6 Cadeiras Rustic/Crema/Silver Cheryl Madesa</v>
          </cell>
          <cell r="E3892" t="str">
            <v>CHERYL</v>
          </cell>
          <cell r="F3892" t="str">
            <v>SALA DE JANTAR</v>
          </cell>
          <cell r="G3892">
            <v>4255</v>
          </cell>
          <cell r="H3892">
            <v>1399.99</v>
          </cell>
          <cell r="I3892">
            <v>1299.99</v>
          </cell>
          <cell r="J3892">
            <v>990.28679999999997</v>
          </cell>
          <cell r="K3892">
            <v>0</v>
          </cell>
          <cell r="L3892">
            <v>990.28679999999997</v>
          </cell>
          <cell r="M3892">
            <v>0</v>
          </cell>
          <cell r="N3892">
            <v>1299.99</v>
          </cell>
          <cell r="O3892" t="str">
            <v/>
          </cell>
          <cell r="P3892">
            <v>0</v>
          </cell>
          <cell r="Q3892">
            <v>0.312740915056123</v>
          </cell>
          <cell r="R3892">
            <v>0.312740915056123</v>
          </cell>
          <cell r="S3892" t="e">
            <v>#VALUE!</v>
          </cell>
          <cell r="T3892" t="e">
            <v>#VALUE!</v>
          </cell>
        </row>
        <row r="3893">
          <cell r="A3893" t="str">
            <v>G241536EGLCTFF</v>
          </cell>
          <cell r="B3893" t="str">
            <v>MKP000631005606</v>
          </cell>
          <cell r="C3893" t="str">
            <v/>
          </cell>
          <cell r="D3893" t="str">
            <v>Balcão Gabinete de Pia Madesa Glamy 150 cm 2 Gavetas 2 Portas (Com Tampo) Rustic/Branco</v>
          </cell>
          <cell r="E3893" t="str">
            <v>GLAMY</v>
          </cell>
          <cell r="F3893" t="str">
            <v>MODULAÇÃO</v>
          </cell>
          <cell r="G3893" t="str">
            <v/>
          </cell>
          <cell r="H3893">
            <v>859.99</v>
          </cell>
          <cell r="I3893">
            <v>769.99</v>
          </cell>
          <cell r="J3893">
            <v>593.10170000000005</v>
          </cell>
          <cell r="K3893">
            <v>0</v>
          </cell>
          <cell r="L3893">
            <v>593.10170000000005</v>
          </cell>
          <cell r="M3893">
            <v>0</v>
          </cell>
          <cell r="N3893">
            <v>769.99</v>
          </cell>
          <cell r="O3893" t="str">
            <v/>
          </cell>
          <cell r="P3893">
            <v>0</v>
          </cell>
          <cell r="Q3893">
            <v>0.29824278028540502</v>
          </cell>
          <cell r="R3893">
            <v>0.29824278028540502</v>
          </cell>
          <cell r="S3893" t="e">
            <v>#VALUE!</v>
          </cell>
          <cell r="T3893" t="e">
            <v>#VALUE!</v>
          </cell>
        </row>
        <row r="3894">
          <cell r="A3894" t="str">
            <v>GRAG2700086E</v>
          </cell>
          <cell r="B3894" t="str">
            <v>MKP000631005258</v>
          </cell>
          <cell r="C3894" t="str">
            <v/>
          </cell>
          <cell r="D3894" t="str">
            <v>Armário de  Cozinha Completa 270cm Rustic/Branco Agata Madesa 08</v>
          </cell>
          <cell r="E3894" t="str">
            <v>ÁGATA</v>
          </cell>
          <cell r="F3894" t="str">
            <v>COZINHA</v>
          </cell>
          <cell r="G3894" t="str">
            <v/>
          </cell>
          <cell r="H3894">
            <v>2119.9899999999998</v>
          </cell>
          <cell r="I3894">
            <v>1999.99</v>
          </cell>
          <cell r="J3894">
            <v>1532.6162999999999</v>
          </cell>
          <cell r="K3894">
            <v>0</v>
          </cell>
          <cell r="L3894">
            <v>1532.6162999999999</v>
          </cell>
          <cell r="M3894">
            <v>0</v>
          </cell>
          <cell r="N3894">
            <v>1999.99</v>
          </cell>
          <cell r="O3894" t="str">
            <v/>
          </cell>
          <cell r="P3894">
            <v>0</v>
          </cell>
          <cell r="Q3894">
            <v>0.30495153940356801</v>
          </cell>
          <cell r="R3894">
            <v>0.30495153940356801</v>
          </cell>
          <cell r="S3894" t="e">
            <v>#VALUE!</v>
          </cell>
          <cell r="T3894" t="e">
            <v>#VALUE!</v>
          </cell>
        </row>
        <row r="3895">
          <cell r="A3895" t="str">
            <v>GRAG2200015L</v>
          </cell>
          <cell r="B3895" t="str">
            <v>MKP000631005495</v>
          </cell>
          <cell r="C3895" t="str">
            <v/>
          </cell>
          <cell r="D3895" t="str">
            <v>Armário de Cozinha Completa 220cm Branco/Crema Agata da Thêmis Madesa</v>
          </cell>
          <cell r="E3895" t="str">
            <v>ÁGATA</v>
          </cell>
          <cell r="F3895" t="str">
            <v>COZINHA</v>
          </cell>
          <cell r="G3895" t="str">
            <v/>
          </cell>
          <cell r="H3895">
            <v>2299.9899999999998</v>
          </cell>
          <cell r="I3895">
            <v>2299.9899999999998</v>
          </cell>
          <cell r="J3895">
            <v>1717.7963999999999</v>
          </cell>
          <cell r="K3895">
            <v>0</v>
          </cell>
          <cell r="L3895">
            <v>1717.7963999999999</v>
          </cell>
          <cell r="M3895">
            <v>0</v>
          </cell>
          <cell r="N3895">
            <v>2299.9899999999998</v>
          </cell>
          <cell r="O3895" t="str">
            <v/>
          </cell>
          <cell r="P3895">
            <v>0</v>
          </cell>
          <cell r="Q3895">
            <v>0.338918861397078</v>
          </cell>
          <cell r="R3895">
            <v>0.338918861397078</v>
          </cell>
          <cell r="S3895" t="e">
            <v>#VALUE!</v>
          </cell>
          <cell r="T3895" t="e">
            <v>#VALUE!</v>
          </cell>
        </row>
        <row r="3896">
          <cell r="A3896" t="str">
            <v>G2412409AGCT</v>
          </cell>
          <cell r="B3896" t="str">
            <v>MKP000631005839</v>
          </cell>
          <cell r="C3896" t="str">
            <v/>
          </cell>
          <cell r="D3896" t="str">
            <v>Balcão de Pia Cozinha 2 Portas e 3 Gavetas (Com Tampo) Branco Agata Madesa</v>
          </cell>
          <cell r="E3896" t="str">
            <v>ÁGATA</v>
          </cell>
          <cell r="F3896" t="str">
            <v>MODULAÇÃO</v>
          </cell>
          <cell r="G3896" t="str">
            <v/>
          </cell>
          <cell r="H3896">
            <v>949.99</v>
          </cell>
          <cell r="I3896">
            <v>849.99</v>
          </cell>
          <cell r="J3896">
            <v>633.29</v>
          </cell>
          <cell r="K3896">
            <v>0</v>
          </cell>
          <cell r="L3896">
            <v>633.29</v>
          </cell>
          <cell r="M3896">
            <v>0</v>
          </cell>
          <cell r="N3896">
            <v>849.99</v>
          </cell>
          <cell r="O3896" t="str">
            <v/>
          </cell>
          <cell r="P3896">
            <v>0</v>
          </cell>
          <cell r="Q3896">
            <v>0.34218130714206701</v>
          </cell>
          <cell r="R3896">
            <v>0.34218130714206701</v>
          </cell>
          <cell r="S3896" t="e">
            <v>#VALUE!</v>
          </cell>
          <cell r="T3896" t="e">
            <v>#VALUE!</v>
          </cell>
        </row>
        <row r="3897">
          <cell r="A3897" t="str">
            <v>G2412309AGCT</v>
          </cell>
          <cell r="B3897" t="str">
            <v>MKP000631005818</v>
          </cell>
          <cell r="C3897" t="str">
            <v/>
          </cell>
          <cell r="D3897" t="str">
            <v>Balcão de Pia Cozinha 1 Porta e 2 Gavetas (Com Tampo) Branco Agata Madesa</v>
          </cell>
          <cell r="E3897" t="str">
            <v>ÁGATA</v>
          </cell>
          <cell r="F3897" t="str">
            <v>MODULAÇÃO</v>
          </cell>
          <cell r="G3897" t="str">
            <v/>
          </cell>
          <cell r="H3897">
            <v>799.99</v>
          </cell>
          <cell r="I3897">
            <v>699.99</v>
          </cell>
          <cell r="J3897">
            <v>516.06050000000005</v>
          </cell>
          <cell r="K3897">
            <v>0</v>
          </cell>
          <cell r="L3897">
            <v>516.06050000000005</v>
          </cell>
          <cell r="M3897">
            <v>0</v>
          </cell>
          <cell r="N3897">
            <v>699.99</v>
          </cell>
          <cell r="O3897" t="str">
            <v/>
          </cell>
          <cell r="P3897">
            <v>0</v>
          </cell>
          <cell r="Q3897">
            <v>0.35641073091236403</v>
          </cell>
          <cell r="R3897">
            <v>0.35641073091236403</v>
          </cell>
          <cell r="S3897" t="e">
            <v>#VALUE!</v>
          </cell>
          <cell r="T3897" t="e">
            <v>#VALUE!</v>
          </cell>
        </row>
        <row r="3898">
          <cell r="A3898" t="str">
            <v>53835Z</v>
          </cell>
          <cell r="B3898" t="str">
            <v>MKP000631005872</v>
          </cell>
          <cell r="C3898" t="str">
            <v/>
          </cell>
          <cell r="D3898" t="str">
            <v>Mesa de Jantar Retangular com Tampo de Madeira Rustic 5383 Madesa</v>
          </cell>
          <cell r="E3898">
            <v>5383</v>
          </cell>
          <cell r="F3898" t="str">
            <v>SALA DE JANTAR</v>
          </cell>
          <cell r="G3898" t="str">
            <v/>
          </cell>
          <cell r="H3898">
            <v>399.99</v>
          </cell>
          <cell r="I3898">
            <v>299.99</v>
          </cell>
          <cell r="J3898">
            <v>208.82220000000001</v>
          </cell>
          <cell r="K3898">
            <v>0</v>
          </cell>
          <cell r="L3898">
            <v>208.82220000000001</v>
          </cell>
          <cell r="M3898">
            <v>0</v>
          </cell>
          <cell r="N3898">
            <v>299.99</v>
          </cell>
          <cell r="O3898" t="str">
            <v/>
          </cell>
          <cell r="P3898">
            <v>0</v>
          </cell>
          <cell r="Q3898">
            <v>0.436580976543681</v>
          </cell>
          <cell r="R3898">
            <v>0.436580976543681</v>
          </cell>
          <cell r="S3898" t="e">
            <v>#VALUE!</v>
          </cell>
          <cell r="T3898" t="e">
            <v>#VALUE!</v>
          </cell>
        </row>
        <row r="3899">
          <cell r="A3899" t="str">
            <v>G241207GAGCT</v>
          </cell>
          <cell r="B3899" t="str">
            <v>MKP000631005855</v>
          </cell>
          <cell r="C3899" t="str">
            <v/>
          </cell>
          <cell r="D3899" t="str">
            <v>Balcão de Pia Cozinha 2 Portas (Com Tampo) Rustic/Crema Agata Madesa</v>
          </cell>
          <cell r="E3899" t="str">
            <v>ÁGATA</v>
          </cell>
          <cell r="F3899" t="str">
            <v>MODULAÇÃO</v>
          </cell>
          <cell r="G3899" t="str">
            <v/>
          </cell>
          <cell r="H3899">
            <v>759.99</v>
          </cell>
          <cell r="I3899">
            <v>659.99</v>
          </cell>
          <cell r="J3899">
            <v>446.32229999999998</v>
          </cell>
          <cell r="K3899">
            <v>0</v>
          </cell>
          <cell r="L3899">
            <v>446.32229999999998</v>
          </cell>
          <cell r="M3899">
            <v>0</v>
          </cell>
          <cell r="N3899">
            <v>659.99</v>
          </cell>
          <cell r="O3899" t="str">
            <v/>
          </cell>
          <cell r="P3899">
            <v>0</v>
          </cell>
          <cell r="Q3899">
            <v>0.47872960862587399</v>
          </cell>
          <cell r="R3899">
            <v>0.47872960862587399</v>
          </cell>
          <cell r="S3899" t="e">
            <v>#VALUE!</v>
          </cell>
          <cell r="T3899" t="e">
            <v>#VALUE!</v>
          </cell>
        </row>
        <row r="3900">
          <cell r="A3900" t="str">
            <v>GRLX34000173</v>
          </cell>
          <cell r="B3900" t="str">
            <v>MKP000631004771</v>
          </cell>
          <cell r="C3900" t="str">
            <v/>
          </cell>
          <cell r="D3900" t="str">
            <v>Armário de Cozinha Completa 340cm Branco/Preto Lux Madesa 01</v>
          </cell>
          <cell r="E3900" t="str">
            <v>LUX</v>
          </cell>
          <cell r="F3900" t="str">
            <v>COZINHA</v>
          </cell>
          <cell r="G3900" t="str">
            <v/>
          </cell>
          <cell r="H3900">
            <v>4219.99</v>
          </cell>
          <cell r="I3900">
            <v>4139.99</v>
          </cell>
          <cell r="J3900">
            <v>2569.9911000000002</v>
          </cell>
          <cell r="K3900">
            <v>0</v>
          </cell>
          <cell r="L3900">
            <v>2569.9911000000002</v>
          </cell>
          <cell r="M3900">
            <v>0</v>
          </cell>
          <cell r="N3900">
            <v>4139.99</v>
          </cell>
          <cell r="O3900" t="str">
            <v>LOJA</v>
          </cell>
          <cell r="P3900">
            <v>3639.99</v>
          </cell>
          <cell r="Q3900">
            <v>0.61089662917509702</v>
          </cell>
          <cell r="R3900">
            <v>0.61089662917509702</v>
          </cell>
          <cell r="S3900" t="e">
            <v>#VALUE!</v>
          </cell>
          <cell r="T3900" t="e">
            <v>#VALUE!</v>
          </cell>
        </row>
        <row r="3901">
          <cell r="A3901" t="str">
            <v>G2440073AG</v>
          </cell>
          <cell r="B3901" t="str">
            <v>MKP000631003056</v>
          </cell>
          <cell r="C3901" t="str">
            <v/>
          </cell>
          <cell r="D3901" t="str">
            <v>Balcão Madesa Agata 40 cm 1 Porta Branco/Preto</v>
          </cell>
          <cell r="E3901" t="str">
            <v>ÁGATA</v>
          </cell>
          <cell r="F3901" t="str">
            <v>MODULAÇÃO</v>
          </cell>
          <cell r="G3901" t="str">
            <v/>
          </cell>
          <cell r="H3901">
            <v>509.99</v>
          </cell>
          <cell r="I3901">
            <v>359.99</v>
          </cell>
          <cell r="J3901">
            <v>220.15819999999999</v>
          </cell>
          <cell r="K3901">
            <v>0</v>
          </cell>
          <cell r="L3901">
            <v>220.15819999999999</v>
          </cell>
          <cell r="M3901">
            <v>0</v>
          </cell>
          <cell r="N3901">
            <v>359.99</v>
          </cell>
          <cell r="O3901" t="str">
            <v/>
          </cell>
          <cell r="P3901">
            <v>0</v>
          </cell>
          <cell r="Q3901">
            <v>0.63514236580785999</v>
          </cell>
          <cell r="R3901">
            <v>0.63514236580785999</v>
          </cell>
          <cell r="S3901" t="e">
            <v>#VALUE!</v>
          </cell>
          <cell r="T3901" t="e">
            <v>#VALUE!</v>
          </cell>
        </row>
        <row r="3902">
          <cell r="A3902" t="str">
            <v>G227009RLXCT</v>
          </cell>
          <cell r="B3902" t="str">
            <v>MKP000631005186</v>
          </cell>
          <cell r="C3902" t="str">
            <v/>
          </cell>
          <cell r="D3902" t="str">
            <v>Balcão Madesa Lux 70 cm 2 Portas - Branco/Cinza (Com Tampo)</v>
          </cell>
          <cell r="E3902" t="str">
            <v>LUX</v>
          </cell>
          <cell r="F3902" t="str">
            <v>MODULAÇÃO</v>
          </cell>
          <cell r="G3902" t="str">
            <v/>
          </cell>
          <cell r="H3902">
            <v>1069.99</v>
          </cell>
          <cell r="I3902">
            <v>959.99</v>
          </cell>
          <cell r="J3902">
            <v>528.58460000000002</v>
          </cell>
          <cell r="K3902">
            <v>0</v>
          </cell>
          <cell r="L3902">
            <v>528.58460000000002</v>
          </cell>
          <cell r="M3902">
            <v>0</v>
          </cell>
          <cell r="N3902">
            <v>959.99</v>
          </cell>
          <cell r="O3902" t="str">
            <v>LOJA</v>
          </cell>
          <cell r="P3902">
            <v>949.99</v>
          </cell>
          <cell r="Q3902">
            <v>0.816152040751849</v>
          </cell>
          <cell r="R3902">
            <v>0.816152040751849</v>
          </cell>
          <cell r="S3902" t="e">
            <v>#VALUE!</v>
          </cell>
          <cell r="T3902" t="e">
            <v>#VALUE!</v>
          </cell>
        </row>
        <row r="3903">
          <cell r="A3903" t="str">
            <v>G2270073LX</v>
          </cell>
          <cell r="B3903" t="str">
            <v>MKP000631005183</v>
          </cell>
          <cell r="C3903" t="str">
            <v/>
          </cell>
          <cell r="D3903" t="str">
            <v>Balcão Madesa Lux 70 cm 2 Portas - Branco/Preto (Sem Tampo)</v>
          </cell>
          <cell r="E3903" t="str">
            <v>LUX</v>
          </cell>
          <cell r="F3903" t="str">
            <v>MODULAÇÃO</v>
          </cell>
          <cell r="G3903" t="str">
            <v/>
          </cell>
          <cell r="H3903">
            <v>959.99</v>
          </cell>
          <cell r="I3903">
            <v>859.99</v>
          </cell>
          <cell r="J3903">
            <v>453.22199999999998</v>
          </cell>
          <cell r="K3903">
            <v>0</v>
          </cell>
          <cell r="L3903">
            <v>453.22199999999998</v>
          </cell>
          <cell r="M3903">
            <v>0</v>
          </cell>
          <cell r="N3903">
            <v>859.99</v>
          </cell>
          <cell r="O3903" t="str">
            <v>LOJA</v>
          </cell>
          <cell r="P3903">
            <v>849.99</v>
          </cell>
          <cell r="Q3903">
            <v>0.89750276906240201</v>
          </cell>
          <cell r="R3903">
            <v>0.89750276906240201</v>
          </cell>
          <cell r="S3903" t="e">
            <v>#VALUE!</v>
          </cell>
          <cell r="T3903" t="e">
            <v>#VALUE!</v>
          </cell>
        </row>
        <row r="3904">
          <cell r="A3904" t="str">
            <v>GRTE2700086E</v>
          </cell>
          <cell r="B3904" t="str">
            <v>MKP000631005771</v>
          </cell>
          <cell r="C3904" t="str">
            <v/>
          </cell>
          <cell r="D3904" t="str">
            <v>Armário de Cozinha Completa 270cm Rustic/Branco Stella Madesa 08</v>
          </cell>
          <cell r="E3904" t="str">
            <v>STELLA</v>
          </cell>
          <cell r="F3904" t="str">
            <v>COZINHA</v>
          </cell>
          <cell r="G3904" t="str">
            <v/>
          </cell>
          <cell r="H3904">
            <v>1699.99</v>
          </cell>
          <cell r="I3904">
            <v>1699.99</v>
          </cell>
          <cell r="J3904">
            <v>1386.4146000000001</v>
          </cell>
          <cell r="K3904">
            <v>0</v>
          </cell>
          <cell r="L3904">
            <v>1386.4146000000001</v>
          </cell>
          <cell r="M3904">
            <v>0</v>
          </cell>
          <cell r="N3904">
            <v>1699.99</v>
          </cell>
          <cell r="O3904" t="str">
            <v/>
          </cell>
          <cell r="P3904">
            <v>0</v>
          </cell>
          <cell r="Q3904">
            <v>0.226177220003309</v>
          </cell>
          <cell r="R3904">
            <v>0.226177220003309</v>
          </cell>
          <cell r="S3904" t="e">
            <v>#VALUE!</v>
          </cell>
          <cell r="T3904" t="e">
            <v>#VALUE!</v>
          </cell>
        </row>
        <row r="3905">
          <cell r="A3905" t="str">
            <v>MDJA0401577KLIB</v>
          </cell>
          <cell r="B3905" t="str">
            <v>MKP000631005538</v>
          </cell>
          <cell r="C3905" t="str">
            <v/>
          </cell>
          <cell r="D3905" t="str">
            <v>Conjunto Sala de Jantar Mesa Tampo de Madeira 4 Cadeiras Rustic/Preto/Lírio Bege Samara Madesa</v>
          </cell>
          <cell r="E3905" t="str">
            <v>SAMARA</v>
          </cell>
          <cell r="F3905" t="str">
            <v>SALA DE JANTAR</v>
          </cell>
          <cell r="G3905" t="str">
            <v>4290X</v>
          </cell>
          <cell r="H3905">
            <v>619.99</v>
          </cell>
          <cell r="I3905">
            <v>519.99</v>
          </cell>
          <cell r="J3905">
            <v>400.13900000000001</v>
          </cell>
          <cell r="K3905">
            <v>0</v>
          </cell>
          <cell r="L3905">
            <v>400.13900000000001</v>
          </cell>
          <cell r="M3905">
            <v>0</v>
          </cell>
          <cell r="N3905">
            <v>519.99</v>
          </cell>
          <cell r="O3905" t="str">
            <v/>
          </cell>
          <cell r="P3905">
            <v>0</v>
          </cell>
          <cell r="Q3905">
            <v>0.299523415613074</v>
          </cell>
          <cell r="R3905">
            <v>0.299523415613074</v>
          </cell>
          <cell r="S3905" t="e">
            <v>#VALUE!</v>
          </cell>
          <cell r="T3905" t="e">
            <v>#VALUE!</v>
          </cell>
        </row>
        <row r="3906">
          <cell r="A3906" t="str">
            <v>XAMDJA0601677KPT</v>
          </cell>
          <cell r="B3906" t="str">
            <v>MKP000631006047</v>
          </cell>
          <cell r="C3906" t="str">
            <v/>
          </cell>
          <cell r="D3906" t="str">
            <v>Conjunto Sala de Jantar Mesa Tampo de Vidro 6 Cadeiras Rustic/Preto Dora Madesa</v>
          </cell>
          <cell r="E3906" t="str">
            <v>DORA</v>
          </cell>
          <cell r="F3906" t="str">
            <v>SALA DE JANTAR</v>
          </cell>
          <cell r="G3906" t="str">
            <v>4280X</v>
          </cell>
          <cell r="H3906">
            <v>1099.99</v>
          </cell>
          <cell r="I3906">
            <v>999.99</v>
          </cell>
          <cell r="J3906">
            <v>760.36220000000003</v>
          </cell>
          <cell r="K3906">
            <v>0</v>
          </cell>
          <cell r="L3906">
            <v>760.36220000000003</v>
          </cell>
          <cell r="M3906">
            <v>0</v>
          </cell>
          <cell r="N3906">
            <v>999.99</v>
          </cell>
          <cell r="O3906" t="str">
            <v/>
          </cell>
          <cell r="P3906">
            <v>0</v>
          </cell>
          <cell r="Q3906">
            <v>0.31514954320454103</v>
          </cell>
          <cell r="R3906">
            <v>0.31514954320454103</v>
          </cell>
          <cell r="S3906" t="e">
            <v>#VALUE!</v>
          </cell>
          <cell r="T3906" t="e">
            <v>#VALUE!</v>
          </cell>
        </row>
        <row r="3907">
          <cell r="A3907" t="str">
            <v>MDJA0601685ZBE</v>
          </cell>
          <cell r="B3907" t="str">
            <v>MKP000631006113</v>
          </cell>
          <cell r="C3907" t="str">
            <v/>
          </cell>
          <cell r="D3907" t="str">
            <v>Conjunto Sala de Jantar Mesa Tampo de Vidro 6 Cadeiras Rustic/Sintético Bege Isla Madesa</v>
          </cell>
          <cell r="E3907" t="str">
            <v>ISLA</v>
          </cell>
          <cell r="F3907" t="str">
            <v>SALA DE JANTAR</v>
          </cell>
          <cell r="G3907" t="str">
            <v>4290X</v>
          </cell>
          <cell r="H3907">
            <v>1119.99</v>
          </cell>
          <cell r="I3907">
            <v>1019.99</v>
          </cell>
          <cell r="J3907">
            <v>740.48059999999998</v>
          </cell>
          <cell r="K3907">
            <v>0</v>
          </cell>
          <cell r="L3907">
            <v>740.48059999999998</v>
          </cell>
          <cell r="M3907">
            <v>0</v>
          </cell>
          <cell r="N3907">
            <v>1019.99</v>
          </cell>
          <cell r="O3907" t="str">
            <v/>
          </cell>
          <cell r="P3907">
            <v>0</v>
          </cell>
          <cell r="Q3907">
            <v>0.37747025377842403</v>
          </cell>
          <cell r="R3907">
            <v>0.37747025377842403</v>
          </cell>
          <cell r="S3907" t="e">
            <v>#VALUE!</v>
          </cell>
          <cell r="T3907" t="e">
            <v>#VALUE!</v>
          </cell>
        </row>
        <row r="3908">
          <cell r="A3908" t="str">
            <v>MDJA0601545ZSIL</v>
          </cell>
          <cell r="B3908" t="str">
            <v>MKP000631005879</v>
          </cell>
          <cell r="C3908" t="str">
            <v/>
          </cell>
          <cell r="D3908" t="str">
            <v>Conjunto Sala de Jantar Mesa Tampo de Madeira 6 Cadeiras Rustic/Silver Fabiana Madesa</v>
          </cell>
          <cell r="E3908" t="str">
            <v>FABIANA</v>
          </cell>
          <cell r="F3908" t="str">
            <v>SALA DE JANTAR</v>
          </cell>
          <cell r="G3908">
            <v>4256</v>
          </cell>
          <cell r="H3908">
            <v>1499.99</v>
          </cell>
          <cell r="I3908">
            <v>1399.99</v>
          </cell>
          <cell r="J3908">
            <v>1104.8022000000001</v>
          </cell>
          <cell r="K3908">
            <v>0</v>
          </cell>
          <cell r="L3908">
            <v>1104.8022000000001</v>
          </cell>
          <cell r="M3908">
            <v>0</v>
          </cell>
          <cell r="N3908">
            <v>1399.99</v>
          </cell>
          <cell r="O3908" t="str">
            <v/>
          </cell>
          <cell r="P3908">
            <v>0</v>
          </cell>
          <cell r="Q3908">
            <v>0.26718610806531701</v>
          </cell>
          <cell r="R3908">
            <v>0.26718610806531701</v>
          </cell>
          <cell r="S3908" t="e">
            <v>#VALUE!</v>
          </cell>
          <cell r="T3908" t="e">
            <v>#VALUE!</v>
          </cell>
        </row>
        <row r="3909">
          <cell r="A3909" t="str">
            <v>GRGL27001273</v>
          </cell>
          <cell r="B3909" t="str">
            <v>MKP000631004609</v>
          </cell>
          <cell r="C3909" t="str">
            <v/>
          </cell>
          <cell r="D3909" t="str">
            <v>Armário de Cozinha Completa 270cm Branco/Preto Glamy Madesa 12</v>
          </cell>
          <cell r="E3909" t="str">
            <v>GLAMY</v>
          </cell>
          <cell r="F3909" t="str">
            <v>COZINHA</v>
          </cell>
          <cell r="G3909" t="str">
            <v/>
          </cell>
          <cell r="H3909">
            <v>1799.99</v>
          </cell>
          <cell r="I3909">
            <v>1699.99</v>
          </cell>
          <cell r="J3909">
            <v>1419.5397</v>
          </cell>
          <cell r="K3909">
            <v>0</v>
          </cell>
          <cell r="L3909">
            <v>1419.5397</v>
          </cell>
          <cell r="M3909">
            <v>0</v>
          </cell>
          <cell r="N3909">
            <v>1699.99</v>
          </cell>
          <cell r="O3909" t="str">
            <v/>
          </cell>
          <cell r="P3909">
            <v>0</v>
          </cell>
          <cell r="Q3909">
            <v>0.197564252694025</v>
          </cell>
          <cell r="R3909">
            <v>0.197564252694025</v>
          </cell>
          <cell r="S3909" t="e">
            <v>#VALUE!</v>
          </cell>
          <cell r="T3909" t="e">
            <v>#VALUE!</v>
          </cell>
        </row>
        <row r="3910">
          <cell r="A3910" t="str">
            <v>GRTE31000109</v>
          </cell>
          <cell r="B3910" t="str">
            <v>MKP000631005934</v>
          </cell>
          <cell r="C3910" t="str">
            <v/>
          </cell>
          <cell r="D3910" t="str">
            <v>Armário de Cozinha Completa 310cm Branco Stella Madesa 01</v>
          </cell>
          <cell r="E3910" t="str">
            <v>STELLA</v>
          </cell>
          <cell r="F3910" t="str">
            <v>COZINHA</v>
          </cell>
          <cell r="G3910" t="str">
            <v/>
          </cell>
          <cell r="H3910">
            <v>2599.9899999999998</v>
          </cell>
          <cell r="I3910">
            <v>2599.9899999999998</v>
          </cell>
          <cell r="J3910">
            <v>2153.0225</v>
          </cell>
          <cell r="K3910">
            <v>0</v>
          </cell>
          <cell r="L3910">
            <v>2153.0225</v>
          </cell>
          <cell r="M3910">
            <v>0</v>
          </cell>
          <cell r="N3910">
            <v>2599.9899999999998</v>
          </cell>
          <cell r="O3910" t="str">
            <v/>
          </cell>
          <cell r="P3910">
            <v>0</v>
          </cell>
          <cell r="Q3910">
            <v>0.20760001346943599</v>
          </cell>
          <cell r="R3910">
            <v>0.20760001346943599</v>
          </cell>
          <cell r="S3910" t="e">
            <v>#VALUE!</v>
          </cell>
          <cell r="T3910" t="e">
            <v>#VALUE!</v>
          </cell>
        </row>
        <row r="3911">
          <cell r="A3911" t="str">
            <v>GRGL2900129B</v>
          </cell>
          <cell r="B3911" t="str">
            <v>MKP000631001261</v>
          </cell>
          <cell r="C3911" t="str">
            <v/>
          </cell>
          <cell r="D3911" t="str">
            <v>Armário de Cozinha Completa 290cm Branco/Rustic Vicenza Madesa 12</v>
          </cell>
          <cell r="E3911" t="str">
            <v>VICENZA/GLAMY</v>
          </cell>
          <cell r="F3911" t="str">
            <v>COZINHA</v>
          </cell>
          <cell r="G3911" t="str">
            <v/>
          </cell>
          <cell r="H3911">
            <v>3299.99</v>
          </cell>
          <cell r="I3911">
            <v>2599.9899999999998</v>
          </cell>
          <cell r="J3911">
            <v>2167.4105</v>
          </cell>
          <cell r="K3911">
            <v>0</v>
          </cell>
          <cell r="L3911">
            <v>2167.4105</v>
          </cell>
          <cell r="M3911">
            <v>0</v>
          </cell>
          <cell r="N3911">
            <v>2599.9899999999998</v>
          </cell>
          <cell r="O3911" t="str">
            <v/>
          </cell>
          <cell r="P3911">
            <v>0</v>
          </cell>
          <cell r="Q3911">
            <v>0.19958355835223601</v>
          </cell>
          <cell r="R3911">
            <v>0.19958355835223601</v>
          </cell>
          <cell r="S3911" t="e">
            <v>#VALUE!</v>
          </cell>
          <cell r="T3911" t="e">
            <v>#VALUE!</v>
          </cell>
        </row>
        <row r="3912">
          <cell r="A3912" t="str">
            <v>GRGL2900149B</v>
          </cell>
          <cell r="B3912" t="str">
            <v>MKP000631001271</v>
          </cell>
          <cell r="C3912" t="str">
            <v/>
          </cell>
          <cell r="D3912" t="str">
            <v>Armário de Cozinha Completa 290cm Branco/Rustic Safira Madesa 14</v>
          </cell>
          <cell r="E3912" t="str">
            <v>SAFIRA/GLAMY</v>
          </cell>
          <cell r="F3912" t="str">
            <v>COZINHA</v>
          </cell>
          <cell r="G3912" t="str">
            <v/>
          </cell>
          <cell r="H3912">
            <v>2999.99</v>
          </cell>
          <cell r="I3912">
            <v>2199.9899999999998</v>
          </cell>
          <cell r="J3912">
            <v>1834.2193</v>
          </cell>
          <cell r="K3912">
            <v>0</v>
          </cell>
          <cell r="L3912">
            <v>1834.2193</v>
          </cell>
          <cell r="M3912">
            <v>0</v>
          </cell>
          <cell r="N3912">
            <v>2199.9899999999998</v>
          </cell>
          <cell r="O3912" t="str">
            <v/>
          </cell>
          <cell r="P3912">
            <v>0</v>
          </cell>
          <cell r="Q3912">
            <v>0.199414922741245</v>
          </cell>
          <cell r="R3912">
            <v>0.199414922741245</v>
          </cell>
          <cell r="S3912" t="e">
            <v>#VALUE!</v>
          </cell>
          <cell r="T3912" t="e">
            <v>#VALUE!</v>
          </cell>
        </row>
        <row r="3913">
          <cell r="A3913" t="str">
            <v>GRGL18000673</v>
          </cell>
          <cell r="B3913" t="str">
            <v>MKP000631004661</v>
          </cell>
          <cell r="C3913" t="str">
            <v/>
          </cell>
          <cell r="D3913" t="str">
            <v>Armário de Cozinha Compacta 180cm Branco Preto Glamy Madesa 06</v>
          </cell>
          <cell r="E3913" t="str">
            <v>GLAMY</v>
          </cell>
          <cell r="F3913" t="str">
            <v>COZINHA</v>
          </cell>
          <cell r="G3913" t="str">
            <v/>
          </cell>
          <cell r="H3913">
            <v>1679.99</v>
          </cell>
          <cell r="I3913">
            <v>1579.99</v>
          </cell>
          <cell r="J3913">
            <v>1306.6157000000001</v>
          </cell>
          <cell r="K3913">
            <v>0</v>
          </cell>
          <cell r="L3913">
            <v>1306.6157000000001</v>
          </cell>
          <cell r="M3913">
            <v>0</v>
          </cell>
          <cell r="N3913">
            <v>1579.99</v>
          </cell>
          <cell r="O3913" t="str">
            <v/>
          </cell>
          <cell r="P3913">
            <v>0</v>
          </cell>
          <cell r="Q3913">
            <v>0.20922318628193401</v>
          </cell>
          <cell r="R3913">
            <v>0.20922318628193401</v>
          </cell>
          <cell r="S3913" t="e">
            <v>#VALUE!</v>
          </cell>
          <cell r="T3913" t="e">
            <v>#VALUE!</v>
          </cell>
        </row>
        <row r="3914">
          <cell r="A3914" t="str">
            <v>GRTE3300035Z</v>
          </cell>
          <cell r="B3914" t="str">
            <v>MKP000631005754</v>
          </cell>
          <cell r="C3914" t="str">
            <v/>
          </cell>
          <cell r="D3914" t="str">
            <v>Armário de Cozinha Completa 330cm Rustic Stella Madesa 03</v>
          </cell>
          <cell r="E3914" t="str">
            <v>STELLA</v>
          </cell>
          <cell r="F3914" t="str">
            <v>COZINHA</v>
          </cell>
          <cell r="G3914" t="str">
            <v/>
          </cell>
          <cell r="H3914">
            <v>2499.9899999999998</v>
          </cell>
          <cell r="I3914">
            <v>2499.9899999999998</v>
          </cell>
          <cell r="J3914">
            <v>2060.7431000000001</v>
          </cell>
          <cell r="K3914">
            <v>0</v>
          </cell>
          <cell r="L3914">
            <v>2060.7431000000001</v>
          </cell>
          <cell r="M3914">
            <v>0</v>
          </cell>
          <cell r="N3914">
            <v>2499.9899999999998</v>
          </cell>
          <cell r="O3914" t="str">
            <v/>
          </cell>
          <cell r="P3914">
            <v>0</v>
          </cell>
          <cell r="Q3914">
            <v>0.213149761365208</v>
          </cell>
          <cell r="R3914">
            <v>0.213149761365208</v>
          </cell>
          <cell r="S3914" t="e">
            <v>#VALUE!</v>
          </cell>
          <cell r="T3914" t="e">
            <v>#VALUE!</v>
          </cell>
        </row>
        <row r="3915">
          <cell r="A3915" t="str">
            <v>GRGL3150015Z</v>
          </cell>
          <cell r="B3915" t="str">
            <v>MKP000631004711</v>
          </cell>
          <cell r="C3915" t="str">
            <v/>
          </cell>
          <cell r="D3915" t="str">
            <v>Armário de Cozinha Completa 315cm Rustic Glamy Madesa 01</v>
          </cell>
          <cell r="E3915" t="str">
            <v>GLAMY</v>
          </cell>
          <cell r="F3915" t="str">
            <v>COZINHA</v>
          </cell>
          <cell r="G3915" t="str">
            <v/>
          </cell>
          <cell r="H3915">
            <v>2599.9899999999998</v>
          </cell>
          <cell r="I3915">
            <v>2469.9899999999998</v>
          </cell>
          <cell r="J3915">
            <v>2041.8098</v>
          </cell>
          <cell r="K3915">
            <v>0</v>
          </cell>
          <cell r="L3915">
            <v>2041.8098</v>
          </cell>
          <cell r="M3915">
            <v>0</v>
          </cell>
          <cell r="N3915">
            <v>2469.9899999999998</v>
          </cell>
          <cell r="O3915" t="str">
            <v/>
          </cell>
          <cell r="P3915">
            <v>0</v>
          </cell>
          <cell r="Q3915">
            <v>0.20970621259629499</v>
          </cell>
          <cell r="R3915">
            <v>0.20970621259629499</v>
          </cell>
          <cell r="S3915" t="e">
            <v>#VALUE!</v>
          </cell>
          <cell r="T3915" t="e">
            <v>#VALUE!</v>
          </cell>
        </row>
        <row r="3916">
          <cell r="A3916" t="str">
            <v>GRGL2700159B</v>
          </cell>
          <cell r="B3916" t="str">
            <v>MKP000631005668</v>
          </cell>
          <cell r="C3916" t="str">
            <v/>
          </cell>
          <cell r="D3916" t="str">
            <v>Armário de Cozinha Completa 270cm Branco/Rustic Glamy Madesa 15</v>
          </cell>
          <cell r="E3916" t="str">
            <v>GLAMY</v>
          </cell>
          <cell r="F3916" t="str">
            <v>COZINHA</v>
          </cell>
          <cell r="G3916" t="str">
            <v/>
          </cell>
          <cell r="H3916">
            <v>1899.99</v>
          </cell>
          <cell r="I3916">
            <v>1799.99</v>
          </cell>
          <cell r="J3916">
            <v>1486.2585999999999</v>
          </cell>
          <cell r="K3916">
            <v>0</v>
          </cell>
          <cell r="L3916">
            <v>1486.2585999999999</v>
          </cell>
          <cell r="M3916">
            <v>0</v>
          </cell>
          <cell r="N3916">
            <v>1799.99</v>
          </cell>
          <cell r="O3916" t="str">
            <v/>
          </cell>
          <cell r="P3916">
            <v>0</v>
          </cell>
          <cell r="Q3916">
            <v>0.211088030037303</v>
          </cell>
          <cell r="R3916">
            <v>0.211088030037303</v>
          </cell>
          <cell r="S3916" t="e">
            <v>#VALUE!</v>
          </cell>
          <cell r="T3916" t="e">
            <v>#VALUE!</v>
          </cell>
        </row>
        <row r="3917">
          <cell r="A3917" t="str">
            <v>GRGL2400099B</v>
          </cell>
          <cell r="B3917" t="str">
            <v>MKP000631005212</v>
          </cell>
          <cell r="C3917" t="str">
            <v/>
          </cell>
          <cell r="D3917" t="str">
            <v>Armário de Cozinha Completa 240cm Branco/Rustic Glamy Madesa 09</v>
          </cell>
          <cell r="E3917" t="str">
            <v>GLAMY</v>
          </cell>
          <cell r="F3917" t="str">
            <v>COZINHA</v>
          </cell>
          <cell r="G3917" t="str">
            <v/>
          </cell>
          <cell r="H3917">
            <v>1599.99</v>
          </cell>
          <cell r="I3917">
            <v>1599.99</v>
          </cell>
          <cell r="J3917">
            <v>1320.7529999999999</v>
          </cell>
          <cell r="K3917">
            <v>0</v>
          </cell>
          <cell r="L3917">
            <v>1320.7529999999999</v>
          </cell>
          <cell r="M3917">
            <v>0</v>
          </cell>
          <cell r="N3917">
            <v>1599.99</v>
          </cell>
          <cell r="O3917" t="str">
            <v/>
          </cell>
          <cell r="P3917">
            <v>0</v>
          </cell>
          <cell r="Q3917">
            <v>0.21142257484934701</v>
          </cell>
          <cell r="R3917">
            <v>0.21142257484934701</v>
          </cell>
          <cell r="S3917" t="e">
            <v>#VALUE!</v>
          </cell>
          <cell r="T3917" t="e">
            <v>#VALUE!</v>
          </cell>
        </row>
        <row r="3918">
          <cell r="A3918" t="str">
            <v>GRGL1800129B</v>
          </cell>
          <cell r="B3918" t="str">
            <v>MKP000631005222</v>
          </cell>
          <cell r="C3918" t="str">
            <v/>
          </cell>
          <cell r="D3918" t="str">
            <v>Armário de Cozinha Compacta 180cm Branco/Rustic Glamy Madesa 12</v>
          </cell>
          <cell r="E3918" t="str">
            <v>GLAMY</v>
          </cell>
          <cell r="F3918" t="str">
            <v>COZINHA</v>
          </cell>
          <cell r="G3918" t="str">
            <v/>
          </cell>
          <cell r="H3918">
            <v>1259.99</v>
          </cell>
          <cell r="I3918">
            <v>1259.99</v>
          </cell>
          <cell r="J3918">
            <v>1025.5155999999999</v>
          </cell>
          <cell r="K3918">
            <v>0</v>
          </cell>
          <cell r="L3918">
            <v>1025.5155999999999</v>
          </cell>
          <cell r="M3918">
            <v>0</v>
          </cell>
          <cell r="N3918">
            <v>1259.99</v>
          </cell>
          <cell r="O3918" t="str">
            <v/>
          </cell>
          <cell r="P3918">
            <v>0</v>
          </cell>
          <cell r="Q3918">
            <v>0.22864050044680001</v>
          </cell>
          <cell r="R3918">
            <v>0.22864050044680001</v>
          </cell>
          <cell r="S3918" t="e">
            <v>#VALUE!</v>
          </cell>
          <cell r="T3918" t="e">
            <v>#VALUE!</v>
          </cell>
        </row>
        <row r="3919">
          <cell r="A3919" t="str">
            <v>GRGL200007C3</v>
          </cell>
          <cell r="B3919" t="str">
            <v>MKP000631005630</v>
          </cell>
          <cell r="C3919" t="str">
            <v/>
          </cell>
          <cell r="D3919" t="str">
            <v>Armário de Cozinha Compacta 200cm Rustic/Preto/Crema Glamy Madesa 07</v>
          </cell>
          <cell r="E3919" t="str">
            <v>GLAMY</v>
          </cell>
          <cell r="F3919" t="str">
            <v>COZINHA</v>
          </cell>
          <cell r="G3919" t="str">
            <v/>
          </cell>
          <cell r="H3919">
            <v>1699.99</v>
          </cell>
          <cell r="I3919">
            <v>1599.99</v>
          </cell>
          <cell r="J3919">
            <v>1301.5036</v>
          </cell>
          <cell r="K3919">
            <v>0</v>
          </cell>
          <cell r="L3919">
            <v>1301.5036</v>
          </cell>
          <cell r="M3919">
            <v>0</v>
          </cell>
          <cell r="N3919">
            <v>1599.99</v>
          </cell>
          <cell r="O3919" t="str">
            <v/>
          </cell>
          <cell r="P3919">
            <v>0</v>
          </cell>
          <cell r="Q3919">
            <v>0.22933966529174399</v>
          </cell>
          <cell r="R3919">
            <v>0.22933966529174399</v>
          </cell>
          <cell r="S3919" t="e">
            <v>#VALUE!</v>
          </cell>
          <cell r="T3919" t="e">
            <v>#VALUE!</v>
          </cell>
        </row>
        <row r="3920">
          <cell r="A3920" t="str">
            <v>GRGL2000079B</v>
          </cell>
          <cell r="B3920" t="str">
            <v>MKP000631005635</v>
          </cell>
          <cell r="C3920" t="str">
            <v/>
          </cell>
          <cell r="D3920" t="str">
            <v>Armário de Cozinha Compacta 200cm Branco/Rustic Glamy Madesa 07</v>
          </cell>
          <cell r="E3920" t="str">
            <v>GLAMY</v>
          </cell>
          <cell r="F3920" t="str">
            <v>COZINHA</v>
          </cell>
          <cell r="G3920" t="str">
            <v/>
          </cell>
          <cell r="H3920">
            <v>1699.99</v>
          </cell>
          <cell r="I3920">
            <v>1599.99</v>
          </cell>
          <cell r="J3920">
            <v>1301.5036</v>
          </cell>
          <cell r="K3920">
            <v>0</v>
          </cell>
          <cell r="L3920">
            <v>1301.5036</v>
          </cell>
          <cell r="M3920">
            <v>0</v>
          </cell>
          <cell r="N3920">
            <v>1599.99</v>
          </cell>
          <cell r="O3920" t="str">
            <v/>
          </cell>
          <cell r="P3920">
            <v>0</v>
          </cell>
          <cell r="Q3920">
            <v>0.22933966529174399</v>
          </cell>
          <cell r="R3920">
            <v>0.22933966529174399</v>
          </cell>
          <cell r="S3920" t="e">
            <v>#VALUE!</v>
          </cell>
          <cell r="T3920" t="e">
            <v>#VALUE!</v>
          </cell>
        </row>
        <row r="3921">
          <cell r="A3921" t="str">
            <v>GRGL24001073</v>
          </cell>
          <cell r="B3921" t="str">
            <v>MKP000631005205</v>
          </cell>
          <cell r="C3921" t="str">
            <v/>
          </cell>
          <cell r="D3921" t="str">
            <v>Armário de Cozinha Completa 240cm Branco/Preto Glamy Madesa 10</v>
          </cell>
          <cell r="E3921" t="str">
            <v>GLAMY</v>
          </cell>
          <cell r="F3921" t="str">
            <v>COZINHA</v>
          </cell>
          <cell r="G3921" t="str">
            <v/>
          </cell>
          <cell r="H3921">
            <v>1569.99</v>
          </cell>
          <cell r="I3921">
            <v>1569.99</v>
          </cell>
          <cell r="J3921">
            <v>1274.6895999999999</v>
          </cell>
          <cell r="K3921">
            <v>0</v>
          </cell>
          <cell r="L3921">
            <v>1274.6895999999999</v>
          </cell>
          <cell r="M3921">
            <v>0</v>
          </cell>
          <cell r="N3921">
            <v>1569.99</v>
          </cell>
          <cell r="O3921" t="str">
            <v/>
          </cell>
          <cell r="P3921">
            <v>0</v>
          </cell>
          <cell r="Q3921">
            <v>0.231664555825983</v>
          </cell>
          <cell r="R3921">
            <v>0.231664555825983</v>
          </cell>
          <cell r="S3921" t="e">
            <v>#VALUE!</v>
          </cell>
          <cell r="T3921" t="e">
            <v>#VALUE!</v>
          </cell>
        </row>
        <row r="3922">
          <cell r="A3922" t="str">
            <v>GRAG26000273</v>
          </cell>
          <cell r="B3922" t="str">
            <v>MKP000631004716</v>
          </cell>
          <cell r="C3922" t="str">
            <v/>
          </cell>
          <cell r="D3922" t="str">
            <v>Armário de Cozinha Completa 260cm Branco Preto Agata Madesa 02</v>
          </cell>
          <cell r="E3922" t="str">
            <v>ÁGATA</v>
          </cell>
          <cell r="F3922" t="str">
            <v>COZINHA</v>
          </cell>
          <cell r="G3922" t="str">
            <v/>
          </cell>
          <cell r="H3922">
            <v>1799.99</v>
          </cell>
          <cell r="I3922">
            <v>1699.99</v>
          </cell>
          <cell r="J3922">
            <v>1382.2617</v>
          </cell>
          <cell r="K3922">
            <v>0</v>
          </cell>
          <cell r="L3922">
            <v>1382.2617</v>
          </cell>
          <cell r="M3922">
            <v>0</v>
          </cell>
          <cell r="N3922">
            <v>1699.99</v>
          </cell>
          <cell r="O3922" t="str">
            <v/>
          </cell>
          <cell r="P3922">
            <v>0</v>
          </cell>
          <cell r="Q3922">
            <v>0.22986117607107201</v>
          </cell>
          <cell r="R3922">
            <v>0.22986117607107201</v>
          </cell>
          <cell r="S3922" t="e">
            <v>#VALUE!</v>
          </cell>
          <cell r="T3922" t="e">
            <v>#VALUE!</v>
          </cell>
        </row>
        <row r="3923">
          <cell r="A3923" t="str">
            <v>MDJA0401755ZSIL</v>
          </cell>
          <cell r="B3923" t="str">
            <v>MKP000631005873</v>
          </cell>
          <cell r="C3923" t="str">
            <v/>
          </cell>
          <cell r="D3923" t="str">
            <v>Conjunto Sala de Jantar Mesa Tampo de Madeira 4 Cadeiras Rustic/Silver Agnes Madesa</v>
          </cell>
          <cell r="E3923" t="str">
            <v>AGNES</v>
          </cell>
          <cell r="F3923" t="str">
            <v>SALA DE JANTAR</v>
          </cell>
          <cell r="G3923">
            <v>4255</v>
          </cell>
          <cell r="H3923">
            <v>959.9</v>
          </cell>
          <cell r="I3923">
            <v>929.99</v>
          </cell>
          <cell r="J3923">
            <v>729.79859999999996</v>
          </cell>
          <cell r="K3923">
            <v>0</v>
          </cell>
          <cell r="L3923">
            <v>729.79859999999996</v>
          </cell>
          <cell r="M3923">
            <v>0</v>
          </cell>
          <cell r="N3923">
            <v>929.99</v>
          </cell>
          <cell r="O3923" t="str">
            <v/>
          </cell>
          <cell r="P3923">
            <v>0</v>
          </cell>
          <cell r="Q3923">
            <v>0.27431047414999199</v>
          </cell>
          <cell r="R3923">
            <v>0.27431047414999199</v>
          </cell>
          <cell r="S3923" t="e">
            <v>#VALUE!</v>
          </cell>
          <cell r="T3923" t="e">
            <v>#VALUE!</v>
          </cell>
        </row>
        <row r="3924">
          <cell r="A3924" t="str">
            <v>GREM1370097K</v>
          </cell>
          <cell r="B3924" t="str">
            <v>MKP000631005794</v>
          </cell>
          <cell r="C3924" t="str">
            <v/>
          </cell>
          <cell r="D3924" t="str">
            <v>Armário de Cozinha Compacta 137cm Rustic/Preto Emilly Madesa 09</v>
          </cell>
          <cell r="E3924" t="str">
            <v>EMILLY</v>
          </cell>
          <cell r="F3924" t="str">
            <v>COZINHA</v>
          </cell>
          <cell r="G3924" t="str">
            <v/>
          </cell>
          <cell r="H3924">
            <v>839.99</v>
          </cell>
          <cell r="I3924">
            <v>839.99</v>
          </cell>
          <cell r="J3924">
            <v>658.71969999999999</v>
          </cell>
          <cell r="K3924">
            <v>0</v>
          </cell>
          <cell r="L3924">
            <v>658.71969999999999</v>
          </cell>
          <cell r="M3924">
            <v>0</v>
          </cell>
          <cell r="N3924">
            <v>839.99</v>
          </cell>
          <cell r="O3924" t="str">
            <v/>
          </cell>
          <cell r="P3924">
            <v>0</v>
          </cell>
          <cell r="Q3924">
            <v>0.27518578843171099</v>
          </cell>
          <cell r="R3924">
            <v>0.27518578843171099</v>
          </cell>
          <cell r="S3924" t="e">
            <v>#VALUE!</v>
          </cell>
          <cell r="T3924" t="e">
            <v>#VALUE!</v>
          </cell>
        </row>
        <row r="3925">
          <cell r="A3925" t="str">
            <v>MDJA0601565ZLIB</v>
          </cell>
          <cell r="B3925" t="str">
            <v>MKP000631005894</v>
          </cell>
          <cell r="C3925" t="str">
            <v/>
          </cell>
          <cell r="D3925" t="str">
            <v>Conjunto Sala de Jantar Mesa Tampo de Madeira 6 Cadeiras Rustic/Lírio Bege Sharon Madesa</v>
          </cell>
          <cell r="E3925" t="str">
            <v>SHARON</v>
          </cell>
          <cell r="F3925" t="str">
            <v>SALA DE JANTAR</v>
          </cell>
          <cell r="G3925" t="str">
            <v>4290X</v>
          </cell>
          <cell r="H3925">
            <v>839.99</v>
          </cell>
          <cell r="I3925">
            <v>739.99</v>
          </cell>
          <cell r="J3925">
            <v>588.73080000000004</v>
          </cell>
          <cell r="K3925">
            <v>0</v>
          </cell>
          <cell r="L3925">
            <v>588.73080000000004</v>
          </cell>
          <cell r="M3925">
            <v>0</v>
          </cell>
          <cell r="N3925">
            <v>739.99</v>
          </cell>
          <cell r="O3925" t="str">
            <v/>
          </cell>
          <cell r="P3925">
            <v>0</v>
          </cell>
          <cell r="Q3925">
            <v>0.256924217316301</v>
          </cell>
          <cell r="R3925">
            <v>0.256924217316301</v>
          </cell>
          <cell r="S3925" t="e">
            <v>#VALUE!</v>
          </cell>
          <cell r="T3925" t="e">
            <v>#VALUE!</v>
          </cell>
        </row>
        <row r="3926">
          <cell r="A3926" t="str">
            <v>GRAG27000709</v>
          </cell>
          <cell r="B3926" t="str">
            <v>MKP000631005265</v>
          </cell>
          <cell r="C3926" t="str">
            <v/>
          </cell>
          <cell r="D3926" t="str">
            <v>Armário de  Cozinha Completa 270cm Branco Agata Madesa 07</v>
          </cell>
          <cell r="E3926" t="str">
            <v>ÁGATA</v>
          </cell>
          <cell r="F3926" t="str">
            <v>COZINHA</v>
          </cell>
          <cell r="G3926" t="str">
            <v/>
          </cell>
          <cell r="H3926">
            <v>2219.9899999999998</v>
          </cell>
          <cell r="I3926">
            <v>2099.9899999999998</v>
          </cell>
          <cell r="J3926">
            <v>1623.3152</v>
          </cell>
          <cell r="K3926">
            <v>0</v>
          </cell>
          <cell r="L3926">
            <v>1623.3152</v>
          </cell>
          <cell r="M3926">
            <v>0</v>
          </cell>
          <cell r="N3926">
            <v>2099.9899999999998</v>
          </cell>
          <cell r="O3926" t="str">
            <v/>
          </cell>
          <cell r="P3926">
            <v>0</v>
          </cell>
          <cell r="Q3926">
            <v>0.29364278730341398</v>
          </cell>
          <cell r="R3926">
            <v>0.29364278730341398</v>
          </cell>
          <cell r="S3926" t="e">
            <v>#VALUE!</v>
          </cell>
          <cell r="T3926" t="e">
            <v>#VALUE!</v>
          </cell>
        </row>
        <row r="3927">
          <cell r="A3927" t="str">
            <v>G241239BTECT</v>
          </cell>
          <cell r="B3927" t="str">
            <v>MKP000631005813</v>
          </cell>
          <cell r="C3927" t="str">
            <v/>
          </cell>
          <cell r="D3927" t="str">
            <v>Balcão Gabinete de Pia 120 cm 1 Portas e 2 Gavetas (Com Tampo) Branco/Rustic Stella Madesa</v>
          </cell>
          <cell r="E3927" t="str">
            <v>STELLA</v>
          </cell>
          <cell r="F3927" t="str">
            <v>MODULAÇÃO</v>
          </cell>
          <cell r="G3927" t="str">
            <v/>
          </cell>
          <cell r="H3927">
            <v>699.99</v>
          </cell>
          <cell r="I3927">
            <v>679.99</v>
          </cell>
          <cell r="J3927">
            <v>520.43140000000005</v>
          </cell>
          <cell r="K3927">
            <v>0</v>
          </cell>
          <cell r="L3927">
            <v>520.43140000000005</v>
          </cell>
          <cell r="M3927">
            <v>0</v>
          </cell>
          <cell r="N3927">
            <v>679.99</v>
          </cell>
          <cell r="O3927" t="str">
            <v/>
          </cell>
          <cell r="P3927">
            <v>0</v>
          </cell>
          <cell r="Q3927">
            <v>0.30658911049563897</v>
          </cell>
          <cell r="R3927">
            <v>0.30658911049563897</v>
          </cell>
          <cell r="S3927" t="e">
            <v>#VALUE!</v>
          </cell>
          <cell r="T3927" t="e">
            <v>#VALUE!</v>
          </cell>
        </row>
        <row r="3928">
          <cell r="A3928" t="str">
            <v>G2415373AGFF</v>
          </cell>
          <cell r="B3928" t="str">
            <v>MKP000631005654</v>
          </cell>
          <cell r="C3928" t="str">
            <v/>
          </cell>
          <cell r="D3928" t="str">
            <v>Balcão Gabinete de Pia Madesa Agata 150 cm 2 Portas e 2 Gavetas (Sem Tampo e Pia) Branco/Preto</v>
          </cell>
          <cell r="E3928" t="str">
            <v>ÁGATA</v>
          </cell>
          <cell r="F3928" t="str">
            <v>MODULAÇÃO</v>
          </cell>
          <cell r="G3928" t="str">
            <v/>
          </cell>
          <cell r="H3928">
            <v>689.99</v>
          </cell>
          <cell r="I3928">
            <v>649.99</v>
          </cell>
          <cell r="J3928">
            <v>477.38729999999998</v>
          </cell>
          <cell r="K3928">
            <v>0</v>
          </cell>
          <cell r="L3928">
            <v>477.38729999999998</v>
          </cell>
          <cell r="M3928">
            <v>0</v>
          </cell>
          <cell r="N3928">
            <v>649.99</v>
          </cell>
          <cell r="O3928" t="str">
            <v/>
          </cell>
          <cell r="P3928">
            <v>0</v>
          </cell>
          <cell r="Q3928">
            <v>0.36155695805062299</v>
          </cell>
          <cell r="R3928">
            <v>0.36155695805062299</v>
          </cell>
          <cell r="S3928" t="e">
            <v>#VALUE!</v>
          </cell>
          <cell r="T3928" t="e">
            <v>#VALUE!</v>
          </cell>
        </row>
        <row r="3929">
          <cell r="A3929" t="str">
            <v>G241247GAGCT</v>
          </cell>
          <cell r="B3929" t="str">
            <v>MKP000631005836</v>
          </cell>
          <cell r="C3929" t="str">
            <v/>
          </cell>
          <cell r="D3929" t="str">
            <v>Balcão de Pia Cozinha 2 Portas e 3 Gavetas (Com Tampo) Rustic/Crema Agata Madesa</v>
          </cell>
          <cell r="E3929" t="str">
            <v>ÁGATA</v>
          </cell>
          <cell r="F3929" t="str">
            <v>MODULAÇÃO</v>
          </cell>
          <cell r="G3929" t="str">
            <v/>
          </cell>
          <cell r="H3929">
            <v>999.99</v>
          </cell>
          <cell r="I3929">
            <v>899.99</v>
          </cell>
          <cell r="J3929">
            <v>633.29</v>
          </cell>
          <cell r="K3929">
            <v>0</v>
          </cell>
          <cell r="L3929">
            <v>633.29</v>
          </cell>
          <cell r="M3929">
            <v>0</v>
          </cell>
          <cell r="N3929">
            <v>899.99</v>
          </cell>
          <cell r="O3929" t="str">
            <v/>
          </cell>
          <cell r="P3929">
            <v>0</v>
          </cell>
          <cell r="Q3929">
            <v>0.421134077594783</v>
          </cell>
          <cell r="R3929">
            <v>0.421134077594783</v>
          </cell>
          <cell r="S3929" t="e">
            <v>#VALUE!</v>
          </cell>
          <cell r="T3929" t="e">
            <v>#VALUE!</v>
          </cell>
        </row>
        <row r="3930">
          <cell r="A3930" t="str">
            <v>G228009BFFCT</v>
          </cell>
          <cell r="B3930" t="str">
            <v>MKP000631006031</v>
          </cell>
          <cell r="C3930" t="str">
            <v/>
          </cell>
          <cell r="D3930" t="str">
            <v>Balcão para Forno de Embutir 80 x 60 cm Com Tampo Branco/Rustic Glamy, Stella Madesa</v>
          </cell>
          <cell r="E3930" t="str">
            <v>PR</v>
          </cell>
          <cell r="F3930" t="str">
            <v>MODULAÇÃO</v>
          </cell>
          <cell r="G3930" t="str">
            <v/>
          </cell>
          <cell r="H3930">
            <v>589.99</v>
          </cell>
          <cell r="I3930">
            <v>589.99</v>
          </cell>
          <cell r="J3930">
            <v>382.07769999999999</v>
          </cell>
          <cell r="K3930">
            <v>0</v>
          </cell>
          <cell r="L3930">
            <v>382.07769999999999</v>
          </cell>
          <cell r="M3930">
            <v>0</v>
          </cell>
          <cell r="N3930">
            <v>589.99</v>
          </cell>
          <cell r="O3930" t="str">
            <v/>
          </cell>
          <cell r="P3930">
            <v>0</v>
          </cell>
          <cell r="Q3930">
            <v>0.544162352317343</v>
          </cell>
          <cell r="R3930">
            <v>0.544162352317343</v>
          </cell>
          <cell r="S3930" t="e">
            <v>#VALUE!</v>
          </cell>
          <cell r="T3930" t="e">
            <v>#VALUE!</v>
          </cell>
        </row>
        <row r="3931">
          <cell r="A3931" t="str">
            <v>G2540073GL</v>
          </cell>
          <cell r="B3931" t="str">
            <v>MKP000631001297</v>
          </cell>
          <cell r="C3931" t="str">
            <v/>
          </cell>
          <cell r="D3931" t="str">
            <v>Armário Aéreo Madesa Glamy 40 cm 1 Porta Branco/Preto</v>
          </cell>
          <cell r="E3931" t="str">
            <v>GLAMY</v>
          </cell>
          <cell r="F3931" t="str">
            <v>MODULAÇÃO</v>
          </cell>
          <cell r="G3931" t="str">
            <v/>
          </cell>
          <cell r="H3931">
            <v>409.99</v>
          </cell>
          <cell r="I3931">
            <v>289.99</v>
          </cell>
          <cell r="J3931">
            <v>170.5959</v>
          </cell>
          <cell r="K3931">
            <v>0</v>
          </cell>
          <cell r="L3931">
            <v>170.5959</v>
          </cell>
          <cell r="M3931">
            <v>0</v>
          </cell>
          <cell r="N3931">
            <v>289.99</v>
          </cell>
          <cell r="O3931" t="str">
            <v/>
          </cell>
          <cell r="P3931">
            <v>0</v>
          </cell>
          <cell r="Q3931">
            <v>0.69986500261729601</v>
          </cell>
          <cell r="R3931">
            <v>0.69986500261729601</v>
          </cell>
          <cell r="S3931" t="e">
            <v>#VALUE!</v>
          </cell>
          <cell r="T3931" t="e">
            <v>#VALUE!</v>
          </cell>
        </row>
        <row r="3932">
          <cell r="A3932" t="str">
            <v>GRLX24000373</v>
          </cell>
          <cell r="B3932" t="str">
            <v>MKP000631003366</v>
          </cell>
          <cell r="C3932" t="str">
            <v/>
          </cell>
          <cell r="D3932" t="str">
            <v>Armário de Cozinha Completa 240cm Branco/Preto Lux Madesa 03</v>
          </cell>
          <cell r="E3932" t="str">
            <v>LUX</v>
          </cell>
          <cell r="F3932" t="str">
            <v>COZINHA</v>
          </cell>
          <cell r="G3932" t="str">
            <v/>
          </cell>
          <cell r="H3932">
            <v>4839.99</v>
          </cell>
          <cell r="I3932">
            <v>4769.99</v>
          </cell>
          <cell r="J3932">
            <v>2795.6320000000001</v>
          </cell>
          <cell r="K3932">
            <v>0</v>
          </cell>
          <cell r="L3932">
            <v>2795.6320000000001</v>
          </cell>
          <cell r="M3932">
            <v>0</v>
          </cell>
          <cell r="N3932">
            <v>4769.99</v>
          </cell>
          <cell r="O3932" t="str">
            <v>LOJA</v>
          </cell>
          <cell r="P3932">
            <v>4189.99</v>
          </cell>
          <cell r="Q3932">
            <v>0.70622957528029395</v>
          </cell>
          <cell r="R3932">
            <v>0.70622957528029395</v>
          </cell>
          <cell r="S3932" t="e">
            <v>#VALUE!</v>
          </cell>
          <cell r="T3932" t="e">
            <v>#VALUE!</v>
          </cell>
        </row>
        <row r="3933">
          <cell r="A3933" t="str">
            <v>G25142H8LX</v>
          </cell>
          <cell r="B3933" t="str">
            <v>MKP000631005551</v>
          </cell>
          <cell r="C3933" t="str">
            <v/>
          </cell>
          <cell r="D3933" t="str">
            <v>Armário Aéreo 120 cm 3 Portas Rustic/Branco Veludo Lux Madesa</v>
          </cell>
          <cell r="E3933" t="str">
            <v>LUX</v>
          </cell>
          <cell r="F3933" t="str">
            <v>MODULAÇÃO</v>
          </cell>
          <cell r="G3933" t="str">
            <v/>
          </cell>
          <cell r="H3933">
            <v>1299.99</v>
          </cell>
          <cell r="I3933">
            <v>769.99</v>
          </cell>
          <cell r="J3933">
            <v>436.95920000000001</v>
          </cell>
          <cell r="K3933">
            <v>0</v>
          </cell>
          <cell r="L3933">
            <v>436.95920000000001</v>
          </cell>
          <cell r="M3933">
            <v>0</v>
          </cell>
          <cell r="N3933">
            <v>769.99</v>
          </cell>
          <cell r="O3933" t="str">
            <v/>
          </cell>
          <cell r="P3933">
            <v>0</v>
          </cell>
          <cell r="Q3933">
            <v>0.76215536828152397</v>
          </cell>
          <cell r="R3933">
            <v>0.76215536828152397</v>
          </cell>
          <cell r="S3933" t="e">
            <v>#VALUE!</v>
          </cell>
          <cell r="T3933" t="e">
            <v>#VALUE!</v>
          </cell>
        </row>
        <row r="3934">
          <cell r="A3934" t="str">
            <v>G244007GAG</v>
          </cell>
          <cell r="B3934" t="str">
            <v>MKP000631005381</v>
          </cell>
          <cell r="C3934" t="str">
            <v/>
          </cell>
          <cell r="D3934" t="str">
            <v>Balcão 40 cm 1 Porta Rustic/Crema Agata Madesa</v>
          </cell>
          <cell r="E3934" t="str">
            <v>ÁGATA</v>
          </cell>
          <cell r="F3934" t="str">
            <v>MODULAÇÃO</v>
          </cell>
          <cell r="G3934" t="str">
            <v/>
          </cell>
          <cell r="H3934">
            <v>499.99</v>
          </cell>
          <cell r="I3934">
            <v>399.99</v>
          </cell>
          <cell r="J3934">
            <v>220.15819999999999</v>
          </cell>
          <cell r="K3934">
            <v>0</v>
          </cell>
          <cell r="L3934">
            <v>220.15819999999999</v>
          </cell>
          <cell r="M3934">
            <v>0</v>
          </cell>
          <cell r="N3934">
            <v>399.99</v>
          </cell>
          <cell r="O3934" t="str">
            <v/>
          </cell>
          <cell r="P3934">
            <v>0</v>
          </cell>
          <cell r="Q3934">
            <v>0.81682989777351001</v>
          </cell>
          <cell r="R3934">
            <v>0.81682989777351001</v>
          </cell>
          <cell r="S3934" t="e">
            <v>#VALUE!</v>
          </cell>
          <cell r="T3934" t="e">
            <v>#VALUE!</v>
          </cell>
        </row>
        <row r="3935">
          <cell r="A3935" t="str">
            <v>G25800H8LX</v>
          </cell>
          <cell r="B3935" t="str">
            <v>MKP000631004411</v>
          </cell>
          <cell r="C3935" t="str">
            <v/>
          </cell>
          <cell r="D3935" t="str">
            <v>Armário Aéreo Madesa Lux 80 cm 2 Portas Rustic/Branco Veludo</v>
          </cell>
          <cell r="E3935" t="str">
            <v>LUX</v>
          </cell>
          <cell r="F3935" t="str">
            <v>MODULAÇÃO</v>
          </cell>
          <cell r="G3935" t="str">
            <v/>
          </cell>
          <cell r="H3935">
            <v>919.99</v>
          </cell>
          <cell r="I3935">
            <v>529.99</v>
          </cell>
          <cell r="J3935">
            <v>282.16829999999999</v>
          </cell>
          <cell r="K3935">
            <v>0</v>
          </cell>
          <cell r="L3935">
            <v>282.16829999999999</v>
          </cell>
          <cell r="M3935">
            <v>0</v>
          </cell>
          <cell r="N3935">
            <v>529.99</v>
          </cell>
          <cell r="O3935" t="str">
            <v>LOJA</v>
          </cell>
          <cell r="P3935">
            <v>519.99</v>
          </cell>
          <cell r="Q3935">
            <v>0.87827619190391004</v>
          </cell>
          <cell r="R3935">
            <v>0.87827619190391004</v>
          </cell>
          <cell r="S3935" t="e">
            <v>#VALUE!</v>
          </cell>
          <cell r="T3935" t="e">
            <v>#VALUE!</v>
          </cell>
        </row>
        <row r="3936">
          <cell r="A3936" t="str">
            <v>GRTE2400015Z</v>
          </cell>
          <cell r="B3936" t="str">
            <v>MKP000631005490</v>
          </cell>
          <cell r="C3936" t="str">
            <v/>
          </cell>
          <cell r="D3936" t="str">
            <v>Armário de Cozinha Compacta 240cm Rustic Stella Madesa 01</v>
          </cell>
          <cell r="E3936" t="str">
            <v>STELLA</v>
          </cell>
          <cell r="F3936" t="str">
            <v>COZINHA</v>
          </cell>
          <cell r="G3936" t="str">
            <v/>
          </cell>
          <cell r="H3936">
            <v>1249.99</v>
          </cell>
          <cell r="I3936">
            <v>1249.99</v>
          </cell>
          <cell r="J3936">
            <v>990.25409999999999</v>
          </cell>
          <cell r="K3936">
            <v>0</v>
          </cell>
          <cell r="L3936">
            <v>990.25409999999999</v>
          </cell>
          <cell r="M3936">
            <v>0</v>
          </cell>
          <cell r="N3936">
            <v>1249.99</v>
          </cell>
          <cell r="O3936" t="str">
            <v/>
          </cell>
          <cell r="P3936">
            <v>0</v>
          </cell>
          <cell r="Q3936">
            <v>0.26229217329168297</v>
          </cell>
          <cell r="R3936">
            <v>0.26229217329168297</v>
          </cell>
          <cell r="S3936" t="e">
            <v>#VALUE!</v>
          </cell>
          <cell r="T3936" t="e">
            <v>#VALUE!</v>
          </cell>
        </row>
        <row r="3937">
          <cell r="A3937" t="str">
            <v>GRTE3100036E</v>
          </cell>
          <cell r="B3937" t="str">
            <v>MKP000631005939</v>
          </cell>
          <cell r="C3937" t="str">
            <v/>
          </cell>
          <cell r="D3937" t="str">
            <v>Armário de Cozinha Completa 310cm Rustic/Branco Stella Madesa 03</v>
          </cell>
          <cell r="E3937" t="str">
            <v>STELLA</v>
          </cell>
          <cell r="F3937" t="str">
            <v>COZINHA</v>
          </cell>
          <cell r="G3937" t="str">
            <v/>
          </cell>
          <cell r="H3937">
            <v>2599.9899999999998</v>
          </cell>
          <cell r="I3937">
            <v>2499.9899999999998</v>
          </cell>
          <cell r="J3937">
            <v>2104.6592000000001</v>
          </cell>
          <cell r="K3937">
            <v>0</v>
          </cell>
          <cell r="L3937">
            <v>2104.6592000000001</v>
          </cell>
          <cell r="M3937">
            <v>0</v>
          </cell>
          <cell r="N3937">
            <v>2499.9899999999998</v>
          </cell>
          <cell r="O3937" t="str">
            <v/>
          </cell>
          <cell r="P3937">
            <v>0</v>
          </cell>
          <cell r="Q3937">
            <v>0.187836016396384</v>
          </cell>
          <cell r="R3937">
            <v>0.187836016396384</v>
          </cell>
          <cell r="S3937" t="e">
            <v>#VALUE!</v>
          </cell>
          <cell r="T3937" t="e">
            <v>#VALUE!</v>
          </cell>
        </row>
        <row r="3938">
          <cell r="A3938" t="str">
            <v>GRGL220002D7</v>
          </cell>
          <cell r="B3938" t="str">
            <v>MKP000631001404</v>
          </cell>
          <cell r="C3938" t="str">
            <v/>
          </cell>
          <cell r="D3938" t="str">
            <v>Armário de Cozinha Completa 220cm Branco/Preto/Rustic Parma Madesa 02</v>
          </cell>
          <cell r="E3938" t="str">
            <v>PARMA/GLAMY</v>
          </cell>
          <cell r="F3938" t="str">
            <v>COZINHA</v>
          </cell>
          <cell r="G3938" t="str">
            <v/>
          </cell>
          <cell r="H3938">
            <v>1969.99</v>
          </cell>
          <cell r="I3938">
            <v>1869.99</v>
          </cell>
          <cell r="J3938">
            <v>1558.7654</v>
          </cell>
          <cell r="K3938">
            <v>0</v>
          </cell>
          <cell r="L3938">
            <v>1558.7654</v>
          </cell>
          <cell r="M3938">
            <v>0</v>
          </cell>
          <cell r="N3938">
            <v>1869.99</v>
          </cell>
          <cell r="O3938" t="str">
            <v/>
          </cell>
          <cell r="P3938">
            <v>0</v>
          </cell>
          <cell r="Q3938">
            <v>0.199660962451438</v>
          </cell>
          <cell r="R3938">
            <v>0.199660962451438</v>
          </cell>
          <cell r="S3938" t="e">
            <v>#VALUE!</v>
          </cell>
          <cell r="T3938" t="e">
            <v>#VALUE!</v>
          </cell>
        </row>
        <row r="3939">
          <cell r="A3939" t="str">
            <v>GRGL26000473</v>
          </cell>
          <cell r="B3939" t="str">
            <v>MKP000631005196</v>
          </cell>
          <cell r="C3939" t="str">
            <v/>
          </cell>
          <cell r="D3939" t="str">
            <v>Armário de Cozinha Completa 260cm Branco/Preto Glamy Madesa 04</v>
          </cell>
          <cell r="E3939" t="str">
            <v>GLAMY</v>
          </cell>
          <cell r="F3939" t="str">
            <v>COZINHA</v>
          </cell>
          <cell r="G3939" t="str">
            <v/>
          </cell>
          <cell r="H3939">
            <v>1799.99</v>
          </cell>
          <cell r="I3939">
            <v>1699.99</v>
          </cell>
          <cell r="J3939">
            <v>1407.5279</v>
          </cell>
          <cell r="K3939">
            <v>0</v>
          </cell>
          <cell r="L3939">
            <v>1407.5279</v>
          </cell>
          <cell r="M3939">
            <v>0</v>
          </cell>
          <cell r="N3939">
            <v>1699.99</v>
          </cell>
          <cell r="O3939" t="str">
            <v/>
          </cell>
          <cell r="P3939">
            <v>0</v>
          </cell>
          <cell r="Q3939">
            <v>0.20778422935701699</v>
          </cell>
          <cell r="R3939">
            <v>0.20778422935701699</v>
          </cell>
          <cell r="S3939" t="e">
            <v>#VALUE!</v>
          </cell>
          <cell r="T3939" t="e">
            <v>#VALUE!</v>
          </cell>
        </row>
        <row r="3940">
          <cell r="A3940" t="str">
            <v>GRGL2600049B</v>
          </cell>
          <cell r="B3940" t="str">
            <v>MKP000631005198</v>
          </cell>
          <cell r="C3940" t="str">
            <v/>
          </cell>
          <cell r="D3940" t="str">
            <v>Armário de Cozinha Completa 260cm Branco/Rustic Glamy Madesa 04</v>
          </cell>
          <cell r="E3940" t="str">
            <v>GLAMY</v>
          </cell>
          <cell r="F3940" t="str">
            <v>COZINHA</v>
          </cell>
          <cell r="G3940" t="str">
            <v/>
          </cell>
          <cell r="H3940">
            <v>1699.99</v>
          </cell>
          <cell r="I3940">
            <v>1699.99</v>
          </cell>
          <cell r="J3940">
            <v>1407.5279</v>
          </cell>
          <cell r="K3940">
            <v>0</v>
          </cell>
          <cell r="L3940">
            <v>1407.5279</v>
          </cell>
          <cell r="M3940">
            <v>0</v>
          </cell>
          <cell r="N3940">
            <v>1699.99</v>
          </cell>
          <cell r="O3940" t="str">
            <v/>
          </cell>
          <cell r="P3940">
            <v>0</v>
          </cell>
          <cell r="Q3940">
            <v>0.20778422935701699</v>
          </cell>
          <cell r="R3940">
            <v>0.20778422935701699</v>
          </cell>
          <cell r="S3940" t="e">
            <v>#VALUE!</v>
          </cell>
          <cell r="T3940" t="e">
            <v>#VALUE!</v>
          </cell>
        </row>
        <row r="3941">
          <cell r="A3941" t="str">
            <v>GREM2610095Z</v>
          </cell>
          <cell r="B3941" t="str">
            <v>MKP000631005961</v>
          </cell>
          <cell r="C3941" t="str">
            <v/>
          </cell>
          <cell r="D3941" t="str">
            <v>Armário de Cozinha Compacta 261 cm Rustic Emilly Madesa 09</v>
          </cell>
          <cell r="E3941" t="str">
            <v>EMILLY</v>
          </cell>
          <cell r="F3941" t="str">
            <v>COZINHA</v>
          </cell>
          <cell r="G3941" t="str">
            <v/>
          </cell>
          <cell r="H3941">
            <v>1269.99</v>
          </cell>
          <cell r="I3941">
            <v>1169.99</v>
          </cell>
          <cell r="J3941">
            <v>937.29100000000005</v>
          </cell>
          <cell r="K3941">
            <v>0</v>
          </cell>
          <cell r="L3941">
            <v>937.29100000000005</v>
          </cell>
          <cell r="M3941">
            <v>0</v>
          </cell>
          <cell r="N3941">
            <v>1169.99</v>
          </cell>
          <cell r="O3941" t="str">
            <v/>
          </cell>
          <cell r="P3941">
            <v>0</v>
          </cell>
          <cell r="Q3941">
            <v>0.24826761379336801</v>
          </cell>
          <cell r="R3941">
            <v>0.24826761379336801</v>
          </cell>
          <cell r="S3941" t="e">
            <v>#VALUE!</v>
          </cell>
          <cell r="T3941" t="e">
            <v>#VALUE!</v>
          </cell>
        </row>
        <row r="3942">
          <cell r="A3942" t="str">
            <v>GRGL270009D7</v>
          </cell>
          <cell r="B3942" t="str">
            <v>MKP000631001220</v>
          </cell>
          <cell r="C3942" t="str">
            <v/>
          </cell>
          <cell r="D3942" t="str">
            <v>Armário de Cozinha Completa 270cm Branco/Preto/Rustic Jade Madesa 09</v>
          </cell>
          <cell r="E3942" t="str">
            <v>JADE/GLAMY</v>
          </cell>
          <cell r="F3942" t="str">
            <v>COZINHA</v>
          </cell>
          <cell r="G3942" t="str">
            <v/>
          </cell>
          <cell r="H3942">
            <v>2699.99</v>
          </cell>
          <cell r="I3942">
            <v>2099.9899999999998</v>
          </cell>
          <cell r="J3942">
            <v>1727.3339000000001</v>
          </cell>
          <cell r="K3942">
            <v>0</v>
          </cell>
          <cell r="L3942">
            <v>1727.3339000000001</v>
          </cell>
          <cell r="M3942">
            <v>0</v>
          </cell>
          <cell r="N3942">
            <v>2099.9899999999998</v>
          </cell>
          <cell r="O3942" t="str">
            <v/>
          </cell>
          <cell r="P3942">
            <v>0</v>
          </cell>
          <cell r="Q3942">
            <v>0.21574062779639799</v>
          </cell>
          <cell r="R3942">
            <v>0.21574062779639799</v>
          </cell>
          <cell r="S3942" t="e">
            <v>#VALUE!</v>
          </cell>
          <cell r="T3942" t="e">
            <v>#VALUE!</v>
          </cell>
        </row>
        <row r="3943">
          <cell r="A3943" t="str">
            <v>MDJA0601657KOXF</v>
          </cell>
          <cell r="B3943" t="str">
            <v>MKP000631006070</v>
          </cell>
          <cell r="C3943" t="str">
            <v/>
          </cell>
          <cell r="D3943" t="str">
            <v>Conjunto Sala de Jantar Mesa Tampo de Madeira 6 Cadeiras Rustic/Preto/Oxford Britney Madesa</v>
          </cell>
          <cell r="E3943" t="str">
            <v>BRITNEY</v>
          </cell>
          <cell r="F3943" t="str">
            <v>SALA DE JANTAR</v>
          </cell>
          <cell r="G3943">
            <v>4256</v>
          </cell>
          <cell r="H3943">
            <v>1639.99</v>
          </cell>
          <cell r="I3943">
            <v>1539.99</v>
          </cell>
          <cell r="J3943">
            <v>1208.9081000000001</v>
          </cell>
          <cell r="K3943">
            <v>0</v>
          </cell>
          <cell r="L3943">
            <v>1208.9081000000001</v>
          </cell>
          <cell r="M3943">
            <v>0</v>
          </cell>
          <cell r="N3943">
            <v>1539.99</v>
          </cell>
          <cell r="O3943" t="str">
            <v/>
          </cell>
          <cell r="P3943">
            <v>0</v>
          </cell>
          <cell r="Q3943">
            <v>0.273868543026554</v>
          </cell>
          <cell r="R3943">
            <v>0.273868543026554</v>
          </cell>
          <cell r="S3943" t="e">
            <v>#VALUE!</v>
          </cell>
          <cell r="T3943" t="e">
            <v>#VALUE!</v>
          </cell>
        </row>
        <row r="3944">
          <cell r="A3944" t="str">
            <v>GRGL1900049B</v>
          </cell>
          <cell r="B3944" t="str">
            <v>MKP000631000183</v>
          </cell>
          <cell r="C3944" t="str">
            <v/>
          </cell>
          <cell r="D3944" t="str">
            <v>Cozinha Compacta Madesa Lívia 6 Portas 2 Gavetas (Sem Tampo e Pia) Branco/Rustic</v>
          </cell>
          <cell r="E3944" t="str">
            <v>LÍVIA/GLAMY</v>
          </cell>
          <cell r="F3944" t="str">
            <v>COZINHA</v>
          </cell>
          <cell r="G3944" t="str">
            <v/>
          </cell>
          <cell r="H3944">
            <v>1699.99</v>
          </cell>
          <cell r="I3944">
            <v>1599.99</v>
          </cell>
          <cell r="J3944">
            <v>1311.8695</v>
          </cell>
          <cell r="K3944">
            <v>0</v>
          </cell>
          <cell r="L3944">
            <v>1311.8695</v>
          </cell>
          <cell r="M3944">
            <v>0</v>
          </cell>
          <cell r="N3944">
            <v>1599.99</v>
          </cell>
          <cell r="O3944" t="str">
            <v/>
          </cell>
          <cell r="P3944">
            <v>0</v>
          </cell>
          <cell r="Q3944">
            <v>0.21962588504420599</v>
          </cell>
          <cell r="R3944">
            <v>0.21962588504420599</v>
          </cell>
          <cell r="S3944" t="e">
            <v>#VALUE!</v>
          </cell>
          <cell r="T3944" t="e">
            <v>#VALUE!</v>
          </cell>
        </row>
        <row r="3945">
          <cell r="A3945" t="str">
            <v>GRGL15000173</v>
          </cell>
          <cell r="B3945" t="str">
            <v>MKP000631004625</v>
          </cell>
          <cell r="C3945" t="str">
            <v/>
          </cell>
          <cell r="D3945" t="str">
            <v>Armário de Cozinha Compacta 150cm Branco/Preto Glamy Madesa 01</v>
          </cell>
          <cell r="E3945" t="str">
            <v>GLAMY</v>
          </cell>
          <cell r="F3945" t="str">
            <v>COZINHA</v>
          </cell>
          <cell r="G3945" t="str">
            <v/>
          </cell>
          <cell r="H3945">
            <v>1199.99</v>
          </cell>
          <cell r="I3945">
            <v>1099.99</v>
          </cell>
          <cell r="J3945">
            <v>901.11389999999994</v>
          </cell>
          <cell r="K3945">
            <v>0</v>
          </cell>
          <cell r="L3945">
            <v>901.11389999999994</v>
          </cell>
          <cell r="M3945">
            <v>0</v>
          </cell>
          <cell r="N3945">
            <v>1099.99</v>
          </cell>
          <cell r="O3945" t="str">
            <v/>
          </cell>
          <cell r="P3945">
            <v>0</v>
          </cell>
          <cell r="Q3945">
            <v>0.22070029105088701</v>
          </cell>
          <cell r="R3945">
            <v>0.22070029105088701</v>
          </cell>
          <cell r="S3945" t="e">
            <v>#VALUE!</v>
          </cell>
          <cell r="T3945" t="e">
            <v>#VALUE!</v>
          </cell>
        </row>
        <row r="3946">
          <cell r="A3946" t="str">
            <v>GREM1370057K</v>
          </cell>
          <cell r="B3946" t="str">
            <v>MKP000631005799</v>
          </cell>
          <cell r="C3946" t="str">
            <v/>
          </cell>
          <cell r="D3946" t="str">
            <v>Armário de Cozinha Compacta 137cm Rustic/Preto Emilly Madesa 05</v>
          </cell>
          <cell r="E3946" t="str">
            <v>EMILLY</v>
          </cell>
          <cell r="F3946" t="str">
            <v>COZINHA</v>
          </cell>
          <cell r="G3946" t="str">
            <v/>
          </cell>
          <cell r="H3946">
            <v>849.99</v>
          </cell>
          <cell r="I3946">
            <v>849.99</v>
          </cell>
          <cell r="J3946">
            <v>681.82770000000005</v>
          </cell>
          <cell r="K3946">
            <v>0</v>
          </cell>
          <cell r="L3946">
            <v>681.82770000000005</v>
          </cell>
          <cell r="M3946">
            <v>0</v>
          </cell>
          <cell r="N3946">
            <v>849.99</v>
          </cell>
          <cell r="O3946" t="str">
            <v/>
          </cell>
          <cell r="P3946">
            <v>0</v>
          </cell>
          <cell r="Q3946">
            <v>0.24663459698102599</v>
          </cell>
          <cell r="R3946">
            <v>0.24663459698102599</v>
          </cell>
          <cell r="S3946" t="e">
            <v>#VALUE!</v>
          </cell>
          <cell r="T3946" t="e">
            <v>#VALUE!</v>
          </cell>
        </row>
        <row r="3947">
          <cell r="A3947" t="str">
            <v>GRGL2400109B</v>
          </cell>
          <cell r="B3947" t="str">
            <v>MKP000631005204</v>
          </cell>
          <cell r="C3947" t="str">
            <v/>
          </cell>
          <cell r="D3947" t="str">
            <v>Armário de Cozinha Completa 240cm Branco/Rustic Glamy Madesa 10</v>
          </cell>
          <cell r="E3947" t="str">
            <v>GLAMY</v>
          </cell>
          <cell r="F3947" t="str">
            <v>COZINHA</v>
          </cell>
          <cell r="G3947" t="str">
            <v/>
          </cell>
          <cell r="H3947">
            <v>1569.99</v>
          </cell>
          <cell r="I3947">
            <v>1569.99</v>
          </cell>
          <cell r="J3947">
            <v>1274.6895999999999</v>
          </cell>
          <cell r="K3947">
            <v>0</v>
          </cell>
          <cell r="L3947">
            <v>1274.6895999999999</v>
          </cell>
          <cell r="M3947">
            <v>0</v>
          </cell>
          <cell r="N3947">
            <v>1569.99</v>
          </cell>
          <cell r="O3947" t="str">
            <v/>
          </cell>
          <cell r="P3947">
            <v>0</v>
          </cell>
          <cell r="Q3947">
            <v>0.231664555825983</v>
          </cell>
          <cell r="R3947">
            <v>0.231664555825983</v>
          </cell>
          <cell r="S3947" t="e">
            <v>#VALUE!</v>
          </cell>
          <cell r="T3947" t="e">
            <v>#VALUE!</v>
          </cell>
        </row>
        <row r="3948">
          <cell r="A3948" t="str">
            <v>GRTE2700076E</v>
          </cell>
          <cell r="B3948" t="str">
            <v>MKP000631005480</v>
          </cell>
          <cell r="C3948" t="str">
            <v/>
          </cell>
          <cell r="D3948" t="str">
            <v>Armário de Cozinha Completa 270cm Rustic/Branco Stella Madesa 07</v>
          </cell>
          <cell r="E3948" t="str">
            <v>STELLA</v>
          </cell>
          <cell r="F3948" t="str">
            <v>COZINHA</v>
          </cell>
          <cell r="G3948" t="str">
            <v/>
          </cell>
          <cell r="H3948">
            <v>1899.99</v>
          </cell>
          <cell r="I3948">
            <v>1899.99</v>
          </cell>
          <cell r="J3948">
            <v>1539.8648000000001</v>
          </cell>
          <cell r="K3948">
            <v>0</v>
          </cell>
          <cell r="L3948">
            <v>1539.8648000000001</v>
          </cell>
          <cell r="M3948">
            <v>0</v>
          </cell>
          <cell r="N3948">
            <v>1899.99</v>
          </cell>
          <cell r="O3948" t="str">
            <v/>
          </cell>
          <cell r="P3948">
            <v>0</v>
          </cell>
          <cell r="Q3948">
            <v>0.233868064261226</v>
          </cell>
          <cell r="R3948">
            <v>0.233868064261226</v>
          </cell>
          <cell r="S3948" t="e">
            <v>#VALUE!</v>
          </cell>
          <cell r="T3948" t="e">
            <v>#VALUE!</v>
          </cell>
        </row>
        <row r="3949">
          <cell r="A3949" t="str">
            <v>MDJA0401585ZBE</v>
          </cell>
          <cell r="B3949" t="str">
            <v>MKP000631005525</v>
          </cell>
          <cell r="C3949" t="str">
            <v/>
          </cell>
          <cell r="D3949" t="str">
            <v>Conjunto Sala de Jantar Mesa Tampo de Vidro 4 Cadeiras Rustic/Sintético Bege Espanha Madesa</v>
          </cell>
          <cell r="E3949" t="str">
            <v>ESPANHA</v>
          </cell>
          <cell r="F3949" t="str">
            <v>SALA DE JANTAR</v>
          </cell>
          <cell r="G3949" t="str">
            <v>4290X</v>
          </cell>
          <cell r="H3949">
            <v>1099.99</v>
          </cell>
          <cell r="I3949">
            <v>999.99</v>
          </cell>
          <cell r="J3949">
            <v>810.84010000000001</v>
          </cell>
          <cell r="K3949">
            <v>0</v>
          </cell>
          <cell r="L3949">
            <v>810.84010000000001</v>
          </cell>
          <cell r="M3949">
            <v>0</v>
          </cell>
          <cell r="N3949">
            <v>999.99</v>
          </cell>
          <cell r="O3949" t="str">
            <v/>
          </cell>
          <cell r="P3949">
            <v>0</v>
          </cell>
          <cell r="Q3949">
            <v>0.233276449943707</v>
          </cell>
          <cell r="R3949">
            <v>0.233276449943707</v>
          </cell>
          <cell r="S3949" t="e">
            <v>#VALUE!</v>
          </cell>
          <cell r="T3949" t="e">
            <v>#VALUE!</v>
          </cell>
        </row>
        <row r="3950">
          <cell r="A3950" t="str">
            <v>GREM1690137K</v>
          </cell>
          <cell r="B3950" t="str">
            <v>MKP000631005811</v>
          </cell>
          <cell r="C3950" t="str">
            <v/>
          </cell>
          <cell r="D3950" t="str">
            <v>Armário de Cozinha Compacta 169cm Rustic/Preto Emilly Madesa 13</v>
          </cell>
          <cell r="E3950" t="str">
            <v>EMILLY</v>
          </cell>
          <cell r="F3950" t="str">
            <v>COZINHA</v>
          </cell>
          <cell r="G3950" t="str">
            <v/>
          </cell>
          <cell r="H3950">
            <v>1069.99</v>
          </cell>
          <cell r="I3950">
            <v>1069.99</v>
          </cell>
          <cell r="J3950">
            <v>840.5317</v>
          </cell>
          <cell r="K3950">
            <v>0</v>
          </cell>
          <cell r="L3950">
            <v>840.5317</v>
          </cell>
          <cell r="M3950">
            <v>0</v>
          </cell>
          <cell r="N3950">
            <v>1069.99</v>
          </cell>
          <cell r="O3950" t="str">
            <v/>
          </cell>
          <cell r="P3950">
            <v>0</v>
          </cell>
          <cell r="Q3950">
            <v>0.27299184551873501</v>
          </cell>
          <cell r="R3950">
            <v>0.27299184551873501</v>
          </cell>
          <cell r="S3950" t="e">
            <v>#VALUE!</v>
          </cell>
          <cell r="T3950" t="e">
            <v>#VALUE!</v>
          </cell>
        </row>
        <row r="3951">
          <cell r="A3951" t="str">
            <v>GREM1690135Z</v>
          </cell>
          <cell r="B3951" t="str">
            <v>MKP000631005812</v>
          </cell>
          <cell r="C3951" t="str">
            <v/>
          </cell>
          <cell r="D3951" t="str">
            <v>Armário de Cozinha Compacta 169cm Rustic Emilly Madesa 13</v>
          </cell>
          <cell r="E3951" t="str">
            <v>EMILLY</v>
          </cell>
          <cell r="F3951" t="str">
            <v>COZINHA</v>
          </cell>
          <cell r="G3951" t="str">
            <v/>
          </cell>
          <cell r="H3951">
            <v>1069.99</v>
          </cell>
          <cell r="I3951">
            <v>1069.99</v>
          </cell>
          <cell r="J3951">
            <v>840.5317</v>
          </cell>
          <cell r="K3951">
            <v>0</v>
          </cell>
          <cell r="L3951">
            <v>840.5317</v>
          </cell>
          <cell r="M3951">
            <v>0</v>
          </cell>
          <cell r="N3951">
            <v>1069.99</v>
          </cell>
          <cell r="O3951" t="str">
            <v/>
          </cell>
          <cell r="P3951">
            <v>0</v>
          </cell>
          <cell r="Q3951">
            <v>0.27299184551873501</v>
          </cell>
          <cell r="R3951">
            <v>0.27299184551873501</v>
          </cell>
          <cell r="S3951" t="e">
            <v>#VALUE!</v>
          </cell>
          <cell r="T3951" t="e">
            <v>#VALUE!</v>
          </cell>
        </row>
        <row r="3952">
          <cell r="A3952" t="str">
            <v>MDJA0401897GFH</v>
          </cell>
          <cell r="B3952" t="str">
            <v>MKP000631006096</v>
          </cell>
          <cell r="C3952" t="str">
            <v/>
          </cell>
          <cell r="D3952" t="str">
            <v>Conjunto Sala de Jantar Mesa Tampo de Vidro 4 Cadeiras Rustic/Crema/Hibiscos Suzy Madesa</v>
          </cell>
          <cell r="E3952" t="str">
            <v>SUZY</v>
          </cell>
          <cell r="F3952" t="str">
            <v>SALA DE JANTAR</v>
          </cell>
          <cell r="G3952" t="str">
            <v>4291X</v>
          </cell>
          <cell r="H3952">
            <v>869.99</v>
          </cell>
          <cell r="I3952">
            <v>769.99</v>
          </cell>
          <cell r="J3952">
            <v>617.94280000000003</v>
          </cell>
          <cell r="K3952">
            <v>0</v>
          </cell>
          <cell r="L3952">
            <v>617.94280000000003</v>
          </cell>
          <cell r="M3952">
            <v>0</v>
          </cell>
          <cell r="N3952">
            <v>769.99</v>
          </cell>
          <cell r="O3952" t="str">
            <v/>
          </cell>
          <cell r="P3952">
            <v>0</v>
          </cell>
          <cell r="Q3952">
            <v>0.24605384187662699</v>
          </cell>
          <cell r="R3952">
            <v>0.24605384187662699</v>
          </cell>
          <cell r="S3952" t="e">
            <v>#VALUE!</v>
          </cell>
          <cell r="T3952" t="e">
            <v>#VALUE!</v>
          </cell>
        </row>
        <row r="3953">
          <cell r="A3953" t="str">
            <v>MDJA0401885ZBE</v>
          </cell>
          <cell r="B3953" t="str">
            <v>MKP000631006100</v>
          </cell>
          <cell r="C3953" t="str">
            <v/>
          </cell>
          <cell r="D3953" t="str">
            <v>Conjunto Sala de Jantar Mesa Tampo de Vidro 4 Cadeiras Rustic/Sintético Bege Kiara Madesa</v>
          </cell>
          <cell r="E3953" t="str">
            <v>KIARA</v>
          </cell>
          <cell r="F3953" t="str">
            <v>SALA DE JANTAR</v>
          </cell>
          <cell r="G3953" t="str">
            <v>4290X</v>
          </cell>
          <cell r="H3953">
            <v>869.99</v>
          </cell>
          <cell r="I3953">
            <v>769.99</v>
          </cell>
          <cell r="J3953">
            <v>617.41959999999995</v>
          </cell>
          <cell r="K3953">
            <v>0</v>
          </cell>
          <cell r="L3953">
            <v>617.41959999999995</v>
          </cell>
          <cell r="M3953">
            <v>0</v>
          </cell>
          <cell r="N3953">
            <v>769.99</v>
          </cell>
          <cell r="O3953" t="str">
            <v/>
          </cell>
          <cell r="P3953">
            <v>0</v>
          </cell>
          <cell r="Q3953">
            <v>0.24710974513928599</v>
          </cell>
          <cell r="R3953">
            <v>0.24710974513928599</v>
          </cell>
          <cell r="S3953" t="e">
            <v>#VALUE!</v>
          </cell>
          <cell r="T3953" t="e">
            <v>#VALUE!</v>
          </cell>
        </row>
        <row r="3954">
          <cell r="A3954" t="str">
            <v>GRTE2700105Z</v>
          </cell>
          <cell r="B3954" t="str">
            <v>MKP000631005928</v>
          </cell>
          <cell r="C3954" t="str">
            <v/>
          </cell>
          <cell r="D3954" t="str">
            <v>Armário de Cozinha Completa 270cm Rustic Stella Madesa 10</v>
          </cell>
          <cell r="E3954" t="str">
            <v>STELLA</v>
          </cell>
          <cell r="F3954" t="str">
            <v>COZINHA</v>
          </cell>
          <cell r="G3954" t="str">
            <v/>
          </cell>
          <cell r="H3954">
            <v>1899.99</v>
          </cell>
          <cell r="I3954">
            <v>1799.99</v>
          </cell>
          <cell r="J3954">
            <v>1434.7779</v>
          </cell>
          <cell r="K3954">
            <v>0</v>
          </cell>
          <cell r="L3954">
            <v>1434.7779</v>
          </cell>
          <cell r="M3954">
            <v>0</v>
          </cell>
          <cell r="N3954">
            <v>1799.99</v>
          </cell>
          <cell r="O3954" t="str">
            <v/>
          </cell>
          <cell r="P3954">
            <v>0</v>
          </cell>
          <cell r="Q3954">
            <v>0.25454260202920598</v>
          </cell>
          <cell r="R3954">
            <v>0.25454260202920598</v>
          </cell>
          <cell r="S3954" t="e">
            <v>#VALUE!</v>
          </cell>
          <cell r="T3954" t="e">
            <v>#VALUE!</v>
          </cell>
        </row>
        <row r="3955">
          <cell r="A3955" t="str">
            <v>GRAG31000273</v>
          </cell>
          <cell r="B3955" t="str">
            <v>MKP000631005662</v>
          </cell>
          <cell r="C3955" t="str">
            <v/>
          </cell>
          <cell r="D3955" t="str">
            <v>Armário de Cozinha Completa 310cm Branco/Preto Agata Madesa 02</v>
          </cell>
          <cell r="E3955" t="str">
            <v>ÁGATA</v>
          </cell>
          <cell r="F3955" t="str">
            <v>COZINHA</v>
          </cell>
          <cell r="G3955" t="str">
            <v/>
          </cell>
          <cell r="H3955">
            <v>2599.9899999999998</v>
          </cell>
          <cell r="I3955">
            <v>2499.9899999999998</v>
          </cell>
          <cell r="J3955">
            <v>2000.3897999999999</v>
          </cell>
          <cell r="K3955">
            <v>0</v>
          </cell>
          <cell r="L3955">
            <v>2000.3897999999999</v>
          </cell>
          <cell r="M3955">
            <v>0</v>
          </cell>
          <cell r="N3955">
            <v>2499.9899999999998</v>
          </cell>
          <cell r="O3955" t="str">
            <v/>
          </cell>
          <cell r="P3955">
            <v>0</v>
          </cell>
          <cell r="Q3955">
            <v>0.24975142344757001</v>
          </cell>
          <cell r="R3955">
            <v>0.24975142344757001</v>
          </cell>
          <cell r="S3955" t="e">
            <v>#VALUE!</v>
          </cell>
          <cell r="T3955" t="e">
            <v>#VALUE!</v>
          </cell>
        </row>
        <row r="3956">
          <cell r="A3956" t="str">
            <v>MDES020023778N</v>
          </cell>
          <cell r="B3956" t="str">
            <v>MKP000631001649</v>
          </cell>
          <cell r="C3956" t="str">
            <v/>
          </cell>
          <cell r="D3956" t="str">
            <v>Rack Madesa Cancun e Painel para TV até 65 Polegadas Preto/Branco 778N</v>
          </cell>
          <cell r="E3956" t="str">
            <v>CANCUN</v>
          </cell>
          <cell r="F3956" t="str">
            <v>SALA DE ESTAR</v>
          </cell>
          <cell r="G3956" t="str">
            <v/>
          </cell>
          <cell r="H3956">
            <v>1149.99</v>
          </cell>
          <cell r="I3956">
            <v>569.99</v>
          </cell>
          <cell r="J3956">
            <v>449.15629999999999</v>
          </cell>
          <cell r="K3956">
            <v>0</v>
          </cell>
          <cell r="L3956">
            <v>449.15629999999999</v>
          </cell>
          <cell r="M3956">
            <v>0</v>
          </cell>
          <cell r="N3956">
            <v>569.99</v>
          </cell>
          <cell r="O3956" t="str">
            <v/>
          </cell>
          <cell r="P3956">
            <v>0</v>
          </cell>
          <cell r="Q3956">
            <v>0.26902372292228799</v>
          </cell>
          <cell r="R3956">
            <v>0.26902372292228799</v>
          </cell>
          <cell r="S3956" t="e">
            <v>#VALUE!</v>
          </cell>
          <cell r="T3956" t="e">
            <v>#VALUE!</v>
          </cell>
        </row>
        <row r="3957">
          <cell r="A3957" t="str">
            <v>GREM1650085Z</v>
          </cell>
          <cell r="B3957" t="str">
            <v>MKP000631005911</v>
          </cell>
          <cell r="C3957" t="str">
            <v/>
          </cell>
          <cell r="D3957" t="str">
            <v>Armário de Cozinha Compacta 165cm Rustic Emilly Madesa 08</v>
          </cell>
          <cell r="E3957" t="str">
            <v>EMILLY</v>
          </cell>
          <cell r="F3957" t="str">
            <v>COZINHA</v>
          </cell>
          <cell r="G3957" t="str">
            <v/>
          </cell>
          <cell r="H3957">
            <v>739.99</v>
          </cell>
          <cell r="I3957">
            <v>639.99</v>
          </cell>
          <cell r="J3957">
            <v>497.41059999999999</v>
          </cell>
          <cell r="K3957">
            <v>0</v>
          </cell>
          <cell r="L3957">
            <v>497.41059999999999</v>
          </cell>
          <cell r="M3957">
            <v>0</v>
          </cell>
          <cell r="N3957">
            <v>639.99</v>
          </cell>
          <cell r="O3957" t="str">
            <v/>
          </cell>
          <cell r="P3957">
            <v>0</v>
          </cell>
          <cell r="Q3957">
            <v>0.28664326815713198</v>
          </cell>
          <cell r="R3957">
            <v>0.28664326815713198</v>
          </cell>
          <cell r="S3957" t="e">
            <v>#VALUE!</v>
          </cell>
          <cell r="T3957" t="e">
            <v>#VALUE!</v>
          </cell>
        </row>
        <row r="3958">
          <cell r="A3958" t="str">
            <v>GRTE3500019B</v>
          </cell>
          <cell r="B3958" t="str">
            <v>MKP000631005499</v>
          </cell>
          <cell r="C3958" t="str">
            <v/>
          </cell>
          <cell r="D3958" t="str">
            <v>Armário de Cozinha Completa 350cm Branco/Rustic Stella Madesa 01</v>
          </cell>
          <cell r="E3958" t="str">
            <v>STELLA</v>
          </cell>
          <cell r="F3958" t="str">
            <v>COZINHA</v>
          </cell>
          <cell r="G3958" t="str">
            <v/>
          </cell>
          <cell r="H3958">
            <v>2199.9899999999998</v>
          </cell>
          <cell r="I3958">
            <v>2199.9899999999998</v>
          </cell>
          <cell r="J3958">
            <v>1723.617</v>
          </cell>
          <cell r="K3958">
            <v>0</v>
          </cell>
          <cell r="L3958">
            <v>1723.617</v>
          </cell>
          <cell r="M3958">
            <v>0</v>
          </cell>
          <cell r="N3958">
            <v>2199.9899999999998</v>
          </cell>
          <cell r="O3958" t="str">
            <v/>
          </cell>
          <cell r="P3958">
            <v>0</v>
          </cell>
          <cell r="Q3958">
            <v>0.27637984540649102</v>
          </cell>
          <cell r="R3958">
            <v>0.27637984540649102</v>
          </cell>
          <cell r="S3958" t="e">
            <v>#VALUE!</v>
          </cell>
          <cell r="T3958" t="e">
            <v>#VALUE!</v>
          </cell>
        </row>
        <row r="3959">
          <cell r="A3959" t="str">
            <v>G241536EGLFF</v>
          </cell>
          <cell r="B3959" t="str">
            <v>MKP000631005601</v>
          </cell>
          <cell r="C3959" t="str">
            <v/>
          </cell>
          <cell r="D3959" t="str">
            <v>Balcão Gabinete de Pia Madesa Glamy 150 cm 2 Gavetas 2 Portas (Sem Tampo e Pia) Rustic/Branco</v>
          </cell>
          <cell r="E3959" t="str">
            <v>GLAMY</v>
          </cell>
          <cell r="F3959" t="str">
            <v>MODULAÇÃO</v>
          </cell>
          <cell r="G3959" t="str">
            <v/>
          </cell>
          <cell r="H3959">
            <v>689.99</v>
          </cell>
          <cell r="I3959">
            <v>629.99</v>
          </cell>
          <cell r="J3959">
            <v>489.39909999999998</v>
          </cell>
          <cell r="K3959">
            <v>0</v>
          </cell>
          <cell r="L3959">
            <v>489.39909999999998</v>
          </cell>
          <cell r="M3959">
            <v>0</v>
          </cell>
          <cell r="N3959">
            <v>629.99</v>
          </cell>
          <cell r="O3959" t="str">
            <v/>
          </cell>
          <cell r="P3959">
            <v>0</v>
          </cell>
          <cell r="Q3959">
            <v>0.28727249396249399</v>
          </cell>
          <cell r="R3959">
            <v>0.28727249396249399</v>
          </cell>
          <cell r="S3959" t="e">
            <v>#VALUE!</v>
          </cell>
          <cell r="T3959" t="e">
            <v>#VALUE!</v>
          </cell>
        </row>
        <row r="3960">
          <cell r="A3960" t="str">
            <v>MDJA0401577GLIB</v>
          </cell>
          <cell r="B3960" t="str">
            <v>MKP000631005543</v>
          </cell>
          <cell r="C3960" t="str">
            <v/>
          </cell>
          <cell r="D3960" t="str">
            <v>Conjunto Sala de Jantar Mesa Tampo de Madeira 4 Cadeiras Rustic/Crema/Lírio Bege Samara Madesa</v>
          </cell>
          <cell r="E3960" t="str">
            <v>SAMARA</v>
          </cell>
          <cell r="F3960" t="str">
            <v>SALA DE JANTAR</v>
          </cell>
          <cell r="G3960" t="str">
            <v>4290X</v>
          </cell>
          <cell r="H3960">
            <v>619.99</v>
          </cell>
          <cell r="I3960">
            <v>519.99</v>
          </cell>
          <cell r="J3960">
            <v>400.13900000000001</v>
          </cell>
          <cell r="K3960">
            <v>0</v>
          </cell>
          <cell r="L3960">
            <v>400.13900000000001</v>
          </cell>
          <cell r="M3960">
            <v>0</v>
          </cell>
          <cell r="N3960">
            <v>519.99</v>
          </cell>
          <cell r="O3960" t="str">
            <v/>
          </cell>
          <cell r="P3960">
            <v>0</v>
          </cell>
          <cell r="Q3960">
            <v>0.299523415613074</v>
          </cell>
          <cell r="R3960">
            <v>0.299523415613074</v>
          </cell>
          <cell r="S3960" t="e">
            <v>#VALUE!</v>
          </cell>
          <cell r="T3960" t="e">
            <v>#VALUE!</v>
          </cell>
        </row>
        <row r="3961">
          <cell r="A3961" t="str">
            <v>G24120F9AGCT</v>
          </cell>
          <cell r="B3961" t="str">
            <v>MKP000631005856</v>
          </cell>
          <cell r="C3961" t="str">
            <v/>
          </cell>
          <cell r="D3961" t="str">
            <v>Balcão de Pia Cozinha 2 Portas (Com Tampo) Rustic/Cinza Agata Madesa</v>
          </cell>
          <cell r="E3961" t="str">
            <v>ÁGATA</v>
          </cell>
          <cell r="F3961" t="str">
            <v>MODULAÇÃO</v>
          </cell>
          <cell r="G3961" t="str">
            <v/>
          </cell>
          <cell r="H3961">
            <v>719.99</v>
          </cell>
          <cell r="I3961">
            <v>619.99</v>
          </cell>
          <cell r="J3961">
            <v>446.32229999999998</v>
          </cell>
          <cell r="K3961">
            <v>0</v>
          </cell>
          <cell r="L3961">
            <v>446.32229999999998</v>
          </cell>
          <cell r="M3961">
            <v>0</v>
          </cell>
          <cell r="N3961">
            <v>619.99</v>
          </cell>
          <cell r="O3961" t="str">
            <v/>
          </cell>
          <cell r="P3961">
            <v>0</v>
          </cell>
          <cell r="Q3961">
            <v>0.38910827444651502</v>
          </cell>
          <cell r="R3961">
            <v>0.38910827444651502</v>
          </cell>
          <cell r="S3961" t="e">
            <v>#VALUE!</v>
          </cell>
          <cell r="T3961" t="e">
            <v>#VALUE!</v>
          </cell>
        </row>
        <row r="3962">
          <cell r="A3962" t="str">
            <v>G2412073AGCT</v>
          </cell>
          <cell r="B3962" t="str">
            <v>MKP000631005852</v>
          </cell>
          <cell r="C3962" t="str">
            <v/>
          </cell>
          <cell r="D3962" t="str">
            <v>Balcão de Pia Cozinha 2 Portas (Com Tampo) Branco/Preto Agata Madesa</v>
          </cell>
          <cell r="E3962" t="str">
            <v>ÁGATA</v>
          </cell>
          <cell r="F3962" t="str">
            <v>MODULAÇÃO</v>
          </cell>
          <cell r="G3962" t="str">
            <v/>
          </cell>
          <cell r="H3962">
            <v>719.99</v>
          </cell>
          <cell r="I3962">
            <v>619.99</v>
          </cell>
          <cell r="J3962">
            <v>446.32229999999998</v>
          </cell>
          <cell r="K3962">
            <v>0</v>
          </cell>
          <cell r="L3962">
            <v>446.32229999999998</v>
          </cell>
          <cell r="M3962">
            <v>0</v>
          </cell>
          <cell r="N3962">
            <v>619.99</v>
          </cell>
          <cell r="O3962" t="str">
            <v/>
          </cell>
          <cell r="P3962">
            <v>0</v>
          </cell>
          <cell r="Q3962">
            <v>0.38910827444651502</v>
          </cell>
          <cell r="R3962">
            <v>0.38910827444651502</v>
          </cell>
          <cell r="S3962" t="e">
            <v>#VALUE!</v>
          </cell>
          <cell r="T3962" t="e">
            <v>#VALUE!</v>
          </cell>
        </row>
        <row r="3963">
          <cell r="A3963" t="str">
            <v>GREM1650047K</v>
          </cell>
          <cell r="B3963" t="str">
            <v>MKP000631005863</v>
          </cell>
          <cell r="C3963" t="str">
            <v/>
          </cell>
          <cell r="D3963" t="str">
            <v>Armário de Cozinha Compacta 165cm Rustic/Preto Emilly Madesa 04</v>
          </cell>
          <cell r="E3963" t="str">
            <v>EMILLY</v>
          </cell>
          <cell r="F3963" t="str">
            <v>COZINHA</v>
          </cell>
          <cell r="G3963" t="str">
            <v/>
          </cell>
          <cell r="H3963">
            <v>799.99</v>
          </cell>
          <cell r="I3963">
            <v>799.99</v>
          </cell>
          <cell r="J3963">
            <v>567.11609999999996</v>
          </cell>
          <cell r="K3963">
            <v>0</v>
          </cell>
          <cell r="L3963">
            <v>567.11609999999996</v>
          </cell>
          <cell r="M3963">
            <v>0</v>
          </cell>
          <cell r="N3963">
            <v>799.99</v>
          </cell>
          <cell r="O3963" t="str">
            <v/>
          </cell>
          <cell r="P3963">
            <v>0</v>
          </cell>
          <cell r="Q3963">
            <v>0.41062826465339303</v>
          </cell>
          <cell r="R3963">
            <v>0.41062826465339303</v>
          </cell>
          <cell r="S3963" t="e">
            <v>#VALUE!</v>
          </cell>
          <cell r="T3963" t="e">
            <v>#VALUE!</v>
          </cell>
        </row>
        <row r="3964">
          <cell r="A3964" t="str">
            <v>G2435009</v>
          </cell>
          <cell r="B3964" t="str">
            <v>MKP000631005740</v>
          </cell>
          <cell r="C3964" t="str">
            <v/>
          </cell>
          <cell r="D3964" t="str">
            <v>Balcão 100% MDF 35 cm 1 Porta Frente Branco Brilho Acordes Madesa</v>
          </cell>
          <cell r="E3964" t="str">
            <v>ACORDES</v>
          </cell>
          <cell r="F3964" t="str">
            <v>MODULAÇÃO</v>
          </cell>
          <cell r="G3964" t="str">
            <v/>
          </cell>
          <cell r="H3964">
            <v>459.99</v>
          </cell>
          <cell r="I3964">
            <v>359.99</v>
          </cell>
          <cell r="J3964">
            <v>235.29830000000001</v>
          </cell>
          <cell r="K3964">
            <v>0</v>
          </cell>
          <cell r="L3964">
            <v>235.29830000000001</v>
          </cell>
          <cell r="M3964">
            <v>0</v>
          </cell>
          <cell r="N3964">
            <v>359.99</v>
          </cell>
          <cell r="O3964" t="str">
            <v/>
          </cell>
          <cell r="P3964">
            <v>0</v>
          </cell>
          <cell r="Q3964">
            <v>0.52993030548882003</v>
          </cell>
          <cell r="R3964">
            <v>0.52993030548882003</v>
          </cell>
          <cell r="S3964" t="e">
            <v>#VALUE!</v>
          </cell>
          <cell r="T3964" t="e">
            <v>#VALUE!</v>
          </cell>
        </row>
        <row r="3965">
          <cell r="A3965" t="str">
            <v>G243509BGL</v>
          </cell>
          <cell r="B3965" t="str">
            <v>MKP000631000832</v>
          </cell>
          <cell r="C3965" t="str">
            <v/>
          </cell>
          <cell r="D3965" t="str">
            <v>Balcão Madesa Glamy 35 cm 1 Porta Branco/Rustic</v>
          </cell>
          <cell r="E3965" t="str">
            <v>GLAMY</v>
          </cell>
          <cell r="F3965" t="str">
            <v>MODULAÇÃO</v>
          </cell>
          <cell r="G3965" t="str">
            <v/>
          </cell>
          <cell r="H3965">
            <v>719.99</v>
          </cell>
          <cell r="I3965">
            <v>339.99</v>
          </cell>
          <cell r="J3965">
            <v>217.0735</v>
          </cell>
          <cell r="K3965">
            <v>0</v>
          </cell>
          <cell r="L3965">
            <v>217.0735</v>
          </cell>
          <cell r="M3965">
            <v>0</v>
          </cell>
          <cell r="N3965">
            <v>339.99</v>
          </cell>
          <cell r="O3965" t="str">
            <v/>
          </cell>
          <cell r="P3965">
            <v>0</v>
          </cell>
          <cell r="Q3965">
            <v>0.56624369165282695</v>
          </cell>
          <cell r="R3965">
            <v>0.56624369165282695</v>
          </cell>
          <cell r="S3965" t="e">
            <v>#VALUE!</v>
          </cell>
          <cell r="T3965" t="e">
            <v>#VALUE!</v>
          </cell>
        </row>
        <row r="3966">
          <cell r="A3966" t="str">
            <v>G2570273</v>
          </cell>
          <cell r="B3966" t="str">
            <v>MKP000631005748</v>
          </cell>
          <cell r="C3966" t="str">
            <v/>
          </cell>
          <cell r="D3966" t="str">
            <v>Armário Aéreo 100% MDF 70 cm 1 Porta Basculante Branco/Preto Acordes Madesa</v>
          </cell>
          <cell r="E3966" t="str">
            <v>ACORDES</v>
          </cell>
          <cell r="F3966" t="str">
            <v>MODULAÇÃO</v>
          </cell>
          <cell r="G3966" t="str">
            <v/>
          </cell>
          <cell r="H3966">
            <v>359.99</v>
          </cell>
          <cell r="I3966">
            <v>259.99</v>
          </cell>
          <cell r="J3966">
            <v>166.53020000000001</v>
          </cell>
          <cell r="K3966">
            <v>0</v>
          </cell>
          <cell r="L3966">
            <v>166.53020000000001</v>
          </cell>
          <cell r="M3966">
            <v>0</v>
          </cell>
          <cell r="N3966">
            <v>259.99</v>
          </cell>
          <cell r="O3966" t="str">
            <v/>
          </cell>
          <cell r="P3966">
            <v>0</v>
          </cell>
          <cell r="Q3966">
            <v>0.56121832556497298</v>
          </cell>
          <cell r="R3966">
            <v>0.56121832556497298</v>
          </cell>
          <cell r="S3966" t="e">
            <v>#VALUE!</v>
          </cell>
          <cell r="T3966" t="e">
            <v>#VALUE!</v>
          </cell>
        </row>
        <row r="3967">
          <cell r="A3967" t="str">
            <v>G2570073LX</v>
          </cell>
          <cell r="B3967" t="str">
            <v>MKP000631005452</v>
          </cell>
          <cell r="C3967" t="str">
            <v/>
          </cell>
          <cell r="D3967" t="str">
            <v>Armário Aéreo 70 cm 2 Portas Branco/Preto Lux Madesa</v>
          </cell>
          <cell r="E3967" t="str">
            <v>LUX</v>
          </cell>
          <cell r="F3967" t="str">
            <v>MODULAÇÃO</v>
          </cell>
          <cell r="G3967" t="str">
            <v/>
          </cell>
          <cell r="H3967">
            <v>779.99</v>
          </cell>
          <cell r="I3967">
            <v>719.99</v>
          </cell>
          <cell r="J3967">
            <v>400.52050000000003</v>
          </cell>
          <cell r="K3967">
            <v>0</v>
          </cell>
          <cell r="L3967">
            <v>400.52050000000003</v>
          </cell>
          <cell r="M3967">
            <v>0</v>
          </cell>
          <cell r="N3967">
            <v>719.99</v>
          </cell>
          <cell r="O3967" t="str">
            <v>LOJA</v>
          </cell>
          <cell r="P3967">
            <v>699.99</v>
          </cell>
          <cell r="Q3967">
            <v>0.79763582638092201</v>
          </cell>
          <cell r="R3967">
            <v>0.79763582638092201</v>
          </cell>
          <cell r="S3967" t="e">
            <v>#VALUE!</v>
          </cell>
          <cell r="T3967" t="e">
            <v>#VALUE!</v>
          </cell>
        </row>
        <row r="3968">
          <cell r="A3968" t="str">
            <v>G257007KLX</v>
          </cell>
          <cell r="B3968" t="str">
            <v>MKP000631005451</v>
          </cell>
          <cell r="C3968" t="str">
            <v/>
          </cell>
          <cell r="D3968" t="str">
            <v>Armário Aéreo 70 cm 2 Portas Rustic/Preto Lux Madesa</v>
          </cell>
          <cell r="E3968" t="str">
            <v>LUX</v>
          </cell>
          <cell r="F3968" t="str">
            <v>MODULAÇÃO</v>
          </cell>
          <cell r="G3968" t="str">
            <v/>
          </cell>
          <cell r="H3968">
            <v>779.99</v>
          </cell>
          <cell r="I3968">
            <v>719.99</v>
          </cell>
          <cell r="J3968">
            <v>400.52050000000003</v>
          </cell>
          <cell r="K3968">
            <v>0</v>
          </cell>
          <cell r="L3968">
            <v>400.52050000000003</v>
          </cell>
          <cell r="M3968">
            <v>0</v>
          </cell>
          <cell r="N3968">
            <v>719.99</v>
          </cell>
          <cell r="O3968" t="str">
            <v>LOJA</v>
          </cell>
          <cell r="P3968">
            <v>699.99</v>
          </cell>
          <cell r="Q3968">
            <v>0.79763582638092201</v>
          </cell>
          <cell r="R3968">
            <v>0.79763582638092201</v>
          </cell>
          <cell r="S3968" t="e">
            <v>#VALUE!</v>
          </cell>
          <cell r="T3968" t="e">
            <v>#VALUE!</v>
          </cell>
        </row>
        <row r="3969">
          <cell r="A3969" t="str">
            <v>GRTE33000409</v>
          </cell>
          <cell r="B3969" t="str">
            <v>MKP000631005941</v>
          </cell>
          <cell r="C3969" t="str">
            <v/>
          </cell>
          <cell r="D3969" t="str">
            <v>Armário de Cozinha Completa 330cm Branco Stella Madesa 04</v>
          </cell>
          <cell r="E3969" t="str">
            <v>STELLA</v>
          </cell>
          <cell r="F3969" t="str">
            <v>COZINHA</v>
          </cell>
          <cell r="G3969" t="str">
            <v/>
          </cell>
          <cell r="H3969">
            <v>2349.9899999999998</v>
          </cell>
          <cell r="I3969">
            <v>2249.9899999999998</v>
          </cell>
          <cell r="J3969">
            <v>1916.9394</v>
          </cell>
          <cell r="K3969">
            <v>0</v>
          </cell>
          <cell r="L3969">
            <v>1916.9394</v>
          </cell>
          <cell r="M3969">
            <v>0</v>
          </cell>
          <cell r="N3969">
            <v>2249.9899999999998</v>
          </cell>
          <cell r="O3969" t="str">
            <v/>
          </cell>
          <cell r="P3969">
            <v>0</v>
          </cell>
          <cell r="Q3969">
            <v>0.173740807873217</v>
          </cell>
          <cell r="R3969">
            <v>0.173740807873217</v>
          </cell>
          <cell r="S3969" t="e">
            <v>#VALUE!</v>
          </cell>
          <cell r="T3969" t="e">
            <v>#VALUE!</v>
          </cell>
        </row>
        <row r="3970">
          <cell r="A3970" t="str">
            <v>GRTE3300076E</v>
          </cell>
          <cell r="B3970" t="str">
            <v>MKP000631005952</v>
          </cell>
          <cell r="C3970" t="str">
            <v/>
          </cell>
          <cell r="D3970" t="str">
            <v>Armário de Cozinha Completa 330cm Rustic/Branco Stella Madesa 07</v>
          </cell>
          <cell r="E3970" t="str">
            <v>STELLA</v>
          </cell>
          <cell r="F3970" t="str">
            <v>COZINHA</v>
          </cell>
          <cell r="G3970" t="str">
            <v/>
          </cell>
          <cell r="H3970">
            <v>2499.9899999999998</v>
          </cell>
          <cell r="I3970">
            <v>2399.9899999999998</v>
          </cell>
          <cell r="J3970">
            <v>2030.9097999999999</v>
          </cell>
          <cell r="K3970">
            <v>0</v>
          </cell>
          <cell r="L3970">
            <v>2030.9097999999999</v>
          </cell>
          <cell r="M3970">
            <v>0</v>
          </cell>
          <cell r="N3970">
            <v>2399.9899999999998</v>
          </cell>
          <cell r="O3970" t="str">
            <v/>
          </cell>
          <cell r="P3970">
            <v>0</v>
          </cell>
          <cell r="Q3970">
            <v>0.18173145848230199</v>
          </cell>
          <cell r="R3970">
            <v>0.18173145848230199</v>
          </cell>
          <cell r="S3970" t="e">
            <v>#VALUE!</v>
          </cell>
          <cell r="T3970" t="e">
            <v>#VALUE!</v>
          </cell>
        </row>
        <row r="3971">
          <cell r="A3971" t="str">
            <v>GCGL3490067K</v>
          </cell>
          <cell r="B3971" t="str">
            <v>MKP000631005244</v>
          </cell>
          <cell r="C3971" t="str">
            <v/>
          </cell>
          <cell r="D3971" t="str">
            <v>Armário de Cozinha Completa de Canto 349cm Rustic/Preto Glamy Madesa 06</v>
          </cell>
          <cell r="E3971" t="str">
            <v>GLAMY</v>
          </cell>
          <cell r="F3971" t="str">
            <v>COZINHA</v>
          </cell>
          <cell r="G3971" t="str">
            <v/>
          </cell>
          <cell r="H3971">
            <v>1999.99</v>
          </cell>
          <cell r="I3971">
            <v>1999.99</v>
          </cell>
          <cell r="J3971">
            <v>1692.2249999999999</v>
          </cell>
          <cell r="K3971">
            <v>0</v>
          </cell>
          <cell r="L3971">
            <v>1692.2249999999999</v>
          </cell>
          <cell r="M3971">
            <v>0</v>
          </cell>
          <cell r="N3971">
            <v>1999.99</v>
          </cell>
          <cell r="O3971" t="str">
            <v/>
          </cell>
          <cell r="P3971">
            <v>0</v>
          </cell>
          <cell r="Q3971">
            <v>0.181870023194315</v>
          </cell>
          <cell r="R3971">
            <v>0.181870023194315</v>
          </cell>
          <cell r="S3971" t="e">
            <v>#VALUE!</v>
          </cell>
          <cell r="T3971" t="e">
            <v>#VALUE!</v>
          </cell>
        </row>
        <row r="3972">
          <cell r="A3972" t="str">
            <v>GRTE3100019B</v>
          </cell>
          <cell r="B3972" t="str">
            <v>MKP000631005933</v>
          </cell>
          <cell r="C3972" t="str">
            <v/>
          </cell>
          <cell r="D3972" t="str">
            <v>Armário de Cozinha Completa 310cm Branco/Rustic Stella Madesa 01</v>
          </cell>
          <cell r="E3972" t="str">
            <v>STELLA</v>
          </cell>
          <cell r="F3972" t="str">
            <v>COZINHA</v>
          </cell>
          <cell r="G3972" t="str">
            <v/>
          </cell>
          <cell r="H3972">
            <v>2599.9899999999998</v>
          </cell>
          <cell r="I3972">
            <v>2599.9899999999998</v>
          </cell>
          <cell r="J3972">
            <v>2153.0225</v>
          </cell>
          <cell r="K3972">
            <v>0</v>
          </cell>
          <cell r="L3972">
            <v>2153.0225</v>
          </cell>
          <cell r="M3972">
            <v>0</v>
          </cell>
          <cell r="N3972">
            <v>2599.9899999999998</v>
          </cell>
          <cell r="O3972" t="str">
            <v/>
          </cell>
          <cell r="P3972">
            <v>0</v>
          </cell>
          <cell r="Q3972">
            <v>0.20760001346943599</v>
          </cell>
          <cell r="R3972">
            <v>0.20760001346943599</v>
          </cell>
          <cell r="S3972" t="e">
            <v>#VALUE!</v>
          </cell>
          <cell r="T3972" t="e">
            <v>#VALUE!</v>
          </cell>
        </row>
        <row r="3973">
          <cell r="A3973" t="str">
            <v>GREM1650055Z</v>
          </cell>
          <cell r="B3973" t="str">
            <v>MKP000631005862</v>
          </cell>
          <cell r="C3973" t="str">
            <v/>
          </cell>
          <cell r="D3973" t="str">
            <v>Armário de Cozinha Compacta 165cm com Pia Rustic Emilly Madesa 05</v>
          </cell>
          <cell r="E3973" t="str">
            <v>EMILLY</v>
          </cell>
          <cell r="F3973" t="str">
            <v>COZINHA</v>
          </cell>
          <cell r="G3973" t="str">
            <v/>
          </cell>
          <cell r="H3973">
            <v>1099.99</v>
          </cell>
          <cell r="I3973">
            <v>1099.99</v>
          </cell>
          <cell r="J3973">
            <v>912.95129999999995</v>
          </cell>
          <cell r="K3973">
            <v>0</v>
          </cell>
          <cell r="L3973">
            <v>912.95129999999995</v>
          </cell>
          <cell r="M3973">
            <v>0</v>
          </cell>
          <cell r="N3973">
            <v>1099.99</v>
          </cell>
          <cell r="O3973" t="str">
            <v/>
          </cell>
          <cell r="P3973">
            <v>0</v>
          </cell>
          <cell r="Q3973">
            <v>0.20487259287543599</v>
          </cell>
          <cell r="R3973">
            <v>0.20487259287543599</v>
          </cell>
          <cell r="S3973" t="e">
            <v>#VALUE!</v>
          </cell>
          <cell r="T3973" t="e">
            <v>#VALUE!</v>
          </cell>
        </row>
        <row r="3974">
          <cell r="A3974" t="str">
            <v>GREM105004J1</v>
          </cell>
          <cell r="B3974" t="str">
            <v>MKP000631006041</v>
          </cell>
          <cell r="C3974" t="str">
            <v/>
          </cell>
          <cell r="D3974" t="str">
            <v>Armário de Cozinha Compacta 105cm com Pia Rustic/Cinza Emilly Madesa 04</v>
          </cell>
          <cell r="E3974" t="str">
            <v>EMILLY</v>
          </cell>
          <cell r="F3974" t="str">
            <v>COZINHA</v>
          </cell>
          <cell r="G3974" t="str">
            <v/>
          </cell>
          <cell r="H3974">
            <v>1029.99</v>
          </cell>
          <cell r="I3974">
            <v>929.99</v>
          </cell>
          <cell r="J3974">
            <v>762.91279999999995</v>
          </cell>
          <cell r="K3974">
            <v>0</v>
          </cell>
          <cell r="L3974">
            <v>762.91279999999995</v>
          </cell>
          <cell r="M3974">
            <v>0</v>
          </cell>
          <cell r="N3974">
            <v>929.99</v>
          </cell>
          <cell r="O3974" t="str">
            <v/>
          </cell>
          <cell r="P3974">
            <v>0</v>
          </cell>
          <cell r="Q3974">
            <v>0.21899907826949599</v>
          </cell>
          <cell r="R3974">
            <v>0.21899907826949599</v>
          </cell>
          <cell r="S3974" t="e">
            <v>#VALUE!</v>
          </cell>
          <cell r="T3974" t="e">
            <v>#VALUE!</v>
          </cell>
        </row>
        <row r="3975">
          <cell r="A3975" t="str">
            <v>GREM1370107K</v>
          </cell>
          <cell r="B3975" t="str">
            <v>MKP000631005796</v>
          </cell>
          <cell r="C3975" t="str">
            <v/>
          </cell>
          <cell r="D3975" t="str">
            <v>Armário de Cozinha Compacta 137cm com Pia Rustic/Preto Emilly Madesa 10</v>
          </cell>
          <cell r="E3975" t="str">
            <v>EMILLY</v>
          </cell>
          <cell r="F3975" t="str">
            <v>COZINHA</v>
          </cell>
          <cell r="G3975" t="str">
            <v/>
          </cell>
          <cell r="H3975">
            <v>1219.99</v>
          </cell>
          <cell r="I3975">
            <v>1219.99</v>
          </cell>
          <cell r="J3975">
            <v>997.93859999999995</v>
          </cell>
          <cell r="K3975">
            <v>0</v>
          </cell>
          <cell r="L3975">
            <v>997.93859999999995</v>
          </cell>
          <cell r="M3975">
            <v>0</v>
          </cell>
          <cell r="N3975">
            <v>1219.99</v>
          </cell>
          <cell r="O3975" t="str">
            <v/>
          </cell>
          <cell r="P3975">
            <v>0</v>
          </cell>
          <cell r="Q3975">
            <v>0.22251008228361899</v>
          </cell>
          <cell r="R3975">
            <v>0.22251008228361899</v>
          </cell>
          <cell r="S3975" t="e">
            <v>#VALUE!</v>
          </cell>
          <cell r="T3975" t="e">
            <v>#VALUE!</v>
          </cell>
        </row>
        <row r="3976">
          <cell r="A3976" t="str">
            <v>GRGL3150016E</v>
          </cell>
          <cell r="B3976" t="str">
            <v>MKP000631004710</v>
          </cell>
          <cell r="C3976" t="str">
            <v/>
          </cell>
          <cell r="D3976" t="str">
            <v>Armário de Cozinha Completa 315cm Rustic/Branco Glamy Madesa 01</v>
          </cell>
          <cell r="E3976" t="str">
            <v>GLAMY</v>
          </cell>
          <cell r="F3976" t="str">
            <v>COZINHA</v>
          </cell>
          <cell r="G3976" t="str">
            <v/>
          </cell>
          <cell r="H3976">
            <v>2599.9899999999998</v>
          </cell>
          <cell r="I3976">
            <v>2469.9899999999998</v>
          </cell>
          <cell r="J3976">
            <v>2041.8098</v>
          </cell>
          <cell r="K3976">
            <v>0</v>
          </cell>
          <cell r="L3976">
            <v>2041.8098</v>
          </cell>
          <cell r="M3976">
            <v>0</v>
          </cell>
          <cell r="N3976">
            <v>2469.9899999999998</v>
          </cell>
          <cell r="O3976" t="str">
            <v/>
          </cell>
          <cell r="P3976">
            <v>0</v>
          </cell>
          <cell r="Q3976">
            <v>0.20970621259629499</v>
          </cell>
          <cell r="R3976">
            <v>0.20970621259629499</v>
          </cell>
          <cell r="S3976" t="e">
            <v>#VALUE!</v>
          </cell>
          <cell r="T3976" t="e">
            <v>#VALUE!</v>
          </cell>
        </row>
        <row r="3977">
          <cell r="A3977" t="str">
            <v>MDJA0800055ZSIL</v>
          </cell>
          <cell r="B3977" t="str">
            <v>MKP000631006057</v>
          </cell>
          <cell r="C3977" t="str">
            <v/>
          </cell>
          <cell r="D3977" t="str">
            <v>Conjunto Sala de Jantar Mesa Tampo de Madeira 8 Cadeiras Rustic/Silver Doris Madesa</v>
          </cell>
          <cell r="E3977" t="str">
            <v>DORIS</v>
          </cell>
          <cell r="F3977" t="str">
            <v>SALA DE JANTAR</v>
          </cell>
          <cell r="G3977">
            <v>4255</v>
          </cell>
          <cell r="H3977">
            <v>1869.99</v>
          </cell>
          <cell r="I3977">
            <v>1769.99</v>
          </cell>
          <cell r="J3977">
            <v>1396.7150999999999</v>
          </cell>
          <cell r="K3977">
            <v>0</v>
          </cell>
          <cell r="L3977">
            <v>1396.7150999999999</v>
          </cell>
          <cell r="M3977">
            <v>0</v>
          </cell>
          <cell r="N3977">
            <v>1769.99</v>
          </cell>
          <cell r="O3977" t="str">
            <v/>
          </cell>
          <cell r="P3977">
            <v>0</v>
          </cell>
          <cell r="Q3977">
            <v>0.26725199720401099</v>
          </cell>
          <cell r="R3977">
            <v>0.26725199720401099</v>
          </cell>
          <cell r="S3977" t="e">
            <v>#VALUE!</v>
          </cell>
          <cell r="T3977" t="e">
            <v>#VALUE!</v>
          </cell>
        </row>
        <row r="3978">
          <cell r="A3978" t="str">
            <v>GRGL24000673</v>
          </cell>
          <cell r="B3978" t="str">
            <v>MKP000631005679</v>
          </cell>
          <cell r="C3978" t="str">
            <v/>
          </cell>
          <cell r="D3978" t="str">
            <v>Armário de Cozinha Completa 240cm Branco/Preto Glamy Madesa 06</v>
          </cell>
          <cell r="E3978" t="str">
            <v>GLAMY</v>
          </cell>
          <cell r="F3978" t="str">
            <v>COZINHA</v>
          </cell>
          <cell r="G3978" t="str">
            <v/>
          </cell>
          <cell r="H3978">
            <v>2099.9899999999998</v>
          </cell>
          <cell r="I3978">
            <v>1999.99</v>
          </cell>
          <cell r="J3978">
            <v>1646.5867000000001</v>
          </cell>
          <cell r="K3978">
            <v>0</v>
          </cell>
          <cell r="L3978">
            <v>1646.5867000000001</v>
          </cell>
          <cell r="M3978">
            <v>0</v>
          </cell>
          <cell r="N3978">
            <v>1999.99</v>
          </cell>
          <cell r="O3978" t="str">
            <v/>
          </cell>
          <cell r="P3978">
            <v>0</v>
          </cell>
          <cell r="Q3978">
            <v>0.214627811581376</v>
          </cell>
          <cell r="R3978">
            <v>0.214627811581376</v>
          </cell>
          <cell r="S3978" t="e">
            <v>#VALUE!</v>
          </cell>
          <cell r="T3978" t="e">
            <v>#VALUE!</v>
          </cell>
        </row>
        <row r="3979">
          <cell r="A3979" t="str">
            <v>GRTE27000909</v>
          </cell>
          <cell r="B3979" t="str">
            <v>MKP000631005776</v>
          </cell>
          <cell r="C3979" t="str">
            <v/>
          </cell>
          <cell r="D3979" t="str">
            <v>Armário de Cozinha Completa 270cm Branco Stella Madesa 09</v>
          </cell>
          <cell r="E3979" t="str">
            <v>STELLA</v>
          </cell>
          <cell r="F3979" t="str">
            <v>COZINHA</v>
          </cell>
          <cell r="G3979" t="str">
            <v/>
          </cell>
          <cell r="H3979">
            <v>1749.99</v>
          </cell>
          <cell r="I3979">
            <v>1749.99</v>
          </cell>
          <cell r="J3979">
            <v>1416.2479000000001</v>
          </cell>
          <cell r="K3979">
            <v>0</v>
          </cell>
          <cell r="L3979">
            <v>1416.2479000000001</v>
          </cell>
          <cell r="M3979">
            <v>0</v>
          </cell>
          <cell r="N3979">
            <v>1749.99</v>
          </cell>
          <cell r="O3979" t="str">
            <v/>
          </cell>
          <cell r="P3979">
            <v>0</v>
          </cell>
          <cell r="Q3979">
            <v>0.23565231764862599</v>
          </cell>
          <cell r="R3979">
            <v>0.23565231764862599</v>
          </cell>
          <cell r="S3979" t="e">
            <v>#VALUE!</v>
          </cell>
          <cell r="T3979" t="e">
            <v>#VALUE!</v>
          </cell>
        </row>
        <row r="3980">
          <cell r="A3980" t="str">
            <v>GRGL1600076E</v>
          </cell>
          <cell r="B3980" t="str">
            <v>MKP000631005231</v>
          </cell>
          <cell r="C3980" t="str">
            <v/>
          </cell>
          <cell r="D3980" t="str">
            <v>Armário de Cozinha Compacta 160cm Rustic/Branco Glamy Madesa 07</v>
          </cell>
          <cell r="E3980" t="str">
            <v>GLAMY</v>
          </cell>
          <cell r="F3980" t="str">
            <v>COZINHA</v>
          </cell>
          <cell r="G3980" t="str">
            <v/>
          </cell>
          <cell r="H3980">
            <v>1349.99</v>
          </cell>
          <cell r="I3980">
            <v>1249.99</v>
          </cell>
          <cell r="J3980">
            <v>1009.3291</v>
          </cell>
          <cell r="K3980">
            <v>0</v>
          </cell>
          <cell r="L3980">
            <v>1009.3291</v>
          </cell>
          <cell r="M3980">
            <v>0</v>
          </cell>
          <cell r="N3980">
            <v>1249.99</v>
          </cell>
          <cell r="O3980" t="str">
            <v/>
          </cell>
          <cell r="P3980">
            <v>0</v>
          </cell>
          <cell r="Q3980">
            <v>0.238436502028922</v>
          </cell>
          <cell r="R3980">
            <v>0.238436502028922</v>
          </cell>
          <cell r="S3980" t="e">
            <v>#VALUE!</v>
          </cell>
          <cell r="T3980" t="e">
            <v>#VALUE!</v>
          </cell>
        </row>
        <row r="3981">
          <cell r="A3981" t="str">
            <v>GRAG310002F8</v>
          </cell>
          <cell r="B3981" t="str">
            <v>MKP000631005663</v>
          </cell>
          <cell r="C3981" t="str">
            <v/>
          </cell>
          <cell r="D3981" t="str">
            <v>Armário de Cozinha Completa 310cm Branco/Cinza Agata Madesa 02</v>
          </cell>
          <cell r="E3981" t="str">
            <v>ÁGATA</v>
          </cell>
          <cell r="F3981" t="str">
            <v>COZINHA</v>
          </cell>
          <cell r="G3981" t="str">
            <v/>
          </cell>
          <cell r="H3981">
            <v>2599.9899999999998</v>
          </cell>
          <cell r="I3981">
            <v>2499.9899999999998</v>
          </cell>
          <cell r="J3981">
            <v>2000.3897999999999</v>
          </cell>
          <cell r="K3981">
            <v>0</v>
          </cell>
          <cell r="L3981">
            <v>2000.3897999999999</v>
          </cell>
          <cell r="M3981">
            <v>0</v>
          </cell>
          <cell r="N3981">
            <v>2499.9899999999998</v>
          </cell>
          <cell r="O3981" t="str">
            <v/>
          </cell>
          <cell r="P3981">
            <v>0</v>
          </cell>
          <cell r="Q3981">
            <v>0.24975142344757001</v>
          </cell>
          <cell r="R3981">
            <v>0.24975142344757001</v>
          </cell>
          <cell r="S3981" t="e">
            <v>#VALUE!</v>
          </cell>
          <cell r="T3981" t="e">
            <v>#VALUE!</v>
          </cell>
        </row>
        <row r="3982">
          <cell r="A3982" t="str">
            <v>GRAG35000173</v>
          </cell>
          <cell r="B3982" t="str">
            <v>MKP000631004546</v>
          </cell>
          <cell r="C3982" t="str">
            <v/>
          </cell>
          <cell r="D3982" t="str">
            <v>Armário de Cozinha Completa 350cm Branco/Preto Agata Madesa 01</v>
          </cell>
          <cell r="E3982" t="str">
            <v>ÁGATA</v>
          </cell>
          <cell r="F3982" t="str">
            <v>COZINHA</v>
          </cell>
          <cell r="G3982" t="str">
            <v/>
          </cell>
          <cell r="H3982">
            <v>2029.99</v>
          </cell>
          <cell r="I3982">
            <v>1999.99</v>
          </cell>
          <cell r="J3982">
            <v>1577.7422999999999</v>
          </cell>
          <cell r="K3982">
            <v>0</v>
          </cell>
          <cell r="L3982">
            <v>1577.7422999999999</v>
          </cell>
          <cell r="M3982">
            <v>0</v>
          </cell>
          <cell r="N3982">
            <v>1999.99</v>
          </cell>
          <cell r="O3982" t="str">
            <v/>
          </cell>
          <cell r="P3982">
            <v>0</v>
          </cell>
          <cell r="Q3982">
            <v>0.26762779954622501</v>
          </cell>
          <cell r="R3982">
            <v>0.26762779954622501</v>
          </cell>
          <cell r="S3982" t="e">
            <v>#VALUE!</v>
          </cell>
          <cell r="T3982" t="e">
            <v>#VALUE!</v>
          </cell>
        </row>
        <row r="3983">
          <cell r="A3983" t="str">
            <v>G241246ETECT</v>
          </cell>
          <cell r="B3983" t="str">
            <v>MKP000631005844</v>
          </cell>
          <cell r="C3983" t="str">
            <v/>
          </cell>
          <cell r="D3983" t="str">
            <v>Balcão de Pia Cozinha 2 Portas e 3 Gavetas (Com Tampo) Rustic/Branco Stella Madesa</v>
          </cell>
          <cell r="E3983" t="str">
            <v>STELLA</v>
          </cell>
          <cell r="F3983" t="str">
            <v>MODULAÇÃO</v>
          </cell>
          <cell r="G3983" t="str">
            <v/>
          </cell>
          <cell r="H3983">
            <v>929.99</v>
          </cell>
          <cell r="I3983">
            <v>829.99</v>
          </cell>
          <cell r="J3983">
            <v>644.04830000000004</v>
          </cell>
          <cell r="K3983">
            <v>0</v>
          </cell>
          <cell r="L3983">
            <v>644.04830000000004</v>
          </cell>
          <cell r="M3983">
            <v>0</v>
          </cell>
          <cell r="N3983">
            <v>829.99</v>
          </cell>
          <cell r="O3983" t="str">
            <v/>
          </cell>
          <cell r="P3983">
            <v>0</v>
          </cell>
          <cell r="Q3983">
            <v>0.288707694748981</v>
          </cell>
          <cell r="R3983">
            <v>0.288707694748981</v>
          </cell>
          <cell r="S3983" t="e">
            <v>#VALUE!</v>
          </cell>
          <cell r="T3983" t="e">
            <v>#VALUE!</v>
          </cell>
        </row>
        <row r="3984">
          <cell r="A3984" t="str">
            <v>GRAG27000873</v>
          </cell>
          <cell r="B3984" t="str">
            <v>MKP000631005259</v>
          </cell>
          <cell r="C3984" t="str">
            <v/>
          </cell>
          <cell r="D3984" t="str">
            <v>Armário de  Cozinha Completa 270cm Branco/Preto Agata Madesa 08</v>
          </cell>
          <cell r="E3984" t="str">
            <v>ÁGATA</v>
          </cell>
          <cell r="F3984" t="str">
            <v>COZINHA</v>
          </cell>
          <cell r="G3984" t="str">
            <v/>
          </cell>
          <cell r="H3984">
            <v>2119.9899999999998</v>
          </cell>
          <cell r="I3984">
            <v>1999.99</v>
          </cell>
          <cell r="J3984">
            <v>1532.6162999999999</v>
          </cell>
          <cell r="K3984">
            <v>0</v>
          </cell>
          <cell r="L3984">
            <v>1532.6162999999999</v>
          </cell>
          <cell r="M3984">
            <v>0</v>
          </cell>
          <cell r="N3984">
            <v>1999.99</v>
          </cell>
          <cell r="O3984" t="str">
            <v/>
          </cell>
          <cell r="P3984">
            <v>0</v>
          </cell>
          <cell r="Q3984">
            <v>0.30495153940356801</v>
          </cell>
          <cell r="R3984">
            <v>0.30495153940356801</v>
          </cell>
          <cell r="S3984" t="e">
            <v>#VALUE!</v>
          </cell>
          <cell r="T3984" t="e">
            <v>#VALUE!</v>
          </cell>
        </row>
        <row r="3985">
          <cell r="A3985" t="str">
            <v>G24124F9AGCT</v>
          </cell>
          <cell r="B3985" t="str">
            <v>MKP000631005842</v>
          </cell>
          <cell r="C3985" t="str">
            <v/>
          </cell>
          <cell r="D3985" t="str">
            <v>Balcão de Pia Cozinha 2 Portas e 3 Gavetas (Com Tampo) Rustic/Cinza Agata Madesa</v>
          </cell>
          <cell r="E3985" t="str">
            <v>ÁGATA</v>
          </cell>
          <cell r="F3985" t="str">
            <v>MODULAÇÃO</v>
          </cell>
          <cell r="G3985" t="str">
            <v/>
          </cell>
          <cell r="H3985">
            <v>949.99</v>
          </cell>
          <cell r="I3985">
            <v>849.99</v>
          </cell>
          <cell r="J3985">
            <v>633.29</v>
          </cell>
          <cell r="K3985">
            <v>0</v>
          </cell>
          <cell r="L3985">
            <v>633.29</v>
          </cell>
          <cell r="M3985">
            <v>0</v>
          </cell>
          <cell r="N3985">
            <v>849.99</v>
          </cell>
          <cell r="O3985" t="str">
            <v/>
          </cell>
          <cell r="P3985">
            <v>0</v>
          </cell>
          <cell r="Q3985">
            <v>0.34218130714206701</v>
          </cell>
          <cell r="R3985">
            <v>0.34218130714206701</v>
          </cell>
          <cell r="S3985" t="e">
            <v>#VALUE!</v>
          </cell>
          <cell r="T3985" t="e">
            <v>#VALUE!</v>
          </cell>
        </row>
        <row r="3986">
          <cell r="A3986" t="str">
            <v>G241536EAGCTFF</v>
          </cell>
          <cell r="B3986" t="str">
            <v>MKP000631005615</v>
          </cell>
          <cell r="C3986" t="str">
            <v/>
          </cell>
          <cell r="D3986" t="str">
            <v>Balcão Gabinete de Pia Madesa Agata 150 cm 2 Gavetas 2 Portas (Com Tampo) Rustic/Branco</v>
          </cell>
          <cell r="E3986" t="str">
            <v>ÁGATA</v>
          </cell>
          <cell r="F3986" t="str">
            <v>MODULAÇÃO</v>
          </cell>
          <cell r="G3986" t="str">
            <v/>
          </cell>
          <cell r="H3986">
            <v>859.99</v>
          </cell>
          <cell r="I3986">
            <v>779.99</v>
          </cell>
          <cell r="J3986">
            <v>581.08989999999994</v>
          </cell>
          <cell r="K3986">
            <v>0</v>
          </cell>
          <cell r="L3986">
            <v>581.08989999999994</v>
          </cell>
          <cell r="M3986">
            <v>0</v>
          </cell>
          <cell r="N3986">
            <v>779.99</v>
          </cell>
          <cell r="O3986" t="str">
            <v/>
          </cell>
          <cell r="P3986">
            <v>0</v>
          </cell>
          <cell r="Q3986">
            <v>0.342288000531415</v>
          </cell>
          <cell r="R3986">
            <v>0.342288000531415</v>
          </cell>
          <cell r="S3986" t="e">
            <v>#VALUE!</v>
          </cell>
          <cell r="T3986" t="e">
            <v>#VALUE!</v>
          </cell>
        </row>
        <row r="3987">
          <cell r="A3987" t="str">
            <v>G2415309AGCT</v>
          </cell>
          <cell r="B3987" t="str">
            <v>MKP000631004642</v>
          </cell>
          <cell r="C3987" t="str">
            <v/>
          </cell>
          <cell r="D3987" t="str">
            <v>Balcão de Pia Madesa Agata 150 cm 2 Portas e 2 Gavetas (Com Tampo) Branco</v>
          </cell>
          <cell r="E3987" t="str">
            <v>ÁGATA</v>
          </cell>
          <cell r="F3987" t="str">
            <v>MODULAÇÃO</v>
          </cell>
          <cell r="G3987" t="str">
            <v/>
          </cell>
          <cell r="H3987">
            <v>1079.99</v>
          </cell>
          <cell r="I3987">
            <v>719.99</v>
          </cell>
          <cell r="J3987">
            <v>527.94150000000002</v>
          </cell>
          <cell r="K3987">
            <v>0</v>
          </cell>
          <cell r="L3987">
            <v>527.94150000000002</v>
          </cell>
          <cell r="M3987">
            <v>0</v>
          </cell>
          <cell r="N3987">
            <v>719.99</v>
          </cell>
          <cell r="O3987" t="str">
            <v/>
          </cell>
          <cell r="P3987">
            <v>0</v>
          </cell>
          <cell r="Q3987">
            <v>0.36376852359589101</v>
          </cell>
          <cell r="R3987">
            <v>0.36376852359589101</v>
          </cell>
          <cell r="S3987" t="e">
            <v>#VALUE!</v>
          </cell>
          <cell r="T3987" t="e">
            <v>#VALUE!</v>
          </cell>
        </row>
        <row r="3988">
          <cell r="A3988" t="str">
            <v>G241237GAGCT</v>
          </cell>
          <cell r="B3988" t="str">
            <v>MKP000631005820</v>
          </cell>
          <cell r="C3988" t="str">
            <v/>
          </cell>
          <cell r="D3988" t="str">
            <v>Balcão de Pia Cozinha 1 Porta e 2 Gavetas (Com Tampo) Rustic/Crema Agata Madesa</v>
          </cell>
          <cell r="E3988" t="str">
            <v>ÁGATA</v>
          </cell>
          <cell r="F3988" t="str">
            <v>MODULAÇÃO</v>
          </cell>
          <cell r="G3988" t="str">
            <v/>
          </cell>
          <cell r="H3988">
            <v>849.99</v>
          </cell>
          <cell r="I3988">
            <v>749.99</v>
          </cell>
          <cell r="J3988">
            <v>516.06050000000005</v>
          </cell>
          <cell r="K3988">
            <v>0</v>
          </cell>
          <cell r="L3988">
            <v>516.06050000000005</v>
          </cell>
          <cell r="M3988">
            <v>0</v>
          </cell>
          <cell r="N3988">
            <v>749.99</v>
          </cell>
          <cell r="O3988" t="str">
            <v/>
          </cell>
          <cell r="P3988">
            <v>0</v>
          </cell>
          <cell r="Q3988">
            <v>0.45329859580417398</v>
          </cell>
          <cell r="R3988">
            <v>0.45329859580417398</v>
          </cell>
          <cell r="S3988" t="e">
            <v>#VALUE!</v>
          </cell>
          <cell r="T3988" t="e">
            <v>#VALUE!</v>
          </cell>
        </row>
        <row r="3989">
          <cell r="A3989" t="str">
            <v>G278013B</v>
          </cell>
          <cell r="B3989" t="str">
            <v>MKP000631005647</v>
          </cell>
          <cell r="C3989" t="str">
            <v/>
          </cell>
          <cell r="D3989" t="str">
            <v>Kit 2 Prateleiras Suspensas para Cozinha Madesa 80 cm com Mão Francesa Cinza</v>
          </cell>
          <cell r="E3989" t="str">
            <v>PR</v>
          </cell>
          <cell r="F3989" t="str">
            <v>MODULAÇÃO</v>
          </cell>
          <cell r="G3989" t="str">
            <v/>
          </cell>
          <cell r="H3989">
            <v>299.99</v>
          </cell>
          <cell r="I3989">
            <v>199.99</v>
          </cell>
          <cell r="J3989">
            <v>127.72620000000001</v>
          </cell>
          <cell r="K3989">
            <v>0</v>
          </cell>
          <cell r="L3989">
            <v>127.72620000000001</v>
          </cell>
          <cell r="M3989">
            <v>0</v>
          </cell>
          <cell r="N3989">
            <v>199.99</v>
          </cell>
          <cell r="O3989" t="str">
            <v/>
          </cell>
          <cell r="P3989">
            <v>0</v>
          </cell>
          <cell r="Q3989">
            <v>0.56577115736630401</v>
          </cell>
          <cell r="R3989">
            <v>0.56577115736630401</v>
          </cell>
          <cell r="S3989" t="e">
            <v>#VALUE!</v>
          </cell>
          <cell r="T3989" t="e">
            <v>#VALUE!</v>
          </cell>
        </row>
        <row r="3990">
          <cell r="A3990" t="str">
            <v>G2435073</v>
          </cell>
          <cell r="B3990" t="str">
            <v>MKP000631005742</v>
          </cell>
          <cell r="C3990" t="str">
            <v/>
          </cell>
          <cell r="D3990" t="str">
            <v>Balcão 100% MDF 35 cm 1 Porta Branco/Preto Acordes Madesa</v>
          </cell>
          <cell r="E3990" t="str">
            <v>ACORDES</v>
          </cell>
          <cell r="F3990" t="str">
            <v>MODULAÇÃO</v>
          </cell>
          <cell r="G3990" t="str">
            <v/>
          </cell>
          <cell r="H3990">
            <v>459.99</v>
          </cell>
          <cell r="I3990">
            <v>359.99</v>
          </cell>
          <cell r="J3990">
            <v>235.29830000000001</v>
          </cell>
          <cell r="K3990">
            <v>0</v>
          </cell>
          <cell r="L3990">
            <v>235.29830000000001</v>
          </cell>
          <cell r="M3990">
            <v>0</v>
          </cell>
          <cell r="N3990">
            <v>359.99</v>
          </cell>
          <cell r="O3990" t="str">
            <v/>
          </cell>
          <cell r="P3990">
            <v>0</v>
          </cell>
          <cell r="Q3990">
            <v>0.52993030548882003</v>
          </cell>
          <cell r="R3990">
            <v>0.52993030548882003</v>
          </cell>
          <cell r="S3990" t="e">
            <v>#VALUE!</v>
          </cell>
          <cell r="T3990" t="e">
            <v>#VALUE!</v>
          </cell>
        </row>
        <row r="3991">
          <cell r="A3991" t="str">
            <v>G277005ZPR</v>
          </cell>
          <cell r="B3991" t="str">
            <v>MKP000631005699</v>
          </cell>
          <cell r="C3991" t="str">
            <v/>
          </cell>
          <cell r="D3991" t="str">
            <v>Tampo para Balcão de 70 x 60 cm para Cozinhas Lux, Glamy e Stella Rustic Madesa</v>
          </cell>
          <cell r="E3991" t="str">
            <v>PR</v>
          </cell>
          <cell r="F3991" t="str">
            <v>MODULAÇÃO</v>
          </cell>
          <cell r="G3991" t="str">
            <v/>
          </cell>
          <cell r="H3991">
            <v>229.99</v>
          </cell>
          <cell r="I3991">
            <v>129.99</v>
          </cell>
          <cell r="J3991">
            <v>75.3626</v>
          </cell>
          <cell r="K3991">
            <v>0</v>
          </cell>
          <cell r="L3991">
            <v>75.3626</v>
          </cell>
          <cell r="M3991">
            <v>0</v>
          </cell>
          <cell r="N3991">
            <v>129.99</v>
          </cell>
          <cell r="O3991" t="str">
            <v/>
          </cell>
          <cell r="P3991">
            <v>0</v>
          </cell>
          <cell r="Q3991">
            <v>0.72486087263443699</v>
          </cell>
          <cell r="R3991">
            <v>0.72486087263443699</v>
          </cell>
          <cell r="S3991" t="e">
            <v>#VALUE!</v>
          </cell>
          <cell r="T3991" t="e">
            <v>#VALUE!</v>
          </cell>
        </row>
        <row r="3992">
          <cell r="A3992" t="str">
            <v>G2280073LXCT</v>
          </cell>
          <cell r="B3992" t="str">
            <v>MKP000631005067</v>
          </cell>
          <cell r="C3992" t="str">
            <v/>
          </cell>
          <cell r="D3992" t="str">
            <v>Balcão 80 cm 2 Portas Branco/Preto Lux Madesa</v>
          </cell>
          <cell r="E3992" t="str">
            <v>LUX</v>
          </cell>
          <cell r="F3992" t="str">
            <v>MODULAÇÃO</v>
          </cell>
          <cell r="G3992" t="str">
            <v/>
          </cell>
          <cell r="H3992">
            <v>1149.99</v>
          </cell>
          <cell r="I3992">
            <v>1069.99</v>
          </cell>
          <cell r="J3992">
            <v>569.05629999999996</v>
          </cell>
          <cell r="K3992">
            <v>0</v>
          </cell>
          <cell r="L3992">
            <v>569.05629999999996</v>
          </cell>
          <cell r="M3992">
            <v>0</v>
          </cell>
          <cell r="N3992">
            <v>1069.99</v>
          </cell>
          <cell r="O3992" t="str">
            <v>LOJA</v>
          </cell>
          <cell r="P3992">
            <v>1059.99</v>
          </cell>
          <cell r="Q3992">
            <v>0.88028847057839399</v>
          </cell>
          <cell r="R3992">
            <v>0.88028847057839399</v>
          </cell>
          <cell r="S3992" t="e">
            <v>#VALUE!</v>
          </cell>
          <cell r="T3992" t="e">
            <v>#VALUE!</v>
          </cell>
        </row>
        <row r="3993">
          <cell r="A3993" t="str">
            <v>G254005LAG</v>
          </cell>
          <cell r="B3993" t="str">
            <v>MKP000631005335</v>
          </cell>
          <cell r="C3993" t="str">
            <v/>
          </cell>
          <cell r="D3993" t="str">
            <v>Armário Aéreo 40 cm 1 Porta Branco/Crema Agata Madesa</v>
          </cell>
          <cell r="E3993" t="str">
            <v>ÁGATA</v>
          </cell>
          <cell r="F3993" t="str">
            <v>MODULAÇÃO</v>
          </cell>
          <cell r="G3993" t="str">
            <v/>
          </cell>
          <cell r="H3993">
            <v>429.99</v>
          </cell>
          <cell r="I3993">
            <v>329.99</v>
          </cell>
          <cell r="J3993">
            <v>166.9117</v>
          </cell>
          <cell r="K3993">
            <v>0</v>
          </cell>
          <cell r="L3993">
            <v>166.9117</v>
          </cell>
          <cell r="M3993">
            <v>0</v>
          </cell>
          <cell r="N3993">
            <v>329.99</v>
          </cell>
          <cell r="O3993" t="str">
            <v/>
          </cell>
          <cell r="P3993">
            <v>0</v>
          </cell>
          <cell r="Q3993">
            <v>0.97703336554597398</v>
          </cell>
          <cell r="R3993">
            <v>0.97703336554597398</v>
          </cell>
          <cell r="S3993" t="e">
            <v>#VALUE!</v>
          </cell>
          <cell r="T3993" t="e">
            <v>#VALUE!</v>
          </cell>
        </row>
        <row r="3994">
          <cell r="A3994" t="str">
            <v>G22350H8LX</v>
          </cell>
          <cell r="B3994" t="str">
            <v>MKP000631004683</v>
          </cell>
          <cell r="C3994" t="str">
            <v/>
          </cell>
          <cell r="D3994" t="str">
            <v>Balcão Madesa Lux 35 cm 1 Porta (Sem Tampo) Rustic/Branco Veludo</v>
          </cell>
          <cell r="E3994" t="str">
            <v>LUX</v>
          </cell>
          <cell r="F3994" t="str">
            <v>MODULAÇÃO</v>
          </cell>
          <cell r="G3994" t="str">
            <v/>
          </cell>
          <cell r="H3994">
            <v>559.99</v>
          </cell>
          <cell r="I3994">
            <v>449.99</v>
          </cell>
          <cell r="J3994">
            <v>220.5942</v>
          </cell>
          <cell r="K3994">
            <v>0</v>
          </cell>
          <cell r="L3994">
            <v>220.5942</v>
          </cell>
          <cell r="M3994">
            <v>0</v>
          </cell>
          <cell r="N3994">
            <v>449.99</v>
          </cell>
          <cell r="O3994" t="str">
            <v>LOJA</v>
          </cell>
          <cell r="P3994">
            <v>439.99</v>
          </cell>
          <cell r="Q3994">
            <v>1.0398995077839801</v>
          </cell>
          <cell r="R3994">
            <v>1.0398995077839801</v>
          </cell>
          <cell r="S3994" t="e">
            <v>#VALUE!</v>
          </cell>
          <cell r="T3994" t="e">
            <v>#VALUE!</v>
          </cell>
        </row>
        <row r="3995">
          <cell r="A3995" t="str">
            <v>GCGL3490039B</v>
          </cell>
          <cell r="B3995" t="str">
            <v>MKP000631004393</v>
          </cell>
          <cell r="C3995" t="str">
            <v/>
          </cell>
          <cell r="D3995" t="str">
            <v>Armário de Cozinha Completa de Canto 349cm Branco Rustic Glamy Madesa 03</v>
          </cell>
          <cell r="E3995" t="str">
            <v>GLAMY</v>
          </cell>
          <cell r="F3995" t="str">
            <v>COZINHA</v>
          </cell>
          <cell r="G3995" t="str">
            <v/>
          </cell>
          <cell r="H3995">
            <v>2569.9899999999998</v>
          </cell>
          <cell r="I3995">
            <v>2469.9899999999998</v>
          </cell>
          <cell r="J3995">
            <v>2062.3018000000002</v>
          </cell>
          <cell r="K3995">
            <v>0</v>
          </cell>
          <cell r="L3995">
            <v>2062.3018000000002</v>
          </cell>
          <cell r="M3995">
            <v>0</v>
          </cell>
          <cell r="N3995">
            <v>2469.9899999999998</v>
          </cell>
          <cell r="O3995" t="str">
            <v/>
          </cell>
          <cell r="P3995">
            <v>0</v>
          </cell>
          <cell r="Q3995">
            <v>0.19768600308645401</v>
          </cell>
          <cell r="R3995">
            <v>0.19768600308645401</v>
          </cell>
          <cell r="S3995" t="e">
            <v>#VALUE!</v>
          </cell>
          <cell r="T3995" t="e">
            <v>#VALUE!</v>
          </cell>
        </row>
        <row r="3996">
          <cell r="A3996" t="str">
            <v>GREM2290155Z</v>
          </cell>
          <cell r="B3996" t="str">
            <v>MKP000631005918</v>
          </cell>
          <cell r="C3996" t="str">
            <v/>
          </cell>
          <cell r="D3996" t="str">
            <v>Armário de Cozinha Compacta 229cm Rustic Emilly Madesa 15</v>
          </cell>
          <cell r="E3996" t="str">
            <v>EMILLY</v>
          </cell>
          <cell r="F3996" t="str">
            <v>COZINHA</v>
          </cell>
          <cell r="G3996" t="str">
            <v/>
          </cell>
          <cell r="H3996">
            <v>1029.99</v>
          </cell>
          <cell r="I3996">
            <v>929.99</v>
          </cell>
          <cell r="J3996">
            <v>755.47900000000004</v>
          </cell>
          <cell r="K3996">
            <v>0</v>
          </cell>
          <cell r="L3996">
            <v>755.47900000000004</v>
          </cell>
          <cell r="M3996">
            <v>0</v>
          </cell>
          <cell r="N3996">
            <v>929.99</v>
          </cell>
          <cell r="O3996" t="str">
            <v/>
          </cell>
          <cell r="P3996">
            <v>0</v>
          </cell>
          <cell r="Q3996">
            <v>0.23099384628824901</v>
          </cell>
          <cell r="R3996">
            <v>0.23099384628824901</v>
          </cell>
          <cell r="S3996" t="e">
            <v>#VALUE!</v>
          </cell>
          <cell r="T3996" t="e">
            <v>#VALUE!</v>
          </cell>
        </row>
        <row r="3997">
          <cell r="A3997" t="str">
            <v>GREM261009J1</v>
          </cell>
          <cell r="B3997" t="str">
            <v>MKP000631005963</v>
          </cell>
          <cell r="C3997" t="str">
            <v/>
          </cell>
          <cell r="D3997" t="str">
            <v>Armário de Cozinha Compacta 261 cm Rustic/Cinza Emilly Madesa 09</v>
          </cell>
          <cell r="E3997" t="str">
            <v>EMILLY</v>
          </cell>
          <cell r="F3997" t="str">
            <v>COZINHA</v>
          </cell>
          <cell r="G3997" t="str">
            <v/>
          </cell>
          <cell r="H3997">
            <v>1269.99</v>
          </cell>
          <cell r="I3997">
            <v>1169.99</v>
          </cell>
          <cell r="J3997">
            <v>937.29100000000005</v>
          </cell>
          <cell r="K3997">
            <v>0</v>
          </cell>
          <cell r="L3997">
            <v>937.29100000000005</v>
          </cell>
          <cell r="M3997">
            <v>0</v>
          </cell>
          <cell r="N3997">
            <v>1169.99</v>
          </cell>
          <cell r="O3997" t="str">
            <v/>
          </cell>
          <cell r="P3997">
            <v>0</v>
          </cell>
          <cell r="Q3997">
            <v>0.24826761379336801</v>
          </cell>
          <cell r="R3997">
            <v>0.24826761379336801</v>
          </cell>
          <cell r="S3997" t="e">
            <v>#VALUE!</v>
          </cell>
          <cell r="T3997" t="e">
            <v>#VALUE!</v>
          </cell>
        </row>
        <row r="3998">
          <cell r="A3998" t="str">
            <v>GREM1370087K</v>
          </cell>
          <cell r="B3998" t="str">
            <v>MKP000631005798</v>
          </cell>
          <cell r="C3998" t="str">
            <v/>
          </cell>
          <cell r="D3998" t="str">
            <v>Armário de Cozinha Compacta 137cm com Pia Rustic/Preto Emilly Madesa 08</v>
          </cell>
          <cell r="E3998" t="str">
            <v>EMILLY</v>
          </cell>
          <cell r="F3998" t="str">
            <v>COZINHA</v>
          </cell>
          <cell r="G3998" t="str">
            <v/>
          </cell>
          <cell r="H3998">
            <v>1349.99</v>
          </cell>
          <cell r="I3998">
            <v>1249.99</v>
          </cell>
          <cell r="J3998">
            <v>1014.4303</v>
          </cell>
          <cell r="K3998">
            <v>0</v>
          </cell>
          <cell r="L3998">
            <v>1014.4303</v>
          </cell>
          <cell r="M3998">
            <v>0</v>
          </cell>
          <cell r="N3998">
            <v>1249.99</v>
          </cell>
          <cell r="O3998" t="str">
            <v/>
          </cell>
          <cell r="P3998">
            <v>0</v>
          </cell>
          <cell r="Q3998">
            <v>0.232208856537507</v>
          </cell>
          <cell r="R3998">
            <v>0.232208856537507</v>
          </cell>
          <cell r="S3998" t="e">
            <v>#VALUE!</v>
          </cell>
          <cell r="T3998" t="e">
            <v>#VALUE!</v>
          </cell>
        </row>
        <row r="3999">
          <cell r="A3999" t="str">
            <v>GREM1370075Z</v>
          </cell>
          <cell r="B3999" t="str">
            <v>MKP000631005801</v>
          </cell>
          <cell r="C3999" t="str">
            <v/>
          </cell>
          <cell r="D3999" t="str">
            <v>Armário de Cozinha Compacta 137cm com Pia Rustic Emilly Madesa 07</v>
          </cell>
          <cell r="E3999" t="str">
            <v>EMILLY</v>
          </cell>
          <cell r="F3999" t="str">
            <v>COZINHA</v>
          </cell>
          <cell r="G3999" t="str">
            <v/>
          </cell>
          <cell r="H3999">
            <v>1359.99</v>
          </cell>
          <cell r="I3999">
            <v>1259.99</v>
          </cell>
          <cell r="J3999">
            <v>1021.0466</v>
          </cell>
          <cell r="K3999">
            <v>0</v>
          </cell>
          <cell r="L3999">
            <v>1021.0466</v>
          </cell>
          <cell r="M3999">
            <v>0</v>
          </cell>
          <cell r="N3999">
            <v>1259.99</v>
          </cell>
          <cell r="O3999" t="str">
            <v/>
          </cell>
          <cell r="P3999">
            <v>0</v>
          </cell>
          <cell r="Q3999">
            <v>0.23401811435442799</v>
          </cell>
          <cell r="R3999">
            <v>0.23401811435442799</v>
          </cell>
          <cell r="S3999" t="e">
            <v>#VALUE!</v>
          </cell>
          <cell r="T3999" t="e">
            <v>#VALUE!</v>
          </cell>
        </row>
        <row r="4000">
          <cell r="A4000" t="str">
            <v>GRAG3300026E</v>
          </cell>
          <cell r="B4000" t="str">
            <v>MKP000631005624</v>
          </cell>
          <cell r="C4000" t="str">
            <v/>
          </cell>
          <cell r="D4000" t="str">
            <v>Armário de Cozinha Completa 330cm Rustic/Branco Agata Madesa 02</v>
          </cell>
          <cell r="E4000" t="str">
            <v>ÁGATA</v>
          </cell>
          <cell r="F4000" t="str">
            <v>COZINHA</v>
          </cell>
          <cell r="G4000" t="str">
            <v/>
          </cell>
          <cell r="H4000">
            <v>2699.99</v>
          </cell>
          <cell r="I4000">
            <v>2599.9899999999998</v>
          </cell>
          <cell r="J4000">
            <v>2109.6187</v>
          </cell>
          <cell r="K4000">
            <v>0</v>
          </cell>
          <cell r="L4000">
            <v>2109.6187</v>
          </cell>
          <cell r="M4000">
            <v>0</v>
          </cell>
          <cell r="N4000">
            <v>2599.9899999999998</v>
          </cell>
          <cell r="O4000" t="str">
            <v/>
          </cell>
          <cell r="P4000">
            <v>0</v>
          </cell>
          <cell r="Q4000">
            <v>0.23244546514495701</v>
          </cell>
          <cell r="R4000">
            <v>0.23244546514495701</v>
          </cell>
          <cell r="S4000" t="e">
            <v>#VALUE!</v>
          </cell>
          <cell r="T4000" t="e">
            <v>#VALUE!</v>
          </cell>
        </row>
        <row r="4001">
          <cell r="A4001" t="str">
            <v>GRGL16000773</v>
          </cell>
          <cell r="B4001" t="str">
            <v>MKP000631005234</v>
          </cell>
          <cell r="C4001" t="str">
            <v/>
          </cell>
          <cell r="D4001" t="str">
            <v>Armário de Cozinha Compacta 160cm Branco/Preto Glamy Madesa 07</v>
          </cell>
          <cell r="E4001" t="str">
            <v>GLAMY</v>
          </cell>
          <cell r="F4001" t="str">
            <v>COZINHA</v>
          </cell>
          <cell r="G4001" t="str">
            <v/>
          </cell>
          <cell r="H4001">
            <v>1249.99</v>
          </cell>
          <cell r="I4001">
            <v>1249.99</v>
          </cell>
          <cell r="J4001">
            <v>1009.3291</v>
          </cell>
          <cell r="K4001">
            <v>0</v>
          </cell>
          <cell r="L4001">
            <v>1009.3291</v>
          </cell>
          <cell r="M4001">
            <v>0</v>
          </cell>
          <cell r="N4001">
            <v>1249.99</v>
          </cell>
          <cell r="O4001" t="str">
            <v/>
          </cell>
          <cell r="P4001">
            <v>0</v>
          </cell>
          <cell r="Q4001">
            <v>0.238436502028922</v>
          </cell>
          <cell r="R4001">
            <v>0.238436502028922</v>
          </cell>
          <cell r="S4001" t="e">
            <v>#VALUE!</v>
          </cell>
          <cell r="T4001" t="e">
            <v>#VALUE!</v>
          </cell>
        </row>
        <row r="4002">
          <cell r="A4002" t="str">
            <v>GRTE27000609</v>
          </cell>
          <cell r="B4002" t="str">
            <v>MKP000631005485</v>
          </cell>
          <cell r="C4002" t="str">
            <v/>
          </cell>
          <cell r="D4002" t="str">
            <v>Armário de Cozinha Completa 270cm Branco Stella Madesa 06</v>
          </cell>
          <cell r="E4002" t="str">
            <v>STELLA</v>
          </cell>
          <cell r="F4002" t="str">
            <v>COZINHA</v>
          </cell>
          <cell r="G4002" t="str">
            <v/>
          </cell>
          <cell r="H4002">
            <v>1869.99</v>
          </cell>
          <cell r="I4002">
            <v>1869.99</v>
          </cell>
          <cell r="J4002">
            <v>1510.0315000000001</v>
          </cell>
          <cell r="K4002">
            <v>0</v>
          </cell>
          <cell r="L4002">
            <v>1510.0315000000001</v>
          </cell>
          <cell r="M4002">
            <v>0</v>
          </cell>
          <cell r="N4002">
            <v>1869.99</v>
          </cell>
          <cell r="O4002" t="str">
            <v/>
          </cell>
          <cell r="P4002">
            <v>0</v>
          </cell>
          <cell r="Q4002">
            <v>0.23837813979377301</v>
          </cell>
          <cell r="R4002">
            <v>0.23837813979377301</v>
          </cell>
          <cell r="S4002" t="e">
            <v>#VALUE!</v>
          </cell>
          <cell r="T4002" t="e">
            <v>#VALUE!</v>
          </cell>
        </row>
        <row r="4003">
          <cell r="A4003" t="str">
            <v>GRAG2700056E</v>
          </cell>
          <cell r="B4003" t="str">
            <v>MKP000631004465</v>
          </cell>
          <cell r="C4003" t="str">
            <v/>
          </cell>
          <cell r="D4003" t="str">
            <v>Armário de Cozinha Completa 270cm Rustic/Branco Agata Madesa 05</v>
          </cell>
          <cell r="E4003" t="str">
            <v>ÁGATA</v>
          </cell>
          <cell r="F4003" t="str">
            <v>COZINHA</v>
          </cell>
          <cell r="G4003" t="str">
            <v/>
          </cell>
          <cell r="H4003">
            <v>1799.99</v>
          </cell>
          <cell r="I4003">
            <v>1699.99</v>
          </cell>
          <cell r="J4003">
            <v>1370.0536999999999</v>
          </cell>
          <cell r="K4003">
            <v>0</v>
          </cell>
          <cell r="L4003">
            <v>1370.0536999999999</v>
          </cell>
          <cell r="M4003">
            <v>0</v>
          </cell>
          <cell r="N4003">
            <v>1699.99</v>
          </cell>
          <cell r="O4003" t="str">
            <v/>
          </cell>
          <cell r="P4003">
            <v>0</v>
          </cell>
          <cell r="Q4003">
            <v>0.24081997661843499</v>
          </cell>
          <cell r="R4003">
            <v>0.24081997661843499</v>
          </cell>
          <cell r="S4003" t="e">
            <v>#VALUE!</v>
          </cell>
          <cell r="T4003" t="e">
            <v>#VALUE!</v>
          </cell>
        </row>
        <row r="4004">
          <cell r="A4004" t="str">
            <v>GCTE4990029B</v>
          </cell>
          <cell r="B4004" t="str">
            <v>MKP000631005764</v>
          </cell>
          <cell r="C4004" t="str">
            <v/>
          </cell>
          <cell r="D4004" t="str">
            <v>Armário de Cozinha Completa de Canto 499cm Branco/Rustic Stella Madesa 02</v>
          </cell>
          <cell r="E4004" t="str">
            <v>STELLA</v>
          </cell>
          <cell r="F4004" t="str">
            <v>COZINHA</v>
          </cell>
          <cell r="G4004" t="str">
            <v/>
          </cell>
          <cell r="H4004">
            <v>3899.99</v>
          </cell>
          <cell r="I4004">
            <v>3899.99</v>
          </cell>
          <cell r="J4004">
            <v>3120.9207000000001</v>
          </cell>
          <cell r="K4004">
            <v>0</v>
          </cell>
          <cell r="L4004">
            <v>3120.9207000000001</v>
          </cell>
          <cell r="M4004">
            <v>0</v>
          </cell>
          <cell r="N4004">
            <v>3899.99</v>
          </cell>
          <cell r="O4004" t="str">
            <v/>
          </cell>
          <cell r="P4004">
            <v>0</v>
          </cell>
          <cell r="Q4004">
            <v>0.24962803444509199</v>
          </cell>
          <cell r="R4004">
            <v>0.24962803444509199</v>
          </cell>
          <cell r="S4004" t="e">
            <v>#VALUE!</v>
          </cell>
          <cell r="T4004" t="e">
            <v>#VALUE!</v>
          </cell>
        </row>
        <row r="4005">
          <cell r="A4005" t="str">
            <v>MDJA0401885ZFB</v>
          </cell>
          <cell r="B4005" t="str">
            <v>MKP000631006102</v>
          </cell>
          <cell r="C4005" t="str">
            <v/>
          </cell>
          <cell r="D4005" t="str">
            <v>Conjunto Sala de Jantar Mesa Tampo de Vidro 4 Cadeiras Rustic/Bege Marrom Kiara Madesa</v>
          </cell>
          <cell r="E4005" t="str">
            <v>KIARA</v>
          </cell>
          <cell r="F4005" t="str">
            <v>SALA DE JANTAR</v>
          </cell>
          <cell r="G4005" t="str">
            <v>4290X</v>
          </cell>
          <cell r="H4005">
            <v>869.99</v>
          </cell>
          <cell r="I4005">
            <v>769.99</v>
          </cell>
          <cell r="J4005">
            <v>617.41959999999995</v>
          </cell>
          <cell r="K4005">
            <v>0</v>
          </cell>
          <cell r="L4005">
            <v>617.41959999999995</v>
          </cell>
          <cell r="M4005">
            <v>0</v>
          </cell>
          <cell r="N4005">
            <v>769.99</v>
          </cell>
          <cell r="O4005" t="str">
            <v/>
          </cell>
          <cell r="P4005">
            <v>0</v>
          </cell>
          <cell r="Q4005">
            <v>0.24710974513928599</v>
          </cell>
          <cell r="R4005">
            <v>0.24710974513928599</v>
          </cell>
          <cell r="S4005" t="e">
            <v>#VALUE!</v>
          </cell>
          <cell r="T4005" t="e">
            <v>#VALUE!</v>
          </cell>
        </row>
        <row r="4006">
          <cell r="A4006" t="str">
            <v>MDJA0401607GFBM</v>
          </cell>
          <cell r="B4006" t="str">
            <v>MKP000631005533</v>
          </cell>
          <cell r="C4006" t="str">
            <v/>
          </cell>
          <cell r="D4006" t="str">
            <v>Conjunto Sala de Jantar Mesa Tampo de Vidro 4 Cadeiras Rustic/Crema/Bege Marrom Yara Madesa</v>
          </cell>
          <cell r="E4006" t="str">
            <v>YARA</v>
          </cell>
          <cell r="F4006" t="str">
            <v>SALA DE JANTAR</v>
          </cell>
          <cell r="G4006" t="str">
            <v>4291X</v>
          </cell>
          <cell r="H4006">
            <v>1129.99</v>
          </cell>
          <cell r="I4006">
            <v>1029.99</v>
          </cell>
          <cell r="J4006">
            <v>811.36329999999998</v>
          </cell>
          <cell r="K4006">
            <v>0</v>
          </cell>
          <cell r="L4006">
            <v>811.36329999999998</v>
          </cell>
          <cell r="M4006">
            <v>0</v>
          </cell>
          <cell r="N4006">
            <v>1029.99</v>
          </cell>
          <cell r="O4006" t="str">
            <v/>
          </cell>
          <cell r="P4006">
            <v>0</v>
          </cell>
          <cell r="Q4006">
            <v>0.26945598845794499</v>
          </cell>
          <cell r="R4006">
            <v>0.26945598845794499</v>
          </cell>
          <cell r="S4006" t="e">
            <v>#VALUE!</v>
          </cell>
          <cell r="T4006" t="e">
            <v>#VALUE!</v>
          </cell>
        </row>
        <row r="4007">
          <cell r="A4007" t="str">
            <v>GRTE2700056E</v>
          </cell>
          <cell r="B4007" t="str">
            <v>MKP000631005486</v>
          </cell>
          <cell r="C4007" t="str">
            <v/>
          </cell>
          <cell r="D4007" t="str">
            <v>Armário de Cozinha Completa 270cm Rustic/Branco Stella Madesa 05</v>
          </cell>
          <cell r="E4007" t="str">
            <v>STELLA</v>
          </cell>
          <cell r="F4007" t="str">
            <v>COZINHA</v>
          </cell>
          <cell r="G4007" t="str">
            <v/>
          </cell>
          <cell r="H4007">
            <v>1999.99</v>
          </cell>
          <cell r="I4007">
            <v>1999.99</v>
          </cell>
          <cell r="J4007">
            <v>1558.3948</v>
          </cell>
          <cell r="K4007">
            <v>0</v>
          </cell>
          <cell r="L4007">
            <v>1558.3948</v>
          </cell>
          <cell r="M4007">
            <v>0</v>
          </cell>
          <cell r="N4007">
            <v>1999.99</v>
          </cell>
          <cell r="O4007" t="str">
            <v/>
          </cell>
          <cell r="P4007">
            <v>0</v>
          </cell>
          <cell r="Q4007">
            <v>0.28336542190720898</v>
          </cell>
          <cell r="R4007">
            <v>0.28336542190720898</v>
          </cell>
          <cell r="S4007" t="e">
            <v>#VALUE!</v>
          </cell>
          <cell r="T4007" t="e">
            <v>#VALUE!</v>
          </cell>
        </row>
        <row r="4008">
          <cell r="A4008" t="str">
            <v>G2412473GLCT</v>
          </cell>
          <cell r="B4008" t="str">
            <v>MKP000631002997</v>
          </cell>
          <cell r="C4008" t="str">
            <v/>
          </cell>
          <cell r="D4008" t="str">
            <v>Balcão de Pia Madesa Glamy 120 cm 2 Portas e 3 Gavetas (Com Tampo) Branco/Preto</v>
          </cell>
          <cell r="E4008" t="str">
            <v>GLAMY</v>
          </cell>
          <cell r="F4008" t="str">
            <v>MODULAÇÃO</v>
          </cell>
          <cell r="G4008" t="str">
            <v/>
          </cell>
          <cell r="H4008">
            <v>1469.99</v>
          </cell>
          <cell r="I4008">
            <v>829.99</v>
          </cell>
          <cell r="J4008">
            <v>648.65899999999999</v>
          </cell>
          <cell r="K4008">
            <v>0</v>
          </cell>
          <cell r="L4008">
            <v>648.65899999999999</v>
          </cell>
          <cell r="M4008">
            <v>0</v>
          </cell>
          <cell r="N4008">
            <v>829.99</v>
          </cell>
          <cell r="O4008" t="str">
            <v/>
          </cell>
          <cell r="P4008">
            <v>0</v>
          </cell>
          <cell r="Q4008">
            <v>0.27954749722118999</v>
          </cell>
          <cell r="R4008">
            <v>0.27954749722118999</v>
          </cell>
          <cell r="S4008" t="e">
            <v>#VALUE!</v>
          </cell>
          <cell r="T4008" t="e">
            <v>#VALUE!</v>
          </cell>
        </row>
        <row r="4009">
          <cell r="A4009" t="str">
            <v>MDJA0401577KBE</v>
          </cell>
          <cell r="B4009" t="str">
            <v>MKP000631005537</v>
          </cell>
          <cell r="C4009" t="str">
            <v/>
          </cell>
          <cell r="D4009" t="str">
            <v>Conjunto Sala de Jantar Mesa Tampo de Madeira 4 Cadeiras Rustic/Preto/Sintético Bege Samara Madesa</v>
          </cell>
          <cell r="E4009" t="str">
            <v>SAMARA</v>
          </cell>
          <cell r="F4009" t="str">
            <v>SALA DE JANTAR</v>
          </cell>
          <cell r="G4009" t="str">
            <v>4290X</v>
          </cell>
          <cell r="H4009">
            <v>619.99</v>
          </cell>
          <cell r="I4009">
            <v>519.99</v>
          </cell>
          <cell r="J4009">
            <v>400.13900000000001</v>
          </cell>
          <cell r="K4009">
            <v>0</v>
          </cell>
          <cell r="L4009">
            <v>400.13900000000001</v>
          </cell>
          <cell r="M4009">
            <v>0</v>
          </cell>
          <cell r="N4009">
            <v>519.99</v>
          </cell>
          <cell r="O4009" t="str">
            <v/>
          </cell>
          <cell r="P4009">
            <v>0</v>
          </cell>
          <cell r="Q4009">
            <v>0.299523415613074</v>
          </cell>
          <cell r="R4009">
            <v>0.299523415613074</v>
          </cell>
          <cell r="S4009" t="e">
            <v>#VALUE!</v>
          </cell>
          <cell r="T4009" t="e">
            <v>#VALUE!</v>
          </cell>
        </row>
        <row r="4010">
          <cell r="A4010" t="str">
            <v>GREM1650045Z</v>
          </cell>
          <cell r="B4010" t="str">
            <v>MKP000631005865</v>
          </cell>
          <cell r="C4010" t="str">
            <v/>
          </cell>
          <cell r="D4010" t="str">
            <v>Armário de Cozinha Compacta 165cm Rustic Emilly Madesa 04</v>
          </cell>
          <cell r="E4010" t="str">
            <v>EMILLY</v>
          </cell>
          <cell r="F4010" t="str">
            <v>COZINHA</v>
          </cell>
          <cell r="G4010" t="str">
            <v/>
          </cell>
          <cell r="H4010">
            <v>799.99</v>
          </cell>
          <cell r="I4010">
            <v>799.99</v>
          </cell>
          <cell r="J4010">
            <v>567.11609999999996</v>
          </cell>
          <cell r="K4010">
            <v>0</v>
          </cell>
          <cell r="L4010">
            <v>567.11609999999996</v>
          </cell>
          <cell r="M4010">
            <v>0</v>
          </cell>
          <cell r="N4010">
            <v>799.99</v>
          </cell>
          <cell r="O4010" t="str">
            <v/>
          </cell>
          <cell r="P4010">
            <v>0</v>
          </cell>
          <cell r="Q4010">
            <v>0.41062826465339303</v>
          </cell>
          <cell r="R4010">
            <v>0.41062826465339303</v>
          </cell>
          <cell r="S4010" t="e">
            <v>#VALUE!</v>
          </cell>
          <cell r="T4010" t="e">
            <v>#VALUE!</v>
          </cell>
        </row>
        <row r="4011">
          <cell r="A4011" t="str">
            <v>G241205LAGCT</v>
          </cell>
          <cell r="B4011" t="str">
            <v>MKP000631005857</v>
          </cell>
          <cell r="C4011" t="str">
            <v/>
          </cell>
          <cell r="D4011" t="str">
            <v>Balcão de Pia Cozinha 2 Portas (Com Tampo) Branco/Crema Agata Madesa</v>
          </cell>
          <cell r="E4011" t="str">
            <v>ÁGATA</v>
          </cell>
          <cell r="F4011" t="str">
            <v>MODULAÇÃO</v>
          </cell>
          <cell r="G4011" t="str">
            <v/>
          </cell>
          <cell r="H4011">
            <v>759.99</v>
          </cell>
          <cell r="I4011">
            <v>659.99</v>
          </cell>
          <cell r="J4011">
            <v>446.32229999999998</v>
          </cell>
          <cell r="K4011">
            <v>0</v>
          </cell>
          <cell r="L4011">
            <v>446.32229999999998</v>
          </cell>
          <cell r="M4011">
            <v>0</v>
          </cell>
          <cell r="N4011">
            <v>659.99</v>
          </cell>
          <cell r="O4011" t="str">
            <v/>
          </cell>
          <cell r="P4011">
            <v>0</v>
          </cell>
          <cell r="Q4011">
            <v>0.47872960862587399</v>
          </cell>
          <cell r="R4011">
            <v>0.47872960862587399</v>
          </cell>
          <cell r="S4011" t="e">
            <v>#VALUE!</v>
          </cell>
          <cell r="T4011" t="e">
            <v>#VALUE!</v>
          </cell>
        </row>
        <row r="4012">
          <cell r="A4012" t="str">
            <v>G248029BGL</v>
          </cell>
          <cell r="B4012" t="str">
            <v>MKP000631000851</v>
          </cell>
          <cell r="C4012" t="str">
            <v/>
          </cell>
          <cell r="D4012" t="str">
            <v>Balcão 80 cm 2 Gavetas Branco/Rustic Glamy Madesa</v>
          </cell>
          <cell r="E4012" t="str">
            <v>GLAMY</v>
          </cell>
          <cell r="F4012" t="str">
            <v>MODULAÇÃO</v>
          </cell>
          <cell r="G4012" t="str">
            <v/>
          </cell>
          <cell r="H4012">
            <v>679.99</v>
          </cell>
          <cell r="I4012">
            <v>599.99</v>
          </cell>
          <cell r="J4012">
            <v>392.3673</v>
          </cell>
          <cell r="K4012">
            <v>0</v>
          </cell>
          <cell r="L4012">
            <v>392.3673</v>
          </cell>
          <cell r="M4012">
            <v>0</v>
          </cell>
          <cell r="N4012">
            <v>599.99</v>
          </cell>
          <cell r="O4012" t="str">
            <v/>
          </cell>
          <cell r="P4012">
            <v>0</v>
          </cell>
          <cell r="Q4012">
            <v>0.52915393306221004</v>
          </cell>
          <cell r="R4012">
            <v>0.52915393306221004</v>
          </cell>
          <cell r="S4012" t="e">
            <v>#VALUE!</v>
          </cell>
          <cell r="T4012" t="e">
            <v>#VALUE!</v>
          </cell>
        </row>
        <row r="4013">
          <cell r="A4013" t="str">
            <v>G2535073</v>
          </cell>
          <cell r="B4013" t="str">
            <v>MKP000631005701</v>
          </cell>
          <cell r="C4013" t="str">
            <v/>
          </cell>
          <cell r="D4013" t="str">
            <v>Armário Aéreo 100% MDF 35 cm 1 Porta Branco/Preto Acordes Madesa</v>
          </cell>
          <cell r="E4013" t="str">
            <v>ACORDES</v>
          </cell>
          <cell r="F4013" t="str">
            <v>MODULAÇÃO</v>
          </cell>
          <cell r="G4013" t="str">
            <v/>
          </cell>
          <cell r="H4013">
            <v>379.99</v>
          </cell>
          <cell r="I4013">
            <v>279.99</v>
          </cell>
          <cell r="J4013">
            <v>164.89519999999999</v>
          </cell>
          <cell r="K4013">
            <v>0</v>
          </cell>
          <cell r="L4013">
            <v>164.89519999999999</v>
          </cell>
          <cell r="M4013">
            <v>0</v>
          </cell>
          <cell r="N4013">
            <v>279.99</v>
          </cell>
          <cell r="O4013" t="str">
            <v/>
          </cell>
          <cell r="P4013">
            <v>0</v>
          </cell>
          <cell r="Q4013">
            <v>0.69798757028706704</v>
          </cell>
          <cell r="R4013">
            <v>0.69798757028706704</v>
          </cell>
          <cell r="S4013" t="e">
            <v>#VALUE!</v>
          </cell>
          <cell r="T4013" t="e">
            <v>#VALUE!</v>
          </cell>
        </row>
        <row r="4014">
          <cell r="A4014" t="str">
            <v>G2475073AG</v>
          </cell>
          <cell r="B4014" t="str">
            <v>MKP000631003051</v>
          </cell>
          <cell r="C4014" t="str">
            <v/>
          </cell>
          <cell r="D4014" t="str">
            <v>Balcão de Canto Madesa Agata 1 Porta Branco/Preto</v>
          </cell>
          <cell r="E4014" t="str">
            <v>ÁGATA</v>
          </cell>
          <cell r="F4014" t="str">
            <v>MODULAÇÃO</v>
          </cell>
          <cell r="G4014" t="str">
            <v/>
          </cell>
          <cell r="H4014">
            <v>999.99</v>
          </cell>
          <cell r="I4014">
            <v>539.99</v>
          </cell>
          <cell r="J4014">
            <v>314.9228</v>
          </cell>
          <cell r="K4014">
            <v>0</v>
          </cell>
          <cell r="L4014">
            <v>314.9228</v>
          </cell>
          <cell r="M4014">
            <v>0</v>
          </cell>
          <cell r="N4014">
            <v>539.99</v>
          </cell>
          <cell r="O4014" t="str">
            <v/>
          </cell>
          <cell r="P4014">
            <v>0</v>
          </cell>
          <cell r="Q4014">
            <v>0.71467419951810396</v>
          </cell>
          <cell r="R4014">
            <v>0.71467419951810396</v>
          </cell>
          <cell r="S4014" t="e">
            <v>#VALUE!</v>
          </cell>
          <cell r="T4014" t="e">
            <v>#VALUE!</v>
          </cell>
        </row>
        <row r="4015">
          <cell r="A4015" t="str">
            <v>52756E2</v>
          </cell>
          <cell r="B4015" t="str">
            <v>MKP000631003133</v>
          </cell>
          <cell r="C4015" t="str">
            <v/>
          </cell>
          <cell r="D4015" t="str">
            <v>Mesa de Jantar Retangular Tampo de Madeira Rustic/Branco 5275 Madesa</v>
          </cell>
          <cell r="E4015">
            <v>5275</v>
          </cell>
          <cell r="F4015" t="str">
            <v>SALA DE JANTAR</v>
          </cell>
          <cell r="G4015" t="str">
            <v/>
          </cell>
          <cell r="H4015">
            <v>819.99</v>
          </cell>
          <cell r="I4015">
            <v>539.99</v>
          </cell>
          <cell r="J4015">
            <v>282.83319999999998</v>
          </cell>
          <cell r="K4015">
            <v>0</v>
          </cell>
          <cell r="L4015">
            <v>282.83319999999998</v>
          </cell>
          <cell r="M4015">
            <v>0</v>
          </cell>
          <cell r="N4015">
            <v>539.99</v>
          </cell>
          <cell r="O4015" t="str">
            <v/>
          </cell>
          <cell r="P4015">
            <v>0</v>
          </cell>
          <cell r="Q4015">
            <v>0.90921716403873398</v>
          </cell>
          <cell r="R4015">
            <v>0.90921716403873398</v>
          </cell>
          <cell r="S4015" t="e">
            <v>#VALUE!</v>
          </cell>
          <cell r="T4015" t="e">
            <v>#VALUE!</v>
          </cell>
        </row>
        <row r="4016">
          <cell r="A4016" t="str">
            <v>G2540073LX</v>
          </cell>
          <cell r="B4016" t="str">
            <v>MKP000631003253</v>
          </cell>
          <cell r="C4016" t="str">
            <v/>
          </cell>
          <cell r="D4016" t="str">
            <v>Armário Aéreo Madesa Lux 40 cm 1 Porta Branco/Preto</v>
          </cell>
          <cell r="E4016" t="str">
            <v>LUX</v>
          </cell>
          <cell r="F4016" t="str">
            <v>MODULAÇÃO</v>
          </cell>
          <cell r="G4016" t="str">
            <v/>
          </cell>
          <cell r="H4016">
            <v>849.99</v>
          </cell>
          <cell r="I4016">
            <v>459.99</v>
          </cell>
          <cell r="J4016">
            <v>256.58600000000001</v>
          </cell>
          <cell r="K4016">
            <v>0</v>
          </cell>
          <cell r="L4016">
            <v>256.58600000000001</v>
          </cell>
          <cell r="M4016">
            <v>0</v>
          </cell>
          <cell r="N4016">
            <v>459.99</v>
          </cell>
          <cell r="O4016" t="str">
            <v>LOJA</v>
          </cell>
          <cell r="P4016">
            <v>449.99</v>
          </cell>
          <cell r="Q4016">
            <v>0.79273226130809904</v>
          </cell>
          <cell r="R4016">
            <v>0.79273226130809904</v>
          </cell>
          <cell r="S4016" t="e">
            <v>#VALUE!</v>
          </cell>
          <cell r="T4016" t="e">
            <v>#VALUE!</v>
          </cell>
        </row>
        <row r="4017">
          <cell r="A4017" t="str">
            <v>G227007KLXCT</v>
          </cell>
          <cell r="B4017" t="str">
            <v>MKP000631005178</v>
          </cell>
          <cell r="C4017" t="str">
            <v/>
          </cell>
          <cell r="D4017" t="str">
            <v>Balcão Madesa Lux 70 cm 2 Portas - Rustic/Preto (Com Tampo)</v>
          </cell>
          <cell r="E4017" t="str">
            <v>LUX</v>
          </cell>
          <cell r="F4017" t="str">
            <v>MODULAÇÃO</v>
          </cell>
          <cell r="G4017" t="str">
            <v/>
          </cell>
          <cell r="H4017">
            <v>1119.99</v>
          </cell>
          <cell r="I4017">
            <v>999.99</v>
          </cell>
          <cell r="J4017">
            <v>528.58460000000002</v>
          </cell>
          <cell r="K4017">
            <v>0</v>
          </cell>
          <cell r="L4017">
            <v>528.58460000000002</v>
          </cell>
          <cell r="M4017">
            <v>0</v>
          </cell>
          <cell r="N4017">
            <v>999.99</v>
          </cell>
          <cell r="O4017" t="str">
            <v>LOJA</v>
          </cell>
          <cell r="P4017">
            <v>989.99</v>
          </cell>
          <cell r="Q4017">
            <v>0.89182583071848898</v>
          </cell>
          <cell r="R4017">
            <v>0.89182583071848898</v>
          </cell>
          <cell r="S4017" t="e">
            <v>#VALUE!</v>
          </cell>
          <cell r="T4017" t="e">
            <v>#VALUE!</v>
          </cell>
        </row>
        <row r="4018">
          <cell r="A4018" t="str">
            <v>G2270073LXCT</v>
          </cell>
          <cell r="B4018" t="str">
            <v>MKP000631005184</v>
          </cell>
          <cell r="C4018" t="str">
            <v/>
          </cell>
          <cell r="D4018" t="str">
            <v>Balcão Madesa Lux 70 cm 2 Portas - Branco/Preto (Com Tampo)</v>
          </cell>
          <cell r="E4018" t="str">
            <v>LUX</v>
          </cell>
          <cell r="F4018" t="str">
            <v>MODULAÇÃO</v>
          </cell>
          <cell r="G4018" t="str">
            <v/>
          </cell>
          <cell r="H4018">
            <v>1119.99</v>
          </cell>
          <cell r="I4018">
            <v>999.99</v>
          </cell>
          <cell r="J4018">
            <v>528.58460000000002</v>
          </cell>
          <cell r="K4018">
            <v>0</v>
          </cell>
          <cell r="L4018">
            <v>528.58460000000002</v>
          </cell>
          <cell r="M4018">
            <v>0</v>
          </cell>
          <cell r="N4018">
            <v>999.99</v>
          </cell>
          <cell r="O4018" t="str">
            <v>LOJA</v>
          </cell>
          <cell r="P4018">
            <v>989.99</v>
          </cell>
          <cell r="Q4018">
            <v>0.89182583071848898</v>
          </cell>
          <cell r="R4018">
            <v>0.89182583071848898</v>
          </cell>
          <cell r="S4018" t="e">
            <v>#VALUE!</v>
          </cell>
          <cell r="T4018" t="e">
            <v>#VALUE!</v>
          </cell>
        </row>
        <row r="4019">
          <cell r="A4019" t="str">
            <v>G22813H8LXCT</v>
          </cell>
          <cell r="B4019" t="str">
            <v>MKP000631005063</v>
          </cell>
          <cell r="C4019" t="str">
            <v/>
          </cell>
          <cell r="D4019" t="str">
            <v>Balcão 80 cm 2 Gavetas Rustic/Branco Veludo Lux Madesa</v>
          </cell>
          <cell r="E4019" t="str">
            <v>LUX</v>
          </cell>
          <cell r="F4019" t="str">
            <v>MODULAÇÃO</v>
          </cell>
          <cell r="G4019" t="str">
            <v/>
          </cell>
          <cell r="H4019">
            <v>1419.99</v>
          </cell>
          <cell r="I4019">
            <v>929.99</v>
          </cell>
          <cell r="J4019">
            <v>472.94009999999997</v>
          </cell>
          <cell r="K4019">
            <v>0</v>
          </cell>
          <cell r="L4019">
            <v>472.94009999999997</v>
          </cell>
          <cell r="M4019">
            <v>0</v>
          </cell>
          <cell r="N4019">
            <v>929.99</v>
          </cell>
          <cell r="O4019" t="str">
            <v>LOJA</v>
          </cell>
          <cell r="P4019">
            <v>919.99</v>
          </cell>
          <cell r="Q4019">
            <v>0.966401241933175</v>
          </cell>
          <cell r="R4019">
            <v>0.966401241933175</v>
          </cell>
          <cell r="S4019" t="e">
            <v>#VALUE!</v>
          </cell>
          <cell r="T4019" t="e">
            <v>#VALUE!</v>
          </cell>
        </row>
        <row r="4020">
          <cell r="A4020" t="str">
            <v>MDJA0401845ZOXF</v>
          </cell>
          <cell r="B4020" t="str">
            <v>MKP000631006069</v>
          </cell>
          <cell r="C4020" t="str">
            <v/>
          </cell>
          <cell r="D4020" t="str">
            <v>Conjunto Sala de Jantar Mesa Tampo de Madeira 4 Cadeiras Rustic/Oxford Cindy Madesa</v>
          </cell>
          <cell r="E4020" t="str">
            <v>CINDY</v>
          </cell>
          <cell r="F4020" t="str">
            <v>SALA DE JANTAR</v>
          </cell>
          <cell r="G4020">
            <v>4256</v>
          </cell>
          <cell r="H4020">
            <v>1349.99</v>
          </cell>
          <cell r="I4020">
            <v>1249.99</v>
          </cell>
          <cell r="J4020">
            <v>880.15319999999997</v>
          </cell>
          <cell r="K4020">
            <v>0</v>
          </cell>
          <cell r="L4020">
            <v>880.15319999999997</v>
          </cell>
          <cell r="M4020">
            <v>0</v>
          </cell>
          <cell r="N4020">
            <v>1249.99</v>
          </cell>
          <cell r="O4020" t="str">
            <v/>
          </cell>
          <cell r="P4020">
            <v>0</v>
          </cell>
          <cell r="Q4020">
            <v>0.42019593861614102</v>
          </cell>
          <cell r="R4020">
            <v>0.42019593861614102</v>
          </cell>
          <cell r="S4020" t="e">
            <v>#VALUE!</v>
          </cell>
          <cell r="T4020" t="e">
            <v>#VALUE!</v>
          </cell>
        </row>
        <row r="4021">
          <cell r="A4021" t="str">
            <v>GRTE3300066E</v>
          </cell>
          <cell r="B4021" t="str">
            <v>MKP000631005948</v>
          </cell>
          <cell r="C4021" t="str">
            <v/>
          </cell>
          <cell r="D4021" t="str">
            <v>Armário de Cozinha Completa 330cm Rustic/Branco Stella Madesa 06</v>
          </cell>
          <cell r="E4021" t="str">
            <v>STELLA</v>
          </cell>
          <cell r="F4021" t="str">
            <v>COZINHA</v>
          </cell>
          <cell r="G4021" t="str">
            <v/>
          </cell>
          <cell r="H4021">
            <v>2399.9899999999998</v>
          </cell>
          <cell r="I4021">
            <v>2299.9899999999998</v>
          </cell>
          <cell r="J4021">
            <v>1946.7727</v>
          </cell>
          <cell r="K4021">
            <v>0</v>
          </cell>
          <cell r="L4021">
            <v>1946.7727</v>
          </cell>
          <cell r="M4021">
            <v>0</v>
          </cell>
          <cell r="N4021">
            <v>2299.9899999999998</v>
          </cell>
          <cell r="O4021" t="str">
            <v/>
          </cell>
          <cell r="P4021">
            <v>0</v>
          </cell>
          <cell r="Q4021">
            <v>0.18143736040679001</v>
          </cell>
          <cell r="R4021">
            <v>0.18143736040679001</v>
          </cell>
          <cell r="S4021" t="e">
            <v>#VALUE!</v>
          </cell>
          <cell r="T4021" t="e">
            <v>#VALUE!</v>
          </cell>
        </row>
        <row r="4022">
          <cell r="A4022" t="str">
            <v>GREM1650067K</v>
          </cell>
          <cell r="B4022" t="str">
            <v>MKP000631005867</v>
          </cell>
          <cell r="C4022" t="str">
            <v/>
          </cell>
          <cell r="D4022" t="str">
            <v>Armário de Cozinha Compacta 165cm com Pia Rustic/Preto Emilly Madesa 06</v>
          </cell>
          <cell r="E4022" t="str">
            <v>EMILLY</v>
          </cell>
          <cell r="F4022" t="str">
            <v>COZINHA</v>
          </cell>
          <cell r="G4022" t="str">
            <v/>
          </cell>
          <cell r="H4022">
            <v>1099.99</v>
          </cell>
          <cell r="I4022">
            <v>1099.99</v>
          </cell>
          <cell r="J4022">
            <v>906.33500000000004</v>
          </cell>
          <cell r="K4022">
            <v>0</v>
          </cell>
          <cell r="L4022">
            <v>906.33500000000004</v>
          </cell>
          <cell r="M4022">
            <v>0</v>
          </cell>
          <cell r="N4022">
            <v>1099.99</v>
          </cell>
          <cell r="O4022" t="str">
            <v/>
          </cell>
          <cell r="P4022">
            <v>0</v>
          </cell>
          <cell r="Q4022">
            <v>0.213668235255176</v>
          </cell>
          <cell r="R4022">
            <v>0.213668235255176</v>
          </cell>
          <cell r="S4022" t="e">
            <v>#VALUE!</v>
          </cell>
          <cell r="T4022" t="e">
            <v>#VALUE!</v>
          </cell>
        </row>
        <row r="4023">
          <cell r="A4023" t="str">
            <v>GRTE3300036E</v>
          </cell>
          <cell r="B4023" t="str">
            <v>MKP000631005753</v>
          </cell>
          <cell r="C4023" t="str">
            <v/>
          </cell>
          <cell r="D4023" t="str">
            <v>Armário de Cozinha Completa 330cm Rustic/Branco Stella Madesa 03</v>
          </cell>
          <cell r="E4023" t="str">
            <v>STELLA</v>
          </cell>
          <cell r="F4023" t="str">
            <v>COZINHA</v>
          </cell>
          <cell r="G4023" t="str">
            <v/>
          </cell>
          <cell r="H4023">
            <v>2499.9899999999998</v>
          </cell>
          <cell r="I4023">
            <v>2499.9899999999998</v>
          </cell>
          <cell r="J4023">
            <v>2060.7431000000001</v>
          </cell>
          <cell r="K4023">
            <v>0</v>
          </cell>
          <cell r="L4023">
            <v>2060.7431000000001</v>
          </cell>
          <cell r="M4023">
            <v>0</v>
          </cell>
          <cell r="N4023">
            <v>2499.9899999999998</v>
          </cell>
          <cell r="O4023" t="str">
            <v/>
          </cell>
          <cell r="P4023">
            <v>0</v>
          </cell>
          <cell r="Q4023">
            <v>0.213149761365208</v>
          </cell>
          <cell r="R4023">
            <v>0.213149761365208</v>
          </cell>
          <cell r="S4023" t="e">
            <v>#VALUE!</v>
          </cell>
          <cell r="T4023" t="e">
            <v>#VALUE!</v>
          </cell>
        </row>
        <row r="4024">
          <cell r="A4024" t="str">
            <v>GRGL2700156E</v>
          </cell>
          <cell r="B4024" t="str">
            <v>MKP000631005666</v>
          </cell>
          <cell r="C4024" t="str">
            <v/>
          </cell>
          <cell r="D4024" t="str">
            <v>Armário de Cozinha Completa 270cm Rustic/Branco Glamy Madesa 15</v>
          </cell>
          <cell r="E4024" t="str">
            <v>GLAMY</v>
          </cell>
          <cell r="F4024" t="str">
            <v>COZINHA</v>
          </cell>
          <cell r="G4024" t="str">
            <v/>
          </cell>
          <cell r="H4024">
            <v>1899.99</v>
          </cell>
          <cell r="I4024">
            <v>1799.99</v>
          </cell>
          <cell r="J4024">
            <v>1486.2585999999999</v>
          </cell>
          <cell r="K4024">
            <v>0</v>
          </cell>
          <cell r="L4024">
            <v>1486.2585999999999</v>
          </cell>
          <cell r="M4024">
            <v>0</v>
          </cell>
          <cell r="N4024">
            <v>1799.99</v>
          </cell>
          <cell r="O4024" t="str">
            <v/>
          </cell>
          <cell r="P4024">
            <v>0</v>
          </cell>
          <cell r="Q4024">
            <v>0.211088030037303</v>
          </cell>
          <cell r="R4024">
            <v>0.211088030037303</v>
          </cell>
          <cell r="S4024" t="e">
            <v>#VALUE!</v>
          </cell>
          <cell r="T4024" t="e">
            <v>#VALUE!</v>
          </cell>
        </row>
        <row r="4025">
          <cell r="A4025" t="str">
            <v>GRGL2700157K</v>
          </cell>
          <cell r="B4025" t="str">
            <v>MKP000631005665</v>
          </cell>
          <cell r="C4025" t="str">
            <v/>
          </cell>
          <cell r="D4025" t="str">
            <v>Armário de Cozinha Completa 270cm Rustic/Preto Glamy Madesa 15</v>
          </cell>
          <cell r="E4025" t="str">
            <v>GLAMY</v>
          </cell>
          <cell r="F4025" t="str">
            <v>COZINHA</v>
          </cell>
          <cell r="G4025" t="str">
            <v/>
          </cell>
          <cell r="H4025">
            <v>1899.99</v>
          </cell>
          <cell r="I4025">
            <v>1799.99</v>
          </cell>
          <cell r="J4025">
            <v>1486.2585999999999</v>
          </cell>
          <cell r="K4025">
            <v>0</v>
          </cell>
          <cell r="L4025">
            <v>1486.2585999999999</v>
          </cell>
          <cell r="M4025">
            <v>0</v>
          </cell>
          <cell r="N4025">
            <v>1799.99</v>
          </cell>
          <cell r="O4025" t="str">
            <v/>
          </cell>
          <cell r="P4025">
            <v>0</v>
          </cell>
          <cell r="Q4025">
            <v>0.211088030037303</v>
          </cell>
          <cell r="R4025">
            <v>0.211088030037303</v>
          </cell>
          <cell r="S4025" t="e">
            <v>#VALUE!</v>
          </cell>
          <cell r="T4025" t="e">
            <v>#VALUE!</v>
          </cell>
        </row>
        <row r="4026">
          <cell r="A4026" t="str">
            <v>GRGL2400067K</v>
          </cell>
          <cell r="B4026" t="str">
            <v>MKP000631005675</v>
          </cell>
          <cell r="C4026" t="str">
            <v/>
          </cell>
          <cell r="D4026" t="str">
            <v>Armário de Cozinha Completa 240cm Rustic/Preto Glamy Madesa 06</v>
          </cell>
          <cell r="E4026" t="str">
            <v>GLAMY</v>
          </cell>
          <cell r="F4026" t="str">
            <v>COZINHA</v>
          </cell>
          <cell r="G4026" t="str">
            <v/>
          </cell>
          <cell r="H4026">
            <v>2099.9899999999998</v>
          </cell>
          <cell r="I4026">
            <v>1999.99</v>
          </cell>
          <cell r="J4026">
            <v>1646.5867000000001</v>
          </cell>
          <cell r="K4026">
            <v>0</v>
          </cell>
          <cell r="L4026">
            <v>1646.5867000000001</v>
          </cell>
          <cell r="M4026">
            <v>0</v>
          </cell>
          <cell r="N4026">
            <v>1999.99</v>
          </cell>
          <cell r="O4026" t="str">
            <v/>
          </cell>
          <cell r="P4026">
            <v>0</v>
          </cell>
          <cell r="Q4026">
            <v>0.214627811581376</v>
          </cell>
          <cell r="R4026">
            <v>0.214627811581376</v>
          </cell>
          <cell r="S4026" t="e">
            <v>#VALUE!</v>
          </cell>
          <cell r="T4026" t="e">
            <v>#VALUE!</v>
          </cell>
        </row>
        <row r="4027">
          <cell r="A4027" t="str">
            <v>GREM1370085Z</v>
          </cell>
          <cell r="B4027" t="str">
            <v>MKP000631005797</v>
          </cell>
          <cell r="C4027" t="str">
            <v/>
          </cell>
          <cell r="D4027" t="str">
            <v>Armário de Cozinha Compacta 137cm com Pia Rustic Emilly Madesa 08</v>
          </cell>
          <cell r="E4027" t="str">
            <v>EMILLY</v>
          </cell>
          <cell r="F4027" t="str">
            <v>COZINHA</v>
          </cell>
          <cell r="G4027" t="str">
            <v/>
          </cell>
          <cell r="H4027">
            <v>1349.99</v>
          </cell>
          <cell r="I4027">
            <v>1249.99</v>
          </cell>
          <cell r="J4027">
            <v>1014.4303</v>
          </cell>
          <cell r="K4027">
            <v>0</v>
          </cell>
          <cell r="L4027">
            <v>1014.4303</v>
          </cell>
          <cell r="M4027">
            <v>0</v>
          </cell>
          <cell r="N4027">
            <v>1249.99</v>
          </cell>
          <cell r="O4027" t="str">
            <v/>
          </cell>
          <cell r="P4027">
            <v>0</v>
          </cell>
          <cell r="Q4027">
            <v>0.232208856537507</v>
          </cell>
          <cell r="R4027">
            <v>0.232208856537507</v>
          </cell>
          <cell r="S4027" t="e">
            <v>#VALUE!</v>
          </cell>
          <cell r="T4027" t="e">
            <v>#VALUE!</v>
          </cell>
        </row>
        <row r="4028">
          <cell r="A4028" t="str">
            <v>GRGL28000309SR</v>
          </cell>
          <cell r="B4028" t="str">
            <v>MKP000631000590</v>
          </cell>
          <cell r="C4028" t="str">
            <v/>
          </cell>
          <cell r="D4028" t="str">
            <v>Armário de Cozinha Completa 280cm Branco Marcela Madesa 03SR</v>
          </cell>
          <cell r="E4028" t="str">
            <v>MARCELA/GLAMY</v>
          </cell>
          <cell r="F4028" t="str">
            <v>COZINHA</v>
          </cell>
          <cell r="G4028" t="str">
            <v/>
          </cell>
          <cell r="H4028">
            <v>2149.9899999999998</v>
          </cell>
          <cell r="I4028">
            <v>2049.9899999999998</v>
          </cell>
          <cell r="J4028">
            <v>1671.624</v>
          </cell>
          <cell r="K4028">
            <v>0</v>
          </cell>
          <cell r="L4028">
            <v>1671.624</v>
          </cell>
          <cell r="M4028">
            <v>0</v>
          </cell>
          <cell r="N4028">
            <v>2049.9899999999998</v>
          </cell>
          <cell r="O4028" t="str">
            <v/>
          </cell>
          <cell r="P4028">
            <v>0</v>
          </cell>
          <cell r="Q4028">
            <v>0.226346355400497</v>
          </cell>
          <cell r="R4028">
            <v>0.226346355400497</v>
          </cell>
          <cell r="S4028" t="e">
            <v>#VALUE!</v>
          </cell>
          <cell r="T4028" t="e">
            <v>#VALUE!</v>
          </cell>
        </row>
        <row r="4029">
          <cell r="A4029" t="str">
            <v>GRTE27000809</v>
          </cell>
          <cell r="B4029" t="str">
            <v>MKP000631005770</v>
          </cell>
          <cell r="C4029" t="str">
            <v/>
          </cell>
          <cell r="D4029" t="str">
            <v>Armário de Cozinha Completa 270cm Branco Stella Madesa 08</v>
          </cell>
          <cell r="E4029" t="str">
            <v>STELLA</v>
          </cell>
          <cell r="F4029" t="str">
            <v>COZINHA</v>
          </cell>
          <cell r="G4029" t="str">
            <v/>
          </cell>
          <cell r="H4029">
            <v>1699.99</v>
          </cell>
          <cell r="I4029">
            <v>1699.99</v>
          </cell>
          <cell r="J4029">
            <v>1386.4146000000001</v>
          </cell>
          <cell r="K4029">
            <v>0</v>
          </cell>
          <cell r="L4029">
            <v>1386.4146000000001</v>
          </cell>
          <cell r="M4029">
            <v>0</v>
          </cell>
          <cell r="N4029">
            <v>1699.99</v>
          </cell>
          <cell r="O4029" t="str">
            <v/>
          </cell>
          <cell r="P4029">
            <v>0</v>
          </cell>
          <cell r="Q4029">
            <v>0.226177220003309</v>
          </cell>
          <cell r="R4029">
            <v>0.226177220003309</v>
          </cell>
          <cell r="S4029" t="e">
            <v>#VALUE!</v>
          </cell>
          <cell r="T4029" t="e">
            <v>#VALUE!</v>
          </cell>
        </row>
        <row r="4030">
          <cell r="A4030" t="str">
            <v>MDJA0601467GSIL</v>
          </cell>
          <cell r="B4030" t="str">
            <v>MKP000631005706</v>
          </cell>
          <cell r="C4030" t="str">
            <v/>
          </cell>
          <cell r="D4030" t="str">
            <v>Conjunto Sala de Jantar Mesa Tampo de Madeira 6 Cadeiras Rustic/Crema/Silver Fabiana Madesa</v>
          </cell>
          <cell r="E4030" t="str">
            <v>FABIANA</v>
          </cell>
          <cell r="F4030" t="str">
            <v>SALA DE JANTAR</v>
          </cell>
          <cell r="G4030">
            <v>4256</v>
          </cell>
          <cell r="H4030">
            <v>1499.99</v>
          </cell>
          <cell r="I4030">
            <v>1399.99</v>
          </cell>
          <cell r="J4030">
            <v>1104.8022000000001</v>
          </cell>
          <cell r="K4030">
            <v>0</v>
          </cell>
          <cell r="L4030">
            <v>1104.8022000000001</v>
          </cell>
          <cell r="M4030">
            <v>0</v>
          </cell>
          <cell r="N4030">
            <v>1399.99</v>
          </cell>
          <cell r="O4030" t="str">
            <v/>
          </cell>
          <cell r="P4030">
            <v>0</v>
          </cell>
          <cell r="Q4030">
            <v>0.26718610806531701</v>
          </cell>
          <cell r="R4030">
            <v>0.26718610806531701</v>
          </cell>
          <cell r="S4030" t="e">
            <v>#VALUE!</v>
          </cell>
          <cell r="T4030" t="e">
            <v>#VALUE!</v>
          </cell>
        </row>
        <row r="4031">
          <cell r="A4031" t="str">
            <v>GRGL20000709</v>
          </cell>
          <cell r="B4031" t="str">
            <v>MKP000631005610</v>
          </cell>
          <cell r="C4031" t="str">
            <v/>
          </cell>
          <cell r="D4031" t="str">
            <v>Armário de Cozinha Compacta 200cm Branco Glamy Madesa 07</v>
          </cell>
          <cell r="E4031" t="str">
            <v>GLAMY</v>
          </cell>
          <cell r="F4031" t="str">
            <v>COZINHA</v>
          </cell>
          <cell r="G4031" t="str">
            <v/>
          </cell>
          <cell r="H4031">
            <v>1699.99</v>
          </cell>
          <cell r="I4031">
            <v>1599.99</v>
          </cell>
          <cell r="J4031">
            <v>1301.5036</v>
          </cell>
          <cell r="K4031">
            <v>0</v>
          </cell>
          <cell r="L4031">
            <v>1301.5036</v>
          </cell>
          <cell r="M4031">
            <v>0</v>
          </cell>
          <cell r="N4031">
            <v>1599.99</v>
          </cell>
          <cell r="O4031" t="str">
            <v/>
          </cell>
          <cell r="P4031">
            <v>0</v>
          </cell>
          <cell r="Q4031">
            <v>0.22933966529174399</v>
          </cell>
          <cell r="R4031">
            <v>0.22933966529174399</v>
          </cell>
          <cell r="S4031" t="e">
            <v>#VALUE!</v>
          </cell>
          <cell r="T4031" t="e">
            <v>#VALUE!</v>
          </cell>
        </row>
        <row r="4032">
          <cell r="A4032" t="str">
            <v>GRGL2000077K</v>
          </cell>
          <cell r="B4032" t="str">
            <v>MKP000631005607</v>
          </cell>
          <cell r="C4032" t="str">
            <v/>
          </cell>
          <cell r="D4032" t="str">
            <v>Armário de Cozinha Compacta 200cm Rustic/Preto Glamy Madesa 07</v>
          </cell>
          <cell r="E4032" t="str">
            <v>GLAMY</v>
          </cell>
          <cell r="F4032" t="str">
            <v>COZINHA</v>
          </cell>
          <cell r="G4032" t="str">
            <v/>
          </cell>
          <cell r="H4032">
            <v>1699.99</v>
          </cell>
          <cell r="I4032">
            <v>1599.99</v>
          </cell>
          <cell r="J4032">
            <v>1301.5036</v>
          </cell>
          <cell r="K4032">
            <v>0</v>
          </cell>
          <cell r="L4032">
            <v>1301.5036</v>
          </cell>
          <cell r="M4032">
            <v>0</v>
          </cell>
          <cell r="N4032">
            <v>1599.99</v>
          </cell>
          <cell r="O4032" t="str">
            <v/>
          </cell>
          <cell r="P4032">
            <v>0</v>
          </cell>
          <cell r="Q4032">
            <v>0.22933966529174399</v>
          </cell>
          <cell r="R4032">
            <v>0.22933966529174399</v>
          </cell>
          <cell r="S4032" t="e">
            <v>#VALUE!</v>
          </cell>
          <cell r="T4032" t="e">
            <v>#VALUE!</v>
          </cell>
        </row>
        <row r="4033">
          <cell r="A4033" t="str">
            <v>MDJA0401585ZFBM</v>
          </cell>
          <cell r="B4033" t="str">
            <v>MKP000631005529</v>
          </cell>
          <cell r="C4033" t="str">
            <v/>
          </cell>
          <cell r="D4033" t="str">
            <v>Conjunto Sala de Jantar Mesa Tampo de Vidro 4 Cadeiras Rustic/Bege Marrom Espanha Madesa</v>
          </cell>
          <cell r="E4033" t="str">
            <v>ESPANHA</v>
          </cell>
          <cell r="F4033" t="str">
            <v>SALA DE JANTAR</v>
          </cell>
          <cell r="G4033" t="str">
            <v>4290X</v>
          </cell>
          <cell r="H4033">
            <v>1099.99</v>
          </cell>
          <cell r="I4033">
            <v>999.99</v>
          </cell>
          <cell r="J4033">
            <v>810.84010000000001</v>
          </cell>
          <cell r="K4033">
            <v>0</v>
          </cell>
          <cell r="L4033">
            <v>810.84010000000001</v>
          </cell>
          <cell r="M4033">
            <v>0</v>
          </cell>
          <cell r="N4033">
            <v>999.99</v>
          </cell>
          <cell r="O4033" t="str">
            <v/>
          </cell>
          <cell r="P4033">
            <v>0</v>
          </cell>
          <cell r="Q4033">
            <v>0.233276449943707</v>
          </cell>
          <cell r="R4033">
            <v>0.233276449943707</v>
          </cell>
          <cell r="S4033" t="e">
            <v>#VALUE!</v>
          </cell>
          <cell r="T4033" t="e">
            <v>#VALUE!</v>
          </cell>
        </row>
        <row r="4034">
          <cell r="A4034" t="str">
            <v>MDJA0401897KPT</v>
          </cell>
          <cell r="B4034" t="str">
            <v>MKP000631006094</v>
          </cell>
          <cell r="C4034" t="str">
            <v/>
          </cell>
          <cell r="D4034" t="str">
            <v>Conjunto Sala de Jantar Mesa Tampo de Vidro 4 Cadeiras Rustic/Preto Suzy Madesa</v>
          </cell>
          <cell r="E4034" t="str">
            <v>SUZY</v>
          </cell>
          <cell r="F4034" t="str">
            <v>SALA DE JANTAR</v>
          </cell>
          <cell r="G4034" t="str">
            <v>4291X</v>
          </cell>
          <cell r="H4034">
            <v>869.99</v>
          </cell>
          <cell r="I4034">
            <v>769.99</v>
          </cell>
          <cell r="J4034">
            <v>617.94280000000003</v>
          </cell>
          <cell r="K4034">
            <v>0</v>
          </cell>
          <cell r="L4034">
            <v>617.94280000000003</v>
          </cell>
          <cell r="M4034">
            <v>0</v>
          </cell>
          <cell r="N4034">
            <v>769.99</v>
          </cell>
          <cell r="O4034" t="str">
            <v/>
          </cell>
          <cell r="P4034">
            <v>0</v>
          </cell>
          <cell r="Q4034">
            <v>0.24605384187662699</v>
          </cell>
          <cell r="R4034">
            <v>0.24605384187662699</v>
          </cell>
          <cell r="S4034" t="e">
            <v>#VALUE!</v>
          </cell>
          <cell r="T4034" t="e">
            <v>#VALUE!</v>
          </cell>
        </row>
        <row r="4035">
          <cell r="A4035" t="str">
            <v>GCGL3490076E</v>
          </cell>
          <cell r="B4035" t="str">
            <v>MKP000631005238</v>
          </cell>
          <cell r="C4035" t="str">
            <v/>
          </cell>
          <cell r="D4035" t="str">
            <v>Armário de Cozinha Completa de Canto 349cm Rustic/Branco Glamy Madesa 07</v>
          </cell>
          <cell r="E4035" t="str">
            <v>GLAMY</v>
          </cell>
          <cell r="F4035" t="str">
            <v>COZINHA</v>
          </cell>
          <cell r="G4035" t="str">
            <v/>
          </cell>
          <cell r="H4035">
            <v>2159.9899999999998</v>
          </cell>
          <cell r="I4035">
            <v>2159.9899999999998</v>
          </cell>
          <cell r="J4035">
            <v>1729.1106</v>
          </cell>
          <cell r="K4035">
            <v>0</v>
          </cell>
          <cell r="L4035">
            <v>1729.1106</v>
          </cell>
          <cell r="M4035">
            <v>0</v>
          </cell>
          <cell r="N4035">
            <v>2159.9899999999998</v>
          </cell>
          <cell r="O4035" t="str">
            <v/>
          </cell>
          <cell r="P4035">
            <v>0</v>
          </cell>
          <cell r="Q4035">
            <v>0.24919134727414199</v>
          </cell>
          <cell r="R4035">
            <v>0.24919134727414199</v>
          </cell>
          <cell r="S4035" t="e">
            <v>#VALUE!</v>
          </cell>
          <cell r="T4035" t="e">
            <v>#VALUE!</v>
          </cell>
        </row>
        <row r="4036">
          <cell r="A4036" t="str">
            <v>MDJA0401885ZPT</v>
          </cell>
          <cell r="B4036" t="str">
            <v>MKP000631006098</v>
          </cell>
          <cell r="C4036" t="str">
            <v/>
          </cell>
          <cell r="D4036" t="str">
            <v>Conjunto Sala de Jantar Mesa Tampo de Vidro 4 Cadeiras Rustic/Sintético Preto Kiara Madesa</v>
          </cell>
          <cell r="E4036" t="str">
            <v>KIARA</v>
          </cell>
          <cell r="F4036" t="str">
            <v>SALA DE JANTAR</v>
          </cell>
          <cell r="G4036" t="str">
            <v>4290X</v>
          </cell>
          <cell r="H4036">
            <v>869.99</v>
          </cell>
          <cell r="I4036">
            <v>769.99</v>
          </cell>
          <cell r="J4036">
            <v>617.41959999999995</v>
          </cell>
          <cell r="K4036">
            <v>0</v>
          </cell>
          <cell r="L4036">
            <v>617.41959999999995</v>
          </cell>
          <cell r="M4036">
            <v>0</v>
          </cell>
          <cell r="N4036">
            <v>769.99</v>
          </cell>
          <cell r="O4036" t="str">
            <v/>
          </cell>
          <cell r="P4036">
            <v>0</v>
          </cell>
          <cell r="Q4036">
            <v>0.24710974513928599</v>
          </cell>
          <cell r="R4036">
            <v>0.24710974513928599</v>
          </cell>
          <cell r="S4036" t="e">
            <v>#VALUE!</v>
          </cell>
          <cell r="T4036" t="e">
            <v>#VALUE!</v>
          </cell>
        </row>
        <row r="4037">
          <cell r="A4037" t="str">
            <v>MDES020023738N</v>
          </cell>
          <cell r="B4037" t="str">
            <v>MKP000631001650</v>
          </cell>
          <cell r="C4037" t="str">
            <v/>
          </cell>
          <cell r="D4037" t="str">
            <v>Rack Madesa Cancun e Painel para TV até 65 Polegadas Branco/Preto 738N</v>
          </cell>
          <cell r="E4037" t="str">
            <v>CANCUN</v>
          </cell>
          <cell r="F4037" t="str">
            <v>SALA DE ESTAR</v>
          </cell>
          <cell r="G4037" t="str">
            <v/>
          </cell>
          <cell r="H4037">
            <v>1149.99</v>
          </cell>
          <cell r="I4037">
            <v>569.99</v>
          </cell>
          <cell r="J4037">
            <v>449.15629999999999</v>
          </cell>
          <cell r="K4037">
            <v>0</v>
          </cell>
          <cell r="L4037">
            <v>449.15629999999999</v>
          </cell>
          <cell r="M4037">
            <v>0</v>
          </cell>
          <cell r="N4037">
            <v>569.99</v>
          </cell>
          <cell r="O4037" t="str">
            <v/>
          </cell>
          <cell r="P4037">
            <v>0</v>
          </cell>
          <cell r="Q4037">
            <v>0.26902372292228799</v>
          </cell>
          <cell r="R4037">
            <v>0.26902372292228799</v>
          </cell>
          <cell r="S4037" t="e">
            <v>#VALUE!</v>
          </cell>
          <cell r="T4037" t="e">
            <v>#VALUE!</v>
          </cell>
        </row>
        <row r="4038">
          <cell r="A4038" t="str">
            <v>GREM165007J1</v>
          </cell>
          <cell r="B4038" t="str">
            <v>MKP000631006064</v>
          </cell>
          <cell r="C4038" t="str">
            <v/>
          </cell>
          <cell r="D4038" t="str">
            <v>Armário de Cozinha Compacta 165cm Rustic/Cinza Emilly Madesa 07</v>
          </cell>
          <cell r="E4038" t="str">
            <v>EMILLY</v>
          </cell>
          <cell r="F4038" t="str">
            <v>COZINHA</v>
          </cell>
          <cell r="G4038" t="str">
            <v/>
          </cell>
          <cell r="H4038">
            <v>739.99</v>
          </cell>
          <cell r="I4038">
            <v>639.99</v>
          </cell>
          <cell r="J4038">
            <v>497.41059999999999</v>
          </cell>
          <cell r="K4038">
            <v>0</v>
          </cell>
          <cell r="L4038">
            <v>497.41059999999999</v>
          </cell>
          <cell r="M4038">
            <v>0</v>
          </cell>
          <cell r="N4038">
            <v>639.99</v>
          </cell>
          <cell r="O4038" t="str">
            <v/>
          </cell>
          <cell r="P4038">
            <v>0</v>
          </cell>
          <cell r="Q4038">
            <v>0.28664326815713198</v>
          </cell>
          <cell r="R4038">
            <v>0.28664326815713198</v>
          </cell>
          <cell r="S4038" t="e">
            <v>#VALUE!</v>
          </cell>
          <cell r="T4038" t="e">
            <v>#VALUE!</v>
          </cell>
        </row>
        <row r="4039">
          <cell r="A4039" t="str">
            <v>G241249BTECT</v>
          </cell>
          <cell r="B4039" t="str">
            <v>MKP000631005837</v>
          </cell>
          <cell r="C4039" t="str">
            <v/>
          </cell>
          <cell r="D4039" t="str">
            <v>Balcão de Pia Cozinha 2 Portas e 3 Gavetas (Com Tampo) Branco/Rustic Stella Madesa</v>
          </cell>
          <cell r="E4039" t="str">
            <v>STELLA</v>
          </cell>
          <cell r="F4039" t="str">
            <v>MODULAÇÃO</v>
          </cell>
          <cell r="G4039" t="str">
            <v/>
          </cell>
          <cell r="H4039">
            <v>929.99</v>
          </cell>
          <cell r="I4039">
            <v>829.99</v>
          </cell>
          <cell r="J4039">
            <v>644.04830000000004</v>
          </cell>
          <cell r="K4039">
            <v>0</v>
          </cell>
          <cell r="L4039">
            <v>644.04830000000004</v>
          </cell>
          <cell r="M4039">
            <v>0</v>
          </cell>
          <cell r="N4039">
            <v>829.99</v>
          </cell>
          <cell r="O4039" t="str">
            <v/>
          </cell>
          <cell r="P4039">
            <v>0</v>
          </cell>
          <cell r="Q4039">
            <v>0.288707694748981</v>
          </cell>
          <cell r="R4039">
            <v>0.288707694748981</v>
          </cell>
          <cell r="S4039" t="e">
            <v>#VALUE!</v>
          </cell>
          <cell r="T4039" t="e">
            <v>#VALUE!</v>
          </cell>
        </row>
        <row r="4040">
          <cell r="A4040" t="str">
            <v>G241247KAGCT</v>
          </cell>
          <cell r="B4040" t="str">
            <v>MKP000631005841</v>
          </cell>
          <cell r="C4040" t="str">
            <v/>
          </cell>
          <cell r="D4040" t="str">
            <v>Balcão de Pia Cozinha 2 Portas e 3 Gavetas (Com Tampo) Rustic/Preto Agata Madesa</v>
          </cell>
          <cell r="E4040" t="str">
            <v>ÁGATA</v>
          </cell>
          <cell r="F4040" t="str">
            <v>MODULAÇÃO</v>
          </cell>
          <cell r="G4040" t="str">
            <v/>
          </cell>
          <cell r="H4040">
            <v>949.99</v>
          </cell>
          <cell r="I4040">
            <v>849.99</v>
          </cell>
          <cell r="J4040">
            <v>633.29</v>
          </cell>
          <cell r="K4040">
            <v>0</v>
          </cell>
          <cell r="L4040">
            <v>633.29</v>
          </cell>
          <cell r="M4040">
            <v>0</v>
          </cell>
          <cell r="N4040">
            <v>849.99</v>
          </cell>
          <cell r="O4040" t="str">
            <v/>
          </cell>
          <cell r="P4040">
            <v>0</v>
          </cell>
          <cell r="Q4040">
            <v>0.34218130714206701</v>
          </cell>
          <cell r="R4040">
            <v>0.34218130714206701</v>
          </cell>
          <cell r="S4040" t="e">
            <v>#VALUE!</v>
          </cell>
          <cell r="T4040" t="e">
            <v>#VALUE!</v>
          </cell>
        </row>
        <row r="4041">
          <cell r="A4041" t="str">
            <v>G241246EAGCT</v>
          </cell>
          <cell r="B4041" t="str">
            <v>MKP000631005840</v>
          </cell>
          <cell r="C4041" t="str">
            <v/>
          </cell>
          <cell r="D4041" t="str">
            <v>Balcão de Pia Cozinha 2 Portas e 3 Gavetas (Com Tampo) Rustic/Branco Agata Madesa</v>
          </cell>
          <cell r="E4041" t="str">
            <v>ÁGATA</v>
          </cell>
          <cell r="F4041" t="str">
            <v>MODULAÇÃO</v>
          </cell>
          <cell r="G4041" t="str">
            <v/>
          </cell>
          <cell r="H4041">
            <v>949.99</v>
          </cell>
          <cell r="I4041">
            <v>849.99</v>
          </cell>
          <cell r="J4041">
            <v>633.29</v>
          </cell>
          <cell r="K4041">
            <v>0</v>
          </cell>
          <cell r="L4041">
            <v>633.29</v>
          </cell>
          <cell r="M4041">
            <v>0</v>
          </cell>
          <cell r="N4041">
            <v>849.99</v>
          </cell>
          <cell r="O4041" t="str">
            <v/>
          </cell>
          <cell r="P4041">
            <v>0</v>
          </cell>
          <cell r="Q4041">
            <v>0.34218130714206701</v>
          </cell>
          <cell r="R4041">
            <v>0.34218130714206701</v>
          </cell>
          <cell r="S4041" t="e">
            <v>#VALUE!</v>
          </cell>
          <cell r="T4041" t="e">
            <v>#VALUE!</v>
          </cell>
        </row>
        <row r="4042">
          <cell r="A4042" t="str">
            <v>G241537KAGCTFF</v>
          </cell>
          <cell r="B4042" t="str">
            <v>MKP000631005613</v>
          </cell>
          <cell r="C4042" t="str">
            <v/>
          </cell>
          <cell r="D4042" t="str">
            <v>Balcão Gabinete de Pia Madesa Agata 150 cm 2 Gavetas 2 Portas (Com Tampo) Rustic/Preto</v>
          </cell>
          <cell r="E4042" t="str">
            <v>ÁGATA</v>
          </cell>
          <cell r="F4042" t="str">
            <v>MODULAÇÃO</v>
          </cell>
          <cell r="G4042" t="str">
            <v/>
          </cell>
          <cell r="H4042">
            <v>859.99</v>
          </cell>
          <cell r="I4042">
            <v>779.99</v>
          </cell>
          <cell r="J4042">
            <v>581.08989999999994</v>
          </cell>
          <cell r="K4042">
            <v>0</v>
          </cell>
          <cell r="L4042">
            <v>581.08989999999994</v>
          </cell>
          <cell r="M4042">
            <v>0</v>
          </cell>
          <cell r="N4042">
            <v>779.99</v>
          </cell>
          <cell r="O4042" t="str">
            <v/>
          </cell>
          <cell r="P4042">
            <v>0</v>
          </cell>
          <cell r="Q4042">
            <v>0.342288000531415</v>
          </cell>
          <cell r="R4042">
            <v>0.342288000531415</v>
          </cell>
          <cell r="S4042" t="e">
            <v>#VALUE!</v>
          </cell>
          <cell r="T4042" t="e">
            <v>#VALUE!</v>
          </cell>
        </row>
        <row r="4043">
          <cell r="A4043" t="str">
            <v>G241237KAGCT</v>
          </cell>
          <cell r="B4043" t="str">
            <v>MKP000631005819</v>
          </cell>
          <cell r="C4043" t="str">
            <v/>
          </cell>
          <cell r="D4043" t="str">
            <v>Balcão de Pia Cozinha 1 Porta e 2 Gavetas (Com Tampo) Rustic/Preto Agata Madesa</v>
          </cell>
          <cell r="E4043" t="str">
            <v>ÁGATA</v>
          </cell>
          <cell r="F4043" t="str">
            <v>MODULAÇÃO</v>
          </cell>
          <cell r="G4043" t="str">
            <v/>
          </cell>
          <cell r="H4043">
            <v>799.99</v>
          </cell>
          <cell r="I4043">
            <v>699.99</v>
          </cell>
          <cell r="J4043">
            <v>516.06050000000005</v>
          </cell>
          <cell r="K4043">
            <v>0</v>
          </cell>
          <cell r="L4043">
            <v>516.06050000000005</v>
          </cell>
          <cell r="M4043">
            <v>0</v>
          </cell>
          <cell r="N4043">
            <v>699.99</v>
          </cell>
          <cell r="O4043" t="str">
            <v/>
          </cell>
          <cell r="P4043">
            <v>0</v>
          </cell>
          <cell r="Q4043">
            <v>0.35641073091236403</v>
          </cell>
          <cell r="R4043">
            <v>0.35641073091236403</v>
          </cell>
          <cell r="S4043" t="e">
            <v>#VALUE!</v>
          </cell>
          <cell r="T4043" t="e">
            <v>#VALUE!</v>
          </cell>
        </row>
        <row r="4044">
          <cell r="A4044" t="str">
            <v>G24153F9AGCT</v>
          </cell>
          <cell r="B4044" t="str">
            <v>MKP000631004636</v>
          </cell>
          <cell r="C4044" t="str">
            <v/>
          </cell>
          <cell r="D4044" t="str">
            <v>Balcão de Pia Madesa Agata 150 cm 2 Portas e 2 Gavetas (Com Tampo) Rustic/Cinza</v>
          </cell>
          <cell r="E4044" t="str">
            <v>ÁGATA</v>
          </cell>
          <cell r="F4044" t="str">
            <v>MODULAÇÃO</v>
          </cell>
          <cell r="G4044" t="str">
            <v/>
          </cell>
          <cell r="H4044">
            <v>1319.99</v>
          </cell>
          <cell r="I4044">
            <v>719.99</v>
          </cell>
          <cell r="J4044">
            <v>527.94150000000002</v>
          </cell>
          <cell r="K4044">
            <v>0</v>
          </cell>
          <cell r="L4044">
            <v>527.94150000000002</v>
          </cell>
          <cell r="M4044">
            <v>0</v>
          </cell>
          <cell r="N4044">
            <v>719.99</v>
          </cell>
          <cell r="O4044" t="str">
            <v/>
          </cell>
          <cell r="P4044">
            <v>0</v>
          </cell>
          <cell r="Q4044">
            <v>0.36376852359589101</v>
          </cell>
          <cell r="R4044">
            <v>0.36376852359589101</v>
          </cell>
          <cell r="S4044" t="e">
            <v>#VALUE!</v>
          </cell>
          <cell r="T4044" t="e">
            <v>#VALUE!</v>
          </cell>
        </row>
        <row r="4045">
          <cell r="A4045" t="str">
            <v>GREM1650037K</v>
          </cell>
          <cell r="B4045" t="str">
            <v>MKP000631005864</v>
          </cell>
          <cell r="C4045" t="str">
            <v/>
          </cell>
          <cell r="D4045" t="str">
            <v>Armário de Cozinha Compacta 165cm Rustic/Preto Emilly Madesa 03</v>
          </cell>
          <cell r="E4045" t="str">
            <v>EMILLY</v>
          </cell>
          <cell r="F4045" t="str">
            <v>COZINHA</v>
          </cell>
          <cell r="G4045" t="str">
            <v/>
          </cell>
          <cell r="H4045">
            <v>799.99</v>
          </cell>
          <cell r="I4045">
            <v>799.99</v>
          </cell>
          <cell r="J4045">
            <v>573.73239999999998</v>
          </cell>
          <cell r="K4045">
            <v>0</v>
          </cell>
          <cell r="L4045">
            <v>573.73239999999998</v>
          </cell>
          <cell r="M4045">
            <v>0</v>
          </cell>
          <cell r="N4045">
            <v>799.99</v>
          </cell>
          <cell r="O4045" t="str">
            <v/>
          </cell>
          <cell r="P4045">
            <v>0</v>
          </cell>
          <cell r="Q4045">
            <v>0.39436085533952703</v>
          </cell>
          <cell r="R4045">
            <v>0.39436085533952703</v>
          </cell>
          <cell r="S4045" t="e">
            <v>#VALUE!</v>
          </cell>
          <cell r="T4045" t="e">
            <v>#VALUE!</v>
          </cell>
        </row>
        <row r="4046">
          <cell r="A4046" t="str">
            <v>GCSM13800109</v>
          </cell>
          <cell r="B4046" t="str">
            <v>MKP000631000710</v>
          </cell>
          <cell r="C4046" t="str">
            <v/>
          </cell>
          <cell r="D4046" t="str">
            <v>Kit Canto 100% MDF 2 Portas e Nicho Branco Smart Madesa</v>
          </cell>
          <cell r="E4046" t="str">
            <v>SMART</v>
          </cell>
          <cell r="F4046" t="str">
            <v>MODULAÇÃO</v>
          </cell>
          <cell r="G4046" t="str">
            <v/>
          </cell>
          <cell r="H4046">
            <v>919.99</v>
          </cell>
          <cell r="I4046">
            <v>729.99</v>
          </cell>
          <cell r="J4046">
            <v>449.66860000000003</v>
          </cell>
          <cell r="K4046">
            <v>0</v>
          </cell>
          <cell r="L4046">
            <v>449.66860000000003</v>
          </cell>
          <cell r="M4046">
            <v>0</v>
          </cell>
          <cell r="N4046">
            <v>729.99</v>
          </cell>
          <cell r="O4046" t="str">
            <v/>
          </cell>
          <cell r="P4046">
            <v>0</v>
          </cell>
          <cell r="Q4046">
            <v>0.62339554062702995</v>
          </cell>
          <cell r="R4046">
            <v>0.62339554062702995</v>
          </cell>
          <cell r="S4046" t="e">
            <v>#VALUE!</v>
          </cell>
          <cell r="T4046" t="e">
            <v>#VALUE!</v>
          </cell>
        </row>
        <row r="4047">
          <cell r="A4047" t="str">
            <v>G253505LAG</v>
          </cell>
          <cell r="B4047" t="str">
            <v>MKP000631005336</v>
          </cell>
          <cell r="C4047" t="str">
            <v/>
          </cell>
          <cell r="D4047" t="str">
            <v>Armário Aéreo 35 cm 1 Porta Branco/Crema Agata Madesa</v>
          </cell>
          <cell r="E4047" t="str">
            <v>ÁGATA</v>
          </cell>
          <cell r="F4047" t="str">
            <v>MODULAÇÃO</v>
          </cell>
          <cell r="G4047" t="str">
            <v/>
          </cell>
          <cell r="H4047">
            <v>419.99</v>
          </cell>
          <cell r="I4047">
            <v>319.99</v>
          </cell>
          <cell r="J4047">
            <v>162.33369999999999</v>
          </cell>
          <cell r="K4047">
            <v>0</v>
          </cell>
          <cell r="L4047">
            <v>162.33369999999999</v>
          </cell>
          <cell r="M4047">
            <v>0</v>
          </cell>
          <cell r="N4047">
            <v>319.99</v>
          </cell>
          <cell r="O4047" t="str">
            <v/>
          </cell>
          <cell r="P4047">
            <v>0</v>
          </cell>
          <cell r="Q4047">
            <v>0.97118651272040202</v>
          </cell>
          <cell r="R4047">
            <v>0.97118651272040202</v>
          </cell>
          <cell r="S4047" t="e">
            <v>#VALUE!</v>
          </cell>
          <cell r="T4047" t="e">
            <v>#VALUE!</v>
          </cell>
        </row>
        <row r="4048">
          <cell r="A4048" t="str">
            <v>G22700H8LXCT</v>
          </cell>
          <cell r="B4048" t="str">
            <v>MKP000631005182</v>
          </cell>
          <cell r="C4048" t="str">
            <v/>
          </cell>
          <cell r="D4048" t="str">
            <v>Balcão Madesa Lux 70 cm 2 Portas - Rustic/Branco Veludo (Com Tampo)</v>
          </cell>
          <cell r="E4048" t="str">
            <v>LUX</v>
          </cell>
          <cell r="F4048" t="str">
            <v>MODULAÇÃO</v>
          </cell>
          <cell r="G4048" t="str">
            <v/>
          </cell>
          <cell r="H4048">
            <v>859.99</v>
          </cell>
          <cell r="I4048">
            <v>789.99</v>
          </cell>
          <cell r="J4048">
            <v>396.0188</v>
          </cell>
          <cell r="K4048">
            <v>0</v>
          </cell>
          <cell r="L4048">
            <v>396.0188</v>
          </cell>
          <cell r="M4048">
            <v>0</v>
          </cell>
          <cell r="N4048">
            <v>789.99</v>
          </cell>
          <cell r="O4048" t="str">
            <v>LOJA</v>
          </cell>
          <cell r="P4048">
            <v>779.99</v>
          </cell>
          <cell r="Q4048">
            <v>0.99482953839565202</v>
          </cell>
          <cell r="R4048">
            <v>0.99482953839565202</v>
          </cell>
          <cell r="S4048" t="e">
            <v>#VALUE!</v>
          </cell>
          <cell r="T4048" t="e">
            <v>#VALUE!</v>
          </cell>
        </row>
        <row r="4049">
          <cell r="A4049" t="str">
            <v>GREM1650065Z</v>
          </cell>
          <cell r="B4049" t="str">
            <v>MKP000631005861</v>
          </cell>
          <cell r="C4049" t="str">
            <v/>
          </cell>
          <cell r="D4049" t="str">
            <v>Armário de Cozinha Compacta 165cm com Pia Rustic Emilly Madesa 06</v>
          </cell>
          <cell r="E4049" t="str">
            <v>EMILLY</v>
          </cell>
          <cell r="F4049" t="str">
            <v>COZINHA</v>
          </cell>
          <cell r="G4049" t="str">
            <v/>
          </cell>
          <cell r="H4049">
            <v>1099.99</v>
          </cell>
          <cell r="I4049">
            <v>1099.99</v>
          </cell>
          <cell r="J4049">
            <v>906.33500000000004</v>
          </cell>
          <cell r="K4049">
            <v>0</v>
          </cell>
          <cell r="L4049">
            <v>906.33500000000004</v>
          </cell>
          <cell r="M4049">
            <v>0</v>
          </cell>
          <cell r="N4049">
            <v>1099.99</v>
          </cell>
          <cell r="O4049" t="str">
            <v/>
          </cell>
          <cell r="P4049">
            <v>0</v>
          </cell>
          <cell r="Q4049">
            <v>0.213668235255176</v>
          </cell>
          <cell r="R4049">
            <v>0.213668235255176</v>
          </cell>
          <cell r="S4049" t="e">
            <v>#VALUE!</v>
          </cell>
          <cell r="T4049" t="e">
            <v>#VALUE!</v>
          </cell>
        </row>
        <row r="4050">
          <cell r="A4050" t="str">
            <v>G241245ZTECT</v>
          </cell>
          <cell r="B4050" t="str">
            <v>MKP000631005843</v>
          </cell>
          <cell r="C4050" t="str">
            <v/>
          </cell>
          <cell r="D4050" t="str">
            <v>Balcão de Pia Cozinha 2 Portas e 3 Gavetas (Com Tampo) Rustic Stella Madesa</v>
          </cell>
          <cell r="E4050" t="str">
            <v>STELLA</v>
          </cell>
          <cell r="F4050" t="str">
            <v>MODULAÇÃO</v>
          </cell>
          <cell r="G4050" t="str">
            <v/>
          </cell>
          <cell r="H4050">
            <v>929.99</v>
          </cell>
          <cell r="I4050">
            <v>829.99</v>
          </cell>
          <cell r="J4050">
            <v>644.04830000000004</v>
          </cell>
          <cell r="K4050">
            <v>0</v>
          </cell>
          <cell r="L4050">
            <v>644.04830000000004</v>
          </cell>
          <cell r="M4050">
            <v>0</v>
          </cell>
          <cell r="N4050">
            <v>829.99</v>
          </cell>
          <cell r="O4050" t="str">
            <v/>
          </cell>
          <cell r="P4050">
            <v>0</v>
          </cell>
          <cell r="Q4050">
            <v>0.288707694748981</v>
          </cell>
          <cell r="R4050">
            <v>0.288707694748981</v>
          </cell>
          <cell r="S4050" t="e">
            <v>#VALUE!</v>
          </cell>
          <cell r="T4050" t="e">
            <v>#VALUE!</v>
          </cell>
        </row>
        <row r="4051">
          <cell r="A4051" t="str">
            <v>G2415373GLFF</v>
          </cell>
          <cell r="B4051" t="str">
            <v>MKP000631005603</v>
          </cell>
          <cell r="C4051" t="str">
            <v/>
          </cell>
          <cell r="D4051" t="str">
            <v>Balcão Gabinete de Pia Madesa Glamy 150 cm 2 Gavetas 2 Portas (Sem Tampo e Pia) Branco/Preto</v>
          </cell>
          <cell r="E4051" t="str">
            <v>GLAMY</v>
          </cell>
          <cell r="F4051" t="str">
            <v>MODULAÇÃO</v>
          </cell>
          <cell r="G4051" t="str">
            <v/>
          </cell>
          <cell r="H4051">
            <v>689.99</v>
          </cell>
          <cell r="I4051">
            <v>629.99</v>
          </cell>
          <cell r="J4051">
            <v>489.39909999999998</v>
          </cell>
          <cell r="K4051">
            <v>0</v>
          </cell>
          <cell r="L4051">
            <v>489.39909999999998</v>
          </cell>
          <cell r="M4051">
            <v>0</v>
          </cell>
          <cell r="N4051">
            <v>629.99</v>
          </cell>
          <cell r="O4051" t="str">
            <v/>
          </cell>
          <cell r="P4051">
            <v>0</v>
          </cell>
          <cell r="Q4051">
            <v>0.28727249396249399</v>
          </cell>
          <cell r="R4051">
            <v>0.28727249396249399</v>
          </cell>
          <cell r="S4051" t="e">
            <v>#VALUE!</v>
          </cell>
          <cell r="T4051" t="e">
            <v>#VALUE!</v>
          </cell>
        </row>
        <row r="4052">
          <cell r="A4052" t="str">
            <v>GRGL2400089B</v>
          </cell>
          <cell r="B4052" t="str">
            <v>MKP000631005250</v>
          </cell>
          <cell r="C4052" t="str">
            <v/>
          </cell>
          <cell r="D4052" t="str">
            <v>Armário de Cozinha Completa 240cm Branco/Rustic Glamy Madesa 08</v>
          </cell>
          <cell r="E4052" t="str">
            <v>GLAMY</v>
          </cell>
          <cell r="F4052" t="str">
            <v>COZINHA</v>
          </cell>
          <cell r="G4052" t="str">
            <v/>
          </cell>
          <cell r="H4052">
            <v>1899.99</v>
          </cell>
          <cell r="I4052">
            <v>1799.99</v>
          </cell>
          <cell r="J4052">
            <v>1391.3414</v>
          </cell>
          <cell r="K4052">
            <v>0</v>
          </cell>
          <cell r="L4052">
            <v>1391.3414</v>
          </cell>
          <cell r="M4052">
            <v>0</v>
          </cell>
          <cell r="N4052">
            <v>1799.99</v>
          </cell>
          <cell r="O4052" t="str">
            <v/>
          </cell>
          <cell r="P4052">
            <v>0</v>
          </cell>
          <cell r="Q4052">
            <v>0.293708359429253</v>
          </cell>
          <cell r="R4052">
            <v>0.293708359429253</v>
          </cell>
          <cell r="S4052" t="e">
            <v>#VALUE!</v>
          </cell>
          <cell r="T4052" t="e">
            <v>#VALUE!</v>
          </cell>
        </row>
        <row r="4053">
          <cell r="A4053" t="str">
            <v>GRAG3100026E</v>
          </cell>
          <cell r="B4053" t="str">
            <v>MKP000631005661</v>
          </cell>
          <cell r="C4053" t="str">
            <v/>
          </cell>
          <cell r="D4053" t="str">
            <v>Armário de Cozinha Completa 310cm Rustic/Branco Agata Madesa 02</v>
          </cell>
          <cell r="E4053" t="str">
            <v>ÁGATA</v>
          </cell>
          <cell r="F4053" t="str">
            <v>COZINHA</v>
          </cell>
          <cell r="G4053" t="str">
            <v/>
          </cell>
          <cell r="H4053">
            <v>3119.99</v>
          </cell>
          <cell r="I4053">
            <v>2599.9899999999998</v>
          </cell>
          <cell r="J4053">
            <v>2000.3897999999999</v>
          </cell>
          <cell r="K4053">
            <v>0</v>
          </cell>
          <cell r="L4053">
            <v>2000.3897999999999</v>
          </cell>
          <cell r="M4053">
            <v>0</v>
          </cell>
          <cell r="N4053">
            <v>2599.9899999999998</v>
          </cell>
          <cell r="O4053" t="str">
            <v/>
          </cell>
          <cell r="P4053">
            <v>0</v>
          </cell>
          <cell r="Q4053">
            <v>0.29974168034650001</v>
          </cell>
          <cell r="R4053">
            <v>0.29974168034650001</v>
          </cell>
          <cell r="S4053" t="e">
            <v>#VALUE!</v>
          </cell>
          <cell r="T4053" t="e">
            <v>#VALUE!</v>
          </cell>
        </row>
        <row r="4054">
          <cell r="A4054" t="str">
            <v>GREM1650035Z</v>
          </cell>
          <cell r="B4054" t="str">
            <v>MKP000631005866</v>
          </cell>
          <cell r="C4054" t="str">
            <v/>
          </cell>
          <cell r="D4054" t="str">
            <v>Armário de Cozinha Compacta 165cm Rustic Emilly Madesa 03</v>
          </cell>
          <cell r="E4054" t="str">
            <v>EMILLY</v>
          </cell>
          <cell r="F4054" t="str">
            <v>COZINHA</v>
          </cell>
          <cell r="G4054" t="str">
            <v/>
          </cell>
          <cell r="H4054">
            <v>799.99</v>
          </cell>
          <cell r="I4054">
            <v>799.99</v>
          </cell>
          <cell r="J4054">
            <v>573.73239999999998</v>
          </cell>
          <cell r="K4054">
            <v>0</v>
          </cell>
          <cell r="L4054">
            <v>573.73239999999998</v>
          </cell>
          <cell r="M4054">
            <v>0</v>
          </cell>
          <cell r="N4054">
            <v>799.99</v>
          </cell>
          <cell r="O4054" t="str">
            <v/>
          </cell>
          <cell r="P4054">
            <v>0</v>
          </cell>
          <cell r="Q4054">
            <v>0.39436085533952703</v>
          </cell>
          <cell r="R4054">
            <v>0.39436085533952703</v>
          </cell>
          <cell r="S4054" t="e">
            <v>#VALUE!</v>
          </cell>
          <cell r="T4054" t="e">
            <v>#VALUE!</v>
          </cell>
        </row>
        <row r="4055">
          <cell r="A4055" t="str">
            <v>G24120F8AGCT</v>
          </cell>
          <cell r="B4055" t="str">
            <v>MKP000631005851</v>
          </cell>
          <cell r="C4055" t="str">
            <v/>
          </cell>
          <cell r="D4055" t="str">
            <v>Balcão de Pia Cozinha 2 Portas (Com Tampo) Branco/Cinza Agata Madesa</v>
          </cell>
          <cell r="E4055" t="str">
            <v>ÁGATA</v>
          </cell>
          <cell r="F4055" t="str">
            <v>MODULAÇÃO</v>
          </cell>
          <cell r="G4055" t="str">
            <v/>
          </cell>
          <cell r="H4055">
            <v>719.99</v>
          </cell>
          <cell r="I4055">
            <v>619.99</v>
          </cell>
          <cell r="J4055">
            <v>446.32229999999998</v>
          </cell>
          <cell r="K4055">
            <v>0</v>
          </cell>
          <cell r="L4055">
            <v>446.32229999999998</v>
          </cell>
          <cell r="M4055">
            <v>0</v>
          </cell>
          <cell r="N4055">
            <v>619.99</v>
          </cell>
          <cell r="O4055" t="str">
            <v/>
          </cell>
          <cell r="P4055">
            <v>0</v>
          </cell>
          <cell r="Q4055">
            <v>0.38910827444651502</v>
          </cell>
          <cell r="R4055">
            <v>0.38910827444651502</v>
          </cell>
          <cell r="S4055" t="e">
            <v>#VALUE!</v>
          </cell>
          <cell r="T4055" t="e">
            <v>#VALUE!</v>
          </cell>
        </row>
        <row r="4056">
          <cell r="A4056" t="str">
            <v>G241245LAGCT</v>
          </cell>
          <cell r="B4056" t="str">
            <v>MKP000631005834</v>
          </cell>
          <cell r="C4056" t="str">
            <v/>
          </cell>
          <cell r="D4056" t="str">
            <v>Balcão de Pia Cozinha 2 Portas e 3 Gavetas (Com Tampo) Branco/Crema Agata Madesa</v>
          </cell>
          <cell r="E4056" t="str">
            <v>ÁGATA</v>
          </cell>
          <cell r="F4056" t="str">
            <v>MODULAÇÃO</v>
          </cell>
          <cell r="G4056" t="str">
            <v/>
          </cell>
          <cell r="H4056">
            <v>999.99</v>
          </cell>
          <cell r="I4056">
            <v>899.99</v>
          </cell>
          <cell r="J4056">
            <v>633.29</v>
          </cell>
          <cell r="K4056">
            <v>0</v>
          </cell>
          <cell r="L4056">
            <v>633.29</v>
          </cell>
          <cell r="M4056">
            <v>0</v>
          </cell>
          <cell r="N4056">
            <v>899.99</v>
          </cell>
          <cell r="O4056" t="str">
            <v/>
          </cell>
          <cell r="P4056">
            <v>0</v>
          </cell>
          <cell r="Q4056">
            <v>0.421134077594783</v>
          </cell>
          <cell r="R4056">
            <v>0.421134077594783</v>
          </cell>
          <cell r="S4056" t="e">
            <v>#VALUE!</v>
          </cell>
          <cell r="T4056" t="e">
            <v>#VALUE!</v>
          </cell>
        </row>
        <row r="4057">
          <cell r="A4057" t="str">
            <v>G248026EGL</v>
          </cell>
          <cell r="B4057" t="str">
            <v>MKP000631000852</v>
          </cell>
          <cell r="C4057" t="str">
            <v/>
          </cell>
          <cell r="D4057" t="str">
            <v>Balcão 80 cm 2 Gavetas Rustic/Branco Glamy Madesa</v>
          </cell>
          <cell r="E4057" t="str">
            <v>GLAMY</v>
          </cell>
          <cell r="F4057" t="str">
            <v>MODULAÇÃO</v>
          </cell>
          <cell r="G4057" t="str">
            <v/>
          </cell>
          <cell r="H4057">
            <v>699.99</v>
          </cell>
          <cell r="I4057">
            <v>599.99</v>
          </cell>
          <cell r="J4057">
            <v>392.3673</v>
          </cell>
          <cell r="K4057">
            <v>0</v>
          </cell>
          <cell r="L4057">
            <v>392.3673</v>
          </cell>
          <cell r="M4057">
            <v>0</v>
          </cell>
          <cell r="N4057">
            <v>599.99</v>
          </cell>
          <cell r="O4057" t="str">
            <v/>
          </cell>
          <cell r="P4057">
            <v>0</v>
          </cell>
          <cell r="Q4057">
            <v>0.52915393306221004</v>
          </cell>
          <cell r="R4057">
            <v>0.52915393306221004</v>
          </cell>
          <cell r="S4057" t="e">
            <v>#VALUE!</v>
          </cell>
          <cell r="T4057" t="e">
            <v>#VALUE!</v>
          </cell>
        </row>
        <row r="4058">
          <cell r="A4058" t="str">
            <v>G243506E</v>
          </cell>
          <cell r="B4058" t="str">
            <v>MKP000631005741</v>
          </cell>
          <cell r="C4058" t="str">
            <v/>
          </cell>
          <cell r="D4058" t="str">
            <v>Balcão 100% MDF 35 cm 1 Porta Branco/Rustic Acordes Madesa</v>
          </cell>
          <cell r="E4058" t="str">
            <v>ACORDES</v>
          </cell>
          <cell r="F4058" t="str">
            <v>MODULAÇÃO</v>
          </cell>
          <cell r="G4058" t="str">
            <v/>
          </cell>
          <cell r="H4058">
            <v>459.99</v>
          </cell>
          <cell r="I4058">
            <v>359.99</v>
          </cell>
          <cell r="J4058">
            <v>235.29830000000001</v>
          </cell>
          <cell r="K4058">
            <v>0</v>
          </cell>
          <cell r="L4058">
            <v>235.29830000000001</v>
          </cell>
          <cell r="M4058">
            <v>0</v>
          </cell>
          <cell r="N4058">
            <v>359.99</v>
          </cell>
          <cell r="O4058" t="str">
            <v/>
          </cell>
          <cell r="P4058">
            <v>0</v>
          </cell>
          <cell r="Q4058">
            <v>0.52993030548882003</v>
          </cell>
          <cell r="R4058">
            <v>0.52993030548882003</v>
          </cell>
          <cell r="S4058" t="e">
            <v>#VALUE!</v>
          </cell>
          <cell r="T4058" t="e">
            <v>#VALUE!</v>
          </cell>
        </row>
        <row r="4059">
          <cell r="A4059" t="str">
            <v>G276013B</v>
          </cell>
          <cell r="B4059" t="str">
            <v>MKP000631005650</v>
          </cell>
          <cell r="C4059" t="str">
            <v/>
          </cell>
          <cell r="D4059" t="str">
            <v>Kit 2 Prateleiras Suspensas para Cozinha Madesa 60 cm com Mão Francesa Cinza</v>
          </cell>
          <cell r="E4059" t="str">
            <v>PR</v>
          </cell>
          <cell r="F4059" t="str">
            <v>MODULAÇÃO</v>
          </cell>
          <cell r="G4059" t="str">
            <v/>
          </cell>
          <cell r="H4059">
            <v>399.99</v>
          </cell>
          <cell r="I4059">
            <v>189.99</v>
          </cell>
          <cell r="J4059">
            <v>118.6247</v>
          </cell>
          <cell r="K4059">
            <v>0</v>
          </cell>
          <cell r="L4059">
            <v>118.6247</v>
          </cell>
          <cell r="M4059">
            <v>0</v>
          </cell>
          <cell r="N4059">
            <v>189.99</v>
          </cell>
          <cell r="O4059" t="str">
            <v/>
          </cell>
          <cell r="P4059">
            <v>0</v>
          </cell>
          <cell r="Q4059">
            <v>0.60160573641071402</v>
          </cell>
          <cell r="R4059">
            <v>0.60160573641071402</v>
          </cell>
          <cell r="S4059" t="e">
            <v>#VALUE!</v>
          </cell>
          <cell r="T4059" t="e">
            <v>#VALUE!</v>
          </cell>
        </row>
        <row r="4060">
          <cell r="A4060" t="str">
            <v>G2535073GL</v>
          </cell>
          <cell r="B4060" t="str">
            <v>MKP000631003440</v>
          </cell>
          <cell r="C4060" t="str">
            <v/>
          </cell>
          <cell r="D4060" t="str">
            <v>Armário Aéreo Madesa Glamy 35 cm 1 Porta Branco/Preto</v>
          </cell>
          <cell r="E4060" t="str">
            <v>GLAMY</v>
          </cell>
          <cell r="F4060" t="str">
            <v>MODULAÇÃO</v>
          </cell>
          <cell r="G4060" t="str">
            <v/>
          </cell>
          <cell r="H4060">
            <v>449.99</v>
          </cell>
          <cell r="I4060">
            <v>279.99</v>
          </cell>
          <cell r="J4060">
            <v>164.9606</v>
          </cell>
          <cell r="K4060">
            <v>0</v>
          </cell>
          <cell r="L4060">
            <v>164.9606</v>
          </cell>
          <cell r="M4060">
            <v>0</v>
          </cell>
          <cell r="N4060">
            <v>279.99</v>
          </cell>
          <cell r="O4060" t="str">
            <v/>
          </cell>
          <cell r="P4060">
            <v>0</v>
          </cell>
          <cell r="Q4060">
            <v>0.69731438901167897</v>
          </cell>
          <cell r="R4060">
            <v>0.69731438901167897</v>
          </cell>
          <cell r="S4060" t="e">
            <v>#VALUE!</v>
          </cell>
          <cell r="T4060" t="e">
            <v>#VALUE!</v>
          </cell>
        </row>
        <row r="4061">
          <cell r="A4061" t="str">
            <v>G248025LAG</v>
          </cell>
          <cell r="B4061" t="str">
            <v>MKP000631005388</v>
          </cell>
          <cell r="C4061" t="str">
            <v/>
          </cell>
          <cell r="D4061" t="str">
            <v>Balcão 80 cm 2 Gavetas Branco/Crema Agata Madesa</v>
          </cell>
          <cell r="E4061" t="str">
            <v>ÁGATA</v>
          </cell>
          <cell r="F4061" t="str">
            <v>MODULAÇÃO</v>
          </cell>
          <cell r="G4061" t="str">
            <v/>
          </cell>
          <cell r="H4061">
            <v>729.99</v>
          </cell>
          <cell r="I4061">
            <v>629.99</v>
          </cell>
          <cell r="J4061">
            <v>369.84789999999998</v>
          </cell>
          <cell r="K4061">
            <v>0</v>
          </cell>
          <cell r="L4061">
            <v>369.84789999999998</v>
          </cell>
          <cell r="M4061">
            <v>0</v>
          </cell>
          <cell r="N4061">
            <v>629.99</v>
          </cell>
          <cell r="O4061" t="str">
            <v/>
          </cell>
          <cell r="P4061">
            <v>0</v>
          </cell>
          <cell r="Q4061">
            <v>0.70337590128266203</v>
          </cell>
          <cell r="R4061">
            <v>0.70337590128266203</v>
          </cell>
          <cell r="S4061" t="e">
            <v>#VALUE!</v>
          </cell>
          <cell r="T4061" t="e">
            <v>#VALUE!</v>
          </cell>
        </row>
        <row r="4062">
          <cell r="A4062" t="str">
            <v>G25121H8LX</v>
          </cell>
          <cell r="B4062" t="str">
            <v>MKP000631004629</v>
          </cell>
          <cell r="C4062" t="str">
            <v/>
          </cell>
          <cell r="D4062" t="str">
            <v>Armário Aéreo Madesa Lux 120 cm 2 Portas Rustic/Branco Veludo</v>
          </cell>
          <cell r="E4062" t="str">
            <v>LUX</v>
          </cell>
          <cell r="F4062" t="str">
            <v>MODULAÇÃO</v>
          </cell>
          <cell r="G4062" t="str">
            <v/>
          </cell>
          <cell r="H4062">
            <v>1119.99</v>
          </cell>
          <cell r="I4062">
            <v>619.99</v>
          </cell>
          <cell r="J4062">
            <v>348.4948</v>
          </cell>
          <cell r="K4062">
            <v>0</v>
          </cell>
          <cell r="L4062">
            <v>348.4948</v>
          </cell>
          <cell r="M4062">
            <v>0</v>
          </cell>
          <cell r="N4062">
            <v>619.99</v>
          </cell>
          <cell r="O4062" t="str">
            <v>LOJA</v>
          </cell>
          <cell r="P4062">
            <v>599.99</v>
          </cell>
          <cell r="Q4062">
            <v>0.77905093562371597</v>
          </cell>
          <cell r="R4062">
            <v>0.77905093562371597</v>
          </cell>
          <cell r="S4062" t="e">
            <v>#VALUE!</v>
          </cell>
          <cell r="T4062" t="e">
            <v>#VALUE!</v>
          </cell>
        </row>
        <row r="4063">
          <cell r="A4063" t="str">
            <v>G25121H7LX</v>
          </cell>
          <cell r="B4063" t="str">
            <v>MKP000631004442</v>
          </cell>
          <cell r="C4063" t="str">
            <v/>
          </cell>
          <cell r="D4063" t="str">
            <v>Armário Aéreo Madesa Lux 120 cm 2 Portas Branco/Branco Veludo</v>
          </cell>
          <cell r="E4063" t="str">
            <v>LUX</v>
          </cell>
          <cell r="F4063" t="str">
            <v>MODULAÇÃO</v>
          </cell>
          <cell r="G4063" t="str">
            <v/>
          </cell>
          <cell r="H4063">
            <v>1119.99</v>
          </cell>
          <cell r="I4063">
            <v>619.99</v>
          </cell>
          <cell r="J4063">
            <v>348.4948</v>
          </cell>
          <cell r="K4063">
            <v>0</v>
          </cell>
          <cell r="L4063">
            <v>348.4948</v>
          </cell>
          <cell r="M4063">
            <v>0</v>
          </cell>
          <cell r="N4063">
            <v>619.99</v>
          </cell>
          <cell r="O4063" t="str">
            <v>LOJA</v>
          </cell>
          <cell r="P4063">
            <v>599.99</v>
          </cell>
          <cell r="Q4063">
            <v>0.77905093562371597</v>
          </cell>
          <cell r="R4063">
            <v>0.77905093562371597</v>
          </cell>
          <cell r="S4063" t="e">
            <v>#VALUE!</v>
          </cell>
          <cell r="T4063" t="e">
            <v>#VALUE!</v>
          </cell>
        </row>
        <row r="4064">
          <cell r="A4064" t="str">
            <v>G243505LAG</v>
          </cell>
          <cell r="B4064" t="str">
            <v>MKP000631005396</v>
          </cell>
          <cell r="C4064" t="str">
            <v/>
          </cell>
          <cell r="D4064" t="str">
            <v>Balcão 35 cm 1 Porta Branco/Crema Agata Madesa</v>
          </cell>
          <cell r="E4064" t="str">
            <v>ÁGATA</v>
          </cell>
          <cell r="F4064" t="str">
            <v>MODULAÇÃO</v>
          </cell>
          <cell r="G4064" t="str">
            <v/>
          </cell>
          <cell r="H4064">
            <v>489.99</v>
          </cell>
          <cell r="I4064">
            <v>389.99</v>
          </cell>
          <cell r="J4064">
            <v>214.44659999999999</v>
          </cell>
          <cell r="K4064">
            <v>0</v>
          </cell>
          <cell r="L4064">
            <v>214.44659999999999</v>
          </cell>
          <cell r="M4064">
            <v>0</v>
          </cell>
          <cell r="N4064">
            <v>389.99</v>
          </cell>
          <cell r="O4064" t="str">
            <v/>
          </cell>
          <cell r="P4064">
            <v>0</v>
          </cell>
          <cell r="Q4064">
            <v>0.81858793750985104</v>
          </cell>
          <cell r="R4064">
            <v>0.81858793750985104</v>
          </cell>
          <cell r="S4064" t="e">
            <v>#VALUE!</v>
          </cell>
          <cell r="T4064" t="e">
            <v>#VALUE!</v>
          </cell>
        </row>
        <row r="4065">
          <cell r="A4065" t="str">
            <v>G257025LAG</v>
          </cell>
          <cell r="B4065" t="str">
            <v>MKP000631005414</v>
          </cell>
          <cell r="C4065" t="str">
            <v/>
          </cell>
          <cell r="D4065" t="str">
            <v>Armário Aéreo 70 cm 1 Porta Basculante Branco/Crema Agata Madesa</v>
          </cell>
          <cell r="E4065" t="str">
            <v>ÁGATA</v>
          </cell>
          <cell r="F4065" t="str">
            <v>MODULAÇÃO</v>
          </cell>
          <cell r="G4065" t="str">
            <v/>
          </cell>
          <cell r="H4065">
            <v>389.99</v>
          </cell>
          <cell r="I4065">
            <v>289.99</v>
          </cell>
          <cell r="J4065">
            <v>156.62209999999999</v>
          </cell>
          <cell r="K4065">
            <v>0</v>
          </cell>
          <cell r="L4065">
            <v>156.62209999999999</v>
          </cell>
          <cell r="M4065">
            <v>0</v>
          </cell>
          <cell r="N4065">
            <v>289.99</v>
          </cell>
          <cell r="O4065" t="str">
            <v/>
          </cell>
          <cell r="P4065">
            <v>0</v>
          </cell>
          <cell r="Q4065">
            <v>0.85152670025494503</v>
          </cell>
          <cell r="R4065">
            <v>0.85152670025494503</v>
          </cell>
          <cell r="S4065" t="e">
            <v>#VALUE!</v>
          </cell>
          <cell r="T4065" t="e">
            <v>#VALUE!</v>
          </cell>
        </row>
        <row r="4066">
          <cell r="A4066" t="str">
            <v>G25700H8LX</v>
          </cell>
          <cell r="B4066" t="str">
            <v>MKP000631005449</v>
          </cell>
          <cell r="C4066" t="str">
            <v/>
          </cell>
          <cell r="D4066" t="str">
            <v>Armário Aéreo 70 cm 2 Portas Rustic/Branco Veludo Lux Madesa</v>
          </cell>
          <cell r="E4066" t="str">
            <v>LUX</v>
          </cell>
          <cell r="F4066" t="str">
            <v>MODULAÇÃO</v>
          </cell>
          <cell r="G4066" t="str">
            <v/>
          </cell>
          <cell r="H4066">
            <v>649.99</v>
          </cell>
          <cell r="I4066">
            <v>519.99</v>
          </cell>
          <cell r="J4066">
            <v>267.9547</v>
          </cell>
          <cell r="K4066">
            <v>0</v>
          </cell>
          <cell r="L4066">
            <v>267.9547</v>
          </cell>
          <cell r="M4066">
            <v>0</v>
          </cell>
          <cell r="N4066">
            <v>519.99</v>
          </cell>
          <cell r="O4066" t="str">
            <v>LOJA</v>
          </cell>
          <cell r="P4066">
            <v>499.99</v>
          </cell>
          <cell r="Q4066">
            <v>0.94058921153463604</v>
          </cell>
          <cell r="R4066">
            <v>0.94058921153463604</v>
          </cell>
          <cell r="S4066" t="e">
            <v>#VALUE!</v>
          </cell>
          <cell r="T4066" t="e">
            <v>#VALUE!</v>
          </cell>
        </row>
        <row r="4067">
          <cell r="A4067" t="str">
            <v>G256005LAG</v>
          </cell>
          <cell r="B4067" t="str">
            <v>MKP000631005477</v>
          </cell>
          <cell r="C4067" t="str">
            <v/>
          </cell>
          <cell r="D4067" t="str">
            <v>Armário Aéreo 60 cm 1 Porta Branco/Crema Agata Madesa</v>
          </cell>
          <cell r="E4067" t="str">
            <v>ÁGATA</v>
          </cell>
          <cell r="F4067" t="str">
            <v>MODULAÇÃO</v>
          </cell>
          <cell r="G4067" t="str">
            <v/>
          </cell>
          <cell r="H4067">
            <v>459.99</v>
          </cell>
          <cell r="I4067">
            <v>359.99</v>
          </cell>
          <cell r="J4067">
            <v>183.3271</v>
          </cell>
          <cell r="K4067">
            <v>0</v>
          </cell>
          <cell r="L4067">
            <v>183.3271</v>
          </cell>
          <cell r="M4067">
            <v>0</v>
          </cell>
          <cell r="N4067">
            <v>359.99</v>
          </cell>
          <cell r="O4067" t="str">
            <v/>
          </cell>
          <cell r="P4067">
            <v>0</v>
          </cell>
          <cell r="Q4067">
            <v>0.96364858223361405</v>
          </cell>
          <cell r="R4067">
            <v>0.96364858223361405</v>
          </cell>
          <cell r="S4067" t="e">
            <v>#VALUE!</v>
          </cell>
          <cell r="T4067" t="e">
            <v>#VALUE!</v>
          </cell>
        </row>
        <row r="4068">
          <cell r="A4068" t="str">
            <v>G22350H7LXCT</v>
          </cell>
          <cell r="B4068" t="str">
            <v>MKP000631005249</v>
          </cell>
          <cell r="C4068" t="str">
            <v/>
          </cell>
          <cell r="D4068" t="str">
            <v>Balcão 35 cm 1 Porta Branco/Branco Veludo Lux Madesa</v>
          </cell>
          <cell r="E4068" t="str">
            <v>LUX</v>
          </cell>
          <cell r="F4068" t="str">
            <v>MODULAÇÃO</v>
          </cell>
          <cell r="G4068" t="str">
            <v/>
          </cell>
          <cell r="H4068">
            <v>639.99</v>
          </cell>
          <cell r="I4068">
            <v>559.99</v>
          </cell>
          <cell r="J4068">
            <v>279.24709999999999</v>
          </cell>
          <cell r="K4068">
            <v>0</v>
          </cell>
          <cell r="L4068">
            <v>279.24709999999999</v>
          </cell>
          <cell r="M4068">
            <v>0</v>
          </cell>
          <cell r="N4068">
            <v>559.99</v>
          </cell>
          <cell r="O4068" t="str">
            <v>LOJA</v>
          </cell>
          <cell r="P4068">
            <v>549.99</v>
          </cell>
          <cell r="Q4068">
            <v>1.0053565462273399</v>
          </cell>
          <cell r="R4068">
            <v>1.0053565462273399</v>
          </cell>
          <cell r="S4068" t="e">
            <v>#VALUE!</v>
          </cell>
          <cell r="T4068" t="e">
            <v>#VALUE!</v>
          </cell>
        </row>
        <row r="4069">
          <cell r="A4069" t="str">
            <v>53646E2</v>
          </cell>
          <cell r="B4069" t="str">
            <v>MKP000631003134</v>
          </cell>
          <cell r="C4069" t="str">
            <v/>
          </cell>
          <cell r="D4069" t="str">
            <v>Mesa de Jantar Madesa Retangular Tampo de Madeira 5364 Rustic/Branco</v>
          </cell>
          <cell r="E4069">
            <v>5364</v>
          </cell>
          <cell r="F4069" t="str">
            <v>SALA DE JANTAR</v>
          </cell>
          <cell r="G4069" t="str">
            <v/>
          </cell>
          <cell r="H4069">
            <v>989.99</v>
          </cell>
          <cell r="I4069">
            <v>739.99</v>
          </cell>
          <cell r="J4069">
            <v>312.92809999999997</v>
          </cell>
          <cell r="K4069">
            <v>0</v>
          </cell>
          <cell r="L4069">
            <v>312.92809999999997</v>
          </cell>
          <cell r="M4069">
            <v>0</v>
          </cell>
          <cell r="N4069">
            <v>739.99</v>
          </cell>
          <cell r="O4069" t="str">
            <v/>
          </cell>
          <cell r="P4069">
            <v>0</v>
          </cell>
          <cell r="Q4069">
            <v>1.36472851111805</v>
          </cell>
          <cell r="R4069">
            <v>1.36472851111805</v>
          </cell>
          <cell r="S4069" t="e">
            <v>#VALUE!</v>
          </cell>
          <cell r="T4069" t="e">
            <v>#VALUE!</v>
          </cell>
        </row>
        <row r="4070">
          <cell r="A4070" t="str">
            <v>GCGL3490037K</v>
          </cell>
          <cell r="B4070" t="str">
            <v>MKP000631004491</v>
          </cell>
          <cell r="C4070" t="str">
            <v/>
          </cell>
          <cell r="D4070" t="str">
            <v>Armário de Cozinha Completa de Canto 349cm Rustic Preto Glamy Madesa 03</v>
          </cell>
          <cell r="E4070" t="str">
            <v>GLAMY</v>
          </cell>
          <cell r="F4070" t="str">
            <v>COZINHA</v>
          </cell>
          <cell r="G4070" t="str">
            <v/>
          </cell>
          <cell r="H4070">
            <v>2569.9899999999998</v>
          </cell>
          <cell r="I4070">
            <v>2469.9899999999998</v>
          </cell>
          <cell r="J4070">
            <v>2062.3018000000002</v>
          </cell>
          <cell r="K4070">
            <v>0</v>
          </cell>
          <cell r="L4070">
            <v>2062.3018000000002</v>
          </cell>
          <cell r="M4070">
            <v>0</v>
          </cell>
          <cell r="N4070">
            <v>2469.9899999999998</v>
          </cell>
          <cell r="O4070" t="str">
            <v/>
          </cell>
          <cell r="P4070">
            <v>0</v>
          </cell>
          <cell r="Q4070">
            <v>0.19768600308645401</v>
          </cell>
          <cell r="R4070">
            <v>0.19768600308645401</v>
          </cell>
          <cell r="S4070" t="e">
            <v>#VALUE!</v>
          </cell>
          <cell r="T4070" t="e">
            <v>#VALUE!</v>
          </cell>
        </row>
        <row r="4071">
          <cell r="A4071" t="str">
            <v>G2235073LXCT</v>
          </cell>
          <cell r="B4071" t="str">
            <v>MKP000631005105</v>
          </cell>
          <cell r="C4071" t="str">
            <v/>
          </cell>
          <cell r="D4071" t="str">
            <v>Balcão 35 cm 1 Porta Branco/Preto Lux Madesa</v>
          </cell>
          <cell r="E4071" t="str">
            <v>LUX</v>
          </cell>
          <cell r="F4071" t="str">
            <v>MODULAÇÃO</v>
          </cell>
          <cell r="G4071" t="str">
            <v/>
          </cell>
          <cell r="H4071">
            <v>749.99</v>
          </cell>
          <cell r="I4071">
            <v>659.99</v>
          </cell>
          <cell r="J4071">
            <v>345.53</v>
          </cell>
          <cell r="K4071">
            <v>0</v>
          </cell>
          <cell r="L4071">
            <v>345.53</v>
          </cell>
          <cell r="M4071">
            <v>0</v>
          </cell>
          <cell r="N4071">
            <v>659.99</v>
          </cell>
          <cell r="O4071" t="str">
            <v>LOJA</v>
          </cell>
          <cell r="P4071">
            <v>649.99</v>
          </cell>
          <cell r="Q4071">
            <v>0.91008016670043101</v>
          </cell>
          <cell r="R4071">
            <v>0.91008016670043101</v>
          </cell>
          <cell r="S4071" t="e">
            <v>#VALUE!</v>
          </cell>
          <cell r="T4071" t="e">
            <v>#VALUE!</v>
          </cell>
        </row>
        <row r="4072">
          <cell r="A4072" t="str">
            <v>G22750H8LX</v>
          </cell>
          <cell r="B4072" t="str">
            <v>MKP000631004477</v>
          </cell>
          <cell r="C4072" t="str">
            <v/>
          </cell>
          <cell r="D4072" t="str">
            <v>Balcão de Canto Madesa Lux 1 Porta (Sem Tampo) Rustic/Branco Veludo</v>
          </cell>
          <cell r="E4072" t="str">
            <v>LUX</v>
          </cell>
          <cell r="F4072" t="str">
            <v>MODULAÇÃO</v>
          </cell>
          <cell r="G4072" t="str">
            <v/>
          </cell>
          <cell r="H4072">
            <v>939.99</v>
          </cell>
          <cell r="I4072">
            <v>629.99</v>
          </cell>
          <cell r="J4072">
            <v>294.21280000000002</v>
          </cell>
          <cell r="K4072">
            <v>0</v>
          </cell>
          <cell r="L4072">
            <v>294.21280000000002</v>
          </cell>
          <cell r="M4072">
            <v>0</v>
          </cell>
          <cell r="N4072">
            <v>629.99</v>
          </cell>
          <cell r="O4072" t="str">
            <v>LOJA</v>
          </cell>
          <cell r="P4072">
            <v>619.99</v>
          </cell>
          <cell r="Q4072">
            <v>1.14127325527645</v>
          </cell>
          <cell r="R4072">
            <v>1.14127325527645</v>
          </cell>
          <cell r="S4072" t="e">
            <v>#VALUE!</v>
          </cell>
          <cell r="T4072" t="e">
            <v>#VALUE!</v>
          </cell>
        </row>
        <row r="4073">
          <cell r="A4073" t="str">
            <v>GRGL2700155Z</v>
          </cell>
          <cell r="B4073" t="str">
            <v>MKP000631005667</v>
          </cell>
          <cell r="C4073" t="str">
            <v/>
          </cell>
          <cell r="D4073" t="str">
            <v>Armário de Cozinha Completa 270cm Rustic Glamy Madesa 15</v>
          </cell>
          <cell r="E4073" t="str">
            <v>GLAMY</v>
          </cell>
          <cell r="F4073" t="str">
            <v>COZINHA</v>
          </cell>
          <cell r="G4073" t="str">
            <v/>
          </cell>
          <cell r="H4073">
            <v>1899.99</v>
          </cell>
          <cell r="I4073">
            <v>1799.99</v>
          </cell>
          <cell r="J4073">
            <v>1486.2585999999999</v>
          </cell>
          <cell r="K4073">
            <v>0</v>
          </cell>
          <cell r="L4073">
            <v>1486.2585999999999</v>
          </cell>
          <cell r="M4073">
            <v>0</v>
          </cell>
          <cell r="N4073">
            <v>1799.99</v>
          </cell>
          <cell r="O4073" t="str">
            <v/>
          </cell>
          <cell r="P4073">
            <v>0</v>
          </cell>
          <cell r="Q4073">
            <v>0.211088030037303</v>
          </cell>
          <cell r="R4073">
            <v>0.211088030037303</v>
          </cell>
          <cell r="S4073" t="e">
            <v>#VALUE!</v>
          </cell>
          <cell r="T4073" t="e">
            <v>#VALUE!</v>
          </cell>
        </row>
        <row r="4074">
          <cell r="A4074" t="str">
            <v>GCGL32900273</v>
          </cell>
          <cell r="B4074" t="str">
            <v>MKP000631004507</v>
          </cell>
          <cell r="C4074" t="str">
            <v/>
          </cell>
          <cell r="D4074" t="str">
            <v>Armário de Cozinha Completa de Canto 329cm Branco Preto Glamy Madesa 02</v>
          </cell>
          <cell r="E4074" t="str">
            <v>GLAMY</v>
          </cell>
          <cell r="F4074" t="str">
            <v>COZINHA</v>
          </cell>
          <cell r="G4074" t="str">
            <v/>
          </cell>
          <cell r="H4074">
            <v>2299.9899999999998</v>
          </cell>
          <cell r="I4074">
            <v>2199.9899999999998</v>
          </cell>
          <cell r="J4074">
            <v>1895.2592999999999</v>
          </cell>
          <cell r="K4074">
            <v>0</v>
          </cell>
          <cell r="L4074">
            <v>1895.2592999999999</v>
          </cell>
          <cell r="M4074">
            <v>0</v>
          </cell>
          <cell r="N4074">
            <v>2199.9899999999998</v>
          </cell>
          <cell r="O4074" t="str">
            <v/>
          </cell>
          <cell r="P4074">
            <v>0</v>
          </cell>
          <cell r="Q4074">
            <v>0.160785756334239</v>
          </cell>
          <cell r="R4074">
            <v>0.160785756334239</v>
          </cell>
          <cell r="S4074" t="e">
            <v>#VALUE!</v>
          </cell>
          <cell r="T4074" t="e">
            <v>#VALUE!</v>
          </cell>
        </row>
        <row r="4075">
          <cell r="A4075" t="str">
            <v>GRTE33000509</v>
          </cell>
          <cell r="B4075" t="str">
            <v>MKP000631005956</v>
          </cell>
          <cell r="C4075" t="str">
            <v/>
          </cell>
          <cell r="D4075" t="str">
            <v>Armário de Cozinha Completa 330cm Branco Stella Madesa 05</v>
          </cell>
          <cell r="E4075" t="str">
            <v>STELLA</v>
          </cell>
          <cell r="F4075" t="str">
            <v>COZINHA</v>
          </cell>
          <cell r="G4075" t="str">
            <v/>
          </cell>
          <cell r="H4075">
            <v>2299.9899999999998</v>
          </cell>
          <cell r="I4075">
            <v>2299.9899999999998</v>
          </cell>
          <cell r="J4075">
            <v>1965.3027</v>
          </cell>
          <cell r="K4075">
            <v>0</v>
          </cell>
          <cell r="L4075">
            <v>1965.3027</v>
          </cell>
          <cell r="M4075">
            <v>0</v>
          </cell>
          <cell r="N4075">
            <v>2299.9899999999998</v>
          </cell>
          <cell r="O4075" t="str">
            <v/>
          </cell>
          <cell r="P4075">
            <v>0</v>
          </cell>
          <cell r="Q4075">
            <v>0.170298091993666</v>
          </cell>
          <cell r="R4075">
            <v>0.170298091993666</v>
          </cell>
          <cell r="S4075" t="e">
            <v>#VALUE!</v>
          </cell>
          <cell r="T4075" t="e">
            <v>#VALUE!</v>
          </cell>
        </row>
        <row r="4076">
          <cell r="A4076" t="str">
            <v>GRTE3100026E</v>
          </cell>
          <cell r="B4076" t="str">
            <v>MKP000631005957</v>
          </cell>
          <cell r="C4076" t="str">
            <v/>
          </cell>
          <cell r="D4076" t="str">
            <v>Armário de Cozinha Completa 310cm Rustic/Branco Stella Madesa 02</v>
          </cell>
          <cell r="E4076" t="str">
            <v>STELLA</v>
          </cell>
          <cell r="F4076" t="str">
            <v>COZINHA</v>
          </cell>
          <cell r="G4076" t="str">
            <v/>
          </cell>
          <cell r="H4076">
            <v>2499.9899999999998</v>
          </cell>
          <cell r="I4076">
            <v>2499.9899999999998</v>
          </cell>
          <cell r="J4076">
            <v>2134.4924999999998</v>
          </cell>
          <cell r="K4076">
            <v>0</v>
          </cell>
          <cell r="L4076">
            <v>2134.4924999999998</v>
          </cell>
          <cell r="M4076">
            <v>0</v>
          </cell>
          <cell r="N4076">
            <v>2499.9899999999998</v>
          </cell>
          <cell r="O4076" t="str">
            <v/>
          </cell>
          <cell r="P4076">
            <v>0</v>
          </cell>
          <cell r="Q4076">
            <v>0.171233911573828</v>
          </cell>
          <cell r="R4076">
            <v>0.171233911573828</v>
          </cell>
          <cell r="S4076" t="e">
            <v>#VALUE!</v>
          </cell>
          <cell r="T4076" t="e">
            <v>#VALUE!</v>
          </cell>
        </row>
        <row r="4077">
          <cell r="A4077" t="str">
            <v>GRTE3300049B</v>
          </cell>
          <cell r="B4077" t="str">
            <v>MKP000631005944</v>
          </cell>
          <cell r="C4077" t="str">
            <v/>
          </cell>
          <cell r="D4077" t="str">
            <v>Armário de Cozinha Completa 330cm Branco/Rustic Stella Madesa 04</v>
          </cell>
          <cell r="E4077" t="str">
            <v>STELLA</v>
          </cell>
          <cell r="F4077" t="str">
            <v>COZINHA</v>
          </cell>
          <cell r="G4077" t="str">
            <v/>
          </cell>
          <cell r="H4077">
            <v>2349.9899999999998</v>
          </cell>
          <cell r="I4077">
            <v>2249.9899999999998</v>
          </cell>
          <cell r="J4077">
            <v>1916.9394</v>
          </cell>
          <cell r="K4077">
            <v>0</v>
          </cell>
          <cell r="L4077">
            <v>1916.9394</v>
          </cell>
          <cell r="M4077">
            <v>0</v>
          </cell>
          <cell r="N4077">
            <v>2249.9899999999998</v>
          </cell>
          <cell r="O4077" t="str">
            <v/>
          </cell>
          <cell r="P4077">
            <v>0</v>
          </cell>
          <cell r="Q4077">
            <v>0.173740807873217</v>
          </cell>
          <cell r="R4077">
            <v>0.173740807873217</v>
          </cell>
          <cell r="S4077" t="e">
            <v>#VALUE!</v>
          </cell>
          <cell r="T4077" t="e">
            <v>#VALUE!</v>
          </cell>
        </row>
        <row r="4078">
          <cell r="A4078" t="str">
            <v>GRTE3300045Z</v>
          </cell>
          <cell r="B4078" t="str">
            <v>MKP000631005943</v>
          </cell>
          <cell r="C4078" t="str">
            <v/>
          </cell>
          <cell r="D4078" t="str">
            <v>Armário de Cozinha Completa 330cm Rustic Stella Madesa 04</v>
          </cell>
          <cell r="E4078" t="str">
            <v>STELLA</v>
          </cell>
          <cell r="F4078" t="str">
            <v>COZINHA</v>
          </cell>
          <cell r="G4078" t="str">
            <v/>
          </cell>
          <cell r="H4078">
            <v>2349.9899999999998</v>
          </cell>
          <cell r="I4078">
            <v>2249.9899999999998</v>
          </cell>
          <cell r="J4078">
            <v>1916.9394</v>
          </cell>
          <cell r="K4078">
            <v>0</v>
          </cell>
          <cell r="L4078">
            <v>1916.9394</v>
          </cell>
          <cell r="M4078">
            <v>0</v>
          </cell>
          <cell r="N4078">
            <v>2249.9899999999998</v>
          </cell>
          <cell r="O4078" t="str">
            <v/>
          </cell>
          <cell r="P4078">
            <v>0</v>
          </cell>
          <cell r="Q4078">
            <v>0.173740807873217</v>
          </cell>
          <cell r="R4078">
            <v>0.173740807873217</v>
          </cell>
          <cell r="S4078" t="e">
            <v>#VALUE!</v>
          </cell>
          <cell r="T4078" t="e">
            <v>#VALUE!</v>
          </cell>
        </row>
        <row r="4079">
          <cell r="A4079" t="str">
            <v>GRTE3300069B</v>
          </cell>
          <cell r="B4079" t="str">
            <v>MKP000631005950</v>
          </cell>
          <cell r="C4079" t="str">
            <v/>
          </cell>
          <cell r="D4079" t="str">
            <v>Armário de Cozinha Completa 330cm Branco/Rustic Stella Madesa 06</v>
          </cell>
          <cell r="E4079" t="str">
            <v>STELLA</v>
          </cell>
          <cell r="F4079" t="str">
            <v>COZINHA</v>
          </cell>
          <cell r="G4079" t="str">
            <v/>
          </cell>
          <cell r="H4079">
            <v>2399.9899999999998</v>
          </cell>
          <cell r="I4079">
            <v>2299.9899999999998</v>
          </cell>
          <cell r="J4079">
            <v>1946.7727</v>
          </cell>
          <cell r="K4079">
            <v>0</v>
          </cell>
          <cell r="L4079">
            <v>1946.7727</v>
          </cell>
          <cell r="M4079">
            <v>0</v>
          </cell>
          <cell r="N4079">
            <v>2299.9899999999998</v>
          </cell>
          <cell r="O4079" t="str">
            <v/>
          </cell>
          <cell r="P4079">
            <v>0</v>
          </cell>
          <cell r="Q4079">
            <v>0.18143736040679001</v>
          </cell>
          <cell r="R4079">
            <v>0.18143736040679001</v>
          </cell>
          <cell r="S4079" t="e">
            <v>#VALUE!</v>
          </cell>
          <cell r="T4079" t="e">
            <v>#VALUE!</v>
          </cell>
        </row>
        <row r="4080">
          <cell r="A4080" t="str">
            <v>GRTE3300065Z</v>
          </cell>
          <cell r="B4080" t="str">
            <v>MKP000631005949</v>
          </cell>
          <cell r="C4080" t="str">
            <v/>
          </cell>
          <cell r="D4080" t="str">
            <v>Armário de Cozinha Completa 330cm Rustic Stella Madesa 06</v>
          </cell>
          <cell r="E4080" t="str">
            <v>STELLA</v>
          </cell>
          <cell r="F4080" t="str">
            <v>COZINHA</v>
          </cell>
          <cell r="G4080" t="str">
            <v/>
          </cell>
          <cell r="H4080">
            <v>2399.9899999999998</v>
          </cell>
          <cell r="I4080">
            <v>2299.9899999999998</v>
          </cell>
          <cell r="J4080">
            <v>1946.7727</v>
          </cell>
          <cell r="K4080">
            <v>0</v>
          </cell>
          <cell r="L4080">
            <v>1946.7727</v>
          </cell>
          <cell r="M4080">
            <v>0</v>
          </cell>
          <cell r="N4080">
            <v>2299.9899999999998</v>
          </cell>
          <cell r="O4080" t="str">
            <v/>
          </cell>
          <cell r="P4080">
            <v>0</v>
          </cell>
          <cell r="Q4080">
            <v>0.18143736040679001</v>
          </cell>
          <cell r="R4080">
            <v>0.18143736040679001</v>
          </cell>
          <cell r="S4080" t="e">
            <v>#VALUE!</v>
          </cell>
          <cell r="T4080" t="e">
            <v>#VALUE!</v>
          </cell>
        </row>
        <row r="4081">
          <cell r="A4081" t="str">
            <v>GRSM25000209</v>
          </cell>
          <cell r="B4081" t="str">
            <v>MKP000631005730</v>
          </cell>
          <cell r="C4081" t="str">
            <v/>
          </cell>
          <cell r="D4081" t="str">
            <v>Armário de Cozinha Completa 100% MDF 250 cm Branco Smart Madesa 02</v>
          </cell>
          <cell r="E4081" t="str">
            <v>SMART</v>
          </cell>
          <cell r="F4081" t="str">
            <v>COZINHA</v>
          </cell>
          <cell r="G4081" t="str">
            <v/>
          </cell>
          <cell r="H4081">
            <v>1999.99</v>
          </cell>
          <cell r="I4081">
            <v>1599.99</v>
          </cell>
          <cell r="J4081">
            <v>1329.146</v>
          </cell>
          <cell r="K4081">
            <v>0</v>
          </cell>
          <cell r="L4081">
            <v>1329.146</v>
          </cell>
          <cell r="M4081">
            <v>0</v>
          </cell>
          <cell r="N4081">
            <v>1599.99</v>
          </cell>
          <cell r="O4081" t="str">
            <v>IMPÉRIO</v>
          </cell>
          <cell r="P4081">
            <v>1659</v>
          </cell>
          <cell r="Q4081">
            <v>0.20377294894616499</v>
          </cell>
          <cell r="R4081">
            <v>0.20377294894616499</v>
          </cell>
          <cell r="S4081" t="e">
            <v>#VALUE!</v>
          </cell>
          <cell r="T4081" t="e">
            <v>#VALUE!</v>
          </cell>
        </row>
        <row r="4082">
          <cell r="A4082" t="str">
            <v>GRTE31000309</v>
          </cell>
          <cell r="B4082" t="str">
            <v/>
          </cell>
          <cell r="C4082" t="str">
            <v/>
          </cell>
          <cell r="D4082" t="str">
            <v>Armário de Cozinha Completa 310cm Branco Stella Madesa 03</v>
          </cell>
          <cell r="E4082" t="str">
            <v>STELLA</v>
          </cell>
          <cell r="F4082" t="str">
            <v>COZINHA</v>
          </cell>
          <cell r="G4082" t="str">
            <v/>
          </cell>
          <cell r="H4082">
            <v>2599.9899999999998</v>
          </cell>
          <cell r="I4082">
            <v>2499.9899999999998</v>
          </cell>
          <cell r="J4082">
            <v>2104.6592000000001</v>
          </cell>
          <cell r="K4082">
            <v>0</v>
          </cell>
          <cell r="L4082">
            <v>2104.6592000000001</v>
          </cell>
          <cell r="M4082">
            <v>0</v>
          </cell>
          <cell r="N4082">
            <v>2499.9899999999998</v>
          </cell>
          <cell r="O4082" t="str">
            <v/>
          </cell>
          <cell r="P4082">
            <v>0</v>
          </cell>
          <cell r="Q4082">
            <v>0.187836016396384</v>
          </cell>
          <cell r="R4082">
            <v>0.187836016396384</v>
          </cell>
          <cell r="S4082" t="e">
            <v>#VALUE!</v>
          </cell>
          <cell r="T4082" t="e">
            <v>#VALUE!</v>
          </cell>
        </row>
        <row r="4083">
          <cell r="A4083" t="str">
            <v>GREM1690115Z</v>
          </cell>
          <cell r="B4083" t="str">
            <v>MKP000631005791</v>
          </cell>
          <cell r="C4083" t="str">
            <v/>
          </cell>
          <cell r="D4083" t="str">
            <v>Armário de Cozinha Compacta 169cm com Pia Rustic Emilly Madesa 11</v>
          </cell>
          <cell r="E4083" t="str">
            <v>EMILLY</v>
          </cell>
          <cell r="F4083" t="str">
            <v>COZINHA</v>
          </cell>
          <cell r="G4083" t="str">
            <v/>
          </cell>
          <cell r="H4083">
            <v>1559.99</v>
          </cell>
          <cell r="I4083">
            <v>1459.99</v>
          </cell>
          <cell r="J4083">
            <v>1202.8586</v>
          </cell>
          <cell r="K4083">
            <v>0</v>
          </cell>
          <cell r="L4083">
            <v>1202.8586</v>
          </cell>
          <cell r="M4083">
            <v>0</v>
          </cell>
          <cell r="N4083">
            <v>1459.99</v>
          </cell>
          <cell r="O4083" t="str">
            <v/>
          </cell>
          <cell r="P4083">
            <v>0</v>
          </cell>
          <cell r="Q4083">
            <v>0.21376693819206999</v>
          </cell>
          <cell r="R4083">
            <v>0.21376693819206999</v>
          </cell>
          <cell r="S4083" t="e">
            <v>#VALUE!</v>
          </cell>
          <cell r="T4083" t="e">
            <v>#VALUE!</v>
          </cell>
        </row>
        <row r="4084">
          <cell r="A4084" t="str">
            <v>GREM1690117K</v>
          </cell>
          <cell r="B4084" t="str">
            <v>MKP000631005792</v>
          </cell>
          <cell r="C4084" t="str">
            <v/>
          </cell>
          <cell r="D4084" t="str">
            <v>Armário de Cozinha Compacta 169cm com Pia Rustic/Preto Emilly Madesa 11</v>
          </cell>
          <cell r="E4084" t="str">
            <v>EMILLY</v>
          </cell>
          <cell r="F4084" t="str">
            <v>COZINHA</v>
          </cell>
          <cell r="G4084" t="str">
            <v/>
          </cell>
          <cell r="H4084">
            <v>1559.99</v>
          </cell>
          <cell r="I4084">
            <v>1459.99</v>
          </cell>
          <cell r="J4084">
            <v>1202.8586</v>
          </cell>
          <cell r="K4084">
            <v>0</v>
          </cell>
          <cell r="L4084">
            <v>1202.8586</v>
          </cell>
          <cell r="M4084">
            <v>0</v>
          </cell>
          <cell r="N4084">
            <v>1459.99</v>
          </cell>
          <cell r="O4084" t="str">
            <v/>
          </cell>
          <cell r="P4084">
            <v>0</v>
          </cell>
          <cell r="Q4084">
            <v>0.21376693819206999</v>
          </cell>
          <cell r="R4084">
            <v>0.21376693819206999</v>
          </cell>
          <cell r="S4084" t="e">
            <v>#VALUE!</v>
          </cell>
          <cell r="T4084" t="e">
            <v>#VALUE!</v>
          </cell>
        </row>
        <row r="4085">
          <cell r="A4085" t="str">
            <v>GRGL27001209</v>
          </cell>
          <cell r="B4085" t="str">
            <v>MKP000631004216</v>
          </cell>
          <cell r="C4085" t="str">
            <v/>
          </cell>
          <cell r="D4085" t="str">
            <v>Armário de Cozinha Completa 270cm Branco Glamy Madesa 12</v>
          </cell>
          <cell r="E4085" t="str">
            <v>GLAMY</v>
          </cell>
          <cell r="F4085" t="str">
            <v>COZINHA</v>
          </cell>
          <cell r="G4085" t="str">
            <v/>
          </cell>
          <cell r="H4085">
            <v>1799.99</v>
          </cell>
          <cell r="I4085">
            <v>1699.99</v>
          </cell>
          <cell r="J4085">
            <v>1419.5397</v>
          </cell>
          <cell r="K4085">
            <v>0</v>
          </cell>
          <cell r="L4085">
            <v>1419.5397</v>
          </cell>
          <cell r="M4085">
            <v>0</v>
          </cell>
          <cell r="N4085">
            <v>1699.99</v>
          </cell>
          <cell r="O4085" t="str">
            <v/>
          </cell>
          <cell r="P4085">
            <v>0</v>
          </cell>
          <cell r="Q4085">
            <v>0.197564252694025</v>
          </cell>
          <cell r="R4085">
            <v>0.197564252694025</v>
          </cell>
          <cell r="S4085" t="e">
            <v>#VALUE!</v>
          </cell>
          <cell r="T4085" t="e">
            <v>#VALUE!</v>
          </cell>
        </row>
        <row r="4086">
          <cell r="A4086" t="str">
            <v>GREM2290145Z</v>
          </cell>
          <cell r="B4086" t="str">
            <v>MKP000631005917</v>
          </cell>
          <cell r="C4086" t="str">
            <v/>
          </cell>
          <cell r="D4086" t="str">
            <v>Armário de Cozinha Compacta 229cm Rustic Emilly Madesa 14</v>
          </cell>
          <cell r="E4086" t="str">
            <v>EMILLY</v>
          </cell>
          <cell r="F4086" t="str">
            <v>COZINHA</v>
          </cell>
          <cell r="G4086" t="str">
            <v/>
          </cell>
          <cell r="H4086">
            <v>1029.99</v>
          </cell>
          <cell r="I4086">
            <v>929.99</v>
          </cell>
          <cell r="J4086">
            <v>755.47900000000004</v>
          </cell>
          <cell r="K4086">
            <v>0</v>
          </cell>
          <cell r="L4086">
            <v>755.47900000000004</v>
          </cell>
          <cell r="M4086">
            <v>0</v>
          </cell>
          <cell r="N4086">
            <v>929.99</v>
          </cell>
          <cell r="O4086" t="str">
            <v/>
          </cell>
          <cell r="P4086">
            <v>0</v>
          </cell>
          <cell r="Q4086">
            <v>0.23099384628824901</v>
          </cell>
          <cell r="R4086">
            <v>0.23099384628824901</v>
          </cell>
          <cell r="S4086" t="e">
            <v>#VALUE!</v>
          </cell>
          <cell r="T4086" t="e">
            <v>#VALUE!</v>
          </cell>
        </row>
        <row r="4087">
          <cell r="A4087" t="str">
            <v>GREM1690095Z</v>
          </cell>
          <cell r="B4087" t="str">
            <v>MKP000631005788</v>
          </cell>
          <cell r="C4087" t="str">
            <v/>
          </cell>
          <cell r="D4087" t="str">
            <v>Armário de Cozinha Compacta 169cm Rustic Emilly Madesa 09</v>
          </cell>
          <cell r="E4087" t="str">
            <v>EMILLY</v>
          </cell>
          <cell r="F4087" t="str">
            <v>COZINHA</v>
          </cell>
          <cell r="G4087" t="str">
            <v/>
          </cell>
          <cell r="H4087">
            <v>1149.99</v>
          </cell>
          <cell r="I4087">
            <v>1049.99</v>
          </cell>
          <cell r="J4087">
            <v>857.02340000000004</v>
          </cell>
          <cell r="K4087">
            <v>0</v>
          </cell>
          <cell r="L4087">
            <v>857.02340000000004</v>
          </cell>
          <cell r="M4087">
            <v>0</v>
          </cell>
          <cell r="N4087">
            <v>1049.99</v>
          </cell>
          <cell r="O4087" t="str">
            <v/>
          </cell>
          <cell r="P4087">
            <v>0</v>
          </cell>
          <cell r="Q4087">
            <v>0.225159079670403</v>
          </cell>
          <cell r="R4087">
            <v>0.225159079670403</v>
          </cell>
          <cell r="S4087" t="e">
            <v>#VALUE!</v>
          </cell>
          <cell r="T4087" t="e">
            <v>#VALUE!</v>
          </cell>
        </row>
        <row r="4088">
          <cell r="A4088" t="str">
            <v>GREM1690097K</v>
          </cell>
          <cell r="B4088" t="str">
            <v>MKP000631005787</v>
          </cell>
          <cell r="C4088" t="str">
            <v/>
          </cell>
          <cell r="D4088" t="str">
            <v>Armário de Cozinha Compacta 169cm Rustic/Preto Emilly Madesa 09</v>
          </cell>
          <cell r="E4088" t="str">
            <v>EMILLY</v>
          </cell>
          <cell r="F4088" t="str">
            <v>COZINHA</v>
          </cell>
          <cell r="G4088" t="str">
            <v/>
          </cell>
          <cell r="H4088">
            <v>1149.99</v>
          </cell>
          <cell r="I4088">
            <v>1049.99</v>
          </cell>
          <cell r="J4088">
            <v>857.02340000000004</v>
          </cell>
          <cell r="K4088">
            <v>0</v>
          </cell>
          <cell r="L4088">
            <v>857.02340000000004</v>
          </cell>
          <cell r="M4088">
            <v>0</v>
          </cell>
          <cell r="N4088">
            <v>1049.99</v>
          </cell>
          <cell r="O4088" t="str">
            <v/>
          </cell>
          <cell r="P4088">
            <v>0</v>
          </cell>
          <cell r="Q4088">
            <v>0.225159079670403</v>
          </cell>
          <cell r="R4088">
            <v>0.225159079670403</v>
          </cell>
          <cell r="S4088" t="e">
            <v>#VALUE!</v>
          </cell>
          <cell r="T4088" t="e">
            <v>#VALUE!</v>
          </cell>
        </row>
        <row r="4089">
          <cell r="A4089" t="str">
            <v>MDJA0601595ZOXF</v>
          </cell>
          <cell r="B4089" t="str">
            <v>MKP000631006049</v>
          </cell>
          <cell r="C4089" t="str">
            <v/>
          </cell>
          <cell r="D4089" t="str">
            <v>Conjunto Sala de Jantar Mesa Tampo de Madeira 6 Cadeiras Rustic/Oxford Renata Madesa</v>
          </cell>
          <cell r="E4089" t="str">
            <v>RENATA</v>
          </cell>
          <cell r="F4089" t="str">
            <v>SALA DE JANTAR</v>
          </cell>
          <cell r="G4089">
            <v>4255</v>
          </cell>
          <cell r="H4089">
            <v>1499.99</v>
          </cell>
          <cell r="I4089">
            <v>1399.99</v>
          </cell>
          <cell r="J4089">
            <v>1105.4344000000001</v>
          </cell>
          <cell r="K4089">
            <v>0</v>
          </cell>
          <cell r="L4089">
            <v>1105.4344000000001</v>
          </cell>
          <cell r="M4089">
            <v>0</v>
          </cell>
          <cell r="N4089">
            <v>1399.99</v>
          </cell>
          <cell r="O4089" t="str">
            <v/>
          </cell>
          <cell r="P4089">
            <v>0</v>
          </cell>
          <cell r="Q4089">
            <v>0.26646140196107498</v>
          </cell>
          <cell r="R4089">
            <v>0.26646140196107498</v>
          </cell>
          <cell r="S4089" t="e">
            <v>#VALUE!</v>
          </cell>
          <cell r="T4089" t="e">
            <v>#VALUE!</v>
          </cell>
        </row>
        <row r="4090">
          <cell r="A4090" t="str">
            <v>GREM1690125Z</v>
          </cell>
          <cell r="B4090" t="str">
            <v>MKP000631005790</v>
          </cell>
          <cell r="C4090" t="str">
            <v/>
          </cell>
          <cell r="D4090" t="str">
            <v>Armário de Cozinha Compacta 169cm com Pia Rustic Emilly Madesa 12</v>
          </cell>
          <cell r="E4090" t="str">
            <v>EMILLY</v>
          </cell>
          <cell r="F4090" t="str">
            <v>COZINHA</v>
          </cell>
          <cell r="G4090" t="str">
            <v/>
          </cell>
          <cell r="H4090">
            <v>1559.99</v>
          </cell>
          <cell r="I4090">
            <v>1459.99</v>
          </cell>
          <cell r="J4090">
            <v>1196.2422999999999</v>
          </cell>
          <cell r="K4090">
            <v>0</v>
          </cell>
          <cell r="L4090">
            <v>1196.2422999999999</v>
          </cell>
          <cell r="M4090">
            <v>0</v>
          </cell>
          <cell r="N4090">
            <v>1459.99</v>
          </cell>
          <cell r="O4090" t="str">
            <v/>
          </cell>
          <cell r="P4090">
            <v>0</v>
          </cell>
          <cell r="Q4090">
            <v>0.22048016526417699</v>
          </cell>
          <cell r="R4090">
            <v>0.22048016526417699</v>
          </cell>
          <cell r="S4090" t="e">
            <v>#VALUE!</v>
          </cell>
          <cell r="T4090" t="e">
            <v>#VALUE!</v>
          </cell>
        </row>
        <row r="4091">
          <cell r="A4091" t="str">
            <v>GREM1690127K</v>
          </cell>
          <cell r="B4091" t="str">
            <v>MKP000631005789</v>
          </cell>
          <cell r="C4091" t="str">
            <v/>
          </cell>
          <cell r="D4091" t="str">
            <v>Armário de Cozinha Compacta 169cm com Pia Rustic/Preto Emilly Madesa 12</v>
          </cell>
          <cell r="E4091" t="str">
            <v>EMILLY</v>
          </cell>
          <cell r="F4091" t="str">
            <v>COZINHA</v>
          </cell>
          <cell r="G4091" t="str">
            <v/>
          </cell>
          <cell r="H4091">
            <v>1559.99</v>
          </cell>
          <cell r="I4091">
            <v>1459.99</v>
          </cell>
          <cell r="J4091">
            <v>1196.2422999999999</v>
          </cell>
          <cell r="K4091">
            <v>0</v>
          </cell>
          <cell r="L4091">
            <v>1196.2422999999999</v>
          </cell>
          <cell r="M4091">
            <v>0</v>
          </cell>
          <cell r="N4091">
            <v>1459.99</v>
          </cell>
          <cell r="O4091" t="str">
            <v/>
          </cell>
          <cell r="P4091">
            <v>0</v>
          </cell>
          <cell r="Q4091">
            <v>0.22048016526417699</v>
          </cell>
          <cell r="R4091">
            <v>0.22048016526417699</v>
          </cell>
          <cell r="S4091" t="e">
            <v>#VALUE!</v>
          </cell>
          <cell r="T4091" t="e">
            <v>#VALUE!</v>
          </cell>
        </row>
        <row r="4092">
          <cell r="A4092" t="str">
            <v>GREM1370105Z</v>
          </cell>
          <cell r="B4092" t="str">
            <v>MKP000631005803</v>
          </cell>
          <cell r="C4092" t="str">
            <v/>
          </cell>
          <cell r="D4092" t="str">
            <v>Armário de Cozinha Compacta 137cm com Pia Rustic Emilly Madesa 10</v>
          </cell>
          <cell r="E4092" t="str">
            <v>EMILLY</v>
          </cell>
          <cell r="F4092" t="str">
            <v>COZINHA</v>
          </cell>
          <cell r="G4092" t="str">
            <v/>
          </cell>
          <cell r="H4092">
            <v>1219.99</v>
          </cell>
          <cell r="I4092">
            <v>1219.99</v>
          </cell>
          <cell r="J4092">
            <v>997.93859999999995</v>
          </cell>
          <cell r="K4092">
            <v>0</v>
          </cell>
          <cell r="L4092">
            <v>997.93859999999995</v>
          </cell>
          <cell r="M4092">
            <v>0</v>
          </cell>
          <cell r="N4092">
            <v>1219.99</v>
          </cell>
          <cell r="O4092" t="str">
            <v/>
          </cell>
          <cell r="P4092">
            <v>0</v>
          </cell>
          <cell r="Q4092">
            <v>0.22251008228361899</v>
          </cell>
          <cell r="R4092">
            <v>0.22251008228361899</v>
          </cell>
          <cell r="S4092" t="e">
            <v>#VALUE!</v>
          </cell>
          <cell r="T4092" t="e">
            <v>#VALUE!</v>
          </cell>
        </row>
        <row r="4093">
          <cell r="A4093" t="str">
            <v>GRTE3300039B</v>
          </cell>
          <cell r="B4093" t="str">
            <v>MKP000631005755</v>
          </cell>
          <cell r="C4093" t="str">
            <v/>
          </cell>
          <cell r="D4093" t="str">
            <v>Armário de Cozinha Completa 330cm Branco/Rustic Stella Madesa 03</v>
          </cell>
          <cell r="E4093" t="str">
            <v>STELLA</v>
          </cell>
          <cell r="F4093" t="str">
            <v>COZINHA</v>
          </cell>
          <cell r="G4093" t="str">
            <v/>
          </cell>
          <cell r="H4093">
            <v>2499.9899999999998</v>
          </cell>
          <cell r="I4093">
            <v>2499.9899999999998</v>
          </cell>
          <cell r="J4093">
            <v>2060.7431000000001</v>
          </cell>
          <cell r="K4093">
            <v>0</v>
          </cell>
          <cell r="L4093">
            <v>2060.7431000000001</v>
          </cell>
          <cell r="M4093">
            <v>0</v>
          </cell>
          <cell r="N4093">
            <v>2499.9899999999998</v>
          </cell>
          <cell r="O4093" t="str">
            <v/>
          </cell>
          <cell r="P4093">
            <v>0</v>
          </cell>
          <cell r="Q4093">
            <v>0.213149761365208</v>
          </cell>
          <cell r="R4093">
            <v>0.213149761365208</v>
          </cell>
          <cell r="S4093" t="e">
            <v>#VALUE!</v>
          </cell>
          <cell r="T4093" t="e">
            <v>#VALUE!</v>
          </cell>
        </row>
        <row r="4094">
          <cell r="A4094" t="str">
            <v>GRTE33000309</v>
          </cell>
          <cell r="B4094" t="str">
            <v>MKP000631005756</v>
          </cell>
          <cell r="C4094" t="str">
            <v/>
          </cell>
          <cell r="D4094" t="str">
            <v>Armário de Cozinha Completa 330cm Branco Stella Madesa 03</v>
          </cell>
          <cell r="E4094" t="str">
            <v>STELLA</v>
          </cell>
          <cell r="F4094" t="str">
            <v>COZINHA</v>
          </cell>
          <cell r="G4094" t="str">
            <v/>
          </cell>
          <cell r="H4094">
            <v>2499.9899999999998</v>
          </cell>
          <cell r="I4094">
            <v>2499.9899999999998</v>
          </cell>
          <cell r="J4094">
            <v>2060.7431000000001</v>
          </cell>
          <cell r="K4094">
            <v>0</v>
          </cell>
          <cell r="L4094">
            <v>2060.7431000000001</v>
          </cell>
          <cell r="M4094">
            <v>0</v>
          </cell>
          <cell r="N4094">
            <v>2499.9899999999998</v>
          </cell>
          <cell r="O4094" t="str">
            <v/>
          </cell>
          <cell r="P4094">
            <v>0</v>
          </cell>
          <cell r="Q4094">
            <v>0.213149761365208</v>
          </cell>
          <cell r="R4094">
            <v>0.213149761365208</v>
          </cell>
          <cell r="S4094" t="e">
            <v>#VALUE!</v>
          </cell>
          <cell r="T4094" t="e">
            <v>#VALUE!</v>
          </cell>
        </row>
        <row r="4095">
          <cell r="A4095" t="str">
            <v>GREM1690105Z</v>
          </cell>
          <cell r="B4095" t="str">
            <v>MKP000631005786</v>
          </cell>
          <cell r="C4095" t="str">
            <v/>
          </cell>
          <cell r="D4095" t="str">
            <v>Armário de Cozinha Compacta 169cm Rustic Emilly Madesa 10</v>
          </cell>
          <cell r="E4095" t="str">
            <v>EMILLY</v>
          </cell>
          <cell r="F4095" t="str">
            <v>COZINHA</v>
          </cell>
          <cell r="G4095" t="str">
            <v/>
          </cell>
          <cell r="H4095">
            <v>1169.99</v>
          </cell>
          <cell r="I4095">
            <v>1069.99</v>
          </cell>
          <cell r="J4095">
            <v>863.63969999999995</v>
          </cell>
          <cell r="K4095">
            <v>0</v>
          </cell>
          <cell r="L4095">
            <v>863.63969999999995</v>
          </cell>
          <cell r="M4095">
            <v>0</v>
          </cell>
          <cell r="N4095">
            <v>1069.99</v>
          </cell>
          <cell r="O4095" t="str">
            <v/>
          </cell>
          <cell r="P4095">
            <v>0</v>
          </cell>
          <cell r="Q4095">
            <v>0.238931003287598</v>
          </cell>
          <cell r="R4095">
            <v>0.238931003287598</v>
          </cell>
          <cell r="S4095" t="e">
            <v>#VALUE!</v>
          </cell>
          <cell r="T4095" t="e">
            <v>#VALUE!</v>
          </cell>
        </row>
        <row r="4096">
          <cell r="A4096" t="str">
            <v>GREM1690107K</v>
          </cell>
          <cell r="B4096" t="str">
            <v>MKP000631005785</v>
          </cell>
          <cell r="C4096" t="str">
            <v/>
          </cell>
          <cell r="D4096" t="str">
            <v>Armário de Cozinha Compacta 169cm Rustic/Preto Emilly Madesa 10</v>
          </cell>
          <cell r="E4096" t="str">
            <v>EMILLY</v>
          </cell>
          <cell r="F4096" t="str">
            <v>COZINHA</v>
          </cell>
          <cell r="G4096" t="str">
            <v/>
          </cell>
          <cell r="H4096">
            <v>1169.99</v>
          </cell>
          <cell r="I4096">
            <v>1069.99</v>
          </cell>
          <cell r="J4096">
            <v>863.63969999999995</v>
          </cell>
          <cell r="K4096">
            <v>0</v>
          </cell>
          <cell r="L4096">
            <v>863.63969999999995</v>
          </cell>
          <cell r="M4096">
            <v>0</v>
          </cell>
          <cell r="N4096">
            <v>1069.99</v>
          </cell>
          <cell r="O4096" t="str">
            <v/>
          </cell>
          <cell r="P4096">
            <v>0</v>
          </cell>
          <cell r="Q4096">
            <v>0.238931003287598</v>
          </cell>
          <cell r="R4096">
            <v>0.238931003287598</v>
          </cell>
          <cell r="S4096" t="e">
            <v>#VALUE!</v>
          </cell>
          <cell r="T4096" t="e">
            <v>#VALUE!</v>
          </cell>
        </row>
        <row r="4097">
          <cell r="A4097" t="str">
            <v>MDJA0601406ESIL</v>
          </cell>
          <cell r="B4097" t="str">
            <v>MKP000631005683</v>
          </cell>
          <cell r="C4097" t="str">
            <v/>
          </cell>
          <cell r="D4097" t="str">
            <v>Conjunto Sala de Jantar Mesa Tampo de Madeira 6 Cadeiras Rustic/Branco/Silver Renata Madesa</v>
          </cell>
          <cell r="E4097" t="str">
            <v>RENATA</v>
          </cell>
          <cell r="F4097" t="str">
            <v>SALA DE JANTAR</v>
          </cell>
          <cell r="G4097">
            <v>4255</v>
          </cell>
          <cell r="H4097">
            <v>1469.99</v>
          </cell>
          <cell r="I4097">
            <v>1369.99</v>
          </cell>
          <cell r="J4097">
            <v>1064.2978000000001</v>
          </cell>
          <cell r="K4097">
            <v>0</v>
          </cell>
          <cell r="L4097">
            <v>1064.2978000000001</v>
          </cell>
          <cell r="M4097">
            <v>0</v>
          </cell>
          <cell r="N4097">
            <v>1369.99</v>
          </cell>
          <cell r="O4097" t="str">
            <v/>
          </cell>
          <cell r="P4097">
            <v>0</v>
          </cell>
          <cell r="Q4097">
            <v>0.28722430883536498</v>
          </cell>
          <cell r="R4097">
            <v>0.28722430883536498</v>
          </cell>
          <cell r="S4097" t="e">
            <v>#VALUE!</v>
          </cell>
          <cell r="T4097" t="e">
            <v>#VALUE!</v>
          </cell>
        </row>
        <row r="4098">
          <cell r="A4098" t="str">
            <v>MDJA060140F9SIM</v>
          </cell>
          <cell r="B4098" t="str">
            <v>MKP000631005684</v>
          </cell>
          <cell r="C4098" t="str">
            <v/>
          </cell>
          <cell r="D4098" t="str">
            <v>Conjunto Sala de Jantar Mesa Tampo de Madeira 6 Cadeiras Rustic/Cinza/Imperial Renata Madesa</v>
          </cell>
          <cell r="E4098" t="str">
            <v>RENATA</v>
          </cell>
          <cell r="F4098" t="str">
            <v>SALA DE JANTAR</v>
          </cell>
          <cell r="G4098">
            <v>4255</v>
          </cell>
          <cell r="H4098">
            <v>1469.99</v>
          </cell>
          <cell r="I4098">
            <v>1369.99</v>
          </cell>
          <cell r="J4098">
            <v>1064.2978000000001</v>
          </cell>
          <cell r="K4098">
            <v>0</v>
          </cell>
          <cell r="L4098">
            <v>1064.2978000000001</v>
          </cell>
          <cell r="M4098">
            <v>0</v>
          </cell>
          <cell r="N4098">
            <v>1369.99</v>
          </cell>
          <cell r="O4098" t="str">
            <v/>
          </cell>
          <cell r="P4098">
            <v>0</v>
          </cell>
          <cell r="Q4098">
            <v>0.28722430883536498</v>
          </cell>
          <cell r="R4098">
            <v>0.28722430883536498</v>
          </cell>
          <cell r="S4098" t="e">
            <v>#VALUE!</v>
          </cell>
          <cell r="T4098" t="e">
            <v>#VALUE!</v>
          </cell>
        </row>
        <row r="4099">
          <cell r="A4099" t="str">
            <v>GREM2930075Z</v>
          </cell>
          <cell r="B4099" t="str">
            <v>MKP000631005512</v>
          </cell>
          <cell r="C4099" t="str">
            <v/>
          </cell>
          <cell r="D4099" t="str">
            <v>Armário de Cozinha Completa 293cm com Pia Rustic Emilly Madesa 07</v>
          </cell>
          <cell r="E4099" t="str">
            <v>EMILLY</v>
          </cell>
          <cell r="F4099" t="str">
            <v>COZINHA</v>
          </cell>
          <cell r="G4099" t="str">
            <v/>
          </cell>
          <cell r="H4099">
            <v>1999.99</v>
          </cell>
          <cell r="I4099">
            <v>1899.99</v>
          </cell>
          <cell r="J4099">
            <v>1528.0273999999999</v>
          </cell>
          <cell r="K4099">
            <v>0</v>
          </cell>
          <cell r="L4099">
            <v>1528.0273999999999</v>
          </cell>
          <cell r="M4099">
            <v>0</v>
          </cell>
          <cell r="N4099">
            <v>1899.99</v>
          </cell>
          <cell r="O4099" t="str">
            <v/>
          </cell>
          <cell r="P4099">
            <v>0</v>
          </cell>
          <cell r="Q4099">
            <v>0.24342665583091</v>
          </cell>
          <cell r="R4099">
            <v>0.24342665583091</v>
          </cell>
          <cell r="S4099" t="e">
            <v>#VALUE!</v>
          </cell>
          <cell r="T4099" t="e">
            <v>#VALUE!</v>
          </cell>
        </row>
        <row r="4100">
          <cell r="A4100" t="str">
            <v>GREM1690145Z</v>
          </cell>
          <cell r="B4100" t="str">
            <v>MKP000631005810</v>
          </cell>
          <cell r="C4100" t="str">
            <v/>
          </cell>
          <cell r="D4100" t="str">
            <v>Armário de Cozinha Compacta 169cm com Pia Rustic Emilly Madesa 14</v>
          </cell>
          <cell r="E4100" t="str">
            <v>EMILLY</v>
          </cell>
          <cell r="F4100" t="str">
            <v>COZINHA</v>
          </cell>
          <cell r="G4100" t="str">
            <v/>
          </cell>
          <cell r="H4100">
            <v>1469.99</v>
          </cell>
          <cell r="I4100">
            <v>1469.99</v>
          </cell>
          <cell r="J4100">
            <v>1179.7506000000001</v>
          </cell>
          <cell r="K4100">
            <v>0</v>
          </cell>
          <cell r="L4100">
            <v>1179.7506000000001</v>
          </cell>
          <cell r="M4100">
            <v>0</v>
          </cell>
          <cell r="N4100">
            <v>1469.99</v>
          </cell>
          <cell r="O4100" t="str">
            <v/>
          </cell>
          <cell r="P4100">
            <v>0</v>
          </cell>
          <cell r="Q4100">
            <v>0.24601759049751701</v>
          </cell>
          <cell r="R4100">
            <v>0.24601759049751701</v>
          </cell>
          <cell r="S4100" t="e">
            <v>#VALUE!</v>
          </cell>
          <cell r="T4100" t="e">
            <v>#VALUE!</v>
          </cell>
        </row>
        <row r="4101">
          <cell r="A4101" t="str">
            <v>MDJA0601545ZOX</v>
          </cell>
          <cell r="B4101" t="str">
            <v>MKP000631006115</v>
          </cell>
          <cell r="C4101" t="str">
            <v/>
          </cell>
          <cell r="D4101" t="str">
            <v>Conjunto Sala de Jantar Mesa Tampo de Madeira 6 Cadeiras Rustic/Oxford Fabiana Madesa</v>
          </cell>
          <cell r="E4101" t="str">
            <v>FABIANA</v>
          </cell>
          <cell r="F4101" t="str">
            <v>SALA DE JANTAR</v>
          </cell>
          <cell r="G4101">
            <v>4256</v>
          </cell>
          <cell r="H4101">
            <v>1499.99</v>
          </cell>
          <cell r="I4101">
            <v>1399.99</v>
          </cell>
          <cell r="J4101">
            <v>1104.8022000000001</v>
          </cell>
          <cell r="K4101">
            <v>0</v>
          </cell>
          <cell r="L4101">
            <v>1104.8022000000001</v>
          </cell>
          <cell r="M4101">
            <v>0</v>
          </cell>
          <cell r="N4101">
            <v>1399.99</v>
          </cell>
          <cell r="O4101" t="str">
            <v/>
          </cell>
          <cell r="P4101">
            <v>0</v>
          </cell>
          <cell r="Q4101">
            <v>0.26718610806531701</v>
          </cell>
          <cell r="R4101">
            <v>0.26718610806531701</v>
          </cell>
          <cell r="S4101" t="e">
            <v>#VALUE!</v>
          </cell>
          <cell r="T4101" t="e">
            <v>#VALUE!</v>
          </cell>
        </row>
        <row r="4102">
          <cell r="A4102" t="str">
            <v>MDJA0601545ZSIM</v>
          </cell>
          <cell r="B4102" t="str">
            <v>MKP000631005880</v>
          </cell>
          <cell r="C4102" t="str">
            <v/>
          </cell>
          <cell r="D4102" t="str">
            <v>Conjunto Sala de Jantar Mesa Tampo de Madeira 6 Cadeiras Rustic/Imperial Fabiana Madesa</v>
          </cell>
          <cell r="E4102" t="str">
            <v>FABIANA</v>
          </cell>
          <cell r="F4102" t="str">
            <v>SALA DE JANTAR</v>
          </cell>
          <cell r="G4102">
            <v>4256</v>
          </cell>
          <cell r="H4102">
            <v>1499.99</v>
          </cell>
          <cell r="I4102">
            <v>1399.99</v>
          </cell>
          <cell r="J4102">
            <v>1104.8022000000001</v>
          </cell>
          <cell r="K4102">
            <v>0</v>
          </cell>
          <cell r="L4102">
            <v>1104.8022000000001</v>
          </cell>
          <cell r="M4102">
            <v>0</v>
          </cell>
          <cell r="N4102">
            <v>1399.99</v>
          </cell>
          <cell r="O4102" t="str">
            <v/>
          </cell>
          <cell r="P4102">
            <v>0</v>
          </cell>
          <cell r="Q4102">
            <v>0.26718610806531701</v>
          </cell>
          <cell r="R4102">
            <v>0.26718610806531701</v>
          </cell>
          <cell r="S4102" t="e">
            <v>#VALUE!</v>
          </cell>
          <cell r="T4102" t="e">
            <v>#VALUE!</v>
          </cell>
        </row>
        <row r="4103">
          <cell r="A4103" t="str">
            <v>GRGL20000773</v>
          </cell>
          <cell r="B4103" t="str">
            <v>MKP000631005636</v>
          </cell>
          <cell r="C4103" t="str">
            <v/>
          </cell>
          <cell r="D4103" t="str">
            <v>Armário de Cozinha Compacta 200cm Branco/Preto Glamy Madesa 07</v>
          </cell>
          <cell r="E4103" t="str">
            <v>GLAMY</v>
          </cell>
          <cell r="F4103" t="str">
            <v>COZINHA</v>
          </cell>
          <cell r="G4103" t="str">
            <v/>
          </cell>
          <cell r="H4103">
            <v>1699.99</v>
          </cell>
          <cell r="I4103">
            <v>1599.99</v>
          </cell>
          <cell r="J4103">
            <v>1301.5036</v>
          </cell>
          <cell r="K4103">
            <v>0</v>
          </cell>
          <cell r="L4103">
            <v>1301.5036</v>
          </cell>
          <cell r="M4103">
            <v>0</v>
          </cell>
          <cell r="N4103">
            <v>1599.99</v>
          </cell>
          <cell r="O4103" t="str">
            <v/>
          </cell>
          <cell r="P4103">
            <v>0</v>
          </cell>
          <cell r="Q4103">
            <v>0.22933966529174399</v>
          </cell>
          <cell r="R4103">
            <v>0.22933966529174399</v>
          </cell>
          <cell r="S4103" t="e">
            <v>#VALUE!</v>
          </cell>
          <cell r="T4103" t="e">
            <v>#VALUE!</v>
          </cell>
        </row>
        <row r="4104">
          <cell r="A4104" t="str">
            <v>GRGL200007A5</v>
          </cell>
          <cell r="B4104" t="str">
            <v>MKP000631005637</v>
          </cell>
          <cell r="C4104" t="str">
            <v/>
          </cell>
          <cell r="D4104" t="str">
            <v>Armário de Cozinha Compacta 200cm Branco/Crema Glamy Madesa 07</v>
          </cell>
          <cell r="E4104" t="str">
            <v>GLAMY</v>
          </cell>
          <cell r="F4104" t="str">
            <v>COZINHA</v>
          </cell>
          <cell r="G4104" t="str">
            <v/>
          </cell>
          <cell r="H4104">
            <v>1699.99</v>
          </cell>
          <cell r="I4104">
            <v>1599.99</v>
          </cell>
          <cell r="J4104">
            <v>1301.5036</v>
          </cell>
          <cell r="K4104">
            <v>0</v>
          </cell>
          <cell r="L4104">
            <v>1301.5036</v>
          </cell>
          <cell r="M4104">
            <v>0</v>
          </cell>
          <cell r="N4104">
            <v>1599.99</v>
          </cell>
          <cell r="O4104" t="str">
            <v/>
          </cell>
          <cell r="P4104">
            <v>0</v>
          </cell>
          <cell r="Q4104">
            <v>0.22933966529174399</v>
          </cell>
          <cell r="R4104">
            <v>0.22933966529174399</v>
          </cell>
          <cell r="S4104" t="e">
            <v>#VALUE!</v>
          </cell>
          <cell r="T4104" t="e">
            <v>#VALUE!</v>
          </cell>
        </row>
        <row r="4105">
          <cell r="A4105" t="str">
            <v>GRAG33000273</v>
          </cell>
          <cell r="B4105" t="str">
            <v>MKP000631005625</v>
          </cell>
          <cell r="C4105" t="str">
            <v/>
          </cell>
          <cell r="D4105" t="str">
            <v>Armário de Cozinha Completa 330cm Branco/Preto Agata Madesa 02</v>
          </cell>
          <cell r="E4105" t="str">
            <v>ÁGATA</v>
          </cell>
          <cell r="F4105" t="str">
            <v>COZINHA</v>
          </cell>
          <cell r="G4105" t="str">
            <v/>
          </cell>
          <cell r="H4105">
            <v>2699.99</v>
          </cell>
          <cell r="I4105">
            <v>2599.9899999999998</v>
          </cell>
          <cell r="J4105">
            <v>2109.6187</v>
          </cell>
          <cell r="K4105">
            <v>0</v>
          </cell>
          <cell r="L4105">
            <v>2109.6187</v>
          </cell>
          <cell r="M4105">
            <v>0</v>
          </cell>
          <cell r="N4105">
            <v>2599.9899999999998</v>
          </cell>
          <cell r="O4105" t="str">
            <v/>
          </cell>
          <cell r="P4105">
            <v>0</v>
          </cell>
          <cell r="Q4105">
            <v>0.23244546514495701</v>
          </cell>
          <cell r="R4105">
            <v>0.23244546514495701</v>
          </cell>
          <cell r="S4105" t="e">
            <v>#VALUE!</v>
          </cell>
          <cell r="T4105" t="e">
            <v>#VALUE!</v>
          </cell>
        </row>
        <row r="4106">
          <cell r="A4106" t="str">
            <v>GRTE2700075Z</v>
          </cell>
          <cell r="B4106" t="str">
            <v>MKP000631005481</v>
          </cell>
          <cell r="C4106" t="str">
            <v/>
          </cell>
          <cell r="D4106" t="str">
            <v>Armário de Cozinha Completa 270cm Rustic Stella Madesa 07</v>
          </cell>
          <cell r="E4106" t="str">
            <v>STELLA</v>
          </cell>
          <cell r="F4106" t="str">
            <v>COZINHA</v>
          </cell>
          <cell r="G4106" t="str">
            <v/>
          </cell>
          <cell r="H4106">
            <v>1899.99</v>
          </cell>
          <cell r="I4106">
            <v>1899.99</v>
          </cell>
          <cell r="J4106">
            <v>1539.8648000000001</v>
          </cell>
          <cell r="K4106">
            <v>0</v>
          </cell>
          <cell r="L4106">
            <v>1539.8648000000001</v>
          </cell>
          <cell r="M4106">
            <v>0</v>
          </cell>
          <cell r="N4106">
            <v>1899.99</v>
          </cell>
          <cell r="O4106" t="str">
            <v/>
          </cell>
          <cell r="P4106">
            <v>0</v>
          </cell>
          <cell r="Q4106">
            <v>0.233868064261226</v>
          </cell>
          <cell r="R4106">
            <v>0.233868064261226</v>
          </cell>
          <cell r="S4106" t="e">
            <v>#VALUE!</v>
          </cell>
          <cell r="T4106" t="e">
            <v>#VALUE!</v>
          </cell>
        </row>
        <row r="4107">
          <cell r="A4107" t="str">
            <v>GRTE27000709</v>
          </cell>
          <cell r="B4107" t="str">
            <v>MKP000631005479</v>
          </cell>
          <cell r="C4107" t="str">
            <v/>
          </cell>
          <cell r="D4107" t="str">
            <v>Armário de Cozinha Completa 270cm Branco Stella Madesa 07</v>
          </cell>
          <cell r="E4107" t="str">
            <v>STELLA</v>
          </cell>
          <cell r="F4107" t="str">
            <v>COZINHA</v>
          </cell>
          <cell r="G4107" t="str">
            <v/>
          </cell>
          <cell r="H4107">
            <v>1899.99</v>
          </cell>
          <cell r="I4107">
            <v>1899.99</v>
          </cell>
          <cell r="J4107">
            <v>1539.8648000000001</v>
          </cell>
          <cell r="K4107">
            <v>0</v>
          </cell>
          <cell r="L4107">
            <v>1539.8648000000001</v>
          </cell>
          <cell r="M4107">
            <v>0</v>
          </cell>
          <cell r="N4107">
            <v>1899.99</v>
          </cell>
          <cell r="O4107" t="str">
            <v/>
          </cell>
          <cell r="P4107">
            <v>0</v>
          </cell>
          <cell r="Q4107">
            <v>0.233868064261226</v>
          </cell>
          <cell r="R4107">
            <v>0.233868064261226</v>
          </cell>
          <cell r="S4107" t="e">
            <v>#VALUE!</v>
          </cell>
          <cell r="T4107" t="e">
            <v>#VALUE!</v>
          </cell>
        </row>
        <row r="4108">
          <cell r="A4108" t="str">
            <v>MDJA0401545ZSIL</v>
          </cell>
          <cell r="B4108" t="str">
            <v>MKP000631005362</v>
          </cell>
          <cell r="C4108" t="str">
            <v/>
          </cell>
          <cell r="D4108" t="str">
            <v>Conjunto Sala de Jantar Mesa Tampo de Madeira 4 Cadeiras Rustic/Silver Keila Madesa</v>
          </cell>
          <cell r="E4108" t="str">
            <v>KEILA</v>
          </cell>
          <cell r="F4108" t="str">
            <v>SALA DE JANTAR</v>
          </cell>
          <cell r="G4108">
            <v>4255</v>
          </cell>
          <cell r="H4108">
            <v>1149.99</v>
          </cell>
          <cell r="I4108">
            <v>1049.99</v>
          </cell>
          <cell r="J4108">
            <v>803.80960000000005</v>
          </cell>
          <cell r="K4108">
            <v>0</v>
          </cell>
          <cell r="L4108">
            <v>803.80960000000005</v>
          </cell>
          <cell r="M4108">
            <v>0</v>
          </cell>
          <cell r="N4108">
            <v>1049.99</v>
          </cell>
          <cell r="O4108" t="str">
            <v/>
          </cell>
          <cell r="P4108">
            <v>0</v>
          </cell>
          <cell r="Q4108">
            <v>0.30626705627800399</v>
          </cell>
          <cell r="R4108">
            <v>0.30626705627800399</v>
          </cell>
          <cell r="S4108" t="e">
            <v>#VALUE!</v>
          </cell>
          <cell r="T4108" t="e">
            <v>#VALUE!</v>
          </cell>
        </row>
        <row r="4109">
          <cell r="A4109" t="str">
            <v>MDJA0401547KSIM</v>
          </cell>
          <cell r="B4109" t="str">
            <v>MKP000631005360</v>
          </cell>
          <cell r="C4109" t="str">
            <v/>
          </cell>
          <cell r="D4109" t="str">
            <v>Conjunto Sala de Jantar Mesa Tampo de Madeira 4 Cadeiras Rustic/Preto/Imperial Keila Madesa</v>
          </cell>
          <cell r="E4109" t="str">
            <v>KEILA</v>
          </cell>
          <cell r="F4109" t="str">
            <v>SALA DE JANTAR</v>
          </cell>
          <cell r="G4109">
            <v>4255</v>
          </cell>
          <cell r="H4109">
            <v>1149.99</v>
          </cell>
          <cell r="I4109">
            <v>1049.99</v>
          </cell>
          <cell r="J4109">
            <v>803.80960000000005</v>
          </cell>
          <cell r="K4109">
            <v>0</v>
          </cell>
          <cell r="L4109">
            <v>803.80960000000005</v>
          </cell>
          <cell r="M4109">
            <v>0</v>
          </cell>
          <cell r="N4109">
            <v>1049.99</v>
          </cell>
          <cell r="O4109" t="str">
            <v/>
          </cell>
          <cell r="P4109">
            <v>0</v>
          </cell>
          <cell r="Q4109">
            <v>0.30626705627800399</v>
          </cell>
          <cell r="R4109">
            <v>0.30626705627800399</v>
          </cell>
          <cell r="S4109" t="e">
            <v>#VALUE!</v>
          </cell>
          <cell r="T4109" t="e">
            <v>#VALUE!</v>
          </cell>
        </row>
        <row r="4110">
          <cell r="A4110" t="str">
            <v>GRTE2700095Z</v>
          </cell>
          <cell r="B4110" t="str">
            <v>MKP000631005774</v>
          </cell>
          <cell r="C4110" t="str">
            <v/>
          </cell>
          <cell r="D4110" t="str">
            <v>Armário de Cozinha Completa 270cm Rustic Stella Madesa 09</v>
          </cell>
          <cell r="E4110" t="str">
            <v>STELLA</v>
          </cell>
          <cell r="F4110" t="str">
            <v>COZINHA</v>
          </cell>
          <cell r="G4110" t="str">
            <v/>
          </cell>
          <cell r="H4110">
            <v>1749.99</v>
          </cell>
          <cell r="I4110">
            <v>1749.99</v>
          </cell>
          <cell r="J4110">
            <v>1416.2479000000001</v>
          </cell>
          <cell r="K4110">
            <v>0</v>
          </cell>
          <cell r="L4110">
            <v>1416.2479000000001</v>
          </cell>
          <cell r="M4110">
            <v>0</v>
          </cell>
          <cell r="N4110">
            <v>1749.99</v>
          </cell>
          <cell r="O4110" t="str">
            <v/>
          </cell>
          <cell r="P4110">
            <v>0</v>
          </cell>
          <cell r="Q4110">
            <v>0.23565231764862599</v>
          </cell>
          <cell r="R4110">
            <v>0.23565231764862599</v>
          </cell>
          <cell r="S4110" t="e">
            <v>#VALUE!</v>
          </cell>
          <cell r="T4110" t="e">
            <v>#VALUE!</v>
          </cell>
        </row>
        <row r="4111">
          <cell r="A4111" t="str">
            <v>GRTE2700096E</v>
          </cell>
          <cell r="B4111" t="str">
            <v>MKP000631005773</v>
          </cell>
          <cell r="C4111" t="str">
            <v/>
          </cell>
          <cell r="D4111" t="str">
            <v>Armário de Cozinha Completa 270cm Rustic/Branco Stella Madesa 09</v>
          </cell>
          <cell r="E4111" t="str">
            <v>STELLA</v>
          </cell>
          <cell r="F4111" t="str">
            <v>COZINHA</v>
          </cell>
          <cell r="G4111" t="str">
            <v/>
          </cell>
          <cell r="H4111">
            <v>1749.99</v>
          </cell>
          <cell r="I4111">
            <v>1749.99</v>
          </cell>
          <cell r="J4111">
            <v>1416.2479000000001</v>
          </cell>
          <cell r="K4111">
            <v>0</v>
          </cell>
          <cell r="L4111">
            <v>1416.2479000000001</v>
          </cell>
          <cell r="M4111">
            <v>0</v>
          </cell>
          <cell r="N4111">
            <v>1749.99</v>
          </cell>
          <cell r="O4111" t="str">
            <v/>
          </cell>
          <cell r="P4111">
            <v>0</v>
          </cell>
          <cell r="Q4111">
            <v>0.23565231764862599</v>
          </cell>
          <cell r="R4111">
            <v>0.23565231764862599</v>
          </cell>
          <cell r="S4111" t="e">
            <v>#VALUE!</v>
          </cell>
          <cell r="T4111" t="e">
            <v>#VALUE!</v>
          </cell>
        </row>
        <row r="4112">
          <cell r="A4112" t="str">
            <v>GRTE2700065Z</v>
          </cell>
          <cell r="B4112" t="str">
            <v>MKP000631005483</v>
          </cell>
          <cell r="C4112" t="str">
            <v/>
          </cell>
          <cell r="D4112" t="str">
            <v>Armário de Cozinha Completa 270cm Rustic Stella Madesa 06</v>
          </cell>
          <cell r="E4112" t="str">
            <v>STELLA</v>
          </cell>
          <cell r="F4112" t="str">
            <v>COZINHA</v>
          </cell>
          <cell r="G4112" t="str">
            <v/>
          </cell>
          <cell r="H4112">
            <v>1869.99</v>
          </cell>
          <cell r="I4112">
            <v>1869.99</v>
          </cell>
          <cell r="J4112">
            <v>1510.0315000000001</v>
          </cell>
          <cell r="K4112">
            <v>0</v>
          </cell>
          <cell r="L4112">
            <v>1510.0315000000001</v>
          </cell>
          <cell r="M4112">
            <v>0</v>
          </cell>
          <cell r="N4112">
            <v>1869.99</v>
          </cell>
          <cell r="O4112" t="str">
            <v/>
          </cell>
          <cell r="P4112">
            <v>0</v>
          </cell>
          <cell r="Q4112">
            <v>0.23837813979377301</v>
          </cell>
          <cell r="R4112">
            <v>0.23837813979377301</v>
          </cell>
          <cell r="S4112" t="e">
            <v>#VALUE!</v>
          </cell>
          <cell r="T4112" t="e">
            <v>#VALUE!</v>
          </cell>
        </row>
        <row r="4113">
          <cell r="A4113" t="str">
            <v>GRAG3100015L</v>
          </cell>
          <cell r="B4113" t="str">
            <v>MKP000631006089</v>
          </cell>
          <cell r="C4113" t="str">
            <v/>
          </cell>
          <cell r="D4113" t="str">
            <v>Armário de Cozinha Completa 310 cm Branco/Crema Agata Madesa 01</v>
          </cell>
          <cell r="E4113" t="str">
            <v>ÁGATA</v>
          </cell>
          <cell r="F4113" t="str">
            <v>COZINHA</v>
          </cell>
          <cell r="G4113" t="str">
            <v/>
          </cell>
          <cell r="H4113">
            <v>2429.9899999999998</v>
          </cell>
          <cell r="I4113">
            <v>2429.9899999999998</v>
          </cell>
          <cell r="J4113">
            <v>1961.4876999999999</v>
          </cell>
          <cell r="K4113">
            <v>0</v>
          </cell>
          <cell r="L4113">
            <v>1961.4876999999999</v>
          </cell>
          <cell r="M4113">
            <v>0</v>
          </cell>
          <cell r="N4113">
            <v>2429.9899999999998</v>
          </cell>
          <cell r="O4113" t="str">
            <v/>
          </cell>
          <cell r="P4113">
            <v>0</v>
          </cell>
          <cell r="Q4113">
            <v>0.23885049087995799</v>
          </cell>
          <cell r="R4113">
            <v>0.23885049087995799</v>
          </cell>
          <cell r="S4113" t="e">
            <v>#VALUE!</v>
          </cell>
          <cell r="T4113" t="e">
            <v>#VALUE!</v>
          </cell>
        </row>
        <row r="4114">
          <cell r="A4114" t="str">
            <v>GREM2930097K</v>
          </cell>
          <cell r="B4114" t="str">
            <v>MKP000631005693</v>
          </cell>
          <cell r="C4114" t="str">
            <v/>
          </cell>
          <cell r="D4114" t="str">
            <v>Armário de Cozinha Completa 293cm com Pia Rustic/Preto Emilly Madesa 09</v>
          </cell>
          <cell r="E4114" t="str">
            <v>EMILLY</v>
          </cell>
          <cell r="F4114" t="str">
            <v>COZINHA</v>
          </cell>
          <cell r="G4114" t="str">
            <v/>
          </cell>
          <cell r="H4114">
            <v>1699.99</v>
          </cell>
          <cell r="I4114">
            <v>1599.99</v>
          </cell>
          <cell r="J4114">
            <v>1249.8158000000001</v>
          </cell>
          <cell r="K4114">
            <v>0</v>
          </cell>
          <cell r="L4114">
            <v>1249.8158000000001</v>
          </cell>
          <cell r="M4114">
            <v>0</v>
          </cell>
          <cell r="N4114">
            <v>1599.99</v>
          </cell>
          <cell r="O4114" t="str">
            <v/>
          </cell>
          <cell r="P4114">
            <v>0</v>
          </cell>
          <cell r="Q4114">
            <v>0.28018064742020399</v>
          </cell>
          <cell r="R4114">
            <v>0.28018064742020399</v>
          </cell>
          <cell r="S4114" t="e">
            <v>#VALUE!</v>
          </cell>
          <cell r="T4114" t="e">
            <v>#VALUE!</v>
          </cell>
        </row>
        <row r="4115">
          <cell r="A4115" t="str">
            <v>GREM293009F9</v>
          </cell>
          <cell r="B4115" t="str">
            <v>MKP000631005694</v>
          </cell>
          <cell r="C4115" t="str">
            <v/>
          </cell>
          <cell r="D4115" t="str">
            <v>Armário de Cozinha Completa 293cm com Pia Rustic/Cinza Emilly Madesa 09</v>
          </cell>
          <cell r="E4115" t="str">
            <v>EMILLY</v>
          </cell>
          <cell r="F4115" t="str">
            <v>COZINHA</v>
          </cell>
          <cell r="G4115" t="str">
            <v/>
          </cell>
          <cell r="H4115">
            <v>1699.99</v>
          </cell>
          <cell r="I4115">
            <v>1599.99</v>
          </cell>
          <cell r="J4115">
            <v>1249.8158000000001</v>
          </cell>
          <cell r="K4115">
            <v>0</v>
          </cell>
          <cell r="L4115">
            <v>1249.8158000000001</v>
          </cell>
          <cell r="M4115">
            <v>0</v>
          </cell>
          <cell r="N4115">
            <v>1599.99</v>
          </cell>
          <cell r="O4115" t="str">
            <v/>
          </cell>
          <cell r="P4115">
            <v>0</v>
          </cell>
          <cell r="Q4115">
            <v>0.28018064742020399</v>
          </cell>
          <cell r="R4115">
            <v>0.28018064742020399</v>
          </cell>
          <cell r="S4115" t="e">
            <v>#VALUE!</v>
          </cell>
          <cell r="T4115" t="e">
            <v>#VALUE!</v>
          </cell>
        </row>
        <row r="4116">
          <cell r="A4116" t="str">
            <v>GREM2930095Z</v>
          </cell>
          <cell r="B4116" t="str">
            <v>MKP000631005696</v>
          </cell>
          <cell r="C4116" t="str">
            <v/>
          </cell>
          <cell r="D4116" t="str">
            <v>Armário de Cozinha Completa 293cm com Pia Rustic Emilly Madesa 09</v>
          </cell>
          <cell r="E4116" t="str">
            <v>EMILLY</v>
          </cell>
          <cell r="F4116" t="str">
            <v>COZINHA</v>
          </cell>
          <cell r="G4116" t="str">
            <v/>
          </cell>
          <cell r="H4116">
            <v>1699.99</v>
          </cell>
          <cell r="I4116">
            <v>1599.99</v>
          </cell>
          <cell r="J4116">
            <v>1249.8158000000001</v>
          </cell>
          <cell r="K4116">
            <v>0</v>
          </cell>
          <cell r="L4116">
            <v>1249.8158000000001</v>
          </cell>
          <cell r="M4116">
            <v>0</v>
          </cell>
          <cell r="N4116">
            <v>1599.99</v>
          </cell>
          <cell r="O4116" t="str">
            <v/>
          </cell>
          <cell r="P4116">
            <v>0</v>
          </cell>
          <cell r="Q4116">
            <v>0.28018064742020399</v>
          </cell>
          <cell r="R4116">
            <v>0.28018064742020399</v>
          </cell>
          <cell r="S4116" t="e">
            <v>#VALUE!</v>
          </cell>
          <cell r="T4116" t="e">
            <v>#VALUE!</v>
          </cell>
        </row>
        <row r="4117">
          <cell r="A4117" t="str">
            <v>GRTE33000209</v>
          </cell>
          <cell r="B4117" t="str">
            <v>MKP000631005752</v>
          </cell>
          <cell r="C4117" t="str">
            <v/>
          </cell>
          <cell r="D4117" t="str">
            <v>Armário de Cozinha Completa 330cm Branco Stella Madesa 02</v>
          </cell>
          <cell r="E4117" t="str">
            <v>STELLA</v>
          </cell>
          <cell r="F4117" t="str">
            <v>COZINHA</v>
          </cell>
          <cell r="G4117" t="str">
            <v/>
          </cell>
          <cell r="H4117">
            <v>2599.9899999999998</v>
          </cell>
          <cell r="I4117">
            <v>2599.9899999999998</v>
          </cell>
          <cell r="J4117">
            <v>2079.2730999999999</v>
          </cell>
          <cell r="K4117">
            <v>0</v>
          </cell>
          <cell r="L4117">
            <v>2079.2730999999999</v>
          </cell>
          <cell r="M4117">
            <v>0</v>
          </cell>
          <cell r="N4117">
            <v>2599.9899999999998</v>
          </cell>
          <cell r="O4117" t="str">
            <v/>
          </cell>
          <cell r="P4117">
            <v>0</v>
          </cell>
          <cell r="Q4117">
            <v>0.250432182285242</v>
          </cell>
          <cell r="R4117">
            <v>0.250432182285242</v>
          </cell>
          <cell r="S4117" t="e">
            <v>#VALUE!</v>
          </cell>
          <cell r="T4117" t="e">
            <v>#VALUE!</v>
          </cell>
        </row>
        <row r="4118">
          <cell r="A4118" t="str">
            <v>GRTE3300029B</v>
          </cell>
          <cell r="B4118" t="str">
            <v>MKP000631005751</v>
          </cell>
          <cell r="C4118" t="str">
            <v/>
          </cell>
          <cell r="D4118" t="str">
            <v>Armário de Cozinha Completa 330cm Branco/Rustic Stella Madesa 02</v>
          </cell>
          <cell r="E4118" t="str">
            <v>STELLA</v>
          </cell>
          <cell r="F4118" t="str">
            <v>COZINHA</v>
          </cell>
          <cell r="G4118" t="str">
            <v/>
          </cell>
          <cell r="H4118">
            <v>2599.9899999999998</v>
          </cell>
          <cell r="I4118">
            <v>2599.9899999999998</v>
          </cell>
          <cell r="J4118">
            <v>2079.2730999999999</v>
          </cell>
          <cell r="K4118">
            <v>0</v>
          </cell>
          <cell r="L4118">
            <v>2079.2730999999999</v>
          </cell>
          <cell r="M4118">
            <v>0</v>
          </cell>
          <cell r="N4118">
            <v>2599.9899999999998</v>
          </cell>
          <cell r="O4118" t="str">
            <v/>
          </cell>
          <cell r="P4118">
            <v>0</v>
          </cell>
          <cell r="Q4118">
            <v>0.250432182285242</v>
          </cell>
          <cell r="R4118">
            <v>0.250432182285242</v>
          </cell>
          <cell r="S4118" t="e">
            <v>#VALUE!</v>
          </cell>
          <cell r="T4118" t="e">
            <v>#VALUE!</v>
          </cell>
        </row>
        <row r="4119">
          <cell r="A4119" t="str">
            <v>MDJA0401755ZOX</v>
          </cell>
          <cell r="B4119" t="str">
            <v>MKP000631006118</v>
          </cell>
          <cell r="C4119" t="str">
            <v/>
          </cell>
          <cell r="D4119" t="str">
            <v>Conjunto Sala de Jantar Mesa Tampo de Madeira 4 Cadeiras Rustic/Oxford Agnes Madesa</v>
          </cell>
          <cell r="E4119" t="str">
            <v>AGNES</v>
          </cell>
          <cell r="F4119" t="str">
            <v>SALA DE JANTAR</v>
          </cell>
          <cell r="G4119">
            <v>4255</v>
          </cell>
          <cell r="H4119">
            <v>939.99</v>
          </cell>
          <cell r="I4119">
            <v>939.99</v>
          </cell>
          <cell r="J4119">
            <v>729.79859999999996</v>
          </cell>
          <cell r="K4119">
            <v>0</v>
          </cell>
          <cell r="L4119">
            <v>729.79859999999996</v>
          </cell>
          <cell r="M4119">
            <v>0</v>
          </cell>
          <cell r="N4119">
            <v>939.99</v>
          </cell>
          <cell r="O4119" t="str">
            <v/>
          </cell>
          <cell r="P4119">
            <v>0</v>
          </cell>
          <cell r="Q4119">
            <v>0.28801288465064201</v>
          </cell>
          <cell r="R4119">
            <v>0.28801288465064201</v>
          </cell>
          <cell r="S4119" t="e">
            <v>#VALUE!</v>
          </cell>
          <cell r="T4119" t="e">
            <v>#VALUE!</v>
          </cell>
        </row>
        <row r="4120">
          <cell r="A4120" t="str">
            <v>MDJA0401885ZLB</v>
          </cell>
          <cell r="B4120" t="str">
            <v>MKP000631006099</v>
          </cell>
          <cell r="C4120" t="str">
            <v/>
          </cell>
          <cell r="D4120" t="str">
            <v>Conjunto Sala de Jantar Mesa Tampo de Vidro 4 Cadeiras Rustic/Lírio Bege Kiara Madesa</v>
          </cell>
          <cell r="E4120" t="str">
            <v>KIARA</v>
          </cell>
          <cell r="F4120" t="str">
            <v>SALA DE JANTAR</v>
          </cell>
          <cell r="G4120" t="str">
            <v>4290X</v>
          </cell>
          <cell r="H4120">
            <v>769.99</v>
          </cell>
          <cell r="I4120">
            <v>769.99</v>
          </cell>
          <cell r="J4120">
            <v>617.41959999999995</v>
          </cell>
          <cell r="K4120">
            <v>0</v>
          </cell>
          <cell r="L4120">
            <v>617.41959999999995</v>
          </cell>
          <cell r="M4120">
            <v>0</v>
          </cell>
          <cell r="N4120">
            <v>769.99</v>
          </cell>
          <cell r="O4120" t="str">
            <v/>
          </cell>
          <cell r="P4120">
            <v>0</v>
          </cell>
          <cell r="Q4120">
            <v>0.24710974513928599</v>
          </cell>
          <cell r="R4120">
            <v>0.24710974513928599</v>
          </cell>
          <cell r="S4120" t="e">
            <v>#VALUE!</v>
          </cell>
          <cell r="T4120" t="e">
            <v>#VALUE!</v>
          </cell>
        </row>
        <row r="4121">
          <cell r="A4121" t="str">
            <v>GRAG31000209</v>
          </cell>
          <cell r="B4121" t="str">
            <v>MKP000631005664</v>
          </cell>
          <cell r="C4121" t="str">
            <v/>
          </cell>
          <cell r="D4121" t="str">
            <v>Armário de Cozinha Completa 310cm Branco Agata Madesa 02</v>
          </cell>
          <cell r="E4121" t="str">
            <v>ÁGATA</v>
          </cell>
          <cell r="F4121" t="str">
            <v>COZINHA</v>
          </cell>
          <cell r="G4121" t="str">
            <v/>
          </cell>
          <cell r="H4121">
            <v>2599.9899999999998</v>
          </cell>
          <cell r="I4121">
            <v>2499.9899999999998</v>
          </cell>
          <cell r="J4121">
            <v>2000.3897999999999</v>
          </cell>
          <cell r="K4121">
            <v>0</v>
          </cell>
          <cell r="L4121">
            <v>2000.3897999999999</v>
          </cell>
          <cell r="M4121">
            <v>0</v>
          </cell>
          <cell r="N4121">
            <v>2499.9899999999998</v>
          </cell>
          <cell r="O4121" t="str">
            <v/>
          </cell>
          <cell r="P4121">
            <v>0</v>
          </cell>
          <cell r="Q4121">
            <v>0.24975142344757001</v>
          </cell>
          <cell r="R4121">
            <v>0.24975142344757001</v>
          </cell>
          <cell r="S4121" t="e">
            <v>#VALUE!</v>
          </cell>
          <cell r="T4121" t="e">
            <v>#VALUE!</v>
          </cell>
        </row>
        <row r="4122">
          <cell r="A4122" t="str">
            <v>MDJA0601605ZOXF</v>
          </cell>
          <cell r="B4122" t="str">
            <v/>
          </cell>
          <cell r="C4122" t="str">
            <v/>
          </cell>
          <cell r="D4122" t="str">
            <v>Conjunto Sala de Jantar Mesa Tampo de Madeira 6 Cadeiras Rustic/Oxford Hanna Madesa</v>
          </cell>
          <cell r="E4122" t="str">
            <v>HANNA</v>
          </cell>
          <cell r="F4122" t="str">
            <v>SALA DE JANTAR</v>
          </cell>
          <cell r="G4122">
            <v>4256</v>
          </cell>
          <cell r="H4122">
            <v>1649.99</v>
          </cell>
          <cell r="I4122">
            <v>1549.99</v>
          </cell>
          <cell r="J4122">
            <v>1178.8132000000001</v>
          </cell>
          <cell r="K4122">
            <v>0</v>
          </cell>
          <cell r="L4122">
            <v>1178.8132000000001</v>
          </cell>
          <cell r="M4122">
            <v>0</v>
          </cell>
          <cell r="N4122">
            <v>1549.99</v>
          </cell>
          <cell r="O4122" t="str">
            <v/>
          </cell>
          <cell r="P4122">
            <v>0</v>
          </cell>
          <cell r="Q4122">
            <v>0.31487329799157299</v>
          </cell>
          <cell r="R4122">
            <v>0.31487329799157299</v>
          </cell>
          <cell r="S4122" t="e">
            <v>#VALUE!</v>
          </cell>
          <cell r="T4122" t="e">
            <v>#VALUE!</v>
          </cell>
        </row>
        <row r="4123">
          <cell r="A4123" t="str">
            <v>MDJA0601667KOXF</v>
          </cell>
          <cell r="B4123" t="str">
            <v/>
          </cell>
          <cell r="C4123" t="str">
            <v/>
          </cell>
          <cell r="D4123" t="str">
            <v>Conjunto Sala de Jantar Mesa Tampo de Madeira  6 Cadeiras Rustic/Preto/Oxford Luciana Madesa</v>
          </cell>
          <cell r="E4123" t="str">
            <v>LUCIANA</v>
          </cell>
          <cell r="F4123" t="str">
            <v>SALA DE JANTAR</v>
          </cell>
          <cell r="G4123">
            <v>4255</v>
          </cell>
          <cell r="H4123">
            <v>1599.99</v>
          </cell>
          <cell r="I4123">
            <v>1499.99</v>
          </cell>
          <cell r="J4123">
            <v>1135.5292999999999</v>
          </cell>
          <cell r="K4123">
            <v>0</v>
          </cell>
          <cell r="L4123">
            <v>1135.5292999999999</v>
          </cell>
          <cell r="M4123">
            <v>0</v>
          </cell>
          <cell r="N4123">
            <v>1499.99</v>
          </cell>
          <cell r="O4123" t="str">
            <v/>
          </cell>
          <cell r="P4123">
            <v>0</v>
          </cell>
          <cell r="Q4123">
            <v>0.32096107075352398</v>
          </cell>
          <cell r="R4123">
            <v>0.32096107075352398</v>
          </cell>
          <cell r="S4123" t="e">
            <v>#VALUE!</v>
          </cell>
          <cell r="T4123" t="e">
            <v>#VALUE!</v>
          </cell>
        </row>
        <row r="4124">
          <cell r="A4124" t="str">
            <v>MDJA0401765ZOX</v>
          </cell>
          <cell r="B4124" t="str">
            <v>MKP000631006117</v>
          </cell>
          <cell r="C4124" t="str">
            <v/>
          </cell>
          <cell r="D4124" t="str">
            <v>Conjunto Sala de Jantar Mesa Tampo de Madeira 4 Cadeiras Rustic/Oxford Gisele Madesa</v>
          </cell>
          <cell r="E4124" t="str">
            <v>GISELE</v>
          </cell>
          <cell r="F4124" t="str">
            <v>SALA DE JANTAR</v>
          </cell>
          <cell r="G4124">
            <v>4256</v>
          </cell>
          <cell r="H4124">
            <v>1149.99</v>
          </cell>
          <cell r="I4124">
            <v>1049.99</v>
          </cell>
          <cell r="J4124">
            <v>806.1422</v>
          </cell>
          <cell r="K4124">
            <v>0</v>
          </cell>
          <cell r="L4124">
            <v>806.1422</v>
          </cell>
          <cell r="M4124">
            <v>0</v>
          </cell>
          <cell r="N4124">
            <v>1049.99</v>
          </cell>
          <cell r="O4124" t="str">
            <v/>
          </cell>
          <cell r="P4124">
            <v>0</v>
          </cell>
          <cell r="Q4124">
            <v>0.30248732791807698</v>
          </cell>
          <cell r="R4124">
            <v>0.30248732791807698</v>
          </cell>
          <cell r="S4124" t="e">
            <v>#VALUE!</v>
          </cell>
          <cell r="T4124" t="e">
            <v>#VALUE!</v>
          </cell>
        </row>
        <row r="4125">
          <cell r="A4125" t="str">
            <v>MDJA0601535ZOX</v>
          </cell>
          <cell r="B4125" t="str">
            <v>MKP000631006116</v>
          </cell>
          <cell r="C4125" t="str">
            <v/>
          </cell>
          <cell r="D4125" t="str">
            <v>Conjunto Sala de Jantar Mesa Tampo de Madeira 6 Cadeiras Rustic/Oxford Cheryl Madesa</v>
          </cell>
          <cell r="E4125" t="str">
            <v>CHERYL</v>
          </cell>
          <cell r="F4125" t="str">
            <v>SALA DE JANTAR</v>
          </cell>
          <cell r="G4125">
            <v>4255</v>
          </cell>
          <cell r="H4125">
            <v>1299.99</v>
          </cell>
          <cell r="I4125">
            <v>1299.99</v>
          </cell>
          <cell r="J4125">
            <v>990.28679999999997</v>
          </cell>
          <cell r="K4125">
            <v>0</v>
          </cell>
          <cell r="L4125">
            <v>990.28679999999997</v>
          </cell>
          <cell r="M4125">
            <v>0</v>
          </cell>
          <cell r="N4125">
            <v>1299.99</v>
          </cell>
          <cell r="O4125" t="str">
            <v/>
          </cell>
          <cell r="P4125">
            <v>0</v>
          </cell>
          <cell r="Q4125">
            <v>0.312740915056123</v>
          </cell>
          <cell r="R4125">
            <v>0.312740915056123</v>
          </cell>
          <cell r="S4125" t="e">
            <v>#VALUE!</v>
          </cell>
          <cell r="T4125" t="e">
            <v>#VALUE!</v>
          </cell>
        </row>
        <row r="4126">
          <cell r="A4126" t="str">
            <v>GRAG2700047G</v>
          </cell>
          <cell r="B4126" t="str">
            <v>MKP000631005681</v>
          </cell>
          <cell r="C4126" t="str">
            <v/>
          </cell>
          <cell r="D4126" t="str">
            <v>Armário de Cozinha Completa 270cm Rustic/Crema Agata Madesa 04</v>
          </cell>
          <cell r="E4126" t="str">
            <v>ÁGATA</v>
          </cell>
          <cell r="F4126" t="str">
            <v>COZINHA</v>
          </cell>
          <cell r="G4126" t="str">
            <v/>
          </cell>
          <cell r="H4126">
            <v>1839.99</v>
          </cell>
          <cell r="I4126">
            <v>1739.99</v>
          </cell>
          <cell r="J4126">
            <v>1370.0536999999999</v>
          </cell>
          <cell r="K4126">
            <v>0</v>
          </cell>
          <cell r="L4126">
            <v>1370.0536999999999</v>
          </cell>
          <cell r="M4126">
            <v>0</v>
          </cell>
          <cell r="N4126">
            <v>1739.99</v>
          </cell>
          <cell r="O4126" t="str">
            <v/>
          </cell>
          <cell r="P4126">
            <v>0</v>
          </cell>
          <cell r="Q4126">
            <v>0.27001591251496199</v>
          </cell>
          <cell r="R4126">
            <v>0.27001591251496199</v>
          </cell>
          <cell r="S4126" t="e">
            <v>#VALUE!</v>
          </cell>
          <cell r="T4126" t="e">
            <v>#VALUE!</v>
          </cell>
        </row>
        <row r="4127">
          <cell r="A4127" t="str">
            <v>GRTE3500015Z</v>
          </cell>
          <cell r="B4127" t="str">
            <v>MKP000631005498</v>
          </cell>
          <cell r="C4127" t="str">
            <v/>
          </cell>
          <cell r="D4127" t="str">
            <v>Armário de Cozinha Completa 350cm Rustic Stella Madesa 01</v>
          </cell>
          <cell r="E4127" t="str">
            <v>STELLA</v>
          </cell>
          <cell r="F4127" t="str">
            <v>COZINHA</v>
          </cell>
          <cell r="G4127" t="str">
            <v/>
          </cell>
          <cell r="H4127">
            <v>2199.9899999999998</v>
          </cell>
          <cell r="I4127">
            <v>2199.9899999999998</v>
          </cell>
          <cell r="J4127">
            <v>1723.617</v>
          </cell>
          <cell r="K4127">
            <v>0</v>
          </cell>
          <cell r="L4127">
            <v>1723.617</v>
          </cell>
          <cell r="M4127">
            <v>0</v>
          </cell>
          <cell r="N4127">
            <v>2199.9899999999998</v>
          </cell>
          <cell r="O4127" t="str">
            <v/>
          </cell>
          <cell r="P4127">
            <v>0</v>
          </cell>
          <cell r="Q4127">
            <v>0.27637984540649102</v>
          </cell>
          <cell r="R4127">
            <v>0.27637984540649102</v>
          </cell>
          <cell r="S4127" t="e">
            <v>#VALUE!</v>
          </cell>
          <cell r="T4127" t="e">
            <v>#VALUE!</v>
          </cell>
        </row>
        <row r="4128">
          <cell r="A4128" t="str">
            <v>GRTE35000109</v>
          </cell>
          <cell r="B4128" t="str">
            <v>MKP000631005497</v>
          </cell>
          <cell r="C4128" t="str">
            <v/>
          </cell>
          <cell r="D4128" t="str">
            <v>Armário de Cozinha Completa 350cm Branco Stella Madesa 01</v>
          </cell>
          <cell r="E4128" t="str">
            <v>STELLA</v>
          </cell>
          <cell r="F4128" t="str">
            <v>COZINHA</v>
          </cell>
          <cell r="G4128" t="str">
            <v/>
          </cell>
          <cell r="H4128">
            <v>2199.9899999999998</v>
          </cell>
          <cell r="I4128">
            <v>2199.9899999999998</v>
          </cell>
          <cell r="J4128">
            <v>1723.617</v>
          </cell>
          <cell r="K4128">
            <v>0</v>
          </cell>
          <cell r="L4128">
            <v>1723.617</v>
          </cell>
          <cell r="M4128">
            <v>0</v>
          </cell>
          <cell r="N4128">
            <v>2199.9899999999998</v>
          </cell>
          <cell r="O4128" t="str">
            <v/>
          </cell>
          <cell r="P4128">
            <v>0</v>
          </cell>
          <cell r="Q4128">
            <v>0.27637984540649102</v>
          </cell>
          <cell r="R4128">
            <v>0.27637984540649102</v>
          </cell>
          <cell r="S4128" t="e">
            <v>#VALUE!</v>
          </cell>
          <cell r="T4128" t="e">
            <v>#VALUE!</v>
          </cell>
        </row>
        <row r="4129">
          <cell r="A4129" t="str">
            <v>GRTE3500016E</v>
          </cell>
          <cell r="B4129" t="str">
            <v>MKP000631005496</v>
          </cell>
          <cell r="C4129" t="str">
            <v/>
          </cell>
          <cell r="D4129" t="str">
            <v>Armário de Cozinha Completa 350cm Rustic/Branco Stella Madesa 01</v>
          </cell>
          <cell r="E4129" t="str">
            <v>STELLA</v>
          </cell>
          <cell r="F4129" t="str">
            <v>COZINHA</v>
          </cell>
          <cell r="G4129" t="str">
            <v/>
          </cell>
          <cell r="H4129">
            <v>2199.9899999999998</v>
          </cell>
          <cell r="I4129">
            <v>2199.9899999999998</v>
          </cell>
          <cell r="J4129">
            <v>1723.617</v>
          </cell>
          <cell r="K4129">
            <v>0</v>
          </cell>
          <cell r="L4129">
            <v>1723.617</v>
          </cell>
          <cell r="M4129">
            <v>0</v>
          </cell>
          <cell r="N4129">
            <v>2199.9899999999998</v>
          </cell>
          <cell r="O4129" t="str">
            <v/>
          </cell>
          <cell r="P4129">
            <v>0</v>
          </cell>
          <cell r="Q4129">
            <v>0.27637984540649102</v>
          </cell>
          <cell r="R4129">
            <v>0.27637984540649102</v>
          </cell>
          <cell r="S4129" t="e">
            <v>#VALUE!</v>
          </cell>
          <cell r="T4129" t="e">
            <v>#VALUE!</v>
          </cell>
        </row>
        <row r="4130">
          <cell r="A4130" t="str">
            <v>MDJA0601627KOXF</v>
          </cell>
          <cell r="B4130" t="str">
            <v/>
          </cell>
          <cell r="C4130" t="str">
            <v/>
          </cell>
          <cell r="D4130" t="str">
            <v>Conjunto Sala de Jantar Mesa Tampo de Vidro 6 Cadeiras Rustic/Preto/Oxford Geórgia Madesa</v>
          </cell>
          <cell r="E4130" t="str">
            <v>GEÓRGIA</v>
          </cell>
          <cell r="F4130" t="str">
            <v>SALA DE JANTAR</v>
          </cell>
          <cell r="G4130">
            <v>4256</v>
          </cell>
          <cell r="H4130">
            <v>1969.99</v>
          </cell>
          <cell r="I4130">
            <v>1869.99</v>
          </cell>
          <cell r="J4130">
            <v>1411.2447999999999</v>
          </cell>
          <cell r="K4130">
            <v>0</v>
          </cell>
          <cell r="L4130">
            <v>1411.2447999999999</v>
          </cell>
          <cell r="M4130">
            <v>0</v>
          </cell>
          <cell r="N4130">
            <v>1869.99</v>
          </cell>
          <cell r="O4130" t="str">
            <v>MADEIRAMADEIRA</v>
          </cell>
          <cell r="P4130">
            <v>1849.99</v>
          </cell>
          <cell r="Q4130">
            <v>0.32506422698599102</v>
          </cell>
          <cell r="R4130">
            <v>0.32506422698599102</v>
          </cell>
          <cell r="S4130" t="e">
            <v>#VALUE!</v>
          </cell>
          <cell r="T4130" t="e">
            <v>#VALUE!</v>
          </cell>
        </row>
        <row r="4131">
          <cell r="A4131" t="str">
            <v>MDJA0401585ZLIB</v>
          </cell>
          <cell r="B4131" t="str">
            <v>MKP000631005527</v>
          </cell>
          <cell r="C4131" t="str">
            <v/>
          </cell>
          <cell r="D4131" t="str">
            <v>Conjunto Sala de Jantar Mesa Tampo de Vidro 4 Cadeiras Rustic/Lírio Bege Espanha Madesa</v>
          </cell>
          <cell r="E4131" t="str">
            <v>ESPANHA</v>
          </cell>
          <cell r="F4131" t="str">
            <v>SALA DE JANTAR</v>
          </cell>
          <cell r="G4131" t="str">
            <v>4290X</v>
          </cell>
          <cell r="H4131">
            <v>1129.99</v>
          </cell>
          <cell r="I4131">
            <v>1029.99</v>
          </cell>
          <cell r="J4131">
            <v>810.84010000000001</v>
          </cell>
          <cell r="K4131">
            <v>0</v>
          </cell>
          <cell r="L4131">
            <v>810.84010000000001</v>
          </cell>
          <cell r="M4131">
            <v>0</v>
          </cell>
          <cell r="N4131">
            <v>1029.99</v>
          </cell>
          <cell r="O4131" t="str">
            <v/>
          </cell>
          <cell r="P4131">
            <v>0</v>
          </cell>
          <cell r="Q4131">
            <v>0.27027511342865301</v>
          </cell>
          <cell r="R4131">
            <v>0.27027511342865301</v>
          </cell>
          <cell r="S4131" t="e">
            <v>#VALUE!</v>
          </cell>
          <cell r="T4131" t="e">
            <v>#VALUE!</v>
          </cell>
        </row>
        <row r="4132">
          <cell r="A4132" t="str">
            <v>GRTE2700055Z</v>
          </cell>
          <cell r="B4132" t="str">
            <v>MKP000631005487</v>
          </cell>
          <cell r="C4132" t="str">
            <v/>
          </cell>
          <cell r="D4132" t="str">
            <v>Armário de Cozinha Completa 270cm Rustic Stella Madesa 05</v>
          </cell>
          <cell r="E4132" t="str">
            <v>STELLA</v>
          </cell>
          <cell r="F4132" t="str">
            <v>COZINHA</v>
          </cell>
          <cell r="G4132" t="str">
            <v/>
          </cell>
          <cell r="H4132">
            <v>1999.99</v>
          </cell>
          <cell r="I4132">
            <v>1999.99</v>
          </cell>
          <cell r="J4132">
            <v>1558.3948</v>
          </cell>
          <cell r="K4132">
            <v>0</v>
          </cell>
          <cell r="L4132">
            <v>1558.3948</v>
          </cell>
          <cell r="M4132">
            <v>0</v>
          </cell>
          <cell r="N4132">
            <v>1999.99</v>
          </cell>
          <cell r="O4132" t="str">
            <v/>
          </cell>
          <cell r="P4132">
            <v>0</v>
          </cell>
          <cell r="Q4132">
            <v>0.28336542190720898</v>
          </cell>
          <cell r="R4132">
            <v>0.28336542190720898</v>
          </cell>
          <cell r="S4132" t="e">
            <v>#VALUE!</v>
          </cell>
          <cell r="T4132" t="e">
            <v>#VALUE!</v>
          </cell>
        </row>
        <row r="4133">
          <cell r="A4133" t="str">
            <v>GRTE2700059B</v>
          </cell>
          <cell r="B4133" t="str">
            <v>MKP000631005488</v>
          </cell>
          <cell r="C4133" t="str">
            <v/>
          </cell>
          <cell r="D4133" t="str">
            <v>Armário de Cozinha Completa 270cm Branco/Rustic Stella Madesa 05</v>
          </cell>
          <cell r="E4133" t="str">
            <v>STELLA</v>
          </cell>
          <cell r="F4133" t="str">
            <v>COZINHA</v>
          </cell>
          <cell r="G4133" t="str">
            <v/>
          </cell>
          <cell r="H4133">
            <v>1999.99</v>
          </cell>
          <cell r="I4133">
            <v>1999.99</v>
          </cell>
          <cell r="J4133">
            <v>1558.3948</v>
          </cell>
          <cell r="K4133">
            <v>0</v>
          </cell>
          <cell r="L4133">
            <v>1558.3948</v>
          </cell>
          <cell r="M4133">
            <v>0</v>
          </cell>
          <cell r="N4133">
            <v>1999.99</v>
          </cell>
          <cell r="O4133" t="str">
            <v/>
          </cell>
          <cell r="P4133">
            <v>0</v>
          </cell>
          <cell r="Q4133">
            <v>0.28336542190720898</v>
          </cell>
          <cell r="R4133">
            <v>0.28336542190720898</v>
          </cell>
          <cell r="S4133" t="e">
            <v>#VALUE!</v>
          </cell>
          <cell r="T4133" t="e">
            <v>#VALUE!</v>
          </cell>
        </row>
        <row r="4134">
          <cell r="A4134" t="str">
            <v>GRTE27000509</v>
          </cell>
          <cell r="B4134" t="str">
            <v>MKP000631005697</v>
          </cell>
          <cell r="C4134" t="str">
            <v/>
          </cell>
          <cell r="D4134" t="str">
            <v>Armário de Cozinha Completa 270cm Branco Stella Madesa 05</v>
          </cell>
          <cell r="E4134" t="str">
            <v>STELLA</v>
          </cell>
          <cell r="F4134" t="str">
            <v>COZINHA</v>
          </cell>
          <cell r="G4134" t="str">
            <v/>
          </cell>
          <cell r="H4134">
            <v>1999.99</v>
          </cell>
          <cell r="I4134">
            <v>1999.99</v>
          </cell>
          <cell r="J4134">
            <v>1558.3948</v>
          </cell>
          <cell r="K4134">
            <v>0</v>
          </cell>
          <cell r="L4134">
            <v>1558.3948</v>
          </cell>
          <cell r="M4134">
            <v>0</v>
          </cell>
          <cell r="N4134">
            <v>1999.99</v>
          </cell>
          <cell r="O4134" t="str">
            <v/>
          </cell>
          <cell r="P4134">
            <v>0</v>
          </cell>
          <cell r="Q4134">
            <v>0.28336542190720898</v>
          </cell>
          <cell r="R4134">
            <v>0.28336542190720898</v>
          </cell>
          <cell r="S4134" t="e">
            <v>#VALUE!</v>
          </cell>
          <cell r="T4134" t="e">
            <v>#VALUE!</v>
          </cell>
        </row>
        <row r="4135">
          <cell r="A4135" t="str">
            <v>MDJA040171D8OXF</v>
          </cell>
          <cell r="B4135" t="str">
            <v/>
          </cell>
          <cell r="C4135" t="str">
            <v/>
          </cell>
          <cell r="D4135" t="str">
            <v>Conjunto Sala de Jantar Mesa Tampo de Vidro 4 Cadeiras Rustic/Preto/Oxford Noemi Madesa</v>
          </cell>
          <cell r="E4135" t="str">
            <v>NOEMI</v>
          </cell>
          <cell r="F4135" t="str">
            <v>SALA DE JANTAR</v>
          </cell>
          <cell r="G4135">
            <v>4256</v>
          </cell>
          <cell r="H4135">
            <v>1199.99</v>
          </cell>
          <cell r="I4135">
            <v>1119.99</v>
          </cell>
          <cell r="J4135">
            <v>833.99170000000004</v>
          </cell>
          <cell r="K4135">
            <v>0</v>
          </cell>
          <cell r="L4135">
            <v>833.99170000000004</v>
          </cell>
          <cell r="M4135">
            <v>0</v>
          </cell>
          <cell r="N4135">
            <v>1119.99</v>
          </cell>
          <cell r="O4135" t="str">
            <v>MADEIRAMADEIRA</v>
          </cell>
          <cell r="P4135">
            <v>1099.99</v>
          </cell>
          <cell r="Q4135">
            <v>0.34292703392611701</v>
          </cell>
          <cell r="R4135">
            <v>0.34292703392611701</v>
          </cell>
          <cell r="S4135" t="e">
            <v>#VALUE!</v>
          </cell>
          <cell r="T4135" t="e">
            <v>#VALUE!</v>
          </cell>
        </row>
        <row r="4136">
          <cell r="A4136" t="str">
            <v>MDJA0800065ZOXF</v>
          </cell>
          <cell r="B4136" t="str">
            <v/>
          </cell>
          <cell r="C4136" t="str">
            <v/>
          </cell>
          <cell r="D4136" t="str">
            <v>Conjunto Sala de Jantar Mesa Tampo de Madeira 8 Cadeiras Rustic/Oxford Leila Madesa</v>
          </cell>
          <cell r="E4136" t="str">
            <v>LEILA</v>
          </cell>
          <cell r="F4136" t="str">
            <v>SALA DE JANTAR</v>
          </cell>
          <cell r="G4136">
            <v>4256</v>
          </cell>
          <cell r="H4136">
            <v>2169.9899999999998</v>
          </cell>
          <cell r="I4136">
            <v>2069.9899999999998</v>
          </cell>
          <cell r="J4136">
            <v>1549.4023</v>
          </cell>
          <cell r="K4136">
            <v>0</v>
          </cell>
          <cell r="L4136">
            <v>1549.4023</v>
          </cell>
          <cell r="M4136">
            <v>0</v>
          </cell>
          <cell r="N4136">
            <v>2069.9899999999998</v>
          </cell>
          <cell r="O4136" t="str">
            <v/>
          </cell>
          <cell r="P4136">
            <v>0</v>
          </cell>
          <cell r="Q4136">
            <v>0.33599259533821502</v>
          </cell>
          <cell r="R4136">
            <v>0.33599259533821502</v>
          </cell>
          <cell r="S4136" t="e">
            <v>#VALUE!</v>
          </cell>
          <cell r="T4136" t="e">
            <v>#VALUE!</v>
          </cell>
        </row>
        <row r="4137">
          <cell r="A4137" t="str">
            <v>MDJA0401057KOXF</v>
          </cell>
          <cell r="B4137" t="str">
            <v>MKP000631006044</v>
          </cell>
          <cell r="C4137" t="str">
            <v/>
          </cell>
          <cell r="D4137" t="str">
            <v>Conjunto Sala de Jantar Mesa Tampo de Madeira com 4 Cadeiras Rustic/Preto/Oxford Flavia Madesa</v>
          </cell>
          <cell r="E4137" t="str">
            <v>FLAVIA</v>
          </cell>
          <cell r="F4137" t="str">
            <v>SALA DE JANTAR</v>
          </cell>
          <cell r="G4137">
            <v>4255</v>
          </cell>
          <cell r="H4137">
            <v>1229.99</v>
          </cell>
          <cell r="I4137">
            <v>1129.99</v>
          </cell>
          <cell r="J4137">
            <v>833.90449999999998</v>
          </cell>
          <cell r="K4137">
            <v>0</v>
          </cell>
          <cell r="L4137">
            <v>833.90449999999998</v>
          </cell>
          <cell r="M4137">
            <v>0</v>
          </cell>
          <cell r="N4137">
            <v>1129.99</v>
          </cell>
          <cell r="O4137" t="str">
            <v/>
          </cell>
          <cell r="P4137">
            <v>0</v>
          </cell>
          <cell r="Q4137">
            <v>0.35505924239526199</v>
          </cell>
          <cell r="R4137">
            <v>0.35505924239526199</v>
          </cell>
          <cell r="S4137" t="e">
            <v>#VALUE!</v>
          </cell>
          <cell r="T4137" t="e">
            <v>#VALUE!</v>
          </cell>
        </row>
        <row r="4138">
          <cell r="A4138" t="str">
            <v>GRAG2700015L</v>
          </cell>
          <cell r="B4138" t="str">
            <v>MKP000631005682</v>
          </cell>
          <cell r="C4138" t="str">
            <v/>
          </cell>
          <cell r="D4138" t="str">
            <v>Armário de Cozinha Completa 270cm Branco/Crema Agata Madesa 01</v>
          </cell>
          <cell r="E4138" t="str">
            <v>ÁGATA</v>
          </cell>
          <cell r="F4138" t="str">
            <v>COZINHA</v>
          </cell>
          <cell r="G4138" t="str">
            <v/>
          </cell>
          <cell r="H4138">
            <v>2399.9899999999998</v>
          </cell>
          <cell r="I4138">
            <v>2399.9899999999998</v>
          </cell>
          <cell r="J4138">
            <v>1858.4391000000001</v>
          </cell>
          <cell r="K4138">
            <v>0</v>
          </cell>
          <cell r="L4138">
            <v>1858.4391000000001</v>
          </cell>
          <cell r="M4138">
            <v>0</v>
          </cell>
          <cell r="N4138">
            <v>2399.9899999999998</v>
          </cell>
          <cell r="O4138" t="str">
            <v/>
          </cell>
          <cell r="P4138">
            <v>0</v>
          </cell>
          <cell r="Q4138">
            <v>0.29140093963800001</v>
          </cell>
          <cell r="R4138">
            <v>0.29140093963800001</v>
          </cell>
          <cell r="S4138" t="e">
            <v>#VALUE!</v>
          </cell>
          <cell r="T4138" t="e">
            <v>#VALUE!</v>
          </cell>
        </row>
        <row r="4139">
          <cell r="A4139" t="str">
            <v>MDJA0401577KFBM</v>
          </cell>
          <cell r="B4139" t="str">
            <v>MKP000631005540</v>
          </cell>
          <cell r="C4139" t="str">
            <v/>
          </cell>
          <cell r="D4139" t="str">
            <v>Conjunto Sala de Jantar Mesa Tampo de Madeira 4 Cadeiras Rustic/Preto/Bege Marrom Samara Madesa</v>
          </cell>
          <cell r="E4139" t="str">
            <v>SAMARA</v>
          </cell>
          <cell r="F4139" t="str">
            <v>SALA DE JANTAR</v>
          </cell>
          <cell r="G4139" t="str">
            <v>4290X</v>
          </cell>
          <cell r="H4139">
            <v>619.99</v>
          </cell>
          <cell r="I4139">
            <v>519.99</v>
          </cell>
          <cell r="J4139">
            <v>400.13900000000001</v>
          </cell>
          <cell r="K4139">
            <v>0</v>
          </cell>
          <cell r="L4139">
            <v>400.13900000000001</v>
          </cell>
          <cell r="M4139">
            <v>0</v>
          </cell>
          <cell r="N4139">
            <v>519.99</v>
          </cell>
          <cell r="O4139" t="str">
            <v/>
          </cell>
          <cell r="P4139">
            <v>0</v>
          </cell>
          <cell r="Q4139">
            <v>0.299523415613074</v>
          </cell>
          <cell r="R4139">
            <v>0.299523415613074</v>
          </cell>
          <cell r="S4139" t="e">
            <v>#VALUE!</v>
          </cell>
          <cell r="T4139" t="e">
            <v>#VALUE!</v>
          </cell>
        </row>
        <row r="4140">
          <cell r="A4140" t="str">
            <v>MDJA0401577GBE</v>
          </cell>
          <cell r="B4140" t="str">
            <v>MKP000631005541</v>
          </cell>
          <cell r="C4140" t="str">
            <v/>
          </cell>
          <cell r="D4140" t="str">
            <v>Conjunto Sala de Jantar Mesa Tampo de Madeira 4 Cadeiras Rustic/Crema/Sintético Bege Samara Madesa</v>
          </cell>
          <cell r="E4140" t="str">
            <v>SAMARA</v>
          </cell>
          <cell r="F4140" t="str">
            <v>SALA DE JANTAR</v>
          </cell>
          <cell r="G4140" t="str">
            <v>4290X</v>
          </cell>
          <cell r="H4140">
            <v>619.99</v>
          </cell>
          <cell r="I4140">
            <v>519.99</v>
          </cell>
          <cell r="J4140">
            <v>400.13900000000001</v>
          </cell>
          <cell r="K4140">
            <v>0</v>
          </cell>
          <cell r="L4140">
            <v>400.13900000000001</v>
          </cell>
          <cell r="M4140">
            <v>0</v>
          </cell>
          <cell r="N4140">
            <v>519.99</v>
          </cell>
          <cell r="O4140" t="str">
            <v/>
          </cell>
          <cell r="P4140">
            <v>0</v>
          </cell>
          <cell r="Q4140">
            <v>0.299523415613074</v>
          </cell>
          <cell r="R4140">
            <v>0.299523415613074</v>
          </cell>
          <cell r="S4140" t="e">
            <v>#VALUE!</v>
          </cell>
          <cell r="T4140" t="e">
            <v>#VALUE!</v>
          </cell>
        </row>
        <row r="4141">
          <cell r="A4141" t="str">
            <v>G241539BGLCTFF</v>
          </cell>
          <cell r="B4141" t="str">
            <v>MKP000631005608</v>
          </cell>
          <cell r="C4141" t="str">
            <v/>
          </cell>
          <cell r="D4141" t="str">
            <v>Balcão Gabinete de Pia Madesa Glamy 150 cm 2 Gavetas 2 Portas (Com Tampo) Branco/Rustic</v>
          </cell>
          <cell r="E4141" t="str">
            <v>GLAMY</v>
          </cell>
          <cell r="F4141" t="str">
            <v>MODULAÇÃO</v>
          </cell>
          <cell r="G4141" t="str">
            <v/>
          </cell>
          <cell r="H4141">
            <v>859.99</v>
          </cell>
          <cell r="I4141">
            <v>769.99</v>
          </cell>
          <cell r="J4141">
            <v>593.10170000000005</v>
          </cell>
          <cell r="K4141">
            <v>0</v>
          </cell>
          <cell r="L4141">
            <v>593.10170000000005</v>
          </cell>
          <cell r="M4141">
            <v>0</v>
          </cell>
          <cell r="N4141">
            <v>769.99</v>
          </cell>
          <cell r="O4141" t="str">
            <v/>
          </cell>
          <cell r="P4141">
            <v>0</v>
          </cell>
          <cell r="Q4141">
            <v>0.29824278028540502</v>
          </cell>
          <cell r="R4141">
            <v>0.29824278028540502</v>
          </cell>
          <cell r="S4141" t="e">
            <v>#VALUE!</v>
          </cell>
          <cell r="T4141" t="e">
            <v>#VALUE!</v>
          </cell>
        </row>
        <row r="4142">
          <cell r="A4142" t="str">
            <v>G241537KGLCTFF</v>
          </cell>
          <cell r="B4142" t="str">
            <v>MKP000631005604</v>
          </cell>
          <cell r="C4142" t="str">
            <v/>
          </cell>
          <cell r="D4142" t="str">
            <v>Balcão Gabinete de Pia Madesa Glamy 150 cm 2 Gavetas 2 Portas (Com Tampo) Rustic/Preto</v>
          </cell>
          <cell r="E4142" t="str">
            <v>GLAMY</v>
          </cell>
          <cell r="F4142" t="str">
            <v>MODULAÇÃO</v>
          </cell>
          <cell r="G4142" t="str">
            <v/>
          </cell>
          <cell r="H4142">
            <v>859.99</v>
          </cell>
          <cell r="I4142">
            <v>769.99</v>
          </cell>
          <cell r="J4142">
            <v>593.10170000000005</v>
          </cell>
          <cell r="K4142">
            <v>0</v>
          </cell>
          <cell r="L4142">
            <v>593.10170000000005</v>
          </cell>
          <cell r="M4142">
            <v>0</v>
          </cell>
          <cell r="N4142">
            <v>769.99</v>
          </cell>
          <cell r="O4142" t="str">
            <v/>
          </cell>
          <cell r="P4142">
            <v>0</v>
          </cell>
          <cell r="Q4142">
            <v>0.29824278028540502</v>
          </cell>
          <cell r="R4142">
            <v>0.29824278028540502</v>
          </cell>
          <cell r="S4142" t="e">
            <v>#VALUE!</v>
          </cell>
          <cell r="T4142" t="e">
            <v>#VALUE!</v>
          </cell>
        </row>
        <row r="4143">
          <cell r="A4143" t="str">
            <v>G2415373GLCTFF</v>
          </cell>
          <cell r="B4143" t="str">
            <v>MKP000631005611</v>
          </cell>
          <cell r="C4143" t="str">
            <v/>
          </cell>
          <cell r="D4143" t="str">
            <v>Balcão Gabinete de Pia Madesa Glamy 150 cm 2 Gavetas 2 Portas (Com Tampo) Branco/Preto</v>
          </cell>
          <cell r="E4143" t="str">
            <v>GLAMY</v>
          </cell>
          <cell r="F4143" t="str">
            <v>MODULAÇÃO</v>
          </cell>
          <cell r="G4143" t="str">
            <v/>
          </cell>
          <cell r="H4143">
            <v>859.99</v>
          </cell>
          <cell r="I4143">
            <v>769.99</v>
          </cell>
          <cell r="J4143">
            <v>593.10170000000005</v>
          </cell>
          <cell r="K4143">
            <v>0</v>
          </cell>
          <cell r="L4143">
            <v>593.10170000000005</v>
          </cell>
          <cell r="M4143">
            <v>0</v>
          </cell>
          <cell r="N4143">
            <v>769.99</v>
          </cell>
          <cell r="O4143" t="str">
            <v/>
          </cell>
          <cell r="P4143">
            <v>0</v>
          </cell>
          <cell r="Q4143">
            <v>0.29824278028540502</v>
          </cell>
          <cell r="R4143">
            <v>0.29824278028540502</v>
          </cell>
          <cell r="S4143" t="e">
            <v>#VALUE!</v>
          </cell>
          <cell r="T4143" t="e">
            <v>#VALUE!</v>
          </cell>
        </row>
        <row r="4144">
          <cell r="A4144" t="str">
            <v>GCAG4790015L</v>
          </cell>
          <cell r="B4144" t="str">
            <v>MKP000631005698</v>
          </cell>
          <cell r="C4144" t="str">
            <v/>
          </cell>
          <cell r="D4144" t="str">
            <v>Armário de Cozinha Completa de Canto 479cm Branco/Crema Agata Madesa 01</v>
          </cell>
          <cell r="E4144" t="str">
            <v>ÁGATA</v>
          </cell>
          <cell r="F4144" t="str">
            <v>COZINHA</v>
          </cell>
          <cell r="G4144" t="str">
            <v/>
          </cell>
          <cell r="H4144">
            <v>3759.99</v>
          </cell>
          <cell r="I4144">
            <v>3759.99</v>
          </cell>
          <cell r="J4144">
            <v>2881.8182999999999</v>
          </cell>
          <cell r="K4144">
            <v>0</v>
          </cell>
          <cell r="L4144">
            <v>2881.8182999999999</v>
          </cell>
          <cell r="M4144">
            <v>0</v>
          </cell>
          <cell r="N4144">
            <v>3759.99</v>
          </cell>
          <cell r="O4144" t="str">
            <v/>
          </cell>
          <cell r="P4144">
            <v>0</v>
          </cell>
          <cell r="Q4144">
            <v>0.30472833766098301</v>
          </cell>
          <cell r="R4144">
            <v>0.30472833766098301</v>
          </cell>
          <cell r="S4144" t="e">
            <v>#VALUE!</v>
          </cell>
          <cell r="T4144" t="e">
            <v>#VALUE!</v>
          </cell>
        </row>
        <row r="4145">
          <cell r="A4145" t="str">
            <v>MDJA0601677KPT</v>
          </cell>
          <cell r="B4145" t="str">
            <v/>
          </cell>
          <cell r="C4145" t="str">
            <v/>
          </cell>
          <cell r="D4145" t="str">
            <v>Conjunto Sala de Jantar Mesa Tampo de Vidro 6 Cadeiras Rustic/Preto Zoe Madesa</v>
          </cell>
          <cell r="E4145" t="str">
            <v>ZOE</v>
          </cell>
          <cell r="F4145" t="str">
            <v>SALA DE JANTAR</v>
          </cell>
          <cell r="G4145" t="str">
            <v>4280X</v>
          </cell>
          <cell r="H4145">
            <v>999.99</v>
          </cell>
          <cell r="I4145">
            <v>999.99</v>
          </cell>
          <cell r="J4145">
            <v>760.36220000000003</v>
          </cell>
          <cell r="K4145">
            <v>0</v>
          </cell>
          <cell r="L4145">
            <v>760.36220000000003</v>
          </cell>
          <cell r="M4145">
            <v>0</v>
          </cell>
          <cell r="N4145">
            <v>999.99</v>
          </cell>
          <cell r="O4145" t="str">
            <v/>
          </cell>
          <cell r="P4145">
            <v>0</v>
          </cell>
          <cell r="Q4145">
            <v>0.31514954320454103</v>
          </cell>
          <cell r="R4145">
            <v>0.31514954320454103</v>
          </cell>
          <cell r="S4145" t="e">
            <v>#VALUE!</v>
          </cell>
          <cell r="T4145" t="e">
            <v>#VALUE!</v>
          </cell>
        </row>
        <row r="4146">
          <cell r="A4146" t="str">
            <v>MDJA060167D8PT</v>
          </cell>
          <cell r="B4146" t="str">
            <v/>
          </cell>
          <cell r="C4146" t="str">
            <v/>
          </cell>
          <cell r="D4146" t="str">
            <v>Conjunto Sala de Jantar Mesa Tampo de Vidro 6 Cadeiras Preto/Rustic Zoe Madesa</v>
          </cell>
          <cell r="E4146" t="str">
            <v>ZOE</v>
          </cell>
          <cell r="F4146" t="str">
            <v>SALA DE JANTAR</v>
          </cell>
          <cell r="G4146" t="str">
            <v>4280X</v>
          </cell>
          <cell r="H4146">
            <v>999.99</v>
          </cell>
          <cell r="I4146">
            <v>999.99</v>
          </cell>
          <cell r="J4146">
            <v>760.36220000000003</v>
          </cell>
          <cell r="K4146">
            <v>0</v>
          </cell>
          <cell r="L4146">
            <v>760.36220000000003</v>
          </cell>
          <cell r="M4146">
            <v>0</v>
          </cell>
          <cell r="N4146">
            <v>999.99</v>
          </cell>
          <cell r="O4146" t="str">
            <v/>
          </cell>
          <cell r="P4146">
            <v>0</v>
          </cell>
          <cell r="Q4146">
            <v>0.31514954320454103</v>
          </cell>
          <cell r="R4146">
            <v>0.31514954320454103</v>
          </cell>
          <cell r="S4146" t="e">
            <v>#VALUE!</v>
          </cell>
          <cell r="T4146" t="e">
            <v>#VALUE!</v>
          </cell>
        </row>
        <row r="4147">
          <cell r="A4147" t="str">
            <v>MDJA0401835ZOXF</v>
          </cell>
          <cell r="B4147" t="str">
            <v/>
          </cell>
          <cell r="C4147" t="str">
            <v/>
          </cell>
          <cell r="D4147" t="str">
            <v>Conjunto Sala de Jantar Mesa Tampo de Madeira 4 Cadeiras Rustic/Oxford Keila Madesa</v>
          </cell>
          <cell r="E4147" t="str">
            <v>KEILA</v>
          </cell>
          <cell r="F4147" t="str">
            <v>SALA DE JANTAR</v>
          </cell>
          <cell r="G4147">
            <v>4255</v>
          </cell>
          <cell r="H4147">
            <v>1259.99</v>
          </cell>
          <cell r="I4147">
            <v>1159.99</v>
          </cell>
          <cell r="J4147">
            <v>831.23400000000004</v>
          </cell>
          <cell r="K4147">
            <v>0</v>
          </cell>
          <cell r="L4147">
            <v>831.23400000000004</v>
          </cell>
          <cell r="M4147">
            <v>0</v>
          </cell>
          <cell r="N4147">
            <v>1159.99</v>
          </cell>
          <cell r="O4147" t="str">
            <v/>
          </cell>
          <cell r="P4147">
            <v>0</v>
          </cell>
          <cell r="Q4147">
            <v>0.39550355254958303</v>
          </cell>
          <cell r="R4147">
            <v>0.39550355254958303</v>
          </cell>
          <cell r="S4147" t="e">
            <v>#VALUE!</v>
          </cell>
          <cell r="T4147" t="e">
            <v>#VALUE!</v>
          </cell>
        </row>
        <row r="4148">
          <cell r="A4148" t="str">
            <v>MDJA0401877KPT</v>
          </cell>
          <cell r="B4148" t="str">
            <v/>
          </cell>
          <cell r="C4148" t="str">
            <v/>
          </cell>
          <cell r="D4148" t="str">
            <v>Conjunto Sala de Jantar Mesa Tampo de Vidro 4 Cadeiras Rustic/Preto Eloá Madesa</v>
          </cell>
          <cell r="E4148" t="str">
            <v>ELOÁ</v>
          </cell>
          <cell r="F4148" t="str">
            <v>SALA DE JANTAR</v>
          </cell>
          <cell r="G4148" t="str">
            <v>4280X</v>
          </cell>
          <cell r="H4148">
            <v>849.99</v>
          </cell>
          <cell r="I4148">
            <v>849.99</v>
          </cell>
          <cell r="J4148">
            <v>643.31799999999998</v>
          </cell>
          <cell r="K4148">
            <v>0</v>
          </cell>
          <cell r="L4148">
            <v>643.31799999999998</v>
          </cell>
          <cell r="M4148">
            <v>0</v>
          </cell>
          <cell r="N4148">
            <v>849.99</v>
          </cell>
          <cell r="O4148" t="str">
            <v>CAMICADO</v>
          </cell>
          <cell r="P4148">
            <v>839.99</v>
          </cell>
          <cell r="Q4148">
            <v>0.32125947043297398</v>
          </cell>
          <cell r="R4148">
            <v>0.32125947043297398</v>
          </cell>
          <cell r="S4148" t="e">
            <v>#VALUE!</v>
          </cell>
          <cell r="T4148" t="e">
            <v>#VALUE!</v>
          </cell>
        </row>
        <row r="4149">
          <cell r="A4149" t="str">
            <v>G244013BNCCT</v>
          </cell>
          <cell r="B4149" t="str">
            <v>MKP000631005784</v>
          </cell>
          <cell r="C4149" t="str">
            <v/>
          </cell>
          <cell r="D4149" t="str">
            <v>Balcão 40 cm 3 Gavetas Com Pés Cinza Nice Madesa</v>
          </cell>
          <cell r="E4149" t="str">
            <v>NICE</v>
          </cell>
          <cell r="F4149" t="str">
            <v>MODULAÇÃO</v>
          </cell>
          <cell r="G4149" t="str">
            <v/>
          </cell>
          <cell r="H4149">
            <v>399.99</v>
          </cell>
          <cell r="I4149">
            <v>399.99</v>
          </cell>
          <cell r="J4149">
            <v>295.6952</v>
          </cell>
          <cell r="K4149">
            <v>0</v>
          </cell>
          <cell r="L4149">
            <v>295.6952</v>
          </cell>
          <cell r="M4149">
            <v>0</v>
          </cell>
          <cell r="N4149">
            <v>399.99</v>
          </cell>
          <cell r="O4149" t="str">
            <v/>
          </cell>
          <cell r="P4149">
            <v>0</v>
          </cell>
          <cell r="Q4149">
            <v>0.35271049377872898</v>
          </cell>
          <cell r="R4149">
            <v>0.35271049377872898</v>
          </cell>
          <cell r="S4149" t="e">
            <v>#VALUE!</v>
          </cell>
          <cell r="T4149" t="e">
            <v>#VALUE!</v>
          </cell>
        </row>
        <row r="4150">
          <cell r="A4150" t="str">
            <v>G2412473AGCT</v>
          </cell>
          <cell r="B4150" t="str">
            <v>MKP000631005835</v>
          </cell>
          <cell r="C4150" t="str">
            <v/>
          </cell>
          <cell r="D4150" t="str">
            <v>Balcão de Pia Cozinha 2 Portas e 3 Gavetas (Com Tampo) Branco/Preto Agata Madesa</v>
          </cell>
          <cell r="E4150" t="str">
            <v>ÁGATA</v>
          </cell>
          <cell r="F4150" t="str">
            <v>MODULAÇÃO</v>
          </cell>
          <cell r="G4150" t="str">
            <v/>
          </cell>
          <cell r="H4150">
            <v>949.99</v>
          </cell>
          <cell r="I4150">
            <v>849.99</v>
          </cell>
          <cell r="J4150">
            <v>633.29</v>
          </cell>
          <cell r="K4150">
            <v>0</v>
          </cell>
          <cell r="L4150">
            <v>633.29</v>
          </cell>
          <cell r="M4150">
            <v>0</v>
          </cell>
          <cell r="N4150">
            <v>849.99</v>
          </cell>
          <cell r="O4150" t="str">
            <v/>
          </cell>
          <cell r="P4150">
            <v>0</v>
          </cell>
          <cell r="Q4150">
            <v>0.34218130714206701</v>
          </cell>
          <cell r="R4150">
            <v>0.34218130714206701</v>
          </cell>
          <cell r="S4150" t="e">
            <v>#VALUE!</v>
          </cell>
          <cell r="T4150" t="e">
            <v>#VALUE!</v>
          </cell>
        </row>
        <row r="4151">
          <cell r="A4151" t="str">
            <v>G2415373AGCTFF</v>
          </cell>
          <cell r="B4151" t="str">
            <v>MKP000631005657</v>
          </cell>
          <cell r="C4151" t="str">
            <v/>
          </cell>
          <cell r="D4151" t="str">
            <v>Balcão Gabinete de Pia Madesa Agata 150 cm 2 Gavetas 2 Portas (Com Tampo) Branco/Preto</v>
          </cell>
          <cell r="E4151" t="str">
            <v>ÁGATA</v>
          </cell>
          <cell r="F4151" t="str">
            <v>MODULAÇÃO</v>
          </cell>
          <cell r="G4151" t="str">
            <v/>
          </cell>
          <cell r="H4151">
            <v>859.99</v>
          </cell>
          <cell r="I4151">
            <v>779.99</v>
          </cell>
          <cell r="J4151">
            <v>581.08989999999994</v>
          </cell>
          <cell r="K4151">
            <v>0</v>
          </cell>
          <cell r="L4151">
            <v>581.08989999999994</v>
          </cell>
          <cell r="M4151">
            <v>0</v>
          </cell>
          <cell r="N4151">
            <v>779.99</v>
          </cell>
          <cell r="O4151" t="str">
            <v/>
          </cell>
          <cell r="P4151">
            <v>0</v>
          </cell>
          <cell r="Q4151">
            <v>0.342288000531415</v>
          </cell>
          <cell r="R4151">
            <v>0.342288000531415</v>
          </cell>
          <cell r="S4151" t="e">
            <v>#VALUE!</v>
          </cell>
          <cell r="T4151" t="e">
            <v>#VALUE!</v>
          </cell>
        </row>
        <row r="4152">
          <cell r="A4152" t="str">
            <v>MDJA0401847KOXF</v>
          </cell>
          <cell r="B4152" t="str">
            <v>MKP000631006072</v>
          </cell>
          <cell r="C4152" t="str">
            <v/>
          </cell>
          <cell r="D4152" t="str">
            <v>Conjunto Sala de Jantar Mesa Tampo de Madeira 4 Cadeiras Rustic/Preto/Oxford Cindy Madesa</v>
          </cell>
          <cell r="E4152" t="str">
            <v>CINDY</v>
          </cell>
          <cell r="F4152" t="str">
            <v>SALA DE JANTAR</v>
          </cell>
          <cell r="G4152">
            <v>4256</v>
          </cell>
          <cell r="H4152">
            <v>1349.99</v>
          </cell>
          <cell r="I4152">
            <v>1249.99</v>
          </cell>
          <cell r="J4152">
            <v>880.15319999999997</v>
          </cell>
          <cell r="K4152">
            <v>0</v>
          </cell>
          <cell r="L4152">
            <v>880.15319999999997</v>
          </cell>
          <cell r="M4152">
            <v>0</v>
          </cell>
          <cell r="N4152">
            <v>1249.99</v>
          </cell>
          <cell r="O4152" t="str">
            <v/>
          </cell>
          <cell r="P4152">
            <v>0</v>
          </cell>
          <cell r="Q4152">
            <v>0.42019593861614102</v>
          </cell>
          <cell r="R4152">
            <v>0.42019593861614102</v>
          </cell>
          <cell r="S4152" t="e">
            <v>#VALUE!</v>
          </cell>
          <cell r="T4152" t="e">
            <v>#VALUE!</v>
          </cell>
        </row>
        <row r="4153">
          <cell r="A4153" t="str">
            <v>GRAG3500017G</v>
          </cell>
          <cell r="B4153" t="str">
            <v>MKP000631005464</v>
          </cell>
          <cell r="C4153" t="str">
            <v/>
          </cell>
          <cell r="D4153" t="str">
            <v>Armário de Cozinha Completa 350cm Rustic/Crema Agata Madesa 01</v>
          </cell>
          <cell r="E4153" t="str">
            <v>ÁGATA</v>
          </cell>
          <cell r="F4153" t="str">
            <v>COZINHA</v>
          </cell>
          <cell r="G4153" t="str">
            <v/>
          </cell>
          <cell r="H4153">
            <v>2129.9899999999998</v>
          </cell>
          <cell r="I4153">
            <v>2129.9899999999998</v>
          </cell>
          <cell r="J4153">
            <v>1577.7422999999999</v>
          </cell>
          <cell r="K4153">
            <v>0</v>
          </cell>
          <cell r="L4153">
            <v>1577.7422999999999</v>
          </cell>
          <cell r="M4153">
            <v>0</v>
          </cell>
          <cell r="N4153">
            <v>2129.9899999999998</v>
          </cell>
          <cell r="O4153" t="str">
            <v>LOJA</v>
          </cell>
          <cell r="P4153">
            <v>2239.9899999999998</v>
          </cell>
          <cell r="Q4153">
            <v>0.350024018497824</v>
          </cell>
          <cell r="R4153">
            <v>0.350024018497824</v>
          </cell>
          <cell r="S4153" t="e">
            <v>#VALUE!</v>
          </cell>
          <cell r="T4153" t="e">
            <v>#VALUE!</v>
          </cell>
        </row>
        <row r="4154">
          <cell r="A4154" t="str">
            <v>G20026F9</v>
          </cell>
          <cell r="B4154" t="str">
            <v>MKP000631005686</v>
          </cell>
          <cell r="C4154" t="str">
            <v/>
          </cell>
          <cell r="D4154" t="str">
            <v>Armário de Cozinha Compacta 120cm Rustic/Cinza Easy Madesa</v>
          </cell>
          <cell r="E4154" t="str">
            <v>EASY</v>
          </cell>
          <cell r="F4154" t="str">
            <v>COZINHA</v>
          </cell>
          <cell r="G4154" t="str">
            <v/>
          </cell>
          <cell r="H4154">
            <v>479.99</v>
          </cell>
          <cell r="I4154">
            <v>479.99</v>
          </cell>
          <cell r="J4154">
            <v>340.81029999999998</v>
          </cell>
          <cell r="K4154">
            <v>0</v>
          </cell>
          <cell r="L4154">
            <v>340.81029999999998</v>
          </cell>
          <cell r="M4154">
            <v>0</v>
          </cell>
          <cell r="N4154">
            <v>479.99</v>
          </cell>
          <cell r="O4154" t="str">
            <v>MELI</v>
          </cell>
          <cell r="P4154">
            <v>544.44000000000005</v>
          </cell>
          <cell r="Q4154">
            <v>0.40837879606338201</v>
          </cell>
          <cell r="R4154">
            <v>0.40837879606338201</v>
          </cell>
          <cell r="S4154" t="e">
            <v>#VALUE!</v>
          </cell>
          <cell r="T4154" t="e">
            <v>#VALUE!</v>
          </cell>
        </row>
        <row r="4155">
          <cell r="A4155" t="str">
            <v>G2412373AGCT</v>
          </cell>
          <cell r="B4155" t="str">
            <v>MKP000631005822</v>
          </cell>
          <cell r="C4155" t="str">
            <v/>
          </cell>
          <cell r="D4155" t="str">
            <v>Balcão de Pia Cozinha 1 Porta e 2 Gavetas (Com Tampo) Branco/Preto Agata Madesa</v>
          </cell>
          <cell r="E4155" t="str">
            <v>ÁGATA</v>
          </cell>
          <cell r="F4155" t="str">
            <v>MODULAÇÃO</v>
          </cell>
          <cell r="G4155" t="str">
            <v/>
          </cell>
          <cell r="H4155">
            <v>799.99</v>
          </cell>
          <cell r="I4155">
            <v>699.99</v>
          </cell>
          <cell r="J4155">
            <v>516.06050000000005</v>
          </cell>
          <cell r="K4155">
            <v>0</v>
          </cell>
          <cell r="L4155">
            <v>516.06050000000005</v>
          </cell>
          <cell r="M4155">
            <v>0</v>
          </cell>
          <cell r="N4155">
            <v>699.99</v>
          </cell>
          <cell r="O4155" t="str">
            <v/>
          </cell>
          <cell r="P4155">
            <v>0</v>
          </cell>
          <cell r="Q4155">
            <v>0.35641073091236403</v>
          </cell>
          <cell r="R4155">
            <v>0.35641073091236403</v>
          </cell>
          <cell r="S4155" t="e">
            <v>#VALUE!</v>
          </cell>
          <cell r="T4155" t="e">
            <v>#VALUE!</v>
          </cell>
        </row>
        <row r="4156">
          <cell r="A4156" t="str">
            <v>G241236EAGCT</v>
          </cell>
          <cell r="B4156" t="str">
            <v>MKP000631005824</v>
          </cell>
          <cell r="C4156" t="str">
            <v/>
          </cell>
          <cell r="D4156" t="str">
            <v>Balcão de Pia Cozinha 1 Porta e 2 Gavetas (Com Tampo) Rustic/Branco Agata Madesa</v>
          </cell>
          <cell r="E4156" t="str">
            <v>ÁGATA</v>
          </cell>
          <cell r="F4156" t="str">
            <v>MODULAÇÃO</v>
          </cell>
          <cell r="G4156" t="str">
            <v/>
          </cell>
          <cell r="H4156">
            <v>799.99</v>
          </cell>
          <cell r="I4156">
            <v>699.99</v>
          </cell>
          <cell r="J4156">
            <v>516.06050000000005</v>
          </cell>
          <cell r="K4156">
            <v>0</v>
          </cell>
          <cell r="L4156">
            <v>516.06050000000005</v>
          </cell>
          <cell r="M4156">
            <v>0</v>
          </cell>
          <cell r="N4156">
            <v>699.99</v>
          </cell>
          <cell r="O4156" t="str">
            <v/>
          </cell>
          <cell r="P4156">
            <v>0</v>
          </cell>
          <cell r="Q4156">
            <v>0.35641073091236403</v>
          </cell>
          <cell r="R4156">
            <v>0.35641073091236403</v>
          </cell>
          <cell r="S4156" t="e">
            <v>#VALUE!</v>
          </cell>
          <cell r="T4156" t="e">
            <v>#VALUE!</v>
          </cell>
        </row>
        <row r="4157">
          <cell r="A4157" t="str">
            <v>G244013BNC</v>
          </cell>
          <cell r="B4157" t="str">
            <v>MKP000631005783</v>
          </cell>
          <cell r="C4157" t="str">
            <v/>
          </cell>
          <cell r="D4157" t="str">
            <v>Balcão 40 cm 3 Gavetas Suspenso Cinza Nice Madesa</v>
          </cell>
          <cell r="E4157" t="str">
            <v>NICE</v>
          </cell>
          <cell r="F4157" t="str">
            <v>MODULAÇÃO</v>
          </cell>
          <cell r="G4157" t="str">
            <v/>
          </cell>
          <cell r="H4157">
            <v>379.99</v>
          </cell>
          <cell r="I4157">
            <v>379.99</v>
          </cell>
          <cell r="J4157">
            <v>274.8544</v>
          </cell>
          <cell r="K4157">
            <v>0</v>
          </cell>
          <cell r="L4157">
            <v>274.8544</v>
          </cell>
          <cell r="M4157">
            <v>0</v>
          </cell>
          <cell r="N4157">
            <v>379.99</v>
          </cell>
          <cell r="O4157" t="str">
            <v/>
          </cell>
          <cell r="P4157">
            <v>0</v>
          </cell>
          <cell r="Q4157">
            <v>0.382513796395473</v>
          </cell>
          <cell r="R4157">
            <v>0.382513796395473</v>
          </cell>
          <cell r="S4157" t="e">
            <v>#VALUE!</v>
          </cell>
          <cell r="T4157" t="e">
            <v>#VALUE!</v>
          </cell>
        </row>
        <row r="4158">
          <cell r="A4158" t="str">
            <v>MDJA0601697KPT</v>
          </cell>
          <cell r="B4158" t="str">
            <v>MKP000631006114</v>
          </cell>
          <cell r="C4158" t="str">
            <v/>
          </cell>
          <cell r="D4158" t="str">
            <v>Conjunto Sala de Jantar Mesa Tampo de Vidro 6 Cadeiras Rustic/Preto Heloísa Madesa</v>
          </cell>
          <cell r="E4158" t="str">
            <v>HELOÍSA</v>
          </cell>
          <cell r="F4158" t="str">
            <v>SALA DE JANTAR</v>
          </cell>
          <cell r="G4158" t="str">
            <v>4291X</v>
          </cell>
          <cell r="H4158">
            <v>1019.99</v>
          </cell>
          <cell r="I4158">
            <v>1019.99</v>
          </cell>
          <cell r="J4158">
            <v>742.24639999999999</v>
          </cell>
          <cell r="K4158">
            <v>0</v>
          </cell>
          <cell r="L4158">
            <v>742.24639999999999</v>
          </cell>
          <cell r="M4158">
            <v>0</v>
          </cell>
          <cell r="N4158">
            <v>1019.99</v>
          </cell>
          <cell r="O4158" t="str">
            <v/>
          </cell>
          <cell r="P4158">
            <v>0</v>
          </cell>
          <cell r="Q4158">
            <v>0.374193259812375</v>
          </cell>
          <cell r="R4158">
            <v>0.374193259812375</v>
          </cell>
          <cell r="S4158" t="e">
            <v>#VALUE!</v>
          </cell>
          <cell r="T4158" t="e">
            <v>#VALUE!</v>
          </cell>
        </row>
        <row r="4159">
          <cell r="A4159" t="str">
            <v>MDJA0601697GBE</v>
          </cell>
          <cell r="B4159" t="str">
            <v>MKP000631006104</v>
          </cell>
          <cell r="C4159" t="str">
            <v/>
          </cell>
          <cell r="D4159" t="str">
            <v>Conjunto Sala de Jantar Mesa Tampo de Vidro 6 Cadeiras Rustic/Crema/Bege Heloísa Madesa</v>
          </cell>
          <cell r="E4159" t="str">
            <v>HELOÍSA</v>
          </cell>
          <cell r="F4159" t="str">
            <v>SALA DE JANTAR</v>
          </cell>
          <cell r="G4159" t="str">
            <v>4291X</v>
          </cell>
          <cell r="H4159">
            <v>1019.99</v>
          </cell>
          <cell r="I4159">
            <v>1019.99</v>
          </cell>
          <cell r="J4159">
            <v>742.24639999999999</v>
          </cell>
          <cell r="K4159">
            <v>0</v>
          </cell>
          <cell r="L4159">
            <v>742.24639999999999</v>
          </cell>
          <cell r="M4159">
            <v>0</v>
          </cell>
          <cell r="N4159">
            <v>1019.99</v>
          </cell>
          <cell r="O4159" t="str">
            <v/>
          </cell>
          <cell r="P4159">
            <v>0</v>
          </cell>
          <cell r="Q4159">
            <v>0.374193259812375</v>
          </cell>
          <cell r="R4159">
            <v>0.374193259812375</v>
          </cell>
          <cell r="S4159" t="e">
            <v>#VALUE!</v>
          </cell>
          <cell r="T4159" t="e">
            <v>#VALUE!</v>
          </cell>
        </row>
        <row r="4160">
          <cell r="A4160" t="str">
            <v>MDJA0601697GFB</v>
          </cell>
          <cell r="B4160" t="str">
            <v>MKP000631006106</v>
          </cell>
          <cell r="C4160" t="str">
            <v/>
          </cell>
          <cell r="D4160" t="str">
            <v>Conjunto Sala de Jantar Mesa Tampo de Vidro 6 Cadeiras Rustic/Crema/Bege Marrom Heloísa Madesa</v>
          </cell>
          <cell r="E4160" t="str">
            <v>HELOÍSA</v>
          </cell>
          <cell r="F4160" t="str">
            <v>SALA DE JANTAR</v>
          </cell>
          <cell r="G4160" t="str">
            <v>4291X</v>
          </cell>
          <cell r="H4160">
            <v>1019.99</v>
          </cell>
          <cell r="I4160">
            <v>1019.99</v>
          </cell>
          <cell r="J4160">
            <v>742.24639999999999</v>
          </cell>
          <cell r="K4160">
            <v>0</v>
          </cell>
          <cell r="L4160">
            <v>742.24639999999999</v>
          </cell>
          <cell r="M4160">
            <v>0</v>
          </cell>
          <cell r="N4160">
            <v>1019.99</v>
          </cell>
          <cell r="O4160" t="str">
            <v/>
          </cell>
          <cell r="P4160">
            <v>0</v>
          </cell>
          <cell r="Q4160">
            <v>0.374193259812375</v>
          </cell>
          <cell r="R4160">
            <v>0.374193259812375</v>
          </cell>
          <cell r="S4160" t="e">
            <v>#VALUE!</v>
          </cell>
          <cell r="T4160" t="e">
            <v>#VALUE!</v>
          </cell>
        </row>
        <row r="4161">
          <cell r="A4161" t="str">
            <v>MDJA0601697GFH</v>
          </cell>
          <cell r="B4161" t="str">
            <v>MKP000631006105</v>
          </cell>
          <cell r="C4161" t="str">
            <v/>
          </cell>
          <cell r="D4161" t="str">
            <v>Conjunto Sala de Jantar Mesa Tampo de Vidro 6 Cadeiras Rustic/Crema/Hibiscos Heloísa Madesa</v>
          </cell>
          <cell r="E4161" t="str">
            <v>HELOÍSA</v>
          </cell>
          <cell r="F4161" t="str">
            <v>SALA DE JANTAR</v>
          </cell>
          <cell r="G4161" t="str">
            <v>4291X</v>
          </cell>
          <cell r="H4161">
            <v>1019.99</v>
          </cell>
          <cell r="I4161">
            <v>1019.99</v>
          </cell>
          <cell r="J4161">
            <v>742.24639999999999</v>
          </cell>
          <cell r="K4161">
            <v>0</v>
          </cell>
          <cell r="L4161">
            <v>742.24639999999999</v>
          </cell>
          <cell r="M4161">
            <v>0</v>
          </cell>
          <cell r="N4161">
            <v>1019.99</v>
          </cell>
          <cell r="O4161" t="str">
            <v/>
          </cell>
          <cell r="P4161">
            <v>0</v>
          </cell>
          <cell r="Q4161">
            <v>0.374193259812375</v>
          </cell>
          <cell r="R4161">
            <v>0.374193259812375</v>
          </cell>
          <cell r="S4161" t="e">
            <v>#VALUE!</v>
          </cell>
          <cell r="T4161" t="e">
            <v>#VALUE!</v>
          </cell>
        </row>
        <row r="4162">
          <cell r="A4162" t="str">
            <v>GRAG2700057G</v>
          </cell>
          <cell r="B4162" t="str">
            <v>MKP000631005440</v>
          </cell>
          <cell r="C4162" t="str">
            <v/>
          </cell>
          <cell r="D4162" t="str">
            <v>Armário de Cozinha Completa 270cm Rustic/Crema Agata Madesa 05</v>
          </cell>
          <cell r="E4162" t="str">
            <v>ÁGATA</v>
          </cell>
          <cell r="F4162" t="str">
            <v>COZINHA</v>
          </cell>
          <cell r="G4162" t="str">
            <v/>
          </cell>
          <cell r="H4162">
            <v>1899.99</v>
          </cell>
          <cell r="I4162">
            <v>1889.99</v>
          </cell>
          <cell r="J4162">
            <v>1370.0536999999999</v>
          </cell>
          <cell r="K4162">
            <v>0</v>
          </cell>
          <cell r="L4162">
            <v>1370.0536999999999</v>
          </cell>
          <cell r="M4162">
            <v>0</v>
          </cell>
          <cell r="N4162">
            <v>1889.99</v>
          </cell>
          <cell r="O4162" t="str">
            <v>IMPÉRIO</v>
          </cell>
          <cell r="P4162">
            <v>1859</v>
          </cell>
          <cell r="Q4162">
            <v>0.379500672126939</v>
          </cell>
          <cell r="R4162">
            <v>0.379500672126939</v>
          </cell>
          <cell r="S4162" t="e">
            <v>#VALUE!</v>
          </cell>
          <cell r="T4162" t="e">
            <v>#VALUE!</v>
          </cell>
        </row>
        <row r="4163">
          <cell r="A4163" t="str">
            <v>MDJA0601685ZFB</v>
          </cell>
          <cell r="B4163" t="str">
            <v>MKP000631006107</v>
          </cell>
          <cell r="C4163" t="str">
            <v/>
          </cell>
          <cell r="D4163" t="str">
            <v>Conjunto Sala de Jantar Mesa Tampo de Vidro 6 Cadeiras Rustic/Bege Marrom Isla Madesa</v>
          </cell>
          <cell r="E4163" t="str">
            <v>ISLA</v>
          </cell>
          <cell r="F4163" t="str">
            <v>SALA DE JANTAR</v>
          </cell>
          <cell r="G4163" t="str">
            <v>4290X</v>
          </cell>
          <cell r="H4163">
            <v>1019.99</v>
          </cell>
          <cell r="I4163">
            <v>1019.99</v>
          </cell>
          <cell r="J4163">
            <v>740.48059999999998</v>
          </cell>
          <cell r="K4163">
            <v>0</v>
          </cell>
          <cell r="L4163">
            <v>740.48059999999998</v>
          </cell>
          <cell r="M4163">
            <v>0</v>
          </cell>
          <cell r="N4163">
            <v>1019.99</v>
          </cell>
          <cell r="O4163" t="str">
            <v/>
          </cell>
          <cell r="P4163">
            <v>0</v>
          </cell>
          <cell r="Q4163">
            <v>0.37747025377842403</v>
          </cell>
          <cell r="R4163">
            <v>0.37747025377842403</v>
          </cell>
          <cell r="S4163" t="e">
            <v>#VALUE!</v>
          </cell>
          <cell r="T4163" t="e">
            <v>#VALUE!</v>
          </cell>
        </row>
        <row r="4164">
          <cell r="A4164" t="str">
            <v>MDJA0601685ZLB</v>
          </cell>
          <cell r="B4164" t="str">
            <v>MKP000631006110</v>
          </cell>
          <cell r="C4164" t="str">
            <v/>
          </cell>
          <cell r="D4164" t="str">
            <v>Conjunto Sala de Jantar Mesa Tampo de Vidro 6 Cadeiras Rustic/Lírio Bege Isla Madesa</v>
          </cell>
          <cell r="E4164" t="str">
            <v>ISLA</v>
          </cell>
          <cell r="F4164" t="str">
            <v>SALA DE JANTAR</v>
          </cell>
          <cell r="G4164" t="str">
            <v>4290X</v>
          </cell>
          <cell r="H4164">
            <v>1019.99</v>
          </cell>
          <cell r="I4164">
            <v>1019.99</v>
          </cell>
          <cell r="J4164">
            <v>740.48059999999998</v>
          </cell>
          <cell r="K4164">
            <v>0</v>
          </cell>
          <cell r="L4164">
            <v>740.48059999999998</v>
          </cell>
          <cell r="M4164">
            <v>0</v>
          </cell>
          <cell r="N4164">
            <v>1019.99</v>
          </cell>
          <cell r="O4164" t="str">
            <v/>
          </cell>
          <cell r="P4164">
            <v>0</v>
          </cell>
          <cell r="Q4164">
            <v>0.37747025377842403</v>
          </cell>
          <cell r="R4164">
            <v>0.37747025377842403</v>
          </cell>
          <cell r="S4164" t="e">
            <v>#VALUE!</v>
          </cell>
          <cell r="T4164" t="e">
            <v>#VALUE!</v>
          </cell>
        </row>
        <row r="4165">
          <cell r="A4165" t="str">
            <v>MDJA0601685ZFH</v>
          </cell>
          <cell r="B4165" t="str">
            <v>MKP000631006112</v>
          </cell>
          <cell r="C4165" t="str">
            <v/>
          </cell>
          <cell r="D4165" t="str">
            <v>Conjunto Sala de Jantar Mesa Tampo de Vidro 6 Cadeiras Rustic/Hibiscos Isla Madesa</v>
          </cell>
          <cell r="E4165" t="str">
            <v>ISLA</v>
          </cell>
          <cell r="F4165" t="str">
            <v>SALA DE JANTAR</v>
          </cell>
          <cell r="G4165" t="str">
            <v>4290X</v>
          </cell>
          <cell r="H4165">
            <v>1019.99</v>
          </cell>
          <cell r="I4165">
            <v>1019.99</v>
          </cell>
          <cell r="J4165">
            <v>740.48059999999998</v>
          </cell>
          <cell r="K4165">
            <v>0</v>
          </cell>
          <cell r="L4165">
            <v>740.48059999999998</v>
          </cell>
          <cell r="M4165">
            <v>0</v>
          </cell>
          <cell r="N4165">
            <v>1019.99</v>
          </cell>
          <cell r="O4165" t="str">
            <v/>
          </cell>
          <cell r="P4165">
            <v>0</v>
          </cell>
          <cell r="Q4165">
            <v>0.37747025377842403</v>
          </cell>
          <cell r="R4165">
            <v>0.37747025377842403</v>
          </cell>
          <cell r="S4165" t="e">
            <v>#VALUE!</v>
          </cell>
          <cell r="T4165" t="e">
            <v>#VALUE!</v>
          </cell>
        </row>
        <row r="4166">
          <cell r="A4166" t="str">
            <v>MDJA060168D8PT</v>
          </cell>
          <cell r="B4166" t="str">
            <v>MKP000631006109</v>
          </cell>
          <cell r="C4166" t="str">
            <v/>
          </cell>
          <cell r="D4166" t="str">
            <v>Conjunto Sala de Jantar Mesa Tampo de Vidro 6 Cadeiras Preto/Rustic Isla Madesa</v>
          </cell>
          <cell r="E4166" t="str">
            <v>ISLA</v>
          </cell>
          <cell r="F4166" t="str">
            <v>SALA DE JANTAR</v>
          </cell>
          <cell r="G4166" t="str">
            <v>4290X</v>
          </cell>
          <cell r="H4166">
            <v>1019.99</v>
          </cell>
          <cell r="I4166">
            <v>1019.99</v>
          </cell>
          <cell r="J4166">
            <v>740.48059999999998</v>
          </cell>
          <cell r="K4166">
            <v>0</v>
          </cell>
          <cell r="L4166">
            <v>740.48059999999998</v>
          </cell>
          <cell r="M4166">
            <v>0</v>
          </cell>
          <cell r="N4166">
            <v>1019.99</v>
          </cell>
          <cell r="O4166" t="str">
            <v/>
          </cell>
          <cell r="P4166">
            <v>0</v>
          </cell>
          <cell r="Q4166">
            <v>0.37747025377842403</v>
          </cell>
          <cell r="R4166">
            <v>0.37747025377842403</v>
          </cell>
          <cell r="S4166" t="e">
            <v>#VALUE!</v>
          </cell>
          <cell r="T4166" t="e">
            <v>#VALUE!</v>
          </cell>
        </row>
        <row r="4167">
          <cell r="A4167" t="str">
            <v>G241206EAGCT</v>
          </cell>
          <cell r="B4167" t="str">
            <v>MKP000631005849</v>
          </cell>
          <cell r="C4167" t="str">
            <v/>
          </cell>
          <cell r="D4167" t="str">
            <v>Balcão de Pia Cozinha 2 Portas (Com Tampo) Rustic/Branco Agata Madesa</v>
          </cell>
          <cell r="E4167" t="str">
            <v>ÁGATA</v>
          </cell>
          <cell r="F4167" t="str">
            <v>MODULAÇÃO</v>
          </cell>
          <cell r="G4167" t="str">
            <v/>
          </cell>
          <cell r="H4167">
            <v>719.99</v>
          </cell>
          <cell r="I4167">
            <v>619.99</v>
          </cell>
          <cell r="J4167">
            <v>446.32229999999998</v>
          </cell>
          <cell r="K4167">
            <v>0</v>
          </cell>
          <cell r="L4167">
            <v>446.32229999999998</v>
          </cell>
          <cell r="M4167">
            <v>0</v>
          </cell>
          <cell r="N4167">
            <v>619.99</v>
          </cell>
          <cell r="O4167" t="str">
            <v/>
          </cell>
          <cell r="P4167">
            <v>0</v>
          </cell>
          <cell r="Q4167">
            <v>0.38910827444651502</v>
          </cell>
          <cell r="R4167">
            <v>0.38910827444651502</v>
          </cell>
          <cell r="S4167" t="e">
            <v>#VALUE!</v>
          </cell>
          <cell r="T4167" t="e">
            <v>#VALUE!</v>
          </cell>
        </row>
        <row r="4168">
          <cell r="A4168" t="str">
            <v>42565Z2TOXFK</v>
          </cell>
          <cell r="B4168" t="str">
            <v>MKP000631005992</v>
          </cell>
          <cell r="C4168" t="str">
            <v/>
          </cell>
          <cell r="D4168" t="str">
            <v>Kit 2 Cadeiras de Jantar 4256 Rustic/Oxford Madesa</v>
          </cell>
          <cell r="E4168">
            <v>4256</v>
          </cell>
          <cell r="F4168" t="str">
            <v>SALA DE JANTAR</v>
          </cell>
          <cell r="G4168">
            <v>4256</v>
          </cell>
          <cell r="H4168">
            <v>539.99</v>
          </cell>
          <cell r="I4168">
            <v>439.99</v>
          </cell>
          <cell r="J4168">
            <v>298.66000000000003</v>
          </cell>
          <cell r="K4168">
            <v>0</v>
          </cell>
          <cell r="L4168">
            <v>298.66000000000003</v>
          </cell>
          <cell r="M4168">
            <v>0</v>
          </cell>
          <cell r="N4168">
            <v>439.99</v>
          </cell>
          <cell r="O4168" t="str">
            <v/>
          </cell>
          <cell r="P4168">
            <v>0</v>
          </cell>
          <cell r="Q4168">
            <v>0.47321368780553102</v>
          </cell>
          <cell r="R4168">
            <v>0.47321368780553102</v>
          </cell>
          <cell r="S4168" t="e">
            <v>#VALUE!</v>
          </cell>
          <cell r="T4168" t="e">
            <v>#VALUE!</v>
          </cell>
        </row>
        <row r="4169">
          <cell r="A4169" t="str">
            <v>G241535LAGCT</v>
          </cell>
          <cell r="B4169" t="str">
            <v>MKP000631005473</v>
          </cell>
          <cell r="C4169" t="str">
            <v/>
          </cell>
          <cell r="D4169" t="str">
            <v>Balcão de Pia 150 cm 2 Portas e 2 Gavetas (Com Tampo) Branco/Crema Agata Madesa</v>
          </cell>
          <cell r="E4169" t="str">
            <v>ÁGATA</v>
          </cell>
          <cell r="F4169" t="str">
            <v>MODULAÇÃO</v>
          </cell>
          <cell r="G4169" t="str">
            <v/>
          </cell>
          <cell r="H4169">
            <v>859.99</v>
          </cell>
          <cell r="I4169">
            <v>759.99</v>
          </cell>
          <cell r="J4169">
            <v>527.94150000000002</v>
          </cell>
          <cell r="K4169">
            <v>0</v>
          </cell>
          <cell r="L4169">
            <v>527.94150000000002</v>
          </cell>
          <cell r="M4169">
            <v>0</v>
          </cell>
          <cell r="N4169">
            <v>759.99</v>
          </cell>
          <cell r="O4169" t="str">
            <v/>
          </cell>
          <cell r="P4169">
            <v>0</v>
          </cell>
          <cell r="Q4169">
            <v>0.43953449387858301</v>
          </cell>
          <cell r="R4169">
            <v>0.43953449387858301</v>
          </cell>
          <cell r="S4169" t="e">
            <v>#VALUE!</v>
          </cell>
          <cell r="T4169" t="e">
            <v>#VALUE!</v>
          </cell>
        </row>
        <row r="4170">
          <cell r="A4170" t="str">
            <v>42555Z2TOXFK</v>
          </cell>
          <cell r="B4170" t="str">
            <v>MKP000631005991</v>
          </cell>
          <cell r="C4170" t="str">
            <v/>
          </cell>
          <cell r="D4170" t="str">
            <v>Kit 2 Cadeiras de Jantar 4255 Rustic/Oxford Madesa</v>
          </cell>
          <cell r="E4170">
            <v>4255</v>
          </cell>
          <cell r="F4170" t="str">
            <v>SALA DE JANTAR</v>
          </cell>
          <cell r="G4170">
            <v>4255</v>
          </cell>
          <cell r="H4170">
            <v>499.99</v>
          </cell>
          <cell r="I4170">
            <v>399.99</v>
          </cell>
          <cell r="J4170">
            <v>260.48820000000001</v>
          </cell>
          <cell r="K4170">
            <v>0</v>
          </cell>
          <cell r="L4170">
            <v>260.48820000000001</v>
          </cell>
          <cell r="M4170">
            <v>0</v>
          </cell>
          <cell r="N4170">
            <v>399.99</v>
          </cell>
          <cell r="O4170" t="str">
            <v/>
          </cell>
          <cell r="P4170">
            <v>0</v>
          </cell>
          <cell r="Q4170">
            <v>0.53553980564186798</v>
          </cell>
          <cell r="R4170">
            <v>0.53553980564186798</v>
          </cell>
          <cell r="S4170" t="e">
            <v>#VALUE!</v>
          </cell>
          <cell r="T4170" t="e">
            <v>#VALUE!</v>
          </cell>
        </row>
        <row r="4171">
          <cell r="A4171" t="str">
            <v>MDMU03000149</v>
          </cell>
          <cell r="B4171" t="str">
            <v/>
          </cell>
          <cell r="C4171" t="str">
            <v/>
          </cell>
          <cell r="D4171" t="str">
            <v>Armário Gabinete para Banheiro 180cm 3 Portas 3 Gavetas Branco Madesa</v>
          </cell>
          <cell r="E4171" t="str">
            <v>GLAMY</v>
          </cell>
          <cell r="F4171" t="str">
            <v>COZINHA</v>
          </cell>
          <cell r="G4171" t="str">
            <v/>
          </cell>
          <cell r="H4171">
            <v>1599.99</v>
          </cell>
          <cell r="I4171">
            <v>1399.99</v>
          </cell>
          <cell r="J4171">
            <v>951.22119999999995</v>
          </cell>
          <cell r="K4171">
            <v>0</v>
          </cell>
          <cell r="L4171">
            <v>951.22119999999995</v>
          </cell>
          <cell r="M4171">
            <v>0</v>
          </cell>
          <cell r="N4171">
            <v>1399.99</v>
          </cell>
          <cell r="O4171" t="str">
            <v>MADEIRAMADEIRA</v>
          </cell>
          <cell r="P4171">
            <v>1289.99</v>
          </cell>
          <cell r="Q4171">
            <v>0.47178174750520702</v>
          </cell>
          <cell r="R4171">
            <v>0.47178174750520702</v>
          </cell>
          <cell r="S4171" t="e">
            <v>#VALUE!</v>
          </cell>
          <cell r="T4171" t="e">
            <v>#VALUE!</v>
          </cell>
        </row>
        <row r="4172">
          <cell r="A4172" t="str">
            <v>G241205LAG</v>
          </cell>
          <cell r="B4172" t="str">
            <v>MKP000631005475</v>
          </cell>
          <cell r="C4172" t="str">
            <v/>
          </cell>
          <cell r="D4172" t="str">
            <v>Balcão Gabinete de Pia 2 Portas Branco/Crema Agata Madesa</v>
          </cell>
          <cell r="E4172" t="str">
            <v>ÁGATA</v>
          </cell>
          <cell r="F4172" t="str">
            <v>MODULAÇÃO</v>
          </cell>
          <cell r="G4172" t="str">
            <v/>
          </cell>
          <cell r="H4172">
            <v>629.99</v>
          </cell>
          <cell r="I4172">
            <v>529.99</v>
          </cell>
          <cell r="J4172">
            <v>355.6234</v>
          </cell>
          <cell r="K4172">
            <v>0</v>
          </cell>
          <cell r="L4172">
            <v>355.6234</v>
          </cell>
          <cell r="M4172">
            <v>0</v>
          </cell>
          <cell r="N4172">
            <v>529.99</v>
          </cell>
          <cell r="O4172" t="str">
            <v/>
          </cell>
          <cell r="P4172">
            <v>0</v>
          </cell>
          <cell r="Q4172">
            <v>0.490312504745188</v>
          </cell>
          <cell r="R4172">
            <v>0.490312504745188</v>
          </cell>
          <cell r="S4172" t="e">
            <v>#VALUE!</v>
          </cell>
          <cell r="T4172" t="e">
            <v>#VALUE!</v>
          </cell>
        </row>
        <row r="4173">
          <cell r="A4173" t="str">
            <v>G2780109</v>
          </cell>
          <cell r="B4173" t="str">
            <v>MKP000631005648</v>
          </cell>
          <cell r="C4173" t="str">
            <v/>
          </cell>
          <cell r="D4173" t="str">
            <v>Kit 2 Prateleiras Suspensas para Cozinha Madesa 80 cm com Mão Francesa Branco</v>
          </cell>
          <cell r="E4173" t="str">
            <v>PR</v>
          </cell>
          <cell r="F4173" t="str">
            <v>MODULAÇÃO</v>
          </cell>
          <cell r="G4173" t="str">
            <v/>
          </cell>
          <cell r="H4173">
            <v>299.99</v>
          </cell>
          <cell r="I4173">
            <v>199.99</v>
          </cell>
          <cell r="J4173">
            <v>127.72620000000001</v>
          </cell>
          <cell r="K4173">
            <v>0</v>
          </cell>
          <cell r="L4173">
            <v>127.72620000000001</v>
          </cell>
          <cell r="M4173">
            <v>0</v>
          </cell>
          <cell r="N4173">
            <v>199.99</v>
          </cell>
          <cell r="O4173" t="str">
            <v/>
          </cell>
          <cell r="P4173">
            <v>0</v>
          </cell>
          <cell r="Q4173">
            <v>0.56577115736630401</v>
          </cell>
          <cell r="R4173">
            <v>0.56577115736630401</v>
          </cell>
          <cell r="S4173" t="e">
            <v>#VALUE!</v>
          </cell>
          <cell r="T4173" t="e">
            <v>#VALUE!</v>
          </cell>
        </row>
        <row r="4174">
          <cell r="A4174" t="str">
            <v>G228006EFFCT</v>
          </cell>
          <cell r="B4174" t="str">
            <v>MKP000631006029</v>
          </cell>
          <cell r="C4174" t="str">
            <v/>
          </cell>
          <cell r="D4174" t="str">
            <v>Balcão para Forno de Embutir 80 x 60 cm Com Tampo Rustic/Branco Agata, Glamy, Stella Madesa</v>
          </cell>
          <cell r="E4174" t="str">
            <v>ÁGATA</v>
          </cell>
          <cell r="F4174" t="str">
            <v>MODULAÇÃO</v>
          </cell>
          <cell r="G4174" t="str">
            <v/>
          </cell>
          <cell r="H4174">
            <v>589.99</v>
          </cell>
          <cell r="I4174">
            <v>589.99</v>
          </cell>
          <cell r="J4174">
            <v>382.07769999999999</v>
          </cell>
          <cell r="K4174">
            <v>0</v>
          </cell>
          <cell r="L4174">
            <v>382.07769999999999</v>
          </cell>
          <cell r="M4174">
            <v>0</v>
          </cell>
          <cell r="N4174">
            <v>589.99</v>
          </cell>
          <cell r="O4174" t="str">
            <v/>
          </cell>
          <cell r="P4174">
            <v>0</v>
          </cell>
          <cell r="Q4174">
            <v>0.544162352317343</v>
          </cell>
          <cell r="R4174">
            <v>0.544162352317343</v>
          </cell>
          <cell r="S4174" t="e">
            <v>#VALUE!</v>
          </cell>
          <cell r="T4174" t="e">
            <v>#VALUE!</v>
          </cell>
        </row>
        <row r="4175">
          <cell r="A4175" t="str">
            <v>G2435073GL</v>
          </cell>
          <cell r="B4175" t="str">
            <v>MKP000631003448</v>
          </cell>
          <cell r="C4175" t="str">
            <v/>
          </cell>
          <cell r="D4175" t="str">
            <v>Balcão Madesa Glamy 35 cm 1 Porta Branco/Preto</v>
          </cell>
          <cell r="E4175" t="str">
            <v>GLAMY</v>
          </cell>
          <cell r="F4175" t="str">
            <v>MODULAÇÃO</v>
          </cell>
          <cell r="G4175" t="str">
            <v/>
          </cell>
          <cell r="H4175">
            <v>719.99</v>
          </cell>
          <cell r="I4175">
            <v>339.99</v>
          </cell>
          <cell r="J4175">
            <v>217.0735</v>
          </cell>
          <cell r="K4175">
            <v>0</v>
          </cell>
          <cell r="L4175">
            <v>217.0735</v>
          </cell>
          <cell r="M4175">
            <v>0</v>
          </cell>
          <cell r="N4175">
            <v>339.99</v>
          </cell>
          <cell r="O4175" t="str">
            <v/>
          </cell>
          <cell r="P4175">
            <v>0</v>
          </cell>
          <cell r="Q4175">
            <v>0.56624369165282695</v>
          </cell>
          <cell r="R4175">
            <v>0.56624369165282695</v>
          </cell>
          <cell r="S4175" t="e">
            <v>#VALUE!</v>
          </cell>
          <cell r="T4175" t="e">
            <v>#VALUE!</v>
          </cell>
        </row>
        <row r="4176">
          <cell r="A4176" t="str">
            <v>G2512809PRPT</v>
          </cell>
          <cell r="B4176" t="str">
            <v>MKP000631005777</v>
          </cell>
          <cell r="C4176" t="str">
            <v/>
          </cell>
          <cell r="D4176" t="str">
            <v>Armário Aéreo 120cm 2 Portas Correr Vidro Pontilhado 1 Nicho Branco para Cozinhas Glamy, Lux e Reims Madesa</v>
          </cell>
          <cell r="E4176" t="str">
            <v>PR</v>
          </cell>
          <cell r="F4176" t="str">
            <v>MODULAÇÃO</v>
          </cell>
          <cell r="G4176" t="str">
            <v/>
          </cell>
          <cell r="H4176">
            <v>469.99</v>
          </cell>
          <cell r="I4176">
            <v>369.99</v>
          </cell>
          <cell r="J4176">
            <v>234.51349999999999</v>
          </cell>
          <cell r="K4176">
            <v>0</v>
          </cell>
          <cell r="L4176">
            <v>234.51349999999999</v>
          </cell>
          <cell r="M4176">
            <v>0</v>
          </cell>
          <cell r="N4176">
            <v>369.99</v>
          </cell>
          <cell r="O4176" t="str">
            <v/>
          </cell>
          <cell r="P4176">
            <v>0</v>
          </cell>
          <cell r="Q4176">
            <v>0.57769168939101601</v>
          </cell>
          <cell r="R4176">
            <v>0.57769168939101601</v>
          </cell>
          <cell r="S4176" t="e">
            <v>#VALUE!</v>
          </cell>
          <cell r="T4176" t="e">
            <v>#VALUE!</v>
          </cell>
        </row>
        <row r="4177">
          <cell r="A4177" t="str">
            <v>G251285ZPRPT</v>
          </cell>
          <cell r="B4177" t="str">
            <v>MKP000631005778</v>
          </cell>
          <cell r="C4177" t="str">
            <v/>
          </cell>
          <cell r="D4177" t="str">
            <v>Armário Aéreo 120cm 2 Portas Correr Vidro Pontilhado 1 Nicho Rustic para Cozinhas Glamy, Lux e Reims Madesa</v>
          </cell>
          <cell r="E4177" t="str">
            <v>PR</v>
          </cell>
          <cell r="F4177" t="str">
            <v>MODULAÇÃO</v>
          </cell>
          <cell r="G4177" t="str">
            <v/>
          </cell>
          <cell r="H4177">
            <v>469.99</v>
          </cell>
          <cell r="I4177">
            <v>369.99</v>
          </cell>
          <cell r="J4177">
            <v>234.51349999999999</v>
          </cell>
          <cell r="K4177">
            <v>0</v>
          </cell>
          <cell r="L4177">
            <v>234.51349999999999</v>
          </cell>
          <cell r="M4177">
            <v>0</v>
          </cell>
          <cell r="N4177">
            <v>369.99</v>
          </cell>
          <cell r="O4177" t="str">
            <v/>
          </cell>
          <cell r="P4177">
            <v>0</v>
          </cell>
          <cell r="Q4177">
            <v>0.57769168939101601</v>
          </cell>
          <cell r="R4177">
            <v>0.57769168939101601</v>
          </cell>
          <cell r="S4177" t="e">
            <v>#VALUE!</v>
          </cell>
          <cell r="T4177" t="e">
            <v>#VALUE!</v>
          </cell>
        </row>
        <row r="4178">
          <cell r="A4178" t="str">
            <v>G2512809PRNT</v>
          </cell>
          <cell r="B4178" t="str">
            <v>MKP000631005782</v>
          </cell>
          <cell r="C4178" t="str">
            <v/>
          </cell>
          <cell r="D4178" t="str">
            <v>Armário Aéreo 120cm 2 Portas Correr Vidro Neutral 1 Nicho Branco para Cozinhas Glamy, Lux e Reims Madesa</v>
          </cell>
          <cell r="E4178" t="str">
            <v>PR</v>
          </cell>
          <cell r="F4178" t="str">
            <v>MODULAÇÃO</v>
          </cell>
          <cell r="G4178" t="str">
            <v/>
          </cell>
          <cell r="H4178">
            <v>479.99</v>
          </cell>
          <cell r="I4178">
            <v>379.99</v>
          </cell>
          <cell r="J4178">
            <v>240.41040000000001</v>
          </cell>
          <cell r="K4178">
            <v>0</v>
          </cell>
          <cell r="L4178">
            <v>240.41040000000001</v>
          </cell>
          <cell r="M4178">
            <v>0</v>
          </cell>
          <cell r="N4178">
            <v>379.99</v>
          </cell>
          <cell r="O4178" t="str">
            <v/>
          </cell>
          <cell r="P4178">
            <v>0</v>
          </cell>
          <cell r="Q4178">
            <v>0.58058885971655105</v>
          </cell>
          <cell r="R4178">
            <v>0.58058885971655105</v>
          </cell>
          <cell r="S4178" t="e">
            <v>#VALUE!</v>
          </cell>
          <cell r="T4178" t="e">
            <v>#VALUE!</v>
          </cell>
        </row>
        <row r="4179">
          <cell r="A4179" t="str">
            <v>G251285ZPRNT</v>
          </cell>
          <cell r="B4179" t="str">
            <v>MKP000631005780</v>
          </cell>
          <cell r="C4179" t="str">
            <v/>
          </cell>
          <cell r="D4179" t="str">
            <v>Armário Aéreo 120cm 2 Portas Correr Vidro Neutral 1 Nicho Rustic para Cozinhas Glamy, Lux e Reims Madesa</v>
          </cell>
          <cell r="E4179" t="str">
            <v>PR</v>
          </cell>
          <cell r="F4179" t="str">
            <v>MODULAÇÃO</v>
          </cell>
          <cell r="G4179" t="str">
            <v/>
          </cell>
          <cell r="H4179">
            <v>479.99</v>
          </cell>
          <cell r="I4179">
            <v>379.99</v>
          </cell>
          <cell r="J4179">
            <v>240.41040000000001</v>
          </cell>
          <cell r="K4179">
            <v>0</v>
          </cell>
          <cell r="L4179">
            <v>240.41040000000001</v>
          </cell>
          <cell r="M4179">
            <v>0</v>
          </cell>
          <cell r="N4179">
            <v>379.99</v>
          </cell>
          <cell r="O4179" t="str">
            <v/>
          </cell>
          <cell r="P4179">
            <v>0</v>
          </cell>
          <cell r="Q4179">
            <v>0.58058885971655105</v>
          </cell>
          <cell r="R4179">
            <v>0.58058885971655105</v>
          </cell>
          <cell r="S4179" t="e">
            <v>#VALUE!</v>
          </cell>
          <cell r="T4179" t="e">
            <v>#VALUE!</v>
          </cell>
        </row>
        <row r="4180">
          <cell r="A4180" t="str">
            <v>GRSM06000109</v>
          </cell>
          <cell r="B4180" t="str">
            <v>MKP000631000702</v>
          </cell>
          <cell r="C4180" t="str">
            <v/>
          </cell>
          <cell r="D4180" t="str">
            <v>Kit 60 cm 100% MDF 2 Portas e 1 Suspensa Branco Smart Madesa</v>
          </cell>
          <cell r="E4180" t="str">
            <v>SMART</v>
          </cell>
          <cell r="F4180" t="str">
            <v>MODULAÇÃO</v>
          </cell>
          <cell r="G4180" t="str">
            <v/>
          </cell>
          <cell r="H4180">
            <v>569.99</v>
          </cell>
          <cell r="I4180">
            <v>449.99</v>
          </cell>
          <cell r="J4180">
            <v>280.06459999999998</v>
          </cell>
          <cell r="K4180">
            <v>0</v>
          </cell>
          <cell r="L4180">
            <v>280.06459999999998</v>
          </cell>
          <cell r="M4180">
            <v>0</v>
          </cell>
          <cell r="N4180">
            <v>449.99</v>
          </cell>
          <cell r="O4180" t="str">
            <v/>
          </cell>
          <cell r="P4180">
            <v>0</v>
          </cell>
          <cell r="Q4180">
            <v>0.60673644580571695</v>
          </cell>
          <cell r="R4180">
            <v>0.60673644580571695</v>
          </cell>
          <cell r="S4180" t="e">
            <v>#VALUE!</v>
          </cell>
          <cell r="T4180" t="e">
            <v>#VALUE!</v>
          </cell>
        </row>
        <row r="4181">
          <cell r="A4181" t="str">
            <v>XAGRLX240005H8</v>
          </cell>
          <cell r="B4181" t="str">
            <v>MKP000631005685</v>
          </cell>
          <cell r="C4181" t="str">
            <v/>
          </cell>
          <cell r="D4181" t="str">
            <v>Armário de Cozinha Completa 240cm Rustic/Branco Veludo Lux Madesa 05</v>
          </cell>
          <cell r="E4181" t="str">
            <v>LUX</v>
          </cell>
          <cell r="F4181" t="str">
            <v>COZINHA</v>
          </cell>
          <cell r="G4181" t="str">
            <v/>
          </cell>
          <cell r="H4181">
            <v>3759.99</v>
          </cell>
          <cell r="I4181">
            <v>2899.99</v>
          </cell>
          <cell r="J4181">
            <v>1795.4262000000001</v>
          </cell>
          <cell r="K4181">
            <v>0</v>
          </cell>
          <cell r="L4181">
            <v>1795.4262000000001</v>
          </cell>
          <cell r="M4181">
            <v>0</v>
          </cell>
          <cell r="N4181">
            <v>2899.99</v>
          </cell>
          <cell r="O4181" t="str">
            <v/>
          </cell>
          <cell r="P4181">
            <v>0</v>
          </cell>
          <cell r="Q4181">
            <v>0.61520980366667199</v>
          </cell>
          <cell r="R4181">
            <v>0.61520980366667199</v>
          </cell>
          <cell r="S4181" t="e">
            <v>#VALUE!</v>
          </cell>
          <cell r="T4181" t="e">
            <v>#VALUE!</v>
          </cell>
        </row>
        <row r="4182">
          <cell r="A4182" t="str">
            <v>942422</v>
          </cell>
          <cell r="B4182" t="str">
            <v>MKP000631005690</v>
          </cell>
          <cell r="C4182" t="str">
            <v/>
          </cell>
          <cell r="D4182" t="str">
            <v>Escrivaninha Mesa para Computador Gamer Preto/Azul 9424 Madesa</v>
          </cell>
          <cell r="E4182" t="str">
            <v>GAMER</v>
          </cell>
          <cell r="F4182" t="str">
            <v>ESCRITÓRIO</v>
          </cell>
          <cell r="G4182" t="str">
            <v/>
          </cell>
          <cell r="H4182">
            <v>289.99</v>
          </cell>
          <cell r="I4182">
            <v>289.99</v>
          </cell>
          <cell r="J4182">
            <v>177.95339999999999</v>
          </cell>
          <cell r="K4182">
            <v>0</v>
          </cell>
          <cell r="L4182">
            <v>177.95339999999999</v>
          </cell>
          <cell r="M4182">
            <v>0</v>
          </cell>
          <cell r="N4182">
            <v>289.99</v>
          </cell>
          <cell r="O4182" t="str">
            <v/>
          </cell>
          <cell r="P4182">
            <v>0</v>
          </cell>
          <cell r="Q4182">
            <v>0.629583924780307</v>
          </cell>
          <cell r="R4182">
            <v>0.629583924780307</v>
          </cell>
          <cell r="S4182" t="e">
            <v>#VALUE!</v>
          </cell>
          <cell r="T4182" t="e">
            <v>#VALUE!</v>
          </cell>
        </row>
        <row r="4183">
          <cell r="A4183" t="str">
            <v>94248N</v>
          </cell>
          <cell r="B4183" t="str">
            <v>MKP000631005689</v>
          </cell>
          <cell r="C4183" t="str">
            <v/>
          </cell>
          <cell r="D4183" t="str">
            <v>Escrivaninha Mesa para Computador Gamer Preto 9424 Madesa</v>
          </cell>
          <cell r="E4183" t="str">
            <v>GAMER</v>
          </cell>
          <cell r="F4183" t="str">
            <v>ESCRITÓRIO</v>
          </cell>
          <cell r="G4183" t="str">
            <v/>
          </cell>
          <cell r="H4183">
            <v>289.99</v>
          </cell>
          <cell r="I4183">
            <v>289.99</v>
          </cell>
          <cell r="J4183">
            <v>177.95339999999999</v>
          </cell>
          <cell r="K4183">
            <v>0</v>
          </cell>
          <cell r="L4183">
            <v>177.95339999999999</v>
          </cell>
          <cell r="M4183">
            <v>0</v>
          </cell>
          <cell r="N4183">
            <v>289.99</v>
          </cell>
          <cell r="O4183" t="str">
            <v/>
          </cell>
          <cell r="P4183">
            <v>0</v>
          </cell>
          <cell r="Q4183">
            <v>0.629583924780307</v>
          </cell>
          <cell r="R4183">
            <v>0.629583924780307</v>
          </cell>
          <cell r="S4183" t="e">
            <v>#VALUE!</v>
          </cell>
          <cell r="T4183" t="e">
            <v>#VALUE!</v>
          </cell>
        </row>
        <row r="4184">
          <cell r="A4184" t="str">
            <v>942409</v>
          </cell>
          <cell r="B4184" t="str">
            <v>MKP000631005691</v>
          </cell>
          <cell r="C4184" t="str">
            <v/>
          </cell>
          <cell r="D4184" t="str">
            <v>Escrivaninha Mesa para Computador Gamer Branco 9424 Madesa</v>
          </cell>
          <cell r="E4184" t="str">
            <v>GAMER</v>
          </cell>
          <cell r="F4184" t="str">
            <v>ESCRITÓRIO</v>
          </cell>
          <cell r="G4184" t="str">
            <v/>
          </cell>
          <cell r="H4184">
            <v>289.99</v>
          </cell>
          <cell r="I4184">
            <v>289.99</v>
          </cell>
          <cell r="J4184">
            <v>177.95339999999999</v>
          </cell>
          <cell r="K4184">
            <v>0</v>
          </cell>
          <cell r="L4184">
            <v>177.95339999999999</v>
          </cell>
          <cell r="M4184">
            <v>0</v>
          </cell>
          <cell r="N4184">
            <v>289.99</v>
          </cell>
          <cell r="O4184" t="str">
            <v/>
          </cell>
          <cell r="P4184">
            <v>0</v>
          </cell>
          <cell r="Q4184">
            <v>0.629583924780307</v>
          </cell>
          <cell r="R4184">
            <v>0.629583924780307</v>
          </cell>
          <cell r="S4184" t="e">
            <v>#VALUE!</v>
          </cell>
          <cell r="T4184" t="e">
            <v>#VALUE!</v>
          </cell>
        </row>
        <row r="4185">
          <cell r="A4185" t="str">
            <v>G241235LAG</v>
          </cell>
          <cell r="B4185" t="str">
            <v>MKP000631005476</v>
          </cell>
          <cell r="C4185" t="str">
            <v/>
          </cell>
          <cell r="D4185" t="str">
            <v>Balcão Gabinete de Pia 1 Porta e 2 Gavetas Branco/Crema Agata Madesa</v>
          </cell>
          <cell r="E4185" t="str">
            <v>ÁGATA</v>
          </cell>
          <cell r="F4185" t="str">
            <v>MODULAÇÃO</v>
          </cell>
          <cell r="G4185" t="str">
            <v/>
          </cell>
          <cell r="H4185">
            <v>789.99</v>
          </cell>
          <cell r="I4185">
            <v>689.99</v>
          </cell>
          <cell r="J4185">
            <v>425.36160000000001</v>
          </cell>
          <cell r="K4185">
            <v>0</v>
          </cell>
          <cell r="L4185">
            <v>425.36160000000001</v>
          </cell>
          <cell r="M4185">
            <v>0</v>
          </cell>
          <cell r="N4185">
            <v>689.99</v>
          </cell>
          <cell r="O4185" t="str">
            <v/>
          </cell>
          <cell r="P4185">
            <v>0</v>
          </cell>
          <cell r="Q4185">
            <v>0.62212573960602002</v>
          </cell>
          <cell r="R4185">
            <v>0.62212573960602002</v>
          </cell>
          <cell r="S4185" t="e">
            <v>#VALUE!</v>
          </cell>
          <cell r="T4185" t="e">
            <v>#VALUE!</v>
          </cell>
        </row>
        <row r="4186">
          <cell r="A4186" t="str">
            <v>G246015LAG</v>
          </cell>
          <cell r="B4186" t="str">
            <v>MKP000631005392</v>
          </cell>
          <cell r="C4186" t="str">
            <v/>
          </cell>
          <cell r="D4186" t="str">
            <v>Balcão 60 cm 3 Gavetas Branco/Crema Agata Madesa</v>
          </cell>
          <cell r="E4186" t="str">
            <v>ÁGATA</v>
          </cell>
          <cell r="F4186" t="str">
            <v>MODULAÇÃO</v>
          </cell>
          <cell r="G4186" t="str">
            <v/>
          </cell>
          <cell r="H4186">
            <v>729.99</v>
          </cell>
          <cell r="I4186">
            <v>629.99</v>
          </cell>
          <cell r="J4186">
            <v>373.48849999999999</v>
          </cell>
          <cell r="K4186">
            <v>0</v>
          </cell>
          <cell r="L4186">
            <v>373.48849999999999</v>
          </cell>
          <cell r="M4186">
            <v>0</v>
          </cell>
          <cell r="N4186">
            <v>629.99</v>
          </cell>
          <cell r="O4186" t="str">
            <v/>
          </cell>
          <cell r="P4186">
            <v>0</v>
          </cell>
          <cell r="Q4186">
            <v>0.68677214961103195</v>
          </cell>
          <cell r="R4186">
            <v>0.68677214961103195</v>
          </cell>
          <cell r="S4186" t="e">
            <v>#VALUE!</v>
          </cell>
          <cell r="T4186" t="e">
            <v>#VALUE!</v>
          </cell>
        </row>
        <row r="4187">
          <cell r="A4187" t="str">
            <v>G257009BTE</v>
          </cell>
          <cell r="B4187" t="str">
            <v>MKP000631005461</v>
          </cell>
          <cell r="C4187" t="str">
            <v/>
          </cell>
          <cell r="D4187" t="str">
            <v>Armário Aéreo 70 cm 2 Portas Branco/Rustic Stella Madesa</v>
          </cell>
          <cell r="E4187" t="str">
            <v>STELLA</v>
          </cell>
          <cell r="F4187" t="str">
            <v>MODULAÇÃO</v>
          </cell>
          <cell r="G4187" t="str">
            <v/>
          </cell>
          <cell r="H4187">
            <v>519.99</v>
          </cell>
          <cell r="I4187">
            <v>419.99</v>
          </cell>
          <cell r="J4187">
            <v>250.14410000000001</v>
          </cell>
          <cell r="K4187">
            <v>0</v>
          </cell>
          <cell r="L4187">
            <v>250.14410000000001</v>
          </cell>
          <cell r="M4187">
            <v>0</v>
          </cell>
          <cell r="N4187">
            <v>419.99</v>
          </cell>
          <cell r="O4187" t="str">
            <v/>
          </cell>
          <cell r="P4187">
            <v>0</v>
          </cell>
          <cell r="Q4187">
            <v>0.67899222887927402</v>
          </cell>
          <cell r="R4187">
            <v>0.67899222887927402</v>
          </cell>
          <cell r="S4187" t="e">
            <v>#VALUE!</v>
          </cell>
          <cell r="T4187" t="e">
            <v>#VALUE!</v>
          </cell>
        </row>
        <row r="4188">
          <cell r="A4188" t="str">
            <v>G253506E</v>
          </cell>
          <cell r="B4188" t="str">
            <v>MKP000631005702</v>
          </cell>
          <cell r="C4188" t="str">
            <v/>
          </cell>
          <cell r="D4188" t="str">
            <v>Armário Aéreo 100% MDF 35 cm 1 Porta Branco/Rustic Acordes Madesa</v>
          </cell>
          <cell r="E4188" t="str">
            <v>ACORDES</v>
          </cell>
          <cell r="F4188" t="str">
            <v>MODULAÇÃO</v>
          </cell>
          <cell r="G4188" t="str">
            <v/>
          </cell>
          <cell r="H4188">
            <v>379.99</v>
          </cell>
          <cell r="I4188">
            <v>279.99</v>
          </cell>
          <cell r="J4188">
            <v>164.89519999999999</v>
          </cell>
          <cell r="K4188">
            <v>0</v>
          </cell>
          <cell r="L4188">
            <v>164.89519999999999</v>
          </cell>
          <cell r="M4188">
            <v>0</v>
          </cell>
          <cell r="N4188">
            <v>279.99</v>
          </cell>
          <cell r="O4188" t="str">
            <v/>
          </cell>
          <cell r="P4188">
            <v>0</v>
          </cell>
          <cell r="Q4188">
            <v>0.69798757028706704</v>
          </cell>
          <cell r="R4188">
            <v>0.69798757028706704</v>
          </cell>
          <cell r="S4188" t="e">
            <v>#VALUE!</v>
          </cell>
          <cell r="T4188" t="e">
            <v>#VALUE!</v>
          </cell>
        </row>
        <row r="4189">
          <cell r="A4189" t="str">
            <v>G244015LAG</v>
          </cell>
          <cell r="B4189" t="str">
            <v>MKP000631005394</v>
          </cell>
          <cell r="C4189" t="str">
            <v/>
          </cell>
          <cell r="D4189" t="str">
            <v>Balcão 40 cm 3 Gavetas Branco/Crema Agata Madesa</v>
          </cell>
          <cell r="E4189" t="str">
            <v>ÁGATA</v>
          </cell>
          <cell r="F4189" t="str">
            <v>MODULAÇÃO</v>
          </cell>
          <cell r="G4189" t="str">
            <v/>
          </cell>
          <cell r="H4189">
            <v>679.99</v>
          </cell>
          <cell r="I4189">
            <v>579.99</v>
          </cell>
          <cell r="J4189">
            <v>340.39609999999999</v>
          </cell>
          <cell r="K4189">
            <v>0</v>
          </cell>
          <cell r="L4189">
            <v>340.39609999999999</v>
          </cell>
          <cell r="M4189">
            <v>0</v>
          </cell>
          <cell r="N4189">
            <v>579.99</v>
          </cell>
          <cell r="O4189" t="str">
            <v/>
          </cell>
          <cell r="P4189">
            <v>0</v>
          </cell>
          <cell r="Q4189">
            <v>0.70386793503215805</v>
          </cell>
          <cell r="R4189">
            <v>0.70386793503215805</v>
          </cell>
          <cell r="S4189" t="e">
            <v>#VALUE!</v>
          </cell>
          <cell r="T4189" t="e">
            <v>#VALUE!</v>
          </cell>
        </row>
        <row r="4190">
          <cell r="A4190" t="str">
            <v>G277006SPR</v>
          </cell>
          <cell r="B4190" t="str">
            <v>MKP000631005700</v>
          </cell>
          <cell r="C4190" t="str">
            <v/>
          </cell>
          <cell r="D4190" t="str">
            <v>Tampo para Balcão de 70 x 60 cm para Cozinhas Lux, Glamy e Stella Mood Madesa</v>
          </cell>
          <cell r="E4190" t="str">
            <v>PR</v>
          </cell>
          <cell r="F4190" t="str">
            <v>MODULAÇÃO</v>
          </cell>
          <cell r="G4190" t="str">
            <v/>
          </cell>
          <cell r="H4190">
            <v>229.99</v>
          </cell>
          <cell r="I4190">
            <v>129.99</v>
          </cell>
          <cell r="J4190">
            <v>75.3626</v>
          </cell>
          <cell r="K4190">
            <v>0</v>
          </cell>
          <cell r="L4190">
            <v>75.3626</v>
          </cell>
          <cell r="M4190">
            <v>0</v>
          </cell>
          <cell r="N4190">
            <v>129.99</v>
          </cell>
          <cell r="O4190" t="str">
            <v/>
          </cell>
          <cell r="P4190">
            <v>0</v>
          </cell>
          <cell r="Q4190">
            <v>0.72486087263443699</v>
          </cell>
          <cell r="R4190">
            <v>0.72486087263443699</v>
          </cell>
          <cell r="S4190" t="e">
            <v>#VALUE!</v>
          </cell>
          <cell r="T4190" t="e">
            <v>#VALUE!</v>
          </cell>
        </row>
        <row r="4191">
          <cell r="A4191" t="str">
            <v>G2581009PR</v>
          </cell>
          <cell r="B4191" t="str">
            <v>MKP000631005687</v>
          </cell>
          <cell r="C4191" t="str">
            <v/>
          </cell>
          <cell r="D4191" t="str">
            <v>Armário Aéreo 80 cm Nicho Aberto para Cozinhas Lux, Glamy, Agata, Stella Branco Madesa</v>
          </cell>
          <cell r="E4191" t="str">
            <v>PR</v>
          </cell>
          <cell r="F4191" t="str">
            <v>MODULAÇÃO</v>
          </cell>
          <cell r="G4191" t="str">
            <v/>
          </cell>
          <cell r="H4191">
            <v>259.99</v>
          </cell>
          <cell r="I4191">
            <v>159.99</v>
          </cell>
          <cell r="J4191">
            <v>92.606399999999994</v>
          </cell>
          <cell r="K4191">
            <v>0</v>
          </cell>
          <cell r="L4191">
            <v>92.606399999999994</v>
          </cell>
          <cell r="M4191">
            <v>0</v>
          </cell>
          <cell r="N4191">
            <v>159.99</v>
          </cell>
          <cell r="O4191" t="str">
            <v/>
          </cell>
          <cell r="P4191">
            <v>0</v>
          </cell>
          <cell r="Q4191">
            <v>0.72763437516197604</v>
          </cell>
          <cell r="R4191">
            <v>0.72763437516197604</v>
          </cell>
          <cell r="S4191" t="e">
            <v>#VALUE!</v>
          </cell>
          <cell r="T4191" t="e">
            <v>#VALUE!</v>
          </cell>
        </row>
        <row r="4192">
          <cell r="A4192" t="str">
            <v>G258105ZPR</v>
          </cell>
          <cell r="B4192" t="str">
            <v>MKP000631005688</v>
          </cell>
          <cell r="C4192" t="str">
            <v/>
          </cell>
          <cell r="D4192" t="str">
            <v>Armário Aéreo 80 cm Nicho Aberto para Cozinhas Lux, Glamy, Agata, Stella Rustic Madesa</v>
          </cell>
          <cell r="E4192" t="str">
            <v>PR</v>
          </cell>
          <cell r="F4192" t="str">
            <v>MODULAÇÃO</v>
          </cell>
          <cell r="G4192" t="str">
            <v/>
          </cell>
          <cell r="H4192">
            <v>259.99</v>
          </cell>
          <cell r="I4192">
            <v>159.99</v>
          </cell>
          <cell r="J4192">
            <v>92.606399999999994</v>
          </cell>
          <cell r="K4192">
            <v>0</v>
          </cell>
          <cell r="L4192">
            <v>92.606399999999994</v>
          </cell>
          <cell r="M4192">
            <v>0</v>
          </cell>
          <cell r="N4192">
            <v>159.99</v>
          </cell>
          <cell r="O4192" t="str">
            <v/>
          </cell>
          <cell r="P4192">
            <v>0</v>
          </cell>
          <cell r="Q4192">
            <v>0.72763437516197604</v>
          </cell>
          <cell r="R4192">
            <v>0.72763437516197604</v>
          </cell>
          <cell r="S4192" t="e">
            <v>#VALUE!</v>
          </cell>
          <cell r="T4192" t="e">
            <v>#VALUE!</v>
          </cell>
        </row>
        <row r="4193">
          <cell r="A4193" t="str">
            <v>G2580009AG</v>
          </cell>
          <cell r="B4193" t="str">
            <v>MKP000631004695</v>
          </cell>
          <cell r="C4193" t="str">
            <v/>
          </cell>
          <cell r="D4193" t="str">
            <v>Armário Aéreo Madesa Agata 80 cm 2 Portas Branco</v>
          </cell>
          <cell r="E4193" t="str">
            <v>ÁGATA</v>
          </cell>
          <cell r="F4193" t="str">
            <v>MODULAÇÃO</v>
          </cell>
          <cell r="G4193" t="str">
            <v/>
          </cell>
          <cell r="H4193">
            <v>529.99</v>
          </cell>
          <cell r="I4193">
            <v>439.99</v>
          </cell>
          <cell r="J4193">
            <v>252.3895</v>
          </cell>
          <cell r="K4193">
            <v>0</v>
          </cell>
          <cell r="L4193">
            <v>252.3895</v>
          </cell>
          <cell r="M4193">
            <v>0</v>
          </cell>
          <cell r="N4193">
            <v>439.99</v>
          </cell>
          <cell r="O4193" t="str">
            <v/>
          </cell>
          <cell r="P4193">
            <v>0</v>
          </cell>
          <cell r="Q4193">
            <v>0.74329756190332796</v>
          </cell>
          <cell r="R4193">
            <v>0.74329756190332796</v>
          </cell>
          <cell r="S4193" t="e">
            <v>#VALUE!</v>
          </cell>
          <cell r="T4193" t="e">
            <v>#VALUE!</v>
          </cell>
        </row>
        <row r="4194">
          <cell r="A4194" t="str">
            <v>G25702H7LX</v>
          </cell>
          <cell r="B4194" t="str">
            <v>MKP000631005447</v>
          </cell>
          <cell r="C4194" t="str">
            <v/>
          </cell>
          <cell r="D4194" t="str">
            <v>Armário Aéreo 70 cm 1 Porta Branco/Branco Veludo Lux Madesa</v>
          </cell>
          <cell r="E4194" t="str">
            <v>LUX</v>
          </cell>
          <cell r="F4194" t="str">
            <v>MODULAÇÃO</v>
          </cell>
          <cell r="G4194" t="str">
            <v/>
          </cell>
          <cell r="H4194">
            <v>419.99</v>
          </cell>
          <cell r="I4194">
            <v>319.99</v>
          </cell>
          <cell r="J4194">
            <v>178.6619</v>
          </cell>
          <cell r="K4194">
            <v>0</v>
          </cell>
          <cell r="L4194">
            <v>178.6619</v>
          </cell>
          <cell r="M4194">
            <v>0</v>
          </cell>
          <cell r="N4194">
            <v>319.99</v>
          </cell>
          <cell r="O4194" t="str">
            <v>LOJA</v>
          </cell>
          <cell r="P4194">
            <v>299.99</v>
          </cell>
          <cell r="Q4194">
            <v>0.79103658922243703</v>
          </cell>
          <cell r="R4194">
            <v>0.79103658922243703</v>
          </cell>
          <cell r="S4194" t="e">
            <v>#VALUE!</v>
          </cell>
          <cell r="T4194" t="e">
            <v>#VALUE!</v>
          </cell>
        </row>
        <row r="4195">
          <cell r="A4195" t="str">
            <v>G22120H7LX</v>
          </cell>
          <cell r="B4195" t="str">
            <v>MKP000631004687</v>
          </cell>
          <cell r="C4195" t="str">
            <v/>
          </cell>
          <cell r="D4195" t="str">
            <v>Balcão Gabinete de Pia Madesa Lux 120 cm 2 Portas (Sem Tampo) Branco/Branco Veludo</v>
          </cell>
          <cell r="E4195" t="str">
            <v>LUX</v>
          </cell>
          <cell r="F4195" t="str">
            <v>MODULAÇÃO</v>
          </cell>
          <cell r="G4195" t="str">
            <v/>
          </cell>
          <cell r="H4195">
            <v>1219.99</v>
          </cell>
          <cell r="I4195">
            <v>739.99</v>
          </cell>
          <cell r="J4195">
            <v>412.7285</v>
          </cell>
          <cell r="K4195">
            <v>0</v>
          </cell>
          <cell r="L4195">
            <v>412.7285</v>
          </cell>
          <cell r="M4195">
            <v>0</v>
          </cell>
          <cell r="N4195">
            <v>739.99</v>
          </cell>
          <cell r="O4195" t="str">
            <v>LOJA</v>
          </cell>
          <cell r="P4195">
            <v>729.99</v>
          </cell>
          <cell r="Q4195">
            <v>0.79292198139939496</v>
          </cell>
          <cell r="R4195">
            <v>0.79292198139939496</v>
          </cell>
          <cell r="S4195" t="e">
            <v>#VALUE!</v>
          </cell>
          <cell r="T4195" t="e">
            <v>#VALUE!</v>
          </cell>
        </row>
        <row r="4196">
          <cell r="A4196" t="str">
            <v>G244005LAG</v>
          </cell>
          <cell r="B4196" t="str">
            <v>MKP000631005395</v>
          </cell>
          <cell r="C4196" t="str">
            <v/>
          </cell>
          <cell r="D4196" t="str">
            <v>Balcão 40 cm 1 Porta Branco/Crema Agata Madesa</v>
          </cell>
          <cell r="E4196" t="str">
            <v>ÁGATA</v>
          </cell>
          <cell r="F4196" t="str">
            <v>MODULAÇÃO</v>
          </cell>
          <cell r="G4196" t="str">
            <v/>
          </cell>
          <cell r="H4196">
            <v>499.99</v>
          </cell>
          <cell r="I4196">
            <v>399.99</v>
          </cell>
          <cell r="J4196">
            <v>220.15819999999999</v>
          </cell>
          <cell r="K4196">
            <v>0</v>
          </cell>
          <cell r="L4196">
            <v>220.15819999999999</v>
          </cell>
          <cell r="M4196">
            <v>0</v>
          </cell>
          <cell r="N4196">
            <v>399.99</v>
          </cell>
          <cell r="O4196" t="str">
            <v/>
          </cell>
          <cell r="P4196">
            <v>0</v>
          </cell>
          <cell r="Q4196">
            <v>0.81682989777351001</v>
          </cell>
          <cell r="R4196">
            <v>0.81682989777351001</v>
          </cell>
          <cell r="S4196" t="e">
            <v>#VALUE!</v>
          </cell>
          <cell r="T4196" t="e">
            <v>#VALUE!</v>
          </cell>
        </row>
        <row r="4197">
          <cell r="A4197" t="str">
            <v>G257005LAG</v>
          </cell>
          <cell r="B4197" t="str">
            <v>MKP000631005415</v>
          </cell>
          <cell r="C4197" t="str">
            <v/>
          </cell>
          <cell r="D4197" t="str">
            <v>Armário Aéreo 70 cm 2 Portas Branco/Crema Agata Madesa</v>
          </cell>
          <cell r="E4197" t="str">
            <v>ÁGATA</v>
          </cell>
          <cell r="F4197" t="str">
            <v>MODULAÇÃO</v>
          </cell>
          <cell r="G4197" t="str">
            <v/>
          </cell>
          <cell r="H4197">
            <v>559.99</v>
          </cell>
          <cell r="I4197">
            <v>459.99</v>
          </cell>
          <cell r="J4197">
            <v>244.06190000000001</v>
          </cell>
          <cell r="K4197">
            <v>0</v>
          </cell>
          <cell r="L4197">
            <v>244.06190000000001</v>
          </cell>
          <cell r="M4197">
            <v>0</v>
          </cell>
          <cell r="N4197">
            <v>459.99</v>
          </cell>
          <cell r="O4197" t="str">
            <v/>
          </cell>
          <cell r="P4197">
            <v>0</v>
          </cell>
          <cell r="Q4197">
            <v>0.88472678447557795</v>
          </cell>
          <cell r="R4197">
            <v>0.88472678447557795</v>
          </cell>
          <cell r="S4197" t="e">
            <v>#VALUE!</v>
          </cell>
          <cell r="T4197" t="e">
            <v>#VALUE!</v>
          </cell>
        </row>
        <row r="4198">
          <cell r="A4198" t="str">
            <v>G25402H8LX</v>
          </cell>
          <cell r="B4198" t="str">
            <v>MKP000631005552</v>
          </cell>
          <cell r="C4198" t="str">
            <v/>
          </cell>
          <cell r="D4198" t="str">
            <v>Armário Aéreo 40 x 83 cm 1 Porta Rustic/Branco Veludo Lux Madesa</v>
          </cell>
          <cell r="E4198" t="str">
            <v>LUX</v>
          </cell>
          <cell r="F4198" t="str">
            <v>MODULAÇÃO</v>
          </cell>
          <cell r="G4198" t="str">
            <v/>
          </cell>
          <cell r="H4198">
            <v>629.99</v>
          </cell>
          <cell r="I4198">
            <v>369.99</v>
          </cell>
          <cell r="J4198">
            <v>194.51050000000001</v>
          </cell>
          <cell r="K4198">
            <v>0</v>
          </cell>
          <cell r="L4198">
            <v>194.51050000000001</v>
          </cell>
          <cell r="M4198">
            <v>0</v>
          </cell>
          <cell r="N4198">
            <v>369.99</v>
          </cell>
          <cell r="O4198" t="str">
            <v/>
          </cell>
          <cell r="P4198">
            <v>0</v>
          </cell>
          <cell r="Q4198">
            <v>0.90215952352186701</v>
          </cell>
          <cell r="R4198">
            <v>0.90215952352186701</v>
          </cell>
          <cell r="S4198" t="e">
            <v>#VALUE!</v>
          </cell>
          <cell r="T4198" t="e">
            <v>#VALUE!</v>
          </cell>
        </row>
        <row r="4199">
          <cell r="A4199" t="str">
            <v>G254007GAG</v>
          </cell>
          <cell r="B4199" t="str">
            <v>MKP000631005406</v>
          </cell>
          <cell r="C4199" t="str">
            <v/>
          </cell>
          <cell r="D4199" t="str">
            <v>Armário Aéreo 40 cm 1 Porta Rustic/Crema Agata Madesa</v>
          </cell>
          <cell r="E4199" t="str">
            <v>ÁGATA</v>
          </cell>
          <cell r="F4199" t="str">
            <v>MODULAÇÃO</v>
          </cell>
          <cell r="G4199" t="str">
            <v/>
          </cell>
          <cell r="H4199">
            <v>429.99</v>
          </cell>
          <cell r="I4199">
            <v>329.99</v>
          </cell>
          <cell r="J4199">
            <v>166.9117</v>
          </cell>
          <cell r="K4199">
            <v>0</v>
          </cell>
          <cell r="L4199">
            <v>166.9117</v>
          </cell>
          <cell r="M4199">
            <v>0</v>
          </cell>
          <cell r="N4199">
            <v>329.99</v>
          </cell>
          <cell r="O4199" t="str">
            <v/>
          </cell>
          <cell r="P4199">
            <v>0</v>
          </cell>
          <cell r="Q4199">
            <v>0.97703336554597398</v>
          </cell>
          <cell r="R4199">
            <v>0.97703336554597398</v>
          </cell>
          <cell r="S4199" t="e">
            <v>#VALUE!</v>
          </cell>
          <cell r="T4199" t="e">
            <v>#VALUE!</v>
          </cell>
        </row>
        <row r="4200">
          <cell r="A4200" t="str">
            <v>G258045LAG</v>
          </cell>
          <cell r="B4200" t="str">
            <v>MKP000631005410</v>
          </cell>
          <cell r="C4200" t="str">
            <v/>
          </cell>
          <cell r="D4200" t="str">
            <v>Armário Aéreo 80 cm 1 Porta Basculante Branco/Crema Agata Madesa</v>
          </cell>
          <cell r="E4200" t="str">
            <v>ÁGATA</v>
          </cell>
          <cell r="F4200" t="str">
            <v>MODULAÇÃO</v>
          </cell>
          <cell r="G4200" t="str">
            <v/>
          </cell>
          <cell r="H4200">
            <v>419.99</v>
          </cell>
          <cell r="I4200">
            <v>319.99</v>
          </cell>
          <cell r="J4200">
            <v>162.35550000000001</v>
          </cell>
          <cell r="K4200">
            <v>0</v>
          </cell>
          <cell r="L4200">
            <v>162.35550000000001</v>
          </cell>
          <cell r="M4200">
            <v>0</v>
          </cell>
          <cell r="N4200">
            <v>319.99</v>
          </cell>
          <cell r="O4200" t="str">
            <v/>
          </cell>
          <cell r="P4200">
            <v>0</v>
          </cell>
          <cell r="Q4200">
            <v>0.97092183510875796</v>
          </cell>
          <cell r="R4200">
            <v>0.97092183510875796</v>
          </cell>
          <cell r="S4200" t="e">
            <v>#VALUE!</v>
          </cell>
          <cell r="T4200" t="e">
            <v>#VALUE!</v>
          </cell>
        </row>
        <row r="4201">
          <cell r="A4201" t="str">
            <v>G22700H7LXCT</v>
          </cell>
          <cell r="B4201" t="str">
            <v>MKP000631005187</v>
          </cell>
          <cell r="C4201" t="str">
            <v/>
          </cell>
          <cell r="D4201" t="str">
            <v>Balcão Madesa Lux 70 cm 2 Portas - Branco/Branco Veludo (Com Tampo)</v>
          </cell>
          <cell r="E4201" t="str">
            <v>LUX</v>
          </cell>
          <cell r="F4201" t="str">
            <v>MODULAÇÃO</v>
          </cell>
          <cell r="G4201" t="str">
            <v/>
          </cell>
          <cell r="H4201">
            <v>859.99</v>
          </cell>
          <cell r="I4201">
            <v>789.99</v>
          </cell>
          <cell r="J4201">
            <v>396.0188</v>
          </cell>
          <cell r="K4201">
            <v>0</v>
          </cell>
          <cell r="L4201">
            <v>396.0188</v>
          </cell>
          <cell r="M4201">
            <v>0</v>
          </cell>
          <cell r="N4201">
            <v>789.99</v>
          </cell>
          <cell r="O4201" t="str">
            <v>LOJA</v>
          </cell>
          <cell r="P4201">
            <v>779.99</v>
          </cell>
          <cell r="Q4201">
            <v>0.99482953839565202</v>
          </cell>
          <cell r="R4201">
            <v>0.99482953839565202</v>
          </cell>
          <cell r="S4201" t="e">
            <v>#VALUE!</v>
          </cell>
          <cell r="T4201" t="e">
            <v>#VALUE!</v>
          </cell>
        </row>
        <row r="4202">
          <cell r="A4202" t="str">
            <v>42917K4XTPT</v>
          </cell>
          <cell r="B4202" t="str">
            <v>MKP000631000091</v>
          </cell>
          <cell r="C4202" t="str">
            <v/>
          </cell>
          <cell r="D4202" t="str">
            <v>Kit 4 Cadeiras de Jantar 4291 Rustic/Preto Madesa</v>
          </cell>
          <cell r="E4202">
            <v>4291</v>
          </cell>
          <cell r="F4202" t="str">
            <v>SALA DE JANTAR</v>
          </cell>
          <cell r="G4202" t="str">
            <v>4291X</v>
          </cell>
          <cell r="H4202">
            <v>799.99</v>
          </cell>
          <cell r="I4202">
            <v>599.99</v>
          </cell>
          <cell r="J4202">
            <v>257.37079999999997</v>
          </cell>
          <cell r="K4202">
            <v>0</v>
          </cell>
          <cell r="L4202">
            <v>257.37079999999997</v>
          </cell>
          <cell r="M4202">
            <v>0</v>
          </cell>
          <cell r="N4202">
            <v>599.99</v>
          </cell>
          <cell r="O4202" t="str">
            <v/>
          </cell>
          <cell r="P4202">
            <v>0</v>
          </cell>
          <cell r="Q4202">
            <v>1.3312279403879499</v>
          </cell>
          <cell r="R4202">
            <v>1.3312279403879499</v>
          </cell>
          <cell r="S4202" t="e">
            <v>#VALUE!</v>
          </cell>
          <cell r="T4202" t="e">
            <v>#VALUE!</v>
          </cell>
        </row>
        <row r="4203">
          <cell r="A4203" t="str">
            <v>42555Z4TSIMK</v>
          </cell>
          <cell r="B4203"/>
          <cell r="C4203" t="str">
            <v/>
          </cell>
          <cell r="D4203" t="str">
            <v>Kit 4 Cadeiras de Jantar 4255 Rustic/Imperial Madesa</v>
          </cell>
          <cell r="E4203">
            <v>4255</v>
          </cell>
          <cell r="F4203" t="str">
            <v>SALA DE JANTAR</v>
          </cell>
          <cell r="G4203">
            <v>4255</v>
          </cell>
          <cell r="H4203">
            <v>699.99</v>
          </cell>
          <cell r="I4203">
            <v>699.99</v>
          </cell>
          <cell r="J4203">
            <v>508.89920000000001</v>
          </cell>
          <cell r="K4203">
            <v>0</v>
          </cell>
          <cell r="L4203">
            <v>508.89920000000001</v>
          </cell>
          <cell r="M4203">
            <v>0</v>
          </cell>
          <cell r="N4203">
            <v>699.99</v>
          </cell>
          <cell r="O4203" t="str">
            <v/>
          </cell>
          <cell r="P4203">
            <v>0</v>
          </cell>
          <cell r="Q4203">
            <v>0.37549833051417703</v>
          </cell>
          <cell r="R4203">
            <v>0.37549833051417703</v>
          </cell>
          <cell r="S4203" t="e">
            <v>#VALUE!</v>
          </cell>
          <cell r="T4203" t="e">
            <v>#VALUE!</v>
          </cell>
        </row>
        <row r="4204">
          <cell r="A4204" t="str">
            <v>MDDR0400057K</v>
          </cell>
          <cell r="B4204"/>
          <cell r="C4204" t="str">
            <v/>
          </cell>
          <cell r="D4204" t="str">
            <v>Guarda-Roupa Closet Modulado Valencia 2 Gavetas 337cm Rustic/Preto Madesa 05</v>
          </cell>
          <cell r="E4204" t="str">
            <v>VALENCIA</v>
          </cell>
          <cell r="F4204" t="str">
            <v>QUARTO</v>
          </cell>
          <cell r="G4204" t="str">
            <v/>
          </cell>
          <cell r="H4204">
            <v>1199.99</v>
          </cell>
          <cell r="I4204">
            <v>1199.99</v>
          </cell>
          <cell r="J4204">
            <v>935.53610000000003</v>
          </cell>
          <cell r="K4204">
            <v>0</v>
          </cell>
          <cell r="L4204">
            <v>935.53610000000003</v>
          </cell>
          <cell r="M4204">
            <v>0</v>
          </cell>
          <cell r="N4204">
            <v>1199.99</v>
          </cell>
          <cell r="O4204" t="str">
            <v/>
          </cell>
          <cell r="P4204">
            <v>0</v>
          </cell>
          <cell r="Q4204">
            <v>0.28267631788874797</v>
          </cell>
          <cell r="R4204">
            <v>0.28267631788874797</v>
          </cell>
          <cell r="S4204" t="e">
            <v>#VALUE!</v>
          </cell>
          <cell r="T4204" t="e">
            <v>#VALUE!</v>
          </cell>
        </row>
        <row r="4205">
          <cell r="A4205" t="str">
            <v>42555Z4TSILK</v>
          </cell>
          <cell r="B4205"/>
          <cell r="C4205" t="str">
            <v/>
          </cell>
          <cell r="D4205" t="str">
            <v>Kit 4 Cadeiras de Jantar 4255 Rustic/Silver Madesa</v>
          </cell>
          <cell r="E4205">
            <v>4255</v>
          </cell>
          <cell r="F4205" t="str">
            <v>SALA DE JANTAR</v>
          </cell>
          <cell r="G4205">
            <v>4255</v>
          </cell>
          <cell r="H4205">
            <v>699.99</v>
          </cell>
          <cell r="I4205">
            <v>699.99</v>
          </cell>
          <cell r="J4205">
            <v>508.89920000000001</v>
          </cell>
          <cell r="K4205">
            <v>0</v>
          </cell>
          <cell r="L4205">
            <v>508.89920000000001</v>
          </cell>
          <cell r="M4205">
            <v>0</v>
          </cell>
          <cell r="N4205">
            <v>699.99</v>
          </cell>
          <cell r="O4205" t="str">
            <v/>
          </cell>
          <cell r="P4205">
            <v>0</v>
          </cell>
          <cell r="Q4205">
            <v>0.37549833051417703</v>
          </cell>
          <cell r="R4205">
            <v>0.37549833051417703</v>
          </cell>
          <cell r="S4205" t="e">
            <v>#VALUE!</v>
          </cell>
          <cell r="T4205" t="e">
            <v>#VALUE!</v>
          </cell>
        </row>
        <row r="4206">
          <cell r="A4206" t="str">
            <v>42555Z4TOXFK</v>
          </cell>
          <cell r="B4206"/>
          <cell r="C4206" t="str">
            <v/>
          </cell>
          <cell r="D4206" t="str">
            <v>Kit 4 Cadeiras de Jantar 4255 Rustic/Oxford Madesa</v>
          </cell>
          <cell r="E4206">
            <v>4255</v>
          </cell>
          <cell r="F4206" t="str">
            <v>SALA DE JANTAR</v>
          </cell>
          <cell r="G4206">
            <v>4255</v>
          </cell>
          <cell r="H4206">
            <v>699.99</v>
          </cell>
          <cell r="I4206">
            <v>699.99</v>
          </cell>
          <cell r="J4206">
            <v>508.89920000000001</v>
          </cell>
          <cell r="K4206">
            <v>0</v>
          </cell>
          <cell r="L4206">
            <v>508.89920000000001</v>
          </cell>
          <cell r="M4206">
            <v>0</v>
          </cell>
          <cell r="N4206">
            <v>699.99</v>
          </cell>
          <cell r="O4206" t="str">
            <v/>
          </cell>
          <cell r="P4206">
            <v>0</v>
          </cell>
          <cell r="Q4206">
            <v>0.37549833051417703</v>
          </cell>
          <cell r="R4206">
            <v>0.37549833051417703</v>
          </cell>
          <cell r="S4206" t="e">
            <v>#VALUE!</v>
          </cell>
          <cell r="T4206" t="e">
            <v>#VALUE!</v>
          </cell>
        </row>
        <row r="4207">
          <cell r="A4207" t="str">
            <v>MDDR0400037K</v>
          </cell>
          <cell r="B4207"/>
          <cell r="C4207" t="str">
            <v/>
          </cell>
          <cell r="D4207" t="str">
            <v>Guarda-Roupa Closet Modulado Valencia 4 Gavetas 358cm Rustic/Preto Madesa 03</v>
          </cell>
          <cell r="E4207" t="str">
            <v>VALENCIA</v>
          </cell>
          <cell r="F4207" t="str">
            <v>QUARTO</v>
          </cell>
          <cell r="G4207" t="str">
            <v/>
          </cell>
          <cell r="H4207">
            <v>1259.99</v>
          </cell>
          <cell r="I4207">
            <v>1259.99</v>
          </cell>
          <cell r="J4207">
            <v>1015.8582</v>
          </cell>
          <cell r="K4207">
            <v>0</v>
          </cell>
          <cell r="L4207">
            <v>1015.8582</v>
          </cell>
          <cell r="M4207">
            <v>0</v>
          </cell>
          <cell r="N4207">
            <v>1259.99</v>
          </cell>
          <cell r="O4207" t="str">
            <v/>
          </cell>
          <cell r="P4207">
            <v>0</v>
          </cell>
          <cell r="Q4207">
            <v>0.240320745552873</v>
          </cell>
          <cell r="R4207">
            <v>0.240320745552873</v>
          </cell>
          <cell r="S4207" t="e">
            <v>#VALUE!</v>
          </cell>
          <cell r="T4207" t="e">
            <v>#VALUE!</v>
          </cell>
        </row>
        <row r="4208">
          <cell r="A4208" t="str">
            <v>114409</v>
          </cell>
          <cell r="B4208"/>
          <cell r="C4208" t="str">
            <v/>
          </cell>
          <cell r="D4208" t="str">
            <v>Guarda-Roupa 2 Portas de Correr Branco Max Madesa</v>
          </cell>
          <cell r="E4208" t="str">
            <v>MAX</v>
          </cell>
          <cell r="F4208" t="str">
            <v>QUARTO</v>
          </cell>
          <cell r="G4208" t="str">
            <v/>
          </cell>
          <cell r="H4208">
            <v>729.99</v>
          </cell>
          <cell r="I4208">
            <v>729.99</v>
          </cell>
          <cell r="J4208">
            <v>568.91459999999995</v>
          </cell>
          <cell r="K4208">
            <v>0</v>
          </cell>
          <cell r="L4208">
            <v>568.91459999999995</v>
          </cell>
          <cell r="M4208">
            <v>0</v>
          </cell>
          <cell r="N4208">
            <v>729.99</v>
          </cell>
          <cell r="O4208" t="str">
            <v/>
          </cell>
          <cell r="P4208">
            <v>0</v>
          </cell>
          <cell r="Q4208">
            <v>0.28312755552415098</v>
          </cell>
          <cell r="R4208">
            <v>0.28312755552415098</v>
          </cell>
          <cell r="S4208" t="e">
            <v>#VALUE!</v>
          </cell>
          <cell r="T4208" t="e">
            <v>#VALUE!</v>
          </cell>
        </row>
        <row r="4209">
          <cell r="A4209" t="str">
            <v>11445Z2E</v>
          </cell>
          <cell r="B4209"/>
          <cell r="C4209" t="str">
            <v/>
          </cell>
          <cell r="D4209" t="str">
            <v>Guarda-Roupa 2 Portas de Correr de Espelho Rustic Max Madesa</v>
          </cell>
          <cell r="E4209" t="str">
            <v>MAX</v>
          </cell>
          <cell r="F4209" t="str">
            <v>QUARTO</v>
          </cell>
          <cell r="G4209" t="str">
            <v/>
          </cell>
          <cell r="H4209">
            <v>1049.99</v>
          </cell>
          <cell r="I4209">
            <v>1049.99</v>
          </cell>
          <cell r="J4209">
            <v>845.73099999999999</v>
          </cell>
          <cell r="K4209">
            <v>0</v>
          </cell>
          <cell r="L4209">
            <v>845.73099999999999</v>
          </cell>
          <cell r="M4209">
            <v>0</v>
          </cell>
          <cell r="N4209">
            <v>1049.99</v>
          </cell>
          <cell r="O4209" t="str">
            <v/>
          </cell>
          <cell r="P4209">
            <v>0</v>
          </cell>
          <cell r="Q4209">
            <v>0.241517692978027</v>
          </cell>
          <cell r="R4209">
            <v>0.241517692978027</v>
          </cell>
          <cell r="S4209" t="e">
            <v>#VALUE!</v>
          </cell>
          <cell r="T4209" t="e">
            <v>#VALUE!</v>
          </cell>
        </row>
        <row r="4210">
          <cell r="A4210" t="str">
            <v>11445Z1E</v>
          </cell>
          <cell r="B4210"/>
          <cell r="C4210" t="str">
            <v/>
          </cell>
          <cell r="D4210" t="str">
            <v>Guarda-Roupa 2 Portas de Correr com Espelho Rustic Max Madesa</v>
          </cell>
          <cell r="E4210" t="str">
            <v>MAX</v>
          </cell>
          <cell r="F4210" t="str">
            <v>QUARTO</v>
          </cell>
          <cell r="G4210" t="str">
            <v/>
          </cell>
          <cell r="H4210">
            <v>999.99</v>
          </cell>
          <cell r="I4210">
            <v>899.99</v>
          </cell>
          <cell r="J4210">
            <v>707.32280000000003</v>
          </cell>
          <cell r="K4210">
            <v>0</v>
          </cell>
          <cell r="L4210">
            <v>707.32280000000003</v>
          </cell>
          <cell r="M4210">
            <v>0</v>
          </cell>
          <cell r="N4210">
            <v>899.99</v>
          </cell>
          <cell r="O4210" t="str">
            <v/>
          </cell>
          <cell r="P4210">
            <v>0</v>
          </cell>
          <cell r="Q4210">
            <v>0.272389353206202</v>
          </cell>
          <cell r="R4210">
            <v>0.272389353206202</v>
          </cell>
          <cell r="S4210" t="e">
            <v>#VALUE!</v>
          </cell>
          <cell r="T4210" t="e">
            <v>#VALUE!</v>
          </cell>
        </row>
        <row r="4211">
          <cell r="A4211" t="str">
            <v>11445Z</v>
          </cell>
          <cell r="B4211"/>
          <cell r="C4211" t="str">
            <v/>
          </cell>
          <cell r="D4211" t="str">
            <v>Guarda-Roupa 2 Portas de Correr Rustic Max Madesa</v>
          </cell>
          <cell r="E4211" t="str">
            <v>MAX</v>
          </cell>
          <cell r="F4211" t="str">
            <v>QUARTO</v>
          </cell>
          <cell r="G4211" t="str">
            <v/>
          </cell>
          <cell r="H4211">
            <v>729.99</v>
          </cell>
          <cell r="I4211">
            <v>729.99</v>
          </cell>
          <cell r="J4211">
            <v>568.91459999999995</v>
          </cell>
          <cell r="K4211">
            <v>0</v>
          </cell>
          <cell r="L4211">
            <v>568.91459999999995</v>
          </cell>
          <cell r="M4211">
            <v>0</v>
          </cell>
          <cell r="N4211">
            <v>729.99</v>
          </cell>
          <cell r="O4211" t="str">
            <v/>
          </cell>
          <cell r="P4211">
            <v>0</v>
          </cell>
          <cell r="Q4211">
            <v>0.28312755552415098</v>
          </cell>
          <cell r="R4211">
            <v>0.28312755552415098</v>
          </cell>
          <cell r="S4211" t="e">
            <v>#VALUE!</v>
          </cell>
          <cell r="T4211" t="e">
            <v>#VALUE!</v>
          </cell>
        </row>
        <row r="4212">
          <cell r="A4212" t="str">
            <v>1144092E</v>
          </cell>
          <cell r="B4212"/>
          <cell r="C4212" t="str">
            <v/>
          </cell>
          <cell r="D4212" t="str">
            <v>Guarda-Roupa 2 Portas de Correr de Espelho Branco Max Madesa</v>
          </cell>
          <cell r="E4212" t="str">
            <v>MAX</v>
          </cell>
          <cell r="F4212" t="str">
            <v>QUARTO</v>
          </cell>
          <cell r="G4212" t="str">
            <v/>
          </cell>
          <cell r="H4212">
            <v>1049.99</v>
          </cell>
          <cell r="I4212">
            <v>1049.99</v>
          </cell>
          <cell r="J4212">
            <v>845.73099999999999</v>
          </cell>
          <cell r="K4212">
            <v>0</v>
          </cell>
          <cell r="L4212">
            <v>845.73099999999999</v>
          </cell>
          <cell r="M4212">
            <v>0</v>
          </cell>
          <cell r="N4212">
            <v>1049.99</v>
          </cell>
          <cell r="O4212" t="str">
            <v/>
          </cell>
          <cell r="P4212">
            <v>0</v>
          </cell>
          <cell r="Q4212">
            <v>0.241517692978027</v>
          </cell>
          <cell r="R4212">
            <v>0.241517692978027</v>
          </cell>
          <cell r="S4212" t="e">
            <v>#VALUE!</v>
          </cell>
          <cell r="T4212" t="e">
            <v>#VALUE!</v>
          </cell>
        </row>
        <row r="4213">
          <cell r="A4213" t="str">
            <v>1144091E</v>
          </cell>
          <cell r="B4213"/>
          <cell r="C4213" t="str">
            <v/>
          </cell>
          <cell r="D4213" t="str">
            <v>Guarda-Roupa 2 Portas de Correr com Espelho Branco Max Madesa</v>
          </cell>
          <cell r="E4213" t="str">
            <v>MAX</v>
          </cell>
          <cell r="F4213" t="str">
            <v>QUARTO</v>
          </cell>
          <cell r="G4213" t="str">
            <v/>
          </cell>
          <cell r="H4213">
            <v>999.99</v>
          </cell>
          <cell r="I4213">
            <v>899.99</v>
          </cell>
          <cell r="J4213">
            <v>707.32280000000003</v>
          </cell>
          <cell r="K4213">
            <v>0</v>
          </cell>
          <cell r="L4213">
            <v>707.32280000000003</v>
          </cell>
          <cell r="M4213">
            <v>0</v>
          </cell>
          <cell r="N4213">
            <v>899.99</v>
          </cell>
          <cell r="O4213" t="str">
            <v>CAMICADO</v>
          </cell>
          <cell r="P4213">
            <v>899.99</v>
          </cell>
          <cell r="Q4213">
            <v>0.272389353206202</v>
          </cell>
          <cell r="R4213">
            <v>0.272389353206202</v>
          </cell>
          <cell r="S4213" t="e">
            <v>#VALUE!</v>
          </cell>
          <cell r="T4213" t="e">
            <v>#VALUE!</v>
          </cell>
        </row>
        <row r="4214">
          <cell r="A4214" t="str">
            <v>42565Z4TOXFK</v>
          </cell>
          <cell r="B4214"/>
          <cell r="C4214" t="str">
            <v/>
          </cell>
          <cell r="D4214" t="str">
            <v>Kit 4 Cadeiras de Jantar 4256 Rustic/Oxford Madesa</v>
          </cell>
          <cell r="E4214">
            <v>4256</v>
          </cell>
          <cell r="F4214" t="str">
            <v>SALA DE JANTAR</v>
          </cell>
          <cell r="G4214">
            <v>4256</v>
          </cell>
          <cell r="H4214">
            <v>799.99</v>
          </cell>
          <cell r="I4214">
            <v>799.99</v>
          </cell>
          <cell r="J4214">
            <v>584.54520000000002</v>
          </cell>
          <cell r="K4214">
            <v>0</v>
          </cell>
          <cell r="L4214">
            <v>584.54520000000002</v>
          </cell>
          <cell r="M4214">
            <v>0</v>
          </cell>
          <cell r="N4214">
            <v>799.99</v>
          </cell>
          <cell r="O4214" t="str">
            <v/>
          </cell>
          <cell r="P4214">
            <v>0</v>
          </cell>
          <cell r="Q4214">
            <v>0.36856824758803902</v>
          </cell>
          <cell r="R4214">
            <v>0.36856824758803902</v>
          </cell>
          <cell r="S4214" t="e">
            <v>#VALUE!</v>
          </cell>
          <cell r="T4214" t="e">
            <v>#VALUE!</v>
          </cell>
        </row>
        <row r="4215">
          <cell r="A4215" t="str">
            <v>MDJA0401905ZSIL</v>
          </cell>
          <cell r="B4215"/>
          <cell r="C4215" t="str">
            <v/>
          </cell>
          <cell r="D4215" t="str">
            <v>Conjunto Sala de Jantar Mesa Tampo de Vidro 4 Cadeiras Rustic/Silver Celina Madesa</v>
          </cell>
          <cell r="E4215" t="str">
            <v>CELINA</v>
          </cell>
          <cell r="F4215" t="str">
            <v>SALA DE JANTAR</v>
          </cell>
          <cell r="G4215">
            <v>4256</v>
          </cell>
          <cell r="H4215">
            <v>1289.99</v>
          </cell>
          <cell r="I4215">
            <v>1289.99</v>
          </cell>
          <cell r="J4215">
            <v>945.11720000000003</v>
          </cell>
          <cell r="K4215">
            <v>0</v>
          </cell>
          <cell r="L4215">
            <v>945.11720000000003</v>
          </cell>
          <cell r="M4215">
            <v>0</v>
          </cell>
          <cell r="N4215">
            <v>1289.99</v>
          </cell>
          <cell r="O4215" t="str">
            <v/>
          </cell>
          <cell r="P4215">
            <v>0</v>
          </cell>
          <cell r="Q4215">
            <v>0.36489950664319698</v>
          </cell>
          <cell r="R4215">
            <v>0.36489950664319698</v>
          </cell>
          <cell r="S4215" t="e">
            <v>#VALUE!</v>
          </cell>
          <cell r="T4215" t="e">
            <v>#VALUE!</v>
          </cell>
        </row>
        <row r="4216">
          <cell r="A4216" t="str">
            <v>MDJA040190D8OXF</v>
          </cell>
          <cell r="B4216"/>
          <cell r="C4216" t="str">
            <v/>
          </cell>
          <cell r="D4216" t="str">
            <v>Conjunto Sala de Jantar Mesa Tampo de Vidro 4 Cadeiras Preto/Oxford Celina Madesa</v>
          </cell>
          <cell r="E4216" t="str">
            <v>CELINA</v>
          </cell>
          <cell r="F4216" t="str">
            <v>SALA DE JANTAR</v>
          </cell>
          <cell r="G4216">
            <v>4256</v>
          </cell>
          <cell r="H4216">
            <v>1289.99</v>
          </cell>
          <cell r="I4216">
            <v>1289.99</v>
          </cell>
          <cell r="J4216">
            <v>945.11720000000003</v>
          </cell>
          <cell r="K4216">
            <v>0</v>
          </cell>
          <cell r="L4216">
            <v>945.11720000000003</v>
          </cell>
          <cell r="M4216">
            <v>0</v>
          </cell>
          <cell r="N4216">
            <v>1289.99</v>
          </cell>
          <cell r="O4216" t="str">
            <v/>
          </cell>
          <cell r="P4216">
            <v>0</v>
          </cell>
          <cell r="Q4216">
            <v>0.36489950664319698</v>
          </cell>
          <cell r="R4216">
            <v>0.36489950664319698</v>
          </cell>
          <cell r="S4216" t="e">
            <v>#VALUE!</v>
          </cell>
          <cell r="T4216" t="e">
            <v>#VALUE!</v>
          </cell>
        </row>
        <row r="4217">
          <cell r="A4217" t="str">
            <v>MDJA0401915ZSIM</v>
          </cell>
          <cell r="B4217"/>
          <cell r="C4217" t="str">
            <v/>
          </cell>
          <cell r="D4217" t="str">
            <v>Conjunto Sala de Jantar Mesa Tampo de Vidro 4 Cadeiras Rustic/Imperial Antônia Madesa</v>
          </cell>
          <cell r="E4217" t="str">
            <v>ANTÔNIA</v>
          </cell>
          <cell r="F4217" t="str">
            <v>SALA DE JANTAR</v>
          </cell>
          <cell r="G4217">
            <v>4255</v>
          </cell>
          <cell r="H4217">
            <v>1189.99</v>
          </cell>
          <cell r="I4217">
            <v>1189.99</v>
          </cell>
          <cell r="J4217">
            <v>896.24159999999995</v>
          </cell>
          <cell r="K4217">
            <v>0</v>
          </cell>
          <cell r="L4217">
            <v>896.24159999999995</v>
          </cell>
          <cell r="M4217">
            <v>0</v>
          </cell>
          <cell r="N4217">
            <v>1189.99</v>
          </cell>
          <cell r="O4217" t="str">
            <v/>
          </cell>
          <cell r="P4217">
            <v>0</v>
          </cell>
          <cell r="Q4217">
            <v>0.32775581941297999</v>
          </cell>
          <cell r="R4217">
            <v>0.32775581941297999</v>
          </cell>
          <cell r="S4217" t="e">
            <v>#VALUE!</v>
          </cell>
          <cell r="T4217" t="e">
            <v>#VALUE!</v>
          </cell>
        </row>
        <row r="4218">
          <cell r="A4218" t="str">
            <v>MDJA0401915ZSIL</v>
          </cell>
          <cell r="B4218"/>
          <cell r="C4218" t="str">
            <v/>
          </cell>
          <cell r="D4218" t="str">
            <v>Conjunto Sala de Jantar Mesa Tampo de Vidro 4 Cadeiras Rustic/Silver Antônia Madesa</v>
          </cell>
          <cell r="E4218" t="str">
            <v>ANTÔNIA</v>
          </cell>
          <cell r="F4218" t="str">
            <v>SALA DE JANTAR</v>
          </cell>
          <cell r="G4218">
            <v>4255</v>
          </cell>
          <cell r="H4218">
            <v>1189.99</v>
          </cell>
          <cell r="I4218">
            <v>1189.99</v>
          </cell>
          <cell r="J4218">
            <v>896.24159999999995</v>
          </cell>
          <cell r="K4218">
            <v>0</v>
          </cell>
          <cell r="L4218">
            <v>896.24159999999995</v>
          </cell>
          <cell r="M4218">
            <v>0</v>
          </cell>
          <cell r="N4218">
            <v>1189.99</v>
          </cell>
          <cell r="O4218" t="str">
            <v/>
          </cell>
          <cell r="P4218">
            <v>0</v>
          </cell>
          <cell r="Q4218">
            <v>0.32775581941297999</v>
          </cell>
          <cell r="R4218">
            <v>0.32775581941297999</v>
          </cell>
          <cell r="S4218" t="e">
            <v>#VALUE!</v>
          </cell>
          <cell r="T4218" t="e">
            <v>#VALUE!</v>
          </cell>
        </row>
        <row r="4219">
          <cell r="A4219" t="str">
            <v>MDJA0401905ZOXF</v>
          </cell>
          <cell r="B4219"/>
          <cell r="C4219" t="str">
            <v/>
          </cell>
          <cell r="D4219" t="str">
            <v>Conjunto Sala de Jantar Mesa Tampo de Vidro 4 Cadeiras Rustic/Oxford Celina Madesa</v>
          </cell>
          <cell r="E4219" t="str">
            <v>CELINA</v>
          </cell>
          <cell r="F4219" t="str">
            <v>SALA DE JANTAR</v>
          </cell>
          <cell r="G4219">
            <v>4256</v>
          </cell>
          <cell r="H4219">
            <v>1289.99</v>
          </cell>
          <cell r="I4219">
            <v>1289.99</v>
          </cell>
          <cell r="J4219">
            <v>945.11720000000003</v>
          </cell>
          <cell r="K4219">
            <v>0</v>
          </cell>
          <cell r="L4219">
            <v>945.11720000000003</v>
          </cell>
          <cell r="M4219">
            <v>0</v>
          </cell>
          <cell r="N4219">
            <v>1289.99</v>
          </cell>
          <cell r="O4219" t="str">
            <v/>
          </cell>
          <cell r="P4219">
            <v>0</v>
          </cell>
          <cell r="Q4219">
            <v>0.36489950664319698</v>
          </cell>
          <cell r="R4219">
            <v>0.36489950664319698</v>
          </cell>
          <cell r="S4219" t="e">
            <v>#VALUE!</v>
          </cell>
          <cell r="T4219" t="e">
            <v>#VALUE!</v>
          </cell>
        </row>
        <row r="4220">
          <cell r="A4220" t="str">
            <v>MDJA0401915ZOXF</v>
          </cell>
          <cell r="B4220"/>
          <cell r="C4220" t="str">
            <v/>
          </cell>
          <cell r="D4220" t="str">
            <v>Conjunto Sala de Jantar Mesa Tampo de Vidro 4 Cadeiras Rustic/Oxford Antônia Madesa</v>
          </cell>
          <cell r="E4220" t="str">
            <v>ANTÔNIA</v>
          </cell>
          <cell r="F4220" t="str">
            <v>SALA DE JANTAR</v>
          </cell>
          <cell r="G4220">
            <v>4255</v>
          </cell>
          <cell r="H4220">
            <v>1189.99</v>
          </cell>
          <cell r="I4220">
            <v>1189.99</v>
          </cell>
          <cell r="J4220">
            <v>896.24159999999995</v>
          </cell>
          <cell r="K4220">
            <v>0</v>
          </cell>
          <cell r="L4220">
            <v>896.24159999999995</v>
          </cell>
          <cell r="M4220">
            <v>0</v>
          </cell>
          <cell r="N4220">
            <v>1189.99</v>
          </cell>
          <cell r="O4220" t="str">
            <v/>
          </cell>
          <cell r="P4220">
            <v>0</v>
          </cell>
          <cell r="Q4220">
            <v>0.32775581941297999</v>
          </cell>
          <cell r="R4220">
            <v>0.32775581941297999</v>
          </cell>
          <cell r="S4220" t="e">
            <v>#VALUE!</v>
          </cell>
          <cell r="T4220" t="e">
            <v>#VALUE!</v>
          </cell>
        </row>
        <row r="4221">
          <cell r="A4221" t="str">
            <v>42565Z4TSILK</v>
          </cell>
          <cell r="B4221"/>
          <cell r="C4221" t="str">
            <v/>
          </cell>
          <cell r="D4221" t="str">
            <v>Kit 4 Cadeiras de Jantar 4256 Rustic/Silver Madesa</v>
          </cell>
          <cell r="E4221">
            <v>4256</v>
          </cell>
          <cell r="F4221" t="str">
            <v>SALA DE JANTAR</v>
          </cell>
          <cell r="G4221">
            <v>4256</v>
          </cell>
          <cell r="H4221">
            <v>799.99</v>
          </cell>
          <cell r="I4221">
            <v>799.99</v>
          </cell>
          <cell r="J4221">
            <v>584.54520000000002</v>
          </cell>
          <cell r="K4221">
            <v>0</v>
          </cell>
          <cell r="L4221">
            <v>584.54520000000002</v>
          </cell>
          <cell r="M4221">
            <v>0</v>
          </cell>
          <cell r="N4221">
            <v>799.99</v>
          </cell>
          <cell r="O4221" t="str">
            <v/>
          </cell>
          <cell r="P4221">
            <v>0</v>
          </cell>
          <cell r="Q4221">
            <v>0.36856824758803902</v>
          </cell>
          <cell r="R4221">
            <v>0.36856824758803902</v>
          </cell>
          <cell r="S4221" t="e">
            <v>#VALUE!</v>
          </cell>
          <cell r="T4221" t="e">
            <v>#VALUE!</v>
          </cell>
        </row>
        <row r="4222">
          <cell r="A4222" t="str">
            <v>42565Z4TSIMK</v>
          </cell>
          <cell r="B4222"/>
          <cell r="C4222" t="str">
            <v/>
          </cell>
          <cell r="D4222" t="str">
            <v>Kit 4 Cadeiras de Jantar 4256 Rustic/Imperial Madesa</v>
          </cell>
          <cell r="E4222">
            <v>4256</v>
          </cell>
          <cell r="F4222" t="str">
            <v>SALA DE JANTAR</v>
          </cell>
          <cell r="G4222">
            <v>4256</v>
          </cell>
          <cell r="H4222">
            <v>799.99</v>
          </cell>
          <cell r="I4222">
            <v>799.99</v>
          </cell>
          <cell r="J4222">
            <v>584.54520000000002</v>
          </cell>
          <cell r="K4222">
            <v>0</v>
          </cell>
          <cell r="L4222">
            <v>584.54520000000002</v>
          </cell>
          <cell r="M4222">
            <v>0</v>
          </cell>
          <cell r="N4222">
            <v>799.99</v>
          </cell>
          <cell r="O4222" t="str">
            <v/>
          </cell>
          <cell r="P4222">
            <v>0</v>
          </cell>
          <cell r="Q4222">
            <v>0.36856824758803902</v>
          </cell>
          <cell r="R4222">
            <v>0.36856824758803902</v>
          </cell>
          <cell r="S4222" t="e">
            <v>#VALUE!</v>
          </cell>
          <cell r="T4222" t="e">
            <v>#VALUE!</v>
          </cell>
        </row>
        <row r="4223">
          <cell r="A4223" t="str">
            <v>MDJA0401905ZSIM</v>
          </cell>
          <cell r="B4223"/>
          <cell r="C4223" t="str">
            <v/>
          </cell>
          <cell r="D4223" t="str">
            <v>Conjunto Sala de Jantar Mesa Tampo de Vidro 4 Cadeiras Rustic/Imperial Celina Madesa</v>
          </cell>
          <cell r="E4223" t="str">
            <v>CELINA</v>
          </cell>
          <cell r="F4223" t="str">
            <v>SALA DE JANTAR</v>
          </cell>
          <cell r="G4223">
            <v>4256</v>
          </cell>
          <cell r="H4223">
            <v>1289.99</v>
          </cell>
          <cell r="I4223">
            <v>1289.99</v>
          </cell>
          <cell r="J4223">
            <v>945.11720000000003</v>
          </cell>
          <cell r="K4223">
            <v>0</v>
          </cell>
          <cell r="L4223">
            <v>945.11720000000003</v>
          </cell>
          <cell r="M4223">
            <v>0</v>
          </cell>
          <cell r="N4223">
            <v>1289.99</v>
          </cell>
          <cell r="O4223" t="str">
            <v/>
          </cell>
          <cell r="P4223">
            <v>0</v>
          </cell>
          <cell r="Q4223">
            <v>0.36489950664319698</v>
          </cell>
          <cell r="R4223">
            <v>0.36489950664319698</v>
          </cell>
          <cell r="S4223" t="e">
            <v>#VALUE!</v>
          </cell>
          <cell r="T4223" t="e">
            <v>#VALUE!</v>
          </cell>
        </row>
        <row r="4224">
          <cell r="A4224" t="str">
            <v>1193091E4G</v>
          </cell>
          <cell r="B4224"/>
          <cell r="C4224" t="str">
            <v/>
          </cell>
          <cell r="D4224"/>
          <cell r="E4224"/>
          <cell r="F4224"/>
          <cell r="G4224"/>
          <cell r="H4224"/>
          <cell r="I4224">
            <v>959.99</v>
          </cell>
          <cell r="J4224">
            <v>0.1</v>
          </cell>
          <cell r="K4224">
            <v>863.99099999999999</v>
          </cell>
          <cell r="L4224"/>
          <cell r="M4224" t="e">
            <v>#VALUE!</v>
          </cell>
          <cell r="N4224" t="e">
            <v>#VALUE!</v>
          </cell>
          <cell r="O4224" t="e">
            <v>#VALUE!</v>
          </cell>
          <cell r="P4224" t="e">
            <v>#VALUE!</v>
          </cell>
          <cell r="Q4224" t="str">
            <v/>
          </cell>
          <cell r="R4224">
            <v>0</v>
          </cell>
          <cell r="S4224" t="e">
            <v>#VALUE!</v>
          </cell>
          <cell r="T4224" t="e">
            <v>#VALUE!</v>
          </cell>
        </row>
        <row r="4225">
          <cell r="A4225" t="str">
            <v>1193092E4G</v>
          </cell>
          <cell r="B4225"/>
          <cell r="C4225" t="str">
            <v/>
          </cell>
          <cell r="D4225"/>
          <cell r="E4225"/>
          <cell r="F4225"/>
          <cell r="G4225"/>
          <cell r="H4225"/>
          <cell r="I4225">
            <v>1399.99</v>
          </cell>
          <cell r="J4225">
            <v>0.1</v>
          </cell>
          <cell r="K4225">
            <v>1259.991</v>
          </cell>
          <cell r="L4225"/>
          <cell r="M4225" t="e">
            <v>#VALUE!</v>
          </cell>
          <cell r="N4225" t="e">
            <v>#VALUE!</v>
          </cell>
          <cell r="O4225" t="e">
            <v>#VALUE!</v>
          </cell>
          <cell r="P4225" t="e">
            <v>#VALUE!</v>
          </cell>
          <cell r="Q4225" t="str">
            <v/>
          </cell>
          <cell r="R4225">
            <v>0</v>
          </cell>
          <cell r="S4225" t="e">
            <v>#VALUE!</v>
          </cell>
          <cell r="T4225" t="e">
            <v>#VALUE!</v>
          </cell>
        </row>
        <row r="4226">
          <cell r="A4226" t="str">
            <v>1193734G</v>
          </cell>
          <cell r="B4226"/>
          <cell r="C4226" t="str">
            <v/>
          </cell>
          <cell r="D4226"/>
          <cell r="E4226"/>
          <cell r="F4226"/>
          <cell r="G4226"/>
          <cell r="H4226"/>
          <cell r="I4226">
            <v>1549.99</v>
          </cell>
          <cell r="J4226">
            <v>0.1</v>
          </cell>
          <cell r="K4226">
            <v>1394.991</v>
          </cell>
          <cell r="L4226"/>
          <cell r="M4226" t="e">
            <v>#VALUE!</v>
          </cell>
          <cell r="N4226" t="e">
            <v>#VALUE!</v>
          </cell>
          <cell r="O4226" t="e">
            <v>#VALUE!</v>
          </cell>
          <cell r="P4226" t="e">
            <v>#VALUE!</v>
          </cell>
          <cell r="Q4226" t="str">
            <v/>
          </cell>
          <cell r="R4226">
            <v>0</v>
          </cell>
          <cell r="S4226" t="e">
            <v>#VALUE!</v>
          </cell>
          <cell r="T4226" t="e">
            <v>#VALUE!</v>
          </cell>
        </row>
        <row r="4227">
          <cell r="A4227" t="str">
            <v>11937K2E</v>
          </cell>
          <cell r="B4227"/>
          <cell r="C4227" t="str">
            <v/>
          </cell>
          <cell r="D4227"/>
          <cell r="E4227"/>
          <cell r="F4227"/>
          <cell r="G4227"/>
          <cell r="H4227"/>
          <cell r="I4227">
            <v>1199.99</v>
          </cell>
          <cell r="J4227">
            <v>0.1</v>
          </cell>
          <cell r="K4227">
            <v>1079.991</v>
          </cell>
          <cell r="L4227"/>
          <cell r="M4227" t="e">
            <v>#VALUE!</v>
          </cell>
          <cell r="N4227" t="e">
            <v>#VALUE!</v>
          </cell>
          <cell r="O4227" t="e">
            <v>#VALUE!</v>
          </cell>
          <cell r="P4227" t="e">
            <v>#VALUE!</v>
          </cell>
          <cell r="Q4227" t="str">
            <v/>
          </cell>
          <cell r="R4227">
            <v>0</v>
          </cell>
          <cell r="S4227" t="e">
            <v>#VALUE!</v>
          </cell>
          <cell r="T4227" t="e">
            <v>#VALUE!</v>
          </cell>
        </row>
        <row r="4228">
          <cell r="A4228" t="str">
            <v>11939B2E4G</v>
          </cell>
          <cell r="B4228"/>
          <cell r="C4228" t="str">
            <v/>
          </cell>
          <cell r="D4228"/>
          <cell r="E4228"/>
          <cell r="F4228"/>
          <cell r="G4228"/>
          <cell r="H4228"/>
          <cell r="I4228">
            <v>1279.99</v>
          </cell>
          <cell r="J4228">
            <v>0.1</v>
          </cell>
          <cell r="K4228">
            <v>1151.991</v>
          </cell>
          <cell r="L4228"/>
          <cell r="M4228" t="e">
            <v>#VALUE!</v>
          </cell>
          <cell r="N4228" t="e">
            <v>#VALUE!</v>
          </cell>
          <cell r="O4228" t="e">
            <v>#VALUE!</v>
          </cell>
          <cell r="P4228" t="e">
            <v>#VALUE!</v>
          </cell>
          <cell r="Q4228" t="str">
            <v/>
          </cell>
          <cell r="R4228">
            <v>0</v>
          </cell>
          <cell r="S4228" t="e">
            <v>#VALUE!</v>
          </cell>
          <cell r="T4228" t="e">
            <v>#VALUE!</v>
          </cell>
        </row>
        <row r="4229">
          <cell r="A4229" t="str">
            <v>1193772E4G</v>
          </cell>
          <cell r="B4229"/>
          <cell r="C4229" t="str">
            <v/>
          </cell>
          <cell r="D4229"/>
          <cell r="E4229"/>
          <cell r="F4229"/>
          <cell r="G4229"/>
          <cell r="H4229"/>
          <cell r="I4229">
            <v>1549.99</v>
          </cell>
          <cell r="J4229">
            <v>0.1</v>
          </cell>
          <cell r="K4229">
            <v>1394.991</v>
          </cell>
          <cell r="L4229"/>
          <cell r="M4229" t="e">
            <v>#VALUE!</v>
          </cell>
          <cell r="N4229" t="e">
            <v>#VALUE!</v>
          </cell>
          <cell r="O4229" t="e">
            <v>#VALUE!</v>
          </cell>
          <cell r="P4229" t="e">
            <v>#VALUE!</v>
          </cell>
          <cell r="Q4229" t="str">
            <v/>
          </cell>
          <cell r="R4229">
            <v>0</v>
          </cell>
          <cell r="S4229" t="e">
            <v>#VALUE!</v>
          </cell>
          <cell r="T4229" t="e">
            <v>#VALUE!</v>
          </cell>
        </row>
        <row r="4230">
          <cell r="A4230" t="str">
            <v>MDGA0200085L</v>
          </cell>
          <cell r="B4230"/>
          <cell r="C4230" t="str">
            <v/>
          </cell>
          <cell r="D4230"/>
          <cell r="E4230"/>
          <cell r="F4230"/>
          <cell r="G4230"/>
          <cell r="H4230"/>
          <cell r="I4230">
            <v>1549.99</v>
          </cell>
          <cell r="J4230">
            <v>0.1</v>
          </cell>
          <cell r="K4230">
            <v>1394.991</v>
          </cell>
          <cell r="L4230"/>
          <cell r="M4230" t="e">
            <v>#VALUE!</v>
          </cell>
          <cell r="N4230" t="e">
            <v>#VALUE!</v>
          </cell>
          <cell r="O4230" t="e">
            <v>#VALUE!</v>
          </cell>
          <cell r="P4230" t="e">
            <v>#VALUE!</v>
          </cell>
          <cell r="Q4230" t="str">
            <v/>
          </cell>
          <cell r="R4230">
            <v>0</v>
          </cell>
          <cell r="S4230" t="e">
            <v>#VALUE!</v>
          </cell>
          <cell r="T4230" t="e">
            <v>#VALUE!</v>
          </cell>
        </row>
        <row r="4231">
          <cell r="A4231" t="str">
            <v>MDGA010007F9</v>
          </cell>
          <cell r="B4231"/>
          <cell r="C4231" t="str">
            <v/>
          </cell>
          <cell r="D4231"/>
          <cell r="E4231"/>
          <cell r="F4231"/>
          <cell r="G4231"/>
          <cell r="H4231"/>
          <cell r="I4231">
            <v>1649.99</v>
          </cell>
          <cell r="J4231">
            <v>0.1</v>
          </cell>
          <cell r="K4231">
            <v>1484.991</v>
          </cell>
          <cell r="L4231"/>
          <cell r="M4231" t="e">
            <v>#VALUE!</v>
          </cell>
          <cell r="N4231" t="e">
            <v>#VALUE!</v>
          </cell>
          <cell r="O4231" t="e">
            <v>#VALUE!</v>
          </cell>
          <cell r="P4231" t="e">
            <v>#VALUE!</v>
          </cell>
          <cell r="Q4231" t="str">
            <v/>
          </cell>
          <cell r="R4231">
            <v>0</v>
          </cell>
          <cell r="S4231" t="e">
            <v>#VALUE!</v>
          </cell>
          <cell r="T4231" t="e">
            <v>#VALUE!</v>
          </cell>
        </row>
        <row r="4232">
          <cell r="A4232" t="str">
            <v>MDGA0200017K</v>
          </cell>
          <cell r="B4232"/>
          <cell r="C4232" t="str">
            <v/>
          </cell>
          <cell r="D4232"/>
          <cell r="E4232"/>
          <cell r="F4232"/>
          <cell r="G4232"/>
          <cell r="H4232"/>
          <cell r="I4232">
            <v>529.99</v>
          </cell>
          <cell r="J4232">
            <v>0.1</v>
          </cell>
          <cell r="K4232">
            <v>476.99099999999999</v>
          </cell>
          <cell r="L4232"/>
          <cell r="M4232" t="e">
            <v>#VALUE!</v>
          </cell>
          <cell r="N4232" t="e">
            <v>#VALUE!</v>
          </cell>
          <cell r="O4232" t="e">
            <v>#VALUE!</v>
          </cell>
          <cell r="P4232" t="e">
            <v>#VALUE!</v>
          </cell>
          <cell r="Q4232" t="str">
            <v/>
          </cell>
          <cell r="R4232">
            <v>0</v>
          </cell>
          <cell r="S4232" t="e">
            <v>#VALUE!</v>
          </cell>
          <cell r="T4232" t="e">
            <v>#VALUE!</v>
          </cell>
        </row>
        <row r="4233">
          <cell r="A4233" t="str">
            <v>MDGA01000773</v>
          </cell>
          <cell r="B4233"/>
          <cell r="C4233" t="str">
            <v/>
          </cell>
          <cell r="D4233"/>
          <cell r="E4233"/>
          <cell r="F4233"/>
          <cell r="G4233"/>
          <cell r="H4233"/>
          <cell r="I4233">
            <v>829.99</v>
          </cell>
          <cell r="J4233">
            <v>0.1</v>
          </cell>
          <cell r="K4233">
            <v>746.99099999999999</v>
          </cell>
          <cell r="L4233"/>
          <cell r="M4233" t="e">
            <v>#VALUE!</v>
          </cell>
          <cell r="N4233" t="e">
            <v>#VALUE!</v>
          </cell>
          <cell r="O4233" t="e">
            <v>#VALUE!</v>
          </cell>
          <cell r="P4233" t="e">
            <v>#VALUE!</v>
          </cell>
          <cell r="Q4233" t="str">
            <v/>
          </cell>
          <cell r="R4233">
            <v>0</v>
          </cell>
          <cell r="S4233" t="e">
            <v>#VALUE!</v>
          </cell>
          <cell r="T4233" t="e">
            <v>#VALUE!</v>
          </cell>
        </row>
        <row r="4234">
          <cell r="A4234" t="str">
            <v>MDGA02000273</v>
          </cell>
          <cell r="B4234"/>
          <cell r="C4234" t="str">
            <v/>
          </cell>
          <cell r="D4234"/>
          <cell r="E4234"/>
          <cell r="F4234"/>
          <cell r="G4234"/>
          <cell r="H4234"/>
          <cell r="I4234">
            <v>529.99</v>
          </cell>
          <cell r="J4234">
            <v>0.1</v>
          </cell>
          <cell r="K4234">
            <v>476.99099999999999</v>
          </cell>
          <cell r="L4234"/>
          <cell r="M4234" t="e">
            <v>#VALUE!</v>
          </cell>
          <cell r="N4234" t="e">
            <v>#VALUE!</v>
          </cell>
          <cell r="O4234" t="e">
            <v>#VALUE!</v>
          </cell>
          <cell r="P4234" t="e">
            <v>#VALUE!</v>
          </cell>
          <cell r="Q4234" t="str">
            <v/>
          </cell>
          <cell r="R4234">
            <v>0</v>
          </cell>
          <cell r="S4234" t="e">
            <v>#VALUE!</v>
          </cell>
          <cell r="T4234" t="e">
            <v>#VALUE!</v>
          </cell>
        </row>
        <row r="4235">
          <cell r="A4235" t="str">
            <v>MDGA0100077K</v>
          </cell>
          <cell r="B4235"/>
          <cell r="C4235" t="str">
            <v/>
          </cell>
          <cell r="D4235"/>
          <cell r="E4235"/>
          <cell r="F4235"/>
          <cell r="G4235"/>
          <cell r="H4235"/>
          <cell r="I4235">
            <v>1599.99</v>
          </cell>
          <cell r="J4235">
            <v>0.1</v>
          </cell>
          <cell r="K4235">
            <v>1439.991</v>
          </cell>
          <cell r="L4235"/>
          <cell r="M4235" t="e">
            <v>#VALUE!</v>
          </cell>
          <cell r="N4235" t="e">
            <v>#VALUE!</v>
          </cell>
          <cell r="O4235" t="e">
            <v>#VALUE!</v>
          </cell>
          <cell r="P4235" t="e">
            <v>#VALUE!</v>
          </cell>
          <cell r="Q4235" t="str">
            <v/>
          </cell>
          <cell r="R4235">
            <v>0</v>
          </cell>
          <cell r="S4235" t="e">
            <v>#VALUE!</v>
          </cell>
          <cell r="T4235" t="e">
            <v>#VALUE!</v>
          </cell>
        </row>
        <row r="4236">
          <cell r="A4236" t="str">
            <v>11938N4G</v>
          </cell>
          <cell r="B4236"/>
          <cell r="C4236" t="str">
            <v/>
          </cell>
          <cell r="D4236"/>
          <cell r="E4236"/>
          <cell r="F4236"/>
          <cell r="G4236"/>
          <cell r="H4236"/>
          <cell r="I4236">
            <v>529.99</v>
          </cell>
          <cell r="J4236">
            <v>0.1</v>
          </cell>
          <cell r="K4236">
            <v>476.99099999999999</v>
          </cell>
          <cell r="L4236"/>
          <cell r="M4236" t="e">
            <v>#VALUE!</v>
          </cell>
          <cell r="N4236" t="e">
            <v>#VALUE!</v>
          </cell>
          <cell r="O4236" t="e">
            <v>#VALUE!</v>
          </cell>
          <cell r="P4236" t="e">
            <v>#VALUE!</v>
          </cell>
          <cell r="Q4236" t="str">
            <v/>
          </cell>
          <cell r="R4236">
            <v>0</v>
          </cell>
          <cell r="S4236" t="e">
            <v>#VALUE!</v>
          </cell>
          <cell r="T4236" t="e">
            <v>#VALUE!</v>
          </cell>
        </row>
        <row r="4237">
          <cell r="A4237" t="str">
            <v>11938N3E4G</v>
          </cell>
          <cell r="B4237"/>
          <cell r="C4237" t="str">
            <v/>
          </cell>
          <cell r="D4237"/>
          <cell r="E4237"/>
          <cell r="F4237"/>
          <cell r="G4237"/>
          <cell r="H4237"/>
          <cell r="I4237">
            <v>1199.99</v>
          </cell>
          <cell r="J4237">
            <v>0.1</v>
          </cell>
          <cell r="K4237">
            <v>1079.991</v>
          </cell>
          <cell r="L4237"/>
          <cell r="M4237" t="e">
            <v>#VALUE!</v>
          </cell>
          <cell r="N4237" t="e">
            <v>#VALUE!</v>
          </cell>
          <cell r="O4237" t="e">
            <v>#VALUE!</v>
          </cell>
          <cell r="P4237" t="e">
            <v>#VALUE!</v>
          </cell>
          <cell r="Q4237" t="str">
            <v/>
          </cell>
          <cell r="R4237">
            <v>0</v>
          </cell>
          <cell r="S4237" t="e">
            <v>#VALUE!</v>
          </cell>
          <cell r="T4237" t="e">
            <v>#VALUE!</v>
          </cell>
        </row>
        <row r="4238">
          <cell r="A4238" t="str">
            <v>1193H9</v>
          </cell>
          <cell r="B4238"/>
          <cell r="C4238" t="str">
            <v/>
          </cell>
          <cell r="D4238"/>
          <cell r="E4238"/>
          <cell r="F4238"/>
          <cell r="G4238"/>
          <cell r="H4238"/>
          <cell r="I4238">
            <v>1649.99</v>
          </cell>
          <cell r="J4238">
            <v>0.1</v>
          </cell>
          <cell r="K4238">
            <v>1484.991</v>
          </cell>
          <cell r="L4238"/>
          <cell r="M4238" t="e">
            <v>#VALUE!</v>
          </cell>
          <cell r="N4238" t="e">
            <v>#VALUE!</v>
          </cell>
          <cell r="O4238" t="e">
            <v>#VALUE!</v>
          </cell>
          <cell r="P4238" t="e">
            <v>#VALUE!</v>
          </cell>
          <cell r="Q4238" t="str">
            <v/>
          </cell>
          <cell r="R4238">
            <v>0</v>
          </cell>
          <cell r="S4238" t="e">
            <v>#VALUE!</v>
          </cell>
          <cell r="T4238" t="e">
            <v>#VALUE!</v>
          </cell>
        </row>
        <row r="4239">
          <cell r="A4239" t="str">
            <v>1193H94G</v>
          </cell>
          <cell r="B4239"/>
          <cell r="C4239" t="str">
            <v/>
          </cell>
          <cell r="D4239"/>
          <cell r="E4239"/>
          <cell r="F4239"/>
          <cell r="G4239"/>
          <cell r="H4239"/>
          <cell r="I4239">
            <v>959.99</v>
          </cell>
          <cell r="J4239">
            <v>0.1</v>
          </cell>
          <cell r="K4239">
            <v>863.99099999999999</v>
          </cell>
          <cell r="L4239"/>
          <cell r="M4239" t="e">
            <v>#VALUE!</v>
          </cell>
          <cell r="N4239" t="e">
            <v>#VALUE!</v>
          </cell>
          <cell r="O4239" t="e">
            <v>#VALUE!</v>
          </cell>
          <cell r="P4239" t="e">
            <v>#VALUE!</v>
          </cell>
          <cell r="Q4239" t="str">
            <v/>
          </cell>
          <cell r="R4239">
            <v>0</v>
          </cell>
          <cell r="S4239" t="e">
            <v>#VALUE!</v>
          </cell>
          <cell r="T4239" t="e">
            <v>#VALUE!</v>
          </cell>
        </row>
        <row r="4240">
          <cell r="A4240" t="str">
            <v>1193H91E4G</v>
          </cell>
          <cell r="B4240"/>
          <cell r="C4240" t="str">
            <v/>
          </cell>
          <cell r="D4240"/>
          <cell r="E4240"/>
          <cell r="F4240"/>
          <cell r="G4240"/>
          <cell r="H4240"/>
          <cell r="I4240">
            <v>1199.99</v>
          </cell>
          <cell r="J4240">
            <v>0.1</v>
          </cell>
          <cell r="K4240">
            <v>1079.991</v>
          </cell>
          <cell r="L4240"/>
          <cell r="M4240" t="e">
            <v>#VALUE!</v>
          </cell>
          <cell r="N4240" t="e">
            <v>#VALUE!</v>
          </cell>
          <cell r="O4240" t="e">
            <v>#VALUE!</v>
          </cell>
          <cell r="P4240" t="e">
            <v>#VALUE!</v>
          </cell>
          <cell r="Q4240" t="str">
            <v/>
          </cell>
          <cell r="R4240">
            <v>0</v>
          </cell>
          <cell r="S4240" t="e">
            <v>#VALUE!</v>
          </cell>
          <cell r="T4240" t="e">
            <v>#VALUE!</v>
          </cell>
        </row>
        <row r="4241">
          <cell r="A4241" t="str">
            <v>MDGA01000273</v>
          </cell>
          <cell r="B4241"/>
          <cell r="C4241" t="str">
            <v/>
          </cell>
          <cell r="D4241"/>
          <cell r="E4241"/>
          <cell r="F4241"/>
          <cell r="G4241"/>
          <cell r="H4241"/>
          <cell r="I4241">
            <v>1399.99</v>
          </cell>
          <cell r="J4241">
            <v>0.1</v>
          </cell>
          <cell r="K4241">
            <v>1259.991</v>
          </cell>
          <cell r="L4241"/>
          <cell r="M4241" t="e">
            <v>#VALUE!</v>
          </cell>
          <cell r="N4241" t="e">
            <v>#VALUE!</v>
          </cell>
          <cell r="O4241" t="e">
            <v>#VALUE!</v>
          </cell>
          <cell r="P4241" t="e">
            <v>#VALUE!</v>
          </cell>
          <cell r="Q4241" t="str">
            <v/>
          </cell>
          <cell r="R4241">
            <v>0</v>
          </cell>
          <cell r="S4241" t="e">
            <v>#VALUE!</v>
          </cell>
          <cell r="T4241" t="e">
            <v>#VALUE!</v>
          </cell>
        </row>
        <row r="4242">
          <cell r="A4242" t="str">
            <v>MDGA020005F8</v>
          </cell>
          <cell r="B4242"/>
          <cell r="C4242" t="str">
            <v/>
          </cell>
          <cell r="D4242"/>
          <cell r="E4242"/>
          <cell r="F4242"/>
          <cell r="G4242"/>
          <cell r="H4242"/>
          <cell r="I4242">
            <v>779.99</v>
          </cell>
          <cell r="J4242">
            <v>0.1</v>
          </cell>
          <cell r="K4242">
            <v>701.99099999999999</v>
          </cell>
          <cell r="L4242"/>
          <cell r="M4242" t="e">
            <v>#VALUE!</v>
          </cell>
          <cell r="N4242" t="e">
            <v>#VALUE!</v>
          </cell>
          <cell r="O4242" t="e">
            <v>#VALUE!</v>
          </cell>
          <cell r="P4242" t="e">
            <v>#VALUE!</v>
          </cell>
          <cell r="Q4242" t="str">
            <v/>
          </cell>
          <cell r="R4242">
            <v>0</v>
          </cell>
          <cell r="S4242" t="e">
            <v>#VALUE!</v>
          </cell>
          <cell r="T4242" t="e">
            <v>#VALUE!</v>
          </cell>
        </row>
        <row r="4243">
          <cell r="A4243" t="str">
            <v>MDGA020005F9</v>
          </cell>
          <cell r="B4243"/>
          <cell r="C4243" t="str">
            <v/>
          </cell>
          <cell r="D4243"/>
          <cell r="E4243"/>
          <cell r="F4243"/>
          <cell r="G4243"/>
          <cell r="H4243"/>
          <cell r="I4243">
            <v>1039.99</v>
          </cell>
          <cell r="J4243">
            <v>0.1</v>
          </cell>
          <cell r="K4243">
            <v>935.99099999999999</v>
          </cell>
          <cell r="L4243"/>
          <cell r="M4243" t="e">
            <v>#VALUE!</v>
          </cell>
          <cell r="N4243" t="e">
            <v>#VALUE!</v>
          </cell>
          <cell r="O4243" t="e">
            <v>#VALUE!</v>
          </cell>
          <cell r="P4243" t="e">
            <v>#VALUE!</v>
          </cell>
          <cell r="Q4243" t="str">
            <v/>
          </cell>
          <cell r="R4243">
            <v>0</v>
          </cell>
          <cell r="S4243" t="e">
            <v>#VALUE!</v>
          </cell>
          <cell r="T4243" t="e">
            <v>#VALUE!</v>
          </cell>
        </row>
        <row r="4244">
          <cell r="A4244" t="str">
            <v>MDES0300027K</v>
          </cell>
          <cell r="B4244"/>
          <cell r="C4244" t="str">
            <v/>
          </cell>
          <cell r="D4244"/>
          <cell r="E4244"/>
          <cell r="F4244"/>
          <cell r="G4244"/>
          <cell r="H4244"/>
          <cell r="I4244">
            <v>1039.99</v>
          </cell>
          <cell r="J4244">
            <v>0.1</v>
          </cell>
          <cell r="K4244">
            <v>935.99099999999999</v>
          </cell>
          <cell r="L4244"/>
          <cell r="M4244" t="e">
            <v>#VALUE!</v>
          </cell>
          <cell r="N4244" t="e">
            <v>#VALUE!</v>
          </cell>
          <cell r="O4244" t="e">
            <v>#VALUE!</v>
          </cell>
          <cell r="P4244" t="e">
            <v>#VALUE!</v>
          </cell>
          <cell r="Q4244" t="str">
            <v/>
          </cell>
          <cell r="R4244">
            <v>0</v>
          </cell>
          <cell r="S4244" t="e">
            <v>#VALUE!</v>
          </cell>
          <cell r="T4244" t="e">
            <v>#VALUE!</v>
          </cell>
        </row>
        <row r="4245">
          <cell r="A4245" t="str">
            <v>MDGA02000509</v>
          </cell>
          <cell r="B4245"/>
          <cell r="C4245" t="str">
            <v/>
          </cell>
          <cell r="D4245"/>
          <cell r="E4245"/>
          <cell r="F4245"/>
          <cell r="G4245"/>
          <cell r="H4245"/>
          <cell r="I4245">
            <v>1039.99</v>
          </cell>
          <cell r="J4245">
            <v>0.1</v>
          </cell>
          <cell r="K4245">
            <v>935.99099999999999</v>
          </cell>
          <cell r="L4245"/>
          <cell r="M4245" t="e">
            <v>#VALUE!</v>
          </cell>
          <cell r="N4245" t="e">
            <v>#VALUE!</v>
          </cell>
          <cell r="O4245" t="e">
            <v>#VALUE!</v>
          </cell>
          <cell r="P4245" t="e">
            <v>#VALUE!</v>
          </cell>
          <cell r="Q4245" t="str">
            <v>LEROY</v>
          </cell>
          <cell r="R4245">
            <v>955.54</v>
          </cell>
          <cell r="S4245" t="e">
            <v>#VALUE!</v>
          </cell>
          <cell r="T4245" t="e">
            <v>#VALUE!</v>
          </cell>
        </row>
        <row r="4246">
          <cell r="A4246" t="str">
            <v>MDLA0100017K</v>
          </cell>
          <cell r="B4246"/>
          <cell r="C4246" t="str">
            <v/>
          </cell>
          <cell r="D4246"/>
          <cell r="E4246"/>
          <cell r="F4246"/>
          <cell r="G4246"/>
          <cell r="H4246"/>
          <cell r="I4246">
            <v>1039.99</v>
          </cell>
          <cell r="J4246">
            <v>0.1</v>
          </cell>
          <cell r="K4246">
            <v>935.99099999999999</v>
          </cell>
          <cell r="L4246"/>
          <cell r="M4246" t="e">
            <v>#VALUE!</v>
          </cell>
          <cell r="N4246" t="e">
            <v>#VALUE!</v>
          </cell>
          <cell r="O4246" t="e">
            <v>#VALUE!</v>
          </cell>
          <cell r="P4246" t="e">
            <v>#VALUE!</v>
          </cell>
          <cell r="Q4246" t="str">
            <v/>
          </cell>
          <cell r="R4246">
            <v>0</v>
          </cell>
          <cell r="S4246" t="e">
            <v>#VALUE!</v>
          </cell>
          <cell r="T4246" t="e">
            <v>#VALUE!</v>
          </cell>
        </row>
        <row r="4247">
          <cell r="A4247" t="str">
            <v>MDGA0200026E</v>
          </cell>
          <cell r="B4247"/>
          <cell r="C4247" t="str">
            <v/>
          </cell>
          <cell r="D4247"/>
          <cell r="E4247"/>
          <cell r="F4247"/>
          <cell r="G4247"/>
          <cell r="H4247"/>
          <cell r="I4247">
            <v>349.99</v>
          </cell>
          <cell r="J4247">
            <v>0.1</v>
          </cell>
          <cell r="K4247">
            <v>314.99099999999999</v>
          </cell>
          <cell r="L4247"/>
          <cell r="M4247" t="e">
            <v>#VALUE!</v>
          </cell>
          <cell r="N4247" t="e">
            <v>#VALUE!</v>
          </cell>
          <cell r="O4247" t="e">
            <v>#VALUE!</v>
          </cell>
          <cell r="P4247" t="e">
            <v>#VALUE!</v>
          </cell>
          <cell r="Q4247" t="str">
            <v/>
          </cell>
          <cell r="R4247">
            <v>0</v>
          </cell>
          <cell r="S4247" t="e">
            <v>#VALUE!</v>
          </cell>
          <cell r="T4247" t="e">
            <v>#VALUE!</v>
          </cell>
        </row>
        <row r="4248">
          <cell r="A4248" t="str">
            <v>MDDR0500017K</v>
          </cell>
          <cell r="B4248"/>
          <cell r="C4248" t="str">
            <v/>
          </cell>
          <cell r="D4248"/>
          <cell r="E4248"/>
          <cell r="F4248"/>
          <cell r="G4248"/>
          <cell r="H4248"/>
          <cell r="I4248">
            <v>1599.99</v>
          </cell>
          <cell r="J4248">
            <v>0.1</v>
          </cell>
          <cell r="K4248">
            <v>1439.991</v>
          </cell>
          <cell r="L4248"/>
          <cell r="M4248" t="e">
            <v>#VALUE!</v>
          </cell>
          <cell r="N4248" t="e">
            <v>#VALUE!</v>
          </cell>
          <cell r="O4248" t="e">
            <v>#VALUE!</v>
          </cell>
          <cell r="P4248" t="e">
            <v>#VALUE!</v>
          </cell>
          <cell r="Q4248" t="str">
            <v/>
          </cell>
          <cell r="R4248">
            <v>0</v>
          </cell>
          <cell r="S4248" t="e">
            <v>#VALUE!</v>
          </cell>
          <cell r="T4248" t="e">
            <v>#VALUE!</v>
          </cell>
        </row>
        <row r="4249">
          <cell r="A4249" t="str">
            <v>1193D82G</v>
          </cell>
          <cell r="B4249"/>
          <cell r="C4249" t="str">
            <v/>
          </cell>
          <cell r="D4249"/>
          <cell r="E4249"/>
          <cell r="F4249"/>
          <cell r="G4249"/>
          <cell r="H4249"/>
          <cell r="I4249">
            <v>1879.99</v>
          </cell>
          <cell r="J4249">
            <v>0.1</v>
          </cell>
          <cell r="K4249">
            <v>1691.991</v>
          </cell>
          <cell r="L4249"/>
          <cell r="M4249" t="e">
            <v>#VALUE!</v>
          </cell>
          <cell r="N4249" t="e">
            <v>#VALUE!</v>
          </cell>
          <cell r="O4249" t="e">
            <v>#VALUE!</v>
          </cell>
          <cell r="P4249" t="e">
            <v>#VALUE!</v>
          </cell>
          <cell r="Q4249" t="str">
            <v/>
          </cell>
          <cell r="R4249">
            <v>0</v>
          </cell>
          <cell r="S4249" t="e">
            <v>#VALUE!</v>
          </cell>
          <cell r="T4249" t="e">
            <v>#VALUE!</v>
          </cell>
        </row>
        <row r="4250">
          <cell r="A4250" t="str">
            <v>1193771E4G</v>
          </cell>
          <cell r="B4250"/>
          <cell r="C4250" t="str">
            <v/>
          </cell>
          <cell r="D4250"/>
          <cell r="E4250"/>
          <cell r="F4250"/>
          <cell r="G4250"/>
          <cell r="H4250"/>
          <cell r="I4250">
            <v>1099.99</v>
          </cell>
          <cell r="J4250">
            <v>0.1</v>
          </cell>
          <cell r="K4250">
            <v>989.99099999999999</v>
          </cell>
          <cell r="L4250"/>
          <cell r="M4250" t="e">
            <v>#VALUE!</v>
          </cell>
          <cell r="N4250" t="e">
            <v>#VALUE!</v>
          </cell>
          <cell r="O4250" t="e">
            <v>#VALUE!</v>
          </cell>
          <cell r="P4250" t="e">
            <v>#VALUE!</v>
          </cell>
          <cell r="Q4250" t="str">
            <v/>
          </cell>
          <cell r="R4250">
            <v>0</v>
          </cell>
          <cell r="S4250" t="e">
            <v>#VALUE!</v>
          </cell>
          <cell r="T4250" t="e">
            <v>#VALUE!</v>
          </cell>
        </row>
        <row r="4251">
          <cell r="A4251" t="str">
            <v>11938N1E4G</v>
          </cell>
          <cell r="B4251"/>
          <cell r="C4251" t="str">
            <v/>
          </cell>
          <cell r="D4251"/>
          <cell r="E4251"/>
          <cell r="F4251"/>
          <cell r="G4251"/>
          <cell r="H4251"/>
          <cell r="I4251">
            <v>1399.99</v>
          </cell>
          <cell r="J4251">
            <v>0.1</v>
          </cell>
          <cell r="K4251">
            <v>1259.991</v>
          </cell>
          <cell r="L4251"/>
          <cell r="M4251" t="e">
            <v>#VALUE!</v>
          </cell>
          <cell r="N4251" t="e">
            <v>#VALUE!</v>
          </cell>
          <cell r="O4251" t="e">
            <v>#VALUE!</v>
          </cell>
          <cell r="P4251" t="e">
            <v>#VALUE!</v>
          </cell>
          <cell r="Q4251" t="str">
            <v/>
          </cell>
          <cell r="R4251">
            <v>0</v>
          </cell>
          <cell r="S4251" t="e">
            <v>#VALUE!</v>
          </cell>
          <cell r="T4251" t="e">
            <v>#VALUE!</v>
          </cell>
        </row>
        <row r="4252">
          <cell r="A4252" t="str">
            <v>11938N1E</v>
          </cell>
          <cell r="B4252"/>
          <cell r="C4252" t="str">
            <v/>
          </cell>
          <cell r="D4252"/>
          <cell r="E4252"/>
          <cell r="F4252"/>
          <cell r="G4252"/>
          <cell r="H4252"/>
          <cell r="I4252">
            <v>1399.99</v>
          </cell>
          <cell r="J4252">
            <v>0.1</v>
          </cell>
          <cell r="K4252">
            <v>1259.991</v>
          </cell>
          <cell r="L4252"/>
          <cell r="M4252" t="e">
            <v>#VALUE!</v>
          </cell>
          <cell r="N4252" t="e">
            <v>#VALUE!</v>
          </cell>
          <cell r="O4252" t="e">
            <v>#VALUE!</v>
          </cell>
          <cell r="P4252" t="e">
            <v>#VALUE!</v>
          </cell>
          <cell r="Q4252" t="str">
            <v/>
          </cell>
          <cell r="R4252">
            <v>0</v>
          </cell>
          <cell r="S4252" t="e">
            <v>#VALUE!</v>
          </cell>
          <cell r="T4252" t="e">
            <v>#VALUE!</v>
          </cell>
        </row>
        <row r="4253">
          <cell r="A4253" t="str">
            <v>1193H92E2G</v>
          </cell>
          <cell r="B4253"/>
          <cell r="C4253" t="str">
            <v/>
          </cell>
          <cell r="D4253"/>
          <cell r="E4253"/>
          <cell r="F4253"/>
          <cell r="G4253"/>
          <cell r="H4253"/>
          <cell r="I4253">
            <v>1099.99</v>
          </cell>
          <cell r="J4253">
            <v>0.1</v>
          </cell>
          <cell r="K4253">
            <v>989.99099999999999</v>
          </cell>
          <cell r="L4253"/>
          <cell r="M4253" t="e">
            <v>#VALUE!</v>
          </cell>
          <cell r="N4253" t="e">
            <v>#VALUE!</v>
          </cell>
          <cell r="O4253" t="e">
            <v>#VALUE!</v>
          </cell>
          <cell r="P4253" t="e">
            <v>#VALUE!</v>
          </cell>
          <cell r="Q4253" t="str">
            <v/>
          </cell>
          <cell r="R4253">
            <v>0</v>
          </cell>
          <cell r="S4253" t="e">
            <v>#VALUE!</v>
          </cell>
          <cell r="T4253" t="e">
            <v>#VALUE!</v>
          </cell>
        </row>
        <row r="4254">
          <cell r="A4254" t="str">
            <v>1193H92G</v>
          </cell>
          <cell r="B4254"/>
          <cell r="C4254" t="str">
            <v/>
          </cell>
          <cell r="D4254"/>
          <cell r="E4254"/>
          <cell r="F4254"/>
          <cell r="G4254"/>
          <cell r="H4254"/>
          <cell r="I4254">
            <v>1449.99</v>
          </cell>
          <cell r="J4254">
            <v>0.1</v>
          </cell>
          <cell r="K4254">
            <v>1304.991</v>
          </cell>
          <cell r="L4254"/>
          <cell r="M4254" t="e">
            <v>#VALUE!</v>
          </cell>
          <cell r="N4254" t="e">
            <v>#VALUE!</v>
          </cell>
          <cell r="O4254" t="e">
            <v>#VALUE!</v>
          </cell>
          <cell r="P4254" t="e">
            <v>#VALUE!</v>
          </cell>
          <cell r="Q4254" t="str">
            <v/>
          </cell>
          <cell r="R4254">
            <v>0</v>
          </cell>
          <cell r="S4254" t="e">
            <v>#VALUE!</v>
          </cell>
          <cell r="T4254" t="e">
            <v>#VALUE!</v>
          </cell>
        </row>
        <row r="4255">
          <cell r="A4255" t="str">
            <v>1193H92E</v>
          </cell>
          <cell r="B4255"/>
          <cell r="C4255" t="str">
            <v/>
          </cell>
          <cell r="D4255"/>
          <cell r="E4255"/>
          <cell r="F4255"/>
          <cell r="G4255"/>
          <cell r="H4255"/>
          <cell r="I4255">
            <v>1099.99</v>
          </cell>
          <cell r="J4255">
            <v>0.1</v>
          </cell>
          <cell r="K4255">
            <v>989.99099999999999</v>
          </cell>
          <cell r="L4255"/>
          <cell r="M4255" t="e">
            <v>#VALUE!</v>
          </cell>
          <cell r="N4255" t="e">
            <v>#VALUE!</v>
          </cell>
          <cell r="O4255" t="e">
            <v>#VALUE!</v>
          </cell>
          <cell r="P4255" t="e">
            <v>#VALUE!</v>
          </cell>
          <cell r="Q4255" t="str">
            <v/>
          </cell>
          <cell r="R4255">
            <v>0</v>
          </cell>
          <cell r="S4255" t="e">
            <v>#VALUE!</v>
          </cell>
          <cell r="T4255" t="e">
            <v>#VALUE!</v>
          </cell>
        </row>
        <row r="4256">
          <cell r="A4256" t="str">
            <v>MDGA0200056E</v>
          </cell>
          <cell r="B4256"/>
          <cell r="C4256" t="str">
            <v/>
          </cell>
          <cell r="D4256"/>
          <cell r="E4256"/>
          <cell r="F4256"/>
          <cell r="G4256"/>
          <cell r="H4256"/>
          <cell r="I4256">
            <v>1279.99</v>
          </cell>
          <cell r="J4256">
            <v>0.1</v>
          </cell>
          <cell r="K4256">
            <v>1151.991</v>
          </cell>
          <cell r="L4256"/>
          <cell r="M4256" t="e">
            <v>#VALUE!</v>
          </cell>
          <cell r="N4256" t="e">
            <v>#VALUE!</v>
          </cell>
          <cell r="O4256" t="e">
            <v>#VALUE!</v>
          </cell>
          <cell r="P4256" t="e">
            <v>#VALUE!</v>
          </cell>
          <cell r="Q4256" t="str">
            <v/>
          </cell>
          <cell r="R4256">
            <v>0</v>
          </cell>
          <cell r="S4256" t="e">
            <v>#VALUE!</v>
          </cell>
          <cell r="T4256" t="e">
            <v>#VALUE!</v>
          </cell>
        </row>
        <row r="4257">
          <cell r="A4257" t="str">
            <v>MDGA020001F8</v>
          </cell>
          <cell r="B4257"/>
          <cell r="C4257" t="str">
            <v/>
          </cell>
          <cell r="D4257"/>
          <cell r="E4257"/>
          <cell r="F4257"/>
          <cell r="G4257"/>
          <cell r="H4257"/>
          <cell r="I4257">
            <v>1039.99</v>
          </cell>
          <cell r="J4257">
            <v>0.1</v>
          </cell>
          <cell r="K4257">
            <v>935.99099999999999</v>
          </cell>
          <cell r="L4257"/>
          <cell r="M4257" t="e">
            <v>#VALUE!</v>
          </cell>
          <cell r="N4257" t="e">
            <v>#VALUE!</v>
          </cell>
          <cell r="O4257" t="e">
            <v>#VALUE!</v>
          </cell>
          <cell r="P4257" t="e">
            <v>#VALUE!</v>
          </cell>
          <cell r="Q4257" t="str">
            <v/>
          </cell>
          <cell r="R4257">
            <v>0</v>
          </cell>
          <cell r="S4257" t="e">
            <v>#VALUE!</v>
          </cell>
          <cell r="T4257" t="e">
            <v>#VALUE!</v>
          </cell>
        </row>
        <row r="4258">
          <cell r="A4258" t="str">
            <v>MDGA0200057G</v>
          </cell>
          <cell r="B4258"/>
          <cell r="C4258" t="str">
            <v/>
          </cell>
          <cell r="D4258"/>
          <cell r="E4258"/>
          <cell r="F4258"/>
          <cell r="G4258"/>
          <cell r="H4258"/>
          <cell r="I4258">
            <v>829.99</v>
          </cell>
          <cell r="J4258">
            <v>0.1</v>
          </cell>
          <cell r="K4258">
            <v>746.99099999999999</v>
          </cell>
          <cell r="L4258"/>
          <cell r="M4258" t="e">
            <v>#VALUE!</v>
          </cell>
          <cell r="N4258" t="e">
            <v>#VALUE!</v>
          </cell>
          <cell r="O4258" t="e">
            <v>#VALUE!</v>
          </cell>
          <cell r="P4258" t="e">
            <v>#VALUE!</v>
          </cell>
          <cell r="Q4258" t="str">
            <v/>
          </cell>
          <cell r="R4258">
            <v>0</v>
          </cell>
          <cell r="S4258" t="e">
            <v>#VALUE!</v>
          </cell>
          <cell r="T4258" t="e">
            <v>#VALUE!</v>
          </cell>
        </row>
        <row r="4259">
          <cell r="A4259" t="str">
            <v>MDGA0200087K</v>
          </cell>
          <cell r="B4259"/>
          <cell r="C4259" t="str">
            <v/>
          </cell>
          <cell r="D4259"/>
          <cell r="E4259"/>
          <cell r="F4259"/>
          <cell r="G4259"/>
          <cell r="H4259"/>
          <cell r="I4259">
            <v>1039.99</v>
          </cell>
          <cell r="J4259">
            <v>0.1</v>
          </cell>
          <cell r="K4259">
            <v>935.99099999999999</v>
          </cell>
          <cell r="L4259"/>
          <cell r="M4259" t="e">
            <v>#VALUE!</v>
          </cell>
          <cell r="N4259" t="e">
            <v>#VALUE!</v>
          </cell>
          <cell r="O4259" t="e">
            <v>#VALUE!</v>
          </cell>
          <cell r="P4259" t="e">
            <v>#VALUE!</v>
          </cell>
          <cell r="Q4259" t="str">
            <v/>
          </cell>
          <cell r="R4259">
            <v>0</v>
          </cell>
          <cell r="S4259" t="e">
            <v>#VALUE!</v>
          </cell>
          <cell r="T4259" t="e">
            <v>#VALUE!</v>
          </cell>
        </row>
        <row r="4260">
          <cell r="A4260" t="str">
            <v>G241535ZGLCPFF</v>
          </cell>
          <cell r="B4260"/>
          <cell r="C4260" t="str">
            <v/>
          </cell>
          <cell r="D4260"/>
          <cell r="E4260"/>
          <cell r="F4260"/>
          <cell r="G4260"/>
          <cell r="H4260"/>
          <cell r="I4260">
            <v>1649.99</v>
          </cell>
          <cell r="J4260">
            <v>0.1</v>
          </cell>
          <cell r="K4260">
            <v>1484.991</v>
          </cell>
          <cell r="L4260"/>
          <cell r="M4260" t="e">
            <v>#VALUE!</v>
          </cell>
          <cell r="N4260" t="e">
            <v>#VALUE!</v>
          </cell>
          <cell r="O4260" t="e">
            <v>#VALUE!</v>
          </cell>
          <cell r="P4260" t="e">
            <v>#VALUE!</v>
          </cell>
          <cell r="Q4260" t="str">
            <v/>
          </cell>
          <cell r="R4260">
            <v>0</v>
          </cell>
          <cell r="S4260" t="e">
            <v>#VALUE!</v>
          </cell>
          <cell r="T4260" t="e">
            <v>#VALUE!</v>
          </cell>
        </row>
        <row r="4261">
          <cell r="A4261" t="str">
            <v>G241537KGLCPFF</v>
          </cell>
          <cell r="B4261"/>
          <cell r="C4261" t="str">
            <v/>
          </cell>
          <cell r="D4261"/>
          <cell r="E4261"/>
          <cell r="F4261"/>
          <cell r="G4261"/>
          <cell r="H4261"/>
          <cell r="I4261">
            <v>1459.99</v>
          </cell>
          <cell r="J4261">
            <v>0.1</v>
          </cell>
          <cell r="K4261">
            <v>1313.991</v>
          </cell>
          <cell r="L4261"/>
          <cell r="M4261" t="e">
            <v>#VALUE!</v>
          </cell>
          <cell r="N4261" t="e">
            <v>#VALUE!</v>
          </cell>
          <cell r="O4261" t="e">
            <v>#VALUE!</v>
          </cell>
          <cell r="P4261" t="e">
            <v>#VALUE!</v>
          </cell>
          <cell r="Q4261" t="str">
            <v/>
          </cell>
          <cell r="R4261">
            <v>0</v>
          </cell>
          <cell r="S4261" t="e">
            <v>#VALUE!</v>
          </cell>
          <cell r="T4261" t="e">
            <v>#VALUE!</v>
          </cell>
        </row>
        <row r="4262">
          <cell r="A4262" t="str">
            <v>GRGL15000373</v>
          </cell>
          <cell r="B4262"/>
          <cell r="C4262" t="str">
            <v/>
          </cell>
          <cell r="D4262"/>
          <cell r="E4262"/>
          <cell r="F4262"/>
          <cell r="G4262"/>
          <cell r="H4262"/>
          <cell r="I4262">
            <v>1459.99</v>
          </cell>
          <cell r="J4262">
            <v>0.1</v>
          </cell>
          <cell r="K4262">
            <v>1313.991</v>
          </cell>
          <cell r="L4262"/>
          <cell r="M4262" t="e">
            <v>#VALUE!</v>
          </cell>
          <cell r="N4262" t="e">
            <v>#VALUE!</v>
          </cell>
          <cell r="O4262" t="e">
            <v>#VALUE!</v>
          </cell>
          <cell r="P4262" t="e">
            <v>#VALUE!</v>
          </cell>
          <cell r="Q4262" t="str">
            <v/>
          </cell>
          <cell r="R4262">
            <v>0</v>
          </cell>
          <cell r="S4262" t="e">
            <v>#VALUE!</v>
          </cell>
          <cell r="T4262" t="e">
            <v>#VALUE!</v>
          </cell>
        </row>
        <row r="4263">
          <cell r="A4263" t="str">
            <v>GRGL15000309</v>
          </cell>
          <cell r="B4263"/>
          <cell r="C4263" t="str">
            <v/>
          </cell>
          <cell r="D4263"/>
          <cell r="E4263"/>
          <cell r="F4263"/>
          <cell r="G4263"/>
          <cell r="H4263"/>
          <cell r="I4263">
            <v>1979.99</v>
          </cell>
          <cell r="J4263">
            <v>0.1</v>
          </cell>
          <cell r="K4263">
            <v>1781.991</v>
          </cell>
          <cell r="L4263"/>
          <cell r="M4263" t="e">
            <v>#VALUE!</v>
          </cell>
          <cell r="N4263" t="e">
            <v>#VALUE!</v>
          </cell>
          <cell r="O4263" t="e">
            <v>#VALUE!</v>
          </cell>
          <cell r="P4263" t="e">
            <v>#VALUE!</v>
          </cell>
          <cell r="Q4263" t="str">
            <v/>
          </cell>
          <cell r="R4263">
            <v>0</v>
          </cell>
          <cell r="S4263" t="e">
            <v>#VALUE!</v>
          </cell>
          <cell r="T4263" t="e">
            <v>#VALUE!</v>
          </cell>
        </row>
        <row r="4264">
          <cell r="A4264" t="str">
            <v>GRGL1500039B</v>
          </cell>
          <cell r="B4264"/>
          <cell r="C4264" t="str">
            <v/>
          </cell>
          <cell r="D4264"/>
          <cell r="E4264"/>
          <cell r="F4264"/>
          <cell r="G4264"/>
          <cell r="H4264"/>
          <cell r="I4264">
            <v>1979.99</v>
          </cell>
          <cell r="J4264">
            <v>0.1</v>
          </cell>
          <cell r="K4264">
            <v>1781.991</v>
          </cell>
          <cell r="L4264"/>
          <cell r="M4264" t="e">
            <v>#VALUE!</v>
          </cell>
          <cell r="N4264" t="e">
            <v>#VALUE!</v>
          </cell>
          <cell r="O4264" t="e">
            <v>#VALUE!</v>
          </cell>
          <cell r="P4264" t="e">
            <v>#VALUE!</v>
          </cell>
          <cell r="Q4264" t="str">
            <v/>
          </cell>
          <cell r="R4264">
            <v>0</v>
          </cell>
          <cell r="S4264" t="e">
            <v>#VALUE!</v>
          </cell>
          <cell r="T4264" t="e">
            <v>#VALUE!</v>
          </cell>
        </row>
        <row r="4265">
          <cell r="A4265" t="str">
            <v>11938N2E2G</v>
          </cell>
          <cell r="B4265"/>
          <cell r="C4265" t="str">
            <v/>
          </cell>
          <cell r="D4265"/>
          <cell r="E4265"/>
          <cell r="F4265"/>
          <cell r="G4265"/>
          <cell r="H4265"/>
          <cell r="I4265">
            <v>1979.99</v>
          </cell>
          <cell r="J4265">
            <v>0.1</v>
          </cell>
          <cell r="K4265">
            <v>1781.991</v>
          </cell>
          <cell r="L4265"/>
          <cell r="M4265" t="e">
            <v>#VALUE!</v>
          </cell>
          <cell r="N4265" t="e">
            <v>#VALUE!</v>
          </cell>
          <cell r="O4265" t="e">
            <v>#VALUE!</v>
          </cell>
          <cell r="P4265" t="e">
            <v>#VALUE!</v>
          </cell>
          <cell r="Q4265" t="str">
            <v/>
          </cell>
          <cell r="R4265">
            <v>0</v>
          </cell>
          <cell r="S4265" t="e">
            <v>#VALUE!</v>
          </cell>
          <cell r="T4265" t="e">
            <v>#VALUE!</v>
          </cell>
        </row>
        <row r="4266">
          <cell r="A4266" t="str">
            <v>1193H91E2G</v>
          </cell>
          <cell r="B4266"/>
          <cell r="C4266" t="str">
            <v/>
          </cell>
          <cell r="D4266"/>
          <cell r="E4266"/>
          <cell r="F4266"/>
          <cell r="G4266"/>
          <cell r="H4266"/>
          <cell r="I4266">
            <v>1449.99</v>
          </cell>
          <cell r="J4266">
            <v>0.1</v>
          </cell>
          <cell r="K4266">
            <v>1304.991</v>
          </cell>
          <cell r="L4266"/>
          <cell r="M4266" t="e">
            <v>#VALUE!</v>
          </cell>
          <cell r="N4266" t="e">
            <v>#VALUE!</v>
          </cell>
          <cell r="O4266" t="e">
            <v>#VALUE!</v>
          </cell>
          <cell r="P4266" t="e">
            <v>#VALUE!</v>
          </cell>
          <cell r="Q4266" t="str">
            <v/>
          </cell>
          <cell r="R4266">
            <v>0</v>
          </cell>
          <cell r="S4266" t="e">
            <v>#VALUE!</v>
          </cell>
          <cell r="T4266" t="e">
            <v>#VALUE!</v>
          </cell>
        </row>
        <row r="4267">
          <cell r="A4267" t="str">
            <v>11939B1E2G</v>
          </cell>
          <cell r="B4267"/>
          <cell r="C4267" t="str">
            <v/>
          </cell>
          <cell r="D4267"/>
          <cell r="E4267"/>
          <cell r="F4267"/>
          <cell r="G4267"/>
          <cell r="H4267"/>
          <cell r="I4267">
            <v>1279.99</v>
          </cell>
          <cell r="J4267">
            <v>0.1</v>
          </cell>
          <cell r="K4267">
            <v>1151.991</v>
          </cell>
          <cell r="L4267"/>
          <cell r="M4267" t="e">
            <v>#VALUE!</v>
          </cell>
          <cell r="N4267" t="e">
            <v>#VALUE!</v>
          </cell>
          <cell r="O4267" t="e">
            <v>#VALUE!</v>
          </cell>
          <cell r="P4267" t="e">
            <v>#VALUE!</v>
          </cell>
          <cell r="Q4267" t="str">
            <v/>
          </cell>
          <cell r="R4267">
            <v>0</v>
          </cell>
          <cell r="S4267" t="e">
            <v>#VALUE!</v>
          </cell>
          <cell r="T4267" t="e">
            <v>#VALUE!</v>
          </cell>
        </row>
        <row r="4268">
          <cell r="A4268" t="str">
            <v>GCSM447001A9</v>
          </cell>
          <cell r="B4268"/>
          <cell r="C4268" t="str">
            <v/>
          </cell>
          <cell r="D4268"/>
          <cell r="E4268"/>
          <cell r="F4268"/>
          <cell r="G4268"/>
          <cell r="H4268"/>
          <cell r="I4268">
            <v>1279.99</v>
          </cell>
          <cell r="J4268">
            <v>0.1</v>
          </cell>
          <cell r="K4268">
            <v>1151.991</v>
          </cell>
          <cell r="L4268"/>
          <cell r="M4268" t="e">
            <v>#VALUE!</v>
          </cell>
          <cell r="N4268" t="e">
            <v>#VALUE!</v>
          </cell>
          <cell r="O4268" t="e">
            <v>#VALUE!</v>
          </cell>
          <cell r="P4268" t="e">
            <v>#VALUE!</v>
          </cell>
          <cell r="Q4268" t="str">
            <v/>
          </cell>
          <cell r="R4268">
            <v>0</v>
          </cell>
          <cell r="S4268" t="e">
            <v>#VALUE!</v>
          </cell>
          <cell r="T4268" t="e">
            <v>#VALUE!</v>
          </cell>
        </row>
        <row r="4269">
          <cell r="A4269" t="str">
            <v>GRSM300003A9</v>
          </cell>
          <cell r="B4269"/>
          <cell r="C4269" t="str">
            <v/>
          </cell>
          <cell r="D4269"/>
          <cell r="E4269"/>
          <cell r="F4269"/>
          <cell r="G4269"/>
          <cell r="H4269"/>
          <cell r="I4269">
            <v>2439.9899999999998</v>
          </cell>
          <cell r="J4269">
            <v>0.1</v>
          </cell>
          <cell r="K4269">
            <v>2195.991</v>
          </cell>
          <cell r="L4269"/>
          <cell r="M4269" t="e">
            <v>#VALUE!</v>
          </cell>
          <cell r="N4269" t="e">
            <v>#VALUE!</v>
          </cell>
          <cell r="O4269" t="e">
            <v>#VALUE!</v>
          </cell>
          <cell r="P4269" t="e">
            <v>#VALUE!</v>
          </cell>
          <cell r="Q4269" t="str">
            <v/>
          </cell>
          <cell r="R4269">
            <v>0</v>
          </cell>
          <cell r="S4269" t="e">
            <v>#VALUE!</v>
          </cell>
          <cell r="T4269" t="e">
            <v>#VALUE!</v>
          </cell>
        </row>
        <row r="4270">
          <cell r="A4270" t="str">
            <v>1193F81E4G</v>
          </cell>
          <cell r="B4270"/>
          <cell r="C4270" t="str">
            <v/>
          </cell>
          <cell r="D4270"/>
          <cell r="E4270"/>
          <cell r="F4270"/>
          <cell r="G4270"/>
          <cell r="H4270"/>
          <cell r="I4270">
            <v>2069.9899999999998</v>
          </cell>
          <cell r="J4270">
            <v>0.1</v>
          </cell>
          <cell r="K4270">
            <v>1862.991</v>
          </cell>
          <cell r="L4270"/>
          <cell r="M4270" t="e">
            <v>#VALUE!</v>
          </cell>
          <cell r="N4270" t="e">
            <v>#VALUE!</v>
          </cell>
          <cell r="O4270" t="e">
            <v>#VALUE!</v>
          </cell>
          <cell r="P4270" t="e">
            <v>#VALUE!</v>
          </cell>
          <cell r="Q4270" t="str">
            <v/>
          </cell>
          <cell r="R4270">
            <v>0</v>
          </cell>
          <cell r="S4270" t="e">
            <v>#VALUE!</v>
          </cell>
          <cell r="T4270" t="e">
            <v>#VALUE!</v>
          </cell>
        </row>
        <row r="4271">
          <cell r="A4271" t="str">
            <v>1193093E2G</v>
          </cell>
          <cell r="B4271"/>
          <cell r="C4271" t="str">
            <v/>
          </cell>
          <cell r="D4271"/>
          <cell r="E4271"/>
          <cell r="F4271"/>
          <cell r="G4271"/>
          <cell r="H4271"/>
          <cell r="I4271">
            <v>1399.99</v>
          </cell>
          <cell r="J4271">
            <v>0.1</v>
          </cell>
          <cell r="K4271">
            <v>1259.991</v>
          </cell>
          <cell r="L4271"/>
          <cell r="M4271" t="e">
            <v>#VALUE!</v>
          </cell>
          <cell r="N4271" t="e">
            <v>#VALUE!</v>
          </cell>
          <cell r="O4271" t="e">
            <v>#VALUE!</v>
          </cell>
          <cell r="P4271" t="e">
            <v>#VALUE!</v>
          </cell>
          <cell r="Q4271" t="str">
            <v/>
          </cell>
          <cell r="R4271">
            <v>0</v>
          </cell>
          <cell r="S4271" t="e">
            <v>#VALUE!</v>
          </cell>
          <cell r="T4271" t="e">
            <v>#VALUE!</v>
          </cell>
        </row>
        <row r="4272">
          <cell r="A4272" t="str">
            <v>1193094G</v>
          </cell>
          <cell r="B4272"/>
          <cell r="C4272" t="str">
            <v/>
          </cell>
          <cell r="D4272"/>
          <cell r="E4272"/>
          <cell r="F4272"/>
          <cell r="G4272"/>
          <cell r="H4272"/>
          <cell r="I4272">
            <v>1529.99</v>
          </cell>
          <cell r="J4272">
            <v>0.1</v>
          </cell>
          <cell r="K4272">
            <v>1376.991</v>
          </cell>
          <cell r="L4272"/>
          <cell r="M4272" t="e">
            <v>#VALUE!</v>
          </cell>
          <cell r="N4272" t="e">
            <v>#VALUE!</v>
          </cell>
          <cell r="O4272" t="e">
            <v>#VALUE!</v>
          </cell>
          <cell r="P4272" t="e">
            <v>#VALUE!</v>
          </cell>
          <cell r="Q4272" t="str">
            <v/>
          </cell>
          <cell r="R4272">
            <v>0</v>
          </cell>
          <cell r="S4272" t="e">
            <v>#VALUE!</v>
          </cell>
          <cell r="T4272" t="e">
            <v>#VALUE!</v>
          </cell>
        </row>
        <row r="4273">
          <cell r="A4273" t="str">
            <v>MDGA0100077G</v>
          </cell>
          <cell r="B4273"/>
          <cell r="C4273" t="str">
            <v/>
          </cell>
          <cell r="D4273"/>
          <cell r="E4273"/>
          <cell r="F4273"/>
          <cell r="G4273"/>
          <cell r="H4273"/>
          <cell r="I4273">
            <v>1199.99</v>
          </cell>
          <cell r="J4273">
            <v>0.1</v>
          </cell>
          <cell r="K4273">
            <v>1079.991</v>
          </cell>
          <cell r="L4273"/>
          <cell r="M4273" t="e">
            <v>#VALUE!</v>
          </cell>
          <cell r="N4273" t="e">
            <v>#VALUE!</v>
          </cell>
          <cell r="O4273" t="e">
            <v>#VALUE!</v>
          </cell>
          <cell r="P4273" t="e">
            <v>#VALUE!</v>
          </cell>
          <cell r="Q4273" t="str">
            <v/>
          </cell>
          <cell r="R4273">
            <v>0</v>
          </cell>
          <cell r="S4273" t="e">
            <v>#VALUE!</v>
          </cell>
          <cell r="T4273" t="e">
            <v>#VALUE!</v>
          </cell>
        </row>
        <row r="4274">
          <cell r="A4274" t="str">
            <v>G2415373GLCPFF</v>
          </cell>
          <cell r="B4274"/>
          <cell r="C4274" t="str">
            <v/>
          </cell>
          <cell r="D4274"/>
          <cell r="E4274"/>
          <cell r="F4274"/>
          <cell r="G4274"/>
          <cell r="H4274"/>
          <cell r="I4274">
            <v>529.99</v>
          </cell>
          <cell r="J4274">
            <v>0.1</v>
          </cell>
          <cell r="K4274">
            <v>476.99099999999999</v>
          </cell>
          <cell r="L4274"/>
          <cell r="M4274" t="e">
            <v>#VALUE!</v>
          </cell>
          <cell r="N4274" t="e">
            <v>#VALUE!</v>
          </cell>
          <cell r="O4274" t="e">
            <v>#VALUE!</v>
          </cell>
          <cell r="P4274" t="e">
            <v>#VALUE!</v>
          </cell>
          <cell r="Q4274" t="str">
            <v/>
          </cell>
          <cell r="R4274">
            <v>0</v>
          </cell>
          <cell r="S4274" t="e">
            <v>#VALUE!</v>
          </cell>
          <cell r="T4274" t="e">
            <v>#VALUE!</v>
          </cell>
        </row>
        <row r="4275">
          <cell r="A4275" t="str">
            <v>MDGA0100085L</v>
          </cell>
          <cell r="B4275"/>
          <cell r="C4275" t="str">
            <v/>
          </cell>
          <cell r="D4275"/>
          <cell r="E4275"/>
          <cell r="F4275"/>
          <cell r="G4275"/>
          <cell r="H4275"/>
          <cell r="I4275">
            <v>1459.99</v>
          </cell>
          <cell r="J4275">
            <v>0.1</v>
          </cell>
          <cell r="K4275">
            <v>1313.991</v>
          </cell>
          <cell r="L4275"/>
          <cell r="M4275" t="e">
            <v>#VALUE!</v>
          </cell>
          <cell r="N4275" t="e">
            <v>#VALUE!</v>
          </cell>
          <cell r="O4275" t="e">
            <v>#VALUE!</v>
          </cell>
          <cell r="P4275" t="e">
            <v>#VALUE!</v>
          </cell>
          <cell r="Q4275" t="str">
            <v/>
          </cell>
          <cell r="R4275">
            <v>0</v>
          </cell>
          <cell r="S4275" t="e">
            <v>#VALUE!</v>
          </cell>
          <cell r="T4275" t="e">
            <v>#VALUE!</v>
          </cell>
        </row>
        <row r="4276">
          <cell r="A4276" t="str">
            <v>MDGA0100087K</v>
          </cell>
          <cell r="B4276"/>
          <cell r="C4276" t="str">
            <v/>
          </cell>
          <cell r="D4276"/>
          <cell r="E4276"/>
          <cell r="F4276"/>
          <cell r="G4276"/>
          <cell r="H4276"/>
          <cell r="I4276">
            <v>1069.99</v>
          </cell>
          <cell r="J4276">
            <v>0.1</v>
          </cell>
          <cell r="K4276">
            <v>962.99099999999999</v>
          </cell>
          <cell r="L4276"/>
          <cell r="M4276" t="e">
            <v>#VALUE!</v>
          </cell>
          <cell r="N4276" t="e">
            <v>#VALUE!</v>
          </cell>
          <cell r="O4276" t="e">
            <v>#VALUE!</v>
          </cell>
          <cell r="P4276" t="e">
            <v>#VALUE!</v>
          </cell>
          <cell r="Q4276" t="str">
            <v/>
          </cell>
          <cell r="R4276">
            <v>0</v>
          </cell>
          <cell r="S4276" t="e">
            <v>#VALUE!</v>
          </cell>
          <cell r="T4276" t="e">
            <v>#VALUE!</v>
          </cell>
        </row>
        <row r="4277">
          <cell r="A4277" t="str">
            <v>MDGA0100025L</v>
          </cell>
          <cell r="B4277"/>
          <cell r="C4277" t="str">
            <v/>
          </cell>
          <cell r="D4277"/>
          <cell r="E4277"/>
          <cell r="F4277"/>
          <cell r="G4277"/>
          <cell r="H4277"/>
          <cell r="I4277">
            <v>1069.99</v>
          </cell>
          <cell r="J4277">
            <v>0.1</v>
          </cell>
          <cell r="K4277">
            <v>962.99099999999999</v>
          </cell>
          <cell r="L4277"/>
          <cell r="M4277" t="e">
            <v>#VALUE!</v>
          </cell>
          <cell r="N4277" t="e">
            <v>#VALUE!</v>
          </cell>
          <cell r="O4277" t="e">
            <v>#VALUE!</v>
          </cell>
          <cell r="P4277" t="e">
            <v>#VALUE!</v>
          </cell>
          <cell r="Q4277" t="str">
            <v/>
          </cell>
          <cell r="R4277">
            <v>0</v>
          </cell>
          <cell r="S4277" t="e">
            <v>#VALUE!</v>
          </cell>
          <cell r="T4277" t="e">
            <v>#VALUE!</v>
          </cell>
        </row>
        <row r="4278">
          <cell r="A4278" t="str">
            <v>MDGA0200087G</v>
          </cell>
          <cell r="B4278"/>
          <cell r="C4278" t="str">
            <v/>
          </cell>
          <cell r="D4278"/>
          <cell r="E4278"/>
          <cell r="F4278"/>
          <cell r="G4278"/>
          <cell r="H4278"/>
          <cell r="I4278">
            <v>779.99</v>
          </cell>
          <cell r="J4278">
            <v>0.1</v>
          </cell>
          <cell r="K4278">
            <v>701.99099999999999</v>
          </cell>
          <cell r="L4278"/>
          <cell r="M4278" t="e">
            <v>#VALUE!</v>
          </cell>
          <cell r="N4278" t="e">
            <v>#VALUE!</v>
          </cell>
          <cell r="O4278" t="e">
            <v>#VALUE!</v>
          </cell>
          <cell r="P4278" t="e">
            <v>#VALUE!</v>
          </cell>
          <cell r="Q4278" t="str">
            <v/>
          </cell>
          <cell r="R4278">
            <v>0</v>
          </cell>
          <cell r="S4278" t="e">
            <v>#VALUE!</v>
          </cell>
          <cell r="T4278" t="e">
            <v>#VALUE!</v>
          </cell>
        </row>
        <row r="4279">
          <cell r="A4279" t="str">
            <v>MDGA02000573</v>
          </cell>
          <cell r="B4279"/>
          <cell r="C4279" t="str">
            <v/>
          </cell>
          <cell r="D4279"/>
          <cell r="E4279"/>
          <cell r="F4279"/>
          <cell r="G4279"/>
          <cell r="H4279"/>
          <cell r="I4279">
            <v>1649.99</v>
          </cell>
          <cell r="J4279">
            <v>0.1</v>
          </cell>
          <cell r="K4279">
            <v>1484.991</v>
          </cell>
          <cell r="L4279"/>
          <cell r="M4279" t="e">
            <v>#VALUE!</v>
          </cell>
          <cell r="N4279" t="e">
            <v>#VALUE!</v>
          </cell>
          <cell r="O4279" t="e">
            <v>#VALUE!</v>
          </cell>
          <cell r="P4279" t="e">
            <v>#VALUE!</v>
          </cell>
          <cell r="Q4279" t="str">
            <v/>
          </cell>
          <cell r="R4279">
            <v>0</v>
          </cell>
          <cell r="S4279" t="e">
            <v>#VALUE!</v>
          </cell>
          <cell r="T4279" t="e">
            <v>#VALUE!</v>
          </cell>
        </row>
        <row r="4280">
          <cell r="A4280" t="str">
            <v>MDGA01000873</v>
          </cell>
          <cell r="B4280"/>
          <cell r="C4280" t="str">
            <v/>
          </cell>
          <cell r="D4280"/>
          <cell r="E4280"/>
          <cell r="F4280"/>
          <cell r="G4280"/>
          <cell r="H4280"/>
          <cell r="I4280">
            <v>1039.99</v>
          </cell>
          <cell r="J4280">
            <v>0.1</v>
          </cell>
          <cell r="K4280">
            <v>935.99099999999999</v>
          </cell>
          <cell r="L4280"/>
          <cell r="M4280" t="e">
            <v>#VALUE!</v>
          </cell>
          <cell r="N4280" t="e">
            <v>#VALUE!</v>
          </cell>
          <cell r="O4280" t="e">
            <v>#VALUE!</v>
          </cell>
          <cell r="P4280" t="e">
            <v>#VALUE!</v>
          </cell>
          <cell r="Q4280" t="str">
            <v/>
          </cell>
          <cell r="R4280">
            <v>0</v>
          </cell>
          <cell r="S4280" t="e">
            <v>#VALUE!</v>
          </cell>
          <cell r="T4280" t="e">
            <v>#VALUE!</v>
          </cell>
        </row>
        <row r="4281">
          <cell r="A4281" t="str">
            <v>MDGA02000173</v>
          </cell>
          <cell r="B4281"/>
          <cell r="C4281" t="str">
            <v/>
          </cell>
          <cell r="D4281"/>
          <cell r="E4281"/>
          <cell r="F4281"/>
          <cell r="G4281"/>
          <cell r="H4281"/>
          <cell r="I4281">
            <v>1069.99</v>
          </cell>
          <cell r="J4281">
            <v>0.1</v>
          </cell>
          <cell r="K4281">
            <v>962.99099999999999</v>
          </cell>
          <cell r="L4281"/>
          <cell r="M4281" t="e">
            <v>#VALUE!</v>
          </cell>
          <cell r="N4281" t="e">
            <v>#VALUE!</v>
          </cell>
          <cell r="O4281" t="e">
            <v>#VALUE!</v>
          </cell>
          <cell r="P4281" t="e">
            <v>#VALUE!</v>
          </cell>
          <cell r="Q4281" t="str">
            <v/>
          </cell>
          <cell r="R4281">
            <v>0</v>
          </cell>
          <cell r="S4281" t="e">
            <v>#VALUE!</v>
          </cell>
          <cell r="T4281" t="e">
            <v>#VALUE!</v>
          </cell>
        </row>
        <row r="4282">
          <cell r="A4282" t="str">
            <v>045677KX4OX</v>
          </cell>
          <cell r="B4282"/>
          <cell r="C4282" t="str">
            <v/>
          </cell>
          <cell r="D4282"/>
          <cell r="E4282"/>
          <cell r="F4282"/>
          <cell r="G4282"/>
          <cell r="H4282"/>
          <cell r="I4282">
            <v>829.99</v>
          </cell>
          <cell r="J4282">
            <v>0.1</v>
          </cell>
          <cell r="K4282">
            <v>746.99099999999999</v>
          </cell>
          <cell r="L4282"/>
          <cell r="M4282" t="e">
            <v>#VALUE!</v>
          </cell>
          <cell r="N4282" t="e">
            <v>#VALUE!</v>
          </cell>
          <cell r="O4282" t="e">
            <v>#VALUE!</v>
          </cell>
          <cell r="P4282" t="e">
            <v>#VALUE!</v>
          </cell>
          <cell r="Q4282" t="str">
            <v/>
          </cell>
          <cell r="R4282">
            <v>0</v>
          </cell>
          <cell r="S4282" t="e">
            <v>#VALUE!</v>
          </cell>
          <cell r="T4282" t="e">
            <v>#VALUE!</v>
          </cell>
        </row>
        <row r="4283">
          <cell r="A4283" t="str">
            <v>MDGA0200015L</v>
          </cell>
          <cell r="B4283"/>
          <cell r="C4283" t="str">
            <v/>
          </cell>
          <cell r="D4283"/>
          <cell r="E4283"/>
          <cell r="F4283"/>
          <cell r="G4283"/>
          <cell r="H4283"/>
          <cell r="I4283">
            <v>579.99</v>
          </cell>
          <cell r="J4283">
            <v>0.1</v>
          </cell>
          <cell r="K4283">
            <v>521.99099999999999</v>
          </cell>
          <cell r="L4283"/>
          <cell r="M4283" t="e">
            <v>#VALUE!</v>
          </cell>
          <cell r="N4283" t="e">
            <v>#VALUE!</v>
          </cell>
          <cell r="O4283" t="e">
            <v>#VALUE!</v>
          </cell>
          <cell r="P4283" t="e">
            <v>#VALUE!</v>
          </cell>
          <cell r="Q4283" t="str">
            <v/>
          </cell>
          <cell r="R4283">
            <v>0</v>
          </cell>
          <cell r="S4283" t="e">
            <v>#VALUE!</v>
          </cell>
          <cell r="T4283" t="e">
            <v>#VALUE!</v>
          </cell>
        </row>
        <row r="4284">
          <cell r="A4284" t="str">
            <v>11939B</v>
          </cell>
          <cell r="B4284"/>
          <cell r="C4284" t="str">
            <v/>
          </cell>
          <cell r="D4284"/>
          <cell r="E4284"/>
          <cell r="F4284"/>
          <cell r="G4284"/>
          <cell r="H4284"/>
          <cell r="I4284">
            <v>829.99</v>
          </cell>
          <cell r="J4284">
            <v>0.1</v>
          </cell>
          <cell r="K4284">
            <v>746.99099999999999</v>
          </cell>
          <cell r="L4284"/>
          <cell r="M4284" t="e">
            <v>#VALUE!</v>
          </cell>
          <cell r="N4284" t="e">
            <v>#VALUE!</v>
          </cell>
          <cell r="O4284" t="e">
            <v>#VALUE!</v>
          </cell>
          <cell r="P4284" t="e">
            <v>#VALUE!</v>
          </cell>
          <cell r="Q4284" t="str">
            <v/>
          </cell>
          <cell r="R4284">
            <v>0</v>
          </cell>
          <cell r="S4284" t="e">
            <v>#VALUE!</v>
          </cell>
          <cell r="T4284" t="e">
            <v>#VALUE!</v>
          </cell>
        </row>
        <row r="4285">
          <cell r="A4285" t="str">
            <v>1193F84G</v>
          </cell>
          <cell r="B4285"/>
          <cell r="C4285" t="str">
            <v/>
          </cell>
          <cell r="D4285"/>
          <cell r="E4285"/>
          <cell r="F4285"/>
          <cell r="G4285"/>
          <cell r="H4285"/>
          <cell r="I4285">
            <v>959.99</v>
          </cell>
          <cell r="J4285">
            <v>0.1</v>
          </cell>
          <cell r="K4285">
            <v>863.99099999999999</v>
          </cell>
          <cell r="L4285"/>
          <cell r="M4285" t="e">
            <v>#VALUE!</v>
          </cell>
          <cell r="N4285" t="e">
            <v>#VALUE!</v>
          </cell>
          <cell r="O4285" t="e">
            <v>#VALUE!</v>
          </cell>
          <cell r="P4285" t="e">
            <v>#VALUE!</v>
          </cell>
          <cell r="Q4285" t="str">
            <v/>
          </cell>
          <cell r="R4285">
            <v>0</v>
          </cell>
          <cell r="S4285" t="e">
            <v>#VALUE!</v>
          </cell>
          <cell r="T4285" t="e">
            <v>#VALUE!</v>
          </cell>
        </row>
        <row r="4286">
          <cell r="A4286" t="str">
            <v>GCSM44700109</v>
          </cell>
          <cell r="B4286"/>
          <cell r="C4286" t="str">
            <v/>
          </cell>
          <cell r="D4286"/>
          <cell r="E4286"/>
          <cell r="F4286"/>
          <cell r="G4286"/>
          <cell r="H4286"/>
          <cell r="I4286">
            <v>1199.99</v>
          </cell>
          <cell r="J4286">
            <v>0.1</v>
          </cell>
          <cell r="K4286">
            <v>1079.991</v>
          </cell>
          <cell r="L4286"/>
          <cell r="M4286" t="e">
            <v>#VALUE!</v>
          </cell>
          <cell r="N4286" t="e">
            <v>#VALUE!</v>
          </cell>
          <cell r="O4286" t="e">
            <v>#VALUE!</v>
          </cell>
          <cell r="P4286" t="e">
            <v>#VALUE!</v>
          </cell>
          <cell r="Q4286" t="str">
            <v/>
          </cell>
          <cell r="R4286">
            <v>0</v>
          </cell>
          <cell r="S4286" t="e">
            <v>#VALUE!</v>
          </cell>
          <cell r="T4286" t="e">
            <v>#VALUE!</v>
          </cell>
        </row>
        <row r="4287">
          <cell r="A4287" t="str">
            <v>GRGL1500036E</v>
          </cell>
          <cell r="B4287"/>
          <cell r="C4287" t="str">
            <v/>
          </cell>
          <cell r="D4287"/>
          <cell r="E4287"/>
          <cell r="F4287"/>
          <cell r="G4287"/>
          <cell r="H4287"/>
          <cell r="I4287">
            <v>2439.9899999999998</v>
          </cell>
          <cell r="J4287">
            <v>0.1</v>
          </cell>
          <cell r="K4287">
            <v>2195.991</v>
          </cell>
          <cell r="L4287"/>
          <cell r="M4287" t="e">
            <v>#VALUE!</v>
          </cell>
          <cell r="N4287" t="e">
            <v>#VALUE!</v>
          </cell>
          <cell r="O4287" t="e">
            <v>#VALUE!</v>
          </cell>
          <cell r="P4287" t="e">
            <v>#VALUE!</v>
          </cell>
          <cell r="Q4287" t="str">
            <v/>
          </cell>
          <cell r="R4287">
            <v>0</v>
          </cell>
          <cell r="S4287" t="e">
            <v>#VALUE!</v>
          </cell>
          <cell r="T4287" t="e">
            <v>#VALUE!</v>
          </cell>
        </row>
        <row r="4288">
          <cell r="A4288" t="str">
            <v>GRGL1500035Z</v>
          </cell>
          <cell r="B4288"/>
          <cell r="C4288" t="str">
            <v/>
          </cell>
          <cell r="D4288"/>
          <cell r="E4288"/>
          <cell r="F4288"/>
          <cell r="G4288"/>
          <cell r="H4288"/>
          <cell r="I4288">
            <v>1979.99</v>
          </cell>
          <cell r="J4288">
            <v>0.1</v>
          </cell>
          <cell r="K4288">
            <v>1781.991</v>
          </cell>
          <cell r="L4288"/>
          <cell r="M4288" t="e">
            <v>#VALUE!</v>
          </cell>
          <cell r="N4288" t="e">
            <v>#VALUE!</v>
          </cell>
          <cell r="O4288" t="e">
            <v>#VALUE!</v>
          </cell>
          <cell r="P4288" t="e">
            <v>#VALUE!</v>
          </cell>
          <cell r="Q4288" t="str">
            <v/>
          </cell>
          <cell r="R4288">
            <v>0</v>
          </cell>
          <cell r="S4288" t="e">
            <v>#VALUE!</v>
          </cell>
          <cell r="T4288" t="e">
            <v>#VALUE!</v>
          </cell>
        </row>
        <row r="4289">
          <cell r="A4289" t="str">
            <v>G2415309GLCPFF</v>
          </cell>
          <cell r="B4289"/>
          <cell r="C4289" t="str">
            <v/>
          </cell>
          <cell r="D4289"/>
          <cell r="E4289"/>
          <cell r="F4289"/>
          <cell r="G4289"/>
          <cell r="H4289"/>
          <cell r="I4289">
            <v>1979.99</v>
          </cell>
          <cell r="J4289">
            <v>0.1</v>
          </cell>
          <cell r="K4289">
            <v>1781.991</v>
          </cell>
          <cell r="L4289"/>
          <cell r="M4289" t="e">
            <v>#VALUE!</v>
          </cell>
          <cell r="N4289" t="e">
            <v>#VALUE!</v>
          </cell>
          <cell r="O4289" t="e">
            <v>#VALUE!</v>
          </cell>
          <cell r="P4289" t="e">
            <v>#VALUE!</v>
          </cell>
          <cell r="Q4289" t="str">
            <v/>
          </cell>
          <cell r="R4289">
            <v>0</v>
          </cell>
          <cell r="S4289" t="e">
            <v>#VALUE!</v>
          </cell>
          <cell r="T4289" t="e">
            <v>#VALUE!</v>
          </cell>
        </row>
        <row r="4290">
          <cell r="A4290" t="str">
            <v>G241536EGLCPFF</v>
          </cell>
          <cell r="B4290"/>
          <cell r="C4290" t="str">
            <v/>
          </cell>
          <cell r="D4290"/>
          <cell r="E4290"/>
          <cell r="F4290"/>
          <cell r="G4290"/>
          <cell r="H4290"/>
          <cell r="I4290">
            <v>1459.99</v>
          </cell>
          <cell r="J4290">
            <v>0.1</v>
          </cell>
          <cell r="K4290">
            <v>1313.991</v>
          </cell>
          <cell r="L4290"/>
          <cell r="M4290" t="e">
            <v>#VALUE!</v>
          </cell>
          <cell r="N4290" t="e">
            <v>#VALUE!</v>
          </cell>
          <cell r="O4290" t="e">
            <v>#VALUE!</v>
          </cell>
          <cell r="P4290" t="e">
            <v>#VALUE!</v>
          </cell>
          <cell r="Q4290" t="str">
            <v/>
          </cell>
          <cell r="R4290">
            <v>0</v>
          </cell>
          <cell r="S4290" t="e">
            <v>#VALUE!</v>
          </cell>
          <cell r="T4290" t="e">
            <v>#VALUE!</v>
          </cell>
        </row>
        <row r="4291">
          <cell r="A4291" t="str">
            <v>MDGA010008F8</v>
          </cell>
          <cell r="B4291"/>
          <cell r="C4291" t="str">
            <v/>
          </cell>
          <cell r="D4291"/>
          <cell r="E4291"/>
          <cell r="F4291"/>
          <cell r="G4291"/>
          <cell r="H4291"/>
          <cell r="I4291">
            <v>1459.99</v>
          </cell>
          <cell r="J4291">
            <v>0.1</v>
          </cell>
          <cell r="K4291">
            <v>1313.991</v>
          </cell>
          <cell r="L4291"/>
          <cell r="M4291" t="e">
            <v>#VALUE!</v>
          </cell>
          <cell r="N4291" t="e">
            <v>#VALUE!</v>
          </cell>
          <cell r="O4291" t="e">
            <v>#VALUE!</v>
          </cell>
          <cell r="P4291" t="e">
            <v>#VALUE!</v>
          </cell>
          <cell r="Q4291" t="str">
            <v/>
          </cell>
          <cell r="R4291">
            <v>0</v>
          </cell>
          <cell r="S4291" t="e">
            <v>#VALUE!</v>
          </cell>
          <cell r="T4291" t="e">
            <v>#VALUE!</v>
          </cell>
        </row>
        <row r="4292">
          <cell r="A4292" t="str">
            <v>MDGA04000373</v>
          </cell>
          <cell r="B4292"/>
          <cell r="C4292" t="str">
            <v/>
          </cell>
          <cell r="D4292"/>
          <cell r="E4292"/>
          <cell r="F4292"/>
          <cell r="G4292"/>
          <cell r="H4292"/>
          <cell r="I4292">
            <v>1069.99</v>
          </cell>
          <cell r="J4292">
            <v>0.1</v>
          </cell>
          <cell r="K4292">
            <v>962.99099999999999</v>
          </cell>
          <cell r="L4292"/>
          <cell r="M4292" t="e">
            <v>#VALUE!</v>
          </cell>
          <cell r="N4292" t="e">
            <v>#VALUE!</v>
          </cell>
          <cell r="O4292" t="e">
            <v>#VALUE!</v>
          </cell>
          <cell r="P4292" t="e">
            <v>#VALUE!</v>
          </cell>
          <cell r="Q4292" t="str">
            <v/>
          </cell>
          <cell r="R4292">
            <v>0</v>
          </cell>
          <cell r="S4292" t="e">
            <v>#VALUE!</v>
          </cell>
          <cell r="T4292" t="e">
            <v>#VALUE!</v>
          </cell>
        </row>
        <row r="4293">
          <cell r="A4293" t="str">
            <v>1193732G</v>
          </cell>
          <cell r="B4293"/>
          <cell r="C4293" t="str">
            <v/>
          </cell>
          <cell r="D4293"/>
          <cell r="E4293"/>
          <cell r="F4293"/>
          <cell r="G4293"/>
          <cell r="H4293"/>
          <cell r="I4293">
            <v>2429.9899999999998</v>
          </cell>
          <cell r="J4293">
            <v>0.1</v>
          </cell>
          <cell r="K4293">
            <v>2186.991</v>
          </cell>
          <cell r="L4293"/>
          <cell r="M4293" t="e">
            <v>#VALUE!</v>
          </cell>
          <cell r="N4293" t="e">
            <v>#VALUE!</v>
          </cell>
          <cell r="O4293" t="e">
            <v>#VALUE!</v>
          </cell>
          <cell r="P4293" t="e">
            <v>#VALUE!</v>
          </cell>
          <cell r="Q4293" t="str">
            <v/>
          </cell>
          <cell r="R4293">
            <v>0</v>
          </cell>
          <cell r="S4293" t="e">
            <v>#VALUE!</v>
          </cell>
          <cell r="T4293" t="e">
            <v>#VALUE!</v>
          </cell>
        </row>
        <row r="4294">
          <cell r="A4294" t="str">
            <v>MDGA020008F8</v>
          </cell>
          <cell r="B4294"/>
          <cell r="C4294" t="str">
            <v/>
          </cell>
          <cell r="D4294"/>
          <cell r="E4294"/>
          <cell r="F4294"/>
          <cell r="G4294"/>
          <cell r="H4294"/>
          <cell r="I4294">
            <v>1099.99</v>
          </cell>
          <cell r="J4294">
            <v>0.1</v>
          </cell>
          <cell r="K4294">
            <v>989.99099999999999</v>
          </cell>
          <cell r="L4294"/>
          <cell r="M4294" t="e">
            <v>#VALUE!</v>
          </cell>
          <cell r="N4294" t="e">
            <v>#VALUE!</v>
          </cell>
          <cell r="O4294" t="e">
            <v>#VALUE!</v>
          </cell>
          <cell r="P4294" t="e">
            <v>#VALUE!</v>
          </cell>
          <cell r="Q4294" t="str">
            <v/>
          </cell>
          <cell r="R4294">
            <v>0</v>
          </cell>
          <cell r="S4294" t="e">
            <v>#VALUE!</v>
          </cell>
          <cell r="T4294" t="e">
            <v>#VALUE!</v>
          </cell>
        </row>
        <row r="4295">
          <cell r="A4295" t="str">
            <v>GRSM180002A9</v>
          </cell>
          <cell r="B4295"/>
          <cell r="C4295" t="str">
            <v/>
          </cell>
          <cell r="D4295"/>
          <cell r="E4295"/>
          <cell r="F4295"/>
          <cell r="G4295"/>
          <cell r="H4295"/>
          <cell r="I4295">
            <v>1649.99</v>
          </cell>
          <cell r="J4295">
            <v>0.1</v>
          </cell>
          <cell r="K4295">
            <v>1484.991</v>
          </cell>
          <cell r="L4295"/>
          <cell r="M4295" t="e">
            <v>#VALUE!</v>
          </cell>
          <cell r="N4295" t="e">
            <v>#VALUE!</v>
          </cell>
          <cell r="O4295" t="e">
            <v>#VALUE!</v>
          </cell>
          <cell r="P4295" t="e">
            <v>#VALUE!</v>
          </cell>
          <cell r="Q4295" t="str">
            <v/>
          </cell>
          <cell r="R4295">
            <v>0</v>
          </cell>
          <cell r="S4295" t="e">
            <v>#VALUE!</v>
          </cell>
          <cell r="T4295" t="e">
            <v>#VALUE!</v>
          </cell>
        </row>
        <row r="4296">
          <cell r="A4296" t="str">
            <v>MDGA0100015L</v>
          </cell>
          <cell r="B4296"/>
          <cell r="C4296" t="str">
            <v/>
          </cell>
          <cell r="D4296"/>
          <cell r="E4296"/>
          <cell r="F4296"/>
          <cell r="G4296"/>
          <cell r="H4296"/>
          <cell r="I4296">
            <v>1099.99</v>
          </cell>
          <cell r="J4296">
            <v>0.1</v>
          </cell>
          <cell r="K4296">
            <v>989.99099999999999</v>
          </cell>
          <cell r="L4296"/>
          <cell r="M4296" t="e">
            <v>#VALUE!</v>
          </cell>
          <cell r="N4296" t="e">
            <v>#VALUE!</v>
          </cell>
          <cell r="O4296" t="e">
            <v>#VALUE!</v>
          </cell>
          <cell r="P4296" t="e">
            <v>#VALUE!</v>
          </cell>
          <cell r="Q4296" t="str">
            <v/>
          </cell>
          <cell r="R4296">
            <v>0</v>
          </cell>
          <cell r="S4296" t="e">
            <v>#VALUE!</v>
          </cell>
          <cell r="T4296" t="e">
            <v>#VALUE!</v>
          </cell>
        </row>
        <row r="4297">
          <cell r="A4297" t="str">
            <v>MDGA01000709</v>
          </cell>
          <cell r="B4297"/>
          <cell r="C4297" t="str">
            <v/>
          </cell>
          <cell r="D4297"/>
          <cell r="E4297"/>
          <cell r="F4297"/>
          <cell r="G4297"/>
          <cell r="H4297"/>
          <cell r="I4297">
            <v>329.99</v>
          </cell>
          <cell r="J4297">
            <v>0.1</v>
          </cell>
          <cell r="K4297">
            <v>296.99099999999999</v>
          </cell>
          <cell r="L4297"/>
          <cell r="M4297" t="e">
            <v>#VALUE!</v>
          </cell>
          <cell r="N4297" t="e">
            <v>#VALUE!</v>
          </cell>
          <cell r="O4297" t="e">
            <v>#VALUE!</v>
          </cell>
          <cell r="P4297" t="e">
            <v>#VALUE!</v>
          </cell>
          <cell r="Q4297" t="str">
            <v/>
          </cell>
          <cell r="R4297">
            <v>0</v>
          </cell>
          <cell r="S4297" t="e">
            <v>#VALUE!</v>
          </cell>
          <cell r="T4297" t="e">
            <v>#VALUE!</v>
          </cell>
        </row>
        <row r="4298">
          <cell r="A4298" t="str">
            <v>MDGA0100016E</v>
          </cell>
          <cell r="B4298"/>
          <cell r="C4298" t="str">
            <v/>
          </cell>
          <cell r="D4298"/>
          <cell r="E4298"/>
          <cell r="F4298"/>
          <cell r="G4298"/>
          <cell r="H4298"/>
          <cell r="I4298">
            <v>529.99</v>
          </cell>
          <cell r="J4298">
            <v>0.1</v>
          </cell>
          <cell r="K4298">
            <v>476.99099999999999</v>
          </cell>
          <cell r="L4298"/>
          <cell r="M4298" t="e">
            <v>#VALUE!</v>
          </cell>
          <cell r="N4298" t="e">
            <v>#VALUE!</v>
          </cell>
          <cell r="O4298" t="e">
            <v>#VALUE!</v>
          </cell>
          <cell r="P4298" t="e">
            <v>#VALUE!</v>
          </cell>
          <cell r="Q4298" t="str">
            <v/>
          </cell>
          <cell r="R4298">
            <v>0</v>
          </cell>
          <cell r="S4298" t="e">
            <v>#VALUE!</v>
          </cell>
          <cell r="T4298" t="e">
            <v>#VALUE!</v>
          </cell>
        </row>
        <row r="4299">
          <cell r="A4299" t="str">
            <v>MDGA0100027K</v>
          </cell>
          <cell r="B4299"/>
          <cell r="C4299" t="str">
            <v/>
          </cell>
          <cell r="D4299"/>
          <cell r="E4299"/>
          <cell r="F4299"/>
          <cell r="G4299"/>
          <cell r="H4299"/>
          <cell r="I4299">
            <v>329.99</v>
          </cell>
          <cell r="J4299">
            <v>0.1</v>
          </cell>
          <cell r="K4299">
            <v>296.99099999999999</v>
          </cell>
          <cell r="L4299"/>
          <cell r="M4299" t="e">
            <v>#VALUE!</v>
          </cell>
          <cell r="N4299" t="e">
            <v>#VALUE!</v>
          </cell>
          <cell r="O4299" t="e">
            <v>#VALUE!</v>
          </cell>
          <cell r="P4299" t="e">
            <v>#VALUE!</v>
          </cell>
          <cell r="Q4299" t="str">
            <v/>
          </cell>
          <cell r="R4299">
            <v>0</v>
          </cell>
          <cell r="S4299" t="e">
            <v>#VALUE!</v>
          </cell>
          <cell r="T4299" t="e">
            <v>#VALUE!</v>
          </cell>
        </row>
        <row r="4300">
          <cell r="A4300" t="str">
            <v>MDGA010008F9</v>
          </cell>
          <cell r="B4300"/>
          <cell r="C4300" t="str">
            <v/>
          </cell>
          <cell r="D4300"/>
          <cell r="E4300"/>
          <cell r="F4300"/>
          <cell r="G4300"/>
          <cell r="H4300"/>
          <cell r="I4300">
            <v>779.99</v>
          </cell>
          <cell r="J4300">
            <v>0.1</v>
          </cell>
          <cell r="K4300">
            <v>701.99099999999999</v>
          </cell>
          <cell r="L4300"/>
          <cell r="M4300" t="e">
            <v>#VALUE!</v>
          </cell>
          <cell r="N4300" t="e">
            <v>#VALUE!</v>
          </cell>
          <cell r="O4300" t="e">
            <v>#VALUE!</v>
          </cell>
          <cell r="P4300" t="e">
            <v>#VALUE!</v>
          </cell>
          <cell r="Q4300" t="str">
            <v/>
          </cell>
          <cell r="R4300">
            <v>0</v>
          </cell>
          <cell r="S4300" t="e">
            <v>#VALUE!</v>
          </cell>
          <cell r="T4300" t="e">
            <v>#VALUE!</v>
          </cell>
        </row>
        <row r="4301">
          <cell r="A4301" t="str">
            <v>MDGA0100076E</v>
          </cell>
          <cell r="B4301"/>
          <cell r="C4301" t="str">
            <v/>
          </cell>
          <cell r="D4301"/>
          <cell r="E4301"/>
          <cell r="F4301"/>
          <cell r="G4301"/>
          <cell r="H4301"/>
          <cell r="I4301">
            <v>1069.99</v>
          </cell>
          <cell r="J4301">
            <v>0.1</v>
          </cell>
          <cell r="K4301">
            <v>962.99099999999999</v>
          </cell>
          <cell r="L4301"/>
          <cell r="M4301" t="e">
            <v>#VALUE!</v>
          </cell>
          <cell r="N4301" t="e">
            <v>#VALUE!</v>
          </cell>
          <cell r="O4301" t="e">
            <v>#VALUE!</v>
          </cell>
          <cell r="P4301" t="e">
            <v>#VALUE!</v>
          </cell>
          <cell r="Q4301" t="str">
            <v/>
          </cell>
          <cell r="R4301">
            <v>0</v>
          </cell>
          <cell r="S4301" t="e">
            <v>#VALUE!</v>
          </cell>
          <cell r="T4301" t="e">
            <v>#VALUE!</v>
          </cell>
        </row>
        <row r="4302">
          <cell r="A4302" t="str">
            <v>MDGA0100017K</v>
          </cell>
          <cell r="B4302"/>
          <cell r="C4302" t="str">
            <v/>
          </cell>
          <cell r="D4302"/>
          <cell r="E4302"/>
          <cell r="F4302"/>
          <cell r="G4302"/>
          <cell r="H4302"/>
          <cell r="I4302">
            <v>529.99</v>
          </cell>
          <cell r="J4302">
            <v>0.1</v>
          </cell>
          <cell r="K4302">
            <v>476.99099999999999</v>
          </cell>
          <cell r="L4302"/>
          <cell r="M4302" t="e">
            <v>#VALUE!</v>
          </cell>
          <cell r="N4302" t="e">
            <v>#VALUE!</v>
          </cell>
          <cell r="O4302" t="e">
            <v>#VALUE!</v>
          </cell>
          <cell r="P4302" t="e">
            <v>#VALUE!</v>
          </cell>
          <cell r="Q4302" t="str">
            <v/>
          </cell>
          <cell r="R4302">
            <v>0</v>
          </cell>
          <cell r="S4302" t="e">
            <v>#VALUE!</v>
          </cell>
          <cell r="T4302" t="e">
            <v>#VALUE!</v>
          </cell>
        </row>
        <row r="4303">
          <cell r="A4303" t="str">
            <v>MDGA0400037K</v>
          </cell>
          <cell r="B4303"/>
          <cell r="C4303" t="str">
            <v/>
          </cell>
          <cell r="D4303"/>
          <cell r="E4303"/>
          <cell r="F4303"/>
          <cell r="G4303"/>
          <cell r="H4303"/>
          <cell r="I4303">
            <v>329.99</v>
          </cell>
          <cell r="J4303">
            <v>0.1</v>
          </cell>
          <cell r="K4303">
            <v>296.99099999999999</v>
          </cell>
          <cell r="L4303"/>
          <cell r="M4303" t="e">
            <v>#VALUE!</v>
          </cell>
          <cell r="N4303" t="e">
            <v>#VALUE!</v>
          </cell>
          <cell r="O4303" t="e">
            <v>#VALUE!</v>
          </cell>
          <cell r="P4303" t="e">
            <v>#VALUE!</v>
          </cell>
          <cell r="Q4303" t="str">
            <v/>
          </cell>
          <cell r="R4303">
            <v>0</v>
          </cell>
          <cell r="S4303" t="e">
            <v>#VALUE!</v>
          </cell>
          <cell r="T4303" t="e">
            <v>#VALUE!</v>
          </cell>
        </row>
        <row r="4304">
          <cell r="A4304" t="str">
            <v>MDGA0200027G</v>
          </cell>
          <cell r="B4304"/>
          <cell r="C4304" t="str">
            <v/>
          </cell>
          <cell r="D4304"/>
          <cell r="E4304"/>
          <cell r="F4304"/>
          <cell r="G4304"/>
          <cell r="H4304"/>
          <cell r="I4304">
            <v>2429.9899999999998</v>
          </cell>
          <cell r="J4304">
            <v>0.1</v>
          </cell>
          <cell r="K4304">
            <v>2186.991</v>
          </cell>
          <cell r="L4304"/>
          <cell r="M4304" t="e">
            <v>#VALUE!</v>
          </cell>
          <cell r="N4304" t="e">
            <v>#VALUE!</v>
          </cell>
          <cell r="O4304" t="e">
            <v>#VALUE!</v>
          </cell>
          <cell r="P4304" t="e">
            <v>#VALUE!</v>
          </cell>
          <cell r="Q4304" t="str">
            <v/>
          </cell>
          <cell r="R4304">
            <v>0</v>
          </cell>
          <cell r="S4304" t="e">
            <v>#VALUE!</v>
          </cell>
          <cell r="T4304" t="e">
            <v>#VALUE!</v>
          </cell>
        </row>
        <row r="4305">
          <cell r="A4305" t="str">
            <v>MDGA020002J5</v>
          </cell>
          <cell r="B4305"/>
          <cell r="C4305" t="str">
            <v/>
          </cell>
          <cell r="D4305"/>
          <cell r="E4305"/>
          <cell r="F4305"/>
          <cell r="G4305"/>
          <cell r="H4305"/>
          <cell r="I4305">
            <v>1599.99</v>
          </cell>
          <cell r="J4305">
            <v>0.1</v>
          </cell>
          <cell r="K4305">
            <v>1439.991</v>
          </cell>
          <cell r="L4305"/>
          <cell r="M4305" t="e">
            <v>#VALUE!</v>
          </cell>
          <cell r="N4305" t="e">
            <v>#VALUE!</v>
          </cell>
          <cell r="O4305" t="e">
            <v>#VALUE!</v>
          </cell>
          <cell r="P4305" t="e">
            <v>#VALUE!</v>
          </cell>
          <cell r="Q4305" t="str">
            <v/>
          </cell>
          <cell r="R4305">
            <v>0</v>
          </cell>
          <cell r="S4305" t="e">
            <v>#VALUE!</v>
          </cell>
          <cell r="T4305" t="e">
            <v>#VALUE!</v>
          </cell>
        </row>
        <row r="4306">
          <cell r="A4306" t="str">
            <v>MDGA04000309</v>
          </cell>
          <cell r="B4306"/>
          <cell r="C4306" t="str">
            <v/>
          </cell>
          <cell r="D4306"/>
          <cell r="E4306"/>
          <cell r="F4306"/>
          <cell r="G4306"/>
          <cell r="H4306"/>
          <cell r="I4306">
            <v>1599.99</v>
          </cell>
          <cell r="J4306">
            <v>0.1</v>
          </cell>
          <cell r="K4306">
            <v>1439.991</v>
          </cell>
          <cell r="L4306"/>
          <cell r="M4306" t="e">
            <v>#VALUE!</v>
          </cell>
          <cell r="N4306" t="e">
            <v>#VALUE!</v>
          </cell>
          <cell r="O4306" t="e">
            <v>#VALUE!</v>
          </cell>
          <cell r="P4306" t="e">
            <v>#VALUE!</v>
          </cell>
          <cell r="Q4306" t="str">
            <v/>
          </cell>
          <cell r="R4306">
            <v>0</v>
          </cell>
          <cell r="S4306" t="e">
            <v>#VALUE!</v>
          </cell>
          <cell r="T4306" t="e">
            <v>#VALUE!</v>
          </cell>
        </row>
        <row r="4307">
          <cell r="A4307" t="str">
            <v>MDGA02000809</v>
          </cell>
          <cell r="B4307"/>
          <cell r="C4307" t="str">
            <v/>
          </cell>
          <cell r="D4307"/>
          <cell r="E4307"/>
          <cell r="F4307"/>
          <cell r="G4307"/>
          <cell r="H4307"/>
          <cell r="I4307">
            <v>2429.9899999999998</v>
          </cell>
          <cell r="J4307">
            <v>0.1</v>
          </cell>
          <cell r="K4307">
            <v>2186.991</v>
          </cell>
          <cell r="L4307"/>
          <cell r="M4307" t="e">
            <v>#VALUE!</v>
          </cell>
          <cell r="N4307" t="e">
            <v>#VALUE!</v>
          </cell>
          <cell r="O4307" t="e">
            <v>#VALUE!</v>
          </cell>
          <cell r="P4307" t="e">
            <v>#VALUE!</v>
          </cell>
          <cell r="Q4307" t="str">
            <v/>
          </cell>
          <cell r="R4307">
            <v>0</v>
          </cell>
          <cell r="S4307" t="e">
            <v>#VALUE!</v>
          </cell>
          <cell r="T4307" t="e">
            <v>#VALUE!</v>
          </cell>
        </row>
        <row r="4308">
          <cell r="A4308" t="str">
            <v>MDGA0200086E</v>
          </cell>
          <cell r="B4308"/>
          <cell r="C4308" t="str">
            <v/>
          </cell>
          <cell r="D4308"/>
          <cell r="E4308"/>
          <cell r="F4308"/>
          <cell r="G4308"/>
          <cell r="H4308"/>
          <cell r="I4308">
            <v>1649.99</v>
          </cell>
          <cell r="J4308">
            <v>0.1</v>
          </cell>
          <cell r="K4308">
            <v>1484.991</v>
          </cell>
          <cell r="L4308"/>
          <cell r="M4308" t="e">
            <v>#VALUE!</v>
          </cell>
          <cell r="N4308" t="e">
            <v>#VALUE!</v>
          </cell>
          <cell r="O4308" t="e">
            <v>#VALUE!</v>
          </cell>
          <cell r="P4308" t="e">
            <v>#VALUE!</v>
          </cell>
          <cell r="Q4308" t="str">
            <v/>
          </cell>
          <cell r="R4308">
            <v>0</v>
          </cell>
          <cell r="S4308" t="e">
            <v>#VALUE!</v>
          </cell>
          <cell r="T4308" t="e">
            <v>#VALUE!</v>
          </cell>
        </row>
        <row r="4309">
          <cell r="A4309" t="str">
            <v>GRSM18000209</v>
          </cell>
          <cell r="B4309"/>
          <cell r="C4309" t="str">
            <v/>
          </cell>
          <cell r="D4309"/>
          <cell r="E4309"/>
          <cell r="F4309"/>
          <cell r="G4309"/>
          <cell r="H4309"/>
          <cell r="I4309">
            <v>1649.99</v>
          </cell>
          <cell r="J4309">
            <v>0.1</v>
          </cell>
          <cell r="K4309">
            <v>1484.991</v>
          </cell>
          <cell r="L4309"/>
          <cell r="M4309" t="e">
            <v>#VALUE!</v>
          </cell>
          <cell r="N4309" t="e">
            <v>#VALUE!</v>
          </cell>
          <cell r="O4309" t="e">
            <v>#VALUE!</v>
          </cell>
          <cell r="P4309" t="e">
            <v>#VALUE!</v>
          </cell>
          <cell r="Q4309" t="str">
            <v/>
          </cell>
          <cell r="R4309">
            <v>0</v>
          </cell>
          <cell r="S4309" t="e">
            <v>#VALUE!</v>
          </cell>
          <cell r="T4309" t="e">
            <v>#VALUE!</v>
          </cell>
        </row>
        <row r="4310">
          <cell r="A4310" t="str">
            <v>GRSM30000309</v>
          </cell>
          <cell r="B4310"/>
          <cell r="C4310" t="str">
            <v/>
          </cell>
          <cell r="D4310"/>
          <cell r="E4310"/>
          <cell r="F4310"/>
          <cell r="G4310"/>
          <cell r="H4310"/>
          <cell r="I4310">
            <v>1099.99</v>
          </cell>
          <cell r="J4310">
            <v>0.1</v>
          </cell>
          <cell r="K4310">
            <v>989.99099999999999</v>
          </cell>
          <cell r="L4310"/>
          <cell r="M4310" t="e">
            <v>#VALUE!</v>
          </cell>
          <cell r="N4310" t="e">
            <v>#VALUE!</v>
          </cell>
          <cell r="O4310" t="e">
            <v>#VALUE!</v>
          </cell>
          <cell r="P4310" t="e">
            <v>#VALUE!</v>
          </cell>
          <cell r="Q4310" t="str">
            <v/>
          </cell>
          <cell r="R4310">
            <v>0</v>
          </cell>
          <cell r="S4310" t="e">
            <v>#VALUE!</v>
          </cell>
          <cell r="T4310" t="e">
            <v>#VALUE!</v>
          </cell>
        </row>
        <row r="4311">
          <cell r="A4311" t="str">
            <v>MDGA0100075L</v>
          </cell>
          <cell r="B4311"/>
          <cell r="C4311" t="str">
            <v/>
          </cell>
          <cell r="D4311"/>
          <cell r="E4311"/>
          <cell r="F4311"/>
          <cell r="G4311"/>
          <cell r="H4311"/>
          <cell r="I4311">
            <v>2069.9899999999998</v>
          </cell>
          <cell r="J4311">
            <v>0.1</v>
          </cell>
          <cell r="K4311">
            <v>1862.991</v>
          </cell>
          <cell r="L4311"/>
          <cell r="M4311" t="e">
            <v>#VALUE!</v>
          </cell>
          <cell r="N4311" t="e">
            <v>#VALUE!</v>
          </cell>
          <cell r="O4311" t="e">
            <v>#VALUE!</v>
          </cell>
          <cell r="P4311" t="e">
            <v>#VALUE!</v>
          </cell>
          <cell r="Q4311" t="str">
            <v>MADEIRAMADEIRA</v>
          </cell>
          <cell r="R4311">
            <v>1888.88</v>
          </cell>
          <cell r="S4311" t="e">
            <v>#VALUE!</v>
          </cell>
          <cell r="T4311" t="e">
            <v>#VALUE!</v>
          </cell>
        </row>
        <row r="4312">
          <cell r="A4312" t="str">
            <v>MDGA010008J5</v>
          </cell>
          <cell r="B4312"/>
          <cell r="C4312" t="str">
            <v/>
          </cell>
          <cell r="D4312"/>
          <cell r="E4312"/>
          <cell r="F4312"/>
          <cell r="G4312"/>
          <cell r="H4312"/>
          <cell r="I4312">
            <v>529.99</v>
          </cell>
          <cell r="J4312">
            <v>0.1</v>
          </cell>
          <cell r="K4312">
            <v>476.99099999999999</v>
          </cell>
          <cell r="L4312"/>
          <cell r="M4312" t="e">
            <v>#VALUE!</v>
          </cell>
          <cell r="N4312" t="e">
            <v>#VALUE!</v>
          </cell>
          <cell r="O4312" t="e">
            <v>#VALUE!</v>
          </cell>
          <cell r="P4312" t="e">
            <v>#VALUE!</v>
          </cell>
          <cell r="Q4312" t="str">
            <v/>
          </cell>
          <cell r="R4312">
            <v>0</v>
          </cell>
          <cell r="S4312" t="e">
            <v>#VALUE!</v>
          </cell>
          <cell r="T4312" t="e">
            <v>#VALUE!</v>
          </cell>
        </row>
        <row r="4313">
          <cell r="A4313" t="str">
            <v>MDGA02000873</v>
          </cell>
          <cell r="B4313"/>
          <cell r="C4313" t="str">
            <v/>
          </cell>
          <cell r="D4313"/>
          <cell r="E4313"/>
          <cell r="F4313"/>
          <cell r="G4313"/>
          <cell r="H4313"/>
          <cell r="I4313">
            <v>1069.99</v>
          </cell>
          <cell r="J4313">
            <v>0.1</v>
          </cell>
          <cell r="K4313">
            <v>962.99099999999999</v>
          </cell>
          <cell r="L4313"/>
          <cell r="M4313" t="e">
            <v>#VALUE!</v>
          </cell>
          <cell r="N4313" t="e">
            <v>#VALUE!</v>
          </cell>
          <cell r="O4313" t="e">
            <v>#VALUE!</v>
          </cell>
          <cell r="P4313" t="e">
            <v>#VALUE!</v>
          </cell>
          <cell r="Q4313" t="str">
            <v/>
          </cell>
          <cell r="R4313">
            <v>0</v>
          </cell>
          <cell r="S4313" t="e">
            <v>#VALUE!</v>
          </cell>
          <cell r="T4313" t="e">
            <v>#VALUE!</v>
          </cell>
        </row>
        <row r="4314">
          <cell r="A4314" t="str">
            <v>MDGA020008J5</v>
          </cell>
          <cell r="B4314"/>
          <cell r="C4314" t="str">
            <v/>
          </cell>
          <cell r="D4314"/>
          <cell r="E4314"/>
          <cell r="F4314"/>
          <cell r="G4314"/>
          <cell r="H4314"/>
          <cell r="I4314">
            <v>1649.99</v>
          </cell>
          <cell r="J4314">
            <v>0.1</v>
          </cell>
          <cell r="K4314">
            <v>1484.991</v>
          </cell>
          <cell r="L4314"/>
          <cell r="M4314" t="e">
            <v>#VALUE!</v>
          </cell>
          <cell r="N4314" t="e">
            <v>#VALUE!</v>
          </cell>
          <cell r="O4314" t="e">
            <v>#VALUE!</v>
          </cell>
          <cell r="P4314" t="e">
            <v>#VALUE!</v>
          </cell>
          <cell r="Q4314" t="str">
            <v/>
          </cell>
          <cell r="R4314">
            <v>0</v>
          </cell>
          <cell r="S4314" t="e">
            <v>#VALUE!</v>
          </cell>
          <cell r="T4314" t="e">
            <v>#VALUE!</v>
          </cell>
        </row>
        <row r="4315">
          <cell r="A4315" t="str">
            <v>MDGA010002F9</v>
          </cell>
          <cell r="B4315"/>
          <cell r="C4315" t="str">
            <v/>
          </cell>
          <cell r="D4315"/>
          <cell r="E4315"/>
          <cell r="F4315"/>
          <cell r="G4315"/>
          <cell r="H4315"/>
          <cell r="I4315">
            <v>1649.99</v>
          </cell>
          <cell r="J4315">
            <v>0.1</v>
          </cell>
          <cell r="K4315">
            <v>1484.991</v>
          </cell>
          <cell r="L4315"/>
          <cell r="M4315" t="e">
            <v>#VALUE!</v>
          </cell>
          <cell r="N4315" t="e">
            <v>#VALUE!</v>
          </cell>
          <cell r="O4315" t="e">
            <v>#VALUE!</v>
          </cell>
          <cell r="P4315" t="e">
            <v>#VALUE!</v>
          </cell>
          <cell r="Q4315" t="str">
            <v/>
          </cell>
          <cell r="R4315">
            <v>0</v>
          </cell>
          <cell r="S4315" t="e">
            <v>#VALUE!</v>
          </cell>
          <cell r="T4315" t="e">
            <v>#VALUE!</v>
          </cell>
        </row>
        <row r="4316">
          <cell r="A4316" t="str">
            <v>MDGA010002J5</v>
          </cell>
          <cell r="B4316"/>
          <cell r="C4316" t="str">
            <v/>
          </cell>
          <cell r="D4316"/>
          <cell r="E4316"/>
          <cell r="F4316"/>
          <cell r="G4316"/>
          <cell r="H4316"/>
          <cell r="I4316">
            <v>779.99</v>
          </cell>
          <cell r="J4316">
            <v>0.1</v>
          </cell>
          <cell r="K4316">
            <v>701.99099999999999</v>
          </cell>
          <cell r="L4316"/>
          <cell r="M4316" t="e">
            <v>#VALUE!</v>
          </cell>
          <cell r="N4316" t="e">
            <v>#VALUE!</v>
          </cell>
          <cell r="O4316" t="e">
            <v>#VALUE!</v>
          </cell>
          <cell r="P4316" t="e">
            <v>#VALUE!</v>
          </cell>
          <cell r="Q4316" t="str">
            <v/>
          </cell>
          <cell r="R4316">
            <v>0</v>
          </cell>
          <cell r="S4316" t="e">
            <v>#VALUE!</v>
          </cell>
          <cell r="T4316" t="e">
            <v>#VALUE!</v>
          </cell>
        </row>
        <row r="4317">
          <cell r="A4317" t="str">
            <v>MDGA01000109</v>
          </cell>
          <cell r="B4317"/>
          <cell r="C4317" t="str">
            <v/>
          </cell>
          <cell r="D4317"/>
          <cell r="E4317"/>
          <cell r="F4317"/>
          <cell r="G4317"/>
          <cell r="H4317"/>
          <cell r="I4317">
            <v>779.99</v>
          </cell>
          <cell r="J4317">
            <v>0.1</v>
          </cell>
          <cell r="K4317">
            <v>701.99099999999999</v>
          </cell>
          <cell r="L4317"/>
          <cell r="M4317" t="e">
            <v>#VALUE!</v>
          </cell>
          <cell r="N4317" t="e">
            <v>#VALUE!</v>
          </cell>
          <cell r="O4317" t="e">
            <v>#VALUE!</v>
          </cell>
          <cell r="P4317" t="e">
            <v>#VALUE!</v>
          </cell>
          <cell r="Q4317" t="str">
            <v/>
          </cell>
          <cell r="R4317">
            <v>0</v>
          </cell>
          <cell r="S4317" t="e">
            <v>#VALUE!</v>
          </cell>
          <cell r="T4317" t="e">
            <v>#VALUE!</v>
          </cell>
        </row>
        <row r="4318">
          <cell r="A4318" t="str">
            <v>MDGA01000173</v>
          </cell>
          <cell r="B4318"/>
          <cell r="C4318" t="str">
            <v/>
          </cell>
          <cell r="D4318"/>
          <cell r="E4318"/>
          <cell r="F4318"/>
          <cell r="G4318"/>
          <cell r="H4318"/>
          <cell r="I4318">
            <v>329.99</v>
          </cell>
          <cell r="J4318">
            <v>0.1</v>
          </cell>
          <cell r="K4318">
            <v>296.99099999999999</v>
          </cell>
          <cell r="L4318"/>
          <cell r="M4318" t="e">
            <v>#VALUE!</v>
          </cell>
          <cell r="N4318" t="e">
            <v>#VALUE!</v>
          </cell>
          <cell r="O4318" t="e">
            <v>#VALUE!</v>
          </cell>
          <cell r="P4318" t="e">
            <v>#VALUE!</v>
          </cell>
          <cell r="Q4318" t="str">
            <v/>
          </cell>
          <cell r="R4318">
            <v>0</v>
          </cell>
          <cell r="S4318" t="e">
            <v>#VALUE!</v>
          </cell>
          <cell r="T4318" t="e">
            <v>#VALUE!</v>
          </cell>
        </row>
        <row r="4319">
          <cell r="A4319" t="str">
            <v>MDGA010001F8</v>
          </cell>
          <cell r="B4319"/>
          <cell r="C4319" t="str">
            <v/>
          </cell>
          <cell r="D4319"/>
          <cell r="E4319"/>
          <cell r="F4319"/>
          <cell r="G4319"/>
          <cell r="H4319"/>
          <cell r="I4319">
            <v>329.99</v>
          </cell>
          <cell r="J4319">
            <v>0.1</v>
          </cell>
          <cell r="K4319">
            <v>296.99099999999999</v>
          </cell>
          <cell r="L4319"/>
          <cell r="M4319" t="e">
            <v>#VALUE!</v>
          </cell>
          <cell r="N4319" t="e">
            <v>#VALUE!</v>
          </cell>
          <cell r="O4319" t="e">
            <v>#VALUE!</v>
          </cell>
          <cell r="P4319" t="e">
            <v>#VALUE!</v>
          </cell>
          <cell r="Q4319" t="str">
            <v/>
          </cell>
          <cell r="R4319">
            <v>0</v>
          </cell>
          <cell r="S4319" t="e">
            <v>#VALUE!</v>
          </cell>
          <cell r="T4319" t="e">
            <v>#VALUE!</v>
          </cell>
        </row>
        <row r="4320">
          <cell r="A4320" t="str">
            <v>MDGA010001F9</v>
          </cell>
          <cell r="B4320"/>
          <cell r="C4320" t="str">
            <v/>
          </cell>
          <cell r="D4320"/>
          <cell r="E4320"/>
          <cell r="F4320"/>
          <cell r="G4320"/>
          <cell r="H4320"/>
          <cell r="I4320">
            <v>329.99</v>
          </cell>
          <cell r="J4320">
            <v>0.1</v>
          </cell>
          <cell r="K4320">
            <v>296.99099999999999</v>
          </cell>
          <cell r="L4320"/>
          <cell r="M4320" t="e">
            <v>#VALUE!</v>
          </cell>
          <cell r="N4320" t="e">
            <v>#VALUE!</v>
          </cell>
          <cell r="O4320" t="e">
            <v>#VALUE!</v>
          </cell>
          <cell r="P4320" t="e">
            <v>#VALUE!</v>
          </cell>
          <cell r="Q4320" t="str">
            <v/>
          </cell>
          <cell r="R4320">
            <v>0</v>
          </cell>
          <cell r="S4320" t="e">
            <v>#VALUE!</v>
          </cell>
          <cell r="T4320" t="e">
            <v>#VALUE!</v>
          </cell>
        </row>
        <row r="4321">
          <cell r="A4321" t="str">
            <v>MDGA0100026E</v>
          </cell>
          <cell r="B4321"/>
          <cell r="C4321" t="str">
            <v/>
          </cell>
          <cell r="D4321"/>
          <cell r="E4321"/>
          <cell r="F4321"/>
          <cell r="G4321"/>
          <cell r="H4321"/>
          <cell r="I4321">
            <v>329.99</v>
          </cell>
          <cell r="J4321">
            <v>0.1</v>
          </cell>
          <cell r="K4321">
            <v>296.99099999999999</v>
          </cell>
          <cell r="L4321"/>
          <cell r="M4321" t="e">
            <v>#VALUE!</v>
          </cell>
          <cell r="N4321" t="e">
            <v>#VALUE!</v>
          </cell>
          <cell r="O4321" t="e">
            <v>#VALUE!</v>
          </cell>
          <cell r="P4321" t="e">
            <v>#VALUE!</v>
          </cell>
          <cell r="Q4321" t="str">
            <v/>
          </cell>
          <cell r="R4321">
            <v>0</v>
          </cell>
          <cell r="S4321" t="e">
            <v>#VALUE!</v>
          </cell>
          <cell r="T4321" t="e">
            <v>#VALUE!</v>
          </cell>
        </row>
        <row r="4322">
          <cell r="A4322" t="str">
            <v>MDGA0100027G</v>
          </cell>
          <cell r="B4322"/>
          <cell r="C4322" t="str">
            <v/>
          </cell>
          <cell r="D4322"/>
          <cell r="E4322"/>
          <cell r="F4322"/>
          <cell r="G4322"/>
          <cell r="H4322"/>
          <cell r="I4322">
            <v>779.99</v>
          </cell>
          <cell r="J4322">
            <v>0.1</v>
          </cell>
          <cell r="K4322">
            <v>701.99099999999999</v>
          </cell>
          <cell r="L4322"/>
          <cell r="M4322" t="e">
            <v>#VALUE!</v>
          </cell>
          <cell r="N4322" t="e">
            <v>#VALUE!</v>
          </cell>
          <cell r="O4322" t="e">
            <v>#VALUE!</v>
          </cell>
          <cell r="P4322" t="e">
            <v>#VALUE!</v>
          </cell>
          <cell r="Q4322" t="str">
            <v/>
          </cell>
          <cell r="R4322">
            <v>0</v>
          </cell>
          <cell r="S4322" t="e">
            <v>#VALUE!</v>
          </cell>
          <cell r="T4322" t="e">
            <v>#VALUE!</v>
          </cell>
        </row>
        <row r="4323">
          <cell r="A4323" t="str">
            <v>MDGA010002F8</v>
          </cell>
          <cell r="B4323"/>
          <cell r="C4323" t="str">
            <v/>
          </cell>
          <cell r="D4323"/>
          <cell r="E4323"/>
          <cell r="F4323"/>
          <cell r="G4323"/>
          <cell r="H4323"/>
          <cell r="I4323">
            <v>779.99</v>
          </cell>
          <cell r="J4323">
            <v>0.1</v>
          </cell>
          <cell r="K4323">
            <v>701.99099999999999</v>
          </cell>
          <cell r="L4323"/>
          <cell r="M4323" t="e">
            <v>#VALUE!</v>
          </cell>
          <cell r="N4323" t="e">
            <v>#VALUE!</v>
          </cell>
          <cell r="O4323" t="e">
            <v>#VALUE!</v>
          </cell>
          <cell r="P4323" t="e">
            <v>#VALUE!</v>
          </cell>
          <cell r="Q4323" t="str">
            <v/>
          </cell>
          <cell r="R4323">
            <v>0</v>
          </cell>
          <cell r="S4323" t="e">
            <v>#VALUE!</v>
          </cell>
          <cell r="T4323" t="e">
            <v>#VALUE!</v>
          </cell>
        </row>
        <row r="4324">
          <cell r="A4324" t="str">
            <v>MDGA020002F9</v>
          </cell>
          <cell r="B4324"/>
          <cell r="C4324" t="str">
            <v/>
          </cell>
          <cell r="D4324"/>
          <cell r="E4324"/>
          <cell r="F4324"/>
          <cell r="G4324"/>
          <cell r="H4324"/>
          <cell r="I4324">
            <v>779.99</v>
          </cell>
          <cell r="J4324">
            <v>0.1</v>
          </cell>
          <cell r="K4324">
            <v>701.99099999999999</v>
          </cell>
          <cell r="L4324"/>
          <cell r="M4324" t="e">
            <v>#VALUE!</v>
          </cell>
          <cell r="N4324" t="e">
            <v>#VALUE!</v>
          </cell>
          <cell r="O4324" t="e">
            <v>#VALUE!</v>
          </cell>
          <cell r="P4324" t="e">
            <v>#VALUE!</v>
          </cell>
          <cell r="Q4324" t="str">
            <v/>
          </cell>
          <cell r="R4324">
            <v>0</v>
          </cell>
          <cell r="S4324" t="e">
            <v>#VALUE!</v>
          </cell>
          <cell r="T4324" t="e">
            <v>#VALUE!</v>
          </cell>
        </row>
        <row r="4325">
          <cell r="A4325" t="str">
            <v>MDGA0200055L</v>
          </cell>
          <cell r="B4325"/>
          <cell r="C4325" t="str">
            <v/>
          </cell>
          <cell r="D4325"/>
          <cell r="E4325"/>
          <cell r="F4325"/>
          <cell r="G4325"/>
          <cell r="H4325"/>
          <cell r="I4325">
            <v>1599.99</v>
          </cell>
          <cell r="J4325">
            <v>0.1</v>
          </cell>
          <cell r="K4325">
            <v>1439.991</v>
          </cell>
          <cell r="L4325"/>
          <cell r="M4325" t="e">
            <v>#VALUE!</v>
          </cell>
          <cell r="N4325" t="e">
            <v>#VALUE!</v>
          </cell>
          <cell r="O4325" t="e">
            <v>#VALUE!</v>
          </cell>
          <cell r="P4325" t="e">
            <v>#VALUE!</v>
          </cell>
          <cell r="Q4325" t="str">
            <v/>
          </cell>
          <cell r="R4325">
            <v>0</v>
          </cell>
          <cell r="S4325" t="e">
            <v>#VALUE!</v>
          </cell>
          <cell r="T4325" t="e">
            <v>#VALUE!</v>
          </cell>
        </row>
        <row r="4326">
          <cell r="A4326" t="str">
            <v>MDGA01000809</v>
          </cell>
          <cell r="B4326"/>
          <cell r="C4326" t="str">
            <v/>
          </cell>
          <cell r="D4326"/>
          <cell r="E4326"/>
          <cell r="F4326"/>
          <cell r="G4326"/>
          <cell r="H4326"/>
          <cell r="I4326">
            <v>1039.99</v>
          </cell>
          <cell r="J4326">
            <v>0.1</v>
          </cell>
          <cell r="K4326">
            <v>935.99099999999999</v>
          </cell>
          <cell r="L4326"/>
          <cell r="M4326" t="e">
            <v>#VALUE!</v>
          </cell>
          <cell r="N4326" t="e">
            <v>#VALUE!</v>
          </cell>
          <cell r="O4326" t="e">
            <v>#VALUE!</v>
          </cell>
          <cell r="P4326" t="e">
            <v>#VALUE!</v>
          </cell>
          <cell r="Q4326" t="str">
            <v/>
          </cell>
          <cell r="R4326">
            <v>0</v>
          </cell>
          <cell r="S4326" t="e">
            <v>#VALUE!</v>
          </cell>
          <cell r="T4326" t="e">
            <v>#VALUE!</v>
          </cell>
        </row>
        <row r="4327">
          <cell r="A4327" t="str">
            <v>MDGA0100086E</v>
          </cell>
          <cell r="B4327"/>
          <cell r="C4327" t="str">
            <v/>
          </cell>
          <cell r="D4327"/>
          <cell r="E4327"/>
          <cell r="F4327"/>
          <cell r="G4327"/>
          <cell r="H4327"/>
          <cell r="I4327">
            <v>1069.99</v>
          </cell>
          <cell r="J4327">
            <v>0.1</v>
          </cell>
          <cell r="K4327">
            <v>962.99099999999999</v>
          </cell>
          <cell r="L4327"/>
          <cell r="M4327" t="e">
            <v>#VALUE!</v>
          </cell>
          <cell r="N4327" t="e">
            <v>#VALUE!</v>
          </cell>
          <cell r="O4327" t="e">
            <v>#VALUE!</v>
          </cell>
          <cell r="P4327" t="e">
            <v>#VALUE!</v>
          </cell>
          <cell r="Q4327" t="str">
            <v/>
          </cell>
          <cell r="R4327">
            <v>0</v>
          </cell>
          <cell r="S4327" t="e">
            <v>#VALUE!</v>
          </cell>
          <cell r="T4327" t="e">
            <v>#VALUE!</v>
          </cell>
        </row>
        <row r="4328">
          <cell r="A4328" t="str">
            <v>MDGA0100087G</v>
          </cell>
          <cell r="B4328"/>
          <cell r="C4328" t="str">
            <v/>
          </cell>
          <cell r="D4328"/>
          <cell r="E4328"/>
          <cell r="F4328"/>
          <cell r="G4328"/>
          <cell r="H4328"/>
          <cell r="I4328">
            <v>1069.99</v>
          </cell>
          <cell r="J4328">
            <v>0.1</v>
          </cell>
          <cell r="K4328">
            <v>962.99099999999999</v>
          </cell>
          <cell r="L4328"/>
          <cell r="M4328" t="e">
            <v>#VALUE!</v>
          </cell>
          <cell r="N4328" t="e">
            <v>#VALUE!</v>
          </cell>
          <cell r="O4328" t="e">
            <v>#VALUE!</v>
          </cell>
          <cell r="P4328" t="e">
            <v>#VALUE!</v>
          </cell>
          <cell r="Q4328" t="str">
            <v/>
          </cell>
          <cell r="R4328">
            <v>0</v>
          </cell>
          <cell r="S4328" t="e">
            <v>#VALUE!</v>
          </cell>
          <cell r="T4328" t="e">
            <v>#VALUE!</v>
          </cell>
        </row>
        <row r="4329">
          <cell r="A4329" t="str">
            <v>MDGA0200016E</v>
          </cell>
          <cell r="B4329"/>
          <cell r="C4329" t="str">
            <v/>
          </cell>
          <cell r="D4329"/>
          <cell r="E4329"/>
          <cell r="F4329"/>
          <cell r="G4329"/>
          <cell r="H4329"/>
          <cell r="I4329">
            <v>1069.99</v>
          </cell>
          <cell r="J4329">
            <v>0.1</v>
          </cell>
          <cell r="K4329">
            <v>962.99099999999999</v>
          </cell>
          <cell r="L4329"/>
          <cell r="M4329" t="e">
            <v>#VALUE!</v>
          </cell>
          <cell r="N4329" t="e">
            <v>#VALUE!</v>
          </cell>
          <cell r="O4329" t="e">
            <v>#VALUE!</v>
          </cell>
          <cell r="P4329" t="e">
            <v>#VALUE!</v>
          </cell>
          <cell r="Q4329" t="str">
            <v/>
          </cell>
          <cell r="R4329">
            <v>0</v>
          </cell>
          <cell r="S4329" t="e">
            <v>#VALUE!</v>
          </cell>
          <cell r="T4329" t="e">
            <v>#VALUE!</v>
          </cell>
        </row>
        <row r="4330">
          <cell r="A4330" t="str">
            <v>MDGA02000109</v>
          </cell>
          <cell r="B4330"/>
          <cell r="C4330" t="str">
            <v/>
          </cell>
          <cell r="D4330"/>
          <cell r="E4330"/>
          <cell r="F4330"/>
          <cell r="G4330"/>
          <cell r="H4330"/>
          <cell r="I4330">
            <v>829.99</v>
          </cell>
          <cell r="J4330">
            <v>0.1</v>
          </cell>
          <cell r="K4330">
            <v>746.99099999999999</v>
          </cell>
          <cell r="L4330"/>
          <cell r="M4330" t="e">
            <v>#VALUE!</v>
          </cell>
          <cell r="N4330" t="e">
            <v>#VALUE!</v>
          </cell>
          <cell r="O4330" t="e">
            <v>#VALUE!</v>
          </cell>
          <cell r="P4330" t="e">
            <v>#VALUE!</v>
          </cell>
          <cell r="Q4330" t="str">
            <v/>
          </cell>
          <cell r="R4330">
            <v>0</v>
          </cell>
          <cell r="S4330" t="e">
            <v>#VALUE!</v>
          </cell>
          <cell r="T4330" t="e">
            <v>#VALUE!</v>
          </cell>
        </row>
        <row r="4331">
          <cell r="A4331" t="str">
            <v>MDGA0200017G</v>
          </cell>
          <cell r="B4331"/>
          <cell r="C4331" t="str">
            <v/>
          </cell>
          <cell r="D4331"/>
          <cell r="E4331"/>
          <cell r="F4331"/>
          <cell r="G4331"/>
          <cell r="H4331"/>
          <cell r="I4331">
            <v>829.99</v>
          </cell>
          <cell r="J4331">
            <v>0.1</v>
          </cell>
          <cell r="K4331">
            <v>746.99099999999999</v>
          </cell>
          <cell r="L4331"/>
          <cell r="M4331" t="e">
            <v>#VALUE!</v>
          </cell>
          <cell r="N4331" t="e">
            <v>#VALUE!</v>
          </cell>
          <cell r="O4331" t="e">
            <v>#VALUE!</v>
          </cell>
          <cell r="P4331" t="e">
            <v>#VALUE!</v>
          </cell>
          <cell r="Q4331" t="str">
            <v/>
          </cell>
          <cell r="R4331">
            <v>0</v>
          </cell>
          <cell r="S4331" t="e">
            <v>#VALUE!</v>
          </cell>
          <cell r="T4331" t="e">
            <v>#VALUE!</v>
          </cell>
        </row>
        <row r="4332">
          <cell r="A4332" t="str">
            <v>MDLA0200017K</v>
          </cell>
          <cell r="B4332"/>
          <cell r="C4332" t="str">
            <v/>
          </cell>
          <cell r="D4332"/>
          <cell r="E4332"/>
          <cell r="F4332"/>
          <cell r="G4332"/>
          <cell r="H4332"/>
          <cell r="I4332">
            <v>829.99</v>
          </cell>
          <cell r="J4332">
            <v>0.1</v>
          </cell>
          <cell r="K4332">
            <v>746.99099999999999</v>
          </cell>
          <cell r="L4332"/>
          <cell r="M4332" t="e">
            <v>#VALUE!</v>
          </cell>
          <cell r="N4332" t="e">
            <v>#VALUE!</v>
          </cell>
          <cell r="O4332" t="e">
            <v>#VALUE!</v>
          </cell>
          <cell r="P4332" t="e">
            <v>#VALUE!</v>
          </cell>
          <cell r="Q4332" t="str">
            <v/>
          </cell>
          <cell r="R4332">
            <v>0</v>
          </cell>
          <cell r="S4332" t="e">
            <v>#VALUE!</v>
          </cell>
          <cell r="T4332" t="e">
            <v>#VALUE!</v>
          </cell>
        </row>
        <row r="4333">
          <cell r="A4333" t="str">
            <v>MDGA020005J5</v>
          </cell>
          <cell r="B4333"/>
          <cell r="C4333" t="str">
            <v/>
          </cell>
          <cell r="D4333"/>
          <cell r="E4333"/>
          <cell r="F4333"/>
          <cell r="G4333"/>
          <cell r="H4333"/>
          <cell r="I4333">
            <v>529.99</v>
          </cell>
          <cell r="J4333">
            <v>0.1</v>
          </cell>
          <cell r="K4333">
            <v>476.99099999999999</v>
          </cell>
          <cell r="L4333"/>
          <cell r="M4333" t="e">
            <v>#VALUE!</v>
          </cell>
          <cell r="N4333" t="e">
            <v>#VALUE!</v>
          </cell>
          <cell r="O4333" t="e">
            <v>#VALUE!</v>
          </cell>
          <cell r="P4333" t="e">
            <v>#VALUE!</v>
          </cell>
          <cell r="Q4333" t="str">
            <v/>
          </cell>
          <cell r="R4333">
            <v>0</v>
          </cell>
          <cell r="S4333" t="e">
            <v>#VALUE!</v>
          </cell>
          <cell r="T4333" t="e">
            <v>#VALUE!</v>
          </cell>
        </row>
        <row r="4334">
          <cell r="A4334" t="str">
            <v>MDGA020008F9</v>
          </cell>
          <cell r="B4334"/>
          <cell r="C4334" t="str">
            <v/>
          </cell>
          <cell r="D4334"/>
          <cell r="E4334"/>
          <cell r="F4334"/>
          <cell r="G4334"/>
          <cell r="H4334"/>
          <cell r="I4334">
            <v>1039.99</v>
          </cell>
          <cell r="J4334">
            <v>0.1</v>
          </cell>
          <cell r="K4334">
            <v>935.99099999999999</v>
          </cell>
          <cell r="L4334"/>
          <cell r="M4334" t="e">
            <v>#VALUE!</v>
          </cell>
          <cell r="N4334" t="e">
            <v>#VALUE!</v>
          </cell>
          <cell r="O4334" t="e">
            <v>#VALUE!</v>
          </cell>
          <cell r="P4334" t="e">
            <v>#VALUE!</v>
          </cell>
          <cell r="Q4334" t="str">
            <v/>
          </cell>
          <cell r="R4334">
            <v>0</v>
          </cell>
          <cell r="S4334" t="e">
            <v>#VALUE!</v>
          </cell>
          <cell r="T4334" t="e">
            <v>#VALUE!</v>
          </cell>
        </row>
        <row r="4335">
          <cell r="A4335" t="str">
            <v>MDGA0400017K</v>
          </cell>
          <cell r="B4335"/>
          <cell r="C4335" t="str">
            <v/>
          </cell>
          <cell r="D4335"/>
          <cell r="E4335"/>
          <cell r="F4335"/>
          <cell r="G4335"/>
          <cell r="H4335"/>
          <cell r="I4335">
            <v>1649.99</v>
          </cell>
          <cell r="J4335">
            <v>0.1</v>
          </cell>
          <cell r="K4335">
            <v>1484.991</v>
          </cell>
          <cell r="L4335"/>
          <cell r="M4335" t="e">
            <v>#VALUE!</v>
          </cell>
          <cell r="N4335" t="e">
            <v>#VALUE!</v>
          </cell>
          <cell r="O4335" t="e">
            <v>#VALUE!</v>
          </cell>
          <cell r="P4335" t="e">
            <v>#VALUE!</v>
          </cell>
          <cell r="Q4335" t="str">
            <v/>
          </cell>
          <cell r="R4335">
            <v>0</v>
          </cell>
          <cell r="S4335" t="e">
            <v>#VALUE!</v>
          </cell>
          <cell r="T4335" t="e">
            <v>#VALUE!</v>
          </cell>
        </row>
        <row r="4336">
          <cell r="A4336" t="str">
            <v>MDGA0400036E</v>
          </cell>
          <cell r="B4336"/>
          <cell r="C4336" t="str">
            <v/>
          </cell>
          <cell r="D4336"/>
          <cell r="E4336"/>
          <cell r="F4336"/>
          <cell r="G4336"/>
          <cell r="H4336"/>
          <cell r="I4336">
            <v>1349.99</v>
          </cell>
          <cell r="J4336">
            <v>0.1</v>
          </cell>
          <cell r="K4336">
            <v>1214.991</v>
          </cell>
          <cell r="L4336"/>
          <cell r="M4336" t="e">
            <v>#VALUE!</v>
          </cell>
          <cell r="N4336" t="e">
            <v>#VALUE!</v>
          </cell>
          <cell r="O4336" t="e">
            <v>#VALUE!</v>
          </cell>
          <cell r="P4336" t="e">
            <v>#VALUE!</v>
          </cell>
          <cell r="Q4336" t="str">
            <v/>
          </cell>
          <cell r="R4336">
            <v>0</v>
          </cell>
          <cell r="S4336" t="e">
            <v>#VALUE!</v>
          </cell>
          <cell r="T4336" t="e">
            <v>#VALUE!</v>
          </cell>
        </row>
        <row r="4337">
          <cell r="A4337" t="str">
            <v>MDGA0400037G</v>
          </cell>
          <cell r="B4337"/>
          <cell r="C4337" t="str">
            <v/>
          </cell>
          <cell r="D4337"/>
          <cell r="E4337"/>
          <cell r="F4337"/>
          <cell r="G4337"/>
          <cell r="H4337"/>
          <cell r="I4337">
            <v>2429.9899999999998</v>
          </cell>
          <cell r="J4337">
            <v>0.1</v>
          </cell>
          <cell r="K4337">
            <v>2186.991</v>
          </cell>
          <cell r="L4337"/>
          <cell r="M4337" t="e">
            <v>#VALUE!</v>
          </cell>
          <cell r="N4337" t="e">
            <v>#VALUE!</v>
          </cell>
          <cell r="O4337" t="e">
            <v>#VALUE!</v>
          </cell>
          <cell r="P4337" t="e">
            <v>#VALUE!</v>
          </cell>
          <cell r="Q4337" t="str">
            <v/>
          </cell>
          <cell r="R4337">
            <v>0</v>
          </cell>
          <cell r="S4337" t="e">
            <v>#VALUE!</v>
          </cell>
          <cell r="T4337" t="e">
            <v>#VALUE!</v>
          </cell>
        </row>
        <row r="4338">
          <cell r="A4338" t="str">
            <v>MDGA0400035L</v>
          </cell>
          <cell r="B4338"/>
          <cell r="C4338" t="str">
            <v/>
          </cell>
          <cell r="D4338"/>
          <cell r="E4338"/>
          <cell r="F4338"/>
          <cell r="G4338"/>
          <cell r="H4338"/>
          <cell r="I4338">
            <v>2429.9899999999998</v>
          </cell>
          <cell r="J4338">
            <v>0.1</v>
          </cell>
          <cell r="K4338">
            <v>2186.991</v>
          </cell>
          <cell r="L4338"/>
          <cell r="M4338" t="e">
            <v>#VALUE!</v>
          </cell>
          <cell r="N4338" t="e">
            <v>#VALUE!</v>
          </cell>
          <cell r="O4338" t="e">
            <v>#VALUE!</v>
          </cell>
          <cell r="P4338" t="e">
            <v>#VALUE!</v>
          </cell>
          <cell r="Q4338" t="str">
            <v/>
          </cell>
          <cell r="R4338">
            <v>0</v>
          </cell>
          <cell r="S4338" t="e">
            <v>#VALUE!</v>
          </cell>
          <cell r="T4338" t="e">
            <v>#VALUE!</v>
          </cell>
        </row>
        <row r="4339">
          <cell r="A4339" t="str">
            <v>MDGA040003F8</v>
          </cell>
          <cell r="B4339"/>
          <cell r="C4339" t="str">
            <v/>
          </cell>
          <cell r="D4339"/>
          <cell r="E4339"/>
          <cell r="F4339"/>
          <cell r="G4339"/>
          <cell r="H4339"/>
          <cell r="I4339">
            <v>2429.9899999999998</v>
          </cell>
          <cell r="J4339">
            <v>0.1</v>
          </cell>
          <cell r="K4339">
            <v>2186.991</v>
          </cell>
          <cell r="L4339"/>
          <cell r="M4339" t="e">
            <v>#VALUE!</v>
          </cell>
          <cell r="N4339" t="e">
            <v>#VALUE!</v>
          </cell>
          <cell r="O4339" t="e">
            <v>#VALUE!</v>
          </cell>
          <cell r="P4339" t="e">
            <v>#VALUE!</v>
          </cell>
          <cell r="Q4339" t="str">
            <v/>
          </cell>
          <cell r="R4339">
            <v>0</v>
          </cell>
          <cell r="S4339" t="e">
            <v>#VALUE!</v>
          </cell>
          <cell r="T4339" t="e">
            <v>#VALUE!</v>
          </cell>
        </row>
        <row r="4340">
          <cell r="A4340" t="str">
            <v>MDGA040003F9</v>
          </cell>
          <cell r="B4340"/>
          <cell r="C4340" t="str">
            <v/>
          </cell>
          <cell r="D4340"/>
          <cell r="E4340"/>
          <cell r="F4340"/>
          <cell r="G4340"/>
          <cell r="H4340"/>
          <cell r="I4340">
            <v>2429.9899999999998</v>
          </cell>
          <cell r="J4340">
            <v>0.1</v>
          </cell>
          <cell r="K4340">
            <v>2186.991</v>
          </cell>
          <cell r="L4340"/>
          <cell r="M4340" t="e">
            <v>#VALUE!</v>
          </cell>
          <cell r="N4340" t="e">
            <v>#VALUE!</v>
          </cell>
          <cell r="O4340" t="e">
            <v>#VALUE!</v>
          </cell>
          <cell r="P4340" t="e">
            <v>#VALUE!</v>
          </cell>
          <cell r="Q4340" t="str">
            <v/>
          </cell>
          <cell r="R4340">
            <v>0</v>
          </cell>
          <cell r="S4340" t="e">
            <v>#VALUE!</v>
          </cell>
          <cell r="T4340" t="e">
            <v>#VALUE!</v>
          </cell>
        </row>
        <row r="4341">
          <cell r="A4341" t="str">
            <v>MDGA010007F8</v>
          </cell>
          <cell r="B4341"/>
          <cell r="C4341" t="str">
            <v/>
          </cell>
          <cell r="D4341"/>
          <cell r="E4341"/>
          <cell r="F4341"/>
          <cell r="G4341"/>
          <cell r="H4341"/>
          <cell r="I4341">
            <v>2429.9899999999998</v>
          </cell>
          <cell r="J4341">
            <v>0.1</v>
          </cell>
          <cell r="K4341">
            <v>2186.991</v>
          </cell>
          <cell r="L4341"/>
          <cell r="M4341" t="e">
            <v>#VALUE!</v>
          </cell>
          <cell r="N4341" t="e">
            <v>#VALUE!</v>
          </cell>
          <cell r="O4341" t="e">
            <v>#VALUE!</v>
          </cell>
          <cell r="P4341" t="e">
            <v>#VALUE!</v>
          </cell>
          <cell r="Q4341" t="str">
            <v/>
          </cell>
          <cell r="R4341">
            <v>0</v>
          </cell>
          <cell r="S4341" t="e">
            <v>#VALUE!</v>
          </cell>
          <cell r="T4341" t="e">
            <v>#VALUE!</v>
          </cell>
        </row>
        <row r="4342">
          <cell r="A4342" t="str">
            <v>MDGA0200025L</v>
          </cell>
          <cell r="B4342"/>
          <cell r="C4342" t="str">
            <v/>
          </cell>
          <cell r="D4342"/>
          <cell r="E4342"/>
          <cell r="F4342"/>
          <cell r="G4342"/>
          <cell r="H4342"/>
          <cell r="I4342">
            <v>529.99</v>
          </cell>
          <cell r="J4342">
            <v>0.1</v>
          </cell>
          <cell r="K4342">
            <v>476.99099999999999</v>
          </cell>
          <cell r="L4342"/>
          <cell r="M4342" t="e">
            <v>#VALUE!</v>
          </cell>
          <cell r="N4342" t="e">
            <v>#VALUE!</v>
          </cell>
          <cell r="O4342" t="e">
            <v>#VALUE!</v>
          </cell>
          <cell r="P4342" t="e">
            <v>#VALUE!</v>
          </cell>
          <cell r="Q4342" t="str">
            <v/>
          </cell>
          <cell r="R4342">
            <v>0</v>
          </cell>
          <cell r="S4342" t="e">
            <v>#VALUE!</v>
          </cell>
          <cell r="T4342" t="e">
            <v>#VALUE!</v>
          </cell>
        </row>
        <row r="4343">
          <cell r="A4343" t="str">
            <v>MDGA0200027K</v>
          </cell>
          <cell r="B4343"/>
          <cell r="C4343" t="str">
            <v/>
          </cell>
          <cell r="D4343"/>
          <cell r="E4343"/>
          <cell r="F4343"/>
          <cell r="G4343"/>
          <cell r="H4343"/>
          <cell r="I4343">
            <v>1599.99</v>
          </cell>
          <cell r="J4343">
            <v>0.1</v>
          </cell>
          <cell r="K4343">
            <v>1439.991</v>
          </cell>
          <cell r="L4343"/>
          <cell r="M4343" t="e">
            <v>#VALUE!</v>
          </cell>
          <cell r="N4343" t="e">
            <v>#VALUE!</v>
          </cell>
          <cell r="O4343" t="e">
            <v>#VALUE!</v>
          </cell>
          <cell r="P4343" t="e">
            <v>#VALUE!</v>
          </cell>
          <cell r="Q4343" t="str">
            <v/>
          </cell>
          <cell r="R4343">
            <v>0</v>
          </cell>
          <cell r="S4343" t="e">
            <v>#VALUE!</v>
          </cell>
          <cell r="T4343" t="e">
            <v>#VALUE!</v>
          </cell>
        </row>
        <row r="4344">
          <cell r="A4344" t="str">
            <v>11939B2E</v>
          </cell>
          <cell r="B4344"/>
          <cell r="C4344" t="str">
            <v/>
          </cell>
          <cell r="D4344"/>
          <cell r="E4344"/>
          <cell r="F4344"/>
          <cell r="G4344"/>
          <cell r="H4344"/>
          <cell r="I4344">
            <v>1599.99</v>
          </cell>
          <cell r="J4344">
            <v>0.1</v>
          </cell>
          <cell r="K4344">
            <v>1439.991</v>
          </cell>
          <cell r="L4344"/>
          <cell r="M4344" t="e">
            <v>#VALUE!</v>
          </cell>
          <cell r="N4344" t="e">
            <v>#VALUE!</v>
          </cell>
          <cell r="O4344" t="e">
            <v>#VALUE!</v>
          </cell>
          <cell r="P4344" t="e">
            <v>#VALUE!</v>
          </cell>
          <cell r="Q4344" t="str">
            <v/>
          </cell>
          <cell r="R4344">
            <v>0</v>
          </cell>
          <cell r="S4344" t="e">
            <v>#VALUE!</v>
          </cell>
          <cell r="T4344" t="e">
            <v>#VALUE!</v>
          </cell>
        </row>
        <row r="4345">
          <cell r="A4345" t="str">
            <v>11935Z1E</v>
          </cell>
          <cell r="B4345"/>
          <cell r="C4345" t="str">
            <v/>
          </cell>
          <cell r="D4345"/>
          <cell r="E4345"/>
          <cell r="F4345"/>
          <cell r="G4345"/>
          <cell r="H4345"/>
          <cell r="I4345">
            <v>1279.99</v>
          </cell>
          <cell r="J4345">
            <v>0.1</v>
          </cell>
          <cell r="K4345">
            <v>1151.991</v>
          </cell>
          <cell r="L4345"/>
          <cell r="M4345" t="e">
            <v>#VALUE!</v>
          </cell>
          <cell r="N4345" t="e">
            <v>#VALUE!</v>
          </cell>
          <cell r="O4345" t="e">
            <v>#VALUE!</v>
          </cell>
          <cell r="P4345" t="e">
            <v>#VALUE!</v>
          </cell>
          <cell r="Q4345" t="str">
            <v/>
          </cell>
          <cell r="R4345">
            <v>0</v>
          </cell>
          <cell r="S4345" t="e">
            <v>#VALUE!</v>
          </cell>
          <cell r="T4345" t="e">
            <v>#VALUE!</v>
          </cell>
        </row>
        <row r="4346">
          <cell r="A4346" t="str">
            <v>11936E2E</v>
          </cell>
          <cell r="B4346"/>
          <cell r="C4346" t="str">
            <v/>
          </cell>
          <cell r="D4346"/>
          <cell r="E4346"/>
          <cell r="F4346"/>
          <cell r="G4346"/>
          <cell r="H4346"/>
          <cell r="I4346">
            <v>1099.99</v>
          </cell>
          <cell r="J4346">
            <v>0.1</v>
          </cell>
          <cell r="K4346">
            <v>989.99099999999999</v>
          </cell>
          <cell r="L4346"/>
          <cell r="M4346" t="e">
            <v>#VALUE!</v>
          </cell>
          <cell r="N4346" t="e">
            <v>#VALUE!</v>
          </cell>
          <cell r="O4346" t="e">
            <v>#VALUE!</v>
          </cell>
          <cell r="P4346" t="e">
            <v>#VALUE!</v>
          </cell>
          <cell r="Q4346" t="str">
            <v/>
          </cell>
          <cell r="R4346">
            <v>0</v>
          </cell>
          <cell r="S4346" t="e">
            <v>#VALUE!</v>
          </cell>
          <cell r="T4346" t="e">
            <v>#VALUE!</v>
          </cell>
        </row>
        <row r="4347">
          <cell r="A4347" t="str">
            <v>1193771E2G</v>
          </cell>
          <cell r="B4347"/>
          <cell r="C4347" t="str">
            <v/>
          </cell>
          <cell r="D4347"/>
          <cell r="E4347"/>
          <cell r="F4347"/>
          <cell r="G4347"/>
          <cell r="H4347"/>
          <cell r="I4347">
            <v>1279.99</v>
          </cell>
          <cell r="J4347">
            <v>0.1</v>
          </cell>
          <cell r="K4347">
            <v>1151.991</v>
          </cell>
          <cell r="L4347"/>
          <cell r="M4347" t="e">
            <v>#VALUE!</v>
          </cell>
          <cell r="N4347" t="e">
            <v>#VALUE!</v>
          </cell>
          <cell r="O4347" t="e">
            <v>#VALUE!</v>
          </cell>
          <cell r="P4347" t="e">
            <v>#VALUE!</v>
          </cell>
          <cell r="Q4347" t="str">
            <v/>
          </cell>
          <cell r="R4347">
            <v>0</v>
          </cell>
          <cell r="S4347" t="e">
            <v>#VALUE!</v>
          </cell>
          <cell r="T4347" t="e">
            <v>#VALUE!</v>
          </cell>
        </row>
        <row r="4348">
          <cell r="A4348" t="str">
            <v>1193D81E2G</v>
          </cell>
          <cell r="B4348"/>
          <cell r="C4348" t="str">
            <v/>
          </cell>
          <cell r="D4348"/>
          <cell r="E4348"/>
          <cell r="F4348"/>
          <cell r="G4348"/>
          <cell r="H4348"/>
          <cell r="I4348">
            <v>1279.99</v>
          </cell>
          <cell r="J4348">
            <v>0.1</v>
          </cell>
          <cell r="K4348">
            <v>1151.991</v>
          </cell>
          <cell r="L4348"/>
          <cell r="M4348" t="e">
            <v>#VALUE!</v>
          </cell>
          <cell r="N4348" t="e">
            <v>#VALUE!</v>
          </cell>
          <cell r="O4348" t="e">
            <v>#VALUE!</v>
          </cell>
          <cell r="P4348" t="e">
            <v>#VALUE!</v>
          </cell>
          <cell r="Q4348" t="str">
            <v/>
          </cell>
          <cell r="R4348">
            <v>0</v>
          </cell>
          <cell r="S4348" t="e">
            <v>#VALUE!</v>
          </cell>
          <cell r="T4348" t="e">
            <v>#VALUE!</v>
          </cell>
        </row>
        <row r="4349">
          <cell r="A4349" t="str">
            <v>1193D82E2G</v>
          </cell>
          <cell r="B4349"/>
          <cell r="C4349" t="str">
            <v/>
          </cell>
          <cell r="D4349"/>
          <cell r="E4349"/>
          <cell r="F4349"/>
          <cell r="G4349"/>
          <cell r="H4349"/>
          <cell r="I4349">
            <v>1279.99</v>
          </cell>
          <cell r="J4349">
            <v>0.1</v>
          </cell>
          <cell r="K4349">
            <v>1151.991</v>
          </cell>
          <cell r="L4349"/>
          <cell r="M4349" t="e">
            <v>#VALUE!</v>
          </cell>
          <cell r="N4349" t="e">
            <v>#VALUE!</v>
          </cell>
          <cell r="O4349" t="e">
            <v>#VALUE!</v>
          </cell>
          <cell r="P4349" t="e">
            <v>#VALUE!</v>
          </cell>
          <cell r="Q4349" t="str">
            <v/>
          </cell>
          <cell r="R4349">
            <v>0</v>
          </cell>
          <cell r="S4349" t="e">
            <v>#VALUE!</v>
          </cell>
          <cell r="T4349" t="e">
            <v>#VALUE!</v>
          </cell>
        </row>
        <row r="4350">
          <cell r="A4350" t="str">
            <v>11938N1E2G</v>
          </cell>
          <cell r="B4350"/>
          <cell r="C4350" t="str">
            <v/>
          </cell>
          <cell r="D4350"/>
          <cell r="E4350"/>
          <cell r="F4350"/>
          <cell r="G4350"/>
          <cell r="H4350"/>
          <cell r="I4350">
            <v>1449.99</v>
          </cell>
          <cell r="J4350">
            <v>0.1</v>
          </cell>
          <cell r="K4350">
            <v>1304.991</v>
          </cell>
          <cell r="L4350"/>
          <cell r="M4350" t="e">
            <v>#VALUE!</v>
          </cell>
          <cell r="N4350" t="e">
            <v>#VALUE!</v>
          </cell>
          <cell r="O4350" t="e">
            <v>#VALUE!</v>
          </cell>
          <cell r="P4350" t="e">
            <v>#VALUE!</v>
          </cell>
          <cell r="Q4350" t="str">
            <v/>
          </cell>
          <cell r="R4350">
            <v>0</v>
          </cell>
          <cell r="S4350" t="e">
            <v>#VALUE!</v>
          </cell>
          <cell r="T4350" t="e">
            <v>#VALUE!</v>
          </cell>
        </row>
        <row r="4351">
          <cell r="A4351" t="str">
            <v>1193772G</v>
          </cell>
          <cell r="B4351"/>
          <cell r="C4351" t="str">
            <v/>
          </cell>
          <cell r="D4351"/>
          <cell r="E4351"/>
          <cell r="F4351"/>
          <cell r="G4351"/>
          <cell r="H4351"/>
          <cell r="I4351">
            <v>1279.99</v>
          </cell>
          <cell r="J4351">
            <v>0.1</v>
          </cell>
          <cell r="K4351">
            <v>1151.991</v>
          </cell>
          <cell r="L4351"/>
          <cell r="M4351" t="e">
            <v>#VALUE!</v>
          </cell>
          <cell r="N4351" t="e">
            <v>#VALUE!</v>
          </cell>
          <cell r="O4351" t="e">
            <v>#VALUE!</v>
          </cell>
          <cell r="P4351" t="e">
            <v>#VALUE!</v>
          </cell>
          <cell r="Q4351" t="str">
            <v/>
          </cell>
          <cell r="R4351">
            <v>0</v>
          </cell>
          <cell r="S4351" t="e">
            <v>#VALUE!</v>
          </cell>
          <cell r="T4351" t="e">
            <v>#VALUE!</v>
          </cell>
        </row>
        <row r="4352">
          <cell r="A4352" t="str">
            <v>11936E2G</v>
          </cell>
          <cell r="B4352"/>
          <cell r="C4352" t="str">
            <v/>
          </cell>
          <cell r="D4352"/>
          <cell r="E4352"/>
          <cell r="F4352"/>
          <cell r="G4352"/>
          <cell r="H4352"/>
          <cell r="I4352">
            <v>1099.99</v>
          </cell>
          <cell r="J4352">
            <v>0.1</v>
          </cell>
          <cell r="K4352">
            <v>989.99099999999999</v>
          </cell>
          <cell r="L4352"/>
          <cell r="M4352" t="e">
            <v>#VALUE!</v>
          </cell>
          <cell r="N4352" t="e">
            <v>#VALUE!</v>
          </cell>
          <cell r="O4352" t="e">
            <v>#VALUE!</v>
          </cell>
          <cell r="P4352" t="e">
            <v>#VALUE!</v>
          </cell>
          <cell r="Q4352" t="str">
            <v/>
          </cell>
          <cell r="R4352">
            <v>0</v>
          </cell>
          <cell r="S4352" t="e">
            <v>#VALUE!</v>
          </cell>
          <cell r="T4352" t="e">
            <v>#VALUE!</v>
          </cell>
        </row>
        <row r="4353">
          <cell r="A4353" t="str">
            <v>11937K1E</v>
          </cell>
          <cell r="B4353"/>
          <cell r="C4353" t="str">
            <v/>
          </cell>
          <cell r="D4353"/>
          <cell r="E4353"/>
          <cell r="F4353"/>
          <cell r="G4353"/>
          <cell r="H4353"/>
          <cell r="I4353">
            <v>1099.99</v>
          </cell>
          <cell r="J4353">
            <v>0.1</v>
          </cell>
          <cell r="K4353">
            <v>989.99099999999999</v>
          </cell>
          <cell r="L4353"/>
          <cell r="M4353" t="e">
            <v>#VALUE!</v>
          </cell>
          <cell r="N4353" t="e">
            <v>#VALUE!</v>
          </cell>
          <cell r="O4353" t="e">
            <v>#VALUE!</v>
          </cell>
          <cell r="P4353" t="e">
            <v>#VALUE!</v>
          </cell>
          <cell r="Q4353" t="str">
            <v/>
          </cell>
          <cell r="R4353">
            <v>0</v>
          </cell>
          <cell r="S4353" t="e">
            <v>#VALUE!</v>
          </cell>
          <cell r="T4353" t="e">
            <v>#VALUE!</v>
          </cell>
        </row>
        <row r="4354">
          <cell r="A4354" t="str">
            <v>11936E2E2G</v>
          </cell>
          <cell r="B4354"/>
          <cell r="C4354" t="str">
            <v/>
          </cell>
          <cell r="D4354"/>
          <cell r="E4354"/>
          <cell r="F4354"/>
          <cell r="G4354"/>
          <cell r="H4354"/>
          <cell r="I4354">
            <v>1099.99</v>
          </cell>
          <cell r="J4354">
            <v>0.1</v>
          </cell>
          <cell r="K4354">
            <v>989.99099999999999</v>
          </cell>
          <cell r="L4354"/>
          <cell r="M4354" t="e">
            <v>#VALUE!</v>
          </cell>
          <cell r="N4354" t="e">
            <v>#VALUE!</v>
          </cell>
          <cell r="O4354" t="e">
            <v>#VALUE!</v>
          </cell>
          <cell r="P4354" t="e">
            <v>#VALUE!</v>
          </cell>
          <cell r="Q4354" t="str">
            <v/>
          </cell>
          <cell r="R4354">
            <v>0</v>
          </cell>
          <cell r="S4354" t="e">
            <v>#VALUE!</v>
          </cell>
          <cell r="T4354" t="e">
            <v>#VALUE!</v>
          </cell>
        </row>
        <row r="4355">
          <cell r="A4355" t="str">
            <v>119377</v>
          </cell>
          <cell r="B4355"/>
          <cell r="C4355" t="str">
            <v/>
          </cell>
          <cell r="D4355"/>
          <cell r="E4355"/>
          <cell r="F4355"/>
          <cell r="G4355"/>
          <cell r="H4355"/>
          <cell r="I4355">
            <v>1449.99</v>
          </cell>
          <cell r="J4355">
            <v>0.1</v>
          </cell>
          <cell r="K4355">
            <v>1304.991</v>
          </cell>
          <cell r="L4355"/>
          <cell r="M4355" t="e">
            <v>#VALUE!</v>
          </cell>
          <cell r="N4355" t="e">
            <v>#VALUE!</v>
          </cell>
          <cell r="O4355" t="e">
            <v>#VALUE!</v>
          </cell>
          <cell r="P4355" t="e">
            <v>#VALUE!</v>
          </cell>
          <cell r="Q4355" t="str">
            <v/>
          </cell>
          <cell r="R4355">
            <v>0</v>
          </cell>
          <cell r="S4355" t="e">
            <v>#VALUE!</v>
          </cell>
          <cell r="T4355" t="e">
            <v>#VALUE!</v>
          </cell>
        </row>
        <row r="4356">
          <cell r="A4356" t="str">
            <v>1193772E</v>
          </cell>
          <cell r="B4356"/>
          <cell r="C4356" t="str">
            <v/>
          </cell>
          <cell r="D4356"/>
          <cell r="E4356"/>
          <cell r="F4356"/>
          <cell r="G4356"/>
          <cell r="H4356"/>
          <cell r="I4356">
            <v>959.99</v>
          </cell>
          <cell r="J4356">
            <v>0.1</v>
          </cell>
          <cell r="K4356">
            <v>863.99099999999999</v>
          </cell>
          <cell r="L4356"/>
          <cell r="M4356" t="e">
            <v>#VALUE!</v>
          </cell>
          <cell r="N4356" t="e">
            <v>#VALUE!</v>
          </cell>
          <cell r="O4356" t="e">
            <v>#VALUE!</v>
          </cell>
          <cell r="P4356" t="e">
            <v>#VALUE!</v>
          </cell>
          <cell r="Q4356" t="str">
            <v/>
          </cell>
          <cell r="R4356">
            <v>0</v>
          </cell>
          <cell r="S4356" t="e">
            <v>#VALUE!</v>
          </cell>
          <cell r="T4356" t="e">
            <v>#VALUE!</v>
          </cell>
        </row>
        <row r="4357">
          <cell r="A4357" t="str">
            <v>11939B1E</v>
          </cell>
          <cell r="B4357"/>
          <cell r="C4357" t="str">
            <v/>
          </cell>
          <cell r="D4357"/>
          <cell r="E4357"/>
          <cell r="F4357"/>
          <cell r="G4357"/>
          <cell r="H4357"/>
          <cell r="I4357">
            <v>1279.99</v>
          </cell>
          <cell r="J4357">
            <v>0.1</v>
          </cell>
          <cell r="K4357">
            <v>1151.991</v>
          </cell>
          <cell r="L4357"/>
          <cell r="M4357" t="e">
            <v>#VALUE!</v>
          </cell>
          <cell r="N4357" t="e">
            <v>#VALUE!</v>
          </cell>
          <cell r="O4357" t="e">
            <v>#VALUE!</v>
          </cell>
          <cell r="P4357" t="e">
            <v>#VALUE!</v>
          </cell>
          <cell r="Q4357" t="str">
            <v/>
          </cell>
          <cell r="R4357">
            <v>0</v>
          </cell>
          <cell r="S4357" t="e">
            <v>#VALUE!</v>
          </cell>
          <cell r="T4357" t="e">
            <v>#VALUE!</v>
          </cell>
        </row>
        <row r="4358">
          <cell r="A4358" t="str">
            <v>11938N2E</v>
          </cell>
          <cell r="B4358"/>
          <cell r="C4358" t="str">
            <v/>
          </cell>
          <cell r="D4358"/>
          <cell r="E4358"/>
          <cell r="F4358"/>
          <cell r="G4358"/>
          <cell r="H4358"/>
          <cell r="I4358">
            <v>1099.99</v>
          </cell>
          <cell r="J4358">
            <v>0.1</v>
          </cell>
          <cell r="K4358">
            <v>989.99099999999999</v>
          </cell>
          <cell r="L4358"/>
          <cell r="M4358" t="e">
            <v>#VALUE!</v>
          </cell>
          <cell r="N4358" t="e">
            <v>#VALUE!</v>
          </cell>
          <cell r="O4358" t="e">
            <v>#VALUE!</v>
          </cell>
          <cell r="P4358" t="e">
            <v>#VALUE!</v>
          </cell>
          <cell r="Q4358" t="str">
            <v/>
          </cell>
          <cell r="R4358">
            <v>0</v>
          </cell>
          <cell r="S4358" t="e">
            <v>#VALUE!</v>
          </cell>
          <cell r="T4358" t="e">
            <v>#VALUE!</v>
          </cell>
        </row>
        <row r="4359">
          <cell r="A4359" t="str">
            <v>11937K</v>
          </cell>
          <cell r="B4359"/>
          <cell r="C4359" t="str">
            <v/>
          </cell>
          <cell r="D4359"/>
          <cell r="E4359"/>
          <cell r="F4359"/>
          <cell r="G4359"/>
          <cell r="H4359"/>
          <cell r="I4359">
            <v>1279.99</v>
          </cell>
          <cell r="J4359">
            <v>0.1</v>
          </cell>
          <cell r="K4359">
            <v>1151.991</v>
          </cell>
          <cell r="L4359"/>
          <cell r="M4359" t="e">
            <v>#VALUE!</v>
          </cell>
          <cell r="N4359" t="e">
            <v>#VALUE!</v>
          </cell>
          <cell r="O4359" t="e">
            <v>#VALUE!</v>
          </cell>
          <cell r="P4359" t="e">
            <v>#VALUE!</v>
          </cell>
          <cell r="Q4359" t="str">
            <v/>
          </cell>
          <cell r="R4359">
            <v>0</v>
          </cell>
          <cell r="S4359" t="e">
            <v>#VALUE!</v>
          </cell>
          <cell r="T4359" t="e">
            <v>#VALUE!</v>
          </cell>
        </row>
        <row r="4360">
          <cell r="A4360" t="str">
            <v>11938N</v>
          </cell>
          <cell r="B4360"/>
          <cell r="C4360" t="str">
            <v/>
          </cell>
          <cell r="D4360"/>
          <cell r="E4360"/>
          <cell r="F4360"/>
          <cell r="G4360"/>
          <cell r="H4360"/>
          <cell r="I4360">
            <v>959.99</v>
          </cell>
          <cell r="J4360">
            <v>0.1</v>
          </cell>
          <cell r="K4360">
            <v>863.99099999999999</v>
          </cell>
          <cell r="L4360"/>
          <cell r="M4360" t="e">
            <v>#VALUE!</v>
          </cell>
          <cell r="N4360" t="e">
            <v>#VALUE!</v>
          </cell>
          <cell r="O4360" t="e">
            <v>#VALUE!</v>
          </cell>
          <cell r="P4360" t="e">
            <v>#VALUE!</v>
          </cell>
          <cell r="Q4360" t="str">
            <v/>
          </cell>
          <cell r="R4360">
            <v>0</v>
          </cell>
          <cell r="S4360" t="e">
            <v>#VALUE!</v>
          </cell>
          <cell r="T4360" t="e">
            <v>#VALUE!</v>
          </cell>
        </row>
        <row r="4361">
          <cell r="A4361" t="str">
            <v>11935Z1E2G</v>
          </cell>
          <cell r="B4361"/>
          <cell r="C4361" t="str">
            <v/>
          </cell>
          <cell r="D4361"/>
          <cell r="E4361"/>
          <cell r="F4361"/>
          <cell r="G4361"/>
          <cell r="H4361"/>
          <cell r="I4361">
            <v>959.99</v>
          </cell>
          <cell r="J4361">
            <v>0.1</v>
          </cell>
          <cell r="K4361">
            <v>863.99099999999999</v>
          </cell>
          <cell r="L4361"/>
          <cell r="M4361" t="e">
            <v>#VALUE!</v>
          </cell>
          <cell r="N4361" t="e">
            <v>#VALUE!</v>
          </cell>
          <cell r="O4361" t="e">
            <v>#VALUE!</v>
          </cell>
          <cell r="P4361" t="e">
            <v>#VALUE!</v>
          </cell>
          <cell r="Q4361" t="str">
            <v/>
          </cell>
          <cell r="R4361">
            <v>0</v>
          </cell>
          <cell r="S4361" t="e">
            <v>#VALUE!</v>
          </cell>
          <cell r="T4361" t="e">
            <v>#VALUE!</v>
          </cell>
        </row>
        <row r="4362">
          <cell r="A4362" t="str">
            <v>11935Z4G</v>
          </cell>
          <cell r="B4362"/>
          <cell r="C4362" t="str">
            <v/>
          </cell>
          <cell r="D4362"/>
          <cell r="E4362"/>
          <cell r="F4362"/>
          <cell r="G4362"/>
          <cell r="H4362"/>
          <cell r="I4362">
            <v>1279.99</v>
          </cell>
          <cell r="J4362">
            <v>0.1</v>
          </cell>
          <cell r="K4362">
            <v>1151.991</v>
          </cell>
          <cell r="L4362"/>
          <cell r="M4362" t="e">
            <v>#VALUE!</v>
          </cell>
          <cell r="N4362" t="e">
            <v>#VALUE!</v>
          </cell>
          <cell r="O4362" t="e">
            <v>#VALUE!</v>
          </cell>
          <cell r="P4362" t="e">
            <v>#VALUE!</v>
          </cell>
          <cell r="Q4362" t="str">
            <v/>
          </cell>
          <cell r="R4362">
            <v>0</v>
          </cell>
          <cell r="S4362" t="e">
            <v>#VALUE!</v>
          </cell>
          <cell r="T4362" t="e">
            <v>#VALUE!</v>
          </cell>
        </row>
        <row r="4363">
          <cell r="A4363" t="str">
            <v>1193091E2G</v>
          </cell>
          <cell r="B4363"/>
          <cell r="C4363" t="str">
            <v/>
          </cell>
          <cell r="D4363"/>
          <cell r="E4363"/>
          <cell r="F4363"/>
          <cell r="G4363"/>
          <cell r="H4363"/>
          <cell r="I4363">
            <v>1199.99</v>
          </cell>
          <cell r="J4363">
            <v>0.1</v>
          </cell>
          <cell r="K4363">
            <v>1079.991</v>
          </cell>
          <cell r="L4363"/>
          <cell r="M4363" t="e">
            <v>#VALUE!</v>
          </cell>
          <cell r="N4363" t="e">
            <v>#VALUE!</v>
          </cell>
          <cell r="O4363" t="e">
            <v>#VALUE!</v>
          </cell>
          <cell r="P4363" t="e">
            <v>#VALUE!</v>
          </cell>
          <cell r="Q4363" t="str">
            <v/>
          </cell>
          <cell r="R4363">
            <v>0</v>
          </cell>
          <cell r="S4363" t="e">
            <v>#VALUE!</v>
          </cell>
          <cell r="T4363" t="e">
            <v>#VALUE!</v>
          </cell>
        </row>
        <row r="4364">
          <cell r="A4364" t="str">
            <v>11936E</v>
          </cell>
          <cell r="B4364"/>
          <cell r="C4364" t="str">
            <v/>
          </cell>
          <cell r="D4364"/>
          <cell r="E4364"/>
          <cell r="F4364"/>
          <cell r="G4364"/>
          <cell r="H4364"/>
          <cell r="I4364">
            <v>1279.99</v>
          </cell>
          <cell r="J4364">
            <v>0.1</v>
          </cell>
          <cell r="K4364">
            <v>1151.991</v>
          </cell>
          <cell r="L4364"/>
          <cell r="M4364" t="e">
            <v>#VALUE!</v>
          </cell>
          <cell r="N4364" t="e">
            <v>#VALUE!</v>
          </cell>
          <cell r="O4364" t="e">
            <v>#VALUE!</v>
          </cell>
          <cell r="P4364" t="e">
            <v>#VALUE!</v>
          </cell>
          <cell r="Q4364" t="str">
            <v/>
          </cell>
          <cell r="R4364">
            <v>0</v>
          </cell>
          <cell r="S4364" t="e">
            <v>#VALUE!</v>
          </cell>
          <cell r="T4364" t="e">
            <v>#VALUE!</v>
          </cell>
        </row>
        <row r="4365">
          <cell r="A4365" t="str">
            <v>11936E1E4G</v>
          </cell>
          <cell r="B4365"/>
          <cell r="C4365" t="str">
            <v/>
          </cell>
          <cell r="D4365"/>
          <cell r="E4365"/>
          <cell r="F4365"/>
          <cell r="G4365"/>
          <cell r="H4365"/>
          <cell r="I4365">
            <v>959.99</v>
          </cell>
          <cell r="J4365">
            <v>0.1</v>
          </cell>
          <cell r="K4365">
            <v>863.99099999999999</v>
          </cell>
          <cell r="L4365"/>
          <cell r="M4365" t="e">
            <v>#VALUE!</v>
          </cell>
          <cell r="N4365" t="e">
            <v>#VALUE!</v>
          </cell>
          <cell r="O4365" t="e">
            <v>#VALUE!</v>
          </cell>
          <cell r="P4365" t="e">
            <v>#VALUE!</v>
          </cell>
          <cell r="Q4365" t="str">
            <v/>
          </cell>
          <cell r="R4365">
            <v>0</v>
          </cell>
          <cell r="S4365" t="e">
            <v>#VALUE!</v>
          </cell>
          <cell r="T4365" t="e">
            <v>#VALUE!</v>
          </cell>
        </row>
        <row r="4366">
          <cell r="A4366" t="str">
            <v>11935Z</v>
          </cell>
          <cell r="B4366"/>
          <cell r="C4366" t="str">
            <v/>
          </cell>
          <cell r="D4366"/>
          <cell r="E4366"/>
          <cell r="F4366"/>
          <cell r="G4366"/>
          <cell r="H4366"/>
          <cell r="I4366">
            <v>1399.99</v>
          </cell>
          <cell r="J4366">
            <v>0.1</v>
          </cell>
          <cell r="K4366">
            <v>1259.991</v>
          </cell>
          <cell r="L4366"/>
          <cell r="M4366" t="e">
            <v>#VALUE!</v>
          </cell>
          <cell r="N4366" t="e">
            <v>#VALUE!</v>
          </cell>
          <cell r="O4366" t="e">
            <v>#VALUE!</v>
          </cell>
          <cell r="P4366" t="e">
            <v>#VALUE!</v>
          </cell>
          <cell r="Q4366" t="str">
            <v/>
          </cell>
          <cell r="R4366">
            <v>0</v>
          </cell>
          <cell r="S4366" t="e">
            <v>#VALUE!</v>
          </cell>
          <cell r="T4366" t="e">
            <v>#VALUE!</v>
          </cell>
        </row>
        <row r="4367">
          <cell r="A4367" t="str">
            <v>11935Z1E4G</v>
          </cell>
          <cell r="B4367"/>
          <cell r="C4367" t="str">
            <v/>
          </cell>
          <cell r="D4367"/>
          <cell r="E4367"/>
          <cell r="F4367"/>
          <cell r="G4367"/>
          <cell r="H4367"/>
          <cell r="I4367">
            <v>959.99</v>
          </cell>
          <cell r="J4367">
            <v>0.1</v>
          </cell>
          <cell r="K4367">
            <v>863.99099999999999</v>
          </cell>
          <cell r="L4367"/>
          <cell r="M4367" t="e">
            <v>#VALUE!</v>
          </cell>
          <cell r="N4367" t="e">
            <v>#VALUE!</v>
          </cell>
          <cell r="O4367" t="e">
            <v>#VALUE!</v>
          </cell>
          <cell r="P4367" t="e">
            <v>#VALUE!</v>
          </cell>
          <cell r="Q4367" t="str">
            <v/>
          </cell>
          <cell r="R4367">
            <v>0</v>
          </cell>
          <cell r="S4367" t="e">
            <v>#VALUE!</v>
          </cell>
          <cell r="T4367" t="e">
            <v>#VALUE!</v>
          </cell>
        </row>
        <row r="4368">
          <cell r="A4368" t="str">
            <v>11935Z3E4G</v>
          </cell>
          <cell r="B4368"/>
          <cell r="C4368" t="str">
            <v/>
          </cell>
          <cell r="D4368"/>
          <cell r="E4368"/>
          <cell r="F4368"/>
          <cell r="G4368"/>
          <cell r="H4368"/>
          <cell r="I4368">
            <v>1399.99</v>
          </cell>
          <cell r="J4368">
            <v>0.1</v>
          </cell>
          <cell r="K4368">
            <v>1259.991</v>
          </cell>
          <cell r="L4368"/>
          <cell r="M4368" t="e">
            <v>#VALUE!</v>
          </cell>
          <cell r="N4368" t="e">
            <v>#VALUE!</v>
          </cell>
          <cell r="O4368" t="e">
            <v>#VALUE!</v>
          </cell>
          <cell r="P4368" t="e">
            <v>#VALUE!</v>
          </cell>
          <cell r="Q4368" t="str">
            <v/>
          </cell>
          <cell r="R4368">
            <v>0</v>
          </cell>
          <cell r="S4368" t="e">
            <v>#VALUE!</v>
          </cell>
          <cell r="T4368" t="e">
            <v>#VALUE!</v>
          </cell>
        </row>
        <row r="4369">
          <cell r="A4369" t="str">
            <v>1193732E2G</v>
          </cell>
          <cell r="B4369"/>
          <cell r="C4369" t="str">
            <v/>
          </cell>
          <cell r="D4369"/>
          <cell r="E4369"/>
          <cell r="F4369"/>
          <cell r="G4369"/>
          <cell r="H4369"/>
          <cell r="I4369">
            <v>1649.99</v>
          </cell>
          <cell r="J4369">
            <v>0.1</v>
          </cell>
          <cell r="K4369">
            <v>1484.991</v>
          </cell>
          <cell r="L4369"/>
          <cell r="M4369" t="e">
            <v>#VALUE!</v>
          </cell>
          <cell r="N4369" t="e">
            <v>#VALUE!</v>
          </cell>
          <cell r="O4369" t="e">
            <v>#VALUE!</v>
          </cell>
          <cell r="P4369" t="e">
            <v>#VALUE!</v>
          </cell>
          <cell r="Q4369" t="str">
            <v/>
          </cell>
          <cell r="R4369">
            <v>0</v>
          </cell>
          <cell r="S4369" t="e">
            <v>#VALUE!</v>
          </cell>
          <cell r="T4369" t="e">
            <v>#VALUE!</v>
          </cell>
        </row>
        <row r="4370">
          <cell r="A4370" t="str">
            <v>11935Z3E</v>
          </cell>
          <cell r="B4370"/>
          <cell r="C4370" t="str">
            <v/>
          </cell>
          <cell r="D4370"/>
          <cell r="E4370"/>
          <cell r="F4370"/>
          <cell r="G4370"/>
          <cell r="H4370"/>
          <cell r="I4370">
            <v>1449.99</v>
          </cell>
          <cell r="J4370">
            <v>0.1</v>
          </cell>
          <cell r="K4370">
            <v>1304.991</v>
          </cell>
          <cell r="L4370"/>
          <cell r="M4370" t="e">
            <v>#VALUE!</v>
          </cell>
          <cell r="N4370" t="e">
            <v>#VALUE!</v>
          </cell>
          <cell r="O4370" t="e">
            <v>#VALUE!</v>
          </cell>
          <cell r="P4370" t="e">
            <v>#VALUE!</v>
          </cell>
          <cell r="Q4370" t="str">
            <v/>
          </cell>
          <cell r="R4370">
            <v>0</v>
          </cell>
          <cell r="S4370" t="e">
            <v>#VALUE!</v>
          </cell>
          <cell r="T4370" t="e">
            <v>#VALUE!</v>
          </cell>
        </row>
        <row r="4371">
          <cell r="A4371" t="str">
            <v>1193D81E</v>
          </cell>
          <cell r="B4371"/>
          <cell r="C4371" t="str">
            <v/>
          </cell>
          <cell r="D4371"/>
          <cell r="E4371"/>
          <cell r="F4371"/>
          <cell r="G4371"/>
          <cell r="H4371"/>
          <cell r="I4371">
            <v>1449.99</v>
          </cell>
          <cell r="J4371">
            <v>0.1</v>
          </cell>
          <cell r="K4371">
            <v>1304.991</v>
          </cell>
          <cell r="L4371"/>
          <cell r="M4371" t="e">
            <v>#VALUE!</v>
          </cell>
          <cell r="N4371" t="e">
            <v>#VALUE!</v>
          </cell>
          <cell r="O4371" t="e">
            <v>#VALUE!</v>
          </cell>
          <cell r="P4371" t="e">
            <v>#VALUE!</v>
          </cell>
          <cell r="Q4371" t="str">
            <v/>
          </cell>
          <cell r="R4371">
            <v>0</v>
          </cell>
          <cell r="S4371" t="e">
            <v>#VALUE!</v>
          </cell>
          <cell r="T4371" t="e">
            <v>#VALUE!</v>
          </cell>
        </row>
        <row r="4372">
          <cell r="A4372" t="str">
            <v>11939B2E2G</v>
          </cell>
          <cell r="B4372"/>
          <cell r="C4372" t="str">
            <v/>
          </cell>
          <cell r="D4372"/>
          <cell r="E4372"/>
          <cell r="F4372"/>
          <cell r="G4372"/>
          <cell r="H4372"/>
          <cell r="I4372">
            <v>1099.99</v>
          </cell>
          <cell r="J4372">
            <v>0.1</v>
          </cell>
          <cell r="K4372">
            <v>989.99099999999999</v>
          </cell>
          <cell r="L4372"/>
          <cell r="M4372" t="e">
            <v>#VALUE!</v>
          </cell>
          <cell r="N4372" t="e">
            <v>#VALUE!</v>
          </cell>
          <cell r="O4372" t="e">
            <v>#VALUE!</v>
          </cell>
          <cell r="P4372" t="e">
            <v>#VALUE!</v>
          </cell>
          <cell r="Q4372" t="str">
            <v/>
          </cell>
          <cell r="R4372">
            <v>0</v>
          </cell>
          <cell r="S4372" t="e">
            <v>#VALUE!</v>
          </cell>
          <cell r="T4372" t="e">
            <v>#VALUE!</v>
          </cell>
        </row>
        <row r="4373">
          <cell r="A4373" t="str">
            <v>1193731E</v>
          </cell>
          <cell r="B4373"/>
          <cell r="C4373" t="str">
            <v/>
          </cell>
          <cell r="D4373"/>
          <cell r="E4373"/>
          <cell r="F4373"/>
          <cell r="G4373"/>
          <cell r="H4373"/>
          <cell r="I4373">
            <v>1449.99</v>
          </cell>
          <cell r="J4373">
            <v>0.1</v>
          </cell>
          <cell r="K4373">
            <v>1304.991</v>
          </cell>
          <cell r="L4373"/>
          <cell r="M4373" t="e">
            <v>#VALUE!</v>
          </cell>
          <cell r="N4373" t="e">
            <v>#VALUE!</v>
          </cell>
          <cell r="O4373" t="e">
            <v>#VALUE!</v>
          </cell>
          <cell r="P4373" t="e">
            <v>#VALUE!</v>
          </cell>
          <cell r="Q4373" t="str">
            <v/>
          </cell>
          <cell r="R4373">
            <v>0</v>
          </cell>
          <cell r="S4373" t="e">
            <v>#VALUE!</v>
          </cell>
          <cell r="T4373" t="e">
            <v>#VALUE!</v>
          </cell>
        </row>
        <row r="4374">
          <cell r="A4374" t="str">
            <v>11936E4G</v>
          </cell>
          <cell r="B4374"/>
          <cell r="C4374" t="str">
            <v/>
          </cell>
          <cell r="D4374"/>
          <cell r="E4374"/>
          <cell r="F4374"/>
          <cell r="G4374"/>
          <cell r="H4374"/>
          <cell r="I4374">
            <v>1099.99</v>
          </cell>
          <cell r="J4374">
            <v>0.1</v>
          </cell>
          <cell r="K4374">
            <v>989.99099999999999</v>
          </cell>
          <cell r="L4374"/>
          <cell r="M4374" t="e">
            <v>#VALUE!</v>
          </cell>
          <cell r="N4374" t="e">
            <v>#VALUE!</v>
          </cell>
          <cell r="O4374" t="e">
            <v>#VALUE!</v>
          </cell>
          <cell r="P4374" t="e">
            <v>#VALUE!</v>
          </cell>
          <cell r="Q4374" t="str">
            <v/>
          </cell>
          <cell r="R4374">
            <v>0</v>
          </cell>
          <cell r="S4374" t="e">
            <v>#VALUE!</v>
          </cell>
          <cell r="T4374" t="e">
            <v>#VALUE!</v>
          </cell>
        </row>
        <row r="4375">
          <cell r="A4375" t="str">
            <v>1193771E</v>
          </cell>
          <cell r="B4375"/>
          <cell r="C4375" t="str">
            <v/>
          </cell>
          <cell r="D4375"/>
          <cell r="E4375"/>
          <cell r="F4375"/>
          <cell r="G4375"/>
          <cell r="H4375"/>
          <cell r="I4375">
            <v>1199.99</v>
          </cell>
          <cell r="J4375">
            <v>0.1</v>
          </cell>
          <cell r="K4375">
            <v>1079.991</v>
          </cell>
          <cell r="L4375"/>
          <cell r="M4375" t="e">
            <v>#VALUE!</v>
          </cell>
          <cell r="N4375" t="e">
            <v>#VALUE!</v>
          </cell>
          <cell r="O4375" t="e">
            <v>#VALUE!</v>
          </cell>
          <cell r="P4375" t="e">
            <v>#VALUE!</v>
          </cell>
          <cell r="Q4375" t="str">
            <v/>
          </cell>
          <cell r="R4375">
            <v>0</v>
          </cell>
          <cell r="S4375" t="e">
            <v>#VALUE!</v>
          </cell>
          <cell r="T4375" t="e">
            <v>#VALUE!</v>
          </cell>
        </row>
        <row r="4376">
          <cell r="A4376" t="str">
            <v>11937K2E2G</v>
          </cell>
          <cell r="B4376"/>
          <cell r="C4376" t="str">
            <v/>
          </cell>
          <cell r="D4376"/>
          <cell r="E4376"/>
          <cell r="F4376"/>
          <cell r="G4376"/>
          <cell r="H4376"/>
          <cell r="I4376">
            <v>1099.99</v>
          </cell>
          <cell r="J4376">
            <v>0.1</v>
          </cell>
          <cell r="K4376">
            <v>989.99099999999999</v>
          </cell>
          <cell r="L4376"/>
          <cell r="M4376" t="e">
            <v>#VALUE!</v>
          </cell>
          <cell r="N4376" t="e">
            <v>#VALUE!</v>
          </cell>
          <cell r="O4376" t="e">
            <v>#VALUE!</v>
          </cell>
          <cell r="P4376" t="e">
            <v>#VALUE!</v>
          </cell>
          <cell r="Q4376" t="str">
            <v/>
          </cell>
          <cell r="R4376">
            <v>0</v>
          </cell>
          <cell r="S4376" t="e">
            <v>#VALUE!</v>
          </cell>
          <cell r="T4376" t="e">
            <v>#VALUE!</v>
          </cell>
        </row>
        <row r="4377">
          <cell r="A4377" t="str">
            <v>11937K1E2G</v>
          </cell>
          <cell r="B4377"/>
          <cell r="C4377" t="str">
            <v/>
          </cell>
          <cell r="D4377"/>
          <cell r="E4377"/>
          <cell r="F4377"/>
          <cell r="G4377"/>
          <cell r="H4377"/>
          <cell r="I4377">
            <v>1449.99</v>
          </cell>
          <cell r="J4377">
            <v>0.1</v>
          </cell>
          <cell r="K4377">
            <v>1304.991</v>
          </cell>
          <cell r="L4377"/>
          <cell r="M4377" t="e">
            <v>#VALUE!</v>
          </cell>
          <cell r="N4377" t="e">
            <v>#VALUE!</v>
          </cell>
          <cell r="O4377" t="e">
            <v>#VALUE!</v>
          </cell>
          <cell r="P4377" t="e">
            <v>#VALUE!</v>
          </cell>
          <cell r="Q4377" t="str">
            <v/>
          </cell>
          <cell r="R4377">
            <v>0</v>
          </cell>
          <cell r="S4377" t="e">
            <v>#VALUE!</v>
          </cell>
          <cell r="T4377" t="e">
            <v>#VALUE!</v>
          </cell>
        </row>
        <row r="4378">
          <cell r="A4378" t="str">
            <v>11937K2E4G</v>
          </cell>
          <cell r="B4378"/>
          <cell r="C4378" t="str">
            <v/>
          </cell>
          <cell r="D4378"/>
          <cell r="E4378"/>
          <cell r="F4378"/>
          <cell r="G4378"/>
          <cell r="H4378"/>
          <cell r="I4378">
            <v>1279.99</v>
          </cell>
          <cell r="J4378">
            <v>0.1</v>
          </cell>
          <cell r="K4378">
            <v>1151.991</v>
          </cell>
          <cell r="L4378"/>
          <cell r="M4378" t="e">
            <v>#VALUE!</v>
          </cell>
          <cell r="N4378" t="e">
            <v>#VALUE!</v>
          </cell>
          <cell r="O4378" t="e">
            <v>#VALUE!</v>
          </cell>
          <cell r="P4378" t="e">
            <v>#VALUE!</v>
          </cell>
          <cell r="Q4378" t="str">
            <v/>
          </cell>
          <cell r="R4378">
            <v>0</v>
          </cell>
          <cell r="S4378" t="e">
            <v>#VALUE!</v>
          </cell>
          <cell r="T4378" t="e">
            <v>#VALUE!</v>
          </cell>
        </row>
        <row r="4379">
          <cell r="A4379" t="str">
            <v>11937K4G</v>
          </cell>
          <cell r="B4379"/>
          <cell r="C4379" t="str">
            <v/>
          </cell>
          <cell r="D4379"/>
          <cell r="E4379"/>
          <cell r="F4379"/>
          <cell r="G4379"/>
          <cell r="H4379"/>
          <cell r="I4379">
            <v>1549.99</v>
          </cell>
          <cell r="J4379">
            <v>0.1</v>
          </cell>
          <cell r="K4379">
            <v>1394.991</v>
          </cell>
          <cell r="L4379"/>
          <cell r="M4379" t="e">
            <v>#VALUE!</v>
          </cell>
          <cell r="N4379" t="e">
            <v>#VALUE!</v>
          </cell>
          <cell r="O4379" t="e">
            <v>#VALUE!</v>
          </cell>
          <cell r="P4379" t="e">
            <v>#VALUE!</v>
          </cell>
          <cell r="Q4379" t="str">
            <v/>
          </cell>
          <cell r="R4379">
            <v>0</v>
          </cell>
          <cell r="S4379" t="e">
            <v>#VALUE!</v>
          </cell>
          <cell r="T4379" t="e">
            <v>#VALUE!</v>
          </cell>
        </row>
        <row r="4380">
          <cell r="A4380" t="str">
            <v>1193772E2G</v>
          </cell>
          <cell r="B4380"/>
          <cell r="C4380" t="str">
            <v/>
          </cell>
          <cell r="D4380"/>
          <cell r="E4380"/>
          <cell r="F4380"/>
          <cell r="G4380"/>
          <cell r="H4380"/>
          <cell r="I4380">
            <v>1199.99</v>
          </cell>
          <cell r="J4380">
            <v>0.1</v>
          </cell>
          <cell r="K4380">
            <v>1079.991</v>
          </cell>
          <cell r="L4380"/>
          <cell r="M4380" t="e">
            <v>#VALUE!</v>
          </cell>
          <cell r="N4380" t="e">
            <v>#VALUE!</v>
          </cell>
          <cell r="O4380" t="e">
            <v>#VALUE!</v>
          </cell>
          <cell r="P4380" t="e">
            <v>#VALUE!</v>
          </cell>
          <cell r="Q4380" t="str">
            <v/>
          </cell>
          <cell r="R4380">
            <v>0</v>
          </cell>
          <cell r="S4380" t="e">
            <v>#VALUE!</v>
          </cell>
          <cell r="T4380" t="e">
            <v>#VALUE!</v>
          </cell>
        </row>
        <row r="4381">
          <cell r="A4381" t="str">
            <v>1193F91E2G</v>
          </cell>
          <cell r="B4381"/>
          <cell r="C4381" t="str">
            <v/>
          </cell>
          <cell r="D4381"/>
          <cell r="E4381"/>
          <cell r="F4381"/>
          <cell r="G4381"/>
          <cell r="H4381"/>
          <cell r="I4381">
            <v>1449.99</v>
          </cell>
          <cell r="J4381">
            <v>0.1</v>
          </cell>
          <cell r="K4381">
            <v>1304.991</v>
          </cell>
          <cell r="L4381"/>
          <cell r="M4381" t="e">
            <v>#VALUE!</v>
          </cell>
          <cell r="N4381" t="e">
            <v>#VALUE!</v>
          </cell>
          <cell r="O4381" t="e">
            <v>#VALUE!</v>
          </cell>
          <cell r="P4381" t="e">
            <v>#VALUE!</v>
          </cell>
          <cell r="Q4381" t="str">
            <v/>
          </cell>
          <cell r="R4381">
            <v>0</v>
          </cell>
          <cell r="S4381" t="e">
            <v>#VALUE!</v>
          </cell>
          <cell r="T4381" t="e">
            <v>#VALUE!</v>
          </cell>
        </row>
        <row r="4382">
          <cell r="A4382" t="str">
            <v>1193F91E</v>
          </cell>
          <cell r="B4382"/>
          <cell r="C4382" t="str">
            <v/>
          </cell>
          <cell r="D4382"/>
          <cell r="E4382"/>
          <cell r="F4382"/>
          <cell r="G4382"/>
          <cell r="H4382"/>
          <cell r="I4382">
            <v>1279.99</v>
          </cell>
          <cell r="J4382">
            <v>0.1</v>
          </cell>
          <cell r="K4382">
            <v>1151.991</v>
          </cell>
          <cell r="L4382"/>
          <cell r="M4382" t="e">
            <v>#VALUE!</v>
          </cell>
          <cell r="N4382" t="e">
            <v>#VALUE!</v>
          </cell>
          <cell r="O4382" t="e">
            <v>#VALUE!</v>
          </cell>
          <cell r="P4382" t="e">
            <v>#VALUE!</v>
          </cell>
          <cell r="Q4382" t="str">
            <v/>
          </cell>
          <cell r="R4382">
            <v>0</v>
          </cell>
          <cell r="S4382" t="e">
            <v>#VALUE!</v>
          </cell>
          <cell r="T4382" t="e">
            <v>#VALUE!</v>
          </cell>
        </row>
        <row r="4383">
          <cell r="A4383" t="str">
            <v>1193F9</v>
          </cell>
          <cell r="B4383"/>
          <cell r="C4383" t="str">
            <v/>
          </cell>
          <cell r="D4383"/>
          <cell r="E4383"/>
          <cell r="F4383"/>
          <cell r="G4383"/>
          <cell r="H4383"/>
          <cell r="I4383">
            <v>1099.99</v>
          </cell>
          <cell r="J4383">
            <v>0.1</v>
          </cell>
          <cell r="K4383">
            <v>989.99099999999999</v>
          </cell>
          <cell r="L4383"/>
          <cell r="M4383" t="e">
            <v>#VALUE!</v>
          </cell>
          <cell r="N4383" t="e">
            <v>#VALUE!</v>
          </cell>
          <cell r="O4383" t="e">
            <v>#VALUE!</v>
          </cell>
          <cell r="P4383" t="e">
            <v>#VALUE!</v>
          </cell>
          <cell r="Q4383" t="str">
            <v/>
          </cell>
          <cell r="R4383">
            <v>0</v>
          </cell>
          <cell r="S4383" t="e">
            <v>#VALUE!</v>
          </cell>
          <cell r="T4383" t="e">
            <v>#VALUE!</v>
          </cell>
        </row>
        <row r="4384">
          <cell r="A4384" t="str">
            <v>11939B2G</v>
          </cell>
          <cell r="B4384"/>
          <cell r="C4384" t="str">
            <v/>
          </cell>
          <cell r="D4384"/>
          <cell r="E4384"/>
          <cell r="F4384"/>
          <cell r="G4384"/>
          <cell r="H4384"/>
          <cell r="I4384">
            <v>959.99</v>
          </cell>
          <cell r="J4384">
            <v>0.1</v>
          </cell>
          <cell r="K4384">
            <v>863.99099999999999</v>
          </cell>
          <cell r="L4384"/>
          <cell r="M4384" t="e">
            <v>#VALUE!</v>
          </cell>
          <cell r="N4384" t="e">
            <v>#VALUE!</v>
          </cell>
          <cell r="O4384" t="e">
            <v>#VALUE!</v>
          </cell>
          <cell r="P4384" t="e">
            <v>#VALUE!</v>
          </cell>
          <cell r="Q4384" t="str">
            <v/>
          </cell>
          <cell r="R4384">
            <v>0</v>
          </cell>
          <cell r="S4384" t="e">
            <v>#VALUE!</v>
          </cell>
          <cell r="T4384" t="e">
            <v>#VALUE!</v>
          </cell>
        </row>
        <row r="4385">
          <cell r="A4385" t="str">
            <v>11938N3E</v>
          </cell>
          <cell r="B4385"/>
          <cell r="C4385" t="str">
            <v/>
          </cell>
          <cell r="D4385"/>
          <cell r="E4385"/>
          <cell r="F4385"/>
          <cell r="G4385"/>
          <cell r="H4385"/>
          <cell r="I4385">
            <v>1099.99</v>
          </cell>
          <cell r="J4385">
            <v>0.1</v>
          </cell>
          <cell r="K4385">
            <v>989.99099999999999</v>
          </cell>
          <cell r="L4385"/>
          <cell r="M4385" t="e">
            <v>#VALUE!</v>
          </cell>
          <cell r="N4385" t="e">
            <v>#VALUE!</v>
          </cell>
          <cell r="O4385" t="e">
            <v>#VALUE!</v>
          </cell>
          <cell r="P4385" t="e">
            <v>#VALUE!</v>
          </cell>
          <cell r="Q4385" t="str">
            <v/>
          </cell>
          <cell r="R4385">
            <v>0</v>
          </cell>
          <cell r="S4385" t="e">
            <v>#VALUE!</v>
          </cell>
          <cell r="T4385" t="e">
            <v>#VALUE!</v>
          </cell>
        </row>
        <row r="4386">
          <cell r="A4386" t="str">
            <v>1193F91E4G</v>
          </cell>
          <cell r="B4386"/>
          <cell r="C4386" t="str">
            <v/>
          </cell>
          <cell r="D4386"/>
          <cell r="E4386"/>
          <cell r="F4386"/>
          <cell r="G4386"/>
          <cell r="H4386"/>
          <cell r="I4386">
            <v>1449.99</v>
          </cell>
          <cell r="J4386">
            <v>0.1</v>
          </cell>
          <cell r="K4386">
            <v>1304.991</v>
          </cell>
          <cell r="L4386"/>
          <cell r="M4386" t="e">
            <v>#VALUE!</v>
          </cell>
          <cell r="N4386" t="e">
            <v>#VALUE!</v>
          </cell>
          <cell r="O4386" t="e">
            <v>#VALUE!</v>
          </cell>
          <cell r="P4386" t="e">
            <v>#VALUE!</v>
          </cell>
          <cell r="Q4386" t="str">
            <v/>
          </cell>
          <cell r="R4386">
            <v>0</v>
          </cell>
          <cell r="S4386" t="e">
            <v>#VALUE!</v>
          </cell>
          <cell r="T4386" t="e">
            <v>#VALUE!</v>
          </cell>
        </row>
        <row r="4387">
          <cell r="A4387" t="str">
            <v>11938N3E2G</v>
          </cell>
          <cell r="B4387"/>
          <cell r="C4387" t="str">
            <v/>
          </cell>
          <cell r="D4387"/>
          <cell r="E4387"/>
          <cell r="F4387"/>
          <cell r="G4387"/>
          <cell r="H4387"/>
          <cell r="I4387">
            <v>1399.99</v>
          </cell>
          <cell r="J4387">
            <v>0.1</v>
          </cell>
          <cell r="K4387">
            <v>1259.991</v>
          </cell>
          <cell r="L4387"/>
          <cell r="M4387" t="e">
            <v>#VALUE!</v>
          </cell>
          <cell r="N4387" t="e">
            <v>#VALUE!</v>
          </cell>
          <cell r="O4387" t="e">
            <v>#VALUE!</v>
          </cell>
          <cell r="P4387" t="e">
            <v>#VALUE!</v>
          </cell>
          <cell r="Q4387" t="str">
            <v/>
          </cell>
          <cell r="R4387">
            <v>0</v>
          </cell>
          <cell r="S4387" t="e">
            <v>#VALUE!</v>
          </cell>
          <cell r="T4387" t="e">
            <v>#VALUE!</v>
          </cell>
        </row>
        <row r="4388">
          <cell r="A4388" t="str">
            <v>1193F92G</v>
          </cell>
          <cell r="B4388"/>
          <cell r="C4388" t="str">
            <v/>
          </cell>
          <cell r="D4388"/>
          <cell r="E4388"/>
          <cell r="F4388"/>
          <cell r="G4388"/>
          <cell r="H4388"/>
          <cell r="I4388">
            <v>1529.99</v>
          </cell>
          <cell r="J4388">
            <v>0.1</v>
          </cell>
          <cell r="K4388">
            <v>1376.991</v>
          </cell>
          <cell r="L4388"/>
          <cell r="M4388" t="e">
            <v>#VALUE!</v>
          </cell>
          <cell r="N4388" t="e">
            <v>#VALUE!</v>
          </cell>
          <cell r="O4388" t="e">
            <v>#VALUE!</v>
          </cell>
          <cell r="P4388" t="e">
            <v>#VALUE!</v>
          </cell>
          <cell r="Q4388" t="str">
            <v/>
          </cell>
          <cell r="R4388">
            <v>0</v>
          </cell>
          <cell r="S4388" t="e">
            <v>#VALUE!</v>
          </cell>
          <cell r="T4388" t="e">
            <v>#VALUE!</v>
          </cell>
        </row>
        <row r="4389">
          <cell r="A4389" t="str">
            <v>11939B1E4G</v>
          </cell>
          <cell r="B4389"/>
          <cell r="C4389" t="str">
            <v/>
          </cell>
          <cell r="D4389"/>
          <cell r="E4389"/>
          <cell r="F4389"/>
          <cell r="G4389"/>
          <cell r="H4389"/>
          <cell r="I4389">
            <v>1099.99</v>
          </cell>
          <cell r="J4389">
            <v>0.1</v>
          </cell>
          <cell r="K4389">
            <v>989.99099999999999</v>
          </cell>
          <cell r="L4389"/>
          <cell r="M4389" t="e">
            <v>#VALUE!</v>
          </cell>
          <cell r="N4389" t="e">
            <v>#VALUE!</v>
          </cell>
          <cell r="O4389" t="e">
            <v>#VALUE!</v>
          </cell>
          <cell r="P4389" t="e">
            <v>#VALUE!</v>
          </cell>
          <cell r="Q4389" t="str">
            <v/>
          </cell>
          <cell r="R4389">
            <v>0</v>
          </cell>
          <cell r="S4389" t="e">
            <v>#VALUE!</v>
          </cell>
          <cell r="T4389" t="e">
            <v>#VALUE!</v>
          </cell>
        </row>
        <row r="4390">
          <cell r="A4390" t="str">
            <v>11939B4G</v>
          </cell>
          <cell r="B4390"/>
          <cell r="C4390" t="str">
            <v/>
          </cell>
          <cell r="D4390"/>
          <cell r="E4390"/>
          <cell r="F4390"/>
          <cell r="G4390"/>
          <cell r="H4390"/>
          <cell r="I4390">
            <v>1399.99</v>
          </cell>
          <cell r="J4390">
            <v>0.1</v>
          </cell>
          <cell r="K4390">
            <v>1259.991</v>
          </cell>
          <cell r="L4390"/>
          <cell r="M4390" t="e">
            <v>#VALUE!</v>
          </cell>
          <cell r="N4390" t="e">
            <v>#VALUE!</v>
          </cell>
          <cell r="O4390" t="e">
            <v>#VALUE!</v>
          </cell>
          <cell r="P4390" t="e">
            <v>#VALUE!</v>
          </cell>
          <cell r="Q4390" t="str">
            <v/>
          </cell>
          <cell r="R4390">
            <v>0</v>
          </cell>
          <cell r="S4390" t="e">
            <v>#VALUE!</v>
          </cell>
          <cell r="T4390" t="e">
            <v>#VALUE!</v>
          </cell>
        </row>
        <row r="4391">
          <cell r="A4391" t="str">
            <v>1193D84G</v>
          </cell>
          <cell r="B4391"/>
          <cell r="C4391" t="str">
            <v/>
          </cell>
          <cell r="D4391"/>
          <cell r="E4391"/>
          <cell r="F4391"/>
          <cell r="G4391"/>
          <cell r="H4391"/>
          <cell r="I4391">
            <v>1199.99</v>
          </cell>
          <cell r="J4391">
            <v>0.1</v>
          </cell>
          <cell r="K4391">
            <v>1079.991</v>
          </cell>
          <cell r="L4391"/>
          <cell r="M4391" t="e">
            <v>#VALUE!</v>
          </cell>
          <cell r="N4391" t="e">
            <v>#VALUE!</v>
          </cell>
          <cell r="O4391" t="e">
            <v>#VALUE!</v>
          </cell>
          <cell r="P4391" t="e">
            <v>#VALUE!</v>
          </cell>
          <cell r="Q4391" t="str">
            <v/>
          </cell>
          <cell r="R4391">
            <v>0</v>
          </cell>
          <cell r="S4391" t="e">
            <v>#VALUE!</v>
          </cell>
          <cell r="T4391" t="e">
            <v>#VALUE!</v>
          </cell>
        </row>
        <row r="4392">
          <cell r="A4392" t="str">
            <v>1193D82E4G</v>
          </cell>
          <cell r="B4392"/>
          <cell r="C4392" t="str">
            <v/>
          </cell>
          <cell r="D4392"/>
          <cell r="E4392"/>
          <cell r="F4392"/>
          <cell r="G4392"/>
          <cell r="H4392"/>
          <cell r="I4392">
            <v>1199.99</v>
          </cell>
          <cell r="J4392">
            <v>0.1</v>
          </cell>
          <cell r="K4392">
            <v>1079.991</v>
          </cell>
          <cell r="L4392"/>
          <cell r="M4392" t="e">
            <v>#VALUE!</v>
          </cell>
          <cell r="N4392" t="e">
            <v>#VALUE!</v>
          </cell>
          <cell r="O4392" t="e">
            <v>#VALUE!</v>
          </cell>
          <cell r="P4392" t="e">
            <v>#VALUE!</v>
          </cell>
          <cell r="Q4392" t="str">
            <v/>
          </cell>
          <cell r="R4392">
            <v>0</v>
          </cell>
          <cell r="S4392" t="e">
            <v>#VALUE!</v>
          </cell>
          <cell r="T4392" t="e">
            <v>#VALUE!</v>
          </cell>
        </row>
        <row r="4393">
          <cell r="A4393" t="str">
            <v>MDGA02000209</v>
          </cell>
          <cell r="B4393"/>
          <cell r="C4393" t="str">
            <v/>
          </cell>
          <cell r="D4393"/>
          <cell r="E4393"/>
          <cell r="F4393"/>
          <cell r="G4393"/>
          <cell r="H4393"/>
          <cell r="I4393">
            <v>1549.99</v>
          </cell>
          <cell r="J4393">
            <v>0.1</v>
          </cell>
          <cell r="K4393">
            <v>1394.991</v>
          </cell>
          <cell r="L4393"/>
          <cell r="M4393" t="e">
            <v>#VALUE!</v>
          </cell>
          <cell r="N4393" t="e">
            <v>#VALUE!</v>
          </cell>
          <cell r="O4393" t="e">
            <v>#VALUE!</v>
          </cell>
          <cell r="P4393" t="e">
            <v>#VALUE!</v>
          </cell>
          <cell r="Q4393" t="str">
            <v/>
          </cell>
          <cell r="R4393">
            <v>0</v>
          </cell>
          <cell r="S4393" t="e">
            <v>#VALUE!</v>
          </cell>
          <cell r="T4393" t="e">
            <v>#VALUE!</v>
          </cell>
        </row>
        <row r="4394">
          <cell r="A4394" t="str">
            <v>MDGA040003J5</v>
          </cell>
          <cell r="B4394"/>
          <cell r="C4394" t="str">
            <v/>
          </cell>
          <cell r="D4394"/>
          <cell r="E4394"/>
          <cell r="F4394"/>
          <cell r="G4394"/>
          <cell r="H4394"/>
          <cell r="I4394">
            <v>1599.99</v>
          </cell>
          <cell r="J4394">
            <v>0.1</v>
          </cell>
          <cell r="K4394">
            <v>1439.991</v>
          </cell>
          <cell r="L4394"/>
          <cell r="M4394" t="e">
            <v>#VALUE!</v>
          </cell>
          <cell r="N4394" t="e">
            <v>#VALUE!</v>
          </cell>
          <cell r="O4394" t="e">
            <v>#VALUE!</v>
          </cell>
          <cell r="P4394" t="e">
            <v>#VALUE!</v>
          </cell>
          <cell r="Q4394" t="str">
            <v/>
          </cell>
          <cell r="R4394">
            <v>0</v>
          </cell>
          <cell r="S4394" t="e">
            <v>#VALUE!</v>
          </cell>
          <cell r="T4394" t="e">
            <v>#VALUE!</v>
          </cell>
        </row>
        <row r="4395">
          <cell r="A4395" t="str">
            <v>MDGA020002F8</v>
          </cell>
          <cell r="B4395"/>
          <cell r="C4395" t="str">
            <v/>
          </cell>
          <cell r="D4395"/>
          <cell r="E4395"/>
          <cell r="F4395"/>
          <cell r="G4395"/>
          <cell r="H4395"/>
          <cell r="I4395">
            <v>2429.9899999999998</v>
          </cell>
          <cell r="J4395">
            <v>0.1</v>
          </cell>
          <cell r="K4395">
            <v>2186.991</v>
          </cell>
          <cell r="L4395"/>
          <cell r="M4395" t="e">
            <v>#VALUE!</v>
          </cell>
          <cell r="N4395" t="e">
            <v>#VALUE!</v>
          </cell>
          <cell r="O4395" t="e">
            <v>#VALUE!</v>
          </cell>
          <cell r="P4395" t="e">
            <v>#VALUE!</v>
          </cell>
          <cell r="Q4395" t="str">
            <v/>
          </cell>
          <cell r="R4395">
            <v>0</v>
          </cell>
          <cell r="S4395" t="e">
            <v>#VALUE!</v>
          </cell>
          <cell r="T4395" t="e">
            <v>#VALUE!</v>
          </cell>
        </row>
        <row r="4396">
          <cell r="A4396" t="str">
            <v>MDGA0200057K</v>
          </cell>
          <cell r="B4396"/>
          <cell r="C4396" t="str">
            <v/>
          </cell>
          <cell r="D4396"/>
          <cell r="E4396"/>
          <cell r="F4396"/>
          <cell r="G4396"/>
          <cell r="H4396"/>
          <cell r="I4396">
            <v>1599.99</v>
          </cell>
          <cell r="J4396">
            <v>0.1</v>
          </cell>
          <cell r="K4396">
            <v>1439.991</v>
          </cell>
          <cell r="L4396"/>
          <cell r="M4396" t="e">
            <v>#VALUE!</v>
          </cell>
          <cell r="N4396" t="e">
            <v>#VALUE!</v>
          </cell>
          <cell r="O4396" t="e">
            <v>#VALUE!</v>
          </cell>
          <cell r="P4396" t="e">
            <v>#VALUE!</v>
          </cell>
          <cell r="Q4396" t="str">
            <v/>
          </cell>
          <cell r="R4396">
            <v>0</v>
          </cell>
          <cell r="S4396" t="e">
            <v>#VALUE!</v>
          </cell>
          <cell r="T4396" t="e">
            <v>#VALUE!</v>
          </cell>
        </row>
        <row r="4397">
          <cell r="A4397" t="str">
            <v>MDGA01000209</v>
          </cell>
          <cell r="B4397"/>
          <cell r="C4397" t="str">
            <v/>
          </cell>
          <cell r="D4397"/>
          <cell r="E4397"/>
          <cell r="F4397"/>
          <cell r="G4397"/>
          <cell r="H4397"/>
          <cell r="I4397">
            <v>1039.99</v>
          </cell>
          <cell r="J4397">
            <v>0.1</v>
          </cell>
          <cell r="K4397">
            <v>935.99099999999999</v>
          </cell>
          <cell r="L4397"/>
          <cell r="M4397" t="e">
            <v>#VALUE!</v>
          </cell>
          <cell r="N4397" t="e">
            <v>#VALUE!</v>
          </cell>
          <cell r="O4397" t="e">
            <v>#VALUE!</v>
          </cell>
          <cell r="P4397" t="e">
            <v>#VALUE!</v>
          </cell>
          <cell r="Q4397" t="str">
            <v/>
          </cell>
          <cell r="R4397">
            <v>0</v>
          </cell>
          <cell r="S4397" t="e">
            <v>#VALUE!</v>
          </cell>
          <cell r="T4397" t="e">
            <v>#VALUE!</v>
          </cell>
        </row>
        <row r="4398">
          <cell r="A4398" t="str">
            <v>G241539BGLCPFF</v>
          </cell>
          <cell r="B4398"/>
          <cell r="C4398" t="str">
            <v/>
          </cell>
          <cell r="D4398"/>
          <cell r="E4398"/>
          <cell r="F4398"/>
          <cell r="G4398"/>
          <cell r="H4398"/>
          <cell r="I4398">
            <v>779.99</v>
          </cell>
          <cell r="J4398">
            <v>0.1</v>
          </cell>
          <cell r="K4398">
            <v>701.99099999999999</v>
          </cell>
          <cell r="L4398"/>
          <cell r="M4398" t="e">
            <v>#VALUE!</v>
          </cell>
          <cell r="N4398" t="e">
            <v>#VALUE!</v>
          </cell>
          <cell r="O4398" t="e">
            <v>#VALUE!</v>
          </cell>
          <cell r="P4398" t="e">
            <v>#VALUE!</v>
          </cell>
          <cell r="Q4398" t="str">
            <v/>
          </cell>
          <cell r="R4398">
            <v>0</v>
          </cell>
          <cell r="S4398" t="e">
            <v>#VALUE!</v>
          </cell>
          <cell r="T4398" t="e">
            <v>#VALUE!</v>
          </cell>
        </row>
        <row r="4399">
          <cell r="A4399" t="str">
            <v>GRGL1500037K</v>
          </cell>
          <cell r="B4399"/>
          <cell r="C4399" t="str">
            <v/>
          </cell>
          <cell r="D4399"/>
          <cell r="E4399"/>
          <cell r="F4399"/>
          <cell r="G4399"/>
          <cell r="H4399"/>
          <cell r="I4399">
            <v>1979.99</v>
          </cell>
          <cell r="J4399">
            <v>0.1</v>
          </cell>
          <cell r="K4399">
            <v>1781.991</v>
          </cell>
          <cell r="L4399"/>
          <cell r="M4399" t="e">
            <v>#VALUE!</v>
          </cell>
          <cell r="N4399" t="e">
            <v>#VALUE!</v>
          </cell>
          <cell r="O4399" t="e">
            <v>#VALUE!</v>
          </cell>
          <cell r="P4399" t="e">
            <v>#VALUE!</v>
          </cell>
          <cell r="Q4399" t="str">
            <v/>
          </cell>
          <cell r="R4399">
            <v>0</v>
          </cell>
          <cell r="S4399" t="e">
            <v>#VALUE!</v>
          </cell>
          <cell r="T4399" t="e">
            <v>#VALUE!</v>
          </cell>
        </row>
        <row r="4400">
          <cell r="A4400" t="str">
            <v>MDGA0100017G</v>
          </cell>
          <cell r="B4400"/>
          <cell r="C4400" t="str">
            <v/>
          </cell>
          <cell r="D4400"/>
          <cell r="E4400"/>
          <cell r="F4400"/>
          <cell r="G4400"/>
          <cell r="H4400"/>
          <cell r="I4400">
            <v>329.99</v>
          </cell>
          <cell r="J4400">
            <v>0.1</v>
          </cell>
          <cell r="K4400">
            <v>296.99099999999999</v>
          </cell>
          <cell r="L4400"/>
          <cell r="M4400" t="e">
            <v>#VALUE!</v>
          </cell>
          <cell r="N4400" t="e">
            <v>#VALUE!</v>
          </cell>
          <cell r="O4400" t="e">
            <v>#VALUE!</v>
          </cell>
          <cell r="P4400" t="e">
            <v>#VALUE!</v>
          </cell>
          <cell r="Q4400" t="str">
            <v/>
          </cell>
          <cell r="R4400">
            <v>0</v>
          </cell>
          <cell r="S4400" t="e">
            <v>#VALUE!</v>
          </cell>
          <cell r="T4400" t="e">
            <v>#VALUE!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E9050-F665-47CB-AEC9-A8B7D1EBC495}" name="Tabela1" displayName="Tabela1" ref="E1:J64" totalsRowShown="0" headerRowDxfId="81" headerRowBorderDxfId="80" tableBorderDxfId="79">
  <autoFilter ref="E1:J64" xr:uid="{BB4E9050-F665-47CB-AEC9-A8B7D1EBC495}"/>
  <tableColumns count="6">
    <tableColumn id="1" xr3:uid="{0DAC987D-5BA5-4CE8-AC2A-B05B7ABE85EC}" name="05/nov"/>
    <tableColumn id="2" xr3:uid="{23140516-0A86-4DFC-8B98-4FC35FCF11A8}" name="Coluna1"/>
    <tableColumn id="3" xr3:uid="{7F78CA5B-E37E-4D08-B97E-398787E149E5}" name="Coluna2"/>
    <tableColumn id="4" xr3:uid="{A3A7726D-9BE7-4400-9543-7B869F0BC754}" name="Coluna3"/>
    <tableColumn id="5" xr3:uid="{CB631B7B-E05C-43F1-96AD-5DA747281F32}" name="Coluna4"/>
    <tableColumn id="6" xr3:uid="{E047A6EB-C515-48DC-97D1-067C2D3C9A9C}" name="Coluna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" TargetMode="External"/><Relationship Id="rId18" Type="http://schemas.openxmlformats.org/officeDocument/2006/relationships/hyperlink" Target="https://www.casasbahia.com.br/kit-6-cadeiras-rustic-preto-madesa-4291/p/1500994267" TargetMode="External"/><Relationship Id="rId26" Type="http://schemas.openxmlformats.org/officeDocument/2006/relationships/hyperlink" Target="https://www.casasbahia.com.br/sala-de-jantar-gabi-mesa-tampo-de-madeira-2-cadeiras-madesa/p/1501458337" TargetMode="External"/><Relationship Id="rId39" Type="http://schemas.openxmlformats.org/officeDocument/2006/relationships/hyperlink" Target="https://www.casasbahia.com.br/moveis/saladejantar/mesasecadeirasdejantar/kit-cintia-begemesa-tampo-de-madeira-4-cadeiras-madesa-1501005323.html?idsku=1501005323" TargetMode="External"/><Relationship Id="rId21" Type="http://schemas.openxmlformats.org/officeDocument/2006/relationships/hyperlink" Target="https://www.casasbahia.com.br/cozinha-compacta-100-mdf-madesa-smart-170-cm-modulada-com-armario-balcao-e-tampo/p/1502903658" TargetMode="External"/><Relationship Id="rId34" Type="http://schemas.openxmlformats.org/officeDocument/2006/relationships/hyperlink" Target="https://www.casasbahia.com.br/sala-de-jantar-anita-mesa-tampo-de-vidro-4-cadeiras-madesa/p/1501269493" TargetMode="External"/><Relationship Id="rId42" Type="http://schemas.openxmlformats.org/officeDocument/2006/relationships/hyperlink" Target="https://www.casasbahia.com.br/conjunto-sala-de-jantar-talita-mesa-tampo-de-madeira-com-4-cadeiras-madesa/p/1518140695" TargetMode="External"/><Relationship Id="rId7" Type="http://schemas.openxmlformats.org/officeDocument/2006/relationships/hyperlink" Target="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" TargetMode="External"/><Relationship Id="rId2" Type="http://schemas.openxmlformats.org/officeDocument/2006/relationships/hyperlink" Target="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" TargetMode="External"/><Relationship Id="rId16" Type="http://schemas.openxmlformats.org/officeDocument/2006/relationships/hyperlink" Target="https://www.casasbahia.com.br/conjunto-sala-de-jantar-mesa-tampo-de-madeira-8-cadeiras-rustic-preto-marisa-madesa-rustic-preto/p/1559194853" TargetMode="External"/><Relationship Id="rId29" Type="http://schemas.openxmlformats.org/officeDocument/2006/relationships/hyperlink" Target="https://www.casasbahia.com.br/guarda-roupa-solteiro-madesa-denver-2-portas-de-correr-com-espelho-com-pes/p/1501022927" TargetMode="External"/><Relationship Id="rId1" Type="http://schemas.openxmlformats.org/officeDocument/2006/relationships/hyperlink" Target="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" TargetMode="External"/><Relationship Id="rId6" Type="http://schemas.openxmlformats.org/officeDocument/2006/relationships/hyperlink" Target="https://www.casasbahia.com.br/mesa-tampo-de-madeira-com-6-cadeiras-preto-rustic-preto/p/1526289474" TargetMode="External"/><Relationship Id="rId11" Type="http://schemas.openxmlformats.org/officeDocument/2006/relationships/hyperlink" Target="https://www.casasbahia.com.br/guarda-roupa-casal-monaco-3-portas-de-correr-15426026/p/15426026?utm_medium=Cpc&amp;utm_source=google_freelisting&amp;IdSku=15426026&amp;idLojista=11121&amp;tipoLojista=3P&amp;srsltid=AfmBOoqGvKMyMrg8xbGmz-iCL-UXZYCwNiAMCL7CXrQjpQFaoGPau6HHIZo" TargetMode="External"/><Relationship Id="rId24" Type="http://schemas.openxmlformats.org/officeDocument/2006/relationships/hyperlink" Target="https://www.casasbahia.com.br/conj-mesa-tampo-de-madeira-4-cadeiras-rustic-cinza-silver/p/1546471025" TargetMode="External"/><Relationship Id="rId32" Type="http://schemas.openxmlformats.org/officeDocument/2006/relationships/hyperlink" Target="https://www.casasbahia.com.br/conjunto-sala-de-jantar-mesa-tampo-de-madeira-4-cadeiras-rustic-preto-claire-madesa-rustic-preto/p/1562867516" TargetMode="External"/><Relationship Id="rId37" Type="http://schemas.openxmlformats.org/officeDocument/2006/relationships/hyperlink" Target="https://www.casasbahia.com.br/sala-de-jantar-megan-mesa-tampo-de-madeira-6-cadeiras-madesa/p/1501279445" TargetMode="External"/><Relationship Id="rId40" Type="http://schemas.openxmlformats.org/officeDocument/2006/relationships/hyperlink" Target="https://www.casasbahia.com.br/rack-dubai-para-tv-ate-65-quot-madesa/p/1501992374" TargetMode="External"/><Relationship Id="rId45" Type="http://schemas.openxmlformats.org/officeDocument/2006/relationships/hyperlink" Target="https://www.casasbahia.com.br/armario-de-cozinha-completa-suspenso-260cm-10-cinza/p/1547568870" TargetMode="External"/><Relationship Id="rId5" Type="http://schemas.openxmlformats.org/officeDocument/2006/relationships/hyperlink" Target="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" TargetMode="External"/><Relationship Id="rId15" Type="http://schemas.openxmlformats.org/officeDocument/2006/relationships/hyperlink" Target="https://www.casasbahia.com.br/conjunto-sala-de-jantar-luana-mesa-4-cadeiras-madesa/p/1501991523" TargetMode="External"/><Relationship Id="rId23" Type="http://schemas.openxmlformats.org/officeDocument/2006/relationships/hyperlink" Target="https://www.casasbahia.com.br/sala-de-jantar-gabi-mesa-tampo-de-madeira-2-cadeiras-madesa/p/1501279511" TargetMode="External"/><Relationship Id="rId28" Type="http://schemas.openxmlformats.org/officeDocument/2006/relationships/hyperlink" Target="https://www.casasbahia.com.br/conjunto-sala-de-jantar-mesa-tampo-de-vidro-6-cadeiras/p/1547659626" TargetMode="External"/><Relationship Id="rId36" Type="http://schemas.openxmlformats.org/officeDocument/2006/relationships/hyperlink" Target="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" TargetMode="External"/><Relationship Id="rId10" Type="http://schemas.openxmlformats.org/officeDocument/2006/relationships/hyperlink" Target="https://www.casasbahia.com.br/armario-de-cozinha-reims-260002-com-balcao-preto-rustic/p/1520582853?utm_source=google_freelisting&amp;utm_medium=Cpc" TargetMode="External"/><Relationship Id="rId19" Type="http://schemas.openxmlformats.org/officeDocument/2006/relationships/hyperlink" Target="https://www.casasbahia.com.br/guarda-roupa-casal-100-mdf-royale-3-portas-de-correr/p/14252194" TargetMode="External"/><Relationship Id="rId31" Type="http://schemas.openxmlformats.org/officeDocument/2006/relationships/hyperlink" Target="https://www.casasbahia.com.br/kit-4-cadeiras-em-mdf-e-mdp-madesa/p/1501992396" TargetMode="External"/><Relationship Id="rId44" Type="http://schemas.openxmlformats.org/officeDocument/2006/relationships/hyperlink" Target="https://www.casasbahia.com.br/armario-de-cozinha-completa-260cm-cinza-nice-madesa-09-cinza/p/1547568819" TargetMode="External"/><Relationship Id="rId4" Type="http://schemas.openxmlformats.org/officeDocument/2006/relationships/hyperlink" Target="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" TargetMode="External"/><Relationship Id="rId9" Type="http://schemas.openxmlformats.org/officeDocument/2006/relationships/hyperlink" Target="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" TargetMode="External"/><Relationship Id="rId14" Type="http://schemas.openxmlformats.org/officeDocument/2006/relationships/hyperlink" Target="https://www.casasbahia.com.br/conjunto-sala-de-jantar-mesa-tampo-de-madeira-4-cadeiras/p/1561846995" TargetMode="External"/><Relationship Id="rId22" Type="http://schemas.openxmlformats.org/officeDocument/2006/relationships/hyperlink" Target="https://www.casasbahia.com.br/kit-4-cadeiras-rustic-preto-madesa/p/1501992427" TargetMode="External"/><Relationship Id="rId27" Type="http://schemas.openxmlformats.org/officeDocument/2006/relationships/hyperlink" Target="https://www.casasbahia.com.br/kit-sala-de-jantar-mesa-6-cadeiras-preto-augusta/p/1562516892" TargetMode="External"/><Relationship Id="rId30" Type="http://schemas.openxmlformats.org/officeDocument/2006/relationships/hyperlink" Target="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" TargetMode="External"/><Relationship Id="rId35" Type="http://schemas.openxmlformats.org/officeDocument/2006/relationships/hyperlink" Target="https://www.casasbahia.com.br/cozinha-completa-madesa-reims-240001-com-armario-e-balcao-preto-rustic/p/1502903701" TargetMode="External"/><Relationship Id="rId43" Type="http://schemas.openxmlformats.org/officeDocument/2006/relationships/hyperlink" Target="https://www.casasbahia.com.br/armario-de-cozinha-completa-suspenso-260cm-10-cinza/p/1547568870" TargetMode="External"/><Relationship Id="rId8" Type="http://schemas.openxmlformats.org/officeDocument/2006/relationships/hyperlink" Target="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" TargetMode="External"/><Relationship Id="rId3" Type="http://schemas.openxmlformats.org/officeDocument/2006/relationships/hyperlink" Target="https://www.casasbahia.com.br/kit-4-cadeiras-4290-madesa-rustic-preto/p/1516415812" TargetMode="External"/><Relationship Id="rId12" Type="http://schemas.openxmlformats.org/officeDocument/2006/relationships/hyperlink" Target="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" TargetMode="External"/><Relationship Id="rId17" Type="http://schemas.openxmlformats.org/officeDocument/2006/relationships/hyperlink" Target="https://www.casasbahia.com.br/kit-4-cadeiras-perola-madesa-4291/p/1500994468" TargetMode="External"/><Relationship Id="rId25" Type="http://schemas.openxmlformats.org/officeDocument/2006/relationships/hyperlink" Target="https://www.casasbahia.com.br/mesa-tampo-de-madeira-com-6-cadeiras-rustic-preto/p/1526289961" TargetMode="External"/><Relationship Id="rId33" Type="http://schemas.openxmlformats.org/officeDocument/2006/relationships/hyperlink" Target="https://www.casasbahia.com.br/conjunto-sala-de-jantar-mesa-tampo-de-madeira-6-cadeiras/p/1547659415" TargetMode="External"/><Relationship Id="rId38" Type="http://schemas.openxmlformats.org/officeDocument/2006/relationships/hyperlink" Target="https://www.casasbahia.com.br/cozinha-completa-reims-com-armario-e-balcao-branco-madesa/p/1505749224" TargetMode="External"/><Relationship Id="rId20" Type="http://schemas.openxmlformats.org/officeDocument/2006/relationships/hyperlink" Target="https://www.casasbahia.com.br/armario-de-cozinha-completa-325cm-cinza-madesa-02-cinza/p/1556093270" TargetMode="External"/><Relationship Id="rId41" Type="http://schemas.openxmlformats.org/officeDocument/2006/relationships/hyperlink" Target="https://www.casasbahia.com.br/guarda-roupa-solteiro-2-portas-de-correr-2-gavetas-madesa/p/150577892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deiramadeira.com.br/guarda-roupa-solteiro-madesa-tokio-2-portas-de-correr-com-espelho-2-gavetas-branco-cor-branco-301003051.html?index=vr-prod-poc-madeira-listings-best-seller-desc&amp;seller=17012" TargetMode="External"/><Relationship Id="rId18" Type="http://schemas.openxmlformats.org/officeDocument/2006/relationships/hyperlink" Target="https://www.madeiramadeira.com.br/cozinha-completa-270003-com-armario-e-balcao-rustic-cinza-947252637.html?index=vr-prod-poc-madeira-listings-best-seller-desc&amp;seller=17012" TargetMode="External"/><Relationship Id="rId26" Type="http://schemas.openxmlformats.org/officeDocument/2006/relationships/hyperlink" Target="https://www.madeiramadeira.com.br/conjunto-sala-de-jantar-madesa-luana-mesa-tampo-de-madeira-com-4-cadeiras-rustic-floral-hibiscos-cor-385866111.html" TargetMode="External"/><Relationship Id="rId39" Type="http://schemas.openxmlformats.org/officeDocument/2006/relationships/hyperlink" Target="https://www.madeiramadeira.com.br/kit-madesa-reims-120-cm-com-armario-aereo-e-balcao-gabinete-de-pia-preto-cor-preto-922047595.html?index=prod-poc-madeira&amp;seller=17012" TargetMode="External"/><Relationship Id="rId21" Type="http://schemas.openxmlformats.org/officeDocument/2006/relationships/hyperlink" Target="https://www.madeiramadeira.com.br/conjunto-sala-de-jantar-mesa-tampo-de-madeira-4-cadeiras-ru-187574777.html" TargetMode="External"/><Relationship Id="rId34" Type="http://schemas.openxmlformats.org/officeDocument/2006/relationships/hyperlink" Target="https://www.madeiramadeira.com.br/armario-de-cozinha-compacta-120cm-cinza-nice-01-cinza-355744278.html?index=vr-prod-poc-madeira-listings-best-seller-desc&amp;seller=17012" TargetMode="External"/><Relationship Id="rId42" Type="http://schemas.openxmlformats.org/officeDocument/2006/relationships/hyperlink" Target="https://www.madeiramadeira.com.br/guarda-roupa-royale-casal-100-mdf-3-portas-correr-madesa-241241877.html?index=prod-poc-madeira&amp;seller=17012" TargetMode="External"/><Relationship Id="rId7" Type="http://schemas.openxmlformats.org/officeDocument/2006/relationships/hyperlink" Target="https://www.madeiramadeira.com.br/conj-mesa-tampo-de-madeira-4-cadeiras-rustic-cinza-silver-714572884.html" TargetMode="External"/><Relationship Id="rId2" Type="http://schemas.openxmlformats.org/officeDocument/2006/relationships/hyperlink" Target="https://www.madeiramadeira.com.br/armario-gabinete-para-banheiro-80cm-2-portas-branco-madesa-305784556.html?index=prod-poc-madeira" TargetMode="External"/><Relationship Id="rId16" Type="http://schemas.openxmlformats.org/officeDocument/2006/relationships/hyperlink" Target="https://www.madeiramadeira.com.br/cozinha-completa-madesa-reims-320002-com-armario-e-balcao-preto-cor-preto-156353621.html" TargetMode="External"/><Relationship Id="rId20" Type="http://schemas.openxmlformats.org/officeDocument/2006/relationships/hyperlink" Target="https://www.madeiramadeira.com.br/conjunto-sala-de-jantar-mesa-tampo-madeira-4-cadeiras-madesa-286044735.html?index=vr-prod-poc-madeira-listings-best-seller-desc&amp;seller=17012" TargetMode="External"/><Relationship Id="rId29" Type="http://schemas.openxmlformats.org/officeDocument/2006/relationships/hyperlink" Target="https://www.madeiramadeira.com.br/conjunto-sala-de-jantar-madesa-gabi-mesa-tampo-de-madeira-com-2-cadeiras-rustic-crema-perola-cor-rus-945103759.html?index=prod-poc-madeira" TargetMode="External"/><Relationship Id="rId41" Type="http://schemas.openxmlformats.org/officeDocument/2006/relationships/hyperlink" Target="https://www.madeiramadeira.com.br/guarda-roupa-casal-madesa-monaco-3-portas-de-correr-rustic-cor-rustic-424000953.html?index=prod-poc-madeira&amp;seller=17012" TargetMode="External"/><Relationship Id="rId1" Type="http://schemas.openxmlformats.org/officeDocument/2006/relationships/hyperlink" Target="https://www.madeiramadeira.com.br/escrivaninha-em-l-mesa-para-computador-gamer-3-gavetas-branco-rustic-lisboa-madesa-912735258.html?index=prod-poc-madeira" TargetMode="External"/><Relationship Id="rId6" Type="http://schemas.openxmlformats.org/officeDocument/2006/relationships/hyperlink" Target="https://www.madeiramadeira.com.br/conjunto-sala-de-jantar-madesa-rute-mesa-tampo-de-madeira-com-4-cadeiras-rustic-floral-hibiscos-cor-886371540.html?index=prod-poc-madeira" TargetMode="External"/><Relationship Id="rId11" Type="http://schemas.openxmlformats.org/officeDocument/2006/relationships/hyperlink" Target="https://www.madeiramadeira.com.br/guarda-roupa-casal-madesa-monaco-3-portas-de-correr-com-espelho-rustic-branco-cor-rustic-branco-896640340.html" TargetMode="External"/><Relationship Id="rId24" Type="http://schemas.openxmlformats.org/officeDocument/2006/relationships/hyperlink" Target="https://www.madeiramadeira.com.br/conjunto-sala-de-jantar-madesa-maris-mesa-tampo-de-madeira-com-6-cadeiras-rustic-floral-hibiscos-cor-189720810.html" TargetMode="External"/><Relationship Id="rId32" Type="http://schemas.openxmlformats.org/officeDocument/2006/relationships/hyperlink" Target="https://www.madeiramadeira.com.br/armario-de-cozinha-completa-320cm-cinza-nice-madesa-06-cinza-741921112.html?index=vr-prod-poc-madeira-listings-best-seller-desc&amp;seller=17012" TargetMode="External"/><Relationship Id="rId37" Type="http://schemas.openxmlformats.org/officeDocument/2006/relationships/hyperlink" Target="https://www.madeiramadeira.com.br/cozinha-compacta-madesa-reims-com-balcao-5-portas-3-gavetas-preto-cor-preto-994226401.html?index=prod-poc-madeira&amp;seller=17012" TargetMode="External"/><Relationship Id="rId40" Type="http://schemas.openxmlformats.org/officeDocument/2006/relationships/hyperlink" Target="https://www.madeiramadeira.com.br/rack-para-tv-ate-65-polegadas-madesa-cancun-rustic-preto-cor-rustic-preto-848340004.html?index=prod-poc-madeira&amp;seller=17012" TargetMode="External"/><Relationship Id="rId5" Type="http://schemas.openxmlformats.org/officeDocument/2006/relationships/hyperlink" Target="https://www.madeiramadeira.com.br/cozinha-completa-madesa-stella-290001-com-armario-e-balcao-rustic-branco-rustic-cor-rustic-branco-ru-382167574.html?index=prod-poc-madeira" TargetMode="External"/><Relationship Id="rId15" Type="http://schemas.openxmlformats.org/officeDocument/2006/relationships/hyperlink" Target="https://www.madeiramadeira.com.br/guarda-roupa-casal-madesa-veneza-3-portas-de-correr-com-espelho-branco-cor-branco-570039174.html?index=vr-prod-poc-madeira-listings-best-seller-desc&amp;seller=17012" TargetMode="External"/><Relationship Id="rId23" Type="http://schemas.openxmlformats.org/officeDocument/2006/relationships/hyperlink" Target="https://www.madeiramadeira.com.br/conjunto-sala-de-jantar-madesa-maya-mesa-tampo-de-vidro-com-4-cadeiras-rustic-sintetico-preto-cor-ru-277315967.html" TargetMode="External"/><Relationship Id="rId28" Type="http://schemas.openxmlformats.org/officeDocument/2006/relationships/hyperlink" Target="https://www.madeiramadeira.com.br/conjunto-sala-de-jantar-madesa-gabi-mesa-tampo-de-madeira-com-2-cadeiras-rustic-preto-sintetico-pret-587278186.html?index=vr-prod-poc-madeira-listings-best-seller-desc&amp;seller=17012" TargetMode="External"/><Relationship Id="rId36" Type="http://schemas.openxmlformats.org/officeDocument/2006/relationships/hyperlink" Target="https://www.madeiramadeira.com.br/guarda-roupas-luke-branco-2-portas-de-correr-madesa-823701488.html?index=prod-poc-madeira&amp;seller=17012" TargetMode="External"/><Relationship Id="rId10" Type="http://schemas.openxmlformats.org/officeDocument/2006/relationships/hyperlink" Target="https://www.madeiramadeira.com.br/conjunto-sala-de-jantar-mesa-tampo-de-vidro-4-cadeiras-rustic-preto-oxford-evelin-madesa-rustic-381198735.html" TargetMode="External"/><Relationship Id="rId19" Type="http://schemas.openxmlformats.org/officeDocument/2006/relationships/hyperlink" Target="https://www.madeiramadeira.com.br/cozinha-completa-100-mdf-madesa-acordes-270007-com-armario-e-balcao-frentes-branco-brilho-cor-branc-134523242.html" TargetMode="External"/><Relationship Id="rId31" Type="http://schemas.openxmlformats.org/officeDocument/2006/relationships/hyperlink" Target="https://www.madeiramadeira.com.br/armario-de-cozinha-completa-suspenso-240cm-cinza-663936177.html?index=vr-prod-poc-madeira-listings-best-seller-desc&amp;seller=17012" TargetMode="External"/><Relationship Id="rId4" Type="http://schemas.openxmlformats.org/officeDocument/2006/relationships/hyperlink" Target="https://www.madeiramadeira.com.br/guarda-roupa-solteiro-madesa-dallas-2-portas-de-correr-de-espelho-2-gavetas-branco-cor-branco-160696536.html?index=prod-poc-madeira" TargetMode="External"/><Relationship Id="rId9" Type="http://schemas.openxmlformats.org/officeDocument/2006/relationships/hyperlink" Target="https://www.madeiramadeira.com.br/rack-madesa-dubai-para-tv-ate-65-polegadas-com-pes-rustic-cor-rustic-276383392.html?index=prod-poc-madeira" TargetMode="External"/><Relationship Id="rId14" Type="http://schemas.openxmlformats.org/officeDocument/2006/relationships/hyperlink" Target="https://www.madeiramadeira.com.br/guarda-roupa-solteiro-madesa-dallas-plus-2-portas-de-correr-de-espelho-4-gavetas-preto-cor-preto-235441141.html" TargetMode="External"/><Relationship Id="rId22" Type="http://schemas.openxmlformats.org/officeDocument/2006/relationships/hyperlink" Target="https://www.madeiramadeira.com.br/conjunto-sala-de-jantar-madesa-rute-mesa-tampo-de-madeira-com-4-cadeiras-rustic-perola-cor-rustic-pe-200453321.html" TargetMode="External"/><Relationship Id="rId27" Type="http://schemas.openxmlformats.org/officeDocument/2006/relationships/hyperlink" Target="https://www.madeiramadeira.com.br/conjunto-sala-de-jantar-madesa-luana-mesa-tampo-de-madeira-com-4-cadeiras-rustic-bege-marrom-cor-rus-220538477.html?index=vr-prod-poc-madeira-listings-best-seller-desc&amp;seller=17012" TargetMode="External"/><Relationship Id="rId30" Type="http://schemas.openxmlformats.org/officeDocument/2006/relationships/hyperlink" Target="https://www.madeiramadeira.com.br/armario-de-cozinha-completa-suspenso-240cm-cinza-758111417.html" TargetMode="External"/><Relationship Id="rId35" Type="http://schemas.openxmlformats.org/officeDocument/2006/relationships/hyperlink" Target="https://www.madeiramadeira.com.br/guarda-roupa-casal-madesa-napoli-3-portas-de-correr-com-espelho-branco-cor-branco-384676114.html?index=prod-poc-madeira" TargetMode="External"/><Relationship Id="rId43" Type="http://schemas.openxmlformats.org/officeDocument/2006/relationships/hyperlink" Target="https://www.madeiramadeira.com.br/conjunto-sala-de-jantar-mesa-tampo-de-vidro-6-cadeiras-rust-905165098.html?index=prod-poc-madeira&amp;seller=17012" TargetMode="External"/><Relationship Id="rId8" Type="http://schemas.openxmlformats.org/officeDocument/2006/relationships/hyperlink" Target="https://www.madeiramadeira.com.br/guarda-roupa-solteiro-2-portas-branco-cinza-905565679.html?index=prod-poc-madeira" TargetMode="External"/><Relationship Id="rId3" Type="http://schemas.openxmlformats.org/officeDocument/2006/relationships/hyperlink" Target="https://www.madeiramadeira.com.br/guarda-roupa-casal-madesa-napoli-3-portas-de-correr-central-com-espelho-com-pes-branco-cor-branco-326146969.html?index=prod-poc-madeira" TargetMode="External"/><Relationship Id="rId12" Type="http://schemas.openxmlformats.org/officeDocument/2006/relationships/hyperlink" Target="https://www.madeiramadeira.com.br/rack-madesa-dubai-para-tv-ate-65-polegadas-com-pes-branco-rustic-095z-cor-branco-rustic-246706764.html" TargetMode="External"/><Relationship Id="rId17" Type="http://schemas.openxmlformats.org/officeDocument/2006/relationships/hyperlink" Target="https://www.madeiramadeira.com.br/cozinha-completa-madesa-agata-180002-com-armario-e-balcao-sem-tampo-e-pia-rustic-preto-442209207.html?index=vr-prod-poc-madeira-listings-best-seller-desc&amp;seller=17012" TargetMode="External"/><Relationship Id="rId25" Type="http://schemas.openxmlformats.org/officeDocument/2006/relationships/hyperlink" Target="https://www.madeiramadeira.com.br/conjunto-sala-de-jantar-madesa-luana-mesa-tampo-de-madeira-com-4-cadeiras-rustic-perola-cor-rustic-p-802916227.html?index=vr-prod-poc-madeira-listings-best-seller-desc&amp;seller=17012" TargetMode="External"/><Relationship Id="rId33" Type="http://schemas.openxmlformats.org/officeDocument/2006/relationships/hyperlink" Target="https://www.madeiramadeira.com.br/armario-de-cozinha-completa-300cm-cinza-nice-madesa-09-cinza-305948976.html?index=vr-prod-poc-madeira-listings-best-seller-desc&amp;seller=17012" TargetMode="External"/><Relationship Id="rId38" Type="http://schemas.openxmlformats.org/officeDocument/2006/relationships/hyperlink" Target="https://www.madeiramadeira.com.br/armario-de-cozinha-completa-de-canto-suspenso-405cm-nice-madesa-03-cinza-703310513.html?index=prod-poc-madeira&amp;seller=1701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m.br/Arm%C3%A1rio-De-Cozinha-Compacta-120cm-Cinza-Nice-01-Cinza-i.1215229492.22198726738?sp_atk=3cdf9908-008c-4f7d-825a-f2b8cbe2b3ee&amp;xptdk=3cdf9908-008c-4f7d-825a-f2b8cbe2b3ee" TargetMode="External"/><Relationship Id="rId2" Type="http://schemas.openxmlformats.org/officeDocument/2006/relationships/hyperlink" Target="https://shopee.com.br/Cristaleira-Suspensa-70-Cm-2-Portas-De-Vidro-Rustic-Madesa-i.1215229492.19898263253?sp_atk=705e4e56-20da-42fb-8f19-0815cf0c56b5&amp;xptdk=705e4e56-20da-42fb-8f19-0815cf0c56b5" TargetMode="External"/><Relationship Id="rId1" Type="http://schemas.openxmlformats.org/officeDocument/2006/relationships/hyperlink" Target="https://shopee.com.br/Conjunto-Sala-De-Jantar-Mesa-Tampo-De-Madeira-4-Cadeiras-Rustic-preto-Briana-Madesa-Rustic-preto-i.1215229492.19098264698?sp_atk=41459c34-dc62-481e-a363-7c967eef2c6a&amp;xptdk=41459c34-dc62-481e-a363-7c967eef2c6a" TargetMode="External"/><Relationship Id="rId4" Type="http://schemas.openxmlformats.org/officeDocument/2006/relationships/hyperlink" Target="https://shopee.com.br/Escrivaninha-Penteadeira-136cm-1-Porta-3-Gavetas-Tampo-De-Vidro-Madesa-Branco-i.1215229492.22498712003?sp_atk=afc5359d-d3c2-456b-9e9f-998bf564de4c&amp;xptdk=afc5359d-d3c2-456b-9e9f-998bf564de4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1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5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rcadolivre.com.br/kit-4-cadeiras-de-jantar-madesa-rusticperola-cor-da-estrutura-da-cadeira-rustic-cor-do-assento-perola-42905z4xtper/p/MLB22129874?pdp_filters=adult_content%3Ayes%7Cseller_id%3A618210172" TargetMode="External"/><Relationship Id="rId18" Type="http://schemas.openxmlformats.org/officeDocument/2006/relationships/hyperlink" Target="https://www.mercadolivre.com.br/kit-6-cadeiras-4290-madesa-rusticlirio-bege-cor-da-estrutura-da-cadeira-rustic-cor-do-assento-lirio-bege-desenho-do-tecido-lirio-bege/p/MLB21948630?pdp_filters=official_store%3A869" TargetMode="External"/><Relationship Id="rId26" Type="http://schemas.openxmlformats.org/officeDocument/2006/relationships/hyperlink" Target="https://www.mercadolivre.com.br/kit-4-cadeiras-4291-madesa-rusticcremahibiscos-cor-da-estrutura-da-cadeira-rusticcrema-cor-do-assento-hibiscos/p/MLB20972392?pdp_filters=official_store%3A869" TargetMode="External"/><Relationship Id="rId39" Type="http://schemas.openxmlformats.org/officeDocument/2006/relationships/hyperlink" Target="https://www.mercadolivre.com.br/sala-de-jantar-madesa-maris-mesa-tampo-de-madeira-6-cadeiras-cor-rusticfloral-hibiscos-044825zxtflh/p/MLB23612993?pdp_filters=official_store%3A869" TargetMode="External"/><Relationship Id="rId21" Type="http://schemas.openxmlformats.org/officeDocument/2006/relationships/hyperlink" Target="https://www.mercadolivre.com.br/guarda-roupa-casal-madesa-vip-6-portas-batentes-cor-rustic-16695z2/p/MLB21993399?pdp_filters=adult_content%3Ayes%7Cseller_id%3A618210172" TargetMode="External"/><Relationship Id="rId34" Type="http://schemas.openxmlformats.org/officeDocument/2006/relationships/hyperlink" Target="https://www.mercadolivre.com.br/rack-para-tv-ate-55-polegadas-le-mans-madesa-2-portas-pru-cor-rusticpreto-69487k1/p/MLB23384410?pdp_filters=official_store%3A869" TargetMode="External"/><Relationship Id="rId42" Type="http://schemas.openxmlformats.org/officeDocument/2006/relationships/hyperlink" Target="https://produto.mercadolivre.com.br/MLB-3578059291-armario-de-cozinha-reims-260002-com-balco-preto-rustic-_JM" TargetMode="External"/><Relationship Id="rId47" Type="http://schemas.openxmlformats.org/officeDocument/2006/relationships/hyperlink" Target="https://www.mercadolivre.com.br/rack-painel-para-tv-quarto-ate-65-polegadas-everest-madesa-rustic-xb70035z1/p/MLB23340077?pdp_filters=seller_id%3A618210172" TargetMode="External"/><Relationship Id="rId50" Type="http://schemas.openxmlformats.org/officeDocument/2006/relationships/hyperlink" Target="https://www.mercadolivre.com.br/sala-jantar-madesa-ohana-mesa-tampo-madeira-6-cadeiras-rcp-cor-rusticcremaperola/p/MLB23472382?pdp_filters=official_store%3A869" TargetMode="External"/><Relationship Id="rId55" Type="http://schemas.openxmlformats.org/officeDocument/2006/relationships/hyperlink" Target="https://www.mercadolivre.com.br/armario-cozinha-canto-madesa-emilly-play-aereo-vidro-reflex-cor-rusticpreto/p/MLB27972059?pdp_filters=seller_id%3A618210172" TargetMode="External"/><Relationship Id="rId63" Type="http://schemas.openxmlformats.org/officeDocument/2006/relationships/hyperlink" Target="https://www.mercadolivre.com.br/cozinha-compacta-madesa-emilly-gold-c-arma-balco-panelei-rp-cor-rusticpreto/p/MLB29699236?pdp_filters=seller_id%3A618210172" TargetMode="External"/><Relationship Id="rId7" Type="http://schemas.openxmlformats.org/officeDocument/2006/relationships/hyperlink" Target="https://www.mercadolivre.com.br/kit-4-cadeiras-em-mdf-e-mdp-madesa/p/MLB23448435?pdp_filters=official_store%3A869" TargetMode="External"/><Relationship Id="rId2" Type="http://schemas.openxmlformats.org/officeDocument/2006/relationships/hyperlink" Target="https://www.mercadolivre.com.br/kit-4-cadeiras-4290-madesa-rusticpreto-cor-da-estrutura-da-cadeira-rustic-cor-do-assento-preto-desenho-do-tecido-preto/p/MLB26868684?pdp_filters=official_store%3A869" TargetMode="External"/><Relationship Id="rId16" Type="http://schemas.openxmlformats.org/officeDocument/2006/relationships/hyperlink" Target="https://www.mercadolivre.com.br/kit-4-cadeiras-de-jantar-4291-madesa-rusticcremaperola-cor-da-estrutura-da-cadeira-rusticcrema-cor-do-assento-perola-42917g4xtper/p/MLB21849174?pdp_filters=official_store%3A869" TargetMode="External"/><Relationship Id="rId29" Type="http://schemas.openxmlformats.org/officeDocument/2006/relationships/hyperlink" Target="https://mercadolivre.com.br/sala-jantar-luana-madesa-mesa-tampo-madeira-4-cadeiras-rbm-cor-rusticbege-marrom-mdja0400885zfbm/p/MLB26423955?pdp_filters=adult_content%3Ayes%7Cseller_id%3A618210172" TargetMode="External"/><Relationship Id="rId11" Type="http://schemas.openxmlformats.org/officeDocument/2006/relationships/hyperlink" Target="https://www.mercadolivre.com.br/kit-4-cadeiras-4290-madesa-rusticlirio-bege-cor-da-estrutura-da-cadeira-rustic-cor-do-assento-lirio-bege-42905z4xtlib/p/MLB21561222?pdp_filters=adult_content%3Ayes%7Cseller_id%3A618210172" TargetMode="External"/><Relationship Id="rId24" Type="http://schemas.openxmlformats.org/officeDocument/2006/relationships/hyperlink" Target="https://www.mercadolivre.com.br/kit-4-cadeiras-4291-madesa-rusticcremabege-marrom-cor-da-estrutura-da-cadeira-rusticcrema-cor-do-assento-begemarrom-42917g4xtfbm/p/MLB20972327?pdp_filters=adult_content%3Ayes%7Cseller_id%3A618210172" TargetMode="External"/><Relationship Id="rId32" Type="http://schemas.openxmlformats.org/officeDocument/2006/relationships/hyperlink" Target="https://www.mercadolivre.com.br/sala-de-jantar-lexy-madesa-4-cadeiras-mesa-tampo-madeira-rlb-cor-rusticfloral-lirio-bege-044745zxtlib/p/MLB23136430?pdp_filters=official_store%3A869" TargetMode="External"/><Relationship Id="rId37" Type="http://schemas.openxmlformats.org/officeDocument/2006/relationships/hyperlink" Target="https://www.mercadolivre.com.br/armario-cozinha-completa-suspensa-modulada-com-balco-para-cooktop-240cm-cinza-madesa-nice-05/p/MLB29010057?pdp_filters=seller_id%3A618210172" TargetMode="External"/><Relationship Id="rId40" Type="http://schemas.openxmlformats.org/officeDocument/2006/relationships/hyperlink" Target="https://www.mercadolivre.com.br/guarda-roupa-solteiro-madesa-dallas-2-portas-correr-de-esp-b-cor-branco-1094092e2g/p/MLB27349505?pdp_filters=official_store%3A869" TargetMode="External"/><Relationship Id="rId45" Type="http://schemas.openxmlformats.org/officeDocument/2006/relationships/hyperlink" Target="https://www.mercadolivre.com.br/sala-de-jantar-madesa-gabi-mesa-tampo-de-madeira-2-cadeiras-cor-rusticpretosintetico-preto/p/MLB23999198?pdp_filters=seller_id%3A618210172" TargetMode="External"/><Relationship Id="rId53" Type="http://schemas.openxmlformats.org/officeDocument/2006/relationships/hyperlink" Target="https://www.mercadolivre.com.br/sala-jantar-mesa-tampo-madeira-4-cadeiras-karina-madesa-rcs-cor-rusticcinzasilver-desenho-do-tecido-das-cadeiras-liso-mdja040139f9sil/p/MLB23218635?pdp_filters=official_store%3A869" TargetMode="External"/><Relationship Id="rId58" Type="http://schemas.openxmlformats.org/officeDocument/2006/relationships/hyperlink" Target="https://www.mercadolivre.com.br/armario-de-cozinha-madesa-emilly-box-balco-e-aereo-vidro-cor-rusticpreto/p/MLB29668305?pdp_filters=seller_id%3A618210172" TargetMode="External"/><Relationship Id="rId5" Type="http://schemas.openxmlformats.org/officeDocument/2006/relationships/hyperlink" Target="https://www.mercadolivre.com.br/sala-jantar-mesa-tampo-madeira-4-cadeiras-samara-madesa-rcfh-cor-rusticcinzahibiscos-desenho-do-tecido-das-cadeiras-hibiscos/p/MLB26100827?pdp_filters=official_store%3A869" TargetMode="External"/><Relationship Id="rId61" Type="http://schemas.openxmlformats.org/officeDocument/2006/relationships/hyperlink" Target="https://www.mercadolivre.com.br/guarda-roupa-madesa-denver-2-portas-correr-espelho-com-pes-cor-branco/p/MLB27711890?pdp_filters=official_store%3A869" TargetMode="External"/><Relationship Id="rId19" Type="http://schemas.openxmlformats.org/officeDocument/2006/relationships/hyperlink" Target="https://www.mercadolivre.com.br/kit-6-cadeiras-4290-madesa-rusticperola-cor-da-estrutura-da-cadeira-rustic-42905z6xtper/p/MLB21849171?pdp_filters=adult_content%3Ayes%7Cseller_id%3A618210172" TargetMode="External"/><Relationship Id="rId14" Type="http://schemas.openxmlformats.org/officeDocument/2006/relationships/hyperlink" Target="https://www.mercadolivre.com.br/kit-4-cadeiras-de-jantar-madesa-rusticperola-cor-da-estrutura-da-cadeira-rustic-cor-do-assento-perola-42905z4xtper/p/MLB22129874?pdp_filters=official_store%3A869" TargetMode="External"/><Relationship Id="rId22" Type="http://schemas.openxmlformats.org/officeDocument/2006/relationships/hyperlink" Target="https://www.mercadolivre.com.br/guarda-roupa-casal-madesa-vip-6-portas-batentes-cor-rustic-16695z2/p/MLB21993399?pdp_filters=official_store%3A869" TargetMode="External"/><Relationship Id="rId27" Type="http://schemas.openxmlformats.org/officeDocument/2006/relationships/hyperlink" Target="https://www.mercadolivre.com.br/kit-2-cadeiras-de-jantar-4255-madesa-rustic-imperial-cor-do-assento-imperial-desenho-do-tecido-imperial-42555z2tsimk/p/MLB24201813?pdp_filters=adult_content%3Ayes%7Cseller_id%3A618210172" TargetMode="External"/><Relationship Id="rId30" Type="http://schemas.openxmlformats.org/officeDocument/2006/relationships/hyperlink" Target="https://www.mercadolivre.com.br/sala-jantar-luana-madesa-mesa-tampo-madeira-4-cadeiras-rbm-cor-rusticbege-marrom-mdja0400885zfbm/p/MLB26423955?pdp_filters=official_store%3A869" TargetMode="External"/><Relationship Id="rId35" Type="http://schemas.openxmlformats.org/officeDocument/2006/relationships/hyperlink" Target="https://www.mercadolivre.com.br/sala-de-jantar-madesa-gabi-mesa-tampo-de-madeira-2-cadeiras-cor-rusticcremaperola-mdja0200015zper/p/MLB23205259?pdp_filters=adult_content%3Ayes%7Cseller_id%3A618210172" TargetMode="External"/><Relationship Id="rId43" Type="http://schemas.openxmlformats.org/officeDocument/2006/relationships/hyperlink" Target="https://www.mercadolivre.com.br/guarda-roupa-casal-madesa-napoli-3-portas-com-espelho-cor-branco-1082093e/p/MLB23476331?pdp_filters=seller_id%3A618210172" TargetMode="External"/><Relationship Id="rId48" Type="http://schemas.openxmlformats.org/officeDocument/2006/relationships/hyperlink" Target="https://www.mercadolivre.com.br/rack-painel-para-tv-quarto-ate-65-polegadas-everest-madesa-rustic-xb70035z1/p/MLB23340077?pdp_filters=official_store%3A869" TargetMode="External"/><Relationship Id="rId56" Type="http://schemas.openxmlformats.org/officeDocument/2006/relationships/hyperlink" Target="https://produto.mercadolivre.com.br/MLB-3867979291-sala-de-jantar-maris-tampo-madeira6-cadeiras-rustic-madesa-_JM" TargetMode="External"/><Relationship Id="rId64" Type="http://schemas.openxmlformats.org/officeDocument/2006/relationships/hyperlink" Target="https://www.mercadolivre.com.br/cozinha-compacta-madesa-emilly-gold-c-arma-balco-panelei-rp-cor-rusticpreto/p/MLB29699236?pdp_filters=official_store%3A869" TargetMode="External"/><Relationship Id="rId8" Type="http://schemas.openxmlformats.org/officeDocument/2006/relationships/hyperlink" Target="https://www.mercadolivre.com.br/kit-4-cadeiras-rustic-preto-madesa/p/MLB21787807?pdp_filters=official_store%3A869" TargetMode="External"/><Relationship Id="rId51" Type="http://schemas.openxmlformats.org/officeDocument/2006/relationships/hyperlink" Target="https://www.mercadolivre.com.br/guarda-roupa-kremlin-reflecta-madesa-4-portas-de-correr-cor-branco-1060094rfct/p/MLB23998113?pdp_filters=official_store%3A869" TargetMode="External"/><Relationship Id="rId3" Type="http://schemas.openxmlformats.org/officeDocument/2006/relationships/hyperlink" Target="https://www.mercadolivre.com.br/sala-jantar-madesa-medelin-mesa-tampo-madeira-6-cadeiras-prs-cor-pretorusticsint-preto-mdja060017d8pt/p/MLB23563597?pdp_filters=adult_content%3Ayes%7Cseller_id%3A618210172" TargetMode="External"/><Relationship Id="rId12" Type="http://schemas.openxmlformats.org/officeDocument/2006/relationships/hyperlink" Target="https://www.mercadolivre.com.br/kit-4-cadeiras-4290-madesa-rusticlirio-bege-cor-da-estrutura-da-cadeira-rustic-cor-do-assento-lirio-bege-42905z4xtlib/p/MLB21561222?pdp_filters=official_store%3A869" TargetMode="External"/><Relationship Id="rId17" Type="http://schemas.openxmlformats.org/officeDocument/2006/relationships/hyperlink" Target="https://www.mercadolivre.com.br/kit-6-cadeiras-4290-madesa-rusticlirio-bege-cor-da-estrutura-da-cadeira-rustic-cor-do-assento-lirio-bege-desenho-do-tecido-lirio-bege/p/MLB21948630?pdp_filters=adult_content%3Ayes%7Cseller_id%3A618210172" TargetMode="External"/><Relationship Id="rId25" Type="http://schemas.openxmlformats.org/officeDocument/2006/relationships/hyperlink" Target="https://www.mercadolivre.com.br/kit-4-cadeiras-4291-madesa-rusticcremabege-marrom-cor-da-estrutura-da-cadeira-rusticcrema-cor-do-assento-begemarrom-42917g4xtfbm/p/MLB20972327?pdp_filters=official_store%3A869" TargetMode="External"/><Relationship Id="rId33" Type="http://schemas.openxmlformats.org/officeDocument/2006/relationships/hyperlink" Target="https://www.mercadolivre.com.br/rack-para-tv-ate-55-polegadas-le-mans-madesa-2-portas-pru-cor-rusticpreto-69487k1/p/MLB23384410?pdp_filters=adult_content%3Ayes%7Cseller_id%3A618210172" TargetMode="External"/><Relationship Id="rId38" Type="http://schemas.openxmlformats.org/officeDocument/2006/relationships/hyperlink" Target="https://www.mercadolivre.com.br/armario-cozinha-completa-suspensa-modulada-com-balco-para-cooktop-240cm-cinza-madesa-nice-05/p/MLB29010057?pdp_filters=official_store%3A869" TargetMode="External"/><Relationship Id="rId46" Type="http://schemas.openxmlformats.org/officeDocument/2006/relationships/hyperlink" Target="https://www.mercadolivre.com.br/kit-6-cadeiras-rusticpreto-madesa-4291/p/MLB21948629?pdp_filters=official_store%3A869" TargetMode="External"/><Relationship Id="rId59" Type="http://schemas.openxmlformats.org/officeDocument/2006/relationships/hyperlink" Target="https://www.mercadolivre.com.br/armario-de-cozinha-madesa-emilly-box-balco-e-aereo-vidro-cor-rusticpreto/p/MLB29668305?pdp_filters=official_store%3A869" TargetMode="External"/><Relationship Id="rId20" Type="http://schemas.openxmlformats.org/officeDocument/2006/relationships/hyperlink" Target="https://www.mercadolivre.com.br/kit-6-cadeiras-4290-madesa-rusticperola-cor-da-estrutura-da-cadeira-rustic-42905z6xtper/p/MLB21849171?pdp_filters=official_store%3A869" TargetMode="External"/><Relationship Id="rId41" Type="http://schemas.openxmlformats.org/officeDocument/2006/relationships/hyperlink" Target="https://produto.mercadolivre.com.br/MLB-3513983793-armario-de-cozinha-reims-260002-com-balco-preto-rustic-_JM" TargetMode="External"/><Relationship Id="rId54" Type="http://schemas.openxmlformats.org/officeDocument/2006/relationships/hyperlink" Target="https://www.mercadolivre.com.br/armario-cozinha-canto-madesa-emilly-play-aereo-vidro-reflex-cor-rusticpreto/p/MLB27972059?pdp_filters=official_store%3A869" TargetMode="External"/><Relationship Id="rId62" Type="http://schemas.openxmlformats.org/officeDocument/2006/relationships/hyperlink" Target="https://www.mercadolivre.com.br/sala-de-jantar-maya-madesa-mesa-tampo-vidro-4-cadeiras-rpe-cor-rusticperola/p/MLB23205322?pdp_filters=official_store%3A869" TargetMode="External"/><Relationship Id="rId1" Type="http://schemas.openxmlformats.org/officeDocument/2006/relationships/hyperlink" Target="https://www.mercadolivre.com.br/kit-4-cadeiras-4290-madesa-rusticpreto-cor-da-estrutura-da-cadeira-rustic-cor-do-assento-preto-desenho-do-tecido-preto/p/MLB26868684?pdp_filters=adult_content%3Ayes%7Cseller_id%3A618210172" TargetMode="External"/><Relationship Id="rId6" Type="http://schemas.openxmlformats.org/officeDocument/2006/relationships/hyperlink" Target="https://www.mercadolivre.com.br/kit-4-cadeiras-em-mdf-e-mdp-madesa/p/MLB23448435?pdp_filters=adult_content%3Ayes%7Cseller_id%3A618210172" TargetMode="External"/><Relationship Id="rId15" Type="http://schemas.openxmlformats.org/officeDocument/2006/relationships/hyperlink" Target="https://www.mercadolivre.com.br/kit-4-cadeiras-de-jantar-4291-madesa-rusticcremaperola-cor-da-estrutura-da-cadeira-rusticcrema-cor-do-assento-perola-42917g4xtper/p/MLB21849174?pdp_filters=adult_content%3Ayes%7Cseller_id%3A618210172" TargetMode="External"/><Relationship Id="rId23" Type="http://schemas.openxmlformats.org/officeDocument/2006/relationships/hyperlink" Target="https://www.mercadolivre.com.br/kit-4-cadeiras-4290-madesa-rusticbege-marrom-cor-da-estrutura-da-cadeira-rustic-cor-do-assento-begemarrom-42905z4xtfbm/p/MLB22850317?pdp_filters=official_store%3A869" TargetMode="External"/><Relationship Id="rId28" Type="http://schemas.openxmlformats.org/officeDocument/2006/relationships/hyperlink" Target="https://www.mercadolivre.com.br/kit-2-cadeiras-de-jantar-4255-madesa-rustic-imperial-cor-do-assento-imperial-desenho-do-tecido-imperial-42555z2tsimk/p/MLB24201813?pdp_filters=official_store%3A869" TargetMode="External"/><Relationship Id="rId36" Type="http://schemas.openxmlformats.org/officeDocument/2006/relationships/hyperlink" Target="https://www.mercadolivre.com.br/sala-de-jantar-madesa-gabi-mesa-tampo-de-madeira-2-cadeiras-cor-rusticcremaperola-mdja0200015zper/p/MLB23205259?pdp_filters=official_store%3A869" TargetMode="External"/><Relationship Id="rId49" Type="http://schemas.openxmlformats.org/officeDocument/2006/relationships/hyperlink" Target="https://www.mercadolivre.com.br/sala-de-jantar-madesa-rute-mesa-tampo-madeira-4-cadeiras-rpe-cor-rusticperola-044915zxtper/p/MLB23126528?pdp_filters=official_store%3A869" TargetMode="External"/><Relationship Id="rId57" Type="http://schemas.openxmlformats.org/officeDocument/2006/relationships/hyperlink" Target="https://produto.mercadolivre.com.br/MLB-3868863931-sala-de-jantar-maris-tampo-madeira6-cadeiras-rustic-madesa-_JM" TargetMode="External"/><Relationship Id="rId10" Type="http://schemas.openxmlformats.org/officeDocument/2006/relationships/hyperlink" Target="https://www.mercadolivre.com.br/kit-4-cadeiras-4290-madesa-rustichibiscos-cor-da-estrutura-da-cadeira-rustic-cor-do-assento-hibiscos-42905z4xtflh/p/MLB21948626?pdp_filters=official_store%3A869" TargetMode="External"/><Relationship Id="rId31" Type="http://schemas.openxmlformats.org/officeDocument/2006/relationships/hyperlink" Target="https://www.mercadolivre.com.br/sala-de-jantar-lexy-madesa-4-cadeiras-mesa-tampo-madeira-rlb-cor-rusticfloral-lirio-bege-044745zxtlib/p/MLB23136430?pdp_filters=adult_content%3Ayes%7Cseller_id%3A618210172" TargetMode="External"/><Relationship Id="rId44" Type="http://schemas.openxmlformats.org/officeDocument/2006/relationships/hyperlink" Target="https://www.mercadolivre.com.br/guarda-roupa-casal-madesa-napoli-3-portas-com-espelho-cor-branco-1082093e/p/MLB23476331?pdp_filters=official_store%3A869" TargetMode="External"/><Relationship Id="rId52" Type="http://schemas.openxmlformats.org/officeDocument/2006/relationships/hyperlink" Target="https://www.mercadolivre.com.br/sala-de-jantar-madesa-maya-mesa-tampo-vidro-com-4-cadeiras-cor-rusticsintetico-preto-mdja0400505zpt/p/MLB23955215?pdp_filters=official_store%3A869" TargetMode="External"/><Relationship Id="rId60" Type="http://schemas.openxmlformats.org/officeDocument/2006/relationships/hyperlink" Target="https://www.mercadolivre.com.br/guarda-roupa-madesa-denver-2-portas-correr-espelho-com-pes-cor-branco/p/MLB27711890?pdp_filters=seller_id%3A618210172" TargetMode="External"/><Relationship Id="rId4" Type="http://schemas.openxmlformats.org/officeDocument/2006/relationships/hyperlink" Target="https://www.mercadolivre.com.br/sala-jantar-madesa-medelin-mesa-tampo-madeira-6-cadeiras-prs-cor-pretorusticsint-preto-mdja060017d8pt/p/MLB23563597?pdp_filters=official_store%3A869" TargetMode="External"/><Relationship Id="rId9" Type="http://schemas.openxmlformats.org/officeDocument/2006/relationships/hyperlink" Target="https://www.mercadolivre.com.br/kit-4-cadeiras-4290-madesa-rustichibiscos-cor-da-estrutura-da-cadeira-rustic-cor-do-assento-hibiscos-42905z4xtflh/p/MLB21948626?pdp_filters=adult_content%3Ayes%7Cseller_id%3A618210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B364-B38B-47CD-83BD-2780C0860DD7}">
  <sheetPr>
    <tabColor rgb="FF92D050"/>
  </sheetPr>
  <dimension ref="A1:AF53"/>
  <sheetViews>
    <sheetView topLeftCell="A26" zoomScale="60" zoomScaleNormal="60" workbookViewId="0"/>
  </sheetViews>
  <sheetFormatPr defaultRowHeight="14.5" x14ac:dyDescent="0.35"/>
  <cols>
    <col min="1" max="1" width="22.54296875" style="1" customWidth="1"/>
    <col min="2" max="5" width="15.453125" style="1" customWidth="1"/>
    <col min="6" max="32" width="10.453125" style="1" customWidth="1"/>
  </cols>
  <sheetData>
    <row r="1" spans="1:32" s="4" customFormat="1" ht="43.5" x14ac:dyDescent="0.35">
      <c r="A1" s="7" t="s">
        <v>0</v>
      </c>
      <c r="B1" s="8" t="s">
        <v>263</v>
      </c>
      <c r="C1" s="8"/>
      <c r="D1" s="8"/>
      <c r="E1" s="8"/>
      <c r="F1" s="10" t="s">
        <v>237</v>
      </c>
      <c r="G1" s="11" t="s">
        <v>238</v>
      </c>
      <c r="H1" s="12" t="s">
        <v>239</v>
      </c>
      <c r="I1" s="13" t="s">
        <v>240</v>
      </c>
      <c r="J1" s="14" t="s">
        <v>241</v>
      </c>
      <c r="K1" s="15" t="s">
        <v>242</v>
      </c>
      <c r="L1" s="14" t="s">
        <v>243</v>
      </c>
      <c r="M1" s="14" t="s">
        <v>244</v>
      </c>
      <c r="N1" s="16" t="s">
        <v>245</v>
      </c>
      <c r="O1" s="14" t="s">
        <v>246</v>
      </c>
      <c r="P1" s="17" t="s">
        <v>247</v>
      </c>
      <c r="Q1" s="13" t="s">
        <v>248</v>
      </c>
      <c r="R1" s="12" t="s">
        <v>249</v>
      </c>
      <c r="S1" s="18" t="s">
        <v>250</v>
      </c>
      <c r="T1" s="19" t="s">
        <v>251</v>
      </c>
      <c r="U1" s="19" t="s">
        <v>264</v>
      </c>
      <c r="V1" s="15" t="s">
        <v>252</v>
      </c>
      <c r="W1" s="13" t="s">
        <v>253</v>
      </c>
      <c r="X1" s="14" t="s">
        <v>254</v>
      </c>
      <c r="Y1" s="16" t="s">
        <v>255</v>
      </c>
      <c r="Z1" s="18" t="s">
        <v>256</v>
      </c>
      <c r="AA1" s="17" t="s">
        <v>257</v>
      </c>
      <c r="AB1" s="17" t="s">
        <v>258</v>
      </c>
      <c r="AC1" s="17" t="s">
        <v>259</v>
      </c>
      <c r="AD1" s="17" t="s">
        <v>260</v>
      </c>
      <c r="AE1" s="16" t="s">
        <v>261</v>
      </c>
      <c r="AF1" s="16" t="s">
        <v>262</v>
      </c>
    </row>
    <row r="2" spans="1:32" x14ac:dyDescent="0.35">
      <c r="A2" s="9" t="s">
        <v>78</v>
      </c>
      <c r="B2" s="9">
        <v>519.98</v>
      </c>
      <c r="C2" s="9">
        <v>397.58840000000004</v>
      </c>
      <c r="D2" s="20">
        <f t="shared" ref="D2:D33" si="0">B2/C2-1</f>
        <v>0.30783493683417307</v>
      </c>
      <c r="E2" s="9">
        <f>ROUNDUP(B2+10,-1)-0.01</f>
        <v>529.99</v>
      </c>
      <c r="F2" s="6">
        <v>529.99</v>
      </c>
      <c r="G2" s="6"/>
      <c r="H2" s="6">
        <v>529.99</v>
      </c>
      <c r="I2" s="6">
        <v>529.99</v>
      </c>
      <c r="J2" s="6">
        <v>529.99</v>
      </c>
      <c r="K2" s="6"/>
      <c r="L2" s="6">
        <v>529.99</v>
      </c>
      <c r="M2" s="6">
        <v>529.99</v>
      </c>
      <c r="N2" s="6"/>
      <c r="O2" s="6">
        <v>529.99</v>
      </c>
      <c r="P2" s="6"/>
      <c r="Q2" s="6"/>
      <c r="R2" s="6">
        <v>529.99</v>
      </c>
      <c r="S2" s="6"/>
      <c r="T2" s="6"/>
      <c r="U2" s="6"/>
      <c r="V2" s="6"/>
      <c r="W2" s="6">
        <v>529.99</v>
      </c>
      <c r="X2" s="6">
        <v>529.99</v>
      </c>
      <c r="Y2" s="6">
        <v>529.99</v>
      </c>
      <c r="Z2" s="6">
        <v>529.99</v>
      </c>
      <c r="AA2" s="6"/>
      <c r="AB2" s="6"/>
      <c r="AC2" s="6"/>
      <c r="AD2" s="6"/>
      <c r="AE2" s="6">
        <v>529.99</v>
      </c>
      <c r="AF2" s="6">
        <f t="shared" ref="AF2:AF7" si="1">ROUNDUP(AE2+10,-1)-0.01</f>
        <v>539.99</v>
      </c>
    </row>
    <row r="3" spans="1:32" x14ac:dyDescent="0.35">
      <c r="A3" s="9" t="s">
        <v>58</v>
      </c>
      <c r="B3" s="9">
        <v>879.96</v>
      </c>
      <c r="C3" s="9">
        <v>686.99430000000007</v>
      </c>
      <c r="D3" s="20">
        <f t="shared" si="0"/>
        <v>0.28088398986716467</v>
      </c>
      <c r="E3" s="9">
        <f t="shared" ref="E3:E53" si="2">ROUNDUP(B3+10,-1)-0.01</f>
        <v>889.99</v>
      </c>
      <c r="F3" s="6">
        <v>889.99</v>
      </c>
      <c r="G3" s="6">
        <v>889.99</v>
      </c>
      <c r="H3" s="6">
        <v>889.99</v>
      </c>
      <c r="I3" s="6">
        <v>889.99</v>
      </c>
      <c r="J3" s="6">
        <v>889.99</v>
      </c>
      <c r="K3" s="6">
        <v>889.99</v>
      </c>
      <c r="L3" s="6">
        <v>889.99</v>
      </c>
      <c r="M3" s="6">
        <v>889.99</v>
      </c>
      <c r="N3" s="6">
        <v>889.99</v>
      </c>
      <c r="O3" s="6"/>
      <c r="P3" s="6"/>
      <c r="Q3" s="6">
        <v>889.99</v>
      </c>
      <c r="R3" s="6">
        <v>889.99</v>
      </c>
      <c r="S3" s="6"/>
      <c r="T3" s="6"/>
      <c r="U3" s="6"/>
      <c r="V3" s="6"/>
      <c r="W3" s="6">
        <v>889.99</v>
      </c>
      <c r="X3" s="6">
        <v>889.99</v>
      </c>
      <c r="Y3" s="6">
        <v>889.99</v>
      </c>
      <c r="Z3" s="6">
        <v>889.99</v>
      </c>
      <c r="AA3" s="6"/>
      <c r="AB3" s="6"/>
      <c r="AC3" s="6"/>
      <c r="AD3" s="6"/>
      <c r="AE3" s="6">
        <v>889.99</v>
      </c>
      <c r="AF3" s="6">
        <f t="shared" si="1"/>
        <v>899.99</v>
      </c>
    </row>
    <row r="4" spans="1:32" x14ac:dyDescent="0.35">
      <c r="A4" s="9" t="s">
        <v>122</v>
      </c>
      <c r="B4" s="9">
        <v>729.96</v>
      </c>
      <c r="C4" s="9">
        <v>562.77789999999993</v>
      </c>
      <c r="D4" s="20">
        <f t="shared" si="0"/>
        <v>0.29706585848520373</v>
      </c>
      <c r="E4" s="9">
        <f t="shared" si="2"/>
        <v>739.99</v>
      </c>
      <c r="F4" s="6">
        <v>739.99</v>
      </c>
      <c r="G4" s="6"/>
      <c r="H4" s="6">
        <v>739.99</v>
      </c>
      <c r="I4" s="6">
        <v>739.99</v>
      </c>
      <c r="J4" s="6">
        <v>739.99</v>
      </c>
      <c r="K4" s="6">
        <v>739.99</v>
      </c>
      <c r="L4" s="6">
        <v>739.99</v>
      </c>
      <c r="M4" s="6">
        <v>739.99</v>
      </c>
      <c r="N4" s="6"/>
      <c r="O4" s="6">
        <v>739.99</v>
      </c>
      <c r="P4" s="6">
        <v>739.9</v>
      </c>
      <c r="Q4" s="6">
        <v>739.99</v>
      </c>
      <c r="R4" s="6">
        <v>739.99</v>
      </c>
      <c r="S4" s="6"/>
      <c r="T4" s="6"/>
      <c r="U4" s="6"/>
      <c r="V4" s="6"/>
      <c r="W4" s="6"/>
      <c r="X4" s="6">
        <v>739.99</v>
      </c>
      <c r="Y4" s="6">
        <v>739.99</v>
      </c>
      <c r="Z4" s="6">
        <v>739.99</v>
      </c>
      <c r="AA4" s="6"/>
      <c r="AB4" s="6"/>
      <c r="AC4" s="6"/>
      <c r="AD4" s="6"/>
      <c r="AE4" s="6">
        <v>739.99</v>
      </c>
      <c r="AF4" s="6">
        <f t="shared" si="1"/>
        <v>749.99</v>
      </c>
    </row>
    <row r="5" spans="1:32" x14ac:dyDescent="0.35">
      <c r="A5" s="9" t="s">
        <v>27</v>
      </c>
      <c r="B5" s="9">
        <v>739.91</v>
      </c>
      <c r="C5" s="9">
        <v>562.77789999999993</v>
      </c>
      <c r="D5" s="20">
        <f t="shared" si="0"/>
        <v>0.31474601259217905</v>
      </c>
      <c r="E5" s="9">
        <f t="shared" si="2"/>
        <v>749.99</v>
      </c>
      <c r="F5" s="6">
        <v>749.99</v>
      </c>
      <c r="G5" s="6"/>
      <c r="H5" s="6">
        <v>749.99</v>
      </c>
      <c r="I5" s="6">
        <v>749.99</v>
      </c>
      <c r="J5" s="6">
        <v>749.99</v>
      </c>
      <c r="K5" s="6">
        <v>749.99</v>
      </c>
      <c r="L5" s="6">
        <v>749.99</v>
      </c>
      <c r="M5" s="6">
        <v>749.99</v>
      </c>
      <c r="N5" s="6"/>
      <c r="O5" s="6">
        <v>749.99</v>
      </c>
      <c r="P5" s="6">
        <v>749.9</v>
      </c>
      <c r="Q5" s="6">
        <v>749.99</v>
      </c>
      <c r="R5" s="6">
        <v>749.99</v>
      </c>
      <c r="S5" s="6"/>
      <c r="T5" s="6"/>
      <c r="U5" s="6"/>
      <c r="V5" s="6"/>
      <c r="W5" s="6"/>
      <c r="X5" s="6">
        <v>749.99</v>
      </c>
      <c r="Y5" s="6">
        <v>749.99</v>
      </c>
      <c r="Z5" s="6">
        <v>749.99</v>
      </c>
      <c r="AA5" s="6"/>
      <c r="AB5" s="6"/>
      <c r="AC5" s="6"/>
      <c r="AD5" s="6"/>
      <c r="AE5" s="6">
        <v>749.99</v>
      </c>
      <c r="AF5" s="6">
        <f t="shared" si="1"/>
        <v>759.99</v>
      </c>
    </row>
    <row r="6" spans="1:32" x14ac:dyDescent="0.35">
      <c r="A6" s="9" t="s">
        <v>54</v>
      </c>
      <c r="B6" s="9">
        <v>559.91</v>
      </c>
      <c r="C6" s="9">
        <v>427.73780000000005</v>
      </c>
      <c r="D6" s="20">
        <f t="shared" si="0"/>
        <v>0.30900285174702802</v>
      </c>
      <c r="E6" s="9">
        <f t="shared" si="2"/>
        <v>569.99</v>
      </c>
      <c r="F6" s="6">
        <v>569.99</v>
      </c>
      <c r="G6" s="6"/>
      <c r="H6" s="6">
        <v>569.99</v>
      </c>
      <c r="I6" s="6">
        <v>569.99</v>
      </c>
      <c r="J6" s="6">
        <v>569.99</v>
      </c>
      <c r="K6" s="6">
        <v>569.99</v>
      </c>
      <c r="L6" s="6">
        <v>569.99</v>
      </c>
      <c r="M6" s="6">
        <v>569.99</v>
      </c>
      <c r="N6" s="6"/>
      <c r="O6" s="6">
        <v>569.99</v>
      </c>
      <c r="P6" s="6"/>
      <c r="Q6" s="6">
        <v>569.99</v>
      </c>
      <c r="R6" s="6"/>
      <c r="S6" s="6"/>
      <c r="T6" s="6"/>
      <c r="U6" s="6"/>
      <c r="V6" s="6"/>
      <c r="W6" s="6">
        <v>569.99</v>
      </c>
      <c r="X6" s="6">
        <v>569.99</v>
      </c>
      <c r="Y6" s="6">
        <v>569.99</v>
      </c>
      <c r="Z6" s="6">
        <v>569.99</v>
      </c>
      <c r="AA6" s="6"/>
      <c r="AB6" s="6"/>
      <c r="AC6" s="6"/>
      <c r="AD6" s="6"/>
      <c r="AE6" s="6">
        <v>569.99</v>
      </c>
      <c r="AF6" s="6">
        <f t="shared" si="1"/>
        <v>579.99</v>
      </c>
    </row>
    <row r="7" spans="1:32" x14ac:dyDescent="0.35">
      <c r="A7" s="9" t="s">
        <v>101</v>
      </c>
      <c r="B7" s="9">
        <v>4539.97</v>
      </c>
      <c r="C7" s="9">
        <v>3743.2889000000005</v>
      </c>
      <c r="D7" s="20">
        <f t="shared" si="0"/>
        <v>0.21282917810591639</v>
      </c>
      <c r="E7" s="9">
        <f t="shared" si="2"/>
        <v>4549.99</v>
      </c>
      <c r="F7" s="6">
        <v>4549.99</v>
      </c>
      <c r="G7" s="6">
        <v>4549.99</v>
      </c>
      <c r="H7" s="6">
        <v>4549.99</v>
      </c>
      <c r="I7" s="6">
        <v>4549.99</v>
      </c>
      <c r="J7" s="6"/>
      <c r="K7" s="6">
        <v>4549.99</v>
      </c>
      <c r="L7" s="6">
        <v>4549.99</v>
      </c>
      <c r="M7" s="6">
        <v>4549.99</v>
      </c>
      <c r="N7" s="6">
        <v>4549.99</v>
      </c>
      <c r="O7" s="6"/>
      <c r="P7" s="6">
        <v>4549.8999999999996</v>
      </c>
      <c r="Q7" s="6">
        <v>4549.99</v>
      </c>
      <c r="R7" s="6">
        <v>4549.99</v>
      </c>
      <c r="S7" s="6"/>
      <c r="T7" s="6"/>
      <c r="U7" s="6"/>
      <c r="V7" s="6">
        <v>4549.99</v>
      </c>
      <c r="W7" s="6">
        <v>4549.99</v>
      </c>
      <c r="X7" s="6">
        <v>4549.99</v>
      </c>
      <c r="Y7" s="6">
        <v>4549.99</v>
      </c>
      <c r="Z7" s="6">
        <v>4549.99</v>
      </c>
      <c r="AA7" s="6">
        <v>4549.99</v>
      </c>
      <c r="AB7" s="6">
        <v>4549.99</v>
      </c>
      <c r="AC7" s="6">
        <v>4549.99</v>
      </c>
      <c r="AD7" s="6">
        <v>4549.99</v>
      </c>
      <c r="AE7" s="6">
        <v>4549.99</v>
      </c>
      <c r="AF7" s="6">
        <f t="shared" si="1"/>
        <v>4559.99</v>
      </c>
    </row>
    <row r="8" spans="1:32" x14ac:dyDescent="0.35">
      <c r="A8" s="9" t="s">
        <v>49</v>
      </c>
      <c r="B8" s="9">
        <v>1699.97</v>
      </c>
      <c r="C8" s="9">
        <v>1373.5417000000002</v>
      </c>
      <c r="D8" s="20">
        <f t="shared" si="0"/>
        <v>0.23765445199079127</v>
      </c>
      <c r="E8" s="9">
        <f t="shared" si="2"/>
        <v>1709.99</v>
      </c>
      <c r="F8" s="6">
        <v>1719.99</v>
      </c>
      <c r="G8" s="6">
        <v>1719.99</v>
      </c>
      <c r="H8" s="6">
        <v>1719.99</v>
      </c>
      <c r="I8" s="6">
        <v>1719.99</v>
      </c>
      <c r="J8" s="6">
        <v>1719.99</v>
      </c>
      <c r="K8" s="6">
        <v>1719.99</v>
      </c>
      <c r="L8" s="6">
        <v>1719.99</v>
      </c>
      <c r="M8" s="6">
        <v>1719.99</v>
      </c>
      <c r="N8" s="6"/>
      <c r="O8" s="6"/>
      <c r="P8" s="6">
        <v>1719.9</v>
      </c>
      <c r="Q8" s="6">
        <v>1719.99</v>
      </c>
      <c r="R8" s="6">
        <v>1719.99</v>
      </c>
      <c r="S8" s="6"/>
      <c r="T8" s="6"/>
      <c r="U8" s="6"/>
      <c r="V8" s="6">
        <v>1719.99</v>
      </c>
      <c r="W8" s="6">
        <v>1719.99</v>
      </c>
      <c r="X8" s="6">
        <v>1719.99</v>
      </c>
      <c r="Y8" s="6">
        <v>1719.99</v>
      </c>
      <c r="Z8" s="6">
        <v>1719.99</v>
      </c>
      <c r="AA8" s="6"/>
      <c r="AB8" s="6"/>
      <c r="AC8" s="6"/>
      <c r="AD8" s="6"/>
      <c r="AE8" s="6">
        <v>1719.99</v>
      </c>
      <c r="AF8" s="6">
        <v>1719.99</v>
      </c>
    </row>
    <row r="9" spans="1:32" x14ac:dyDescent="0.35">
      <c r="A9" s="9" t="s">
        <v>40</v>
      </c>
      <c r="B9" s="9">
        <v>799.96</v>
      </c>
      <c r="C9" s="9">
        <v>628.13430000000005</v>
      </c>
      <c r="D9" s="20">
        <f t="shared" si="0"/>
        <v>0.27354930307101522</v>
      </c>
      <c r="E9" s="9">
        <f t="shared" si="2"/>
        <v>809.99</v>
      </c>
      <c r="F9" s="6">
        <v>819.99</v>
      </c>
      <c r="G9" s="6"/>
      <c r="H9" s="6">
        <v>819.99</v>
      </c>
      <c r="I9" s="6">
        <v>819.99</v>
      </c>
      <c r="J9" s="6">
        <v>819.99</v>
      </c>
      <c r="K9" s="6">
        <v>819.99</v>
      </c>
      <c r="L9" s="6">
        <v>819.99</v>
      </c>
      <c r="M9" s="6">
        <v>819.99</v>
      </c>
      <c r="N9" s="6"/>
      <c r="O9" s="6">
        <v>819.99</v>
      </c>
      <c r="P9" s="6">
        <v>819.9</v>
      </c>
      <c r="Q9" s="6">
        <v>819.99</v>
      </c>
      <c r="R9" s="6">
        <v>819.99</v>
      </c>
      <c r="S9" s="6">
        <v>819.99</v>
      </c>
      <c r="T9" s="6">
        <v>819.99</v>
      </c>
      <c r="U9" s="6"/>
      <c r="V9" s="6">
        <v>819.99</v>
      </c>
      <c r="W9" s="6">
        <v>819.99</v>
      </c>
      <c r="X9" s="6">
        <v>819.99</v>
      </c>
      <c r="Y9" s="6">
        <v>819.99</v>
      </c>
      <c r="Z9" s="6">
        <v>819.99</v>
      </c>
      <c r="AA9" s="6"/>
      <c r="AB9" s="6"/>
      <c r="AC9" s="6"/>
      <c r="AD9" s="6"/>
      <c r="AE9" s="6">
        <v>819.99</v>
      </c>
      <c r="AF9" s="6">
        <v>819.99</v>
      </c>
    </row>
    <row r="10" spans="1:32" x14ac:dyDescent="0.35">
      <c r="A10" s="9" t="s">
        <v>104</v>
      </c>
      <c r="B10" s="9">
        <v>1479.97</v>
      </c>
      <c r="C10" s="9">
        <v>1198.5095000000001</v>
      </c>
      <c r="D10" s="20">
        <f t="shared" si="0"/>
        <v>0.23484211013763345</v>
      </c>
      <c r="E10" s="9">
        <f t="shared" si="2"/>
        <v>1489.99</v>
      </c>
      <c r="F10" s="6">
        <v>1489.99</v>
      </c>
      <c r="G10" s="6"/>
      <c r="H10" s="6">
        <v>1489.99</v>
      </c>
      <c r="I10" s="6">
        <v>1489.99</v>
      </c>
      <c r="J10" s="6">
        <v>1489.99</v>
      </c>
      <c r="K10" s="6"/>
      <c r="L10" s="6">
        <v>1489.99</v>
      </c>
      <c r="M10" s="6">
        <v>1489.99</v>
      </c>
      <c r="N10" s="6">
        <v>1489.99</v>
      </c>
      <c r="O10" s="6"/>
      <c r="P10" s="6">
        <v>1489.9</v>
      </c>
      <c r="Q10" s="6"/>
      <c r="R10" s="6">
        <v>1489.99</v>
      </c>
      <c r="S10" s="6"/>
      <c r="T10" s="6"/>
      <c r="U10" s="6"/>
      <c r="V10" s="6">
        <v>1489.99</v>
      </c>
      <c r="W10" s="6">
        <v>1489.99</v>
      </c>
      <c r="X10" s="6">
        <v>1489.99</v>
      </c>
      <c r="Y10" s="6">
        <v>1489.99</v>
      </c>
      <c r="Z10" s="6">
        <v>1489.99</v>
      </c>
      <c r="AA10" s="6"/>
      <c r="AB10" s="6"/>
      <c r="AC10" s="6"/>
      <c r="AD10" s="6"/>
      <c r="AE10" s="6">
        <v>1489.99</v>
      </c>
      <c r="AF10" s="6">
        <f t="shared" ref="AF10:AF15" si="3">ROUNDUP(AE10+10,-1)-0.01</f>
        <v>1499.99</v>
      </c>
    </row>
    <row r="11" spans="1:32" x14ac:dyDescent="0.35">
      <c r="A11" s="9" t="s">
        <v>31</v>
      </c>
      <c r="B11" s="9">
        <v>839.91</v>
      </c>
      <c r="C11" s="9">
        <v>648.13580000000002</v>
      </c>
      <c r="D11" s="20">
        <f t="shared" si="0"/>
        <v>0.29588583133349511</v>
      </c>
      <c r="E11" s="9">
        <f t="shared" si="2"/>
        <v>849.99</v>
      </c>
      <c r="F11" s="6">
        <v>849.99</v>
      </c>
      <c r="G11" s="6"/>
      <c r="H11" s="6">
        <v>849.99</v>
      </c>
      <c r="I11" s="6">
        <v>849.99</v>
      </c>
      <c r="J11" s="6">
        <v>849.99</v>
      </c>
      <c r="K11" s="6"/>
      <c r="L11" s="6">
        <v>849.99</v>
      </c>
      <c r="M11" s="6">
        <v>849.99</v>
      </c>
      <c r="N11" s="6"/>
      <c r="O11" s="6"/>
      <c r="P11" s="6">
        <v>849.9</v>
      </c>
      <c r="Q11" s="6"/>
      <c r="R11" s="6">
        <v>849.99</v>
      </c>
      <c r="S11" s="6"/>
      <c r="T11" s="6"/>
      <c r="U11" s="6"/>
      <c r="V11" s="6">
        <v>849.99</v>
      </c>
      <c r="W11" s="6">
        <v>849.99</v>
      </c>
      <c r="X11" s="6">
        <v>849.99</v>
      </c>
      <c r="Y11" s="6">
        <v>849.99</v>
      </c>
      <c r="Z11" s="6">
        <v>849.99</v>
      </c>
      <c r="AA11" s="6"/>
      <c r="AB11" s="6"/>
      <c r="AC11" s="6"/>
      <c r="AD11" s="6"/>
      <c r="AE11" s="6">
        <v>849.99</v>
      </c>
      <c r="AF11" s="6">
        <f t="shared" si="3"/>
        <v>859.99</v>
      </c>
    </row>
    <row r="12" spans="1:32" x14ac:dyDescent="0.35">
      <c r="A12" s="9" t="s">
        <v>102</v>
      </c>
      <c r="B12" s="9">
        <v>1029.97</v>
      </c>
      <c r="C12" s="9">
        <v>831.76810000000012</v>
      </c>
      <c r="D12" s="20">
        <f t="shared" si="0"/>
        <v>0.23828985506897893</v>
      </c>
      <c r="E12" s="9">
        <f t="shared" si="2"/>
        <v>1039.99</v>
      </c>
      <c r="F12" s="6">
        <v>1039.99</v>
      </c>
      <c r="G12" s="6"/>
      <c r="H12" s="6">
        <v>1039.99</v>
      </c>
      <c r="I12" s="6">
        <v>1039.99</v>
      </c>
      <c r="J12" s="6">
        <v>1039.99</v>
      </c>
      <c r="K12" s="6"/>
      <c r="L12" s="6">
        <v>1039.99</v>
      </c>
      <c r="M12" s="6">
        <v>1039.99</v>
      </c>
      <c r="N12" s="6"/>
      <c r="O12" s="6"/>
      <c r="P12" s="6">
        <v>1039.9000000000001</v>
      </c>
      <c r="Q12" s="6"/>
      <c r="R12" s="6"/>
      <c r="S12" s="6"/>
      <c r="T12" s="6"/>
      <c r="U12" s="6"/>
      <c r="V12" s="6">
        <v>1039.99</v>
      </c>
      <c r="W12" s="6">
        <v>1039.99</v>
      </c>
      <c r="X12" s="6">
        <v>1039.99</v>
      </c>
      <c r="Y12" s="6">
        <v>1039.99</v>
      </c>
      <c r="Z12" s="6">
        <v>1039.99</v>
      </c>
      <c r="AA12" s="6"/>
      <c r="AB12" s="6"/>
      <c r="AC12" s="6"/>
      <c r="AD12" s="6"/>
      <c r="AE12" s="6">
        <v>1039.99</v>
      </c>
      <c r="AF12" s="6">
        <f t="shared" si="3"/>
        <v>1049.99</v>
      </c>
    </row>
    <row r="13" spans="1:32" x14ac:dyDescent="0.35">
      <c r="A13" s="9" t="s">
        <v>48</v>
      </c>
      <c r="B13" s="9">
        <v>1169.97</v>
      </c>
      <c r="C13" s="9">
        <v>922.06370000000004</v>
      </c>
      <c r="D13" s="20">
        <f t="shared" si="0"/>
        <v>0.26886027505474952</v>
      </c>
      <c r="E13" s="9">
        <f t="shared" si="2"/>
        <v>1179.99</v>
      </c>
      <c r="F13" s="6">
        <v>1179.99</v>
      </c>
      <c r="G13" s="6">
        <v>1179.99</v>
      </c>
      <c r="H13" s="6">
        <v>1179.99</v>
      </c>
      <c r="I13" s="6">
        <v>1179.99</v>
      </c>
      <c r="J13" s="6">
        <v>1179.99</v>
      </c>
      <c r="K13" s="6">
        <v>1179.99</v>
      </c>
      <c r="L13" s="6">
        <v>1179.99</v>
      </c>
      <c r="M13" s="6">
        <v>1179.99</v>
      </c>
      <c r="N13" s="6">
        <v>1179.99</v>
      </c>
      <c r="O13" s="6">
        <v>1179.99</v>
      </c>
      <c r="P13" s="6">
        <v>1179.9000000000001</v>
      </c>
      <c r="Q13" s="6">
        <v>1179.99</v>
      </c>
      <c r="R13" s="6">
        <v>1179.99</v>
      </c>
      <c r="S13" s="6"/>
      <c r="T13" s="6"/>
      <c r="U13" s="6"/>
      <c r="V13" s="6">
        <v>1179.99</v>
      </c>
      <c r="W13" s="6">
        <v>1179.99</v>
      </c>
      <c r="X13" s="6">
        <v>1179.99</v>
      </c>
      <c r="Y13" s="6">
        <v>1179.99</v>
      </c>
      <c r="Z13" s="6">
        <v>1179.99</v>
      </c>
      <c r="AA13" s="6"/>
      <c r="AB13" s="6"/>
      <c r="AC13" s="6"/>
      <c r="AD13" s="6"/>
      <c r="AE13" s="6">
        <v>1179.99</v>
      </c>
      <c r="AF13" s="6">
        <f t="shared" si="3"/>
        <v>1189.99</v>
      </c>
    </row>
    <row r="14" spans="1:32" x14ac:dyDescent="0.35">
      <c r="A14" s="9" t="s">
        <v>33</v>
      </c>
      <c r="B14" s="9">
        <v>979.91</v>
      </c>
      <c r="C14" s="9">
        <v>756.52539999999999</v>
      </c>
      <c r="D14" s="20">
        <f t="shared" si="0"/>
        <v>0.29527706538339626</v>
      </c>
      <c r="E14" s="9">
        <f t="shared" si="2"/>
        <v>989.99</v>
      </c>
      <c r="F14" s="6">
        <v>989.99</v>
      </c>
      <c r="G14" s="6"/>
      <c r="H14" s="6">
        <v>989.99</v>
      </c>
      <c r="I14" s="6">
        <v>989.99</v>
      </c>
      <c r="J14" s="6">
        <v>989.99</v>
      </c>
      <c r="K14" s="6">
        <v>989.99</v>
      </c>
      <c r="L14" s="6">
        <v>989.99</v>
      </c>
      <c r="M14" s="6">
        <v>989.99</v>
      </c>
      <c r="N14" s="6">
        <v>989.99</v>
      </c>
      <c r="O14" s="6"/>
      <c r="P14" s="6">
        <v>989.9</v>
      </c>
      <c r="Q14" s="6">
        <v>989.99</v>
      </c>
      <c r="R14" s="6">
        <v>989.99</v>
      </c>
      <c r="S14" s="6"/>
      <c r="T14" s="6">
        <v>989.99</v>
      </c>
      <c r="U14" s="6"/>
      <c r="V14" s="6">
        <v>989.99</v>
      </c>
      <c r="W14" s="6">
        <v>989.99</v>
      </c>
      <c r="X14" s="6">
        <v>989.99</v>
      </c>
      <c r="Y14" s="6">
        <v>989.99</v>
      </c>
      <c r="Z14" s="6">
        <v>989.99</v>
      </c>
      <c r="AA14" s="6">
        <v>989.99</v>
      </c>
      <c r="AB14" s="6"/>
      <c r="AC14" s="6">
        <v>989.99</v>
      </c>
      <c r="AD14" s="6"/>
      <c r="AE14" s="6">
        <v>989.99</v>
      </c>
      <c r="AF14" s="6">
        <f t="shared" si="3"/>
        <v>999.99</v>
      </c>
    </row>
    <row r="15" spans="1:32" x14ac:dyDescent="0.35">
      <c r="A15" s="9" t="s">
        <v>60</v>
      </c>
      <c r="B15" s="9">
        <v>1119.97</v>
      </c>
      <c r="C15" s="9">
        <v>876.08750000000009</v>
      </c>
      <c r="D15" s="20">
        <f t="shared" si="0"/>
        <v>0.2783768744560331</v>
      </c>
      <c r="E15" s="9">
        <f t="shared" si="2"/>
        <v>1129.99</v>
      </c>
      <c r="F15" s="6">
        <v>1129.99</v>
      </c>
      <c r="G15" s="6">
        <v>1129.99</v>
      </c>
      <c r="H15" s="6">
        <v>1129.99</v>
      </c>
      <c r="I15" s="6">
        <v>1129.99</v>
      </c>
      <c r="J15" s="6">
        <v>1129.99</v>
      </c>
      <c r="K15" s="6">
        <v>1129.99</v>
      </c>
      <c r="L15" s="6">
        <v>1129.99</v>
      </c>
      <c r="M15" s="6">
        <v>1129.99</v>
      </c>
      <c r="N15" s="6">
        <v>1129.99</v>
      </c>
      <c r="O15" s="6">
        <v>1129.99</v>
      </c>
      <c r="P15" s="6">
        <v>1129.9000000000001</v>
      </c>
      <c r="Q15" s="6">
        <v>1129.99</v>
      </c>
      <c r="R15" s="6">
        <v>1129.99</v>
      </c>
      <c r="S15" s="6"/>
      <c r="T15" s="6">
        <v>1129.99</v>
      </c>
      <c r="U15" s="6"/>
      <c r="V15" s="6">
        <v>1129.99</v>
      </c>
      <c r="W15" s="6">
        <v>1129.99</v>
      </c>
      <c r="X15" s="6">
        <v>1129.99</v>
      </c>
      <c r="Y15" s="6">
        <v>1129.99</v>
      </c>
      <c r="Z15" s="6">
        <v>1129.99</v>
      </c>
      <c r="AA15" s="6">
        <v>1129.99</v>
      </c>
      <c r="AB15" s="6"/>
      <c r="AC15" s="6">
        <v>1129.99</v>
      </c>
      <c r="AD15" s="6"/>
      <c r="AE15" s="6">
        <v>1129.99</v>
      </c>
      <c r="AF15" s="6">
        <f t="shared" si="3"/>
        <v>1139.99</v>
      </c>
    </row>
    <row r="16" spans="1:32" x14ac:dyDescent="0.35">
      <c r="A16" s="9" t="s">
        <v>18</v>
      </c>
      <c r="B16" s="9">
        <v>389.91</v>
      </c>
      <c r="C16" s="9">
        <v>294.47440000000006</v>
      </c>
      <c r="D16" s="20">
        <f t="shared" si="0"/>
        <v>0.32408793429921223</v>
      </c>
      <c r="E16" s="9">
        <f t="shared" si="2"/>
        <v>399.99</v>
      </c>
      <c r="F16" s="6">
        <v>399.99</v>
      </c>
      <c r="G16" s="6">
        <v>399.99</v>
      </c>
      <c r="H16" s="6">
        <v>399.99</v>
      </c>
      <c r="I16" s="6"/>
      <c r="J16" s="6">
        <v>399.99</v>
      </c>
      <c r="K16" s="6"/>
      <c r="L16" s="6">
        <v>399.99</v>
      </c>
      <c r="M16" s="6"/>
      <c r="N16" s="6"/>
      <c r="O16" s="6"/>
      <c r="P16" s="6">
        <v>399.9</v>
      </c>
      <c r="Q16" s="6"/>
      <c r="R16" s="6"/>
      <c r="S16" s="6"/>
      <c r="T16" s="6"/>
      <c r="U16" s="6"/>
      <c r="V16" s="6">
        <v>399.99</v>
      </c>
      <c r="W16" s="6">
        <v>399.99</v>
      </c>
      <c r="X16" s="6"/>
      <c r="Y16" s="6"/>
      <c r="Z16" s="6"/>
      <c r="AA16" s="6">
        <v>399.99</v>
      </c>
      <c r="AB16" s="6"/>
      <c r="AC16" s="6"/>
      <c r="AD16" s="6"/>
      <c r="AE16" s="6"/>
      <c r="AF16" s="6"/>
    </row>
    <row r="17" spans="1:32" x14ac:dyDescent="0.35">
      <c r="A17" s="9" t="s">
        <v>113</v>
      </c>
      <c r="B17" s="9">
        <v>979.98</v>
      </c>
      <c r="C17" s="9">
        <v>725.2315000000001</v>
      </c>
      <c r="D17" s="20">
        <f t="shared" si="0"/>
        <v>0.35126507880587088</v>
      </c>
      <c r="E17" s="9">
        <f t="shared" si="2"/>
        <v>989.99</v>
      </c>
      <c r="F17" s="6">
        <v>989.99</v>
      </c>
      <c r="G17" s="6"/>
      <c r="H17" s="6">
        <v>989.99</v>
      </c>
      <c r="I17" s="6">
        <v>989.99</v>
      </c>
      <c r="J17" s="6"/>
      <c r="K17" s="6">
        <v>989.99</v>
      </c>
      <c r="L17" s="6">
        <v>989.99</v>
      </c>
      <c r="M17" s="6">
        <v>989.99</v>
      </c>
      <c r="N17" s="6"/>
      <c r="O17" s="6">
        <v>989.99</v>
      </c>
      <c r="P17" s="6">
        <v>989.9</v>
      </c>
      <c r="Q17" s="6"/>
      <c r="R17" s="6">
        <v>989.99</v>
      </c>
      <c r="S17" s="6">
        <v>989.99</v>
      </c>
      <c r="T17" s="6">
        <v>989.99</v>
      </c>
      <c r="U17" s="6"/>
      <c r="V17" s="6">
        <v>989.99</v>
      </c>
      <c r="W17" s="6">
        <v>989.99</v>
      </c>
      <c r="X17" s="6">
        <v>989.99</v>
      </c>
      <c r="Y17" s="6">
        <v>989.99</v>
      </c>
      <c r="Z17" s="6">
        <v>989.99</v>
      </c>
      <c r="AA17" s="6"/>
      <c r="AB17" s="6"/>
      <c r="AC17" s="6"/>
      <c r="AD17" s="6"/>
      <c r="AE17" s="6">
        <v>989.99</v>
      </c>
      <c r="AF17" s="6">
        <f>ROUNDUP(AE17+10,-1)-0.01</f>
        <v>999.99</v>
      </c>
    </row>
    <row r="18" spans="1:32" x14ac:dyDescent="0.35">
      <c r="A18" s="9" t="s">
        <v>114</v>
      </c>
      <c r="B18" s="9">
        <v>449.98</v>
      </c>
      <c r="C18" s="9">
        <v>340.18900000000002</v>
      </c>
      <c r="D18" s="20">
        <f t="shared" si="0"/>
        <v>0.32273530302273135</v>
      </c>
      <c r="E18" s="9">
        <f t="shared" si="2"/>
        <v>459.99</v>
      </c>
      <c r="F18" s="6">
        <v>459.99</v>
      </c>
      <c r="G18" s="6">
        <v>459.99</v>
      </c>
      <c r="H18" s="6">
        <v>459.99</v>
      </c>
      <c r="I18" s="6">
        <v>459.99</v>
      </c>
      <c r="J18" s="6"/>
      <c r="K18" s="6">
        <v>459.99</v>
      </c>
      <c r="L18" s="6">
        <v>459.99</v>
      </c>
      <c r="M18" s="6">
        <v>459.99</v>
      </c>
      <c r="N18" s="6">
        <v>459.99</v>
      </c>
      <c r="O18" s="6">
        <v>459.99</v>
      </c>
      <c r="P18" s="6">
        <v>459.9</v>
      </c>
      <c r="Q18" s="6">
        <v>459.99</v>
      </c>
      <c r="R18" s="6">
        <v>459.99</v>
      </c>
      <c r="S18" s="6">
        <v>459.99</v>
      </c>
      <c r="T18" s="6">
        <v>459.99</v>
      </c>
      <c r="U18" s="6"/>
      <c r="V18" s="6"/>
      <c r="W18" s="6">
        <v>459.99</v>
      </c>
      <c r="X18" s="6">
        <v>459.99</v>
      </c>
      <c r="Y18" s="6">
        <v>459.99</v>
      </c>
      <c r="Z18" s="6">
        <v>459.99</v>
      </c>
      <c r="AA18" s="6">
        <v>459.99</v>
      </c>
      <c r="AB18" s="6">
        <v>459.99</v>
      </c>
      <c r="AC18" s="6"/>
      <c r="AD18" s="6"/>
      <c r="AE18" s="6">
        <v>459.99</v>
      </c>
      <c r="AF18" s="6"/>
    </row>
    <row r="19" spans="1:32" x14ac:dyDescent="0.35">
      <c r="A19" s="9" t="s">
        <v>76</v>
      </c>
      <c r="B19" s="9">
        <v>369.98</v>
      </c>
      <c r="C19" s="9">
        <v>272.87060000000002</v>
      </c>
      <c r="D19" s="20">
        <f t="shared" si="0"/>
        <v>0.35588077279120567</v>
      </c>
      <c r="E19" s="9">
        <f t="shared" si="2"/>
        <v>379.99</v>
      </c>
      <c r="F19" s="6"/>
      <c r="G19" s="6"/>
      <c r="H19" s="6">
        <v>379.99</v>
      </c>
      <c r="I19" s="6"/>
      <c r="J19" s="6"/>
      <c r="K19" s="6"/>
      <c r="L19" s="6"/>
      <c r="M19" s="6"/>
      <c r="N19" s="6"/>
      <c r="O19" s="6"/>
      <c r="P19" s="6">
        <v>379.9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35">
      <c r="A20" s="9" t="s">
        <v>15</v>
      </c>
      <c r="B20" s="9">
        <v>379.91</v>
      </c>
      <c r="C20" s="9">
        <v>283.66160000000002</v>
      </c>
      <c r="D20" s="20">
        <f t="shared" si="0"/>
        <v>0.33930711805898284</v>
      </c>
      <c r="E20" s="9">
        <f t="shared" si="2"/>
        <v>389.99</v>
      </c>
      <c r="F20" s="6"/>
      <c r="G20" s="6"/>
      <c r="H20" s="6"/>
      <c r="I20" s="6"/>
      <c r="J20" s="6"/>
      <c r="K20" s="6"/>
      <c r="L20" s="6">
        <v>389.99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5">
      <c r="A21" s="9" t="s">
        <v>16</v>
      </c>
      <c r="B21" s="9">
        <v>379.96</v>
      </c>
      <c r="C21" s="9">
        <v>283.66160000000002</v>
      </c>
      <c r="D21" s="20">
        <f t="shared" si="0"/>
        <v>0.33948338442707771</v>
      </c>
      <c r="E21" s="9">
        <f t="shared" si="2"/>
        <v>389.99</v>
      </c>
      <c r="F21" s="6"/>
      <c r="G21" s="6"/>
      <c r="H21" s="6"/>
      <c r="I21" s="6"/>
      <c r="J21" s="6"/>
      <c r="K21" s="6"/>
      <c r="L21" s="6">
        <v>389.99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35">
      <c r="A22" s="9" t="s">
        <v>111</v>
      </c>
      <c r="B22" s="9">
        <v>499.98</v>
      </c>
      <c r="C22" s="9">
        <v>379.71240000000006</v>
      </c>
      <c r="D22" s="20">
        <f t="shared" si="0"/>
        <v>0.31673340138483752</v>
      </c>
      <c r="E22" s="9">
        <f t="shared" si="2"/>
        <v>509.99</v>
      </c>
      <c r="F22" s="6">
        <v>519.99</v>
      </c>
      <c r="G22" s="6"/>
      <c r="H22" s="6">
        <v>519.99</v>
      </c>
      <c r="I22" s="6">
        <v>519.99</v>
      </c>
      <c r="J22" s="6"/>
      <c r="K22" s="6">
        <v>519.99</v>
      </c>
      <c r="L22" s="6">
        <v>519.99</v>
      </c>
      <c r="M22" s="6">
        <v>519.99</v>
      </c>
      <c r="N22" s="6">
        <v>519.99</v>
      </c>
      <c r="O22" s="6">
        <v>519.99</v>
      </c>
      <c r="P22" s="6">
        <v>519.9</v>
      </c>
      <c r="Q22" s="6">
        <v>519.99</v>
      </c>
      <c r="R22" s="6">
        <v>519.99</v>
      </c>
      <c r="S22" s="6">
        <v>519.99</v>
      </c>
      <c r="T22" s="6">
        <v>519.99</v>
      </c>
      <c r="U22" s="6"/>
      <c r="V22" s="6"/>
      <c r="W22" s="6">
        <v>519.99</v>
      </c>
      <c r="X22" s="6">
        <v>519.99</v>
      </c>
      <c r="Y22" s="6">
        <v>519.99</v>
      </c>
      <c r="Z22" s="6">
        <v>519.99</v>
      </c>
      <c r="AA22" s="6">
        <v>519.99</v>
      </c>
      <c r="AB22" s="6">
        <v>519.99</v>
      </c>
      <c r="AC22" s="6"/>
      <c r="AD22" s="6"/>
      <c r="AE22" s="6"/>
      <c r="AF22" s="6"/>
    </row>
    <row r="23" spans="1:32" x14ac:dyDescent="0.35">
      <c r="A23" s="9" t="s">
        <v>20</v>
      </c>
      <c r="B23" s="9">
        <v>499.98</v>
      </c>
      <c r="C23" s="9">
        <v>379.71240000000006</v>
      </c>
      <c r="D23" s="20">
        <f t="shared" si="0"/>
        <v>0.31673340138483752</v>
      </c>
      <c r="E23" s="9">
        <f t="shared" si="2"/>
        <v>509.99</v>
      </c>
      <c r="F23" s="6">
        <v>519.99</v>
      </c>
      <c r="G23" s="6"/>
      <c r="H23" s="6">
        <v>519.99</v>
      </c>
      <c r="I23" s="6">
        <v>519.99</v>
      </c>
      <c r="J23" s="6"/>
      <c r="K23" s="6">
        <v>519.99</v>
      </c>
      <c r="L23" s="6">
        <v>519.99</v>
      </c>
      <c r="M23" s="6">
        <v>519.99</v>
      </c>
      <c r="N23" s="6">
        <v>519.99</v>
      </c>
      <c r="O23" s="6">
        <v>519.99</v>
      </c>
      <c r="P23" s="6">
        <v>519.9</v>
      </c>
      <c r="Q23" s="6">
        <v>519.99</v>
      </c>
      <c r="R23" s="6">
        <v>519.99</v>
      </c>
      <c r="S23" s="6">
        <v>519.99</v>
      </c>
      <c r="T23" s="6">
        <v>519.99</v>
      </c>
      <c r="U23" s="6"/>
      <c r="V23" s="6"/>
      <c r="W23" s="6">
        <v>519.99</v>
      </c>
      <c r="X23" s="6">
        <v>519.99</v>
      </c>
      <c r="Y23" s="6">
        <v>519.99</v>
      </c>
      <c r="Z23" s="6">
        <v>519.99</v>
      </c>
      <c r="AA23" s="6">
        <v>519.99</v>
      </c>
      <c r="AB23" s="6">
        <v>519.99</v>
      </c>
      <c r="AC23" s="6"/>
      <c r="AD23" s="6"/>
      <c r="AE23" s="6"/>
      <c r="AF23" s="6"/>
    </row>
    <row r="24" spans="1:32" x14ac:dyDescent="0.35">
      <c r="A24" s="9" t="s">
        <v>19</v>
      </c>
      <c r="B24" s="9">
        <v>499.91</v>
      </c>
      <c r="C24" s="9">
        <v>379.71240000000006</v>
      </c>
      <c r="D24" s="20">
        <f t="shared" si="0"/>
        <v>0.31654905133464162</v>
      </c>
      <c r="E24" s="9">
        <f t="shared" si="2"/>
        <v>509.99</v>
      </c>
      <c r="F24" s="6">
        <v>519.99</v>
      </c>
      <c r="G24" s="6"/>
      <c r="H24" s="6">
        <v>519.99</v>
      </c>
      <c r="I24" s="6">
        <v>519.99</v>
      </c>
      <c r="J24" s="6"/>
      <c r="K24" s="6">
        <v>519.99</v>
      </c>
      <c r="L24" s="6">
        <v>519.99</v>
      </c>
      <c r="M24" s="6">
        <v>519.99</v>
      </c>
      <c r="N24" s="6">
        <v>519.99</v>
      </c>
      <c r="O24" s="6">
        <v>519.99</v>
      </c>
      <c r="P24" s="6">
        <v>519.9</v>
      </c>
      <c r="Q24" s="6">
        <v>519.99</v>
      </c>
      <c r="R24" s="6">
        <v>519.99</v>
      </c>
      <c r="S24" s="6">
        <v>519.99</v>
      </c>
      <c r="T24" s="6">
        <v>519.99</v>
      </c>
      <c r="U24" s="6"/>
      <c r="V24" s="6"/>
      <c r="W24" s="6">
        <v>519.99</v>
      </c>
      <c r="X24" s="6">
        <v>519.99</v>
      </c>
      <c r="Y24" s="6">
        <v>519.99</v>
      </c>
      <c r="Z24" s="6">
        <v>519.99</v>
      </c>
      <c r="AA24" s="6">
        <v>519.99</v>
      </c>
      <c r="AB24" s="6">
        <v>519.99</v>
      </c>
      <c r="AC24" s="6"/>
      <c r="AD24" s="6"/>
      <c r="AE24" s="6"/>
      <c r="AF24" s="6"/>
    </row>
    <row r="25" spans="1:32" x14ac:dyDescent="0.35">
      <c r="A25" s="9" t="s">
        <v>8</v>
      </c>
      <c r="B25" s="9">
        <v>339.91</v>
      </c>
      <c r="C25" s="9">
        <v>257.28360000000004</v>
      </c>
      <c r="D25" s="20">
        <f t="shared" si="0"/>
        <v>0.32114911327422346</v>
      </c>
      <c r="E25" s="9">
        <f t="shared" si="2"/>
        <v>349.99</v>
      </c>
      <c r="F25" s="6"/>
      <c r="G25" s="6"/>
      <c r="H25" s="6"/>
      <c r="I25" s="6"/>
      <c r="J25" s="6"/>
      <c r="K25" s="6"/>
      <c r="L25" s="6">
        <v>349.99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35">
      <c r="A26" s="9" t="s">
        <v>21</v>
      </c>
      <c r="B26" s="9">
        <v>499.96</v>
      </c>
      <c r="C26" s="9">
        <v>381.54360000000003</v>
      </c>
      <c r="D26" s="20">
        <f t="shared" si="0"/>
        <v>0.3103613846490938</v>
      </c>
      <c r="E26" s="9">
        <f t="shared" si="2"/>
        <v>509.99</v>
      </c>
      <c r="F26" s="6">
        <v>519.99</v>
      </c>
      <c r="G26" s="6"/>
      <c r="H26" s="6">
        <v>519.99</v>
      </c>
      <c r="I26" s="6">
        <v>519.99</v>
      </c>
      <c r="J26" s="6"/>
      <c r="K26" s="6">
        <v>519.99</v>
      </c>
      <c r="L26" s="6">
        <v>519.99</v>
      </c>
      <c r="M26" s="6">
        <v>519.99</v>
      </c>
      <c r="N26" s="6">
        <v>519.99</v>
      </c>
      <c r="O26" s="6">
        <v>519.99</v>
      </c>
      <c r="P26" s="6">
        <v>519.9</v>
      </c>
      <c r="Q26" s="6">
        <v>519.99</v>
      </c>
      <c r="R26" s="6">
        <v>519.99</v>
      </c>
      <c r="S26" s="6">
        <v>519.99</v>
      </c>
      <c r="T26" s="6">
        <v>519.99</v>
      </c>
      <c r="U26" s="6"/>
      <c r="V26" s="6"/>
      <c r="W26" s="6">
        <v>519.99</v>
      </c>
      <c r="X26" s="6">
        <v>519.99</v>
      </c>
      <c r="Y26" s="6">
        <v>519.99</v>
      </c>
      <c r="Z26" s="6">
        <v>519.99</v>
      </c>
      <c r="AA26" s="6">
        <v>519.99</v>
      </c>
      <c r="AB26" s="6">
        <v>519.99</v>
      </c>
      <c r="AC26" s="6"/>
      <c r="AD26" s="6"/>
      <c r="AE26" s="6"/>
      <c r="AF26" s="6"/>
    </row>
    <row r="27" spans="1:32" x14ac:dyDescent="0.35">
      <c r="A27" s="9" t="s">
        <v>127</v>
      </c>
      <c r="B27" s="9">
        <v>2679.97</v>
      </c>
      <c r="C27" s="9">
        <v>2179.1389000000004</v>
      </c>
      <c r="D27" s="20">
        <f t="shared" si="0"/>
        <v>0.2298298194759405</v>
      </c>
      <c r="E27" s="9">
        <f t="shared" si="2"/>
        <v>2689.99</v>
      </c>
      <c r="F27" s="6">
        <v>2689.99</v>
      </c>
      <c r="G27" s="6"/>
      <c r="H27" s="6">
        <v>2689.99</v>
      </c>
      <c r="I27" s="6">
        <v>2689.99</v>
      </c>
      <c r="J27" s="6">
        <v>2689.99</v>
      </c>
      <c r="K27" s="6">
        <v>2689.99</v>
      </c>
      <c r="L27" s="6"/>
      <c r="M27" s="6">
        <v>2689.99</v>
      </c>
      <c r="N27" s="6">
        <v>2689.99</v>
      </c>
      <c r="O27" s="6"/>
      <c r="P27" s="6">
        <v>2689.9</v>
      </c>
      <c r="Q27" s="6"/>
      <c r="R27" s="6">
        <v>2689.99</v>
      </c>
      <c r="S27" s="6">
        <v>2689.99</v>
      </c>
      <c r="T27" s="6">
        <v>2689.99</v>
      </c>
      <c r="U27" s="6"/>
      <c r="V27" s="6"/>
      <c r="W27" s="6">
        <v>2689.99</v>
      </c>
      <c r="X27" s="6">
        <v>2689.99</v>
      </c>
      <c r="Y27" s="6">
        <v>2689.99</v>
      </c>
      <c r="Z27" s="6">
        <v>2689.99</v>
      </c>
      <c r="AA27" s="6"/>
      <c r="AB27" s="6"/>
      <c r="AC27" s="6"/>
      <c r="AD27" s="6"/>
      <c r="AE27" s="6">
        <v>2689.99</v>
      </c>
      <c r="AF27" s="6"/>
    </row>
    <row r="28" spans="1:32" x14ac:dyDescent="0.35">
      <c r="A28" s="9" t="s">
        <v>51</v>
      </c>
      <c r="B28" s="9">
        <v>2169.9699999999998</v>
      </c>
      <c r="C28" s="9">
        <v>1700.9232000000002</v>
      </c>
      <c r="D28" s="20">
        <f t="shared" si="0"/>
        <v>0.27576012838204544</v>
      </c>
      <c r="E28" s="9">
        <f t="shared" si="2"/>
        <v>2179.9899999999998</v>
      </c>
      <c r="F28" s="6">
        <v>2179.9899999999998</v>
      </c>
      <c r="G28" s="6"/>
      <c r="H28" s="6">
        <v>2179.9899999999998</v>
      </c>
      <c r="I28" s="6">
        <v>2179.9899999999998</v>
      </c>
      <c r="J28" s="6">
        <v>2179.9899999999998</v>
      </c>
      <c r="K28" s="6">
        <v>2179.9899999999998</v>
      </c>
      <c r="L28" s="6">
        <v>2179.9899999999998</v>
      </c>
      <c r="M28" s="6">
        <v>2179.9899999999998</v>
      </c>
      <c r="N28" s="6">
        <v>2179.9899999999998</v>
      </c>
      <c r="O28" s="6"/>
      <c r="P28" s="6">
        <v>2179.9</v>
      </c>
      <c r="Q28" s="6">
        <v>2179.9899999999998</v>
      </c>
      <c r="R28" s="6">
        <v>2179.9899999999998</v>
      </c>
      <c r="S28" s="6">
        <v>2179.9899999999998</v>
      </c>
      <c r="T28" s="6">
        <v>2179.9899999999998</v>
      </c>
      <c r="U28" s="6"/>
      <c r="V28" s="6"/>
      <c r="W28" s="6">
        <v>2179.9899999999998</v>
      </c>
      <c r="X28" s="6">
        <v>2179.9899999999998</v>
      </c>
      <c r="Y28" s="6">
        <v>2179.9899999999998</v>
      </c>
      <c r="Z28" s="6">
        <v>2179.9899999999998</v>
      </c>
      <c r="AA28" s="6"/>
      <c r="AB28" s="6"/>
      <c r="AC28" s="6"/>
      <c r="AD28" s="6"/>
      <c r="AE28" s="6">
        <v>2179.9899999999998</v>
      </c>
      <c r="AF28" s="6"/>
    </row>
    <row r="29" spans="1:32" x14ac:dyDescent="0.35">
      <c r="A29" s="9" t="s">
        <v>57</v>
      </c>
      <c r="B29" s="9">
        <v>879.96</v>
      </c>
      <c r="C29" s="9">
        <v>687.97530000000006</v>
      </c>
      <c r="D29" s="20">
        <f t="shared" si="0"/>
        <v>0.27905754756021039</v>
      </c>
      <c r="E29" s="9">
        <f t="shared" si="2"/>
        <v>889.99</v>
      </c>
      <c r="F29" s="6">
        <v>889.99</v>
      </c>
      <c r="G29" s="6">
        <v>889.99</v>
      </c>
      <c r="H29" s="6">
        <v>889.99</v>
      </c>
      <c r="I29" s="6">
        <v>889.99</v>
      </c>
      <c r="J29" s="6">
        <v>889.99</v>
      </c>
      <c r="K29" s="6">
        <v>889.99</v>
      </c>
      <c r="L29" s="6">
        <v>889.99</v>
      </c>
      <c r="M29" s="6">
        <v>889.99</v>
      </c>
      <c r="N29" s="6">
        <v>889.99</v>
      </c>
      <c r="O29" s="6"/>
      <c r="P29" s="6">
        <v>889.9</v>
      </c>
      <c r="Q29" s="6">
        <v>889.99</v>
      </c>
      <c r="R29" s="6">
        <v>889.99</v>
      </c>
      <c r="S29" s="6">
        <v>889.99</v>
      </c>
      <c r="T29" s="6">
        <v>889.99</v>
      </c>
      <c r="U29" s="6"/>
      <c r="V29" s="6"/>
      <c r="W29" s="6">
        <v>889.99</v>
      </c>
      <c r="X29" s="6">
        <v>889.99</v>
      </c>
      <c r="Y29" s="6">
        <v>889.99</v>
      </c>
      <c r="Z29" s="6">
        <v>889.99</v>
      </c>
      <c r="AA29" s="6">
        <v>889.99</v>
      </c>
      <c r="AB29" s="6"/>
      <c r="AC29" s="6">
        <v>889.99</v>
      </c>
      <c r="AD29" s="6">
        <v>889.99</v>
      </c>
      <c r="AE29" s="6">
        <v>889.99</v>
      </c>
      <c r="AF29" s="6"/>
    </row>
    <row r="30" spans="1:32" x14ac:dyDescent="0.35">
      <c r="A30" s="9" t="s">
        <v>99</v>
      </c>
      <c r="B30" s="9">
        <v>1499.91</v>
      </c>
      <c r="C30" s="9">
        <v>1204.7552000000001</v>
      </c>
      <c r="D30" s="20">
        <f t="shared" si="0"/>
        <v>0.2449915136286609</v>
      </c>
      <c r="E30" s="9">
        <f t="shared" si="2"/>
        <v>1509.99</v>
      </c>
      <c r="F30" s="6">
        <v>1519.99</v>
      </c>
      <c r="G30" s="6"/>
      <c r="H30" s="6">
        <v>1519.99</v>
      </c>
      <c r="I30" s="6">
        <v>1519.99</v>
      </c>
      <c r="J30" s="6">
        <v>1519.99</v>
      </c>
      <c r="K30" s="6">
        <v>1519.99</v>
      </c>
      <c r="L30" s="6">
        <v>1519.99</v>
      </c>
      <c r="M30" s="6">
        <v>1519.99</v>
      </c>
      <c r="N30" s="6">
        <v>1519.99</v>
      </c>
      <c r="O30" s="6"/>
      <c r="P30" s="6"/>
      <c r="Q30" s="6">
        <v>1519.99</v>
      </c>
      <c r="R30" s="6">
        <v>1519.99</v>
      </c>
      <c r="S30" s="6">
        <v>1519.99</v>
      </c>
      <c r="T30" s="6">
        <v>1519.99</v>
      </c>
      <c r="U30" s="6">
        <v>1519.99</v>
      </c>
      <c r="V30" s="6"/>
      <c r="W30" s="6">
        <v>1519.99</v>
      </c>
      <c r="X30" s="6">
        <v>1519.99</v>
      </c>
      <c r="Y30" s="6">
        <v>1519.99</v>
      </c>
      <c r="Z30" s="6">
        <v>1519.99</v>
      </c>
      <c r="AA30" s="6"/>
      <c r="AB30" s="6"/>
      <c r="AC30" s="6"/>
      <c r="AD30" s="6"/>
      <c r="AE30" s="6">
        <v>1519.99</v>
      </c>
      <c r="AF30" s="6"/>
    </row>
    <row r="31" spans="1:32" x14ac:dyDescent="0.35">
      <c r="A31" s="9" t="s">
        <v>30</v>
      </c>
      <c r="B31" s="9">
        <v>809.91</v>
      </c>
      <c r="C31" s="9">
        <v>627.28410000000008</v>
      </c>
      <c r="D31" s="20">
        <f t="shared" si="0"/>
        <v>0.291137460681691</v>
      </c>
      <c r="E31" s="9">
        <f t="shared" si="2"/>
        <v>819.99</v>
      </c>
      <c r="F31" s="6">
        <v>819.99</v>
      </c>
      <c r="G31" s="6">
        <v>819.99</v>
      </c>
      <c r="H31" s="6">
        <v>819.99</v>
      </c>
      <c r="I31" s="6">
        <v>819.99</v>
      </c>
      <c r="J31" s="6">
        <v>819.99</v>
      </c>
      <c r="K31" s="6">
        <v>819.99</v>
      </c>
      <c r="L31" s="6">
        <v>819.99</v>
      </c>
      <c r="M31" s="6">
        <v>819.99</v>
      </c>
      <c r="N31" s="6">
        <v>819.99</v>
      </c>
      <c r="O31" s="6">
        <v>819.99</v>
      </c>
      <c r="P31" s="6">
        <v>819.9</v>
      </c>
      <c r="Q31" s="6">
        <v>819.99</v>
      </c>
      <c r="R31" s="6"/>
      <c r="S31" s="6">
        <v>819.99</v>
      </c>
      <c r="T31" s="6">
        <v>819.99</v>
      </c>
      <c r="U31" s="6">
        <v>819.99</v>
      </c>
      <c r="V31" s="6"/>
      <c r="W31" s="6">
        <v>819.99</v>
      </c>
      <c r="X31" s="6">
        <v>819.99</v>
      </c>
      <c r="Y31" s="6">
        <v>819.99</v>
      </c>
      <c r="Z31" s="6"/>
      <c r="AA31" s="6"/>
      <c r="AB31" s="6"/>
      <c r="AC31" s="6"/>
      <c r="AD31" s="6"/>
      <c r="AE31" s="6"/>
      <c r="AF31" s="6"/>
    </row>
    <row r="32" spans="1:32" x14ac:dyDescent="0.35">
      <c r="A32" s="9" t="s">
        <v>37</v>
      </c>
      <c r="B32" s="9">
        <v>1399.97</v>
      </c>
      <c r="C32" s="9">
        <v>1116.6396000000002</v>
      </c>
      <c r="D32" s="20">
        <f t="shared" si="0"/>
        <v>0.25373486664811074</v>
      </c>
      <c r="E32" s="9">
        <f t="shared" si="2"/>
        <v>1409.99</v>
      </c>
      <c r="F32" s="6"/>
      <c r="G32" s="6"/>
      <c r="H32" s="6"/>
      <c r="I32" s="6"/>
      <c r="J32" s="6">
        <v>1419.99</v>
      </c>
      <c r="K32" s="6"/>
      <c r="L32" s="6"/>
      <c r="M32" s="6"/>
      <c r="N32" s="6"/>
      <c r="O32" s="6"/>
      <c r="P32" s="6"/>
      <c r="Q32" s="6"/>
      <c r="R32" s="6"/>
      <c r="S32" s="6">
        <v>1419.99</v>
      </c>
      <c r="T32" s="6">
        <v>1419.99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5">
      <c r="A33" s="9" t="s">
        <v>35</v>
      </c>
      <c r="B33" s="9">
        <v>1399.96</v>
      </c>
      <c r="C33" s="9">
        <v>1122.5364999999999</v>
      </c>
      <c r="D33" s="20">
        <f t="shared" si="0"/>
        <v>0.24713984801385092</v>
      </c>
      <c r="E33" s="9">
        <f t="shared" si="2"/>
        <v>1409.99</v>
      </c>
      <c r="F33" s="6"/>
      <c r="G33" s="6"/>
      <c r="H33" s="6"/>
      <c r="I33" s="6"/>
      <c r="J33" s="6">
        <v>1419.99</v>
      </c>
      <c r="K33" s="6"/>
      <c r="L33" s="6">
        <v>1419.99</v>
      </c>
      <c r="M33" s="6"/>
      <c r="N33" s="6"/>
      <c r="O33" s="6"/>
      <c r="P33" s="6"/>
      <c r="Q33" s="6"/>
      <c r="R33" s="6"/>
      <c r="S33" s="6">
        <v>1419.99</v>
      </c>
      <c r="T33" s="6">
        <v>1419.99</v>
      </c>
      <c r="U33" s="6"/>
      <c r="V33" s="6"/>
      <c r="W33" s="6">
        <v>1419.99</v>
      </c>
      <c r="X33" s="6"/>
      <c r="Y33" s="6"/>
      <c r="Z33" s="6">
        <v>1419.99</v>
      </c>
      <c r="AA33" s="6"/>
      <c r="AB33" s="6"/>
      <c r="AC33" s="6"/>
      <c r="AD33" s="6"/>
      <c r="AE33" s="6"/>
      <c r="AF33" s="6"/>
    </row>
    <row r="34" spans="1:32" x14ac:dyDescent="0.35">
      <c r="A34" s="9" t="s">
        <v>38</v>
      </c>
      <c r="B34" s="9">
        <v>1479.97</v>
      </c>
      <c r="C34" s="9">
        <v>1200.635</v>
      </c>
      <c r="D34" s="20">
        <f t="shared" ref="D34:D53" si="4">B34/C34-1</f>
        <v>0.23265605283870627</v>
      </c>
      <c r="E34" s="9">
        <f t="shared" si="2"/>
        <v>1489.99</v>
      </c>
      <c r="F34" s="6"/>
      <c r="G34" s="6"/>
      <c r="H34" s="6"/>
      <c r="I34" s="6"/>
      <c r="J34" s="6">
        <v>1489.99</v>
      </c>
      <c r="K34" s="6"/>
      <c r="L34" s="6">
        <v>1489.99</v>
      </c>
      <c r="M34" s="6"/>
      <c r="N34" s="6"/>
      <c r="O34" s="6"/>
      <c r="P34" s="6"/>
      <c r="Q34" s="6"/>
      <c r="R34" s="6"/>
      <c r="S34" s="6">
        <v>1489.99</v>
      </c>
      <c r="T34" s="6">
        <v>1489.99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5">
      <c r="A35" s="9" t="s">
        <v>50</v>
      </c>
      <c r="B35" s="9">
        <v>1859.97</v>
      </c>
      <c r="C35" s="9">
        <v>1478.7812000000001</v>
      </c>
      <c r="D35" s="20">
        <f t="shared" si="4"/>
        <v>0.25777227895512866</v>
      </c>
      <c r="E35" s="9">
        <f t="shared" si="2"/>
        <v>1869.99</v>
      </c>
      <c r="F35" s="6"/>
      <c r="G35" s="6"/>
      <c r="H35" s="6"/>
      <c r="I35" s="6"/>
      <c r="J35" s="6">
        <v>1869.99</v>
      </c>
      <c r="K35" s="6"/>
      <c r="L35" s="6"/>
      <c r="M35" s="6"/>
      <c r="N35" s="6"/>
      <c r="O35" s="6"/>
      <c r="P35" s="6"/>
      <c r="Q35" s="6"/>
      <c r="R35" s="6"/>
      <c r="S35" s="6">
        <v>1869.99</v>
      </c>
      <c r="T35" s="6">
        <v>1869.99</v>
      </c>
      <c r="U35" s="6"/>
      <c r="V35" s="6"/>
      <c r="W35" s="6"/>
      <c r="X35" s="6"/>
      <c r="Y35" s="6"/>
      <c r="Z35" s="6">
        <v>1869.99</v>
      </c>
      <c r="AA35" s="6"/>
      <c r="AB35" s="6"/>
      <c r="AC35" s="6"/>
      <c r="AD35" s="6"/>
      <c r="AE35" s="6"/>
      <c r="AF35" s="6"/>
    </row>
    <row r="36" spans="1:32" x14ac:dyDescent="0.35">
      <c r="A36" s="9" t="s">
        <v>65</v>
      </c>
      <c r="B36" s="9">
        <v>1599.96</v>
      </c>
      <c r="C36" s="9">
        <v>1295.5958000000001</v>
      </c>
      <c r="D36" s="20">
        <f t="shared" si="4"/>
        <v>0.23492218792311603</v>
      </c>
      <c r="E36" s="9">
        <f t="shared" si="2"/>
        <v>1609.99</v>
      </c>
      <c r="F36" s="6">
        <v>1619.99</v>
      </c>
      <c r="G36" s="6"/>
      <c r="H36" s="6">
        <v>1619.99</v>
      </c>
      <c r="I36" s="6">
        <v>1619.99</v>
      </c>
      <c r="J36" s="6">
        <v>1619.99</v>
      </c>
      <c r="K36" s="6">
        <v>1619.99</v>
      </c>
      <c r="L36" s="6">
        <v>1619.99</v>
      </c>
      <c r="M36" s="6">
        <v>1619.99</v>
      </c>
      <c r="N36" s="6"/>
      <c r="O36" s="6"/>
      <c r="P36" s="6">
        <v>1619.9</v>
      </c>
      <c r="Q36" s="6"/>
      <c r="R36" s="6">
        <v>1619.99</v>
      </c>
      <c r="S36" s="6"/>
      <c r="T36" s="6">
        <v>1619.99</v>
      </c>
      <c r="U36" s="6"/>
      <c r="V36" s="6"/>
      <c r="W36" s="6">
        <v>1619.99</v>
      </c>
      <c r="X36" s="6">
        <v>1619.99</v>
      </c>
      <c r="Y36" s="6">
        <v>1619.99</v>
      </c>
      <c r="Z36" s="6">
        <v>1619.99</v>
      </c>
      <c r="AA36" s="6"/>
      <c r="AB36" s="6"/>
      <c r="AC36" s="6"/>
      <c r="AD36" s="6"/>
      <c r="AE36" s="6">
        <v>1619.99</v>
      </c>
      <c r="AF36" s="6"/>
    </row>
    <row r="37" spans="1:32" x14ac:dyDescent="0.35">
      <c r="A37" s="9" t="s">
        <v>14</v>
      </c>
      <c r="B37" s="9">
        <v>369.96</v>
      </c>
      <c r="C37" s="9">
        <v>283.24740000000003</v>
      </c>
      <c r="D37" s="20">
        <f t="shared" si="4"/>
        <v>0.30613732023665507</v>
      </c>
      <c r="E37" s="9">
        <f t="shared" si="2"/>
        <v>379.99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379.99</v>
      </c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5">
      <c r="A38" s="9" t="s">
        <v>12</v>
      </c>
      <c r="B38" s="9">
        <v>369.96</v>
      </c>
      <c r="C38" s="9">
        <v>283.24740000000003</v>
      </c>
      <c r="D38" s="20">
        <f t="shared" si="4"/>
        <v>0.30613732023665507</v>
      </c>
      <c r="E38" s="9">
        <f t="shared" si="2"/>
        <v>379.99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>
        <v>379.99</v>
      </c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5">
      <c r="A39" s="9" t="s">
        <v>25</v>
      </c>
      <c r="B39" s="9">
        <v>619.96</v>
      </c>
      <c r="C39" s="9">
        <v>494.64200000000005</v>
      </c>
      <c r="D39" s="20">
        <f t="shared" si="4"/>
        <v>0.25335090833370399</v>
      </c>
      <c r="E39" s="9">
        <f t="shared" si="2"/>
        <v>629.99</v>
      </c>
      <c r="F39" s="6">
        <v>629.99</v>
      </c>
      <c r="G39" s="6"/>
      <c r="H39" s="6">
        <v>629.99</v>
      </c>
      <c r="I39" s="6">
        <v>629.99</v>
      </c>
      <c r="J39" s="6">
        <v>629.99</v>
      </c>
      <c r="K39" s="6">
        <v>629.99</v>
      </c>
      <c r="L39" s="6">
        <v>629.99</v>
      </c>
      <c r="M39" s="6">
        <v>629.99</v>
      </c>
      <c r="N39" s="6"/>
      <c r="O39" s="6"/>
      <c r="P39" s="6"/>
      <c r="Q39" s="6">
        <v>629.99</v>
      </c>
      <c r="R39" s="6">
        <v>629.99</v>
      </c>
      <c r="S39" s="6"/>
      <c r="T39" s="6"/>
      <c r="U39" s="6"/>
      <c r="V39" s="6"/>
      <c r="W39" s="6">
        <v>629.99</v>
      </c>
      <c r="X39" s="6">
        <v>629.99</v>
      </c>
      <c r="Y39" s="6">
        <v>629.99</v>
      </c>
      <c r="Z39" s="6">
        <v>629.99</v>
      </c>
      <c r="AA39" s="6"/>
      <c r="AB39" s="6"/>
      <c r="AC39" s="6"/>
      <c r="AD39" s="6"/>
      <c r="AE39" s="6">
        <v>629.99</v>
      </c>
      <c r="AF39" s="6">
        <f t="shared" ref="AF39:AF45" si="5">ROUNDUP(AE39+10,-1)-0.01</f>
        <v>639.99</v>
      </c>
    </row>
    <row r="40" spans="1:32" x14ac:dyDescent="0.35">
      <c r="A40" s="9" t="s">
        <v>23</v>
      </c>
      <c r="B40" s="9">
        <v>519.98</v>
      </c>
      <c r="C40" s="9">
        <v>397.58840000000004</v>
      </c>
      <c r="D40" s="20">
        <f t="shared" si="4"/>
        <v>0.30783493683417307</v>
      </c>
      <c r="E40" s="9">
        <f t="shared" si="2"/>
        <v>529.99</v>
      </c>
      <c r="F40" s="6">
        <v>529.99</v>
      </c>
      <c r="G40" s="6"/>
      <c r="H40" s="6">
        <v>529.99</v>
      </c>
      <c r="I40" s="6">
        <v>529.99</v>
      </c>
      <c r="J40" s="6">
        <v>529.99</v>
      </c>
      <c r="K40" s="6">
        <v>529.99</v>
      </c>
      <c r="L40" s="6">
        <v>529.99</v>
      </c>
      <c r="M40" s="6">
        <v>529.99</v>
      </c>
      <c r="N40" s="6"/>
      <c r="O40" s="6">
        <v>529.99</v>
      </c>
      <c r="P40" s="6"/>
      <c r="Q40" s="6">
        <v>529.99</v>
      </c>
      <c r="R40" s="6">
        <v>529.99</v>
      </c>
      <c r="S40" s="6"/>
      <c r="T40" s="6"/>
      <c r="U40" s="6"/>
      <c r="V40" s="6"/>
      <c r="W40" s="6">
        <v>529.99</v>
      </c>
      <c r="X40" s="6">
        <v>529.99</v>
      </c>
      <c r="Y40" s="6">
        <v>529.99</v>
      </c>
      <c r="Z40" s="6">
        <v>529.99</v>
      </c>
      <c r="AA40" s="6"/>
      <c r="AB40" s="6"/>
      <c r="AC40" s="6"/>
      <c r="AD40" s="6"/>
      <c r="AE40" s="6">
        <v>529.99</v>
      </c>
      <c r="AF40" s="6">
        <f t="shared" si="5"/>
        <v>539.99</v>
      </c>
    </row>
    <row r="41" spans="1:32" x14ac:dyDescent="0.35">
      <c r="A41" s="9" t="s">
        <v>45</v>
      </c>
      <c r="B41" s="9">
        <v>519.97</v>
      </c>
      <c r="C41" s="9">
        <v>397.58840000000004</v>
      </c>
      <c r="D41" s="20">
        <f t="shared" si="4"/>
        <v>0.30780978519494018</v>
      </c>
      <c r="E41" s="9">
        <f t="shared" si="2"/>
        <v>529.99</v>
      </c>
      <c r="F41" s="6">
        <v>529.99</v>
      </c>
      <c r="G41" s="6"/>
      <c r="H41" s="6">
        <v>529.99</v>
      </c>
      <c r="I41" s="6">
        <v>529.99</v>
      </c>
      <c r="J41" s="6">
        <v>529.99</v>
      </c>
      <c r="K41" s="6">
        <v>529.99</v>
      </c>
      <c r="L41" s="6">
        <v>529.99</v>
      </c>
      <c r="M41" s="6">
        <v>529.99</v>
      </c>
      <c r="N41" s="6"/>
      <c r="O41" s="6">
        <v>529.99</v>
      </c>
      <c r="P41" s="6"/>
      <c r="Q41" s="6">
        <v>529.99</v>
      </c>
      <c r="R41" s="6">
        <v>529.99</v>
      </c>
      <c r="S41" s="6"/>
      <c r="T41" s="6"/>
      <c r="U41" s="6"/>
      <c r="V41" s="6"/>
      <c r="W41" s="6">
        <v>529.99</v>
      </c>
      <c r="X41" s="6">
        <v>529.99</v>
      </c>
      <c r="Y41" s="6">
        <v>529.99</v>
      </c>
      <c r="Z41" s="6">
        <v>529.99</v>
      </c>
      <c r="AA41" s="6"/>
      <c r="AB41" s="6"/>
      <c r="AC41" s="6"/>
      <c r="AD41" s="6"/>
      <c r="AE41" s="6">
        <v>529.99</v>
      </c>
      <c r="AF41" s="6">
        <f t="shared" si="5"/>
        <v>539.99</v>
      </c>
    </row>
    <row r="42" spans="1:32" x14ac:dyDescent="0.35">
      <c r="A42" s="9" t="s">
        <v>47</v>
      </c>
      <c r="B42" s="9">
        <v>959.97</v>
      </c>
      <c r="C42" s="9">
        <v>765.24540000000002</v>
      </c>
      <c r="D42" s="20">
        <f t="shared" si="4"/>
        <v>0.25446033390073297</v>
      </c>
      <c r="E42" s="9">
        <f t="shared" si="2"/>
        <v>969.99</v>
      </c>
      <c r="F42" s="6">
        <v>969.99</v>
      </c>
      <c r="G42" s="6"/>
      <c r="H42" s="6">
        <v>969.99</v>
      </c>
      <c r="I42" s="6">
        <v>969.99</v>
      </c>
      <c r="J42" s="6">
        <v>969.99</v>
      </c>
      <c r="K42" s="6">
        <v>969.99</v>
      </c>
      <c r="L42" s="6">
        <v>969.99</v>
      </c>
      <c r="M42" s="6">
        <v>969.99</v>
      </c>
      <c r="N42" s="6"/>
      <c r="O42" s="6"/>
      <c r="P42" s="6">
        <v>969.9</v>
      </c>
      <c r="Q42" s="6">
        <v>969.99</v>
      </c>
      <c r="R42" s="6">
        <v>969.99</v>
      </c>
      <c r="S42" s="6"/>
      <c r="T42" s="6"/>
      <c r="U42" s="6"/>
      <c r="V42" s="6"/>
      <c r="W42" s="6">
        <v>969.99</v>
      </c>
      <c r="X42" s="6">
        <v>969.99</v>
      </c>
      <c r="Y42" s="6">
        <v>969.99</v>
      </c>
      <c r="Z42" s="6">
        <v>969.99</v>
      </c>
      <c r="AA42" s="6"/>
      <c r="AB42" s="6"/>
      <c r="AC42" s="6"/>
      <c r="AD42" s="6"/>
      <c r="AE42" s="6">
        <v>969.99</v>
      </c>
      <c r="AF42" s="6">
        <f t="shared" si="5"/>
        <v>979.99</v>
      </c>
    </row>
    <row r="43" spans="1:32" x14ac:dyDescent="0.35">
      <c r="A43" s="9" t="s">
        <v>46</v>
      </c>
      <c r="B43" s="9">
        <v>959.97</v>
      </c>
      <c r="C43" s="9">
        <v>765.24540000000002</v>
      </c>
      <c r="D43" s="20">
        <f t="shared" si="4"/>
        <v>0.25446033390073297</v>
      </c>
      <c r="E43" s="9">
        <f t="shared" si="2"/>
        <v>969.99</v>
      </c>
      <c r="F43" s="6">
        <v>969.99</v>
      </c>
      <c r="G43" s="6">
        <v>969.99</v>
      </c>
      <c r="H43" s="6">
        <v>969.99</v>
      </c>
      <c r="I43" s="6">
        <v>969.99</v>
      </c>
      <c r="J43" s="6">
        <v>969.99</v>
      </c>
      <c r="K43" s="6">
        <v>969.99</v>
      </c>
      <c r="L43" s="6">
        <v>969.99</v>
      </c>
      <c r="M43" s="6">
        <v>969.99</v>
      </c>
      <c r="N43" s="6"/>
      <c r="O43" s="6"/>
      <c r="P43" s="6">
        <v>969.9</v>
      </c>
      <c r="Q43" s="6">
        <v>969.99</v>
      </c>
      <c r="R43" s="6">
        <v>969.99</v>
      </c>
      <c r="S43" s="6"/>
      <c r="T43" s="6"/>
      <c r="U43" s="6"/>
      <c r="V43" s="6"/>
      <c r="W43" s="6">
        <v>969.99</v>
      </c>
      <c r="X43" s="6">
        <v>969.99</v>
      </c>
      <c r="Y43" s="6">
        <v>969.99</v>
      </c>
      <c r="Z43" s="6">
        <v>969.99</v>
      </c>
      <c r="AA43" s="6"/>
      <c r="AB43" s="6"/>
      <c r="AC43" s="6"/>
      <c r="AD43" s="6"/>
      <c r="AE43" s="6">
        <v>969.99</v>
      </c>
      <c r="AF43" s="6">
        <f t="shared" si="5"/>
        <v>979.99</v>
      </c>
    </row>
    <row r="44" spans="1:32" x14ac:dyDescent="0.35">
      <c r="A44" s="9" t="s">
        <v>71</v>
      </c>
      <c r="B44" s="9">
        <v>519.96</v>
      </c>
      <c r="C44" s="9">
        <v>400.09540000000004</v>
      </c>
      <c r="D44" s="20">
        <f t="shared" si="4"/>
        <v>0.29959004777360598</v>
      </c>
      <c r="E44" s="9">
        <f t="shared" si="2"/>
        <v>529.99</v>
      </c>
      <c r="F44" s="6">
        <v>529.99</v>
      </c>
      <c r="G44" s="6"/>
      <c r="H44" s="6">
        <v>529.99</v>
      </c>
      <c r="I44" s="6">
        <v>529.99</v>
      </c>
      <c r="J44" s="6">
        <v>529.99</v>
      </c>
      <c r="K44" s="6">
        <v>529.99</v>
      </c>
      <c r="L44" s="6">
        <v>529.99</v>
      </c>
      <c r="M44" s="6">
        <v>529.99</v>
      </c>
      <c r="N44" s="6"/>
      <c r="O44" s="6">
        <v>529.99</v>
      </c>
      <c r="P44" s="6"/>
      <c r="Q44" s="6">
        <v>529.99</v>
      </c>
      <c r="R44" s="6">
        <v>529.99</v>
      </c>
      <c r="S44" s="6"/>
      <c r="T44" s="6"/>
      <c r="U44" s="6"/>
      <c r="V44" s="6"/>
      <c r="W44" s="6">
        <v>529.99</v>
      </c>
      <c r="X44" s="6">
        <v>529.99</v>
      </c>
      <c r="Y44" s="6">
        <v>529.99</v>
      </c>
      <c r="Z44" s="6">
        <v>529.99</v>
      </c>
      <c r="AA44" s="6">
        <v>529.99</v>
      </c>
      <c r="AB44" s="6"/>
      <c r="AC44" s="6"/>
      <c r="AD44" s="6"/>
      <c r="AE44" s="6">
        <v>529.99</v>
      </c>
      <c r="AF44" s="6">
        <f t="shared" si="5"/>
        <v>539.99</v>
      </c>
    </row>
    <row r="45" spans="1:32" x14ac:dyDescent="0.35">
      <c r="A45" s="9" t="s">
        <v>100</v>
      </c>
      <c r="B45" s="9">
        <v>529.91</v>
      </c>
      <c r="C45" s="9">
        <v>400.57500000000005</v>
      </c>
      <c r="D45" s="20">
        <f t="shared" si="4"/>
        <v>0.32287336953129864</v>
      </c>
      <c r="E45" s="9">
        <f t="shared" si="2"/>
        <v>539.99</v>
      </c>
      <c r="F45" s="6">
        <v>539.99</v>
      </c>
      <c r="G45" s="6"/>
      <c r="H45" s="6">
        <v>539.99</v>
      </c>
      <c r="I45" s="6">
        <v>539.99</v>
      </c>
      <c r="J45" s="6">
        <v>539.99</v>
      </c>
      <c r="K45" s="6">
        <v>539.99</v>
      </c>
      <c r="L45" s="6">
        <v>539.99</v>
      </c>
      <c r="M45" s="6">
        <v>539.99</v>
      </c>
      <c r="N45" s="6"/>
      <c r="O45" s="6">
        <v>539.99</v>
      </c>
      <c r="P45" s="6">
        <v>539.9</v>
      </c>
      <c r="Q45" s="6">
        <v>539.99</v>
      </c>
      <c r="R45" s="6">
        <v>539.99</v>
      </c>
      <c r="S45" s="6"/>
      <c r="T45" s="6"/>
      <c r="U45" s="6"/>
      <c r="V45" s="6"/>
      <c r="W45" s="6">
        <v>539.99</v>
      </c>
      <c r="X45" s="6">
        <v>539.99</v>
      </c>
      <c r="Y45" s="6">
        <v>539.99</v>
      </c>
      <c r="Z45" s="6">
        <v>539.99</v>
      </c>
      <c r="AA45" s="6">
        <v>539.99</v>
      </c>
      <c r="AB45" s="6">
        <v>539.99</v>
      </c>
      <c r="AC45" s="6"/>
      <c r="AD45" s="6"/>
      <c r="AE45" s="6">
        <v>539.99</v>
      </c>
      <c r="AF45" s="6">
        <f t="shared" si="5"/>
        <v>549.99</v>
      </c>
    </row>
    <row r="46" spans="1:32" x14ac:dyDescent="0.35">
      <c r="A46" s="9" t="s">
        <v>55</v>
      </c>
      <c r="B46" s="9">
        <v>729.96</v>
      </c>
      <c r="C46" s="9">
        <v>584.03289999999993</v>
      </c>
      <c r="D46" s="20">
        <f t="shared" si="4"/>
        <v>0.24986109515405741</v>
      </c>
      <c r="E46" s="9">
        <f t="shared" si="2"/>
        <v>739.99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739.99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x14ac:dyDescent="0.35">
      <c r="A47" s="9" t="s">
        <v>59</v>
      </c>
      <c r="B47" s="9">
        <v>879.96</v>
      </c>
      <c r="C47" s="9">
        <v>688.82550000000015</v>
      </c>
      <c r="D47" s="20">
        <f t="shared" si="4"/>
        <v>0.27747883898026404</v>
      </c>
      <c r="E47" s="9">
        <f t="shared" si="2"/>
        <v>889.99</v>
      </c>
      <c r="F47" s="6">
        <v>889.99</v>
      </c>
      <c r="G47" s="6">
        <v>889.99</v>
      </c>
      <c r="H47" s="6">
        <v>889.99</v>
      </c>
      <c r="I47" s="6">
        <v>889.99</v>
      </c>
      <c r="J47" s="6">
        <v>889.99</v>
      </c>
      <c r="K47" s="6">
        <v>889.99</v>
      </c>
      <c r="L47" s="6">
        <v>889.99</v>
      </c>
      <c r="M47" s="6">
        <v>889.99</v>
      </c>
      <c r="N47" s="6">
        <v>889.99</v>
      </c>
      <c r="O47" s="6"/>
      <c r="P47" s="6"/>
      <c r="Q47" s="6">
        <v>889.99</v>
      </c>
      <c r="R47" s="6">
        <v>889.99</v>
      </c>
      <c r="S47" s="6"/>
      <c r="T47" s="6"/>
      <c r="U47" s="6"/>
      <c r="V47" s="6"/>
      <c r="W47" s="6">
        <v>889.99</v>
      </c>
      <c r="X47" s="6">
        <v>889.99</v>
      </c>
      <c r="Y47" s="6">
        <v>889.99</v>
      </c>
      <c r="Z47" s="6">
        <v>889.99</v>
      </c>
      <c r="AA47" s="6"/>
      <c r="AB47" s="6"/>
      <c r="AC47" s="6"/>
      <c r="AD47" s="6"/>
      <c r="AE47" s="6">
        <v>889.99</v>
      </c>
      <c r="AF47" s="6">
        <f>ROUNDUP(AE47+10,-1)-0.01</f>
        <v>899.99</v>
      </c>
    </row>
    <row r="48" spans="1:32" ht="15.75" customHeight="1" x14ac:dyDescent="0.35">
      <c r="A48" s="9" t="s">
        <v>121</v>
      </c>
      <c r="B48" s="9">
        <v>1549.96</v>
      </c>
      <c r="C48" s="9">
        <v>1240.2129</v>
      </c>
      <c r="D48" s="20">
        <f t="shared" si="4"/>
        <v>0.24975316737956854</v>
      </c>
      <c r="E48" s="9">
        <f t="shared" si="2"/>
        <v>1559.99</v>
      </c>
      <c r="F48" s="6">
        <v>1559.99</v>
      </c>
      <c r="G48" s="6"/>
      <c r="H48" s="6">
        <v>1559.99</v>
      </c>
      <c r="I48" s="6">
        <v>1559.99</v>
      </c>
      <c r="J48" s="6">
        <v>1559.99</v>
      </c>
      <c r="K48" s="6">
        <v>1559.99</v>
      </c>
      <c r="L48" s="6">
        <v>1559.99</v>
      </c>
      <c r="M48" s="6">
        <v>1559.99</v>
      </c>
      <c r="N48" s="6">
        <v>1559.99</v>
      </c>
      <c r="O48" s="6"/>
      <c r="P48" s="6">
        <v>1559.9</v>
      </c>
      <c r="Q48" s="6">
        <v>1559.99</v>
      </c>
      <c r="R48" s="6">
        <v>1559.99</v>
      </c>
      <c r="S48" s="6"/>
      <c r="T48" s="6"/>
      <c r="U48" s="6"/>
      <c r="V48" s="6"/>
      <c r="W48" s="6">
        <v>1559.99</v>
      </c>
      <c r="X48" s="6">
        <v>1559.99</v>
      </c>
      <c r="Y48" s="6">
        <v>1559.99</v>
      </c>
      <c r="Z48" s="6">
        <v>1559.99</v>
      </c>
      <c r="AA48" s="6"/>
      <c r="AB48" s="6"/>
      <c r="AC48" s="6"/>
      <c r="AD48" s="6"/>
      <c r="AE48" s="6">
        <v>1559.99</v>
      </c>
      <c r="AF48" s="6">
        <f>ROUNDUP(AE48+10,-1)-0.01</f>
        <v>1569.99</v>
      </c>
    </row>
    <row r="49" spans="1:32" x14ac:dyDescent="0.35">
      <c r="A49" s="9" t="s">
        <v>88</v>
      </c>
      <c r="B49" s="9">
        <v>1139.96</v>
      </c>
      <c r="C49" s="9">
        <v>887.96850000000006</v>
      </c>
      <c r="D49" s="20">
        <f t="shared" si="4"/>
        <v>0.28378427838374898</v>
      </c>
      <c r="E49" s="9">
        <f t="shared" si="2"/>
        <v>1149.99</v>
      </c>
      <c r="F49" s="6">
        <v>1149.99</v>
      </c>
      <c r="G49" s="6">
        <v>1149.99</v>
      </c>
      <c r="H49" s="6">
        <v>1149.99</v>
      </c>
      <c r="I49" s="6">
        <v>1149.99</v>
      </c>
      <c r="J49" s="6">
        <v>1149.99</v>
      </c>
      <c r="K49" s="6">
        <v>1149.99</v>
      </c>
      <c r="L49" s="6">
        <v>1149.99</v>
      </c>
      <c r="M49" s="6">
        <v>1149.99</v>
      </c>
      <c r="N49" s="6"/>
      <c r="O49" s="6">
        <v>1149.99</v>
      </c>
      <c r="P49" s="6"/>
      <c r="Q49" s="6">
        <v>1149.99</v>
      </c>
      <c r="R49" s="6">
        <v>1149.99</v>
      </c>
      <c r="S49" s="6"/>
      <c r="T49" s="6"/>
      <c r="U49" s="6"/>
      <c r="V49" s="6"/>
      <c r="W49" s="6">
        <v>1149.99</v>
      </c>
      <c r="X49" s="6">
        <v>1149.99</v>
      </c>
      <c r="Y49" s="6">
        <v>1149.99</v>
      </c>
      <c r="Z49" s="6">
        <v>1149.99</v>
      </c>
      <c r="AA49" s="6"/>
      <c r="AB49" s="6"/>
      <c r="AC49" s="6"/>
      <c r="AD49" s="6"/>
      <c r="AE49" s="6">
        <v>1149.99</v>
      </c>
      <c r="AF49" s="6">
        <f>ROUNDUP(AE49+10,-1)-0.01</f>
        <v>1159.99</v>
      </c>
    </row>
    <row r="50" spans="1:32" x14ac:dyDescent="0.35">
      <c r="A50" s="9" t="s">
        <v>61</v>
      </c>
      <c r="B50" s="9">
        <v>1329.96</v>
      </c>
      <c r="C50" s="9">
        <v>1076.4949000000001</v>
      </c>
      <c r="D50" s="20">
        <f t="shared" si="4"/>
        <v>0.23545406485437126</v>
      </c>
      <c r="E50" s="9">
        <f t="shared" si="2"/>
        <v>1339.99</v>
      </c>
      <c r="F50" s="6"/>
      <c r="G50" s="6"/>
      <c r="H50" s="6"/>
      <c r="I50" s="6">
        <v>1339.99</v>
      </c>
      <c r="J50" s="6">
        <v>1339.99</v>
      </c>
      <c r="K50" s="6">
        <v>1339.99</v>
      </c>
      <c r="L50" s="6">
        <v>1339.99</v>
      </c>
      <c r="M50" s="6"/>
      <c r="N50" s="6">
        <v>1339.99</v>
      </c>
      <c r="O50" s="6"/>
      <c r="P50" s="6">
        <v>1339.9</v>
      </c>
      <c r="Q50" s="6">
        <v>1339.99</v>
      </c>
      <c r="R50" s="6"/>
      <c r="S50" s="6"/>
      <c r="T50" s="6"/>
      <c r="U50" s="6"/>
      <c r="V50" s="6"/>
      <c r="W50" s="6">
        <v>1339.99</v>
      </c>
      <c r="X50" s="6"/>
      <c r="Y50" s="6"/>
      <c r="Z50" s="6">
        <v>1339.99</v>
      </c>
      <c r="AA50" s="6"/>
      <c r="AB50" s="6"/>
      <c r="AC50" s="6"/>
      <c r="AD50" s="6"/>
      <c r="AE50" s="6">
        <v>1339.99</v>
      </c>
      <c r="AF50" s="6"/>
    </row>
    <row r="51" spans="1:32" x14ac:dyDescent="0.35">
      <c r="A51" s="9" t="s">
        <v>42</v>
      </c>
      <c r="B51" s="9">
        <v>979.96</v>
      </c>
      <c r="C51" s="9">
        <v>775.07720000000006</v>
      </c>
      <c r="D51" s="20">
        <f t="shared" si="4"/>
        <v>0.26433857169324537</v>
      </c>
      <c r="E51" s="9">
        <f t="shared" si="2"/>
        <v>989.99</v>
      </c>
      <c r="F51" s="6">
        <v>989.99</v>
      </c>
      <c r="G51" s="6"/>
      <c r="H51" s="6">
        <v>989.99</v>
      </c>
      <c r="I51" s="6">
        <v>989.99</v>
      </c>
      <c r="J51" s="6">
        <v>989.99</v>
      </c>
      <c r="K51" s="6">
        <v>989.99</v>
      </c>
      <c r="L51" s="6">
        <v>989.99</v>
      </c>
      <c r="M51" s="6"/>
      <c r="N51" s="6">
        <v>989.99</v>
      </c>
      <c r="O51" s="6"/>
      <c r="P51" s="6">
        <v>989.9</v>
      </c>
      <c r="Q51" s="6">
        <v>989.99</v>
      </c>
      <c r="R51" s="6">
        <v>989.99</v>
      </c>
      <c r="S51" s="6">
        <v>989.99</v>
      </c>
      <c r="T51" s="6">
        <v>989.99</v>
      </c>
      <c r="U51" s="6"/>
      <c r="V51" s="6"/>
      <c r="W51" s="6">
        <v>989.99</v>
      </c>
      <c r="X51" s="6"/>
      <c r="Y51" s="6"/>
      <c r="Z51" s="6">
        <v>989.99</v>
      </c>
      <c r="AA51" s="6"/>
      <c r="AB51" s="6"/>
      <c r="AC51" s="6"/>
      <c r="AD51" s="6"/>
      <c r="AE51" s="6">
        <v>989.99</v>
      </c>
      <c r="AF51" s="6"/>
    </row>
    <row r="52" spans="1:32" x14ac:dyDescent="0.35">
      <c r="A52" s="9" t="s">
        <v>112</v>
      </c>
      <c r="B52" s="9">
        <v>449.98</v>
      </c>
      <c r="C52" s="9">
        <v>343.90590000000003</v>
      </c>
      <c r="D52" s="20">
        <f t="shared" si="4"/>
        <v>0.30843931435895677</v>
      </c>
      <c r="E52" s="9">
        <f t="shared" si="2"/>
        <v>459.99</v>
      </c>
      <c r="F52" s="6"/>
      <c r="G52" s="6"/>
      <c r="H52" s="6"/>
      <c r="I52" s="6">
        <v>459.99</v>
      </c>
      <c r="J52" s="6">
        <v>459.99</v>
      </c>
      <c r="K52" s="6"/>
      <c r="L52" s="6">
        <v>459.99</v>
      </c>
      <c r="M52" s="6"/>
      <c r="N52" s="6"/>
      <c r="O52" s="6"/>
      <c r="P52" s="6"/>
      <c r="Q52" s="6">
        <v>459.99</v>
      </c>
      <c r="R52" s="6">
        <v>459.99</v>
      </c>
      <c r="S52" s="6"/>
      <c r="T52" s="6">
        <v>459.99</v>
      </c>
      <c r="U52" s="6"/>
      <c r="V52" s="6"/>
      <c r="W52" s="6">
        <v>459.99</v>
      </c>
      <c r="X52" s="6"/>
      <c r="Y52" s="6"/>
      <c r="Z52" s="6">
        <v>459.99</v>
      </c>
      <c r="AA52" s="6"/>
      <c r="AB52" s="6"/>
      <c r="AC52" s="6"/>
      <c r="AD52" s="6"/>
      <c r="AE52" s="6">
        <v>459.99</v>
      </c>
      <c r="AF52" s="6"/>
    </row>
    <row r="53" spans="1:32" x14ac:dyDescent="0.35">
      <c r="A53" s="9" t="s">
        <v>53</v>
      </c>
      <c r="B53" s="9">
        <v>459.96</v>
      </c>
      <c r="C53" s="9">
        <v>362.37049999999999</v>
      </c>
      <c r="D53" s="20">
        <f t="shared" si="4"/>
        <v>0.26930862197667849</v>
      </c>
      <c r="E53" s="9">
        <f t="shared" si="2"/>
        <v>469.99</v>
      </c>
      <c r="F53" s="6">
        <v>469.99</v>
      </c>
      <c r="G53" s="6"/>
      <c r="H53" s="6">
        <v>469.99</v>
      </c>
      <c r="I53" s="6"/>
      <c r="J53" s="6">
        <v>469.99</v>
      </c>
      <c r="K53" s="6">
        <v>469.99</v>
      </c>
      <c r="L53" s="6">
        <v>469.99</v>
      </c>
      <c r="M53" s="6">
        <v>469.99</v>
      </c>
      <c r="N53" s="6"/>
      <c r="O53" s="6"/>
      <c r="P53" s="6">
        <v>469.9</v>
      </c>
      <c r="Q53" s="6">
        <v>469.99</v>
      </c>
      <c r="R53" s="6">
        <v>469.99</v>
      </c>
      <c r="S53" s="6">
        <v>469.99</v>
      </c>
      <c r="T53" s="6">
        <v>469.99</v>
      </c>
      <c r="U53" s="6"/>
      <c r="V53" s="6"/>
      <c r="W53" s="6"/>
      <c r="X53" s="6">
        <v>469.99</v>
      </c>
      <c r="Y53" s="6">
        <v>469.99</v>
      </c>
      <c r="Z53" s="6"/>
      <c r="AA53" s="6"/>
      <c r="AB53" s="6"/>
      <c r="AC53" s="6"/>
      <c r="AD53" s="6"/>
      <c r="AE53" s="6"/>
      <c r="AF53" s="6"/>
    </row>
  </sheetData>
  <autoFilter ref="A1:AF1" xr:uid="{D9DDB364-B38B-47CD-83BD-2780C0860DD7}">
    <sortState xmlns:xlrd2="http://schemas.microsoft.com/office/spreadsheetml/2017/richdata2" ref="A2:AF53">
      <sortCondition ref="A1"/>
    </sortState>
  </autoFilter>
  <conditionalFormatting sqref="A1:A1048576">
    <cfRule type="duplicateValues" dxfId="78" priority="62"/>
  </conditionalFormatting>
  <conditionalFormatting sqref="F2:AF2">
    <cfRule type="cellIs" dxfId="77" priority="61" operator="lessThan">
      <formula>$B$2</formula>
    </cfRule>
  </conditionalFormatting>
  <conditionalFormatting sqref="F3:AF3">
    <cfRule type="cellIs" dxfId="76" priority="60" operator="lessThan">
      <formula>$B$3</formula>
    </cfRule>
  </conditionalFormatting>
  <conditionalFormatting sqref="F4:AF4">
    <cfRule type="cellIs" dxfId="75" priority="59" operator="lessThan">
      <formula>$B$4</formula>
    </cfRule>
  </conditionalFormatting>
  <conditionalFormatting sqref="F5:AF5">
    <cfRule type="cellIs" dxfId="74" priority="58" operator="lessThan">
      <formula>$B$5</formula>
    </cfRule>
  </conditionalFormatting>
  <conditionalFormatting sqref="F6:AF6">
    <cfRule type="cellIs" dxfId="73" priority="57" operator="lessThan">
      <formula>$B$6</formula>
    </cfRule>
  </conditionalFormatting>
  <conditionalFormatting sqref="F7:AF7">
    <cfRule type="cellIs" dxfId="72" priority="56" operator="lessThan">
      <formula>$B$7</formula>
    </cfRule>
  </conditionalFormatting>
  <conditionalFormatting sqref="F8:AF8">
    <cfRule type="cellIs" dxfId="71" priority="55" operator="lessThan">
      <formula>$B$8</formula>
    </cfRule>
  </conditionalFormatting>
  <conditionalFormatting sqref="F9:AF9">
    <cfRule type="cellIs" dxfId="70" priority="54" operator="lessThan">
      <formula>$B$9</formula>
    </cfRule>
  </conditionalFormatting>
  <conditionalFormatting sqref="F10:AF10">
    <cfRule type="cellIs" dxfId="69" priority="53" operator="lessThan">
      <formula>$B$10</formula>
    </cfRule>
  </conditionalFormatting>
  <conditionalFormatting sqref="F11:AF11">
    <cfRule type="cellIs" dxfId="68" priority="52" operator="lessThan">
      <formula>$B$11</formula>
    </cfRule>
  </conditionalFormatting>
  <conditionalFormatting sqref="F12:AF12">
    <cfRule type="cellIs" dxfId="67" priority="51" operator="lessThan">
      <formula>$B$12</formula>
    </cfRule>
  </conditionalFormatting>
  <conditionalFormatting sqref="F13:AF13">
    <cfRule type="cellIs" dxfId="66" priority="50" operator="lessThan">
      <formula>$B$13</formula>
    </cfRule>
  </conditionalFormatting>
  <conditionalFormatting sqref="F14:AF14">
    <cfRule type="cellIs" dxfId="65" priority="48" operator="lessThan">
      <formula>$B$14</formula>
    </cfRule>
  </conditionalFormatting>
  <conditionalFormatting sqref="F15:AF15">
    <cfRule type="cellIs" dxfId="64" priority="47" operator="lessThan">
      <formula>$B$15</formula>
    </cfRule>
  </conditionalFormatting>
  <conditionalFormatting sqref="F16:AF16">
    <cfRule type="cellIs" dxfId="63" priority="46" operator="lessThan">
      <formula>$B$16</formula>
    </cfRule>
  </conditionalFormatting>
  <conditionalFormatting sqref="F17:AF17">
    <cfRule type="cellIs" dxfId="62" priority="45" operator="lessThan">
      <formula>$B$17</formula>
    </cfRule>
  </conditionalFormatting>
  <conditionalFormatting sqref="F18:AF18">
    <cfRule type="cellIs" dxfId="61" priority="44" operator="lessThan">
      <formula>$B$18</formula>
    </cfRule>
  </conditionalFormatting>
  <conditionalFormatting sqref="F19:AF19">
    <cfRule type="cellIs" dxfId="60" priority="49" operator="lessThan">
      <formula>$B$19</formula>
    </cfRule>
  </conditionalFormatting>
  <conditionalFormatting sqref="F20:AF20">
    <cfRule type="cellIs" dxfId="59" priority="43" operator="lessThan">
      <formula>$B$20</formula>
    </cfRule>
  </conditionalFormatting>
  <conditionalFormatting sqref="F21:AF21">
    <cfRule type="cellIs" dxfId="58" priority="42" operator="lessThan">
      <formula>$B$21</formula>
    </cfRule>
  </conditionalFormatting>
  <conditionalFormatting sqref="F22:AF22">
    <cfRule type="cellIs" dxfId="57" priority="36" operator="lessThan">
      <formula>$B$22</formula>
    </cfRule>
  </conditionalFormatting>
  <conditionalFormatting sqref="F23:AF23">
    <cfRule type="cellIs" dxfId="56" priority="35" operator="lessThan">
      <formula>$B$23</formula>
    </cfRule>
  </conditionalFormatting>
  <conditionalFormatting sqref="F24:AF24">
    <cfRule type="cellIs" dxfId="55" priority="34" operator="lessThan">
      <formula>$B$24</formula>
    </cfRule>
  </conditionalFormatting>
  <conditionalFormatting sqref="F25:AF25">
    <cfRule type="cellIs" dxfId="54" priority="31" operator="lessThan">
      <formula>$B$25</formula>
    </cfRule>
  </conditionalFormatting>
  <conditionalFormatting sqref="F26:AF26">
    <cfRule type="cellIs" dxfId="53" priority="30" operator="lessThan">
      <formula>$B$26</formula>
    </cfRule>
  </conditionalFormatting>
  <conditionalFormatting sqref="F27:AF27">
    <cfRule type="cellIs" dxfId="52" priority="29" operator="lessThan">
      <formula>$B$27</formula>
    </cfRule>
  </conditionalFormatting>
  <conditionalFormatting sqref="F28:AF28">
    <cfRule type="cellIs" dxfId="51" priority="28" operator="lessThan">
      <formula>$B$28</formula>
    </cfRule>
  </conditionalFormatting>
  <conditionalFormatting sqref="F29:AF29">
    <cfRule type="cellIs" dxfId="50" priority="27" operator="lessThan">
      <formula>$B$29</formula>
    </cfRule>
  </conditionalFormatting>
  <conditionalFormatting sqref="F30:AF30">
    <cfRule type="cellIs" dxfId="49" priority="26" operator="lessThan">
      <formula>$B$30</formula>
    </cfRule>
  </conditionalFormatting>
  <conditionalFormatting sqref="F31:AF31">
    <cfRule type="cellIs" dxfId="48" priority="25" operator="lessThan">
      <formula>$B$31</formula>
    </cfRule>
  </conditionalFormatting>
  <conditionalFormatting sqref="F32:AF32">
    <cfRule type="cellIs" dxfId="47" priority="24" operator="lessThan">
      <formula>$B$32</formula>
    </cfRule>
  </conditionalFormatting>
  <conditionalFormatting sqref="F33:AF33">
    <cfRule type="cellIs" dxfId="46" priority="23" operator="lessThan">
      <formula>$B$33</formula>
    </cfRule>
  </conditionalFormatting>
  <conditionalFormatting sqref="F34:AF34">
    <cfRule type="cellIs" dxfId="45" priority="22" operator="lessThan">
      <formula>$B$34</formula>
    </cfRule>
  </conditionalFormatting>
  <conditionalFormatting sqref="F35:AF35">
    <cfRule type="cellIs" dxfId="44" priority="21" operator="lessThan">
      <formula>$B$35</formula>
    </cfRule>
  </conditionalFormatting>
  <conditionalFormatting sqref="F36:AF36">
    <cfRule type="cellIs" dxfId="43" priority="20" operator="lessThan">
      <formula>$B$36</formula>
    </cfRule>
  </conditionalFormatting>
  <conditionalFormatting sqref="F37:AF37">
    <cfRule type="cellIs" dxfId="42" priority="19" operator="lessThan">
      <formula>$B$37</formula>
    </cfRule>
  </conditionalFormatting>
  <conditionalFormatting sqref="F38:AF38">
    <cfRule type="cellIs" dxfId="41" priority="18" operator="lessThan">
      <formula>$B$38</formula>
    </cfRule>
  </conditionalFormatting>
  <conditionalFormatting sqref="F39:AF39">
    <cfRule type="cellIs" dxfId="40" priority="17" operator="lessThan">
      <formula>$B$39</formula>
    </cfRule>
  </conditionalFormatting>
  <conditionalFormatting sqref="F40:AF40">
    <cfRule type="cellIs" dxfId="39" priority="16" operator="lessThan">
      <formula>$B$40</formula>
    </cfRule>
  </conditionalFormatting>
  <conditionalFormatting sqref="F41:AF41">
    <cfRule type="cellIs" dxfId="38" priority="15" operator="lessThan">
      <formula>$B$41</formula>
    </cfRule>
  </conditionalFormatting>
  <conditionalFormatting sqref="F42:AF42">
    <cfRule type="cellIs" dxfId="37" priority="14" operator="lessThan">
      <formula>$B$42</formula>
    </cfRule>
  </conditionalFormatting>
  <conditionalFormatting sqref="F43:AF43">
    <cfRule type="cellIs" dxfId="36" priority="13" operator="lessThan">
      <formula>$B$43</formula>
    </cfRule>
  </conditionalFormatting>
  <conditionalFormatting sqref="F44:AF44">
    <cfRule type="cellIs" dxfId="35" priority="12" operator="lessThan">
      <formula>$B$44</formula>
    </cfRule>
  </conditionalFormatting>
  <conditionalFormatting sqref="F45:AF45">
    <cfRule type="cellIs" dxfId="34" priority="11" operator="lessThan">
      <formula>$B$45</formula>
    </cfRule>
  </conditionalFormatting>
  <conditionalFormatting sqref="F46:AF46">
    <cfRule type="cellIs" dxfId="33" priority="10" operator="lessThan">
      <formula>$B$46</formula>
    </cfRule>
  </conditionalFormatting>
  <conditionalFormatting sqref="F47:AF47">
    <cfRule type="cellIs" dxfId="32" priority="9" operator="lessThan">
      <formula>$B$47</formula>
    </cfRule>
  </conditionalFormatting>
  <conditionalFormatting sqref="F48:AF48">
    <cfRule type="cellIs" dxfId="31" priority="8" operator="lessThan">
      <formula>$B$48</formula>
    </cfRule>
  </conditionalFormatting>
  <conditionalFormatting sqref="F49:AF49">
    <cfRule type="cellIs" dxfId="30" priority="7" operator="lessThan">
      <formula>$B$49</formula>
    </cfRule>
  </conditionalFormatting>
  <conditionalFormatting sqref="F50:AF50">
    <cfRule type="cellIs" dxfId="29" priority="6" operator="lessThan">
      <formula>$B$50</formula>
    </cfRule>
  </conditionalFormatting>
  <conditionalFormatting sqref="F51:AF51">
    <cfRule type="cellIs" dxfId="28" priority="5" operator="lessThan">
      <formula>$B$51</formula>
    </cfRule>
  </conditionalFormatting>
  <conditionalFormatting sqref="F52:AF52">
    <cfRule type="cellIs" dxfId="27" priority="4" operator="lessThan">
      <formula>$B$52</formula>
    </cfRule>
  </conditionalFormatting>
  <conditionalFormatting sqref="F53:AF53">
    <cfRule type="cellIs" dxfId="26" priority="2" operator="lessThan">
      <formula>$B$53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E940-3B09-4A10-91F7-5F18E3554E58}">
  <sheetPr>
    <tabColor rgb="FF92D050"/>
  </sheetPr>
  <dimension ref="A1:J66"/>
  <sheetViews>
    <sheetView showGridLines="0" zoomScale="80" zoomScaleNormal="80" workbookViewId="0">
      <selection sqref="A1:C1"/>
    </sheetView>
  </sheetViews>
  <sheetFormatPr defaultRowHeight="14.5" x14ac:dyDescent="0.35"/>
  <cols>
    <col min="1" max="1" width="17.81640625" style="21" bestFit="1" customWidth="1"/>
    <col min="2" max="2" width="17.6328125" style="1" customWidth="1"/>
    <col min="3" max="3" width="63.7265625" style="23" customWidth="1"/>
    <col min="4" max="4" width="18.1796875" style="1" bestFit="1" customWidth="1"/>
    <col min="5" max="5" width="9.36328125" style="21" customWidth="1"/>
    <col min="6" max="16384" width="8.7265625" style="1"/>
  </cols>
  <sheetData>
    <row r="1" spans="1:10" s="22" customFormat="1" x14ac:dyDescent="0.35">
      <c r="A1" s="27" t="s">
        <v>893</v>
      </c>
      <c r="B1" s="28" t="s">
        <v>894</v>
      </c>
      <c r="C1" s="29" t="s">
        <v>409</v>
      </c>
      <c r="E1" s="62">
        <v>45964</v>
      </c>
      <c r="F1" s="63"/>
      <c r="G1" s="63"/>
      <c r="H1" s="63"/>
      <c r="I1" s="63"/>
      <c r="J1" s="64"/>
    </row>
    <row r="2" spans="1:10" s="22" customFormat="1" ht="14.25" customHeight="1" x14ac:dyDescent="0.35">
      <c r="A2" s="26" t="s">
        <v>601</v>
      </c>
      <c r="B2" s="31" t="s">
        <v>895</v>
      </c>
      <c r="C2" s="32" t="s">
        <v>918</v>
      </c>
      <c r="D2" s="30" t="s">
        <v>3</v>
      </c>
      <c r="E2" s="27" t="s">
        <v>443</v>
      </c>
      <c r="F2" s="28" t="s">
        <v>442</v>
      </c>
      <c r="G2" s="28"/>
      <c r="H2" s="28" t="s">
        <v>440</v>
      </c>
      <c r="I2" s="28" t="s">
        <v>441</v>
      </c>
      <c r="J2" s="28" t="s">
        <v>512</v>
      </c>
    </row>
    <row r="3" spans="1:10" x14ac:dyDescent="0.35">
      <c r="A3" s="26" t="s">
        <v>602</v>
      </c>
      <c r="B3" s="31" t="s">
        <v>896</v>
      </c>
      <c r="C3" s="32" t="s">
        <v>919</v>
      </c>
      <c r="D3" s="24" t="s">
        <v>52</v>
      </c>
      <c r="E3" s="26">
        <v>479.96</v>
      </c>
      <c r="F3" s="9">
        <v>422.36</v>
      </c>
      <c r="G3" s="20">
        <f>((E3-F3)/E3)</f>
        <v>0.12001000083340271</v>
      </c>
      <c r="H3" s="9">
        <v>49.9</v>
      </c>
      <c r="I3" s="9">
        <v>7</v>
      </c>
      <c r="J3" s="20">
        <f>IF(SUMIFS(Negociados!C:C,Negociados!B:B,E3,Negociados!A:A,A2,Negociados!D:D,"&lt;="&amp;$E$1,Negociados!E:E,"&gt;="&amp;$E$1),SUMIFS(Negociados!C:C,Negociados!B:B,E3,Negociados!A:A,A2,Negociados!D:D,"&lt;="&amp;$E$1,Negociados!E:E,"&gt;="&amp;$E$1),19%)</f>
        <v>0.08</v>
      </c>
    </row>
    <row r="4" spans="1:10" x14ac:dyDescent="0.35">
      <c r="A4" s="26" t="s">
        <v>603</v>
      </c>
      <c r="B4" s="31" t="s">
        <v>897</v>
      </c>
      <c r="C4" s="32" t="s">
        <v>920</v>
      </c>
      <c r="D4" s="24" t="s">
        <v>52</v>
      </c>
      <c r="E4" s="26">
        <v>679.96</v>
      </c>
      <c r="F4" s="9">
        <v>598.36</v>
      </c>
      <c r="G4" s="20">
        <f t="shared" ref="G4:G66" si="0">((E4-F4)/E4)</f>
        <v>0.12000705923877877</v>
      </c>
      <c r="H4" s="9">
        <v>49.9</v>
      </c>
      <c r="I4" s="9">
        <v>7</v>
      </c>
      <c r="J4" s="20">
        <f>IF(SUMIFS(Negociados!C:C,Negociados!B:B,E4,Negociados!A:A,A3,Negociados!D:D,"&lt;="&amp;$E$1,Negociados!E:E,"&gt;="&amp;$E$1),SUMIFS(Negociados!C:C,Negociados!B:B,E4,Negociados!A:A,A3,Negociados!D:D,"&lt;="&amp;$E$1,Negociados!E:E,"&gt;="&amp;$E$1),19%)</f>
        <v>0.19</v>
      </c>
    </row>
    <row r="5" spans="1:10" x14ac:dyDescent="0.35">
      <c r="A5" s="26" t="s">
        <v>501</v>
      </c>
      <c r="B5" s="31" t="s">
        <v>898</v>
      </c>
      <c r="C5" s="32" t="s">
        <v>921</v>
      </c>
      <c r="D5" s="24" t="s">
        <v>52</v>
      </c>
      <c r="E5" s="26">
        <v>679.96</v>
      </c>
      <c r="F5" s="9">
        <v>598.36</v>
      </c>
      <c r="G5" s="20">
        <f t="shared" si="0"/>
        <v>0.12000705923877877</v>
      </c>
      <c r="H5" s="9">
        <v>49.9</v>
      </c>
      <c r="I5" s="9">
        <v>7</v>
      </c>
      <c r="J5" s="20">
        <f>IF(SUMIFS(Negociados!C:C,Negociados!B:B,E5,Negociados!A:A,A4,Negociados!D:D,"&lt;="&amp;$E$1,Negociados!E:E,"&gt;="&amp;$E$1),SUMIFS(Negociados!C:C,Negociados!B:B,E5,Negociados!A:A,A4,Negociados!D:D,"&lt;="&amp;$E$1,Negociados!E:E,"&gt;="&amp;$E$1),19%)</f>
        <v>0.19</v>
      </c>
    </row>
    <row r="6" spans="1:10" x14ac:dyDescent="0.35">
      <c r="A6" s="26" t="s">
        <v>523</v>
      </c>
      <c r="B6" s="31" t="s">
        <v>899</v>
      </c>
      <c r="C6" s="32" t="s">
        <v>922</v>
      </c>
      <c r="D6" s="24" t="s">
        <v>52</v>
      </c>
      <c r="E6" s="26">
        <v>379.96</v>
      </c>
      <c r="F6" s="9">
        <v>334.36</v>
      </c>
      <c r="G6" s="20">
        <f t="shared" si="0"/>
        <v>0.12001263290872716</v>
      </c>
      <c r="H6" s="9">
        <v>39.9</v>
      </c>
      <c r="I6" s="9">
        <v>7</v>
      </c>
      <c r="J6" s="20">
        <f>IF(SUMIFS(Negociados!C:C,Negociados!B:B,E6,Negociados!A:A,A5,Negociados!D:D,"&lt;="&amp;$E$1,Negociados!E:E,"&gt;="&amp;$E$1),SUMIFS(Negociados!C:C,Negociados!B:B,E6,Negociados!A:A,A5,Negociados!D:D,"&lt;="&amp;$E$1,Negociados!E:E,"&gt;="&amp;$E$1),19%)</f>
        <v>0.19</v>
      </c>
    </row>
    <row r="7" spans="1:10" x14ac:dyDescent="0.35">
      <c r="A7" s="26" t="s">
        <v>604</v>
      </c>
      <c r="B7" s="31" t="s">
        <v>900</v>
      </c>
      <c r="C7" s="32" t="s">
        <v>923</v>
      </c>
      <c r="D7" s="24" t="s">
        <v>52</v>
      </c>
      <c r="E7" s="26">
        <v>379.96</v>
      </c>
      <c r="F7" s="9">
        <v>334.36</v>
      </c>
      <c r="G7" s="20">
        <f t="shared" si="0"/>
        <v>0.12001263290872716</v>
      </c>
      <c r="H7" s="9">
        <v>39.9</v>
      </c>
      <c r="I7" s="9">
        <v>7</v>
      </c>
      <c r="J7" s="20">
        <f>IF(SUMIFS(Negociados!C:C,Negociados!B:B,E7,Negociados!A:A,A6,Negociados!D:D,"&lt;="&amp;$E$1,Negociados!E:E,"&gt;="&amp;$E$1),SUMIFS(Negociados!C:C,Negociados!B:B,E7,Negociados!A:A,A6,Negociados!D:D,"&lt;="&amp;$E$1,Negociados!E:E,"&gt;="&amp;$E$1),19%)</f>
        <v>0.19</v>
      </c>
    </row>
    <row r="8" spans="1:10" x14ac:dyDescent="0.35">
      <c r="A8" s="26" t="s">
        <v>605</v>
      </c>
      <c r="B8" s="31" t="s">
        <v>901</v>
      </c>
      <c r="C8" s="32" t="s">
        <v>924</v>
      </c>
      <c r="D8" s="24" t="s">
        <v>52</v>
      </c>
      <c r="E8" s="26">
        <v>699.96</v>
      </c>
      <c r="F8" s="9">
        <v>615.96</v>
      </c>
      <c r="G8" s="20">
        <f t="shared" si="0"/>
        <v>0.12000685753471627</v>
      </c>
      <c r="H8" s="9">
        <v>49.9</v>
      </c>
      <c r="I8" s="9">
        <v>7</v>
      </c>
      <c r="J8" s="20">
        <f>IF(SUMIFS(Negociados!C:C,Negociados!B:B,E8,Negociados!A:A,A7,Negociados!D:D,"&lt;="&amp;$E$1,Negociados!E:E,"&gt;="&amp;$E$1),SUMIFS(Negociados!C:C,Negociados!B:B,E8,Negociados!A:A,A7,Negociados!D:D,"&lt;="&amp;$E$1,Negociados!E:E,"&gt;="&amp;$E$1),19%)</f>
        <v>0.19</v>
      </c>
    </row>
    <row r="9" spans="1:10" x14ac:dyDescent="0.35">
      <c r="A9" s="26" t="s">
        <v>606</v>
      </c>
      <c r="B9" s="31" t="s">
        <v>902</v>
      </c>
      <c r="C9" s="32" t="s">
        <v>925</v>
      </c>
      <c r="D9" s="24" t="s">
        <v>52</v>
      </c>
      <c r="E9" s="26">
        <v>699.96</v>
      </c>
      <c r="F9" s="9">
        <v>615.96</v>
      </c>
      <c r="G9" s="20">
        <f t="shared" si="0"/>
        <v>0.12000685753471627</v>
      </c>
      <c r="H9" s="9">
        <v>49.9</v>
      </c>
      <c r="I9" s="9">
        <v>7</v>
      </c>
      <c r="J9" s="20">
        <f>IF(SUMIFS(Negociados!C:C,Negociados!B:B,E9,Negociados!A:A,A8,Negociados!D:D,"&lt;="&amp;$E$1,Negociados!E:E,"&gt;="&amp;$E$1),SUMIFS(Negociados!C:C,Negociados!B:B,E9,Negociados!A:A,A8,Negociados!D:D,"&lt;="&amp;$E$1,Negociados!E:E,"&gt;="&amp;$E$1),19%)</f>
        <v>0.17</v>
      </c>
    </row>
    <row r="10" spans="1:10" x14ac:dyDescent="0.35">
      <c r="A10" s="26" t="s">
        <v>59</v>
      </c>
      <c r="B10" s="31" t="s">
        <v>290</v>
      </c>
      <c r="C10" s="32" t="s">
        <v>926</v>
      </c>
      <c r="D10" s="24" t="s">
        <v>52</v>
      </c>
      <c r="E10" s="26">
        <v>699.96</v>
      </c>
      <c r="F10" s="9">
        <v>615.96</v>
      </c>
      <c r="G10" s="20">
        <f t="shared" si="0"/>
        <v>0.12000685753471627</v>
      </c>
      <c r="H10" s="9">
        <v>49.9</v>
      </c>
      <c r="I10" s="9">
        <v>8</v>
      </c>
      <c r="J10" s="20">
        <f>IF(SUMIFS(Negociados!C:C,Negociados!B:B,E10,Negociados!A:A,A9,Negociados!D:D,"&lt;="&amp;$E$1,Negociados!E:E,"&gt;="&amp;$E$1),SUMIFS(Negociados!C:C,Negociados!B:B,E10,Negociados!A:A,A9,Negociados!D:D,"&lt;="&amp;$E$1,Negociados!E:E,"&gt;="&amp;$E$1),19%)</f>
        <v>0.19</v>
      </c>
    </row>
    <row r="11" spans="1:10" ht="14.25" customHeight="1" x14ac:dyDescent="0.35">
      <c r="A11" s="26" t="s">
        <v>58</v>
      </c>
      <c r="B11" s="31" t="s">
        <v>519</v>
      </c>
      <c r="C11" s="32" t="s">
        <v>417</v>
      </c>
      <c r="D11" s="24" t="s">
        <v>52</v>
      </c>
      <c r="E11" s="26">
        <v>889.96</v>
      </c>
      <c r="F11" s="9">
        <v>783.16</v>
      </c>
      <c r="G11" s="20">
        <f t="shared" si="0"/>
        <v>0.12000539350083157</v>
      </c>
      <c r="H11" s="9">
        <v>49.9</v>
      </c>
      <c r="I11" s="9">
        <v>7</v>
      </c>
      <c r="J11" s="20">
        <f>IF(SUMIFS(Negociados!C:C,Negociados!B:B,E11,Negociados!A:A,A10,Negociados!D:D,"&lt;="&amp;$E$1,Negociados!E:E,"&gt;="&amp;$E$1),SUMIFS(Negociados!C:C,Negociados!B:B,E11,Negociados!A:A,A10,Negociados!D:D,"&lt;="&amp;$E$1,Negociados!E:E,"&gt;="&amp;$E$1),19%)</f>
        <v>0.19</v>
      </c>
    </row>
    <row r="12" spans="1:10" x14ac:dyDescent="0.35">
      <c r="A12" s="26" t="s">
        <v>122</v>
      </c>
      <c r="B12" s="31" t="s">
        <v>295</v>
      </c>
      <c r="C12" s="32" t="s">
        <v>275</v>
      </c>
      <c r="D12" s="24" t="s">
        <v>52</v>
      </c>
      <c r="E12" s="26">
        <v>499.96</v>
      </c>
      <c r="F12" s="9">
        <v>439.96</v>
      </c>
      <c r="G12" s="20">
        <f t="shared" si="0"/>
        <v>0.12000960076806146</v>
      </c>
      <c r="H12" s="9">
        <v>39.9</v>
      </c>
      <c r="I12" s="9">
        <v>7</v>
      </c>
      <c r="J12" s="20">
        <f>IF(SUMIFS(Negociados!C:C,Negociados!B:B,E12,Negociados!A:A,A11,Negociados!D:D,"&lt;="&amp;$E$1,Negociados!E:E,"&gt;="&amp;$E$1),SUMIFS(Negociados!C:C,Negociados!B:B,E12,Negociados!A:A,A11,Negociados!D:D,"&lt;="&amp;$E$1,Negociados!E:E,"&gt;="&amp;$E$1),19%)</f>
        <v>0.19</v>
      </c>
    </row>
    <row r="13" spans="1:10" x14ac:dyDescent="0.35">
      <c r="A13" s="26" t="s">
        <v>27</v>
      </c>
      <c r="B13" s="31" t="s">
        <v>284</v>
      </c>
      <c r="C13" s="32" t="s">
        <v>927</v>
      </c>
      <c r="D13" s="24" t="s">
        <v>52</v>
      </c>
      <c r="E13" s="26">
        <v>399.96</v>
      </c>
      <c r="F13" s="9">
        <v>351.96</v>
      </c>
      <c r="G13" s="20">
        <f t="shared" si="0"/>
        <v>0.12001200120012002</v>
      </c>
      <c r="H13" s="9">
        <v>39.9</v>
      </c>
      <c r="I13" s="9">
        <v>7</v>
      </c>
      <c r="J13" s="20">
        <f>IF(SUMIFS(Negociados!C:C,Negociados!B:B,E13,Negociados!A:A,A12,Negociados!D:D,"&lt;="&amp;$E$1,Negociados!E:E,"&gt;="&amp;$E$1),SUMIFS(Negociados!C:C,Negociados!B:B,E13,Negociados!A:A,A12,Negociados!D:D,"&lt;="&amp;$E$1,Negociados!E:E,"&gt;="&amp;$E$1),19%)</f>
        <v>0.19</v>
      </c>
    </row>
    <row r="14" spans="1:10" x14ac:dyDescent="0.35">
      <c r="A14" s="26" t="s">
        <v>14</v>
      </c>
      <c r="B14" s="31" t="s">
        <v>311</v>
      </c>
      <c r="C14" s="32" t="s">
        <v>123</v>
      </c>
      <c r="D14" s="24" t="s">
        <v>52</v>
      </c>
      <c r="E14" s="26">
        <v>359.96</v>
      </c>
      <c r="F14" s="9">
        <v>316.76</v>
      </c>
      <c r="G14" s="20">
        <f t="shared" si="0"/>
        <v>0.12001333481497942</v>
      </c>
      <c r="H14" s="9">
        <v>39.99</v>
      </c>
      <c r="I14" s="9">
        <v>10</v>
      </c>
      <c r="J14" s="20">
        <f>IF(SUMIFS(Negociados!C:C,Negociados!B:B,E14,Negociados!A:A,A13,Negociados!D:D,"&lt;="&amp;$E$1,Negociados!E:E,"&gt;="&amp;$E$1),SUMIFS(Negociados!C:C,Negociados!B:B,E14,Negociados!A:A,A13,Negociados!D:D,"&lt;="&amp;$E$1,Negociados!E:E,"&gt;="&amp;$E$1),19%)</f>
        <v>0.19</v>
      </c>
    </row>
    <row r="15" spans="1:10" x14ac:dyDescent="0.35">
      <c r="A15" s="26" t="s">
        <v>12</v>
      </c>
      <c r="B15" s="31" t="s">
        <v>308</v>
      </c>
      <c r="C15" s="32" t="s">
        <v>928</v>
      </c>
      <c r="D15" s="24" t="s">
        <v>52</v>
      </c>
      <c r="E15" s="26">
        <v>339.96</v>
      </c>
      <c r="F15" s="9">
        <v>299.16000000000003</v>
      </c>
      <c r="G15" s="20">
        <f t="shared" si="0"/>
        <v>0.12001411930815377</v>
      </c>
      <c r="H15" s="9">
        <v>39.9</v>
      </c>
      <c r="I15" s="9">
        <v>7</v>
      </c>
      <c r="J15" s="20">
        <f>IF(SUMIFS(Negociados!C:C,Negociados!B:B,E15,Negociados!A:A,A14,Negociados!D:D,"&lt;="&amp;$E$1,Negociados!E:E,"&gt;="&amp;$E$1),SUMIFS(Negociados!C:C,Negociados!B:B,E15,Negociados!A:A,A14,Negociados!D:D,"&lt;="&amp;$E$1,Negociados!E:E,"&gt;="&amp;$E$1),19%)</f>
        <v>0.19</v>
      </c>
    </row>
    <row r="16" spans="1:10" x14ac:dyDescent="0.35">
      <c r="A16" s="26" t="s">
        <v>399</v>
      </c>
      <c r="B16" s="31" t="s">
        <v>516</v>
      </c>
      <c r="C16" s="32" t="s">
        <v>415</v>
      </c>
      <c r="D16" s="24" t="s">
        <v>52</v>
      </c>
      <c r="E16" s="26">
        <v>829.96</v>
      </c>
      <c r="F16" s="9">
        <v>730.36</v>
      </c>
      <c r="G16" s="20">
        <f t="shared" si="0"/>
        <v>0.12000578341124876</v>
      </c>
      <c r="H16" s="9" t="s">
        <v>597</v>
      </c>
      <c r="I16" s="9">
        <v>7</v>
      </c>
      <c r="J16" s="20">
        <f>IF(SUMIFS(Negociados!C:C,Negociados!B:B,E16,Negociados!A:A,A15,Negociados!D:D,"&lt;="&amp;$E$1,Negociados!E:E,"&gt;="&amp;$E$1),SUMIFS(Negociados!C:C,Negociados!B:B,E16,Negociados!A:A,A15,Negociados!D:D,"&lt;="&amp;$E$1,Negociados!E:E,"&gt;="&amp;$E$1),19%)</f>
        <v>0.19</v>
      </c>
    </row>
    <row r="17" spans="1:10" x14ac:dyDescent="0.35">
      <c r="A17" s="34" t="s">
        <v>79</v>
      </c>
      <c r="B17" s="31" t="s">
        <v>521</v>
      </c>
      <c r="C17" s="32" t="s">
        <v>83</v>
      </c>
      <c r="D17" s="24" t="s">
        <v>52</v>
      </c>
      <c r="E17" s="26">
        <v>799.96</v>
      </c>
      <c r="F17" s="9">
        <v>703.96</v>
      </c>
      <c r="G17" s="20">
        <f t="shared" si="0"/>
        <v>0.120006000300015</v>
      </c>
      <c r="H17" s="9" t="s">
        <v>597</v>
      </c>
      <c r="I17" s="9">
        <v>7</v>
      </c>
      <c r="J17" s="20">
        <f>IF(SUMIFS(Negociados!C:C,Negociados!B:B,E17,Negociados!A:A,A16,Negociados!D:D,"&lt;="&amp;$E$1,Negociados!E:E,"&gt;="&amp;$E$1),SUMIFS(Negociados!C:C,Negociados!B:B,E17,Negociados!A:A,A16,Negociados!D:D,"&lt;="&amp;$E$1,Negociados!E:E,"&gt;="&amp;$E$1),19%)</f>
        <v>0.19</v>
      </c>
    </row>
    <row r="18" spans="1:10" x14ac:dyDescent="0.35">
      <c r="A18" s="26" t="s">
        <v>265</v>
      </c>
      <c r="B18" s="31" t="s">
        <v>310</v>
      </c>
      <c r="C18" s="32" t="s">
        <v>929</v>
      </c>
      <c r="D18" s="24" t="s">
        <v>52</v>
      </c>
      <c r="E18" s="26">
        <v>1759.96</v>
      </c>
      <c r="F18" s="9">
        <v>1548.76</v>
      </c>
      <c r="G18" s="20">
        <f t="shared" si="0"/>
        <v>0.12000272733471218</v>
      </c>
      <c r="H18" s="9" t="s">
        <v>597</v>
      </c>
      <c r="I18" s="9">
        <v>7</v>
      </c>
      <c r="J18" s="20">
        <f>IF(SUMIFS(Negociados!C:C,Negociados!B:B,E18,Negociados!A:A,A17,Negociados!D:D,"&lt;="&amp;$E$1,Negociados!E:E,"&gt;="&amp;$E$1),SUMIFS(Negociados!C:C,Negociados!B:B,E18,Negociados!A:A,A17,Negociados!D:D,"&lt;="&amp;$E$1,Negociados!E:E,"&gt;="&amp;$E$1),19%)</f>
        <v>0.19</v>
      </c>
    </row>
    <row r="19" spans="1:10" x14ac:dyDescent="0.35">
      <c r="A19" s="26" t="s">
        <v>29</v>
      </c>
      <c r="B19" s="31" t="s">
        <v>289</v>
      </c>
      <c r="C19" s="32" t="s">
        <v>930</v>
      </c>
      <c r="D19" s="24" t="s">
        <v>52</v>
      </c>
      <c r="E19" s="26">
        <v>1169.96</v>
      </c>
      <c r="F19" s="9">
        <v>1029.56</v>
      </c>
      <c r="G19" s="20">
        <f t="shared" si="0"/>
        <v>0.12000410270436604</v>
      </c>
      <c r="H19" s="9" t="s">
        <v>597</v>
      </c>
      <c r="I19" s="9">
        <v>7</v>
      </c>
      <c r="J19" s="20">
        <f>IF(SUMIFS(Negociados!C:C,Negociados!B:B,E19,Negociados!A:A,A18,Negociados!D:D,"&lt;="&amp;$E$1,Negociados!E:E,"&gt;="&amp;$E$1),SUMIFS(Negociados!C:C,Negociados!B:B,E19,Negociados!A:A,A18,Negociados!D:D,"&lt;="&amp;$E$1,Negociados!E:E,"&gt;="&amp;$E$1),19%)</f>
        <v>0.19</v>
      </c>
    </row>
    <row r="20" spans="1:10" x14ac:dyDescent="0.35">
      <c r="A20" s="26" t="s">
        <v>55</v>
      </c>
      <c r="B20" s="31" t="s">
        <v>297</v>
      </c>
      <c r="C20" s="32" t="s">
        <v>931</v>
      </c>
      <c r="D20" s="24" t="s">
        <v>52</v>
      </c>
      <c r="E20" s="26">
        <v>539.96</v>
      </c>
      <c r="F20" s="9">
        <v>539.96</v>
      </c>
      <c r="G20" s="20">
        <f t="shared" si="0"/>
        <v>0</v>
      </c>
      <c r="H20" s="9">
        <v>39.9</v>
      </c>
      <c r="I20" s="9">
        <v>7</v>
      </c>
      <c r="J20" s="20">
        <f>IF(SUMIFS(Negociados!C:C,Negociados!B:B,E20,Negociados!A:A,A19,Negociados!D:D,"&lt;="&amp;$E$1,Negociados!E:E,"&gt;="&amp;$E$1),SUMIFS(Negociados!C:C,Negociados!B:B,E20,Negociados!A:A,A19,Negociados!D:D,"&lt;="&amp;$E$1,Negociados!E:E,"&gt;="&amp;$E$1),19%)</f>
        <v>0.19</v>
      </c>
    </row>
    <row r="21" spans="1:10" x14ac:dyDescent="0.35">
      <c r="A21" s="26" t="s">
        <v>89</v>
      </c>
      <c r="B21" s="31" t="s">
        <v>313</v>
      </c>
      <c r="C21" s="32" t="s">
        <v>96</v>
      </c>
      <c r="D21" s="24" t="s">
        <v>52</v>
      </c>
      <c r="E21" s="26">
        <v>554.99</v>
      </c>
      <c r="F21" s="9">
        <v>488.39</v>
      </c>
      <c r="G21" s="20">
        <f t="shared" si="0"/>
        <v>0.12000216220112078</v>
      </c>
      <c r="H21" s="9">
        <v>39.9</v>
      </c>
      <c r="I21" s="9">
        <v>7</v>
      </c>
      <c r="J21" s="20">
        <f>IF(SUMIFS(Negociados!C:C,Negociados!B:B,E21,Negociados!A:A,A20,Negociados!D:D,"&lt;="&amp;$E$1,Negociados!E:E,"&gt;="&amp;$E$1),SUMIFS(Negociados!C:C,Negociados!B:B,E21,Negociados!A:A,A20,Negociados!D:D,"&lt;="&amp;$E$1,Negociados!E:E,"&gt;="&amp;$E$1),19%)</f>
        <v>0.19</v>
      </c>
    </row>
    <row r="22" spans="1:10" x14ac:dyDescent="0.35">
      <c r="A22" s="26" t="s">
        <v>21</v>
      </c>
      <c r="B22" s="31" t="s">
        <v>302</v>
      </c>
      <c r="C22" s="32" t="s">
        <v>932</v>
      </c>
      <c r="D22" s="24" t="s">
        <v>52</v>
      </c>
      <c r="E22" s="26">
        <v>1669.96</v>
      </c>
      <c r="F22" s="9">
        <v>1469.56</v>
      </c>
      <c r="G22" s="20">
        <f t="shared" si="0"/>
        <v>0.12000287432034305</v>
      </c>
      <c r="H22" s="9" t="s">
        <v>597</v>
      </c>
      <c r="I22" s="9">
        <v>10</v>
      </c>
      <c r="J22" s="20">
        <f>IF(SUMIFS(Negociados!C:C,Negociados!B:B,E22,Negociados!A:A,A21,Negociados!D:D,"&lt;="&amp;$E$1,Negociados!E:E,"&gt;="&amp;$E$1),SUMIFS(Negociados!C:C,Negociados!B:B,E22,Negociados!A:A,A21,Negociados!D:D,"&lt;="&amp;$E$1,Negociados!E:E,"&gt;="&amp;$E$1),19%)</f>
        <v>0.19</v>
      </c>
    </row>
    <row r="23" spans="1:10" x14ac:dyDescent="0.35">
      <c r="A23" s="26" t="s">
        <v>16</v>
      </c>
      <c r="B23" s="31" t="s">
        <v>307</v>
      </c>
      <c r="C23" s="32" t="s">
        <v>933</v>
      </c>
      <c r="D23" s="24" t="s">
        <v>52</v>
      </c>
      <c r="E23" s="26">
        <v>1119.96</v>
      </c>
      <c r="F23" s="9">
        <v>985.56</v>
      </c>
      <c r="G23" s="20">
        <f t="shared" si="0"/>
        <v>0.12000428586735248</v>
      </c>
      <c r="H23" s="9">
        <v>59.9</v>
      </c>
      <c r="I23" s="9">
        <v>7</v>
      </c>
      <c r="J23" s="20">
        <f>IF(SUMIFS(Negociados!C:C,Negociados!B:B,E23,Negociados!A:A,A22,Negociados!D:D,"&lt;="&amp;$E$1,Negociados!E:E,"&gt;="&amp;$E$1),SUMIFS(Negociados!C:C,Negociados!B:B,E23,Negociados!A:A,A22,Negociados!D:D,"&lt;="&amp;$E$1,Negociados!E:E,"&gt;="&amp;$E$1),19%)</f>
        <v>0.19</v>
      </c>
    </row>
    <row r="24" spans="1:10" x14ac:dyDescent="0.35">
      <c r="A24" s="26" t="s">
        <v>8</v>
      </c>
      <c r="B24" s="31" t="s">
        <v>301</v>
      </c>
      <c r="C24" s="32" t="s">
        <v>934</v>
      </c>
      <c r="D24" s="24" t="s">
        <v>52</v>
      </c>
      <c r="E24" s="26">
        <v>499.96</v>
      </c>
      <c r="F24" s="9">
        <v>439.96</v>
      </c>
      <c r="G24" s="20">
        <f t="shared" si="0"/>
        <v>0.12000960076806146</v>
      </c>
      <c r="H24" s="9">
        <v>39.9</v>
      </c>
      <c r="I24" s="9">
        <v>7</v>
      </c>
      <c r="J24" s="20">
        <f>IF(SUMIFS(Negociados!C:C,Negociados!B:B,E24,Negociados!A:A,A23,Negociados!D:D,"&lt;="&amp;$E$1,Negociados!E:E,"&gt;="&amp;$E$1),SUMIFS(Negociados!C:C,Negociados!B:B,E24,Negociados!A:A,A23,Negociados!D:D,"&lt;="&amp;$E$1,Negociados!E:E,"&gt;="&amp;$E$1),19%)</f>
        <v>0.19</v>
      </c>
    </row>
    <row r="25" spans="1:10" x14ac:dyDescent="0.35">
      <c r="A25" s="26" t="s">
        <v>15</v>
      </c>
      <c r="B25" s="31" t="s">
        <v>513</v>
      </c>
      <c r="C25" s="35" t="s">
        <v>119</v>
      </c>
      <c r="D25" s="24" t="s">
        <v>52</v>
      </c>
      <c r="E25" s="26">
        <v>559.96</v>
      </c>
      <c r="F25" s="9">
        <v>492.76</v>
      </c>
      <c r="G25" s="20">
        <f t="shared" si="0"/>
        <v>0.12000857204086013</v>
      </c>
      <c r="H25" s="9">
        <v>49.9</v>
      </c>
      <c r="I25" s="9">
        <v>7</v>
      </c>
      <c r="J25" s="20">
        <f>IF(SUMIFS(Negociados!C:C,Negociados!B:B,E25,Negociados!A:A,A24,Negociados!D:D,"&lt;="&amp;$E$1,Negociados!E:E,"&gt;="&amp;$E$1),SUMIFS(Negociados!C:C,Negociados!B:B,E25,Negociados!A:A,A24,Negociados!D:D,"&lt;="&amp;$E$1,Negociados!E:E,"&gt;="&amp;$E$1),19%)</f>
        <v>0.19</v>
      </c>
    </row>
    <row r="26" spans="1:10" x14ac:dyDescent="0.35">
      <c r="A26" s="26" t="s">
        <v>9</v>
      </c>
      <c r="B26" s="31" t="s">
        <v>287</v>
      </c>
      <c r="C26" s="32" t="s">
        <v>935</v>
      </c>
      <c r="D26" s="24" t="s">
        <v>52</v>
      </c>
      <c r="E26" s="26">
        <v>469.96</v>
      </c>
      <c r="F26" s="9">
        <v>413.56</v>
      </c>
      <c r="G26" s="20">
        <f t="shared" si="0"/>
        <v>0.12001021363520295</v>
      </c>
      <c r="H26" s="9">
        <v>39.9</v>
      </c>
      <c r="I26" s="9">
        <v>7</v>
      </c>
      <c r="J26" s="20">
        <f>IF(SUMIFS(Negociados!C:C,Negociados!B:B,E26,Negociados!A:A,A25,Negociados!D:D,"&lt;="&amp;$E$1,Negociados!E:E,"&gt;="&amp;$E$1),SUMIFS(Negociados!C:C,Negociados!B:B,E26,Negociados!A:A,A25,Negociados!D:D,"&lt;="&amp;$E$1,Negociados!E:E,"&gt;="&amp;$E$1),19%)</f>
        <v>0.19</v>
      </c>
    </row>
    <row r="27" spans="1:10" x14ac:dyDescent="0.35">
      <c r="A27" s="26" t="s">
        <v>31</v>
      </c>
      <c r="B27" s="31" t="s">
        <v>315</v>
      </c>
      <c r="C27" s="32" t="s">
        <v>32</v>
      </c>
      <c r="D27" s="24" t="s">
        <v>52</v>
      </c>
      <c r="E27" s="26" t="s">
        <v>600</v>
      </c>
      <c r="F27" s="9" t="s">
        <v>600</v>
      </c>
      <c r="G27" s="20" t="e">
        <f t="shared" si="0"/>
        <v>#VALUE!</v>
      </c>
      <c r="H27" s="9" t="s">
        <v>600</v>
      </c>
      <c r="I27" s="9" t="s">
        <v>600</v>
      </c>
      <c r="J27" s="20">
        <f>IF(SUMIFS(Negociados!C:C,Negociados!B:B,E27,Negociados!A:A,A26,Negociados!D:D,"&lt;="&amp;$E$1,Negociados!E:E,"&gt;="&amp;$E$1),SUMIFS(Negociados!C:C,Negociados!B:B,E27,Negociados!A:A,A26,Negociados!D:D,"&lt;="&amp;$E$1,Negociados!E:E,"&gt;="&amp;$E$1),19%)</f>
        <v>0.19</v>
      </c>
    </row>
    <row r="28" spans="1:10" x14ac:dyDescent="0.35">
      <c r="A28" s="26" t="s">
        <v>40</v>
      </c>
      <c r="B28" s="31" t="s">
        <v>294</v>
      </c>
      <c r="C28" s="32" t="s">
        <v>41</v>
      </c>
      <c r="D28" s="24" t="s">
        <v>52</v>
      </c>
      <c r="E28" s="26">
        <v>749.96</v>
      </c>
      <c r="F28" s="9">
        <v>659.96</v>
      </c>
      <c r="G28" s="20">
        <f t="shared" si="0"/>
        <v>0.12000640034135153</v>
      </c>
      <c r="H28" s="9" t="s">
        <v>597</v>
      </c>
      <c r="I28" s="9">
        <v>7</v>
      </c>
      <c r="J28" s="20">
        <f>IF(SUMIFS(Negociados!C:C,Negociados!B:B,E28,Negociados!A:A,A27,Negociados!D:D,"&lt;="&amp;$E$1,Negociados!E:E,"&gt;="&amp;$E$1),SUMIFS(Negociados!C:C,Negociados!B:B,E28,Negociados!A:A,A27,Negociados!D:D,"&lt;="&amp;$E$1,Negociados!E:E,"&gt;="&amp;$E$1),19%)</f>
        <v>0.19</v>
      </c>
    </row>
    <row r="29" spans="1:10" x14ac:dyDescent="0.35">
      <c r="A29" s="26" t="s">
        <v>316</v>
      </c>
      <c r="B29" s="31" t="s">
        <v>303</v>
      </c>
      <c r="C29" s="32" t="s">
        <v>936</v>
      </c>
      <c r="D29" s="24" t="s">
        <v>52</v>
      </c>
      <c r="E29" s="26">
        <v>1449.96</v>
      </c>
      <c r="F29" s="9">
        <v>1275.96</v>
      </c>
      <c r="G29" s="20">
        <f t="shared" si="0"/>
        <v>0.12000331043614997</v>
      </c>
      <c r="H29" s="9" t="s">
        <v>597</v>
      </c>
      <c r="I29" s="9">
        <v>7</v>
      </c>
      <c r="J29" s="20">
        <f>IF(SUMIFS(Negociados!C:C,Negociados!B:B,E29,Negociados!A:A,A28,Negociados!D:D,"&lt;="&amp;$E$1,Negociados!E:E,"&gt;="&amp;$E$1),SUMIFS(Negociados!C:C,Negociados!B:B,E29,Negociados!A:A,A28,Negociados!D:D,"&lt;="&amp;$E$1,Negociados!E:E,"&gt;="&amp;$E$1),19%)</f>
        <v>0.19</v>
      </c>
    </row>
    <row r="30" spans="1:10" x14ac:dyDescent="0.35">
      <c r="A30" s="26" t="s">
        <v>57</v>
      </c>
      <c r="B30" s="52" t="s">
        <v>518</v>
      </c>
      <c r="C30" s="53" t="s">
        <v>278</v>
      </c>
      <c r="D30" s="24" t="s">
        <v>52</v>
      </c>
      <c r="E30" s="26">
        <v>899.96</v>
      </c>
      <c r="F30" s="9">
        <v>791.96</v>
      </c>
      <c r="G30" s="20">
        <f t="shared" si="0"/>
        <v>0.1200053335703809</v>
      </c>
      <c r="H30" s="9" t="s">
        <v>597</v>
      </c>
      <c r="I30" s="9">
        <v>7</v>
      </c>
      <c r="J30" s="20">
        <f>IF(SUMIFS(Negociados!C:C,Negociados!B:B,E30,Negociados!A:A,A29,Negociados!D:D,"&lt;="&amp;$E$1,Negociados!E:E,"&gt;="&amp;$E$1),SUMIFS(Negociados!C:C,Negociados!B:B,E30,Negociados!A:A,A29,Negociados!D:D,"&lt;="&amp;$E$1,Negociados!E:E,"&gt;="&amp;$E$1),19%)</f>
        <v>0.19</v>
      </c>
    </row>
    <row r="31" spans="1:10" s="46" customFormat="1" x14ac:dyDescent="0.35">
      <c r="A31" s="26" t="s">
        <v>65</v>
      </c>
      <c r="B31" s="31" t="s">
        <v>520</v>
      </c>
      <c r="C31" s="32" t="s">
        <v>418</v>
      </c>
      <c r="D31" s="24" t="s">
        <v>52</v>
      </c>
      <c r="E31" s="26">
        <v>1489.96</v>
      </c>
      <c r="F31" s="26">
        <v>1311.16</v>
      </c>
      <c r="G31" s="20">
        <f t="shared" si="0"/>
        <v>0.12000322156299495</v>
      </c>
      <c r="H31" s="26" t="s">
        <v>597</v>
      </c>
      <c r="I31" s="26">
        <v>7</v>
      </c>
      <c r="J31" s="20">
        <f>IF(SUMIFS(Negociados!C:C,Negociados!B:B,E31,Negociados!A:A,A30,Negociados!D:D,"&lt;="&amp;$E$1,Negociados!E:E,"&gt;="&amp;$E$1),SUMIFS(Negociados!C:C,Negociados!B:B,E31,Negociados!A:A,A30,Negociados!D:D,"&lt;="&amp;$E$1,Negociados!E:E,"&gt;="&amp;$E$1),19%)</f>
        <v>0.19</v>
      </c>
    </row>
    <row r="32" spans="1:10" x14ac:dyDescent="0.35">
      <c r="A32" s="25" t="s">
        <v>400</v>
      </c>
      <c r="B32" s="33" t="s">
        <v>517</v>
      </c>
      <c r="C32" s="32" t="s">
        <v>416</v>
      </c>
      <c r="D32" s="24" t="s">
        <v>52</v>
      </c>
      <c r="E32" s="26">
        <v>1489.96</v>
      </c>
      <c r="F32" s="9">
        <v>1311.16</v>
      </c>
      <c r="G32" s="20">
        <f t="shared" si="0"/>
        <v>0.12000322156299495</v>
      </c>
      <c r="H32" s="9" t="s">
        <v>597</v>
      </c>
      <c r="I32" s="9">
        <v>7</v>
      </c>
      <c r="J32" s="20">
        <f>IF(SUMIFS(Negociados!C:C,Negociados!B:B,E32,Negociados!A:A,A31,Negociados!D:D,"&lt;="&amp;$E$1,Negociados!E:E,"&gt;="&amp;$E$1),SUMIFS(Negociados!C:C,Negociados!B:B,E32,Negociados!A:A,A31,Negociados!D:D,"&lt;="&amp;$E$1,Negociados!E:E,"&gt;="&amp;$E$1),19%)</f>
        <v>0.19</v>
      </c>
    </row>
    <row r="33" spans="1:10" x14ac:dyDescent="0.35">
      <c r="A33" s="26" t="s">
        <v>267</v>
      </c>
      <c r="B33" s="31" t="s">
        <v>306</v>
      </c>
      <c r="C33" s="32" t="s">
        <v>937</v>
      </c>
      <c r="D33" s="24" t="s">
        <v>52</v>
      </c>
      <c r="E33" s="26">
        <v>1199.96</v>
      </c>
      <c r="F33" s="9">
        <v>1055.96</v>
      </c>
      <c r="G33" s="20">
        <f t="shared" si="0"/>
        <v>0.12000400013333777</v>
      </c>
      <c r="H33" s="9" t="s">
        <v>597</v>
      </c>
      <c r="I33" s="9">
        <v>7</v>
      </c>
      <c r="J33" s="20">
        <f>IF(SUMIFS(Negociados!C:C,Negociados!B:B,E33,Negociados!A:A,A32,Negociados!D:D,"&lt;="&amp;$E$1,Negociados!E:E,"&gt;="&amp;$E$1),SUMIFS(Negociados!C:C,Negociados!B:B,E33,Negociados!A:A,A32,Negociados!D:D,"&lt;="&amp;$E$1,Negociados!E:E,"&gt;="&amp;$E$1),19%)</f>
        <v>0.19</v>
      </c>
    </row>
    <row r="34" spans="1:10" x14ac:dyDescent="0.35">
      <c r="A34" s="26" t="s">
        <v>54</v>
      </c>
      <c r="B34" s="31" t="s">
        <v>286</v>
      </c>
      <c r="C34" s="32" t="s">
        <v>938</v>
      </c>
      <c r="D34" s="24" t="s">
        <v>52</v>
      </c>
      <c r="E34" s="26">
        <v>1199.96</v>
      </c>
      <c r="F34" s="9">
        <v>1055.96</v>
      </c>
      <c r="G34" s="20">
        <f t="shared" si="0"/>
        <v>0.12000400013333777</v>
      </c>
      <c r="H34" s="9" t="s">
        <v>597</v>
      </c>
      <c r="I34" s="9">
        <v>10</v>
      </c>
      <c r="J34" s="20">
        <f>IF(SUMIFS(Negociados!C:C,Negociados!B:B,E34,Negociados!A:A,A33,Negociados!D:D,"&lt;="&amp;$E$1,Negociados!E:E,"&gt;="&amp;$E$1),SUMIFS(Negociados!C:C,Negociados!B:B,E34,Negociados!A:A,A33,Negociados!D:D,"&lt;="&amp;$E$1,Negociados!E:E,"&gt;="&amp;$E$1),19%)</f>
        <v>0.19</v>
      </c>
    </row>
    <row r="35" spans="1:10" x14ac:dyDescent="0.35">
      <c r="A35" s="26" t="s">
        <v>281</v>
      </c>
      <c r="B35" s="31" t="s">
        <v>314</v>
      </c>
      <c r="C35" s="32" t="s">
        <v>414</v>
      </c>
      <c r="D35" s="24" t="s">
        <v>52</v>
      </c>
      <c r="E35" s="26">
        <v>399.96</v>
      </c>
      <c r="F35" s="9">
        <v>351.96</v>
      </c>
      <c r="G35" s="20">
        <f t="shared" si="0"/>
        <v>0.12001200120012002</v>
      </c>
      <c r="H35" s="9">
        <v>39.9</v>
      </c>
      <c r="I35" s="9">
        <v>7</v>
      </c>
      <c r="J35" s="20">
        <f>IF(SUMIFS(Negociados!C:C,Negociados!B:B,E35,Negociados!A:A,A34,Negociados!D:D,"&lt;="&amp;$E$1,Negociados!E:E,"&gt;="&amp;$E$1),SUMIFS(Negociados!C:C,Negociados!B:B,E35,Negociados!A:A,A34,Negociados!D:D,"&lt;="&amp;$E$1,Negociados!E:E,"&gt;="&amp;$E$1),19%)</f>
        <v>0.19</v>
      </c>
    </row>
    <row r="36" spans="1:10" x14ac:dyDescent="0.35">
      <c r="A36" s="26" t="s">
        <v>88</v>
      </c>
      <c r="B36" s="31" t="s">
        <v>300</v>
      </c>
      <c r="C36" s="32" t="s">
        <v>95</v>
      </c>
      <c r="D36" s="24" t="s">
        <v>52</v>
      </c>
      <c r="E36" s="26">
        <v>539.96</v>
      </c>
      <c r="F36" s="9">
        <v>475.16</v>
      </c>
      <c r="G36" s="20">
        <f t="shared" si="0"/>
        <v>0.12000888954737389</v>
      </c>
      <c r="H36" s="9">
        <v>39.9</v>
      </c>
      <c r="I36" s="9">
        <v>7</v>
      </c>
      <c r="J36" s="20">
        <f>IF(SUMIFS(Negociados!C:C,Negociados!B:B,E36,Negociados!A:A,A35,Negociados!D:D,"&lt;="&amp;$E$1,Negociados!E:E,"&gt;="&amp;$E$1),SUMIFS(Negociados!C:C,Negociados!B:B,E36,Negociados!A:A,A35,Negociados!D:D,"&lt;="&amp;$E$1,Negociados!E:E,"&gt;="&amp;$E$1),19%)</f>
        <v>0.19</v>
      </c>
    </row>
    <row r="37" spans="1:10" x14ac:dyDescent="0.35">
      <c r="A37" s="26" t="s">
        <v>121</v>
      </c>
      <c r="B37" s="31" t="s">
        <v>515</v>
      </c>
      <c r="C37" s="32" t="s">
        <v>126</v>
      </c>
      <c r="D37" s="24" t="s">
        <v>52</v>
      </c>
      <c r="E37" s="26">
        <v>1399.96</v>
      </c>
      <c r="F37" s="9">
        <v>1231.96</v>
      </c>
      <c r="G37" s="20">
        <f t="shared" si="0"/>
        <v>0.12000342866939055</v>
      </c>
      <c r="H37" s="9" t="s">
        <v>597</v>
      </c>
      <c r="I37" s="9">
        <v>10</v>
      </c>
      <c r="J37" s="20">
        <f>IF(SUMIFS(Negociados!C:C,Negociados!B:B,E37,Negociados!A:A,A36,Negociados!D:D,"&lt;="&amp;$E$1,Negociados!E:E,"&gt;="&amp;$E$1),SUMIFS(Negociados!C:C,Negociados!B:B,E37,Negociados!A:A,A36,Negociados!D:D,"&lt;="&amp;$E$1,Negociados!E:E,"&gt;="&amp;$E$1),19%)</f>
        <v>0.19</v>
      </c>
    </row>
    <row r="38" spans="1:10" x14ac:dyDescent="0.35">
      <c r="A38" s="26" t="s">
        <v>282</v>
      </c>
      <c r="B38" s="31" t="s">
        <v>514</v>
      </c>
      <c r="C38" s="32" t="s">
        <v>939</v>
      </c>
      <c r="D38" s="24" t="s">
        <v>52</v>
      </c>
      <c r="E38" s="26">
        <v>649.96</v>
      </c>
      <c r="F38" s="9">
        <v>571.96</v>
      </c>
      <c r="G38" s="20">
        <f t="shared" si="0"/>
        <v>0.12000738506985044</v>
      </c>
      <c r="H38" s="9" t="s">
        <v>597</v>
      </c>
      <c r="I38" s="9">
        <v>7</v>
      </c>
      <c r="J38" s="20">
        <f>IF(SUMIFS(Negociados!C:C,Negociados!B:B,E38,Negociados!A:A,A37,Negociados!D:D,"&lt;="&amp;$E$1,Negociados!E:E,"&gt;="&amp;$E$1),SUMIFS(Negociados!C:C,Negociados!B:B,E38,Negociados!A:A,A37,Negociados!D:D,"&lt;="&amp;$E$1,Negociados!E:E,"&gt;="&amp;$E$1),19%)</f>
        <v>0.19</v>
      </c>
    </row>
    <row r="39" spans="1:10" x14ac:dyDescent="0.35">
      <c r="A39" s="26" t="s">
        <v>71</v>
      </c>
      <c r="B39" s="31" t="s">
        <v>298</v>
      </c>
      <c r="C39" s="32" t="s">
        <v>940</v>
      </c>
      <c r="D39" s="24" t="s">
        <v>52</v>
      </c>
      <c r="E39" s="26">
        <v>1199.96</v>
      </c>
      <c r="F39" s="9">
        <v>1055.96</v>
      </c>
      <c r="G39" s="20">
        <f t="shared" si="0"/>
        <v>0.12000400013333777</v>
      </c>
      <c r="H39" s="9" t="s">
        <v>597</v>
      </c>
      <c r="I39" s="9">
        <v>7</v>
      </c>
      <c r="J39" s="20">
        <f>IF(SUMIFS(Negociados!C:C,Negociados!B:B,E39,Negociados!A:A,A38,Negociados!D:D,"&lt;="&amp;$E$1,Negociados!E:E,"&gt;="&amp;$E$1),SUMIFS(Negociados!C:C,Negociados!B:B,E39,Negociados!A:A,A38,Negociados!D:D,"&lt;="&amp;$E$1,Negociados!E:E,"&gt;="&amp;$E$1),19%)</f>
        <v>0.19</v>
      </c>
    </row>
    <row r="40" spans="1:10" x14ac:dyDescent="0.35">
      <c r="A40" s="26" t="s">
        <v>25</v>
      </c>
      <c r="B40" s="31" t="s">
        <v>296</v>
      </c>
      <c r="C40" s="32" t="s">
        <v>941</v>
      </c>
      <c r="D40" s="24" t="s">
        <v>52</v>
      </c>
      <c r="E40" s="26">
        <v>779.96</v>
      </c>
      <c r="F40" s="9">
        <v>686.36</v>
      </c>
      <c r="G40" s="20">
        <f t="shared" si="0"/>
        <v>0.12000615416175191</v>
      </c>
      <c r="H40" s="9" t="s">
        <v>597</v>
      </c>
      <c r="I40" s="9">
        <v>7</v>
      </c>
      <c r="J40" s="20">
        <f>IF(SUMIFS(Negociados!C:C,Negociados!B:B,E40,Negociados!A:A,A39,Negociados!D:D,"&lt;="&amp;$E$1,Negociados!E:E,"&gt;="&amp;$E$1),SUMIFS(Negociados!C:C,Negociados!B:B,E40,Negociados!A:A,A39,Negociados!D:D,"&lt;="&amp;$E$1,Negociados!E:E,"&gt;="&amp;$E$1),19%)</f>
        <v>0.19</v>
      </c>
    </row>
    <row r="41" spans="1:10" x14ac:dyDescent="0.35">
      <c r="A41" s="26" t="s">
        <v>23</v>
      </c>
      <c r="B41" s="31" t="s">
        <v>435</v>
      </c>
      <c r="C41" s="32" t="s">
        <v>942</v>
      </c>
      <c r="D41" s="24" t="s">
        <v>52</v>
      </c>
      <c r="E41" s="26">
        <v>819.96</v>
      </c>
      <c r="F41" s="9">
        <v>721.56</v>
      </c>
      <c r="G41" s="20">
        <f t="shared" si="0"/>
        <v>0.12000585394409494</v>
      </c>
      <c r="H41" s="9">
        <v>49.99</v>
      </c>
      <c r="I41" s="9">
        <v>10</v>
      </c>
      <c r="J41" s="20">
        <f>IF(SUMIFS(Negociados!C:C,Negociados!B:B,E41,Negociados!A:A,A40,Negociados!D:D,"&lt;="&amp;$E$1,Negociados!E:E,"&gt;="&amp;$E$1),SUMIFS(Negociados!C:C,Negociados!B:B,E41,Negociados!A:A,A40,Negociados!D:D,"&lt;="&amp;$E$1,Negociados!E:E,"&gt;="&amp;$E$1),19%)</f>
        <v>0.19</v>
      </c>
    </row>
    <row r="42" spans="1:10" x14ac:dyDescent="0.35">
      <c r="A42" s="26" t="s">
        <v>75</v>
      </c>
      <c r="B42" s="31" t="s">
        <v>299</v>
      </c>
      <c r="C42" s="32" t="s">
        <v>410</v>
      </c>
      <c r="D42" s="24" t="s">
        <v>52</v>
      </c>
      <c r="E42" s="26">
        <v>1489.96</v>
      </c>
      <c r="F42" s="9">
        <v>1311.16</v>
      </c>
      <c r="G42" s="20">
        <f t="shared" si="0"/>
        <v>0.12000322156299495</v>
      </c>
      <c r="H42" s="9" t="s">
        <v>597</v>
      </c>
      <c r="I42" s="9">
        <v>7</v>
      </c>
      <c r="J42" s="20">
        <f>IF(SUMIFS(Negociados!C:C,Negociados!B:B,E42,Negociados!A:A,A41,Negociados!D:D,"&lt;="&amp;$E$1,Negociados!E:E,"&gt;="&amp;$E$1),SUMIFS(Negociados!C:C,Negociados!B:B,E42,Negociados!A:A,A41,Negociados!D:D,"&lt;="&amp;$E$1,Negociados!E:E,"&gt;="&amp;$E$1),19%)</f>
        <v>0.19</v>
      </c>
    </row>
    <row r="43" spans="1:10" x14ac:dyDescent="0.35">
      <c r="A43" s="26" t="s">
        <v>283</v>
      </c>
      <c r="B43" s="31" t="s">
        <v>309</v>
      </c>
      <c r="C43" s="32" t="s">
        <v>943</v>
      </c>
      <c r="D43" s="24" t="s">
        <v>52</v>
      </c>
      <c r="E43" s="26">
        <v>1549.99</v>
      </c>
      <c r="F43" s="9">
        <v>1363.99</v>
      </c>
      <c r="G43" s="20">
        <f t="shared" si="0"/>
        <v>0.12000077419854321</v>
      </c>
      <c r="H43" s="9" t="s">
        <v>597</v>
      </c>
      <c r="I43" s="9">
        <v>7</v>
      </c>
      <c r="J43" s="20">
        <f>IF(SUMIFS(Negociados!C:C,Negociados!B:B,E43,Negociados!A:A,A42,Negociados!D:D,"&lt;="&amp;$E$1,Negociados!E:E,"&gt;="&amp;$E$1),SUMIFS(Negociados!C:C,Negociados!B:B,E43,Negociados!A:A,A42,Negociados!D:D,"&lt;="&amp;$E$1,Negociados!E:E,"&gt;="&amp;$E$1),19%)</f>
        <v>0.19</v>
      </c>
    </row>
    <row r="44" spans="1:10" x14ac:dyDescent="0.35">
      <c r="A44" s="26" t="s">
        <v>63</v>
      </c>
      <c r="B44" s="31" t="s">
        <v>293</v>
      </c>
      <c r="C44" s="32" t="s">
        <v>944</v>
      </c>
      <c r="D44" s="24" t="s">
        <v>52</v>
      </c>
      <c r="E44" s="26">
        <v>539.96</v>
      </c>
      <c r="F44" s="9">
        <v>475.16</v>
      </c>
      <c r="G44" s="20">
        <f t="shared" si="0"/>
        <v>0.12000888954737389</v>
      </c>
      <c r="H44" s="9">
        <v>39.9</v>
      </c>
      <c r="I44" s="9">
        <v>7</v>
      </c>
      <c r="J44" s="20">
        <f>IF(SUMIFS(Negociados!C:C,Negociados!B:B,E44,Negociados!A:A,A43,Negociados!D:D,"&lt;="&amp;$E$1,Negociados!E:E,"&gt;="&amp;$E$1),SUMIFS(Negociados!C:C,Negociados!B:B,E44,Negociados!A:A,A43,Negociados!D:D,"&lt;="&amp;$E$1,Negociados!E:E,"&gt;="&amp;$E$1),19%)</f>
        <v>0.19</v>
      </c>
    </row>
    <row r="45" spans="1:10" x14ac:dyDescent="0.35">
      <c r="A45" s="26" t="s">
        <v>42</v>
      </c>
      <c r="B45" s="31" t="s">
        <v>292</v>
      </c>
      <c r="C45" s="32" t="s">
        <v>945</v>
      </c>
      <c r="D45" s="24" t="s">
        <v>52</v>
      </c>
      <c r="E45" s="26">
        <v>329.99</v>
      </c>
      <c r="F45" s="9">
        <v>290.39</v>
      </c>
      <c r="G45" s="20">
        <f t="shared" si="0"/>
        <v>0.12000363647383261</v>
      </c>
      <c r="H45" s="9" t="s">
        <v>597</v>
      </c>
      <c r="I45" s="9">
        <v>7</v>
      </c>
      <c r="J45" s="20">
        <f>IF(SUMIFS(Negociados!C:C,Negociados!B:B,E45,Negociados!A:A,A44,Negociados!D:D,"&lt;="&amp;$E$1,Negociados!E:E,"&gt;="&amp;$E$1),SUMIFS(Negociados!C:C,Negociados!B:B,E45,Negociados!A:A,A44,Negociados!D:D,"&lt;="&amp;$E$1,Negociados!E:E,"&gt;="&amp;$E$1),19%)</f>
        <v>0.19</v>
      </c>
    </row>
    <row r="46" spans="1:10" x14ac:dyDescent="0.35">
      <c r="A46" s="26" t="s">
        <v>401</v>
      </c>
      <c r="B46" s="31" t="s">
        <v>312</v>
      </c>
      <c r="C46" s="35" t="s">
        <v>419</v>
      </c>
      <c r="D46" s="24" t="s">
        <v>52</v>
      </c>
      <c r="E46" s="26">
        <v>1079.92</v>
      </c>
      <c r="F46" s="9">
        <v>950.33</v>
      </c>
      <c r="G46" s="20">
        <f t="shared" si="0"/>
        <v>0.11999962960219278</v>
      </c>
      <c r="H46" s="9" t="s">
        <v>597</v>
      </c>
      <c r="I46" s="9">
        <v>7</v>
      </c>
      <c r="J46" s="20">
        <f>IF(SUMIFS(Negociados!C:C,Negociados!B:B,E46,Negociados!A:A,A45,Negociados!D:D,"&lt;="&amp;$E$1,Negociados!E:E,"&gt;="&amp;$E$1),SUMIFS(Negociados!C:C,Negociados!B:B,E46,Negociados!A:A,A45,Negociados!D:D,"&lt;="&amp;$E$1,Negociados!E:E,"&gt;="&amp;$E$1),19%)</f>
        <v>0.19</v>
      </c>
    </row>
    <row r="47" spans="1:10" x14ac:dyDescent="0.35">
      <c r="A47" s="26" t="s">
        <v>35</v>
      </c>
      <c r="B47" s="9" t="s">
        <v>288</v>
      </c>
      <c r="C47" s="35" t="s">
        <v>946</v>
      </c>
      <c r="D47" s="24" t="s">
        <v>52</v>
      </c>
      <c r="E47" s="26"/>
      <c r="F47" s="9"/>
      <c r="G47" s="20" t="e">
        <f t="shared" si="0"/>
        <v>#DIV/0!</v>
      </c>
      <c r="H47" s="9"/>
      <c r="I47" s="9"/>
      <c r="J47" s="20">
        <f>IF(SUMIFS(Negociados!C:C,Negociados!B:B,E47,Negociados!A:A,A46,Negociados!D:D,"&lt;="&amp;$E$1,Negociados!E:E,"&gt;="&amp;$E$1),SUMIFS(Negociados!C:C,Negociados!B:B,E47,Negociados!A:A,A46,Negociados!D:D,"&lt;="&amp;$E$1,Negociados!E:E,"&gt;="&amp;$E$1),19%)</f>
        <v>0.19</v>
      </c>
    </row>
    <row r="48" spans="1:10" x14ac:dyDescent="0.35">
      <c r="A48" s="26" t="s">
        <v>61</v>
      </c>
      <c r="B48" s="9" t="s">
        <v>291</v>
      </c>
      <c r="C48" s="35" t="s">
        <v>947</v>
      </c>
      <c r="D48" s="24" t="s">
        <v>52</v>
      </c>
      <c r="E48" s="26"/>
      <c r="F48" s="9"/>
      <c r="G48" s="20" t="e">
        <f t="shared" si="0"/>
        <v>#DIV/0!</v>
      </c>
      <c r="H48" s="9"/>
      <c r="I48" s="9"/>
      <c r="J48" s="20">
        <f>IF(SUMIFS(Negociados!C:C,Negociados!B:B,E48,Negociados!A:A,A47,Negociados!D:D,"&lt;="&amp;$E$1,Negociados!E:E,"&gt;="&amp;$E$1),SUMIFS(Negociados!C:C,Negociados!B:B,E48,Negociados!A:A,A47,Negociados!D:D,"&lt;="&amp;$E$1,Negociados!E:E,"&gt;="&amp;$E$1),19%)</f>
        <v>0.19</v>
      </c>
    </row>
    <row r="49" spans="1:10" x14ac:dyDescent="0.35">
      <c r="A49" s="26" t="s">
        <v>304</v>
      </c>
      <c r="B49" s="9" t="s">
        <v>305</v>
      </c>
      <c r="C49" s="35" t="s">
        <v>413</v>
      </c>
      <c r="D49" s="24" t="s">
        <v>52</v>
      </c>
      <c r="E49" s="26"/>
      <c r="F49" s="9"/>
      <c r="G49" s="20" t="e">
        <f t="shared" si="0"/>
        <v>#DIV/0!</v>
      </c>
      <c r="H49" s="9"/>
      <c r="I49" s="9"/>
      <c r="J49" s="20">
        <f>IF(SUMIFS(Negociados!C:C,Negociados!B:B,E49,Negociados!A:A,A48,Negociados!D:D,"&lt;="&amp;$E$1,Negociados!E:E,"&gt;="&amp;$E$1),SUMIFS(Negociados!C:C,Negociados!B:B,E49,Negociados!A:A,A48,Negociados!D:D,"&lt;="&amp;$E$1,Negociados!E:E,"&gt;="&amp;$E$1),19%)</f>
        <v>0.19</v>
      </c>
    </row>
    <row r="50" spans="1:10" x14ac:dyDescent="0.35">
      <c r="A50" s="26" t="s">
        <v>266</v>
      </c>
      <c r="B50" s="9" t="s">
        <v>545</v>
      </c>
      <c r="C50" s="35" t="s">
        <v>412</v>
      </c>
      <c r="D50" s="24" t="s">
        <v>52</v>
      </c>
      <c r="E50" s="26"/>
      <c r="F50" s="9"/>
      <c r="G50" s="20" t="e">
        <f t="shared" si="0"/>
        <v>#DIV/0!</v>
      </c>
      <c r="H50" s="9"/>
      <c r="I50" s="9"/>
      <c r="J50" s="20">
        <f>IF(SUMIFS(Negociados!C:C,Negociados!B:B,E50,Negociados!A:A,A49,Negociados!D:D,"&lt;="&amp;$E$1,Negociados!E:E,"&gt;="&amp;$E$1),SUMIFS(Negociados!C:C,Negociados!B:B,E50,Negociados!A:A,A49,Negociados!D:D,"&lt;="&amp;$E$1,Negociados!E:E,"&gt;="&amp;$E$1),19%)</f>
        <v>0.19</v>
      </c>
    </row>
    <row r="51" spans="1:10" x14ac:dyDescent="0.35">
      <c r="A51" s="26" t="s">
        <v>607</v>
      </c>
      <c r="B51" s="9" t="s">
        <v>903</v>
      </c>
      <c r="C51" s="35" t="s">
        <v>948</v>
      </c>
      <c r="D51" s="24" t="s">
        <v>52</v>
      </c>
      <c r="E51" s="26"/>
      <c r="F51" s="9"/>
      <c r="G51" s="20" t="e">
        <f t="shared" si="0"/>
        <v>#DIV/0!</v>
      </c>
      <c r="H51" s="9"/>
      <c r="I51" s="9"/>
      <c r="J51" s="20">
        <f>IF(SUMIFS(Negociados!C:C,Negociados!B:B,E51,Negociados!A:A,A50,Negociados!D:D,"&lt;="&amp;$E$1,Negociados!E:E,"&gt;="&amp;$E$1),SUMIFS(Negociados!C:C,Negociados!B:B,E51,Negociados!A:A,A50,Negociados!D:D,"&lt;="&amp;$E$1,Negociados!E:E,"&gt;="&amp;$E$1),19%)</f>
        <v>0.19</v>
      </c>
    </row>
    <row r="52" spans="1:10" x14ac:dyDescent="0.35">
      <c r="A52" s="26" t="s">
        <v>37</v>
      </c>
      <c r="B52" s="9" t="s">
        <v>904</v>
      </c>
      <c r="C52" s="35" t="s">
        <v>949</v>
      </c>
      <c r="D52" s="24" t="s">
        <v>52</v>
      </c>
      <c r="E52" s="26"/>
      <c r="F52" s="9"/>
      <c r="G52" s="20" t="e">
        <f t="shared" si="0"/>
        <v>#DIV/0!</v>
      </c>
      <c r="H52" s="9"/>
      <c r="I52" s="9"/>
      <c r="J52" s="20">
        <f>IF(SUMIFS(Negociados!C:C,Negociados!B:B,E52,Negociados!A:A,A51,Negociados!D:D,"&lt;="&amp;$E$1,Negociados!E:E,"&gt;="&amp;$E$1),SUMIFS(Negociados!C:C,Negociados!B:B,E52,Negociados!A:A,A51,Negociados!D:D,"&lt;="&amp;$E$1,Negociados!E:E,"&gt;="&amp;$E$1),19%)</f>
        <v>0.19</v>
      </c>
    </row>
    <row r="53" spans="1:10" x14ac:dyDescent="0.35">
      <c r="A53" s="26" t="s">
        <v>608</v>
      </c>
      <c r="B53" s="9" t="s">
        <v>905</v>
      </c>
      <c r="C53" s="35" t="s">
        <v>950</v>
      </c>
      <c r="D53" s="24" t="s">
        <v>52</v>
      </c>
      <c r="E53" s="26"/>
      <c r="F53" s="9"/>
      <c r="G53" s="20" t="e">
        <f t="shared" si="0"/>
        <v>#DIV/0!</v>
      </c>
      <c r="H53" s="9"/>
      <c r="I53" s="9"/>
      <c r="J53" s="20">
        <f>IF(SUMIFS(Negociados!C:C,Negociados!B:B,E53,Negociados!A:A,A52,Negociados!D:D,"&lt;="&amp;$E$1,Negociados!E:E,"&gt;="&amp;$E$1),SUMIFS(Negociados!C:C,Negociados!B:B,E53,Negociados!A:A,A52,Negociados!D:D,"&lt;="&amp;$E$1,Negociados!E:E,"&gt;="&amp;$E$1),19%)</f>
        <v>0.19</v>
      </c>
    </row>
    <row r="54" spans="1:10" x14ac:dyDescent="0.35">
      <c r="A54" s="26" t="s">
        <v>609</v>
      </c>
      <c r="B54" s="9" t="s">
        <v>906</v>
      </c>
      <c r="C54" s="35" t="s">
        <v>951</v>
      </c>
      <c r="D54" s="24" t="s">
        <v>52</v>
      </c>
      <c r="E54" s="26"/>
      <c r="F54" s="9"/>
      <c r="G54" s="20" t="e">
        <f t="shared" si="0"/>
        <v>#DIV/0!</v>
      </c>
      <c r="H54" s="9"/>
      <c r="I54" s="9"/>
      <c r="J54" s="20">
        <f>IF(SUMIFS(Negociados!C:C,Negociados!B:B,E54,Negociados!A:A,A53,Negociados!D:D,"&lt;="&amp;$E$1,Negociados!E:E,"&gt;="&amp;$E$1),SUMIFS(Negociados!C:C,Negociados!B:B,E54,Negociados!A:A,A53,Negociados!D:D,"&lt;="&amp;$E$1,Negociados!E:E,"&gt;="&amp;$E$1),19%)</f>
        <v>0.19</v>
      </c>
    </row>
    <row r="55" spans="1:10" x14ac:dyDescent="0.35">
      <c r="A55" s="26" t="s">
        <v>407</v>
      </c>
      <c r="B55" s="9" t="s">
        <v>907</v>
      </c>
      <c r="C55" s="35" t="s">
        <v>952</v>
      </c>
      <c r="D55" s="24" t="s">
        <v>52</v>
      </c>
      <c r="E55" s="26"/>
      <c r="F55" s="9"/>
      <c r="G55" s="20" t="e">
        <f t="shared" si="0"/>
        <v>#DIV/0!</v>
      </c>
      <c r="H55" s="9"/>
      <c r="I55" s="9"/>
      <c r="J55" s="20">
        <f>IF(SUMIFS(Negociados!C:C,Negociados!B:B,E55,Negociados!A:A,A54,Negociados!D:D,"&lt;="&amp;$E$1,Negociados!E:E,"&gt;="&amp;$E$1),SUMIFS(Negociados!C:C,Negociados!B:B,E55,Negociados!A:A,A54,Negociados!D:D,"&lt;="&amp;$E$1,Negociados!E:E,"&gt;="&amp;$E$1),19%)</f>
        <v>0.19</v>
      </c>
    </row>
    <row r="56" spans="1:10" x14ac:dyDescent="0.35">
      <c r="A56" s="26" t="s">
        <v>610</v>
      </c>
      <c r="B56" s="9" t="s">
        <v>908</v>
      </c>
      <c r="C56" s="35" t="s">
        <v>953</v>
      </c>
      <c r="D56" s="24" t="s">
        <v>52</v>
      </c>
      <c r="E56" s="26"/>
      <c r="F56" s="9"/>
      <c r="G56" s="20" t="e">
        <f t="shared" si="0"/>
        <v>#DIV/0!</v>
      </c>
      <c r="H56" s="9"/>
      <c r="I56" s="9"/>
      <c r="J56" s="20">
        <f>IF(SUMIFS(Negociados!C:C,Negociados!B:B,E56,Negociados!A:A,A55,Negociados!D:D,"&lt;="&amp;$E$1,Negociados!E:E,"&gt;="&amp;$E$1),SUMIFS(Negociados!C:C,Negociados!B:B,E56,Negociados!A:A,A55,Negociados!D:D,"&lt;="&amp;$E$1,Negociados!E:E,"&gt;="&amp;$E$1),19%)</f>
        <v>0.19</v>
      </c>
    </row>
    <row r="57" spans="1:10" x14ac:dyDescent="0.35">
      <c r="A57" s="26" t="s">
        <v>611</v>
      </c>
      <c r="B57" s="9" t="s">
        <v>909</v>
      </c>
      <c r="C57" s="35" t="s">
        <v>954</v>
      </c>
      <c r="D57" s="24" t="s">
        <v>52</v>
      </c>
      <c r="E57" s="26"/>
      <c r="F57" s="9"/>
      <c r="G57" s="20" t="e">
        <f t="shared" si="0"/>
        <v>#DIV/0!</v>
      </c>
      <c r="H57" s="9"/>
      <c r="I57" s="9"/>
      <c r="J57" s="20">
        <f>IF(SUMIFS(Negociados!C:C,Negociados!B:B,E57,Negociados!A:A,A56,Negociados!D:D,"&lt;="&amp;$E$1,Negociados!E:E,"&gt;="&amp;$E$1),SUMIFS(Negociados!C:C,Negociados!B:B,E57,Negociados!A:A,A56,Negociados!D:D,"&lt;="&amp;$E$1,Negociados!E:E,"&gt;="&amp;$E$1),19%)</f>
        <v>0.19</v>
      </c>
    </row>
    <row r="58" spans="1:10" x14ac:dyDescent="0.35">
      <c r="A58" s="26" t="s">
        <v>270</v>
      </c>
      <c r="B58" s="9" t="s">
        <v>910</v>
      </c>
      <c r="C58" s="35" t="s">
        <v>955</v>
      </c>
      <c r="D58" s="24" t="s">
        <v>52</v>
      </c>
      <c r="E58" s="26"/>
      <c r="F58" s="9"/>
      <c r="G58" s="20" t="e">
        <f t="shared" si="0"/>
        <v>#DIV/0!</v>
      </c>
      <c r="H58" s="9"/>
      <c r="I58" s="9"/>
      <c r="J58" s="20">
        <f>IF(SUMIFS(Negociados!C:C,Negociados!B:B,E58,Negociados!A:A,A57,Negociados!D:D,"&lt;="&amp;$E$1,Negociados!E:E,"&gt;="&amp;$E$1),SUMIFS(Negociados!C:C,Negociados!B:B,E58,Negociados!A:A,A57,Negociados!D:D,"&lt;="&amp;$E$1,Negociados!E:E,"&gt;="&amp;$E$1),19%)</f>
        <v>0.19</v>
      </c>
    </row>
    <row r="59" spans="1:10" x14ac:dyDescent="0.35">
      <c r="A59" s="26" t="s">
        <v>612</v>
      </c>
      <c r="B59" s="9" t="s">
        <v>911</v>
      </c>
      <c r="C59" s="35" t="s">
        <v>956</v>
      </c>
      <c r="D59" s="24" t="s">
        <v>52</v>
      </c>
      <c r="E59" s="26"/>
      <c r="F59" s="9"/>
      <c r="G59" s="20" t="e">
        <f t="shared" si="0"/>
        <v>#DIV/0!</v>
      </c>
      <c r="H59" s="9"/>
      <c r="I59" s="9"/>
      <c r="J59" s="20">
        <f>IF(SUMIFS(Negociados!C:C,Negociados!B:B,E59,Negociados!A:A,A58,Negociados!D:D,"&lt;="&amp;$E$1,Negociados!E:E,"&gt;="&amp;$E$1),SUMIFS(Negociados!C:C,Negociados!B:B,E59,Negociados!A:A,A58,Negociados!D:D,"&lt;="&amp;$E$1,Negociados!E:E,"&gt;="&amp;$E$1),19%)</f>
        <v>0.19</v>
      </c>
    </row>
    <row r="60" spans="1:10" x14ac:dyDescent="0.35">
      <c r="A60" s="26" t="s">
        <v>33</v>
      </c>
      <c r="B60" s="9" t="s">
        <v>912</v>
      </c>
      <c r="C60" s="35" t="s">
        <v>34</v>
      </c>
      <c r="D60" s="24" t="s">
        <v>52</v>
      </c>
      <c r="E60" s="26"/>
      <c r="F60" s="9"/>
      <c r="G60" s="20" t="e">
        <f t="shared" si="0"/>
        <v>#DIV/0!</v>
      </c>
      <c r="H60" s="9"/>
      <c r="I60" s="9"/>
      <c r="J60" s="20">
        <f>IF(SUMIFS(Negociados!C:C,Negociados!B:B,E60,Negociados!A:A,A59,Negociados!D:D,"&lt;="&amp;$E$1,Negociados!E:E,"&gt;="&amp;$E$1),SUMIFS(Negociados!C:C,Negociados!B:B,E60,Negociados!A:A,A59,Negociados!D:D,"&lt;="&amp;$E$1,Negociados!E:E,"&gt;="&amp;$E$1),19%)</f>
        <v>0.19</v>
      </c>
    </row>
    <row r="61" spans="1:10" x14ac:dyDescent="0.35">
      <c r="A61" s="26" t="s">
        <v>613</v>
      </c>
      <c r="B61" s="9" t="s">
        <v>913</v>
      </c>
      <c r="C61" s="35" t="s">
        <v>957</v>
      </c>
      <c r="D61" s="24" t="s">
        <v>52</v>
      </c>
      <c r="E61" s="26"/>
      <c r="F61" s="9"/>
      <c r="G61" s="20" t="e">
        <f t="shared" si="0"/>
        <v>#DIV/0!</v>
      </c>
      <c r="H61" s="9"/>
      <c r="I61" s="9"/>
      <c r="J61" s="20">
        <f>IF(SUMIFS(Negociados!C:C,Negociados!B:B,E61,Negociados!A:A,A60,Negociados!D:D,"&lt;="&amp;$E$1,Negociados!E:E,"&gt;="&amp;$E$1),SUMIFS(Negociados!C:C,Negociados!B:B,E61,Negociados!A:A,A60,Negociados!D:D,"&lt;="&amp;$E$1,Negociados!E:E,"&gt;="&amp;$E$1),19%)</f>
        <v>0.19</v>
      </c>
    </row>
    <row r="62" spans="1:10" x14ac:dyDescent="0.35">
      <c r="A62" s="26" t="s">
        <v>614</v>
      </c>
      <c r="B62" s="9" t="s">
        <v>914</v>
      </c>
      <c r="C62" s="35" t="s">
        <v>958</v>
      </c>
      <c r="D62" s="24" t="s">
        <v>52</v>
      </c>
      <c r="E62" s="26"/>
      <c r="F62" s="9"/>
      <c r="G62" s="20" t="e">
        <f t="shared" si="0"/>
        <v>#DIV/0!</v>
      </c>
      <c r="H62" s="9"/>
      <c r="I62" s="9"/>
      <c r="J62" s="20">
        <f>IF(SUMIFS(Negociados!C:C,Negociados!B:B,E62,Negociados!A:A,A61,Negociados!D:D,"&lt;="&amp;$E$1,Negociados!E:E,"&gt;="&amp;$E$1),SUMIFS(Negociados!C:C,Negociados!B:B,E62,Negociados!A:A,A61,Negociados!D:D,"&lt;="&amp;$E$1,Negociados!E:E,"&gt;="&amp;$E$1),19%)</f>
        <v>0.19</v>
      </c>
    </row>
    <row r="63" spans="1:10" x14ac:dyDescent="0.35">
      <c r="A63" s="26" t="s">
        <v>589</v>
      </c>
      <c r="B63" s="9" t="s">
        <v>915</v>
      </c>
      <c r="C63" s="35" t="s">
        <v>959</v>
      </c>
      <c r="D63" s="24" t="s">
        <v>52</v>
      </c>
      <c r="E63" s="26"/>
      <c r="F63" s="9"/>
      <c r="G63" s="20" t="e">
        <f t="shared" si="0"/>
        <v>#DIV/0!</v>
      </c>
      <c r="H63" s="9"/>
      <c r="I63" s="9"/>
      <c r="J63" s="20">
        <f>IF(SUMIFS(Negociados!C:C,Negociados!B:B,E63,Negociados!A:A,A62,Negociados!D:D,"&lt;="&amp;$E$1,Negociados!E:E,"&gt;="&amp;$E$1),SUMIFS(Negociados!C:C,Negociados!B:B,E63,Negociados!A:A,A62,Negociados!D:D,"&lt;="&amp;$E$1,Negociados!E:E,"&gt;="&amp;$E$1),19%)</f>
        <v>0.19</v>
      </c>
    </row>
    <row r="64" spans="1:10" x14ac:dyDescent="0.35">
      <c r="A64" s="26" t="s">
        <v>615</v>
      </c>
      <c r="B64" s="9" t="s">
        <v>916</v>
      </c>
      <c r="C64" s="35" t="s">
        <v>960</v>
      </c>
      <c r="D64" s="24" t="s">
        <v>52</v>
      </c>
      <c r="E64" s="26"/>
      <c r="F64" s="9"/>
      <c r="G64" s="20" t="e">
        <f t="shared" si="0"/>
        <v>#DIV/0!</v>
      </c>
      <c r="H64" s="9"/>
      <c r="I64" s="9"/>
      <c r="J64" s="20">
        <f>IF(SUMIFS(Negociados!C:C,Negociados!B:B,E64,Negociados!A:A,A63,Negociados!D:D,"&lt;="&amp;$E$1,Negociados!E:E,"&gt;="&amp;$E$1),SUMIFS(Negociados!C:C,Negociados!B:B,E64,Negociados!A:A,A63,Negociados!D:D,"&lt;="&amp;$E$1,Negociados!E:E,"&gt;="&amp;$E$1),19%)</f>
        <v>0.19</v>
      </c>
    </row>
    <row r="65" spans="1:10" x14ac:dyDescent="0.35">
      <c r="A65" s="26" t="s">
        <v>578</v>
      </c>
      <c r="B65" s="9" t="s">
        <v>917</v>
      </c>
      <c r="C65" s="35" t="s">
        <v>961</v>
      </c>
      <c r="D65" s="24" t="s">
        <v>52</v>
      </c>
      <c r="E65" s="26"/>
      <c r="F65" s="9"/>
      <c r="G65" s="20" t="e">
        <f t="shared" si="0"/>
        <v>#DIV/0!</v>
      </c>
      <c r="H65" s="9"/>
      <c r="I65" s="9"/>
      <c r="J65" s="20">
        <f>IF(SUMIFS(Negociados!C:C,Negociados!B:B,E65,Negociados!A:A,A64,Negociados!D:D,"&lt;="&amp;$E$1,Negociados!E:E,"&gt;="&amp;$E$1),SUMIFS(Negociados!C:C,Negociados!B:B,E65,Negociados!A:A,A64,Negociados!D:D,"&lt;="&amp;$E$1,Negociados!E:E,"&gt;="&amp;$E$1),19%)</f>
        <v>0.19</v>
      </c>
    </row>
    <row r="66" spans="1:10" x14ac:dyDescent="0.35">
      <c r="D66" s="24" t="s">
        <v>52</v>
      </c>
      <c r="E66" s="26"/>
      <c r="F66" s="9"/>
      <c r="G66" s="20" t="e">
        <f t="shared" si="0"/>
        <v>#DIV/0!</v>
      </c>
      <c r="H66" s="9"/>
      <c r="I66" s="9"/>
      <c r="J66" s="20">
        <f>IF(SUMIFS(Negociados!C:C,Negociados!B:B,E66,Negociados!A:A,A65,Negociados!D:D,"&lt;="&amp;$E$1,Negociados!E:E,"&gt;="&amp;$E$1),SUMIFS(Negociados!C:C,Negociados!B:B,E66,Negociados!A:A,A65,Negociados!D:D,"&lt;="&amp;$E$1,Negociados!E:E,"&gt;="&amp;$E$1),19%)</f>
        <v>0.19</v>
      </c>
    </row>
  </sheetData>
  <mergeCells count="1">
    <mergeCell ref="E1:J1"/>
  </mergeCells>
  <hyperlinks>
    <hyperlink ref="B4" r:id="rId1" display="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" xr:uid="{F3FA9C9D-DFF0-4A2B-9997-4360D80BAB5A}"/>
    <hyperlink ref="B19" r:id="rId2" display="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" xr:uid="{0CDAFB59-CEB6-4DB5-A9EE-5B67AEF1757B}"/>
    <hyperlink ref="B14" r:id="rId3" display="https://www.casasbahia.com.br/kit-4-cadeiras-4290-madesa-rustic-preto/p/1516415812" xr:uid="{DD46C85B-C32E-4FF1-8B8A-9F04627B13E3}"/>
    <hyperlink ref="B31" r:id="rId4" display="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" xr:uid="{7FADAE48-9BB8-417C-B0D7-D2F511061718}"/>
    <hyperlink ref="B8" r:id="rId5" display="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" xr:uid="{0BA4D5F9-6C11-4508-BCC5-918BF60284B8}"/>
    <hyperlink ref="B9" r:id="rId6" display="https://www.casasbahia.com.br/mesa-tampo-de-madeira-com-6-cadeiras-preto-rustic-preto/p/1526289474" xr:uid="{ADDB4BF6-E843-4670-883B-7F738237BF8F}"/>
    <hyperlink ref="B2" r:id="rId7" display="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" xr:uid="{EBF17E3F-3F68-4679-BF71-1D41562E0CCE}"/>
    <hyperlink ref="B32" r:id="rId8" display="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" xr:uid="{FF543315-8E83-4ABA-B969-4BA340A0C6F7}"/>
    <hyperlink ref="B29" r:id="rId9" display="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" xr:uid="{9D464B4F-5D30-406E-B295-F7A3E75EBACE}"/>
    <hyperlink ref="B28" r:id="rId10" display="https://www.casasbahia.com.br/armario-de-cozinha-reims-260002-com-balcao-preto-rustic/p/1520582853?utm_source=google_freelisting&amp;utm_medium=Cpc" xr:uid="{53BD74B9-C297-4BDB-9CEA-8E568D854192}"/>
    <hyperlink ref="B16" r:id="rId11" display="https://www.casasbahia.com.br/guarda-roupa-casal-monaco-3-portas-de-correr-15426026/p/15426026?utm_medium=Cpc&amp;utm_source=google_freelisting&amp;IdSku=15426026&amp;idLojista=11121&amp;tipoLojista=3P&amp;srsltid=AfmBOoqGvKMyMrg8xbGmz-iCL-UXZYCwNiAMCL7CXrQjpQFaoGPau6HHIZo" xr:uid="{8BDE5131-3156-437D-8728-5091D4BA7FE0}"/>
    <hyperlink ref="B3" r:id="rId12" display="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" xr:uid="{D157FFE9-F06A-4E57-A5FE-85AB569C6B46}"/>
    <hyperlink ref="B24" r:id="rId13" display="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" xr:uid="{1608952D-4F4F-4DC7-A1CA-F4B776E6D786}"/>
    <hyperlink ref="B23" r:id="rId14" display="https://www.casasbahia.com.br/conjunto-sala-de-jantar-mesa-tampo-de-madeira-4-cadeiras/p/1561846995" xr:uid="{DEE1595F-26C7-4444-A07A-4817D307B850}"/>
    <hyperlink ref="B26" r:id="rId15" display="https://www.casasbahia.com.br/conjunto-sala-de-jantar-luana-mesa-4-cadeiras-madesa/p/1501991523" xr:uid="{63F14F46-6905-4FA6-B219-D07DB6E73C7E}"/>
    <hyperlink ref="B22" r:id="rId16" display="https://www.casasbahia.com.br/conjunto-sala-de-jantar-mesa-tampo-de-madeira-8-cadeiras-rustic-preto-marisa-madesa-rustic-preto/p/1559194853" xr:uid="{C2475A89-A176-44CB-A3B4-E114B31F7691}"/>
    <hyperlink ref="B13" r:id="rId17" display="https://www.casasbahia.com.br/kit-4-cadeiras-perola-madesa-4291/p/1500994468" xr:uid="{B43BF2CC-8066-4037-9E14-B55F95C7C34B}"/>
    <hyperlink ref="B11" r:id="rId18" display="https://www.casasbahia.com.br/kit-6-cadeiras-rustic-preto-madesa-4291/p/1500994267" xr:uid="{D3E0D6C8-3C5E-41EF-B057-EA21583BDA42}"/>
    <hyperlink ref="B17" r:id="rId19" display="https://www.casasbahia.com.br/guarda-roupa-casal-100-mdf-royale-3-portas-de-correr/p/14252194" xr:uid="{069FA59C-3E5C-4B72-B49B-337A23D2859D}"/>
    <hyperlink ref="B33" r:id="rId20" display="https://www.casasbahia.com.br/armario-de-cozinha-completa-325cm-cinza-madesa-02-cinza/p/1556093270" xr:uid="{2CD7D88B-3048-4227-89F7-A33C193A4EC4}"/>
    <hyperlink ref="B18" r:id="rId21" display="https://www.casasbahia.com.br/cozinha-compacta-100-mdf-madesa-smart-170-cm-modulada-com-armario-balcao-e-tampo/p/1502903658" xr:uid="{79296E6A-117B-41CF-A918-0E86EA9042E1}"/>
    <hyperlink ref="B12" r:id="rId22" display="https://www.casasbahia.com.br/kit-4-cadeiras-rustic-preto-madesa/p/1501992427" xr:uid="{CD4B764E-7DFB-4821-9108-AE81A85BA89B}"/>
    <hyperlink ref="B6" r:id="rId23" display="https://www.casasbahia.com.br/sala-de-jantar-gabi-mesa-tampo-de-madeira-2-cadeiras-madesa/p/1501279511" xr:uid="{7E6E2799-E330-4576-99F4-4110A39CA360}"/>
    <hyperlink ref="B27" r:id="rId24" display="https://www.casasbahia.com.br/conj-mesa-tampo-de-madeira-4-cadeiras-rustic-cinza-silver/p/1546471025" xr:uid="{0849A056-F1AB-481C-AB28-118E551EF45F}"/>
    <hyperlink ref="B7" r:id="rId25" display="https://www.casasbahia.com.br/mesa-tampo-de-madeira-com-6-cadeiras-rustic-preto/p/1526289961" xr:uid="{791C7B50-623E-46A9-978B-51D1AA0758F0}"/>
    <hyperlink ref="B5" r:id="rId26" display="https://www.casasbahia.com.br/sala-de-jantar-gabi-mesa-tampo-de-madeira-2-cadeiras-madesa/p/1501458337" xr:uid="{01FEA808-5C4F-4531-BEEE-B311A48452C2}"/>
    <hyperlink ref="B10" r:id="rId27" display="https://www.casasbahia.com.br/kit-sala-de-jantar-mesa-6-cadeiras-preto-augusta/p/1562516892" xr:uid="{F6ABBD92-C206-4849-A569-BC8F4A0BCD87}"/>
    <hyperlink ref="B21" r:id="rId28" display="https://www.casasbahia.com.br/conjunto-sala-de-jantar-mesa-tampo-de-vidro-6-cadeiras/p/1547659626" xr:uid="{81A1EF3B-53D1-4D15-8733-D0B4195BFC37}"/>
    <hyperlink ref="B15" r:id="rId29" display="https://www.casasbahia.com.br/guarda-roupa-solteiro-madesa-denver-2-portas-de-correr-com-espelho-com-pes/p/1501022927" xr:uid="{26B753A3-70E4-480F-A830-4C5C842AB8D5}"/>
    <hyperlink ref="B25" r:id="rId30" display="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" xr:uid="{8F7056A6-1A71-4737-A41D-2D01546521C0}"/>
    <hyperlink ref="B34" r:id="rId31" display="https://www.casasbahia.com.br/kit-4-cadeiras-em-mdf-e-mdp-madesa/p/1501992396" xr:uid="{F5FDA287-6C75-490C-AEE9-1C201D93DEAF}"/>
    <hyperlink ref="B35" r:id="rId32" display="https://www.casasbahia.com.br/conjunto-sala-de-jantar-mesa-tampo-de-madeira-4-cadeiras-rustic-preto-claire-madesa-rustic-preto/p/1562867516" xr:uid="{79C8843A-F82A-4589-973F-939D830508E7}"/>
    <hyperlink ref="B36" r:id="rId33" display="https://www.casasbahia.com.br/conjunto-sala-de-jantar-mesa-tampo-de-madeira-6-cadeiras/p/1547659415" xr:uid="{B3BD749A-B44D-4EEE-830C-D5C84400F1C5}"/>
    <hyperlink ref="B37" r:id="rId34" display="https://www.casasbahia.com.br/sala-de-jantar-anita-mesa-tampo-de-vidro-4-cadeiras-madesa/p/1501269493" xr:uid="{01A06D0C-8E8B-41B7-AB55-2634BB9CBC5B}"/>
    <hyperlink ref="B38" r:id="rId35" display="https://www.casasbahia.com.br/cozinha-completa-madesa-reims-240001-com-armario-e-balcao-preto-rustic/p/1502903701" xr:uid="{4CE7CE27-22AC-4F58-8C00-1F85890A423F}"/>
    <hyperlink ref="B39" r:id="rId36" display="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" xr:uid="{B688CAA2-577A-4DA8-A7E5-1001BF5CBA8F}"/>
    <hyperlink ref="B40" r:id="rId37" display="https://www.casasbahia.com.br/sala-de-jantar-megan-mesa-tampo-de-madeira-6-cadeiras-madesa/p/1501279445" xr:uid="{03256CBE-EF85-4DA8-85C4-1B84A6B99879}"/>
    <hyperlink ref="B41" r:id="rId38" display="https://www.casasbahia.com.br/cozinha-completa-reims-com-armario-e-balcao-branco-madesa/p/1505749224" xr:uid="{56009606-33D7-41C9-89BB-1150FE59A045}"/>
    <hyperlink ref="B43" r:id="rId39" display="https://www.casasbahia.com.br/moveis/saladejantar/mesasecadeirasdejantar/kit-cintia-begemesa-tampo-de-madeira-4-cadeiras-madesa-1501005323.html?idsku=1501005323" xr:uid="{EDE65AB5-0EC1-4288-931E-BC85F0B05B7B}"/>
    <hyperlink ref="B44" r:id="rId40" display="https://www.casasbahia.com.br/rack-dubai-para-tv-ate-65-quot-madesa/p/1501992374" xr:uid="{E33125A2-6CD1-40E3-9029-B164E77F79CD}"/>
    <hyperlink ref="B45" r:id="rId41" display="https://www.casasbahia.com.br/guarda-roupa-solteiro-2-portas-de-correr-2-gavetas-madesa/p/1505778922" xr:uid="{9892B575-0095-4011-8CF7-92A1F3829F02}"/>
    <hyperlink ref="B20" r:id="rId42" display="https://www.casasbahia.com.br/conjunto-sala-de-jantar-talita-mesa-tampo-de-madeira-com-4-cadeiras-madesa/p/1518140695" xr:uid="{A58B253D-CC33-4A1C-A1D5-5B9244CCCB30}"/>
    <hyperlink ref="B42" r:id="rId43" display="https://www.casasbahia.com.br/armario-de-cozinha-completa-suspenso-260cm-10-cinza/p/1547568870" xr:uid="{C1B04DE9-10ED-41CD-90E3-64728898FC50}"/>
    <hyperlink ref="B30" r:id="rId44" display="https://www.casasbahia.com.br/armario-de-cozinha-completa-260cm-cinza-nice-madesa-09-cinza/p/1547568819" xr:uid="{4F1A1390-151D-46ED-865D-001DDD43E2E0}"/>
    <hyperlink ref="B46" r:id="rId45" xr:uid="{9C73ADB8-F961-4533-97C6-A241AC37054B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DBFF-7983-4FA7-B559-790C86FC278B}">
  <sheetPr>
    <tabColor rgb="FF92D050"/>
  </sheetPr>
  <dimension ref="A1:H46"/>
  <sheetViews>
    <sheetView showGridLines="0" tabSelected="1" zoomScale="80" zoomScaleNormal="80" workbookViewId="0">
      <selection activeCell="K7" sqref="K7"/>
    </sheetView>
  </sheetViews>
  <sheetFormatPr defaultRowHeight="14.5" x14ac:dyDescent="0.35"/>
  <cols>
    <col min="1" max="1" width="17.81640625" style="1" bestFit="1" customWidth="1"/>
    <col min="2" max="2" width="17.81640625" style="1" customWidth="1"/>
    <col min="3" max="3" width="58.1796875" style="23" customWidth="1"/>
    <col min="4" max="4" width="18.1796875" style="1" bestFit="1" customWidth="1"/>
    <col min="5" max="5" width="8" style="1" customWidth="1"/>
    <col min="6" max="16384" width="8.7265625" style="1"/>
  </cols>
  <sheetData>
    <row r="1" spans="1:8" s="22" customFormat="1" x14ac:dyDescent="0.35">
      <c r="A1" s="57" t="s">
        <v>893</v>
      </c>
      <c r="B1" s="57" t="s">
        <v>285</v>
      </c>
      <c r="C1" s="57" t="s">
        <v>409</v>
      </c>
      <c r="D1" s="30" t="s">
        <v>3</v>
      </c>
      <c r="E1" s="65">
        <v>45950</v>
      </c>
      <c r="F1" s="66"/>
      <c r="G1" s="66"/>
      <c r="H1" s="66"/>
    </row>
    <row r="2" spans="1:8" s="22" customFormat="1" x14ac:dyDescent="0.35">
      <c r="A2" s="54" t="s">
        <v>405</v>
      </c>
      <c r="B2" s="55" t="s">
        <v>962</v>
      </c>
      <c r="C2" s="56" t="s">
        <v>984</v>
      </c>
      <c r="D2" s="24" t="s">
        <v>44</v>
      </c>
      <c r="E2" s="28" t="s">
        <v>437</v>
      </c>
      <c r="F2" s="28" t="s">
        <v>438</v>
      </c>
      <c r="G2" s="28" t="s">
        <v>439</v>
      </c>
      <c r="H2" s="28" t="s">
        <v>512</v>
      </c>
    </row>
    <row r="3" spans="1:8" x14ac:dyDescent="0.35">
      <c r="A3" s="54" t="s">
        <v>404</v>
      </c>
      <c r="B3" s="55" t="s">
        <v>963</v>
      </c>
      <c r="C3" s="56" t="s">
        <v>985</v>
      </c>
      <c r="D3" s="24" t="s">
        <v>44</v>
      </c>
      <c r="E3" s="9">
        <v>359.97</v>
      </c>
      <c r="F3" s="9">
        <v>39.9</v>
      </c>
      <c r="G3" s="9">
        <v>7</v>
      </c>
      <c r="H3" s="20">
        <f>IF(SUMIFS(Negociados!C:C,Negociados!B:B,E3,Negociados!A:A,A2,Negociados!D:D,"&lt;="&amp;$E$1,Negociados!E:E,"&gt;="&amp;$E$1),SUMIFS(Negociados!C:C,Negociados!B:B,E3,Negociados!A:A,A2,Negociados!D:D,"&lt;="&amp;$E$1,Negociados!E:E,"&gt;="&amp;$E$1),19%)</f>
        <v>0.19</v>
      </c>
    </row>
    <row r="4" spans="1:8" x14ac:dyDescent="0.35">
      <c r="A4" s="54" t="s">
        <v>602</v>
      </c>
      <c r="B4" s="55" t="s">
        <v>964</v>
      </c>
      <c r="C4" s="56" t="s">
        <v>919</v>
      </c>
      <c r="D4" s="24" t="s">
        <v>44</v>
      </c>
      <c r="E4" s="9">
        <v>359.97</v>
      </c>
      <c r="F4" s="9">
        <v>39.9</v>
      </c>
      <c r="G4" s="9">
        <v>7</v>
      </c>
      <c r="H4" s="20">
        <f>IF(SUMIFS(Negociados!C:C,Negociados!B:B,E4,Negociados!A:A,A3,Negociados!D:D,"&lt;="&amp;$E$1,Negociados!E:E,"&gt;="&amp;$E$1),SUMIFS(Negociados!C:C,Negociados!B:B,E4,Negociados!A:A,A3,Negociados!D:D,"&lt;="&amp;$E$1,Negociados!E:E,"&gt;="&amp;$E$1),19%)</f>
        <v>0.19</v>
      </c>
    </row>
    <row r="5" spans="1:8" x14ac:dyDescent="0.35">
      <c r="A5" s="54" t="s">
        <v>601</v>
      </c>
      <c r="B5" s="55" t="s">
        <v>965</v>
      </c>
      <c r="C5" s="56" t="s">
        <v>918</v>
      </c>
      <c r="D5" s="24" t="s">
        <v>44</v>
      </c>
      <c r="E5" s="9" t="s">
        <v>600</v>
      </c>
      <c r="F5" s="9" t="s">
        <v>600</v>
      </c>
      <c r="G5" s="9" t="s">
        <v>600</v>
      </c>
      <c r="H5" s="20">
        <f>IF(SUMIFS(Negociados!C:C,Negociados!B:B,E5,Negociados!A:A,A4,Negociados!D:D,"&lt;="&amp;$E$1,Negociados!E:E,"&gt;="&amp;$E$1),SUMIFS(Negociados!C:C,Negociados!B:B,E5,Negociados!A:A,A4,Negociados!D:D,"&lt;="&amp;$E$1,Negociados!E:E,"&gt;="&amp;$E$1),19%)</f>
        <v>0.19</v>
      </c>
    </row>
    <row r="6" spans="1:8" x14ac:dyDescent="0.35">
      <c r="A6" s="54" t="s">
        <v>105</v>
      </c>
      <c r="B6" s="55" t="s">
        <v>966</v>
      </c>
      <c r="C6" s="56" t="s">
        <v>986</v>
      </c>
      <c r="D6" s="24" t="s">
        <v>44</v>
      </c>
      <c r="E6" s="9">
        <v>449.97</v>
      </c>
      <c r="F6" s="9">
        <v>39.9</v>
      </c>
      <c r="G6" s="9">
        <v>7</v>
      </c>
      <c r="H6" s="20">
        <f>IF(SUMIFS(Negociados!C:C,Negociados!B:B,E6,Negociados!A:A,A5,Negociados!D:D,"&lt;="&amp;$E$1,Negociados!E:E,"&gt;="&amp;$E$1),SUMIFS(Negociados!C:C,Negociados!B:B,E6,Negociados!A:A,A5,Negociados!D:D,"&lt;="&amp;$E$1,Negociados!E:E,"&gt;="&amp;$E$1),19%)</f>
        <v>0.19</v>
      </c>
    </row>
    <row r="7" spans="1:8" x14ac:dyDescent="0.35">
      <c r="A7" s="54" t="s">
        <v>102</v>
      </c>
      <c r="B7" s="55" t="s">
        <v>967</v>
      </c>
      <c r="C7" s="54" t="s">
        <v>103</v>
      </c>
      <c r="D7" s="24" t="s">
        <v>44</v>
      </c>
      <c r="E7" s="9">
        <v>649.99</v>
      </c>
      <c r="F7" s="9">
        <v>49.9</v>
      </c>
      <c r="G7" s="9">
        <v>7</v>
      </c>
      <c r="H7" s="20">
        <f>IF(SUMIFS(Negociados!C:C,Negociados!B:B,E7,Negociados!A:A,A6,Negociados!D:D,"&lt;="&amp;$E$1,Negociados!E:E,"&gt;="&amp;$E$1),SUMIFS(Negociados!C:C,Negociados!B:B,E7,Negociados!A:A,A6,Negociados!D:D,"&lt;="&amp;$E$1,Negociados!E:E,"&gt;="&amp;$E$1),19%)</f>
        <v>0.19</v>
      </c>
    </row>
    <row r="8" spans="1:8" x14ac:dyDescent="0.35">
      <c r="A8" s="54" t="s">
        <v>283</v>
      </c>
      <c r="B8" s="55" t="s">
        <v>968</v>
      </c>
      <c r="C8" s="58" t="s">
        <v>987</v>
      </c>
      <c r="D8" s="24" t="s">
        <v>44</v>
      </c>
      <c r="E8" s="9">
        <v>839.99</v>
      </c>
      <c r="F8" s="9">
        <v>49.9</v>
      </c>
      <c r="G8" s="9">
        <v>7</v>
      </c>
      <c r="H8" s="20">
        <f>IF(SUMIFS(Negociados!C:C,Negociados!B:B,E8,Negociados!A:A,A7,Negociados!D:D,"&lt;="&amp;$E$1,Negociados!E:E,"&gt;="&amp;$E$1),SUMIFS(Negociados!C:C,Negociados!B:B,E8,Negociados!A:A,A7,Negociados!D:D,"&lt;="&amp;$E$1,Negociados!E:E,"&gt;="&amp;$E$1),19%)</f>
        <v>0.19</v>
      </c>
    </row>
    <row r="9" spans="1:8" x14ac:dyDescent="0.35">
      <c r="A9" s="54" t="s">
        <v>616</v>
      </c>
      <c r="B9" s="55" t="s">
        <v>969</v>
      </c>
      <c r="C9" s="56" t="s">
        <v>988</v>
      </c>
      <c r="D9" s="24" t="s">
        <v>44</v>
      </c>
      <c r="E9" s="9">
        <v>759.97</v>
      </c>
      <c r="F9" s="9" t="s">
        <v>597</v>
      </c>
      <c r="G9" s="9">
        <v>7</v>
      </c>
      <c r="H9" s="20">
        <f>IF(SUMIFS(Negociados!C:C,Negociados!B:B,E9,Negociados!A:A,A8,Negociados!D:D,"&lt;="&amp;$E$1,Negociados!E:E,"&gt;="&amp;$E$1),SUMIFS(Negociados!C:C,Negociados!B:B,E9,Negociados!A:A,A8,Negociados!D:D,"&lt;="&amp;$E$1,Negociados!E:E,"&gt;="&amp;$E$1),19%)</f>
        <v>0.19</v>
      </c>
    </row>
    <row r="10" spans="1:8" x14ac:dyDescent="0.35">
      <c r="A10" s="54" t="s">
        <v>546</v>
      </c>
      <c r="B10" s="55" t="s">
        <v>970</v>
      </c>
      <c r="C10" s="54" t="s">
        <v>989</v>
      </c>
      <c r="D10" s="24" t="s">
        <v>44</v>
      </c>
      <c r="E10" s="9">
        <v>939.99</v>
      </c>
      <c r="F10" s="9" t="s">
        <v>597</v>
      </c>
      <c r="G10" s="9">
        <v>7</v>
      </c>
      <c r="H10" s="20">
        <f>IF(SUMIFS(Negociados!C:C,Negociados!B:B,E10,Negociados!A:A,A9,Negociados!D:D,"&lt;="&amp;$E$1,Negociados!E:E,"&gt;="&amp;$E$1),SUMIFS(Negociados!C:C,Negociados!B:B,E10,Negociados!A:A,A9,Negociados!D:D,"&lt;="&amp;$E$1,Negociados!E:E,"&gt;="&amp;$E$1),19%)</f>
        <v>0.19</v>
      </c>
    </row>
    <row r="11" spans="1:8" x14ac:dyDescent="0.35">
      <c r="A11" s="54" t="s">
        <v>523</v>
      </c>
      <c r="B11" s="55" t="s">
        <v>971</v>
      </c>
      <c r="C11" s="54" t="s">
        <v>922</v>
      </c>
      <c r="D11" s="24" t="s">
        <v>44</v>
      </c>
      <c r="E11" s="9">
        <v>879.97</v>
      </c>
      <c r="F11" s="9" t="s">
        <v>597</v>
      </c>
      <c r="G11" s="9">
        <v>10</v>
      </c>
      <c r="H11" s="20">
        <f>IF(SUMIFS(Negociados!C:C,Negociados!B:B,E11,Negociados!A:A,A10,Negociados!D:D,"&lt;="&amp;$E$1,Negociados!E:E,"&gt;="&amp;$E$1),SUMIFS(Negociados!C:C,Negociados!B:B,E11,Negociados!A:A,A10,Negociados!D:D,"&lt;="&amp;$E$1,Negociados!E:E,"&gt;="&amp;$E$1),19%)</f>
        <v>0.19</v>
      </c>
    </row>
    <row r="12" spans="1:8" x14ac:dyDescent="0.35">
      <c r="A12" s="54" t="s">
        <v>604</v>
      </c>
      <c r="B12" s="55" t="s">
        <v>972</v>
      </c>
      <c r="C12" s="56" t="s">
        <v>923</v>
      </c>
      <c r="D12" s="24" t="s">
        <v>44</v>
      </c>
      <c r="E12" s="9">
        <v>1019.99</v>
      </c>
      <c r="F12" s="9" t="s">
        <v>597</v>
      </c>
      <c r="G12" s="9">
        <v>7</v>
      </c>
      <c r="H12" s="20">
        <f>IF(SUMIFS(Negociados!C:C,Negociados!B:B,E12,Negociados!A:A,A11,Negociados!D:D,"&lt;="&amp;$E$1,Negociados!E:E,"&gt;="&amp;$E$1),SUMIFS(Negociados!C:C,Negociados!B:B,E12,Negociados!A:A,A11,Negociados!D:D,"&lt;="&amp;$E$1,Negociados!E:E,"&gt;="&amp;$E$1),19%)</f>
        <v>0.19</v>
      </c>
    </row>
    <row r="13" spans="1:8" x14ac:dyDescent="0.35">
      <c r="A13" s="54" t="s">
        <v>617</v>
      </c>
      <c r="B13" s="55" t="s">
        <v>973</v>
      </c>
      <c r="C13" s="56" t="s">
        <v>990</v>
      </c>
      <c r="D13" s="24" t="s">
        <v>44</v>
      </c>
      <c r="E13" s="9">
        <v>899.97</v>
      </c>
      <c r="F13" s="9" t="s">
        <v>597</v>
      </c>
      <c r="G13" s="9">
        <v>7</v>
      </c>
      <c r="H13" s="20">
        <f>IF(SUMIFS(Negociados!C:C,Negociados!B:B,E13,Negociados!A:A,A12,Negociados!D:D,"&lt;="&amp;$E$1,Negociados!E:E,"&gt;="&amp;$E$1),SUMIFS(Negociados!C:C,Negociados!B:B,E13,Negociados!A:A,A12,Negociados!D:D,"&lt;="&amp;$E$1,Negociados!E:E,"&gt;="&amp;$E$1),19%)</f>
        <v>0.19</v>
      </c>
    </row>
    <row r="14" spans="1:8" x14ac:dyDescent="0.35">
      <c r="A14" s="54" t="s">
        <v>33</v>
      </c>
      <c r="B14" s="55" t="s">
        <v>320</v>
      </c>
      <c r="C14" s="54" t="s">
        <v>34</v>
      </c>
      <c r="D14" s="24" t="s">
        <v>44</v>
      </c>
      <c r="E14" s="9">
        <v>1439.97</v>
      </c>
      <c r="F14" s="9" t="s">
        <v>597</v>
      </c>
      <c r="G14" s="9">
        <v>7</v>
      </c>
      <c r="H14" s="20">
        <f>IF(SUMIFS(Negociados!C:C,Negociados!B:B,E14,Negociados!A:A,A13,Negociados!D:D,"&lt;="&amp;$E$1,Negociados!E:E,"&gt;="&amp;$E$1),SUMIFS(Negociados!C:C,Negociados!B:B,E14,Negociados!A:A,A13,Negociados!D:D,"&lt;="&amp;$E$1,Negociados!E:E,"&gt;="&amp;$E$1),19%)</f>
        <v>0.19</v>
      </c>
    </row>
    <row r="15" spans="1:8" x14ac:dyDescent="0.35">
      <c r="A15" s="54" t="s">
        <v>48</v>
      </c>
      <c r="B15" s="55" t="s">
        <v>541</v>
      </c>
      <c r="C15" s="56" t="s">
        <v>422</v>
      </c>
      <c r="D15" s="24" t="s">
        <v>44</v>
      </c>
      <c r="E15" s="9">
        <v>1439.97</v>
      </c>
      <c r="F15" s="9" t="s">
        <v>597</v>
      </c>
      <c r="G15" s="9">
        <v>7</v>
      </c>
      <c r="H15" s="20">
        <f>IF(SUMIFS(Negociados!C:C,Negociados!B:B,E15,Negociados!A:A,A14,Negociados!D:D,"&lt;="&amp;$E$1,Negociados!E:E,"&gt;="&amp;$E$1),SUMIFS(Negociados!C:C,Negociados!B:B,E15,Negociados!A:A,A14,Negociados!D:D,"&lt;="&amp;$E$1,Negociados!E:E,"&gt;="&amp;$E$1),19%)</f>
        <v>0.19</v>
      </c>
    </row>
    <row r="16" spans="1:8" x14ac:dyDescent="0.35">
      <c r="A16" s="54" t="s">
        <v>268</v>
      </c>
      <c r="B16" s="55" t="s">
        <v>323</v>
      </c>
      <c r="C16" s="54" t="s">
        <v>991</v>
      </c>
      <c r="D16" s="24" t="s">
        <v>44</v>
      </c>
      <c r="E16" s="9">
        <v>1439.97</v>
      </c>
      <c r="F16" s="9" t="s">
        <v>597</v>
      </c>
      <c r="G16" s="9">
        <v>7</v>
      </c>
      <c r="H16" s="20">
        <f>IF(SUMIFS(Negociados!C:C,Negociados!B:B,E16,Negociados!A:A,A15,Negociados!D:D,"&lt;="&amp;$E$1,Negociados!E:E,"&gt;="&amp;$E$1),SUMIFS(Negociados!C:C,Negociados!B:B,E16,Negociados!A:A,A15,Negociados!D:D,"&lt;="&amp;$E$1,Negociados!E:E,"&gt;="&amp;$E$1),19%)</f>
        <v>0.19</v>
      </c>
    </row>
    <row r="17" spans="1:8" x14ac:dyDescent="0.35">
      <c r="A17" s="54" t="s">
        <v>407</v>
      </c>
      <c r="B17" s="55" t="s">
        <v>542</v>
      </c>
      <c r="C17" s="56" t="s">
        <v>423</v>
      </c>
      <c r="D17" s="24" t="s">
        <v>44</v>
      </c>
      <c r="E17" s="9">
        <v>1999.99</v>
      </c>
      <c r="F17" s="9" t="s">
        <v>597</v>
      </c>
      <c r="G17" s="9">
        <v>7</v>
      </c>
      <c r="H17" s="20">
        <f>IF(SUMIFS(Negociados!C:C,Negociados!B:B,E17,Negociados!A:A,A16,Negociados!D:D,"&lt;="&amp;$E$1,Negociados!E:E,"&gt;="&amp;$E$1),SUMIFS(Negociados!C:C,Negociados!B:B,E17,Negociados!A:A,A16,Negociados!D:D,"&lt;="&amp;$E$1,Negociados!E:E,"&gt;="&amp;$E$1),19%)</f>
        <v>0.19</v>
      </c>
    </row>
    <row r="18" spans="1:8" x14ac:dyDescent="0.35">
      <c r="A18" s="54" t="s">
        <v>276</v>
      </c>
      <c r="B18" s="55" t="s">
        <v>329</v>
      </c>
      <c r="C18" s="56" t="s">
        <v>277</v>
      </c>
      <c r="D18" s="24" t="s">
        <v>44</v>
      </c>
      <c r="E18" s="9">
        <v>1889.97</v>
      </c>
      <c r="F18" s="9" t="s">
        <v>597</v>
      </c>
      <c r="G18" s="9">
        <v>7</v>
      </c>
      <c r="H18" s="20">
        <f>IF(SUMIFS(Negociados!C:C,Negociados!B:B,E18,Negociados!A:A,A17,Negociados!D:D,"&lt;="&amp;$E$1,Negociados!E:E,"&gt;="&amp;$E$1),SUMIFS(Negociados!C:C,Negociados!B:B,E18,Negociados!A:A,A17,Negociados!D:D,"&lt;="&amp;$E$1,Negociados!E:E,"&gt;="&amp;$E$1),19%)</f>
        <v>0.19</v>
      </c>
    </row>
    <row r="19" spans="1:8" x14ac:dyDescent="0.35">
      <c r="A19" s="54" t="s">
        <v>51</v>
      </c>
      <c r="B19" s="55" t="s">
        <v>319</v>
      </c>
      <c r="C19" s="54" t="s">
        <v>992</v>
      </c>
      <c r="D19" s="24" t="s">
        <v>44</v>
      </c>
      <c r="E19" s="9">
        <v>1689.97</v>
      </c>
      <c r="F19" s="9" t="s">
        <v>597</v>
      </c>
      <c r="G19" s="9">
        <v>10</v>
      </c>
      <c r="H19" s="20">
        <f>IF(SUMIFS(Negociados!C:C,Negociados!B:B,E19,Negociados!A:A,A18,Negociados!D:D,"&lt;="&amp;$E$1,Negociados!E:E,"&gt;="&amp;$E$1),SUMIFS(Negociados!C:C,Negociados!B:B,E19,Negociados!A:A,A18,Negociados!D:D,"&lt;="&amp;$E$1,Negociados!E:E,"&gt;="&amp;$E$1),19%)</f>
        <v>0.19</v>
      </c>
    </row>
    <row r="20" spans="1:8" x14ac:dyDescent="0.35">
      <c r="A20" s="54" t="s">
        <v>406</v>
      </c>
      <c r="B20" s="55" t="s">
        <v>540</v>
      </c>
      <c r="C20" s="54" t="s">
        <v>993</v>
      </c>
      <c r="D20" s="24" t="s">
        <v>44</v>
      </c>
      <c r="E20" s="9">
        <v>1979.97</v>
      </c>
      <c r="F20" s="9" t="s">
        <v>597</v>
      </c>
      <c r="G20" s="9">
        <v>7</v>
      </c>
      <c r="H20" s="20">
        <f>IF(SUMIFS(Negociados!C:C,Negociados!B:B,E20,Negociados!A:A,A19,Negociados!D:D,"&lt;="&amp;$E$1,Negociados!E:E,"&gt;="&amp;$E$1),SUMIFS(Negociados!C:C,Negociados!B:B,E20,Negociados!A:A,A19,Negociados!D:D,"&lt;="&amp;$E$1,Negociados!E:E,"&gt;="&amp;$E$1),19%)</f>
        <v>0.19</v>
      </c>
    </row>
    <row r="21" spans="1:8" x14ac:dyDescent="0.35">
      <c r="A21" s="54" t="s">
        <v>46</v>
      </c>
      <c r="B21" s="55" t="s">
        <v>322</v>
      </c>
      <c r="C21" s="54" t="s">
        <v>994</v>
      </c>
      <c r="D21" s="24" t="s">
        <v>44</v>
      </c>
      <c r="E21" s="9">
        <v>2249.9699999999998</v>
      </c>
      <c r="F21" s="9" t="s">
        <v>597</v>
      </c>
      <c r="G21" s="9">
        <v>7</v>
      </c>
      <c r="H21" s="20">
        <f>IF(SUMIFS(Negociados!C:C,Negociados!B:B,E21,Negociados!A:A,A20,Negociados!D:D,"&lt;="&amp;$E$1,Negociados!E:E,"&gt;="&amp;$E$1),SUMIFS(Negociados!C:C,Negociados!B:B,E21,Negociados!A:A,A20,Negociados!D:D,"&lt;="&amp;$E$1,Negociados!E:E,"&gt;="&amp;$E$1),19%)</f>
        <v>0.19</v>
      </c>
    </row>
    <row r="22" spans="1:8" x14ac:dyDescent="0.35">
      <c r="A22" s="54" t="s">
        <v>47</v>
      </c>
      <c r="B22" s="55" t="s">
        <v>535</v>
      </c>
      <c r="C22" s="54" t="s">
        <v>995</v>
      </c>
      <c r="D22" s="24" t="s">
        <v>44</v>
      </c>
      <c r="E22" s="9">
        <v>879.97</v>
      </c>
      <c r="F22" s="9" t="s">
        <v>597</v>
      </c>
      <c r="G22" s="9">
        <v>10</v>
      </c>
      <c r="H22" s="20">
        <f>IF(SUMIFS(Negociados!C:C,Negociados!B:B,E22,Negociados!A:A,A21,Negociados!D:D,"&lt;="&amp;$E$1,Negociados!E:E,"&gt;="&amp;$E$1),SUMIFS(Negociados!C:C,Negociados!B:B,E22,Negociados!A:A,A21,Negociados!D:D,"&lt;="&amp;$E$1,Negociados!E:E,"&gt;="&amp;$E$1),19%)</f>
        <v>0.19</v>
      </c>
    </row>
    <row r="23" spans="1:8" x14ac:dyDescent="0.35">
      <c r="A23" s="54" t="s">
        <v>54</v>
      </c>
      <c r="B23" s="55" t="s">
        <v>537</v>
      </c>
      <c r="C23" s="56" t="s">
        <v>124</v>
      </c>
      <c r="D23" s="24" t="s">
        <v>44</v>
      </c>
      <c r="E23" s="9">
        <v>449.97</v>
      </c>
      <c r="F23" s="9">
        <v>39.9</v>
      </c>
      <c r="G23" s="9">
        <v>7</v>
      </c>
      <c r="H23" s="20">
        <f>IF(SUMIFS(Negociados!C:C,Negociados!B:B,E23,Negociados!A:A,A22,Negociados!D:D,"&lt;="&amp;$E$1,Negociados!E:E,"&gt;="&amp;$E$1),SUMIFS(Negociados!C:C,Negociados!B:B,E23,Negociados!A:A,A22,Negociados!D:D,"&lt;="&amp;$E$1,Negociados!E:E,"&gt;="&amp;$E$1),19%)</f>
        <v>0.19</v>
      </c>
    </row>
    <row r="24" spans="1:8" x14ac:dyDescent="0.35">
      <c r="A24" s="54" t="s">
        <v>25</v>
      </c>
      <c r="B24" s="55" t="s">
        <v>539</v>
      </c>
      <c r="C24" s="56" t="s">
        <v>26</v>
      </c>
      <c r="D24" s="24" t="s">
        <v>44</v>
      </c>
      <c r="E24" s="9">
        <v>566.99</v>
      </c>
      <c r="F24" s="9">
        <v>39.9</v>
      </c>
      <c r="G24" s="9">
        <v>7</v>
      </c>
      <c r="H24" s="20">
        <f>IF(SUMIFS(Negociados!C:C,Negociados!B:B,E24,Negociados!A:A,A23,Negociados!D:D,"&lt;="&amp;$E$1,Negociados!E:E,"&gt;="&amp;$E$1),SUMIFS(Negociados!C:C,Negociados!B:B,E24,Negociados!A:A,A23,Negociados!D:D,"&lt;="&amp;$E$1,Negociados!E:E,"&gt;="&amp;$E$1),19%)</f>
        <v>0.19</v>
      </c>
    </row>
    <row r="25" spans="1:8" x14ac:dyDescent="0.35">
      <c r="A25" s="54" t="s">
        <v>27</v>
      </c>
      <c r="B25" s="55" t="s">
        <v>538</v>
      </c>
      <c r="C25" s="56" t="s">
        <v>28</v>
      </c>
      <c r="D25" s="24" t="s">
        <v>44</v>
      </c>
      <c r="E25" s="9">
        <v>519.97</v>
      </c>
      <c r="F25" s="9">
        <v>39.9</v>
      </c>
      <c r="G25" s="9">
        <v>7</v>
      </c>
      <c r="H25" s="20">
        <f>IF(SUMIFS(Negociados!C:C,Negociados!B:B,E25,Negociados!A:A,A24,Negociados!D:D,"&lt;="&amp;$E$1,Negociados!E:E,"&gt;="&amp;$E$1),SUMIFS(Negociados!C:C,Negociados!B:B,E25,Negociados!A:A,A24,Negociados!D:D,"&lt;="&amp;$E$1,Negociados!E:E,"&gt;="&amp;$E$1),19%)</f>
        <v>0.19</v>
      </c>
    </row>
    <row r="26" spans="1:8" x14ac:dyDescent="0.35">
      <c r="A26" s="54" t="s">
        <v>75</v>
      </c>
      <c r="B26" s="55" t="s">
        <v>321</v>
      </c>
      <c r="C26" s="56" t="s">
        <v>410</v>
      </c>
      <c r="D26" s="24" t="s">
        <v>44</v>
      </c>
      <c r="E26" s="9">
        <v>659.97</v>
      </c>
      <c r="F26" s="9">
        <v>49.9</v>
      </c>
      <c r="G26" s="9">
        <v>7</v>
      </c>
      <c r="H26" s="20">
        <f>IF(SUMIFS(Negociados!C:C,Negociados!B:B,E26,Negociados!A:A,A25,Negociados!D:D,"&lt;="&amp;$E$1,Negociados!E:E,"&gt;="&amp;$E$1),SUMIFS(Negociados!C:C,Negociados!B:B,E26,Negociados!A:A,A25,Negociados!D:D,"&lt;="&amp;$E$1,Negociados!E:E,"&gt;="&amp;$E$1),19%)</f>
        <v>0.19</v>
      </c>
    </row>
    <row r="27" spans="1:8" x14ac:dyDescent="0.35">
      <c r="A27" s="54" t="s">
        <v>45</v>
      </c>
      <c r="B27" s="55" t="s">
        <v>536</v>
      </c>
      <c r="C27" s="54" t="s">
        <v>996</v>
      </c>
      <c r="D27" s="24" t="s">
        <v>44</v>
      </c>
      <c r="E27" s="9">
        <v>539.97</v>
      </c>
      <c r="F27" s="9">
        <v>49.9</v>
      </c>
      <c r="G27" s="9">
        <v>7</v>
      </c>
      <c r="H27" s="20">
        <f>IF(SUMIFS(Negociados!C:C,Negociados!B:B,E27,Negociados!A:A,A26,Negociados!D:D,"&lt;="&amp;$E$1,Negociados!E:E,"&gt;="&amp;$E$1),SUMIFS(Negociados!C:C,Negociados!B:B,E27,Negociados!A:A,A26,Negociados!D:D,"&lt;="&amp;$E$1,Negociados!E:E,"&gt;="&amp;$E$1),19%)</f>
        <v>0.19</v>
      </c>
    </row>
    <row r="28" spans="1:8" x14ac:dyDescent="0.35">
      <c r="A28" s="54" t="s">
        <v>23</v>
      </c>
      <c r="B28" s="55" t="s">
        <v>317</v>
      </c>
      <c r="C28" s="54" t="s">
        <v>942</v>
      </c>
      <c r="D28" s="24" t="s">
        <v>44</v>
      </c>
      <c r="E28" s="9" t="s">
        <v>600</v>
      </c>
      <c r="F28" s="9" t="s">
        <v>600</v>
      </c>
      <c r="G28" s="9" t="s">
        <v>600</v>
      </c>
      <c r="H28" s="20">
        <f>IF(SUMIFS(Negociados!C:C,Negociados!B:B,E28,Negociados!A:A,A27,Negociados!D:D,"&lt;="&amp;$E$1,Negociados!E:E,"&gt;="&amp;$E$1),SUMIFS(Negociados!C:C,Negociados!B:B,E28,Negociados!A:A,A27,Negociados!D:D,"&lt;="&amp;$E$1,Negociados!E:E,"&gt;="&amp;$E$1),19%)</f>
        <v>0.19</v>
      </c>
    </row>
    <row r="29" spans="1:8" x14ac:dyDescent="0.35">
      <c r="A29" s="54" t="s">
        <v>12</v>
      </c>
      <c r="B29" s="55" t="s">
        <v>326</v>
      </c>
      <c r="C29" s="54" t="s">
        <v>928</v>
      </c>
      <c r="D29" s="24" t="s">
        <v>44</v>
      </c>
      <c r="E29" s="9">
        <v>1889.97</v>
      </c>
      <c r="F29" s="9" t="s">
        <v>597</v>
      </c>
      <c r="G29" s="9">
        <v>10</v>
      </c>
      <c r="H29" s="20">
        <f>IF(SUMIFS(Negociados!C:C,Negociados!B:B,E29,Negociados!A:A,A28,Negociados!D:D,"&lt;="&amp;$E$1,Negociados!E:E,"&gt;="&amp;$E$1),SUMIFS(Negociados!C:C,Negociados!B:B,E29,Negociados!A:A,A28,Negociados!D:D,"&lt;="&amp;$E$1,Negociados!E:E,"&gt;="&amp;$E$1),19%)</f>
        <v>0.19</v>
      </c>
    </row>
    <row r="30" spans="1:8" x14ac:dyDescent="0.35">
      <c r="A30" s="54" t="s">
        <v>14</v>
      </c>
      <c r="B30" s="55" t="s">
        <v>330</v>
      </c>
      <c r="C30" s="54" t="s">
        <v>997</v>
      </c>
      <c r="D30" s="24" t="s">
        <v>44</v>
      </c>
      <c r="E30" s="9">
        <v>1049.97</v>
      </c>
      <c r="F30" s="9" t="s">
        <v>597</v>
      </c>
      <c r="G30" s="9">
        <v>7</v>
      </c>
      <c r="H30" s="20">
        <f>IF(SUMIFS(Negociados!C:C,Negociados!B:B,E30,Negociados!A:A,A29,Negociados!D:D,"&lt;="&amp;$E$1,Negociados!E:E,"&gt;="&amp;$E$1),SUMIFS(Negociados!C:C,Negociados!B:B,E30,Negociados!A:A,A29,Negociados!D:D,"&lt;="&amp;$E$1,Negociados!E:E,"&gt;="&amp;$E$1),19%)</f>
        <v>0.19</v>
      </c>
    </row>
    <row r="31" spans="1:8" x14ac:dyDescent="0.35">
      <c r="A31" s="54" t="s">
        <v>35</v>
      </c>
      <c r="B31" s="55" t="s">
        <v>331</v>
      </c>
      <c r="C31" s="56" t="s">
        <v>36</v>
      </c>
      <c r="D31" s="24" t="s">
        <v>44</v>
      </c>
      <c r="E31" s="9">
        <v>1889.97</v>
      </c>
      <c r="F31" s="9" t="s">
        <v>597</v>
      </c>
      <c r="G31" s="9">
        <v>7</v>
      </c>
      <c r="H31" s="20">
        <f>IF(SUMIFS(Negociados!C:C,Negociados!B:B,E31,Negociados!A:A,A30,Negociados!D:D,"&lt;="&amp;$E$1,Negociados!E:E,"&gt;="&amp;$E$1),SUMIFS(Negociados!C:C,Negociados!B:B,E31,Negociados!A:A,A30,Negociados!D:D,"&lt;="&amp;$E$1,Negociados!E:E,"&gt;="&amp;$E$1),19%)</f>
        <v>0.19</v>
      </c>
    </row>
    <row r="32" spans="1:8" x14ac:dyDescent="0.35">
      <c r="A32" s="54" t="s">
        <v>37</v>
      </c>
      <c r="B32" s="55" t="s">
        <v>318</v>
      </c>
      <c r="C32" s="54" t="s">
        <v>949</v>
      </c>
      <c r="D32" s="24" t="s">
        <v>44</v>
      </c>
      <c r="E32" s="9"/>
      <c r="F32" s="9"/>
      <c r="G32" s="9"/>
      <c r="H32" s="20">
        <f>IF(SUMIFS(Negociados!C:C,Negociados!B:B,E32,Negociados!A:A,A31,Negociados!D:D,"&lt;="&amp;$E$1,Negociados!E:E,"&gt;="&amp;$E$1),SUMIFS(Negociados!C:C,Negociados!B:B,E32,Negociados!A:A,A31,Negociados!D:D,"&lt;="&amp;$E$1,Negociados!E:E,"&gt;="&amp;$E$1),19%)</f>
        <v>0.19</v>
      </c>
    </row>
    <row r="33" spans="1:8" x14ac:dyDescent="0.35">
      <c r="A33" s="54" t="s">
        <v>327</v>
      </c>
      <c r="B33" s="55" t="s">
        <v>328</v>
      </c>
      <c r="C33" s="56" t="s">
        <v>420</v>
      </c>
      <c r="D33" s="24" t="s">
        <v>44</v>
      </c>
      <c r="E33" s="9"/>
      <c r="F33" s="9"/>
      <c r="G33" s="9"/>
      <c r="H33" s="20">
        <f>IF(SUMIFS(Negociados!C:C,Negociados!B:B,E33,Negociados!A:A,A32,Negociados!D:D,"&lt;="&amp;$E$1,Negociados!E:E,"&gt;="&amp;$E$1),SUMIFS(Negociados!C:C,Negociados!B:B,E33,Negociados!A:A,A32,Negociados!D:D,"&lt;="&amp;$E$1,Negociados!E:E,"&gt;="&amp;$E$1),19%)</f>
        <v>0.19</v>
      </c>
    </row>
    <row r="34" spans="1:8" x14ac:dyDescent="0.35">
      <c r="A34" s="54" t="s">
        <v>50</v>
      </c>
      <c r="B34" s="55" t="s">
        <v>325</v>
      </c>
      <c r="C34" s="54" t="s">
        <v>998</v>
      </c>
      <c r="D34" s="24" t="s">
        <v>44</v>
      </c>
      <c r="E34" s="9"/>
      <c r="F34" s="9"/>
      <c r="G34" s="9"/>
      <c r="H34" s="20">
        <f>IF(SUMIFS(Negociados!C:C,Negociados!B:B,E34,Negociados!A:A,A33,Negociados!D:D,"&lt;="&amp;$E$1,Negociados!E:E,"&gt;="&amp;$E$1),SUMIFS(Negociados!C:C,Negociados!B:B,E34,Negociados!A:A,A33,Negociados!D:D,"&lt;="&amp;$E$1,Negociados!E:E,"&gt;="&amp;$E$1),19%)</f>
        <v>0.19</v>
      </c>
    </row>
    <row r="35" spans="1:8" x14ac:dyDescent="0.35">
      <c r="A35" s="54" t="s">
        <v>30</v>
      </c>
      <c r="B35" s="55" t="s">
        <v>324</v>
      </c>
      <c r="C35" s="54" t="s">
        <v>999</v>
      </c>
      <c r="D35" s="24" t="s">
        <v>44</v>
      </c>
      <c r="E35" s="9"/>
      <c r="F35" s="9"/>
      <c r="G35" s="9"/>
      <c r="H35" s="20">
        <f>IF(SUMIFS(Negociados!C:C,Negociados!B:B,E35,Negociados!A:A,A34,Negociados!D:D,"&lt;="&amp;$E$1,Negociados!E:E,"&gt;="&amp;$E$1),SUMIFS(Negociados!C:C,Negociados!B:B,E35,Negociados!A:A,A34,Negociados!D:D,"&lt;="&amp;$E$1,Negociados!E:E,"&gt;="&amp;$E$1),19%)</f>
        <v>0.19</v>
      </c>
    </row>
    <row r="36" spans="1:8" x14ac:dyDescent="0.35">
      <c r="A36" s="54" t="s">
        <v>49</v>
      </c>
      <c r="B36" s="55" t="s">
        <v>974</v>
      </c>
      <c r="C36" s="56" t="s">
        <v>421</v>
      </c>
      <c r="D36" s="24" t="s">
        <v>44</v>
      </c>
      <c r="E36" s="9"/>
      <c r="F36" s="9"/>
      <c r="G36" s="9"/>
      <c r="H36" s="20">
        <f>IF(SUMIFS(Negociados!C:C,Negociados!B:B,E36,Negociados!A:A,A35,Negociados!D:D,"&lt;="&amp;$E$1,Negociados!E:E,"&gt;="&amp;$E$1),SUMIFS(Negociados!C:C,Negociados!B:B,E36,Negociados!A:A,A35,Negociados!D:D,"&lt;="&amp;$E$1,Negociados!E:E,"&gt;="&amp;$E$1),19%)</f>
        <v>0.19</v>
      </c>
    </row>
    <row r="37" spans="1:8" x14ac:dyDescent="0.35">
      <c r="A37" s="54" t="s">
        <v>476</v>
      </c>
      <c r="B37" s="55" t="s">
        <v>975</v>
      </c>
      <c r="C37" s="56" t="s">
        <v>1000</v>
      </c>
      <c r="D37" s="24" t="s">
        <v>44</v>
      </c>
      <c r="E37" s="9"/>
      <c r="F37" s="9"/>
      <c r="G37" s="9"/>
      <c r="H37" s="20">
        <f>IF(SUMIFS(Negociados!C:C,Negociados!B:B,E37,Negociados!A:A,A36,Negociados!D:D,"&lt;="&amp;$E$1,Negociados!E:E,"&gt;="&amp;$E$1),SUMIFS(Negociados!C:C,Negociados!B:B,E37,Negociados!A:A,A36,Negociados!D:D,"&lt;="&amp;$E$1,Negociados!E:E,"&gt;="&amp;$E$1),19%)</f>
        <v>0.19</v>
      </c>
    </row>
    <row r="38" spans="1:8" x14ac:dyDescent="0.35">
      <c r="A38" s="54" t="s">
        <v>618</v>
      </c>
      <c r="B38" s="55" t="s">
        <v>976</v>
      </c>
      <c r="C38" s="56" t="s">
        <v>1001</v>
      </c>
      <c r="D38" s="24" t="s">
        <v>44</v>
      </c>
      <c r="E38" s="9"/>
      <c r="F38" s="9"/>
      <c r="G38" s="9"/>
      <c r="H38" s="20">
        <f>IF(SUMIFS(Negociados!C:C,Negociados!B:B,E38,Negociados!A:A,A37,Negociados!D:D,"&lt;="&amp;$E$1,Negociados!E:E,"&gt;="&amp;$E$1),SUMIFS(Negociados!C:C,Negociados!B:B,E38,Negociados!A:A,A37,Negociados!D:D,"&lt;="&amp;$E$1,Negociados!E:E,"&gt;="&amp;$E$1),19%)</f>
        <v>0.19</v>
      </c>
    </row>
    <row r="39" spans="1:8" x14ac:dyDescent="0.35">
      <c r="A39" s="54" t="s">
        <v>619</v>
      </c>
      <c r="B39" s="55" t="s">
        <v>977</v>
      </c>
      <c r="C39" s="56" t="s">
        <v>1002</v>
      </c>
      <c r="D39" s="24" t="s">
        <v>44</v>
      </c>
      <c r="E39" s="9"/>
      <c r="F39" s="9"/>
      <c r="G39" s="9"/>
      <c r="H39" s="20">
        <f>IF(SUMIFS(Negociados!C:C,Negociados!B:B,E39,Negociados!A:A,A38,Negociados!D:D,"&lt;="&amp;$E$1,Negociados!E:E,"&gt;="&amp;$E$1),SUMIFS(Negociados!C:C,Negociados!B:B,E39,Negociados!A:A,A38,Negociados!D:D,"&lt;="&amp;$E$1,Negociados!E:E,"&gt;="&amp;$E$1),19%)</f>
        <v>0.19</v>
      </c>
    </row>
    <row r="40" spans="1:8" x14ac:dyDescent="0.35">
      <c r="A40" s="54" t="s">
        <v>620</v>
      </c>
      <c r="B40" s="55" t="s">
        <v>978</v>
      </c>
      <c r="C40" s="56" t="s">
        <v>1003</v>
      </c>
      <c r="D40" s="24" t="s">
        <v>44</v>
      </c>
      <c r="E40" s="9"/>
      <c r="F40" s="9"/>
      <c r="G40" s="9"/>
      <c r="H40" s="20">
        <f>IF(SUMIFS(Negociados!C:C,Negociados!B:B,E40,Negociados!A:A,A39,Negociados!D:D,"&lt;="&amp;$E$1,Negociados!E:E,"&gt;="&amp;$E$1),SUMIFS(Negociados!C:C,Negociados!B:B,E40,Negociados!A:A,A39,Negociados!D:D,"&lt;="&amp;$E$1,Negociados!E:E,"&gt;="&amp;$E$1),19%)</f>
        <v>0.19</v>
      </c>
    </row>
    <row r="41" spans="1:8" x14ac:dyDescent="0.35">
      <c r="A41" s="54" t="s">
        <v>621</v>
      </c>
      <c r="B41" s="55" t="s">
        <v>979</v>
      </c>
      <c r="C41" s="56" t="s">
        <v>1004</v>
      </c>
      <c r="D41" s="24" t="s">
        <v>44</v>
      </c>
      <c r="E41" s="9"/>
      <c r="F41" s="9"/>
      <c r="G41" s="9"/>
      <c r="H41" s="20">
        <f>IF(SUMIFS(Negociados!C:C,Negociados!B:B,E41,Negociados!A:A,A40,Negociados!D:D,"&lt;="&amp;$E$1,Negociados!E:E,"&gt;="&amp;$E$1),SUMIFS(Negociados!C:C,Negociados!B:B,E41,Negociados!A:A,A40,Negociados!D:D,"&lt;="&amp;$E$1,Negociados!E:E,"&gt;="&amp;$E$1),19%)</f>
        <v>0.19</v>
      </c>
    </row>
    <row r="42" spans="1:8" x14ac:dyDescent="0.35">
      <c r="A42" s="54" t="s">
        <v>622</v>
      </c>
      <c r="B42" s="55" t="s">
        <v>980</v>
      </c>
      <c r="C42" s="56" t="s">
        <v>1005</v>
      </c>
      <c r="D42" s="24" t="s">
        <v>44</v>
      </c>
      <c r="E42" s="9"/>
      <c r="F42" s="9"/>
      <c r="G42" s="9"/>
      <c r="H42" s="20">
        <f>IF(SUMIFS(Negociados!C:C,Negociados!B:B,E42,Negociados!A:A,A41,Negociados!D:D,"&lt;="&amp;$E$1,Negociados!E:E,"&gt;="&amp;$E$1),SUMIFS(Negociados!C:C,Negociados!B:B,E42,Negociados!A:A,A41,Negociados!D:D,"&lt;="&amp;$E$1,Negociados!E:E,"&gt;="&amp;$E$1),19%)</f>
        <v>0.19</v>
      </c>
    </row>
    <row r="43" spans="1:8" x14ac:dyDescent="0.35">
      <c r="A43" s="54" t="s">
        <v>554</v>
      </c>
      <c r="B43" s="55" t="s">
        <v>981</v>
      </c>
      <c r="C43" s="56" t="s">
        <v>1006</v>
      </c>
      <c r="D43" s="24" t="s">
        <v>44</v>
      </c>
      <c r="E43" s="9"/>
      <c r="F43" s="9"/>
      <c r="G43" s="9"/>
      <c r="H43" s="20">
        <f>IF(SUMIFS(Negociados!C:C,Negociados!B:B,E43,Negociados!A:A,A42,Negociados!D:D,"&lt;="&amp;$E$1,Negociados!E:E,"&gt;="&amp;$E$1),SUMIFS(Negociados!C:C,Negociados!B:B,E43,Negociados!A:A,A42,Negociados!D:D,"&lt;="&amp;$E$1,Negociados!E:E,"&gt;="&amp;$E$1),19%)</f>
        <v>0.19</v>
      </c>
    </row>
    <row r="44" spans="1:8" x14ac:dyDescent="0.35">
      <c r="A44" s="54" t="s">
        <v>40</v>
      </c>
      <c r="B44" s="55" t="s">
        <v>982</v>
      </c>
      <c r="C44" s="56" t="s">
        <v>1007</v>
      </c>
      <c r="D44" s="24" t="s">
        <v>44</v>
      </c>
      <c r="E44" s="9"/>
      <c r="F44" s="9"/>
      <c r="G44" s="9"/>
      <c r="H44" s="20">
        <f>IF(SUMIFS(Negociados!C:C,Negociados!B:B,E44,Negociados!A:A,A43,Negociados!D:D,"&lt;="&amp;$E$1,Negociados!E:E,"&gt;="&amp;$E$1),SUMIFS(Negociados!C:C,Negociados!B:B,E44,Negociados!A:A,A43,Negociados!D:D,"&lt;="&amp;$E$1,Negociados!E:E,"&gt;="&amp;$E$1),19%)</f>
        <v>0.19</v>
      </c>
    </row>
    <row r="45" spans="1:8" x14ac:dyDescent="0.35">
      <c r="A45" s="54" t="s">
        <v>316</v>
      </c>
      <c r="B45" s="55" t="s">
        <v>983</v>
      </c>
      <c r="C45" s="56" t="s">
        <v>936</v>
      </c>
      <c r="D45" s="24" t="s">
        <v>44</v>
      </c>
      <c r="E45" s="9"/>
      <c r="F45" s="9"/>
      <c r="G45" s="9"/>
      <c r="H45" s="20">
        <f>IF(SUMIFS(Negociados!C:C,Negociados!B:B,E45,Negociados!A:A,A44,Negociados!D:D,"&lt;="&amp;$E$1,Negociados!E:E,"&gt;="&amp;$E$1),SUMIFS(Negociados!C:C,Negociados!B:B,E45,Negociados!A:A,A44,Negociados!D:D,"&lt;="&amp;$E$1,Negociados!E:E,"&gt;="&amp;$E$1),19%)</f>
        <v>0.19</v>
      </c>
    </row>
    <row r="46" spans="1:8" x14ac:dyDescent="0.35">
      <c r="E46" s="9"/>
      <c r="F46" s="9"/>
      <c r="G46" s="9"/>
      <c r="H46" s="20">
        <f>IF(SUMIFS(Negociados!C:C,Negociados!B:B,E46,Negociados!A:A,A45,Negociados!D:D,"&lt;="&amp;$E$1,Negociados!E:E,"&gt;="&amp;$E$1),SUMIFS(Negociados!C:C,Negociados!B:B,E46,Negociados!A:A,A45,Negociados!D:D,"&lt;="&amp;$E$1,Negociados!E:E,"&gt;="&amp;$E$1),19%)</f>
        <v>0.19</v>
      </c>
    </row>
  </sheetData>
  <mergeCells count="1">
    <mergeCell ref="E1:H1"/>
  </mergeCells>
  <conditionalFormatting sqref="A46:A1048576">
    <cfRule type="duplicateValues" dxfId="25" priority="6"/>
  </conditionalFormatting>
  <conditionalFormatting sqref="A1:B36">
    <cfRule type="duplicateValues" dxfId="24" priority="3"/>
  </conditionalFormatting>
  <conditionalFormatting sqref="A4:B45">
    <cfRule type="duplicateValues" dxfId="23" priority="4"/>
  </conditionalFormatting>
  <conditionalFormatting sqref="A18:B36">
    <cfRule type="duplicateValues" dxfId="22" priority="5"/>
  </conditionalFormatting>
  <conditionalFormatting sqref="A37:B45">
    <cfRule type="duplicateValues" dxfId="21" priority="1"/>
    <cfRule type="duplicateValues" dxfId="20" priority="2"/>
  </conditionalFormatting>
  <hyperlinks>
    <hyperlink ref="B4" r:id="rId1" xr:uid="{80B63256-6A7E-4D6A-8296-54C7734BA297}"/>
    <hyperlink ref="B5" r:id="rId2" xr:uid="{451D81EA-1965-466A-8B9A-077D9A89E4FD}"/>
    <hyperlink ref="B6" r:id="rId3" xr:uid="{8DC37A7F-F1BA-480C-9576-A32EC141F4D0}"/>
    <hyperlink ref="B7" r:id="rId4" xr:uid="{3E5EC815-A271-4E83-BFCF-A3E03B0A50B3}"/>
    <hyperlink ref="B2" r:id="rId5" xr:uid="{E5E9BF12-8020-469C-83DA-E07EA56DCE2E}"/>
    <hyperlink ref="B3" r:id="rId6" xr:uid="{55A97177-4EF6-4310-9AAA-9DD35C961FED}"/>
    <hyperlink ref="B8" r:id="rId7" xr:uid="{D2B9CAE8-57B7-41C3-93D1-289EC7D46012}"/>
    <hyperlink ref="B9" r:id="rId8" xr:uid="{4941D9D1-B4EA-4D84-A1A2-6210532BFEDA}"/>
    <hyperlink ref="B10" r:id="rId9" xr:uid="{CEDAE9E2-E6C5-4A36-8147-E657C3263789}"/>
    <hyperlink ref="B11" r:id="rId10" xr:uid="{14929BA8-36CA-4FB3-9D92-08427AB6D39B}"/>
    <hyperlink ref="B12" r:id="rId11" xr:uid="{D262BB25-9675-4B19-9DAB-9925C8CD272B}"/>
    <hyperlink ref="B13" r:id="rId12" xr:uid="{53179AA4-857B-4958-8439-66CD58CCE259}"/>
    <hyperlink ref="B14" r:id="rId13" xr:uid="{F783240E-AAA7-4C50-9494-F9DA1DFA1E42}"/>
    <hyperlink ref="B15" r:id="rId14" xr:uid="{41CB1ACC-7A46-4F0E-B31F-199BB9D59B4F}"/>
    <hyperlink ref="B16" r:id="rId15" xr:uid="{2A572BD8-2078-4E33-86B6-6E27DA19D3D1}"/>
    <hyperlink ref="B17" r:id="rId16" xr:uid="{421347E5-D213-4876-AAA2-0D24F3BCCD96}"/>
    <hyperlink ref="B18" r:id="rId17" xr:uid="{46E5B731-2844-45AF-B10B-F5721BF26B38}"/>
    <hyperlink ref="B19" r:id="rId18" xr:uid="{CA62161F-EA1B-4948-A7AF-9B44D3579D97}"/>
    <hyperlink ref="B20" r:id="rId19" xr:uid="{518BC6C5-8CC3-4056-9305-2CEA050550A8}"/>
    <hyperlink ref="B21" r:id="rId20" xr:uid="{9C22B714-4DC8-4C11-80E4-2D5DB2635E5B}"/>
    <hyperlink ref="B22" r:id="rId21" xr:uid="{DF6516D9-B719-44A1-919D-884D9E61C9F5}"/>
    <hyperlink ref="B23" r:id="rId22" xr:uid="{FF27D8D5-89EE-4074-9458-EF437960385A}"/>
    <hyperlink ref="B24" r:id="rId23" xr:uid="{05AFDD11-9132-4C62-90B6-568644628EF9}"/>
    <hyperlink ref="B25" r:id="rId24" xr:uid="{EDF5A7B2-EBA7-4C80-A751-EF877AC0FF2B}"/>
    <hyperlink ref="B26" r:id="rId25" xr:uid="{21A8CE78-3B63-4AD7-A466-5AD74F84505F}"/>
    <hyperlink ref="B27" r:id="rId26" xr:uid="{F3FA3035-2D1D-48CE-ACF5-22F527B35D70}"/>
    <hyperlink ref="B28" r:id="rId27" xr:uid="{6B8FE3EC-2D92-492D-BEBB-66F6E97B938F}"/>
    <hyperlink ref="B29" r:id="rId28" xr:uid="{4C3D8FB4-F1F9-4A46-92B1-86727EDF6AEB}"/>
    <hyperlink ref="B30" r:id="rId29" xr:uid="{AE93E980-7007-4BAA-8F21-B8E0839BC053}"/>
    <hyperlink ref="B31" r:id="rId30" xr:uid="{6B3AD19F-5630-4BFD-9870-D3C8709D86F6}"/>
    <hyperlink ref="B32" r:id="rId31" xr:uid="{ADC2E62C-0543-498C-95C6-3CCD90C8EBDB}"/>
    <hyperlink ref="B33" r:id="rId32" xr:uid="{465BB908-C66A-422F-AE6B-396A8E9CF2A1}"/>
    <hyperlink ref="B34" r:id="rId33" xr:uid="{F023803B-AB2B-421B-8385-50DE7DD87ADE}"/>
    <hyperlink ref="B35" r:id="rId34" xr:uid="{3620484A-2A62-4CAF-803C-596453788772}"/>
    <hyperlink ref="B36" r:id="rId35" xr:uid="{9BE97D78-4745-4AE9-96A0-E387A313C251}"/>
    <hyperlink ref="B37" r:id="rId36" xr:uid="{AAB496D0-569D-428B-A182-35B6D32388BA}"/>
    <hyperlink ref="B40" r:id="rId37" xr:uid="{9B013947-8CB4-46C1-840E-678DDCA5D459}"/>
    <hyperlink ref="B41" r:id="rId38" xr:uid="{5FE29CB6-DCFD-40D2-AB95-5DBA8AAF54BD}"/>
    <hyperlink ref="B42" r:id="rId39" xr:uid="{06DD640E-4805-4045-AF88-8813E9DCDA77}"/>
    <hyperlink ref="B43" r:id="rId40" xr:uid="{335E5ACD-5B65-4A92-B403-7F2C0EA936AB}"/>
    <hyperlink ref="B44" r:id="rId41" xr:uid="{A9CB0086-3407-4BD0-A06B-984E0D478E7B}"/>
    <hyperlink ref="B45" r:id="rId42" xr:uid="{04999B1A-A99E-4AB6-B78A-2119B70813FE}"/>
    <hyperlink ref="B39" r:id="rId43" xr:uid="{1FA5D176-0F3A-4847-AA1F-EED53B963558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0A01-53E6-4366-870C-7BFB7681CB15}">
  <dimension ref="A1:H42"/>
  <sheetViews>
    <sheetView workbookViewId="0">
      <selection activeCell="B6" sqref="B6"/>
    </sheetView>
  </sheetViews>
  <sheetFormatPr defaultRowHeight="14.5" x14ac:dyDescent="0.35"/>
  <cols>
    <col min="1" max="1" width="15.26953125" bestFit="1" customWidth="1"/>
    <col min="2" max="2" width="12.08984375" customWidth="1"/>
    <col min="3" max="3" width="81.7265625" bestFit="1" customWidth="1"/>
    <col min="4" max="4" width="14.36328125" bestFit="1" customWidth="1"/>
    <col min="5" max="5" width="6.81640625" bestFit="1" customWidth="1"/>
    <col min="6" max="6" width="5.81640625" bestFit="1" customWidth="1"/>
    <col min="7" max="7" width="6.54296875" bestFit="1" customWidth="1"/>
    <col min="8" max="8" width="8.81640625" bestFit="1" customWidth="1"/>
  </cols>
  <sheetData>
    <row r="1" spans="1:8" x14ac:dyDescent="0.35">
      <c r="A1" s="28"/>
      <c r="B1" s="28"/>
      <c r="C1" s="29"/>
      <c r="D1" s="28"/>
      <c r="E1" s="65">
        <v>45950</v>
      </c>
      <c r="F1" s="66"/>
      <c r="G1" s="66"/>
      <c r="H1" s="66"/>
    </row>
    <row r="2" spans="1:8" x14ac:dyDescent="0.35">
      <c r="A2" s="57" t="s">
        <v>893</v>
      </c>
      <c r="B2" s="57" t="s">
        <v>285</v>
      </c>
      <c r="C2" s="57" t="s">
        <v>409</v>
      </c>
      <c r="D2" s="30" t="s">
        <v>1048</v>
      </c>
      <c r="E2" s="28" t="s">
        <v>437</v>
      </c>
      <c r="F2" s="28" t="s">
        <v>438</v>
      </c>
      <c r="G2" s="28" t="s">
        <v>439</v>
      </c>
      <c r="H2" s="28" t="s">
        <v>512</v>
      </c>
    </row>
    <row r="3" spans="1:8" x14ac:dyDescent="0.35">
      <c r="A3" s="54" t="s">
        <v>100</v>
      </c>
      <c r="B3" s="55" t="s">
        <v>1008</v>
      </c>
      <c r="C3" s="56" t="s">
        <v>1049</v>
      </c>
      <c r="D3" s="24" t="s">
        <v>1050</v>
      </c>
      <c r="E3" s="9">
        <v>359.97</v>
      </c>
      <c r="F3" s="9">
        <v>39.9</v>
      </c>
      <c r="G3" s="9">
        <v>7</v>
      </c>
      <c r="H3" s="20">
        <f>IF(SUMIFS(Negociados!C:C,Negociados!B:B,E3,Negociados!A:A,A3,Negociados!D:D,"&lt;="&amp;$E$1,Negociados!E:E,"&gt;="&amp;$E$1),SUMIFS(Negociados!C:C,Negociados!B:B,E3,Negociados!A:A,A3,Negociados!D:D,"&lt;="&amp;$E$1,Negociados!E:E,"&gt;="&amp;$E$1),19%)</f>
        <v>0.19</v>
      </c>
    </row>
    <row r="4" spans="1:8" x14ac:dyDescent="0.35">
      <c r="A4" s="54" t="s">
        <v>626</v>
      </c>
      <c r="B4" s="55" t="s">
        <v>1009</v>
      </c>
      <c r="C4" s="56" t="s">
        <v>1051</v>
      </c>
      <c r="D4" s="24" t="s">
        <v>1050</v>
      </c>
      <c r="E4" s="9">
        <v>359.97</v>
      </c>
      <c r="F4" s="9">
        <v>39.9</v>
      </c>
      <c r="G4" s="9">
        <v>7</v>
      </c>
      <c r="H4" s="20">
        <f>IF(SUMIFS(Negociados!C:C,Negociados!B:B,E4,Negociados!A:A,A4,Negociados!D:D,"&lt;="&amp;$E$1,Negociados!E:E,"&gt;="&amp;$E$1),SUMIFS(Negociados!C:C,Negociados!B:B,E4,Negociados!A:A,A4,Negociados!D:D,"&lt;="&amp;$E$1,Negociados!E:E,"&gt;="&amp;$E$1),19%)</f>
        <v>0.19</v>
      </c>
    </row>
    <row r="5" spans="1:8" x14ac:dyDescent="0.35">
      <c r="A5" s="54" t="s">
        <v>30</v>
      </c>
      <c r="B5" s="55" t="s">
        <v>1010</v>
      </c>
      <c r="C5" s="56" t="s">
        <v>1052</v>
      </c>
      <c r="D5" s="24" t="s">
        <v>1050</v>
      </c>
      <c r="E5" s="9"/>
      <c r="F5" s="9"/>
      <c r="G5" s="9"/>
      <c r="H5" s="20">
        <f>IF(SUMIFS(Negociados!C:C,Negociados!B:B,E5,Negociados!A:A,A5,Negociados!D:D,"&lt;="&amp;$E$1,Negociados!E:E,"&gt;="&amp;$E$1),SUMIFS(Negociados!C:C,Negociados!B:B,E5,Negociados!A:A,A5,Negociados!D:D,"&lt;="&amp;$E$1,Negociados!E:E,"&gt;="&amp;$E$1),19%)</f>
        <v>0.19</v>
      </c>
    </row>
    <row r="6" spans="1:8" x14ac:dyDescent="0.35">
      <c r="A6" s="54" t="s">
        <v>627</v>
      </c>
      <c r="B6" s="55" t="s">
        <v>1011</v>
      </c>
      <c r="C6" s="56" t="s">
        <v>1053</v>
      </c>
      <c r="D6" s="24" t="s">
        <v>1050</v>
      </c>
      <c r="E6" s="9"/>
      <c r="F6" s="9"/>
      <c r="G6" s="9"/>
      <c r="H6" s="20">
        <f>IF(SUMIFS(Negociados!C:C,Negociados!B:B,E6,Negociados!A:A,A6,Negociados!D:D,"&lt;="&amp;$E$1,Negociados!E:E,"&gt;="&amp;$E$1),SUMIFS(Negociados!C:C,Negociados!B:B,E6,Negociados!A:A,A6,Negociados!D:D,"&lt;="&amp;$E$1,Negociados!E:E,"&gt;="&amp;$E$1),19%)</f>
        <v>0.19</v>
      </c>
    </row>
    <row r="7" spans="1:8" x14ac:dyDescent="0.35">
      <c r="A7" s="54" t="s">
        <v>8</v>
      </c>
      <c r="B7" s="55" t="s">
        <v>1012</v>
      </c>
      <c r="C7" s="56" t="s">
        <v>1054</v>
      </c>
      <c r="D7" s="24" t="s">
        <v>1050</v>
      </c>
      <c r="E7" s="9"/>
      <c r="F7" s="9"/>
      <c r="G7" s="9"/>
      <c r="H7" s="20">
        <f>IF(SUMIFS(Negociados!C:C,Negociados!B:B,E7,Negociados!A:A,A7,Negociados!D:D,"&lt;="&amp;$E$1,Negociados!E:E,"&gt;="&amp;$E$1),SUMIFS(Negociados!C:C,Negociados!B:B,E7,Negociados!A:A,A7,Negociados!D:D,"&lt;="&amp;$E$1,Negociados!E:E,"&gt;="&amp;$E$1),19%)</f>
        <v>0.19</v>
      </c>
    </row>
    <row r="8" spans="1:8" x14ac:dyDescent="0.35">
      <c r="A8" s="54" t="s">
        <v>550</v>
      </c>
      <c r="B8" s="55" t="s">
        <v>1013</v>
      </c>
      <c r="C8" s="56" t="s">
        <v>1055</v>
      </c>
      <c r="D8" s="24" t="s">
        <v>1050</v>
      </c>
      <c r="E8" s="9"/>
      <c r="F8" s="9"/>
      <c r="G8" s="9"/>
      <c r="H8" s="20">
        <f>IF(SUMIFS(Negociados!C:C,Negociados!B:B,E8,Negociados!A:A,A8,Negociados!D:D,"&lt;="&amp;$E$1,Negociados!E:E,"&gt;="&amp;$E$1),SUMIFS(Negociados!C:C,Negociados!B:B,E8,Negociados!A:A,A8,Negociados!D:D,"&lt;="&amp;$E$1,Negociados!E:E,"&gt;="&amp;$E$1),19%)</f>
        <v>0.19</v>
      </c>
    </row>
    <row r="9" spans="1:8" x14ac:dyDescent="0.35">
      <c r="A9" s="54" t="s">
        <v>602</v>
      </c>
      <c r="B9" s="55" t="s">
        <v>1014</v>
      </c>
      <c r="C9" s="56" t="s">
        <v>1056</v>
      </c>
      <c r="D9" s="24" t="s">
        <v>1050</v>
      </c>
      <c r="E9" s="9"/>
      <c r="F9" s="9"/>
      <c r="G9" s="9"/>
      <c r="H9" s="20">
        <f>IF(SUMIFS(Negociados!C:C,Negociados!B:B,E9,Negociados!A:A,A9,Negociados!D:D,"&lt;="&amp;$E$1,Negociados!E:E,"&gt;="&amp;$E$1),SUMIFS(Negociados!C:C,Negociados!B:B,E9,Negociados!A:A,A9,Negociados!D:D,"&lt;="&amp;$E$1,Negociados!E:E,"&gt;="&amp;$E$1),19%)</f>
        <v>0.19</v>
      </c>
    </row>
    <row r="10" spans="1:8" x14ac:dyDescent="0.35">
      <c r="A10" s="54" t="s">
        <v>460</v>
      </c>
      <c r="B10" s="55" t="s">
        <v>1015</v>
      </c>
      <c r="C10" s="56" t="s">
        <v>1057</v>
      </c>
      <c r="D10" s="24" t="s">
        <v>1050</v>
      </c>
      <c r="E10" s="9"/>
      <c r="F10" s="9"/>
      <c r="G10" s="9"/>
      <c r="H10" s="20">
        <f>IF(SUMIFS(Negociados!C:C,Negociados!B:B,E10,Negociados!A:A,A10,Negociados!D:D,"&lt;="&amp;$E$1,Negociados!E:E,"&gt;="&amp;$E$1),SUMIFS(Negociados!C:C,Negociados!B:B,E10,Negociados!A:A,A10,Negociados!D:D,"&lt;="&amp;$E$1,Negociados!E:E,"&gt;="&amp;$E$1),19%)</f>
        <v>0.19</v>
      </c>
    </row>
    <row r="11" spans="1:8" x14ac:dyDescent="0.35">
      <c r="A11" s="54" t="s">
        <v>547</v>
      </c>
      <c r="B11" s="55" t="s">
        <v>1016</v>
      </c>
      <c r="C11" s="56" t="s">
        <v>1058</v>
      </c>
      <c r="D11" s="24" t="s">
        <v>1050</v>
      </c>
      <c r="E11" s="9"/>
      <c r="F11" s="9"/>
      <c r="G11" s="9"/>
      <c r="H11" s="20">
        <f>IF(SUMIFS(Negociados!C:C,Negociados!B:B,E11,Negociados!A:A,A11,Negociados!D:D,"&lt;="&amp;$E$1,Negociados!E:E,"&gt;="&amp;$E$1),SUMIFS(Negociados!C:C,Negociados!B:B,E11,Negociados!A:A,A11,Negociados!D:D,"&lt;="&amp;$E$1,Negociados!E:E,"&gt;="&amp;$E$1),19%)</f>
        <v>0.19</v>
      </c>
    </row>
    <row r="12" spans="1:8" x14ac:dyDescent="0.35">
      <c r="A12" s="54" t="s">
        <v>45</v>
      </c>
      <c r="B12" s="55" t="s">
        <v>1017</v>
      </c>
      <c r="C12" s="56" t="s">
        <v>1059</v>
      </c>
      <c r="D12" s="24" t="s">
        <v>1050</v>
      </c>
      <c r="E12" s="9"/>
      <c r="F12" s="9"/>
      <c r="G12" s="9"/>
      <c r="H12" s="20">
        <f>IF(SUMIFS(Negociados!C:C,Negociados!B:B,E12,Negociados!A:A,A12,Negociados!D:D,"&lt;="&amp;$E$1,Negociados!E:E,"&gt;="&amp;$E$1),SUMIFS(Negociados!C:C,Negociados!B:B,E12,Negociados!A:A,A12,Negociados!D:D,"&lt;="&amp;$E$1,Negociados!E:E,"&gt;="&amp;$E$1),19%)</f>
        <v>0.19</v>
      </c>
    </row>
    <row r="13" spans="1:8" x14ac:dyDescent="0.35">
      <c r="A13" s="54" t="s">
        <v>549</v>
      </c>
      <c r="B13" s="55" t="s">
        <v>1018</v>
      </c>
      <c r="C13" s="56" t="s">
        <v>1060</v>
      </c>
      <c r="D13" s="24" t="s">
        <v>1050</v>
      </c>
      <c r="E13" s="9"/>
      <c r="F13" s="9"/>
      <c r="G13" s="9"/>
      <c r="H13" s="20">
        <f>IF(SUMIFS(Negociados!C:C,Negociados!B:B,E13,Negociados!A:A,A13,Negociados!D:D,"&lt;="&amp;$E$1,Negociados!E:E,"&gt;="&amp;$E$1),SUMIFS(Negociados!C:C,Negociados!B:B,E13,Negociados!A:A,A13,Negociados!D:D,"&lt;="&amp;$E$1,Negociados!E:E,"&gt;="&amp;$E$1),19%)</f>
        <v>0.19</v>
      </c>
    </row>
    <row r="14" spans="1:8" x14ac:dyDescent="0.35">
      <c r="A14" s="54" t="s">
        <v>628</v>
      </c>
      <c r="B14" s="55" t="s">
        <v>1019</v>
      </c>
      <c r="C14" s="56" t="s">
        <v>1061</v>
      </c>
      <c r="D14" s="24" t="s">
        <v>1050</v>
      </c>
      <c r="E14" s="9"/>
      <c r="F14" s="9"/>
      <c r="G14" s="9"/>
      <c r="H14" s="20">
        <f>IF(SUMIFS(Negociados!C:C,Negociados!B:B,E14,Negociados!A:A,A14,Negociados!D:D,"&lt;="&amp;$E$1,Negociados!E:E,"&gt;="&amp;$E$1),SUMIFS(Negociados!C:C,Negociados!B:B,E14,Negociados!A:A,A14,Negociados!D:D,"&lt;="&amp;$E$1,Negociados!E:E,"&gt;="&amp;$E$1),19%)</f>
        <v>0.19</v>
      </c>
    </row>
    <row r="15" spans="1:8" x14ac:dyDescent="0.35">
      <c r="A15" s="54" t="s">
        <v>578</v>
      </c>
      <c r="B15" s="55" t="s">
        <v>1020</v>
      </c>
      <c r="C15" s="56" t="s">
        <v>961</v>
      </c>
      <c r="D15" s="24" t="s">
        <v>1050</v>
      </c>
      <c r="E15" s="9"/>
      <c r="F15" s="9"/>
      <c r="G15" s="9"/>
      <c r="H15" s="20">
        <f>IF(SUMIFS(Negociados!C:C,Negociados!B:B,E15,Negociados!A:A,A15,Negociados!D:D,"&lt;="&amp;$E$1,Negociados!E:E,"&gt;="&amp;$E$1),SUMIFS(Negociados!C:C,Negociados!B:B,E15,Negociados!A:A,A15,Negociados!D:D,"&lt;="&amp;$E$1,Negociados!E:E,"&gt;="&amp;$E$1),19%)</f>
        <v>0.19</v>
      </c>
    </row>
    <row r="16" spans="1:8" x14ac:dyDescent="0.35">
      <c r="A16" s="54" t="s">
        <v>524</v>
      </c>
      <c r="B16" s="55" t="s">
        <v>1021</v>
      </c>
      <c r="C16" s="56" t="s">
        <v>1062</v>
      </c>
      <c r="D16" s="24" t="s">
        <v>1050</v>
      </c>
      <c r="E16" s="9"/>
      <c r="F16" s="9"/>
      <c r="G16" s="9"/>
      <c r="H16" s="20">
        <f>IF(SUMIFS(Negociados!C:C,Negociados!B:B,E16,Negociados!A:A,A16,Negociados!D:D,"&lt;="&amp;$E$1,Negociados!E:E,"&gt;="&amp;$E$1),SUMIFS(Negociados!C:C,Negociados!B:B,E16,Negociados!A:A,A16,Negociados!D:D,"&lt;="&amp;$E$1,Negociados!E:E,"&gt;="&amp;$E$1),19%)</f>
        <v>0.19</v>
      </c>
    </row>
    <row r="17" spans="1:8" x14ac:dyDescent="0.35">
      <c r="A17" s="54" t="s">
        <v>629</v>
      </c>
      <c r="B17" s="55" t="s">
        <v>1022</v>
      </c>
      <c r="C17" s="56" t="s">
        <v>1063</v>
      </c>
      <c r="D17" s="24" t="s">
        <v>1050</v>
      </c>
      <c r="E17" s="9"/>
      <c r="F17" s="9"/>
      <c r="G17" s="9"/>
      <c r="H17" s="20">
        <f>IF(SUMIFS(Negociados!C:C,Negociados!B:B,E17,Negociados!A:A,A17,Negociados!D:D,"&lt;="&amp;$E$1,Negociados!E:E,"&gt;="&amp;$E$1),SUMIFS(Negociados!C:C,Negociados!B:B,E17,Negociados!A:A,A17,Negociados!D:D,"&lt;="&amp;$E$1,Negociados!E:E,"&gt;="&amp;$E$1),19%)</f>
        <v>0.19</v>
      </c>
    </row>
    <row r="18" spans="1:8" x14ac:dyDescent="0.35">
      <c r="A18" s="54" t="s">
        <v>630</v>
      </c>
      <c r="B18" s="55" t="s">
        <v>1023</v>
      </c>
      <c r="C18" s="56" t="s">
        <v>1064</v>
      </c>
      <c r="D18" s="24" t="s">
        <v>1050</v>
      </c>
      <c r="E18" s="9"/>
      <c r="F18" s="9"/>
      <c r="G18" s="9"/>
      <c r="H18" s="20">
        <f>IF(SUMIFS(Negociados!C:C,Negociados!B:B,E18,Negociados!A:A,A18,Negociados!D:D,"&lt;="&amp;$E$1,Negociados!E:E,"&gt;="&amp;$E$1),SUMIFS(Negociados!C:C,Negociados!B:B,E18,Negociados!A:A,A18,Negociados!D:D,"&lt;="&amp;$E$1,Negociados!E:E,"&gt;="&amp;$E$1),19%)</f>
        <v>0.19</v>
      </c>
    </row>
    <row r="19" spans="1:8" x14ac:dyDescent="0.35">
      <c r="A19" s="54" t="s">
        <v>616</v>
      </c>
      <c r="B19" s="55" t="s">
        <v>1024</v>
      </c>
      <c r="C19" s="56" t="s">
        <v>1065</v>
      </c>
      <c r="D19" s="24" t="s">
        <v>1050</v>
      </c>
      <c r="E19" s="9"/>
      <c r="F19" s="9"/>
      <c r="G19" s="9"/>
      <c r="H19" s="20">
        <f>IF(SUMIFS(Negociados!C:C,Negociados!B:B,E19,Negociados!A:A,A19,Negociados!D:D,"&lt;="&amp;$E$1,Negociados!E:E,"&gt;="&amp;$E$1),SUMIFS(Negociados!C:C,Negociados!B:B,E19,Negociados!A:A,A19,Negociados!D:D,"&lt;="&amp;$E$1,Negociados!E:E,"&gt;="&amp;$E$1),19%)</f>
        <v>0.19</v>
      </c>
    </row>
    <row r="20" spans="1:8" x14ac:dyDescent="0.35">
      <c r="A20" s="54" t="s">
        <v>631</v>
      </c>
      <c r="B20" s="55" t="s">
        <v>1025</v>
      </c>
      <c r="C20" s="56" t="s">
        <v>1066</v>
      </c>
      <c r="D20" s="24" t="s">
        <v>1050</v>
      </c>
      <c r="E20" s="9"/>
      <c r="F20" s="9"/>
      <c r="G20" s="9"/>
      <c r="H20" s="20">
        <f>IF(SUMIFS(Negociados!C:C,Negociados!B:B,E20,Negociados!A:A,A20,Negociados!D:D,"&lt;="&amp;$E$1,Negociados!E:E,"&gt;="&amp;$E$1),SUMIFS(Negociados!C:C,Negociados!B:B,E20,Negociados!A:A,A20,Negociados!D:D,"&lt;="&amp;$E$1,Negociados!E:E,"&gt;="&amp;$E$1),19%)</f>
        <v>0.19</v>
      </c>
    </row>
    <row r="21" spans="1:8" x14ac:dyDescent="0.35">
      <c r="A21" s="54" t="s">
        <v>632</v>
      </c>
      <c r="B21" s="55" t="s">
        <v>1026</v>
      </c>
      <c r="C21" s="56" t="s">
        <v>1067</v>
      </c>
      <c r="D21" s="24" t="s">
        <v>1050</v>
      </c>
      <c r="E21" s="9"/>
      <c r="F21" s="9"/>
      <c r="G21" s="9"/>
      <c r="H21" s="20">
        <f>IF(SUMIFS(Negociados!C:C,Negociados!B:B,E21,Negociados!A:A,A21,Negociados!D:D,"&lt;="&amp;$E$1,Negociados!E:E,"&gt;="&amp;$E$1),SUMIFS(Negociados!C:C,Negociados!B:B,E21,Negociados!A:A,A21,Negociados!D:D,"&lt;="&amp;$E$1,Negociados!E:E,"&gt;="&amp;$E$1),19%)</f>
        <v>0.19</v>
      </c>
    </row>
    <row r="22" spans="1:8" x14ac:dyDescent="0.35">
      <c r="A22" s="54" t="s">
        <v>633</v>
      </c>
      <c r="B22" s="55" t="s">
        <v>1027</v>
      </c>
      <c r="C22" s="56" t="s">
        <v>1068</v>
      </c>
      <c r="D22" s="24" t="s">
        <v>1050</v>
      </c>
      <c r="E22" s="9"/>
      <c r="F22" s="9"/>
      <c r="G22" s="9"/>
      <c r="H22" s="20">
        <f>IF(SUMIFS(Negociados!C:C,Negociados!B:B,E22,Negociados!A:A,A22,Negociados!D:D,"&lt;="&amp;$E$1,Negociados!E:E,"&gt;="&amp;$E$1),SUMIFS(Negociados!C:C,Negociados!B:B,E22,Negociados!A:A,A22,Negociados!D:D,"&lt;="&amp;$E$1,Negociados!E:E,"&gt;="&amp;$E$1),19%)</f>
        <v>0.19</v>
      </c>
    </row>
    <row r="23" spans="1:8" x14ac:dyDescent="0.35">
      <c r="A23" s="54" t="s">
        <v>634</v>
      </c>
      <c r="B23" s="55" t="s">
        <v>1028</v>
      </c>
      <c r="C23" s="56" t="s">
        <v>1069</v>
      </c>
      <c r="D23" s="24" t="s">
        <v>1050</v>
      </c>
      <c r="E23" s="9"/>
      <c r="F23" s="9"/>
      <c r="G23" s="9"/>
      <c r="H23" s="20">
        <f>IF(SUMIFS(Negociados!C:C,Negociados!B:B,E23,Negociados!A:A,A23,Negociados!D:D,"&lt;="&amp;$E$1,Negociados!E:E,"&gt;="&amp;$E$1),SUMIFS(Negociados!C:C,Negociados!B:B,E23,Negociados!A:A,A23,Negociados!D:D,"&lt;="&amp;$E$1,Negociados!E:E,"&gt;="&amp;$E$1),19%)</f>
        <v>0.19</v>
      </c>
    </row>
    <row r="24" spans="1:8" x14ac:dyDescent="0.35">
      <c r="A24" s="54" t="s">
        <v>11</v>
      </c>
      <c r="B24" s="55" t="s">
        <v>1029</v>
      </c>
      <c r="C24" s="56" t="s">
        <v>1070</v>
      </c>
      <c r="D24" s="24" t="s">
        <v>1050</v>
      </c>
      <c r="E24" s="9"/>
      <c r="F24" s="9"/>
      <c r="G24" s="9"/>
      <c r="H24" s="20">
        <f>IF(SUMIFS(Negociados!C:C,Negociados!B:B,E24,Negociados!A:A,A24,Negociados!D:D,"&lt;="&amp;$E$1,Negociados!E:E,"&gt;="&amp;$E$1),SUMIFS(Negociados!C:C,Negociados!B:B,E24,Negociados!A:A,A24,Negociados!D:D,"&lt;="&amp;$E$1,Negociados!E:E,"&gt;="&amp;$E$1),19%)</f>
        <v>0.19</v>
      </c>
    </row>
    <row r="25" spans="1:8" x14ac:dyDescent="0.35">
      <c r="A25" s="54" t="s">
        <v>635</v>
      </c>
      <c r="B25" s="55" t="s">
        <v>1030</v>
      </c>
      <c r="C25" s="56" t="s">
        <v>1071</v>
      </c>
      <c r="D25" s="24" t="s">
        <v>1050</v>
      </c>
      <c r="E25" s="9"/>
      <c r="F25" s="9"/>
      <c r="G25" s="9"/>
      <c r="H25" s="20">
        <f>IF(SUMIFS(Negociados!C:C,Negociados!B:B,E25,Negociados!A:A,A25,Negociados!D:D,"&lt;="&amp;$E$1,Negociados!E:E,"&gt;="&amp;$E$1),SUMIFS(Negociados!C:C,Negociados!B:B,E25,Negociados!A:A,A25,Negociados!D:D,"&lt;="&amp;$E$1,Negociados!E:E,"&gt;="&amp;$E$1),19%)</f>
        <v>0.19</v>
      </c>
    </row>
    <row r="26" spans="1:8" x14ac:dyDescent="0.35">
      <c r="A26" s="54" t="s">
        <v>636</v>
      </c>
      <c r="B26" s="55" t="s">
        <v>1031</v>
      </c>
      <c r="C26" s="56" t="s">
        <v>1072</v>
      </c>
      <c r="D26" s="24" t="s">
        <v>1050</v>
      </c>
      <c r="E26" s="9"/>
      <c r="F26" s="9"/>
      <c r="G26" s="9"/>
      <c r="H26" s="20">
        <f>IF(SUMIFS(Negociados!C:C,Negociados!B:B,E26,Negociados!A:A,A26,Negociados!D:D,"&lt;="&amp;$E$1,Negociados!E:E,"&gt;="&amp;$E$1),SUMIFS(Negociados!C:C,Negociados!B:B,E26,Negociados!A:A,A26,Negociados!D:D,"&lt;="&amp;$E$1,Negociados!E:E,"&gt;="&amp;$E$1),19%)</f>
        <v>0.19</v>
      </c>
    </row>
    <row r="27" spans="1:8" x14ac:dyDescent="0.35">
      <c r="A27" s="54" t="s">
        <v>637</v>
      </c>
      <c r="B27" s="55" t="s">
        <v>1032</v>
      </c>
      <c r="C27" s="56" t="s">
        <v>1073</v>
      </c>
      <c r="D27" s="24" t="s">
        <v>1050</v>
      </c>
      <c r="E27" s="9"/>
      <c r="F27" s="9"/>
      <c r="G27" s="9"/>
      <c r="H27" s="20">
        <f>IF(SUMIFS(Negociados!C:C,Negociados!B:B,E27,Negociados!A:A,A27,Negociados!D:D,"&lt;="&amp;$E$1,Negociados!E:E,"&gt;="&amp;$E$1),SUMIFS(Negociados!C:C,Negociados!B:B,E27,Negociados!A:A,A27,Negociados!D:D,"&lt;="&amp;$E$1,Negociados!E:E,"&gt;="&amp;$E$1),19%)</f>
        <v>0.19</v>
      </c>
    </row>
    <row r="28" spans="1:8" x14ac:dyDescent="0.35">
      <c r="A28" s="54" t="s">
        <v>638</v>
      </c>
      <c r="B28" s="55" t="s">
        <v>1033</v>
      </c>
      <c r="C28" s="56" t="s">
        <v>1074</v>
      </c>
      <c r="D28" s="24" t="s">
        <v>1050</v>
      </c>
      <c r="E28" s="9"/>
      <c r="F28" s="9"/>
      <c r="G28" s="9"/>
      <c r="H28" s="20">
        <f>IF(SUMIFS(Negociados!C:C,Negociados!B:B,E28,Negociados!A:A,A28,Negociados!D:D,"&lt;="&amp;$E$1,Negociados!E:E,"&gt;="&amp;$E$1),SUMIFS(Negociados!C:C,Negociados!B:B,E28,Negociados!A:A,A28,Negociados!D:D,"&lt;="&amp;$E$1,Negociados!E:E,"&gt;="&amp;$E$1),19%)</f>
        <v>0.19</v>
      </c>
    </row>
    <row r="29" spans="1:8" x14ac:dyDescent="0.35">
      <c r="A29" s="54" t="s">
        <v>639</v>
      </c>
      <c r="B29" s="55" t="s">
        <v>1034</v>
      </c>
      <c r="C29" s="56" t="s">
        <v>1075</v>
      </c>
      <c r="D29" s="24" t="s">
        <v>1050</v>
      </c>
      <c r="E29" s="9"/>
      <c r="F29" s="9"/>
      <c r="G29" s="9"/>
      <c r="H29" s="20">
        <f>IF(SUMIFS(Negociados!C:C,Negociados!B:B,E29,Negociados!A:A,A29,Negociados!D:D,"&lt;="&amp;$E$1,Negociados!E:E,"&gt;="&amp;$E$1),SUMIFS(Negociados!C:C,Negociados!B:B,E29,Negociados!A:A,A29,Negociados!D:D,"&lt;="&amp;$E$1,Negociados!E:E,"&gt;="&amp;$E$1),19%)</f>
        <v>0.19</v>
      </c>
    </row>
    <row r="30" spans="1:8" x14ac:dyDescent="0.35">
      <c r="A30" s="54" t="s">
        <v>504</v>
      </c>
      <c r="B30" s="55" t="s">
        <v>1035</v>
      </c>
      <c r="C30" s="56" t="s">
        <v>1076</v>
      </c>
      <c r="D30" s="24" t="s">
        <v>1050</v>
      </c>
      <c r="E30" s="9"/>
      <c r="F30" s="9"/>
      <c r="G30" s="9"/>
      <c r="H30" s="20">
        <f>IF(SUMIFS(Negociados!C:C,Negociados!B:B,E30,Negociados!A:A,A30,Negociados!D:D,"&lt;="&amp;$E$1,Negociados!E:E,"&gt;="&amp;$E$1),SUMIFS(Negociados!C:C,Negociados!B:B,E30,Negociados!A:A,A30,Negociados!D:D,"&lt;="&amp;$E$1,Negociados!E:E,"&gt;="&amp;$E$1),19%)</f>
        <v>0.19</v>
      </c>
    </row>
    <row r="31" spans="1:8" x14ac:dyDescent="0.35">
      <c r="A31" s="54" t="s">
        <v>640</v>
      </c>
      <c r="B31" s="55" t="s">
        <v>1036</v>
      </c>
      <c r="C31" s="56" t="s">
        <v>1077</v>
      </c>
      <c r="D31" s="24" t="s">
        <v>1050</v>
      </c>
      <c r="E31" s="9"/>
      <c r="F31" s="9"/>
      <c r="G31" s="9"/>
      <c r="H31" s="20">
        <f>IF(SUMIFS(Negociados!C:C,Negociados!B:B,E31,Negociados!A:A,A31,Negociados!D:D,"&lt;="&amp;$E$1,Negociados!E:E,"&gt;="&amp;$E$1),SUMIFS(Negociados!C:C,Negociados!B:B,E31,Negociados!A:A,A31,Negociados!D:D,"&lt;="&amp;$E$1,Negociados!E:E,"&gt;="&amp;$E$1),19%)</f>
        <v>0.19</v>
      </c>
    </row>
    <row r="32" spans="1:8" x14ac:dyDescent="0.35">
      <c r="A32" s="54" t="s">
        <v>37</v>
      </c>
      <c r="B32" s="55" t="s">
        <v>1037</v>
      </c>
      <c r="C32" s="56" t="s">
        <v>949</v>
      </c>
      <c r="D32" s="24" t="s">
        <v>1050</v>
      </c>
      <c r="E32" s="9"/>
      <c r="F32" s="9"/>
      <c r="G32" s="9"/>
      <c r="H32" s="20">
        <f>IF(SUMIFS(Negociados!C:C,Negociados!B:B,E32,Negociados!A:A,A32,Negociados!D:D,"&lt;="&amp;$E$1,Negociados!E:E,"&gt;="&amp;$E$1),SUMIFS(Negociados!C:C,Negociados!B:B,E32,Negociados!A:A,A32,Negociados!D:D,"&lt;="&amp;$E$1,Negociados!E:E,"&gt;="&amp;$E$1),19%)</f>
        <v>0.19</v>
      </c>
    </row>
    <row r="33" spans="1:8" x14ac:dyDescent="0.35">
      <c r="A33" s="54" t="s">
        <v>327</v>
      </c>
      <c r="B33" s="55" t="s">
        <v>1038</v>
      </c>
      <c r="C33" s="56" t="s">
        <v>420</v>
      </c>
      <c r="D33" s="24" t="s">
        <v>1050</v>
      </c>
      <c r="E33" s="9"/>
      <c r="F33" s="9"/>
      <c r="G33" s="9"/>
      <c r="H33" s="20">
        <f>IF(SUMIFS(Negociados!C:C,Negociados!B:B,E33,Negociados!A:A,A33,Negociados!D:D,"&lt;="&amp;$E$1,Negociados!E:E,"&gt;="&amp;$E$1),SUMIFS(Negociados!C:C,Negociados!B:B,E33,Negociados!A:A,A33,Negociados!D:D,"&lt;="&amp;$E$1,Negociados!E:E,"&gt;="&amp;$E$1),19%)</f>
        <v>0.19</v>
      </c>
    </row>
    <row r="34" spans="1:8" x14ac:dyDescent="0.35">
      <c r="A34" s="54" t="s">
        <v>641</v>
      </c>
      <c r="B34" s="55" t="s">
        <v>1039</v>
      </c>
      <c r="C34" s="56" t="s">
        <v>1078</v>
      </c>
      <c r="D34" s="24" t="s">
        <v>1050</v>
      </c>
      <c r="E34" s="9"/>
      <c r="F34" s="9"/>
      <c r="G34" s="9"/>
      <c r="H34" s="20">
        <f>IF(SUMIFS(Negociados!C:C,Negociados!B:B,E34,Negociados!A:A,A34,Negociados!D:D,"&lt;="&amp;$E$1,Negociados!E:E,"&gt;="&amp;$E$1),SUMIFS(Negociados!C:C,Negociados!B:B,E34,Negociados!A:A,A34,Negociados!D:D,"&lt;="&amp;$E$1,Negociados!E:E,"&gt;="&amp;$E$1),19%)</f>
        <v>0.19</v>
      </c>
    </row>
    <row r="35" spans="1:8" x14ac:dyDescent="0.35">
      <c r="A35" s="54" t="s">
        <v>606</v>
      </c>
      <c r="B35" s="55" t="s">
        <v>1040</v>
      </c>
      <c r="C35" s="56" t="s">
        <v>1079</v>
      </c>
      <c r="D35" s="24" t="s">
        <v>1050</v>
      </c>
      <c r="E35" s="9"/>
      <c r="F35" s="9"/>
      <c r="G35" s="9"/>
      <c r="H35" s="20">
        <f>IF(SUMIFS(Negociados!C:C,Negociados!B:B,E35,Negociados!A:A,A35,Negociados!D:D,"&lt;="&amp;$E$1,Negociados!E:E,"&gt;="&amp;$E$1),SUMIFS(Negociados!C:C,Negociados!B:B,E35,Negociados!A:A,A35,Negociados!D:D,"&lt;="&amp;$E$1,Negociados!E:E,"&gt;="&amp;$E$1),19%)</f>
        <v>0.19</v>
      </c>
    </row>
    <row r="36" spans="1:8" x14ac:dyDescent="0.35">
      <c r="A36" s="54" t="s">
        <v>55</v>
      </c>
      <c r="B36" s="55" t="s">
        <v>1041</v>
      </c>
      <c r="C36" s="56" t="s">
        <v>931</v>
      </c>
      <c r="D36" s="24" t="s">
        <v>1050</v>
      </c>
      <c r="E36" s="9"/>
      <c r="F36" s="9"/>
      <c r="G36" s="9"/>
      <c r="H36" s="20">
        <f>IF(SUMIFS(Negociados!C:C,Negociados!B:B,E36,Negociados!A:A,A36,Negociados!D:D,"&lt;="&amp;$E$1,Negociados!E:E,"&gt;="&amp;$E$1),SUMIFS(Negociados!C:C,Negociados!B:B,E36,Negociados!A:A,A36,Negociados!D:D,"&lt;="&amp;$E$1,Negociados!E:E,"&gt;="&amp;$E$1),19%)</f>
        <v>0.19</v>
      </c>
    </row>
    <row r="37" spans="1:8" x14ac:dyDescent="0.35">
      <c r="A37" s="54" t="s">
        <v>73</v>
      </c>
      <c r="B37" s="55" t="s">
        <v>1042</v>
      </c>
      <c r="C37" s="56" t="s">
        <v>1080</v>
      </c>
      <c r="D37" s="24" t="s">
        <v>1050</v>
      </c>
      <c r="E37" s="9"/>
      <c r="F37" s="9"/>
      <c r="G37" s="9"/>
      <c r="H37" s="20">
        <f>IF(SUMIFS(Negociados!C:C,Negociados!B:B,E37,Negociados!A:A,A37,Negociados!D:D,"&lt;="&amp;$E$1,Negociados!E:E,"&gt;="&amp;$E$1),SUMIFS(Negociados!C:C,Negociados!B:B,E37,Negociados!A:A,A37,Negociados!D:D,"&lt;="&amp;$E$1,Negociados!E:E,"&gt;="&amp;$E$1),19%)</f>
        <v>0.19</v>
      </c>
    </row>
    <row r="38" spans="1:8" x14ac:dyDescent="0.35">
      <c r="A38" s="54" t="s">
        <v>35</v>
      </c>
      <c r="B38" s="55" t="s">
        <v>1043</v>
      </c>
      <c r="C38" s="56" t="s">
        <v>946</v>
      </c>
      <c r="D38" s="24" t="s">
        <v>1050</v>
      </c>
      <c r="E38" s="9"/>
      <c r="F38" s="9"/>
      <c r="G38" s="9"/>
      <c r="H38" s="20">
        <f>IF(SUMIFS(Negociados!C:C,Negociados!B:B,E38,Negociados!A:A,A38,Negociados!D:D,"&lt;="&amp;$E$1,Negociados!E:E,"&gt;="&amp;$E$1),SUMIFS(Negociados!C:C,Negociados!B:B,E38,Negociados!A:A,A38,Negociados!D:D,"&lt;="&amp;$E$1,Negociados!E:E,"&gt;="&amp;$E$1),19%)</f>
        <v>0.19</v>
      </c>
    </row>
    <row r="39" spans="1:8" x14ac:dyDescent="0.35">
      <c r="A39" s="54" t="s">
        <v>88</v>
      </c>
      <c r="B39" s="55" t="s">
        <v>1044</v>
      </c>
      <c r="C39" s="56" t="s">
        <v>1081</v>
      </c>
      <c r="D39" s="24" t="s">
        <v>1050</v>
      </c>
      <c r="E39" s="9"/>
      <c r="F39" s="9"/>
      <c r="G39" s="9"/>
      <c r="H39" s="20">
        <f>IF(SUMIFS(Negociados!C:C,Negociados!B:B,E39,Negociados!A:A,A39,Negociados!D:D,"&lt;="&amp;$E$1,Negociados!E:E,"&gt;="&amp;$E$1),SUMIFS(Negociados!C:C,Negociados!B:B,E39,Negociados!A:A,A39,Negociados!D:D,"&lt;="&amp;$E$1,Negociados!E:E,"&gt;="&amp;$E$1),19%)</f>
        <v>0.19</v>
      </c>
    </row>
    <row r="40" spans="1:8" x14ac:dyDescent="0.35">
      <c r="A40" s="54" t="s">
        <v>401</v>
      </c>
      <c r="B40" s="55" t="s">
        <v>1045</v>
      </c>
      <c r="C40" s="56" t="s">
        <v>1082</v>
      </c>
      <c r="D40" s="24" t="s">
        <v>1050</v>
      </c>
      <c r="E40" s="9"/>
      <c r="F40" s="9"/>
      <c r="G40" s="9"/>
      <c r="H40" s="20">
        <f>IF(SUMIFS(Negociados!C:C,Negociados!B:B,E40,Negociados!A:A,A40,Negociados!D:D,"&lt;="&amp;$E$1,Negociados!E:E,"&gt;="&amp;$E$1),SUMIFS(Negociados!C:C,Negociados!B:B,E40,Negociados!A:A,A40,Negociados!D:D,"&lt;="&amp;$E$1,Negociados!E:E,"&gt;="&amp;$E$1),19%)</f>
        <v>0.19</v>
      </c>
    </row>
    <row r="41" spans="1:8" x14ac:dyDescent="0.35">
      <c r="A41" s="54" t="s">
        <v>642</v>
      </c>
      <c r="B41" s="55" t="s">
        <v>1046</v>
      </c>
      <c r="C41" s="56" t="s">
        <v>1083</v>
      </c>
      <c r="D41" s="24" t="s">
        <v>1050</v>
      </c>
      <c r="E41" s="9"/>
      <c r="F41" s="9"/>
      <c r="G41" s="9"/>
      <c r="H41" s="20">
        <f>IF(SUMIFS(Negociados!C:C,Negociados!B:B,E41,Negociados!A:A,A41,Negociados!D:D,"&lt;="&amp;$E$1,Negociados!E:E,"&gt;="&amp;$E$1),SUMIFS(Negociados!C:C,Negociados!B:B,E41,Negociados!A:A,A41,Negociados!D:D,"&lt;="&amp;$E$1,Negociados!E:E,"&gt;="&amp;$E$1),19%)</f>
        <v>0.19</v>
      </c>
    </row>
    <row r="42" spans="1:8" x14ac:dyDescent="0.35">
      <c r="A42" s="54" t="s">
        <v>23</v>
      </c>
      <c r="B42" s="55" t="s">
        <v>1047</v>
      </c>
      <c r="C42" s="56" t="s">
        <v>942</v>
      </c>
      <c r="D42" s="24" t="s">
        <v>1050</v>
      </c>
      <c r="E42" s="9"/>
      <c r="F42" s="9"/>
      <c r="G42" s="9"/>
      <c r="H42" s="20">
        <f>IF(SUMIFS(Negociados!C:C,Negociados!B:B,E42,Negociados!A:A,A42,Negociados!D:D,"&lt;="&amp;$E$1,Negociados!E:E,"&gt;="&amp;$E$1),SUMIFS(Negociados!C:C,Negociados!B:B,E42,Negociados!A:A,A42,Negociados!D:D,"&lt;="&amp;$E$1,Negociados!E:E,"&gt;="&amp;$E$1),19%)</f>
        <v>0.19</v>
      </c>
    </row>
  </sheetData>
  <mergeCells count="1">
    <mergeCell ref="E1:H1"/>
  </mergeCells>
  <conditionalFormatting sqref="A1">
    <cfRule type="duplicateValues" dxfId="19" priority="3"/>
  </conditionalFormatting>
  <conditionalFormatting sqref="A2:B4">
    <cfRule type="duplicateValues" dxfId="18" priority="2"/>
  </conditionalFormatting>
  <conditionalFormatting sqref="A5:B42">
    <cfRule type="duplicateValues" dxfId="17" priority="1"/>
  </conditionalFormatting>
  <hyperlinks>
    <hyperlink ref="B3" r:id="rId1" xr:uid="{170E727D-C52E-4179-9B7A-A7FCFE1024B2}"/>
    <hyperlink ref="B4" r:id="rId2" xr:uid="{766A954A-4554-45E8-949B-5CF7DD701540}"/>
    <hyperlink ref="B5" r:id="rId3" xr:uid="{C84FDB02-8EDE-4F30-9FE2-261302F3C08B}"/>
    <hyperlink ref="B6" r:id="rId4" xr:uid="{5D2D1F87-75FD-4B76-946D-35724D4F8F1F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2BA7-11A3-4307-B2B3-AEABF4FE254E}">
  <dimension ref="A1:J64"/>
  <sheetViews>
    <sheetView topLeftCell="B1" workbookViewId="0">
      <selection activeCell="B12" sqref="B12"/>
    </sheetView>
  </sheetViews>
  <sheetFormatPr defaultRowHeight="14.5" x14ac:dyDescent="0.35"/>
  <cols>
    <col min="1" max="1" width="15.26953125" bestFit="1" customWidth="1"/>
    <col min="2" max="2" width="29.90625" customWidth="1"/>
    <col min="3" max="3" width="81.7265625" bestFit="1" customWidth="1"/>
    <col min="4" max="4" width="14.36328125" bestFit="1" customWidth="1"/>
    <col min="6" max="10" width="9.6328125" customWidth="1"/>
  </cols>
  <sheetData>
    <row r="1" spans="1:10" x14ac:dyDescent="0.35">
      <c r="A1" s="28"/>
      <c r="B1" s="57" t="s">
        <v>894</v>
      </c>
      <c r="C1" s="29"/>
      <c r="D1" s="28"/>
      <c r="E1" s="60" t="s">
        <v>1238</v>
      </c>
      <c r="F1" s="60" t="s">
        <v>1190</v>
      </c>
      <c r="G1" s="60" t="s">
        <v>1191</v>
      </c>
      <c r="H1" s="61" t="s">
        <v>1192</v>
      </c>
      <c r="I1" s="61" t="s">
        <v>1193</v>
      </c>
      <c r="J1" s="61" t="s">
        <v>1194</v>
      </c>
    </row>
    <row r="2" spans="1:10" x14ac:dyDescent="0.35">
      <c r="A2" s="57" t="s">
        <v>893</v>
      </c>
      <c r="B2" s="55" t="s">
        <v>1084</v>
      </c>
      <c r="C2" s="57" t="s">
        <v>409</v>
      </c>
      <c r="D2" s="30" t="s">
        <v>1048</v>
      </c>
      <c r="E2" s="28" t="s">
        <v>437</v>
      </c>
      <c r="F2" s="28" t="s">
        <v>1189</v>
      </c>
      <c r="G2" s="28"/>
      <c r="H2" s="28" t="s">
        <v>438</v>
      </c>
      <c r="I2" s="28" t="s">
        <v>439</v>
      </c>
      <c r="J2" s="28" t="s">
        <v>512</v>
      </c>
    </row>
    <row r="3" spans="1:10" x14ac:dyDescent="0.35">
      <c r="A3" s="54" t="s">
        <v>643</v>
      </c>
      <c r="B3" s="55" t="s">
        <v>1085</v>
      </c>
      <c r="C3" s="56" t="s">
        <v>1146</v>
      </c>
      <c r="D3" s="24" t="s">
        <v>1147</v>
      </c>
      <c r="E3" t="s">
        <v>1195</v>
      </c>
      <c r="F3" s="59">
        <v>1937</v>
      </c>
      <c r="G3" s="20">
        <f>((E3-F3)/E3)</f>
        <v>5.0434339274859359E-2</v>
      </c>
      <c r="H3" s="9" t="s">
        <v>597</v>
      </c>
      <c r="I3" s="9">
        <v>7</v>
      </c>
      <c r="J3" s="20">
        <f>IF(SUMIFS(Negociados!C:C,Negociados!B:B,E3,Negociados!A:A,A3,Negociados!D:D,"&lt;="&amp;$E$1,Negociados!E:E,"&gt;="&amp;$E$1),SUMIFS(Negociados!C:C,Negociados!B:B,E3,Negociados!A:A,A3,Negociados!D:D,"&lt;="&amp;$E$1,Negociados!E:E,"&gt;="&amp;$E$1),19%)</f>
        <v>0.13</v>
      </c>
    </row>
    <row r="4" spans="1:10" x14ac:dyDescent="0.35">
      <c r="A4" s="54" t="s">
        <v>645</v>
      </c>
      <c r="B4" s="55" t="s">
        <v>1086</v>
      </c>
      <c r="C4" s="56" t="s">
        <v>1148</v>
      </c>
      <c r="D4" s="24" t="s">
        <v>1147</v>
      </c>
      <c r="E4" t="s">
        <v>1196</v>
      </c>
      <c r="F4" s="59">
        <v>1595</v>
      </c>
      <c r="G4" s="20">
        <f t="shared" ref="G4:G64" si="0">((E4-F4)/E4)</f>
        <v>5.0527418625139951E-2</v>
      </c>
      <c r="H4" s="9" t="s">
        <v>597</v>
      </c>
      <c r="I4" s="9">
        <v>7</v>
      </c>
      <c r="J4" s="20">
        <f>IF(SUMIFS(Negociados!C:C,Negociados!B:B,E4,Negociados!A:A,A4,Negociados!D:D,"&lt;="&amp;$E$1,Negociados!E:E,"&gt;="&amp;$E$1),SUMIFS(Negociados!C:C,Negociados!B:B,E4,Negociados!A:A,A4,Negociados!D:D,"&lt;="&amp;$E$1,Negociados!E:E,"&gt;="&amp;$E$1),19%)</f>
        <v>0.13</v>
      </c>
    </row>
    <row r="5" spans="1:10" x14ac:dyDescent="0.35">
      <c r="A5" s="54" t="s">
        <v>646</v>
      </c>
      <c r="B5" s="55" t="s">
        <v>1087</v>
      </c>
      <c r="C5" s="56" t="s">
        <v>1149</v>
      </c>
      <c r="D5" s="24" t="s">
        <v>1147</v>
      </c>
      <c r="E5" t="s">
        <v>1197</v>
      </c>
      <c r="F5">
        <v>474</v>
      </c>
      <c r="G5" s="20">
        <f t="shared" si="0"/>
        <v>5.1772425382091695E-2</v>
      </c>
      <c r="H5" s="9" t="s">
        <v>597</v>
      </c>
      <c r="I5" s="9"/>
      <c r="J5" s="20">
        <f>IF(SUMIFS(Negociados!C:C,Negociados!B:B,E5,Negociados!A:A,A5,Negociados!D:D,"&lt;="&amp;$E$1,Negociados!E:E,"&gt;="&amp;$E$1),SUMIFS(Negociados!C:C,Negociados!B:B,E5,Negociados!A:A,A5,Negociados!D:D,"&lt;="&amp;$E$1,Negociados!E:E,"&gt;="&amp;$E$1),19%)</f>
        <v>0.13</v>
      </c>
    </row>
    <row r="6" spans="1:10" x14ac:dyDescent="0.35">
      <c r="A6" s="54" t="s">
        <v>613</v>
      </c>
      <c r="B6" s="55" t="s">
        <v>1088</v>
      </c>
      <c r="C6" s="56" t="s">
        <v>957</v>
      </c>
      <c r="D6" s="24" t="s">
        <v>1147</v>
      </c>
      <c r="E6" t="s">
        <v>1198</v>
      </c>
      <c r="F6">
        <v>759</v>
      </c>
      <c r="G6" s="20">
        <f t="shared" si="0"/>
        <v>5.1238140476755969E-2</v>
      </c>
      <c r="H6" s="9" t="s">
        <v>597</v>
      </c>
      <c r="I6" s="9"/>
      <c r="J6" s="20">
        <f>IF(SUMIFS(Negociados!C:C,Negociados!B:B,E6,Negociados!A:A,A6,Negociados!D:D,"&lt;="&amp;$E$1,Negociados!E:E,"&gt;="&amp;$E$1),SUMIFS(Negociados!C:C,Negociados!B:B,E6,Negociados!A:A,A6,Negociados!D:D,"&lt;="&amp;$E$1,Negociados!E:E,"&gt;="&amp;$E$1),19%)</f>
        <v>0.19</v>
      </c>
    </row>
    <row r="7" spans="1:10" x14ac:dyDescent="0.35">
      <c r="A7" s="54" t="s">
        <v>647</v>
      </c>
      <c r="B7" s="55" t="s">
        <v>1089</v>
      </c>
      <c r="C7" s="56" t="s">
        <v>1150</v>
      </c>
      <c r="D7" s="24" t="s">
        <v>1147</v>
      </c>
      <c r="E7" t="s">
        <v>1199</v>
      </c>
      <c r="F7" s="59">
        <v>1586</v>
      </c>
      <c r="G7" s="20">
        <f t="shared" si="0"/>
        <v>5.0231154334443258E-2</v>
      </c>
      <c r="H7" s="9" t="s">
        <v>597</v>
      </c>
      <c r="I7" s="9"/>
      <c r="J7" s="20">
        <f>IF(SUMIFS(Negociados!C:C,Negociados!B:B,E7,Negociados!A:A,A7,Negociados!D:D,"&lt;="&amp;$E$1,Negociados!E:E,"&gt;="&amp;$E$1),SUMIFS(Negociados!C:C,Negociados!B:B,E7,Negociados!A:A,A7,Negociados!D:D,"&lt;="&amp;$E$1,Negociados!E:E,"&gt;="&amp;$E$1),19%)</f>
        <v>0.13</v>
      </c>
    </row>
    <row r="8" spans="1:10" x14ac:dyDescent="0.35">
      <c r="A8" s="54" t="s">
        <v>648</v>
      </c>
      <c r="B8" s="55" t="s">
        <v>1090</v>
      </c>
      <c r="C8" s="56" t="s">
        <v>1151</v>
      </c>
      <c r="D8" s="24" t="s">
        <v>1147</v>
      </c>
      <c r="E8" t="s">
        <v>1200</v>
      </c>
      <c r="F8" s="59">
        <v>2308</v>
      </c>
      <c r="G8" s="20">
        <f t="shared" si="0"/>
        <v>5.0158855581345627E-2</v>
      </c>
      <c r="H8" s="9" t="s">
        <v>597</v>
      </c>
      <c r="I8" s="9"/>
      <c r="J8" s="20">
        <f>IF(SUMIFS(Negociados!C:C,Negociados!B:B,E8,Negociados!A:A,A8,Negociados!D:D,"&lt;="&amp;$E$1,Negociados!E:E,"&gt;="&amp;$E$1),SUMIFS(Negociados!C:C,Negociados!B:B,E8,Negociados!A:A,A8,Negociados!D:D,"&lt;="&amp;$E$1,Negociados!E:E,"&gt;="&amp;$E$1),19%)</f>
        <v>0.13</v>
      </c>
    </row>
    <row r="9" spans="1:10" x14ac:dyDescent="0.35">
      <c r="A9" s="54" t="s">
        <v>649</v>
      </c>
      <c r="B9" s="55" t="s">
        <v>1091</v>
      </c>
      <c r="C9" s="56" t="s">
        <v>1152</v>
      </c>
      <c r="D9" s="24" t="s">
        <v>1147</v>
      </c>
      <c r="E9" t="s">
        <v>1201</v>
      </c>
      <c r="F9" s="59">
        <v>3229</v>
      </c>
      <c r="G9" s="20">
        <f t="shared" si="0"/>
        <v>5.02605974328506E-2</v>
      </c>
      <c r="H9" s="9" t="s">
        <v>597</v>
      </c>
      <c r="I9" s="9"/>
      <c r="J9" s="20">
        <f>IF(SUMIFS(Negociados!C:C,Negociados!B:B,E9,Negociados!A:A,A9,Negociados!D:D,"&lt;="&amp;$E$1,Negociados!E:E,"&gt;="&amp;$E$1),SUMIFS(Negociados!C:C,Negociados!B:B,E9,Negociados!A:A,A9,Negociados!D:D,"&lt;="&amp;$E$1,Negociados!E:E,"&gt;="&amp;$E$1),19%)</f>
        <v>0.13</v>
      </c>
    </row>
    <row r="10" spans="1:10" x14ac:dyDescent="0.35">
      <c r="A10" s="54" t="s">
        <v>650</v>
      </c>
      <c r="B10" s="55" t="s">
        <v>1092</v>
      </c>
      <c r="C10" s="56" t="s">
        <v>1153</v>
      </c>
      <c r="D10" s="24" t="s">
        <v>1147</v>
      </c>
      <c r="E10" t="s">
        <v>1202</v>
      </c>
      <c r="F10" s="59">
        <v>1130</v>
      </c>
      <c r="G10" s="20">
        <f t="shared" si="0"/>
        <v>5.0324402460752433E-2</v>
      </c>
      <c r="H10" s="9" t="s">
        <v>597</v>
      </c>
      <c r="I10" s="9"/>
      <c r="J10" s="20">
        <f>IF(SUMIFS(Negociados!C:C,Negociados!B:B,E10,Negociados!A:A,A10,Negociados!D:D,"&lt;="&amp;$E$1,Negociados!E:E,"&gt;="&amp;$E$1),SUMIFS(Negociados!C:C,Negociados!B:B,E10,Negociados!A:A,A10,Negociados!D:D,"&lt;="&amp;$E$1,Negociados!E:E,"&gt;="&amp;$E$1),19%)</f>
        <v>0.13</v>
      </c>
    </row>
    <row r="11" spans="1:10" x14ac:dyDescent="0.35">
      <c r="A11" s="54" t="s">
        <v>651</v>
      </c>
      <c r="B11" s="55" t="s">
        <v>1093</v>
      </c>
      <c r="C11" s="56" t="s">
        <v>1154</v>
      </c>
      <c r="D11" s="24" t="s">
        <v>1147</v>
      </c>
      <c r="E11" t="s">
        <v>1203</v>
      </c>
      <c r="F11" s="59">
        <v>1453</v>
      </c>
      <c r="G11" s="20">
        <f t="shared" si="0"/>
        <v>5.025230737051279E-2</v>
      </c>
      <c r="H11" s="9" t="s">
        <v>597</v>
      </c>
      <c r="I11" s="9"/>
      <c r="J11" s="20">
        <f>IF(SUMIFS(Negociados!C:C,Negociados!B:B,E11,Negociados!A:A,A11,Negociados!D:D,"&lt;="&amp;$E$1,Negociados!E:E,"&gt;="&amp;$E$1),SUMIFS(Negociados!C:C,Negociados!B:B,E11,Negociados!A:A,A11,Negociados!D:D,"&lt;="&amp;$E$1,Negociados!E:E,"&gt;="&amp;$E$1),19%)</f>
        <v>0.13</v>
      </c>
    </row>
    <row r="12" spans="1:10" x14ac:dyDescent="0.35">
      <c r="A12" s="54" t="s">
        <v>615</v>
      </c>
      <c r="B12" s="55" t="s">
        <v>1094</v>
      </c>
      <c r="C12" s="56" t="s">
        <v>960</v>
      </c>
      <c r="D12" s="24" t="s">
        <v>1147</v>
      </c>
      <c r="E12" t="s">
        <v>1204</v>
      </c>
      <c r="F12">
        <v>531</v>
      </c>
      <c r="G12" s="20">
        <f t="shared" si="0"/>
        <v>5.1582481960420083E-2</v>
      </c>
      <c r="H12" s="9" t="s">
        <v>597</v>
      </c>
      <c r="I12" s="9"/>
      <c r="J12" s="20">
        <f>IF(SUMIFS(Negociados!C:C,Negociados!B:B,E12,Negociados!A:A,A12,Negociados!D:D,"&lt;="&amp;$E$1,Negociados!E:E,"&gt;="&amp;$E$1),SUMIFS(Negociados!C:C,Negociados!B:B,E12,Negociados!A:A,A12,Negociados!D:D,"&lt;="&amp;$E$1,Negociados!E:E,"&gt;="&amp;$E$1),19%)</f>
        <v>0.13</v>
      </c>
    </row>
    <row r="13" spans="1:10" x14ac:dyDescent="0.35">
      <c r="A13" s="54" t="s">
        <v>652</v>
      </c>
      <c r="B13" s="55" t="s">
        <v>1095</v>
      </c>
      <c r="C13" s="56" t="s">
        <v>1155</v>
      </c>
      <c r="D13" s="24" t="s">
        <v>1147</v>
      </c>
      <c r="E13" t="s">
        <v>1205</v>
      </c>
      <c r="F13" s="59">
        <v>1082</v>
      </c>
      <c r="G13" s="20">
        <f t="shared" si="0"/>
        <v>5.0777274800856323E-2</v>
      </c>
      <c r="H13" s="9" t="s">
        <v>597</v>
      </c>
      <c r="I13" s="9"/>
      <c r="J13" s="20">
        <f>IF(SUMIFS(Negociados!C:C,Negociados!B:B,E13,Negociados!A:A,A13,Negociados!D:D,"&lt;="&amp;$E$1,Negociados!E:E,"&gt;="&amp;$E$1),SUMIFS(Negociados!C:C,Negociados!B:B,E13,Negociados!A:A,A13,Negociados!D:D,"&lt;="&amp;$E$1,Negociados!E:E,"&gt;="&amp;$E$1),19%)</f>
        <v>0.13</v>
      </c>
    </row>
    <row r="14" spans="1:10" x14ac:dyDescent="0.35">
      <c r="A14" s="54" t="s">
        <v>653</v>
      </c>
      <c r="B14" s="55" t="s">
        <v>1096</v>
      </c>
      <c r="C14" s="56" t="s">
        <v>1156</v>
      </c>
      <c r="D14" s="24" t="s">
        <v>1147</v>
      </c>
      <c r="E14" t="s">
        <v>1206</v>
      </c>
      <c r="F14" s="59">
        <v>2545</v>
      </c>
      <c r="G14" s="20">
        <f t="shared" si="0"/>
        <v>5.0330611818439668E-2</v>
      </c>
      <c r="H14" s="9" t="s">
        <v>597</v>
      </c>
      <c r="I14" s="9"/>
      <c r="J14" s="20">
        <f>IF(SUMIFS(Negociados!C:C,Negociados!B:B,E14,Negociados!A:A,A14,Negociados!D:D,"&lt;="&amp;$E$1,Negociados!E:E,"&gt;="&amp;$E$1),SUMIFS(Negociados!C:C,Negociados!B:B,E14,Negociados!A:A,A14,Negociados!D:D,"&lt;="&amp;$E$1,Negociados!E:E,"&gt;="&amp;$E$1),19%)</f>
        <v>0.13</v>
      </c>
    </row>
    <row r="15" spans="1:10" x14ac:dyDescent="0.35">
      <c r="A15" s="54" t="s">
        <v>609</v>
      </c>
      <c r="B15" s="55" t="s">
        <v>1097</v>
      </c>
      <c r="C15" s="56" t="s">
        <v>951</v>
      </c>
      <c r="D15" s="24" t="s">
        <v>1147</v>
      </c>
      <c r="E15" t="s">
        <v>1207</v>
      </c>
      <c r="F15" s="59">
        <v>1633</v>
      </c>
      <c r="G15" s="20">
        <f t="shared" si="0"/>
        <v>5.051515221992238E-2</v>
      </c>
      <c r="H15" s="9" t="s">
        <v>597</v>
      </c>
      <c r="I15" s="9"/>
      <c r="J15" s="20">
        <f>IF(SUMIFS(Negociados!C:C,Negociados!B:B,E15,Negociados!A:A,A15,Negociados!D:D,"&lt;="&amp;$E$1,Negociados!E:E,"&gt;="&amp;$E$1),SUMIFS(Negociados!C:C,Negociados!B:B,E15,Negociados!A:A,A15,Negociados!D:D,"&lt;="&amp;$E$1,Negociados!E:E,"&gt;="&amp;$E$1),19%)</f>
        <v>0.13</v>
      </c>
    </row>
    <row r="16" spans="1:10" x14ac:dyDescent="0.35">
      <c r="A16" s="54" t="s">
        <v>654</v>
      </c>
      <c r="B16" s="55" t="s">
        <v>1098</v>
      </c>
      <c r="C16" s="56" t="s">
        <v>1157</v>
      </c>
      <c r="D16" s="24" t="s">
        <v>1147</v>
      </c>
      <c r="E16" t="s">
        <v>1208</v>
      </c>
      <c r="F16">
        <v>588</v>
      </c>
      <c r="G16" s="20">
        <f t="shared" si="0"/>
        <v>5.1429308898496479E-2</v>
      </c>
      <c r="H16" s="9" t="s">
        <v>597</v>
      </c>
      <c r="I16" s="9"/>
      <c r="J16" s="20">
        <f>IF(SUMIFS(Negociados!C:C,Negociados!B:B,E16,Negociados!A:A,A16,Negociados!D:D,"&lt;="&amp;$E$1,Negociados!E:E,"&gt;="&amp;$E$1),SUMIFS(Negociados!C:C,Negociados!B:B,E16,Negociados!A:A,A16,Negociados!D:D,"&lt;="&amp;$E$1,Negociados!E:E,"&gt;="&amp;$E$1),19%)</f>
        <v>0.13</v>
      </c>
    </row>
    <row r="17" spans="1:10" x14ac:dyDescent="0.35">
      <c r="A17" s="54" t="s">
        <v>655</v>
      </c>
      <c r="B17" s="55" t="s">
        <v>1099</v>
      </c>
      <c r="C17" s="56" t="s">
        <v>1158</v>
      </c>
      <c r="D17" s="24" t="s">
        <v>1147</v>
      </c>
      <c r="E17" t="s">
        <v>1209</v>
      </c>
      <c r="F17" s="59">
        <v>2355</v>
      </c>
      <c r="G17" s="20">
        <f t="shared" si="0"/>
        <v>5.0357275352033208E-2</v>
      </c>
      <c r="H17" s="9" t="s">
        <v>597</v>
      </c>
      <c r="I17" s="9"/>
      <c r="J17" s="20">
        <f>IF(SUMIFS(Negociados!C:C,Negociados!B:B,E17,Negociados!A:A,A17,Negociados!D:D,"&lt;="&amp;$E$1,Negociados!E:E,"&gt;="&amp;$E$1),SUMIFS(Negociados!C:C,Negociados!B:B,E17,Negociados!A:A,A17,Negociados!D:D,"&lt;="&amp;$E$1,Negociados!E:E,"&gt;="&amp;$E$1),19%)</f>
        <v>0.13</v>
      </c>
    </row>
    <row r="18" spans="1:10" x14ac:dyDescent="0.35">
      <c r="A18" s="54" t="s">
        <v>488</v>
      </c>
      <c r="B18" s="55" t="s">
        <v>1100</v>
      </c>
      <c r="C18" s="56" t="s">
        <v>1159</v>
      </c>
      <c r="D18" s="24" t="s">
        <v>1147</v>
      </c>
      <c r="E18" t="s">
        <v>1210</v>
      </c>
      <c r="F18" s="59">
        <v>1329</v>
      </c>
      <c r="G18" s="20">
        <f t="shared" si="0"/>
        <v>5.0632911392405139E-2</v>
      </c>
      <c r="H18" s="9" t="s">
        <v>597</v>
      </c>
      <c r="I18" s="9"/>
      <c r="J18" s="20">
        <f>IF(SUMIFS(Negociados!C:C,Negociados!B:B,E18,Negociados!A:A,A18,Negociados!D:D,"&lt;="&amp;$E$1,Negociados!E:E,"&gt;="&amp;$E$1),SUMIFS(Negociados!C:C,Negociados!B:B,E18,Negociados!A:A,A18,Negociados!D:D,"&lt;="&amp;$E$1,Negociados!E:E,"&gt;="&amp;$E$1),19%)</f>
        <v>0.13</v>
      </c>
    </row>
    <row r="19" spans="1:10" x14ac:dyDescent="0.35">
      <c r="A19" s="54" t="s">
        <v>656</v>
      </c>
      <c r="B19" s="55" t="s">
        <v>1101</v>
      </c>
      <c r="C19" s="56" t="s">
        <v>1160</v>
      </c>
      <c r="D19" s="24" t="s">
        <v>1147</v>
      </c>
      <c r="E19" t="s">
        <v>1211</v>
      </c>
      <c r="F19" s="59">
        <v>1035</v>
      </c>
      <c r="G19" s="20">
        <f t="shared" si="0"/>
        <v>5.0354167431276936E-2</v>
      </c>
      <c r="H19" s="9" t="s">
        <v>597</v>
      </c>
      <c r="I19" s="9"/>
      <c r="J19" s="20">
        <f>IF(SUMIFS(Negociados!C:C,Negociados!B:B,E19,Negociados!A:A,A19,Negociados!D:D,"&lt;="&amp;$E$1,Negociados!E:E,"&gt;="&amp;$E$1),SUMIFS(Negociados!C:C,Negociados!B:B,E19,Negociados!A:A,A19,Negociados!D:D,"&lt;="&amp;$E$1,Negociados!E:E,"&gt;="&amp;$E$1),19%)</f>
        <v>0.13</v>
      </c>
    </row>
    <row r="20" spans="1:10" x14ac:dyDescent="0.35">
      <c r="A20" s="54" t="s">
        <v>657</v>
      </c>
      <c r="B20" s="55" t="s">
        <v>1102</v>
      </c>
      <c r="C20" s="56" t="s">
        <v>1161</v>
      </c>
      <c r="D20" s="24" t="s">
        <v>1147</v>
      </c>
      <c r="E20" t="s">
        <v>1212</v>
      </c>
      <c r="F20">
        <v>740</v>
      </c>
      <c r="G20" s="20">
        <f t="shared" si="0"/>
        <v>5.1269888075488157E-2</v>
      </c>
      <c r="H20" s="9" t="s">
        <v>597</v>
      </c>
      <c r="I20" s="9"/>
      <c r="J20" s="20">
        <f>IF(SUMIFS(Negociados!C:C,Negociados!B:B,E20,Negociados!A:A,A20,Negociados!D:D,"&lt;="&amp;$E$1,Negociados!E:E,"&gt;="&amp;$E$1),SUMIFS(Negociados!C:C,Negociados!B:B,E20,Negociados!A:A,A20,Negociados!D:D,"&lt;="&amp;$E$1,Negociados!E:E,"&gt;="&amp;$E$1),19%)</f>
        <v>0.19</v>
      </c>
    </row>
    <row r="21" spans="1:10" x14ac:dyDescent="0.35">
      <c r="A21" s="54" t="s">
        <v>608</v>
      </c>
      <c r="B21" s="55" t="s">
        <v>1103</v>
      </c>
      <c r="C21" s="56" t="s">
        <v>950</v>
      </c>
      <c r="D21" s="24" t="s">
        <v>1147</v>
      </c>
      <c r="E21" t="s">
        <v>1213</v>
      </c>
      <c r="F21" s="59">
        <v>1196</v>
      </c>
      <c r="G21" s="20">
        <f t="shared" si="0"/>
        <v>5.0703241578563117E-2</v>
      </c>
      <c r="H21" s="9" t="s">
        <v>597</v>
      </c>
      <c r="I21" s="9"/>
      <c r="J21" s="20">
        <f>IF(SUMIFS(Negociados!C:C,Negociados!B:B,E21,Negociados!A:A,A21,Negociados!D:D,"&lt;="&amp;$E$1,Negociados!E:E,"&gt;="&amp;$E$1),SUMIFS(Negociados!C:C,Negociados!B:B,E21,Negociados!A:A,A21,Negociados!D:D,"&lt;="&amp;$E$1,Negociados!E:E,"&gt;="&amp;$E$1),19%)</f>
        <v>0.13</v>
      </c>
    </row>
    <row r="22" spans="1:10" x14ac:dyDescent="0.35">
      <c r="A22" s="54" t="s">
        <v>658</v>
      </c>
      <c r="B22" s="55" t="s">
        <v>1104</v>
      </c>
      <c r="C22" s="56" t="s">
        <v>1162</v>
      </c>
      <c r="D22" s="24" t="s">
        <v>1147</v>
      </c>
      <c r="E22" t="s">
        <v>1214</v>
      </c>
      <c r="F22" s="59">
        <v>1500</v>
      </c>
      <c r="G22" s="20">
        <f t="shared" si="0"/>
        <v>5.0560802086234466E-2</v>
      </c>
      <c r="H22" s="9" t="s">
        <v>597</v>
      </c>
      <c r="I22" s="9"/>
      <c r="J22" s="20">
        <f>IF(SUMIFS(Negociados!C:C,Negociados!B:B,E22,Negociados!A:A,A22,Negociados!D:D,"&lt;="&amp;$E$1,Negociados!E:E,"&gt;="&amp;$E$1),SUMIFS(Negociados!C:C,Negociados!B:B,E22,Negociados!A:A,A22,Negociados!D:D,"&lt;="&amp;$E$1,Negociados!E:E,"&gt;="&amp;$E$1),19%)</f>
        <v>0.13</v>
      </c>
    </row>
    <row r="23" spans="1:10" x14ac:dyDescent="0.35">
      <c r="A23" s="54" t="s">
        <v>659</v>
      </c>
      <c r="B23" s="55" t="s">
        <v>1105</v>
      </c>
      <c r="C23" s="56" t="s">
        <v>1163</v>
      </c>
      <c r="D23" s="24" t="s">
        <v>1147</v>
      </c>
      <c r="E23" t="s">
        <v>1214</v>
      </c>
      <c r="F23" s="59">
        <v>1500</v>
      </c>
      <c r="G23" s="20">
        <f t="shared" si="0"/>
        <v>5.0560802086234466E-2</v>
      </c>
      <c r="H23" s="9" t="s">
        <v>597</v>
      </c>
      <c r="I23" s="9"/>
      <c r="J23" s="20">
        <f>IF(SUMIFS(Negociados!C:C,Negociados!B:B,E23,Negociados!A:A,A23,Negociados!D:D,"&lt;="&amp;$E$1,Negociados!E:E,"&gt;="&amp;$E$1),SUMIFS(Negociados!C:C,Negociados!B:B,E23,Negociados!A:A,A23,Negociados!D:D,"&lt;="&amp;$E$1,Negociados!E:E,"&gt;="&amp;$E$1),19%)</f>
        <v>0.13</v>
      </c>
    </row>
    <row r="24" spans="1:10" x14ac:dyDescent="0.35">
      <c r="A24" s="54" t="s">
        <v>660</v>
      </c>
      <c r="B24" s="55" t="s">
        <v>1106</v>
      </c>
      <c r="C24" s="56" t="s">
        <v>1164</v>
      </c>
      <c r="D24" s="24" t="s">
        <v>1147</v>
      </c>
      <c r="E24" t="s">
        <v>1215</v>
      </c>
      <c r="F24" s="59">
        <v>1168</v>
      </c>
      <c r="G24" s="20">
        <f t="shared" si="0"/>
        <v>5.0313851757895163E-2</v>
      </c>
      <c r="H24" s="9" t="s">
        <v>597</v>
      </c>
      <c r="I24" s="9"/>
      <c r="J24" s="20">
        <f>IF(SUMIFS(Negociados!C:C,Negociados!B:B,E24,Negociados!A:A,A24,Negociados!D:D,"&lt;="&amp;$E$1,Negociados!E:E,"&gt;="&amp;$E$1),SUMIFS(Negociados!C:C,Negociados!B:B,E24,Negociados!A:A,A24,Negociados!D:D,"&lt;="&amp;$E$1,Negociados!E:E,"&gt;="&amp;$E$1),19%)</f>
        <v>0.13</v>
      </c>
    </row>
    <row r="25" spans="1:10" x14ac:dyDescent="0.35">
      <c r="A25" s="54" t="s">
        <v>661</v>
      </c>
      <c r="B25" s="55" t="s">
        <v>1107</v>
      </c>
      <c r="C25" s="56" t="s">
        <v>1165</v>
      </c>
      <c r="D25" s="24" t="s">
        <v>1147</v>
      </c>
      <c r="E25" t="s">
        <v>1216</v>
      </c>
      <c r="F25" s="59">
        <v>2422</v>
      </c>
      <c r="G25" s="20">
        <f t="shared" si="0"/>
        <v>5.0151379672768955E-2</v>
      </c>
      <c r="H25" s="9" t="s">
        <v>597</v>
      </c>
      <c r="I25" s="9"/>
      <c r="J25" s="20">
        <f>IF(SUMIFS(Negociados!C:C,Negociados!B:B,E25,Negociados!A:A,A25,Negociados!D:D,"&lt;="&amp;$E$1,Negociados!E:E,"&gt;="&amp;$E$1),SUMIFS(Negociados!C:C,Negociados!B:B,E25,Negociados!A:A,A25,Negociados!D:D,"&lt;="&amp;$E$1,Negociados!E:E,"&gt;="&amp;$E$1),19%)</f>
        <v>0.13</v>
      </c>
    </row>
    <row r="26" spans="1:10" x14ac:dyDescent="0.35">
      <c r="A26" s="54" t="s">
        <v>594</v>
      </c>
      <c r="B26" s="55" t="s">
        <v>1108</v>
      </c>
      <c r="C26" s="56" t="s">
        <v>1166</v>
      </c>
      <c r="D26" s="24" t="s">
        <v>1147</v>
      </c>
      <c r="E26" t="s">
        <v>1207</v>
      </c>
      <c r="F26" s="59">
        <v>1633</v>
      </c>
      <c r="G26" s="20">
        <f t="shared" si="0"/>
        <v>5.051515221992238E-2</v>
      </c>
      <c r="H26" s="9" t="s">
        <v>597</v>
      </c>
      <c r="I26" s="9"/>
      <c r="J26" s="20">
        <f>IF(SUMIFS(Negociados!C:C,Negociados!B:B,E26,Negociados!A:A,A26,Negociados!D:D,"&lt;="&amp;$E$1,Negociados!E:E,"&gt;="&amp;$E$1),SUMIFS(Negociados!C:C,Negociados!B:B,E26,Negociados!A:A,A26,Negociados!D:D,"&lt;="&amp;$E$1,Negociados!E:E,"&gt;="&amp;$E$1),19%)</f>
        <v>0.13</v>
      </c>
    </row>
    <row r="27" spans="1:10" x14ac:dyDescent="0.35">
      <c r="A27" s="54" t="s">
        <v>464</v>
      </c>
      <c r="B27" s="55" t="s">
        <v>1109</v>
      </c>
      <c r="C27" s="56" t="s">
        <v>1167</v>
      </c>
      <c r="D27" s="24" t="s">
        <v>1147</v>
      </c>
      <c r="E27" t="s">
        <v>1210</v>
      </c>
      <c r="F27" s="59">
        <v>1329</v>
      </c>
      <c r="G27" s="20">
        <f t="shared" si="0"/>
        <v>5.0632911392405139E-2</v>
      </c>
      <c r="H27" s="9" t="s">
        <v>597</v>
      </c>
      <c r="I27" s="9"/>
      <c r="J27" s="20">
        <f>IF(SUMIFS(Negociados!C:C,Negociados!B:B,E27,Negociados!A:A,A27,Negociados!D:D,"&lt;="&amp;$E$1,Negociados!E:E,"&gt;="&amp;$E$1),SUMIFS(Negociados!C:C,Negociados!B:B,E27,Negociados!A:A,A27,Negociados!D:D,"&lt;="&amp;$E$1,Negociados!E:E,"&gt;="&amp;$E$1),19%)</f>
        <v>0.13</v>
      </c>
    </row>
    <row r="28" spans="1:10" x14ac:dyDescent="0.35">
      <c r="A28" s="54" t="s">
        <v>460</v>
      </c>
      <c r="B28" s="55" t="s">
        <v>1110</v>
      </c>
      <c r="C28" s="56" t="s">
        <v>1168</v>
      </c>
      <c r="D28" s="24" t="s">
        <v>1147</v>
      </c>
      <c r="E28" t="s">
        <v>1210</v>
      </c>
      <c r="F28" s="59">
        <v>1329</v>
      </c>
      <c r="G28" s="20">
        <f t="shared" si="0"/>
        <v>5.0632911392405139E-2</v>
      </c>
      <c r="H28" s="9" t="s">
        <v>597</v>
      </c>
      <c r="I28" s="9"/>
      <c r="J28" s="20">
        <f>IF(SUMIFS(Negociados!C:C,Negociados!B:B,E28,Negociados!A:A,A28,Negociados!D:D,"&lt;="&amp;$E$1,Negociados!E:E,"&gt;="&amp;$E$1),SUMIFS(Negociados!C:C,Negociados!B:B,E28,Negociados!A:A,A28,Negociados!D:D,"&lt;="&amp;$E$1,Negociados!E:E,"&gt;="&amp;$E$1),19%)</f>
        <v>0.13</v>
      </c>
    </row>
    <row r="29" spans="1:10" x14ac:dyDescent="0.35">
      <c r="A29" s="54" t="s">
        <v>662</v>
      </c>
      <c r="B29" s="55" t="s">
        <v>1111</v>
      </c>
      <c r="C29" s="56" t="s">
        <v>1169</v>
      </c>
      <c r="D29" s="24" t="s">
        <v>1147</v>
      </c>
      <c r="E29" t="s">
        <v>1217</v>
      </c>
      <c r="F29" s="59">
        <v>1928</v>
      </c>
      <c r="G29" s="20">
        <f t="shared" si="0"/>
        <v>5.0190159024178824E-2</v>
      </c>
      <c r="H29" s="9" t="s">
        <v>597</v>
      </c>
      <c r="I29" s="9"/>
      <c r="J29" s="20">
        <f>IF(SUMIFS(Negociados!C:C,Negociados!B:B,E29,Negociados!A:A,A29,Negociados!D:D,"&lt;="&amp;$E$1,Negociados!E:E,"&gt;="&amp;$E$1),SUMIFS(Negociados!C:C,Negociados!B:B,E29,Negociados!A:A,A29,Negociados!D:D,"&lt;="&amp;$E$1,Negociados!E:E,"&gt;="&amp;$E$1),19%)</f>
        <v>0.13</v>
      </c>
    </row>
    <row r="30" spans="1:10" x14ac:dyDescent="0.35">
      <c r="A30" s="54" t="s">
        <v>607</v>
      </c>
      <c r="B30" s="55" t="s">
        <v>1112</v>
      </c>
      <c r="C30" s="56" t="s">
        <v>948</v>
      </c>
      <c r="D30" s="24" t="s">
        <v>1147</v>
      </c>
      <c r="E30" t="s">
        <v>1206</v>
      </c>
      <c r="F30" s="59">
        <v>2545</v>
      </c>
      <c r="G30" s="20">
        <f t="shared" si="0"/>
        <v>5.0330611818439668E-2</v>
      </c>
      <c r="H30" s="9" t="s">
        <v>597</v>
      </c>
      <c r="I30" s="9"/>
      <c r="J30" s="20">
        <f>IF(SUMIFS(Negociados!C:C,Negociados!B:B,E30,Negociados!A:A,A30,Negociados!D:D,"&lt;="&amp;$E$1,Negociados!E:E,"&gt;="&amp;$E$1),SUMIFS(Negociados!C:C,Negociados!B:B,E30,Negociados!A:A,A30,Negociados!D:D,"&lt;="&amp;$E$1,Negociados!E:E,"&gt;="&amp;$E$1),19%)</f>
        <v>0.13</v>
      </c>
    </row>
    <row r="31" spans="1:10" x14ac:dyDescent="0.35">
      <c r="A31" s="54" t="s">
        <v>663</v>
      </c>
      <c r="B31" s="55" t="s">
        <v>1113</v>
      </c>
      <c r="C31" s="56" t="s">
        <v>1170</v>
      </c>
      <c r="D31" s="24" t="s">
        <v>1147</v>
      </c>
      <c r="E31" t="s">
        <v>1218</v>
      </c>
      <c r="F31" s="59">
        <v>1709</v>
      </c>
      <c r="G31" s="20">
        <f t="shared" si="0"/>
        <v>5.0492255039224894E-2</v>
      </c>
      <c r="H31" s="9" t="s">
        <v>597</v>
      </c>
      <c r="I31" s="9"/>
      <c r="J31" s="20">
        <f>IF(SUMIFS(Negociados!C:C,Negociados!B:B,E31,Negociados!A:A,A31,Negociados!D:D,"&lt;="&amp;$E$1,Negociados!E:E,"&gt;="&amp;$E$1),SUMIFS(Negociados!C:C,Negociados!B:B,E31,Negociados!A:A,A31,Negociados!D:D,"&lt;="&amp;$E$1,Negociados!E:E,"&gt;="&amp;$E$1),19%)</f>
        <v>0.13</v>
      </c>
    </row>
    <row r="32" spans="1:10" x14ac:dyDescent="0.35">
      <c r="A32" s="54" t="s">
        <v>664</v>
      </c>
      <c r="B32" s="55" t="s">
        <v>1114</v>
      </c>
      <c r="C32" s="56" t="s">
        <v>1171</v>
      </c>
      <c r="D32" s="24" t="s">
        <v>1147</v>
      </c>
      <c r="E32" t="s">
        <v>1219</v>
      </c>
      <c r="F32" s="59">
        <v>3391</v>
      </c>
      <c r="G32" s="20">
        <f t="shared" si="0"/>
        <v>5.0108126883816849E-2</v>
      </c>
      <c r="H32" s="9" t="s">
        <v>597</v>
      </c>
      <c r="I32" s="9"/>
      <c r="J32" s="20">
        <f>IF(SUMIFS(Negociados!C:C,Negociados!B:B,E32,Negociados!A:A,A32,Negociados!D:D,"&lt;="&amp;$E$1,Negociados!E:E,"&gt;="&amp;$E$1),SUMIFS(Negociados!C:C,Negociados!B:B,E32,Negociados!A:A,A32,Negociados!D:D,"&lt;="&amp;$E$1,Negociados!E:E,"&gt;="&amp;$E$1),19%)</f>
        <v>0.13</v>
      </c>
    </row>
    <row r="33" spans="1:10" x14ac:dyDescent="0.35">
      <c r="A33" s="54" t="s">
        <v>665</v>
      </c>
      <c r="B33" s="55" t="s">
        <v>1115</v>
      </c>
      <c r="C33" s="56" t="s">
        <v>1172</v>
      </c>
      <c r="D33" s="24" t="s">
        <v>1147</v>
      </c>
      <c r="E33" t="s">
        <v>1220</v>
      </c>
      <c r="F33" s="59">
        <v>2403</v>
      </c>
      <c r="G33" s="20">
        <f t="shared" si="0"/>
        <v>5.0152576406786137E-2</v>
      </c>
      <c r="H33" s="9" t="s">
        <v>597</v>
      </c>
      <c r="I33" s="9"/>
      <c r="J33" s="20">
        <f>IF(SUMIFS(Negociados!C:C,Negociados!B:B,E33,Negociados!A:A,A33,Negociados!D:D,"&lt;="&amp;$E$1,Negociados!E:E,"&gt;="&amp;$E$1),SUMIFS(Negociados!C:C,Negociados!B:B,E33,Negociados!A:A,A33,Negociados!D:D,"&lt;="&amp;$E$1,Negociados!E:E,"&gt;="&amp;$E$1),19%)</f>
        <v>0.13</v>
      </c>
    </row>
    <row r="34" spans="1:10" x14ac:dyDescent="0.35">
      <c r="A34" s="54" t="s">
        <v>283</v>
      </c>
      <c r="B34" s="55" t="s">
        <v>1116</v>
      </c>
      <c r="C34" s="56" t="s">
        <v>943</v>
      </c>
      <c r="D34" s="24" t="s">
        <v>1147</v>
      </c>
      <c r="E34" t="s">
        <v>1221</v>
      </c>
      <c r="F34">
        <v>778</v>
      </c>
      <c r="G34" s="20">
        <f t="shared" si="0"/>
        <v>5.1080645948187536E-2</v>
      </c>
      <c r="H34" s="9" t="s">
        <v>597</v>
      </c>
      <c r="I34" s="9"/>
      <c r="J34" s="20">
        <f>IF(SUMIFS(Negociados!C:C,Negociados!B:B,E34,Negociados!A:A,A34,Negociados!D:D,"&lt;="&amp;$E$1,Negociados!E:E,"&gt;="&amp;$E$1),SUMIFS(Negociados!C:C,Negociados!B:B,E34,Negociados!A:A,A34,Negociados!D:D,"&lt;="&amp;$E$1,Negociados!E:E,"&gt;="&amp;$E$1),19%)</f>
        <v>0.13</v>
      </c>
    </row>
    <row r="35" spans="1:10" x14ac:dyDescent="0.35">
      <c r="A35" s="54" t="s">
        <v>666</v>
      </c>
      <c r="B35" s="55" t="s">
        <v>1117</v>
      </c>
      <c r="C35" s="56" t="s">
        <v>1173</v>
      </c>
      <c r="D35" s="24" t="s">
        <v>1147</v>
      </c>
      <c r="E35" t="s">
        <v>1211</v>
      </c>
      <c r="F35" s="59">
        <v>1035</v>
      </c>
      <c r="G35" s="20">
        <f t="shared" si="0"/>
        <v>5.0354167431276936E-2</v>
      </c>
      <c r="H35" s="9" t="s">
        <v>597</v>
      </c>
      <c r="I35" s="9"/>
      <c r="J35" s="20">
        <f>IF(SUMIFS(Negociados!C:C,Negociados!B:B,E35,Negociados!A:A,A35,Negociados!D:D,"&lt;="&amp;$E$1,Negociados!E:E,"&gt;="&amp;$E$1),SUMIFS(Negociados!C:C,Negociados!B:B,E35,Negociados!A:A,A35,Negociados!D:D,"&lt;="&amp;$E$1,Negociados!E:E,"&gt;="&amp;$E$1),19%)</f>
        <v>0.13</v>
      </c>
    </row>
    <row r="36" spans="1:10" x14ac:dyDescent="0.35">
      <c r="A36" s="54" t="s">
        <v>667</v>
      </c>
      <c r="B36" s="55" t="s">
        <v>1118</v>
      </c>
      <c r="C36" s="56" t="s">
        <v>1174</v>
      </c>
      <c r="D36" s="24" t="s">
        <v>1147</v>
      </c>
      <c r="E36" t="s">
        <v>1213</v>
      </c>
      <c r="F36" s="59">
        <v>1196</v>
      </c>
      <c r="G36" s="20">
        <f t="shared" si="0"/>
        <v>5.0703241578563117E-2</v>
      </c>
      <c r="H36" s="9" t="s">
        <v>597</v>
      </c>
      <c r="I36" s="9"/>
      <c r="J36" s="20">
        <f>IF(SUMIFS(Negociados!C:C,Negociados!B:B,E36,Negociados!A:A,A36,Negociados!D:D,"&lt;="&amp;$E$1,Negociados!E:E,"&gt;="&amp;$E$1),SUMIFS(Negociados!C:C,Negociados!B:B,E36,Negociados!A:A,A36,Negociados!D:D,"&lt;="&amp;$E$1,Negociados!E:E,"&gt;="&amp;$E$1),19%)</f>
        <v>0.13</v>
      </c>
    </row>
    <row r="37" spans="1:10" x14ac:dyDescent="0.35">
      <c r="A37" s="54" t="s">
        <v>104</v>
      </c>
      <c r="B37" s="55" t="s">
        <v>1119</v>
      </c>
      <c r="C37" s="56" t="s">
        <v>1175</v>
      </c>
      <c r="D37" s="24" t="s">
        <v>1147</v>
      </c>
      <c r="E37" t="s">
        <v>1210</v>
      </c>
      <c r="F37" s="59">
        <v>1329</v>
      </c>
      <c r="G37" s="20">
        <f t="shared" si="0"/>
        <v>5.0632911392405139E-2</v>
      </c>
      <c r="H37" s="9" t="s">
        <v>597</v>
      </c>
      <c r="I37" s="9"/>
      <c r="J37" s="20">
        <f>IF(SUMIFS(Negociados!C:C,Negociados!B:B,E37,Negociados!A:A,A37,Negociados!D:D,"&lt;="&amp;$E$1,Negociados!E:E,"&gt;="&amp;$E$1),SUMIFS(Negociados!C:C,Negociados!B:B,E37,Negociados!A:A,A37,Negociados!D:D,"&lt;="&amp;$E$1,Negociados!E:E,"&gt;="&amp;$E$1),19%)</f>
        <v>0.13</v>
      </c>
    </row>
    <row r="38" spans="1:10" x14ac:dyDescent="0.35">
      <c r="A38" s="54" t="s">
        <v>611</v>
      </c>
      <c r="B38" s="55" t="s">
        <v>1120</v>
      </c>
      <c r="C38" s="56" t="s">
        <v>954</v>
      </c>
      <c r="D38" s="24" t="s">
        <v>1147</v>
      </c>
      <c r="E38" t="s">
        <v>1222</v>
      </c>
      <c r="F38" s="59">
        <v>1424</v>
      </c>
      <c r="G38" s="20">
        <f t="shared" si="0"/>
        <v>5.0590713923780638E-2</v>
      </c>
      <c r="H38" s="9" t="s">
        <v>597</v>
      </c>
      <c r="I38" s="9"/>
      <c r="J38" s="20">
        <f>IF(SUMIFS(Negociados!C:C,Negociados!B:B,E38,Negociados!A:A,A38,Negociados!D:D,"&lt;="&amp;$E$1,Negociados!E:E,"&gt;="&amp;$E$1),SUMIFS(Negociados!C:C,Negociados!B:B,E38,Negociados!A:A,A38,Negociados!D:D,"&lt;="&amp;$E$1,Negociados!E:E,"&gt;="&amp;$E$1),19%)</f>
        <v>0.13</v>
      </c>
    </row>
    <row r="39" spans="1:10" x14ac:dyDescent="0.35">
      <c r="A39" s="54" t="s">
        <v>75</v>
      </c>
      <c r="B39" s="55" t="s">
        <v>1121</v>
      </c>
      <c r="C39" s="56" t="s">
        <v>1176</v>
      </c>
      <c r="D39" s="24" t="s">
        <v>1147</v>
      </c>
      <c r="E39" t="s">
        <v>1223</v>
      </c>
      <c r="F39">
        <v>436</v>
      </c>
      <c r="G39" s="20">
        <f t="shared" si="0"/>
        <v>5.1926589545098711E-2</v>
      </c>
      <c r="H39" s="9" t="s">
        <v>597</v>
      </c>
      <c r="I39" s="9"/>
      <c r="J39" s="20">
        <f>IF(SUMIFS(Negociados!C:C,Negociados!B:B,E39,Negociados!A:A,A39,Negociados!D:D,"&lt;="&amp;$E$1,Negociados!E:E,"&gt;="&amp;$E$1),SUMIFS(Negociados!C:C,Negociados!B:B,E39,Negociados!A:A,A39,Negociados!D:D,"&lt;="&amp;$E$1,Negociados!E:E,"&gt;="&amp;$E$1),19%)</f>
        <v>0.13</v>
      </c>
    </row>
    <row r="40" spans="1:10" x14ac:dyDescent="0.35">
      <c r="A40" s="54" t="s">
        <v>523</v>
      </c>
      <c r="B40" s="55" t="s">
        <v>1122</v>
      </c>
      <c r="C40" s="56" t="s">
        <v>922</v>
      </c>
      <c r="D40" s="24" t="s">
        <v>1147</v>
      </c>
      <c r="E40" t="s">
        <v>1224</v>
      </c>
      <c r="F40">
        <v>826</v>
      </c>
      <c r="G40" s="20">
        <f t="shared" si="0"/>
        <v>5.0443739366349376E-2</v>
      </c>
      <c r="H40" s="9" t="s">
        <v>597</v>
      </c>
      <c r="I40" s="9"/>
      <c r="J40" s="20">
        <f>IF(SUMIFS(Negociados!C:C,Negociados!B:B,E40,Negociados!A:A,A40,Negociados!D:D,"&lt;="&amp;$E$1,Negociados!E:E,"&gt;="&amp;$E$1),SUMIFS(Negociados!C:C,Negociados!B:B,E40,Negociados!A:A,A40,Negociados!D:D,"&lt;="&amp;$E$1,Negociados!E:E,"&gt;="&amp;$E$1),19%)</f>
        <v>0.13</v>
      </c>
    </row>
    <row r="41" spans="1:10" x14ac:dyDescent="0.35">
      <c r="A41" s="54" t="s">
        <v>564</v>
      </c>
      <c r="B41" s="55" t="s">
        <v>1123</v>
      </c>
      <c r="C41" s="56" t="s">
        <v>1177</v>
      </c>
      <c r="D41" s="24" t="s">
        <v>1147</v>
      </c>
      <c r="E41" t="s">
        <v>1223</v>
      </c>
      <c r="F41">
        <v>436</v>
      </c>
      <c r="G41" s="20">
        <f t="shared" si="0"/>
        <v>5.1926589545098711E-2</v>
      </c>
      <c r="H41" s="9" t="s">
        <v>597</v>
      </c>
      <c r="I41" s="9"/>
      <c r="J41" s="20">
        <f>IF(SUMIFS(Negociados!C:C,Negociados!B:B,E41,Negociados!A:A,A41,Negociados!D:D,"&lt;="&amp;$E$1,Negociados!E:E,"&gt;="&amp;$E$1),SUMIFS(Negociados!C:C,Negociados!B:B,E41,Negociados!A:A,A41,Negociados!D:D,"&lt;="&amp;$E$1,Negociados!E:E,"&gt;="&amp;$E$1),19%)</f>
        <v>0.13</v>
      </c>
    </row>
    <row r="42" spans="1:10" x14ac:dyDescent="0.35">
      <c r="A42" s="54" t="s">
        <v>668</v>
      </c>
      <c r="B42" s="55" t="s">
        <v>1124</v>
      </c>
      <c r="C42" s="56" t="s">
        <v>1178</v>
      </c>
      <c r="D42" s="24" t="s">
        <v>1147</v>
      </c>
      <c r="E42" t="s">
        <v>1206</v>
      </c>
      <c r="F42" s="59">
        <v>2545</v>
      </c>
      <c r="G42" s="20">
        <f t="shared" si="0"/>
        <v>5.0330611818439668E-2</v>
      </c>
      <c r="H42" s="9" t="s">
        <v>597</v>
      </c>
      <c r="I42" s="9"/>
      <c r="J42" s="20">
        <f>IF(SUMIFS(Negociados!C:C,Negociados!B:B,E42,Negociados!A:A,A42,Negociados!D:D,"&lt;="&amp;$E$1,Negociados!E:E,"&gt;="&amp;$E$1),SUMIFS(Negociados!C:C,Negociados!B:B,E42,Negociados!A:A,A42,Negociados!D:D,"&lt;="&amp;$E$1,Negociados!E:E,"&gt;="&amp;$E$1),19%)</f>
        <v>0.13</v>
      </c>
    </row>
    <row r="43" spans="1:10" x14ac:dyDescent="0.35">
      <c r="A43" s="54" t="s">
        <v>669</v>
      </c>
      <c r="B43" s="55" t="s">
        <v>1125</v>
      </c>
      <c r="C43" s="56" t="s">
        <v>1179</v>
      </c>
      <c r="D43" s="24" t="s">
        <v>1147</v>
      </c>
      <c r="E43" t="s">
        <v>1225</v>
      </c>
      <c r="F43" s="59">
        <v>2222</v>
      </c>
      <c r="G43" s="20">
        <f t="shared" si="0"/>
        <v>5.0378651896678506E-2</v>
      </c>
      <c r="H43" s="9" t="s">
        <v>597</v>
      </c>
      <c r="I43" s="9"/>
      <c r="J43" s="20">
        <f>IF(SUMIFS(Negociados!C:C,Negociados!B:B,E43,Negociados!A:A,A43,Negociados!D:D,"&lt;="&amp;$E$1,Negociados!E:E,"&gt;="&amp;$E$1),SUMIFS(Negociados!C:C,Negociados!B:B,E43,Negociados!A:A,A43,Negociados!D:D,"&lt;="&amp;$E$1,Negociados!E:E,"&gt;="&amp;$E$1),19%)</f>
        <v>0.13</v>
      </c>
    </row>
    <row r="44" spans="1:10" x14ac:dyDescent="0.35">
      <c r="A44" s="54" t="s">
        <v>407</v>
      </c>
      <c r="B44" s="55" t="s">
        <v>1126</v>
      </c>
      <c r="C44" s="56" t="s">
        <v>952</v>
      </c>
      <c r="D44" s="24" t="s">
        <v>1147</v>
      </c>
      <c r="E44" t="s">
        <v>1226</v>
      </c>
      <c r="F44" s="59">
        <v>1880</v>
      </c>
      <c r="G44" s="20">
        <f t="shared" si="0"/>
        <v>5.0447501868800183E-2</v>
      </c>
      <c r="H44" s="9" t="s">
        <v>597</v>
      </c>
      <c r="I44" s="9"/>
      <c r="J44" s="20">
        <f>IF(SUMIFS(Negociados!C:C,Negociados!B:B,E44,Negociados!A:A,A44,Negociados!D:D,"&lt;="&amp;$E$1,Negociados!E:E,"&gt;="&amp;$E$1),SUMIFS(Negociados!C:C,Negociados!B:B,E44,Negociados!A:A,A44,Negociados!D:D,"&lt;="&amp;$E$1,Negociados!E:E,"&gt;="&amp;$E$1),19%)</f>
        <v>0.13</v>
      </c>
    </row>
    <row r="45" spans="1:10" x14ac:dyDescent="0.35">
      <c r="A45" s="54" t="s">
        <v>670</v>
      </c>
      <c r="B45" s="55" t="s">
        <v>1127</v>
      </c>
      <c r="C45" s="56" t="s">
        <v>1180</v>
      </c>
      <c r="D45" s="24" t="s">
        <v>1147</v>
      </c>
      <c r="E45" t="s">
        <v>1226</v>
      </c>
      <c r="F45" s="59">
        <v>1880</v>
      </c>
      <c r="G45" s="20">
        <f t="shared" si="0"/>
        <v>5.0447501868800183E-2</v>
      </c>
      <c r="H45" s="9" t="s">
        <v>597</v>
      </c>
      <c r="I45" s="9"/>
      <c r="J45" s="20">
        <f>IF(SUMIFS(Negociados!C:C,Negociados!B:B,E45,Negociados!A:A,A45,Negociados!D:D,"&lt;="&amp;$E$1,Negociados!E:E,"&gt;="&amp;$E$1),SUMIFS(Negociados!C:C,Negociados!B:B,E45,Negociados!A:A,A45,Negociados!D:D,"&lt;="&amp;$E$1,Negociados!E:E,"&gt;="&amp;$E$1),19%)</f>
        <v>0.13</v>
      </c>
    </row>
    <row r="46" spans="1:10" x14ac:dyDescent="0.35">
      <c r="A46" s="54" t="s">
        <v>671</v>
      </c>
      <c r="B46" s="55" t="s">
        <v>1128</v>
      </c>
      <c r="C46" s="56" t="s">
        <v>1181</v>
      </c>
      <c r="D46" s="24" t="s">
        <v>1147</v>
      </c>
      <c r="E46" t="s">
        <v>1227</v>
      </c>
      <c r="F46" s="59">
        <v>1291</v>
      </c>
      <c r="G46" s="20">
        <f t="shared" si="0"/>
        <v>5.0651528076006785E-2</v>
      </c>
      <c r="H46" s="9" t="s">
        <v>597</v>
      </c>
      <c r="I46" s="9"/>
      <c r="J46" s="20">
        <f>IF(SUMIFS(Negociados!C:C,Negociados!B:B,E46,Negociados!A:A,A46,Negociados!D:D,"&lt;="&amp;$E$1,Negociados!E:E,"&gt;="&amp;$E$1),SUMIFS(Negociados!C:C,Negociados!B:B,E46,Negociados!A:A,A46,Negociados!D:D,"&lt;="&amp;$E$1,Negociados!E:E,"&gt;="&amp;$E$1),19%)</f>
        <v>0.13</v>
      </c>
    </row>
    <row r="47" spans="1:10" x14ac:dyDescent="0.35">
      <c r="A47" s="54" t="s">
        <v>672</v>
      </c>
      <c r="B47" s="55" t="s">
        <v>1129</v>
      </c>
      <c r="C47" s="56" t="s">
        <v>1182</v>
      </c>
      <c r="D47" s="24" t="s">
        <v>1147</v>
      </c>
      <c r="E47" t="s">
        <v>1228</v>
      </c>
      <c r="F47" s="59">
        <v>1234</v>
      </c>
      <c r="G47" s="20">
        <f t="shared" si="0"/>
        <v>5.0681601378588875E-2</v>
      </c>
      <c r="H47" s="9" t="s">
        <v>597</v>
      </c>
      <c r="I47" s="9"/>
      <c r="J47" s="20">
        <f>IF(SUMIFS(Negociados!C:C,Negociados!B:B,E47,Negociados!A:A,A47,Negociados!D:D,"&lt;="&amp;$E$1,Negociados!E:E,"&gt;="&amp;$E$1),SUMIFS(Negociados!C:C,Negociados!B:B,E47,Negociados!A:A,A47,Negociados!D:D,"&lt;="&amp;$E$1,Negociados!E:E,"&gt;="&amp;$E$1),19%)</f>
        <v>0.13</v>
      </c>
    </row>
    <row r="48" spans="1:10" x14ac:dyDescent="0.35">
      <c r="A48" s="54" t="s">
        <v>673</v>
      </c>
      <c r="B48" s="55" t="s">
        <v>1130</v>
      </c>
      <c r="C48" s="56" t="s">
        <v>1183</v>
      </c>
      <c r="D48" s="24" t="s">
        <v>1147</v>
      </c>
      <c r="E48" t="s">
        <v>1229</v>
      </c>
      <c r="F48" s="59">
        <v>1206</v>
      </c>
      <c r="G48" s="20">
        <f t="shared" si="0"/>
        <v>5.0303965729045344E-2</v>
      </c>
      <c r="H48" s="9" t="s">
        <v>597</v>
      </c>
      <c r="I48" s="9"/>
      <c r="J48" s="20">
        <f>IF(SUMIFS(Negociados!C:C,Negociados!B:B,E48,Negociados!A:A,A48,Negociados!D:D,"&lt;="&amp;$E$1,Negociados!E:E,"&gt;="&amp;$E$1),SUMIFS(Negociados!C:C,Negociados!B:B,E48,Negociados!A:A,A48,Negociados!D:D,"&lt;="&amp;$E$1,Negociados!E:E,"&gt;="&amp;$E$1),19%)</f>
        <v>0.13</v>
      </c>
    </row>
    <row r="49" spans="1:10" x14ac:dyDescent="0.35">
      <c r="A49" s="54" t="s">
        <v>674</v>
      </c>
      <c r="B49" s="55" t="s">
        <v>1131</v>
      </c>
      <c r="C49" s="56" t="s">
        <v>1184</v>
      </c>
      <c r="D49" s="24" t="s">
        <v>1147</v>
      </c>
      <c r="E49" t="s">
        <v>1202</v>
      </c>
      <c r="F49" s="59">
        <v>1130</v>
      </c>
      <c r="G49" s="20">
        <f t="shared" si="0"/>
        <v>5.0324402460752433E-2</v>
      </c>
      <c r="H49" s="9" t="s">
        <v>597</v>
      </c>
      <c r="I49" s="9"/>
      <c r="J49" s="20">
        <f>IF(SUMIFS(Negociados!C:C,Negociados!B:B,E49,Negociados!A:A,A49,Negociados!D:D,"&lt;="&amp;$E$1,Negociados!E:E,"&gt;="&amp;$E$1),SUMIFS(Negociados!C:C,Negociados!B:B,E49,Negociados!A:A,A49,Negociados!D:D,"&lt;="&amp;$E$1,Negociados!E:E,"&gt;="&amp;$E$1),19%)</f>
        <v>0.13</v>
      </c>
    </row>
    <row r="50" spans="1:10" x14ac:dyDescent="0.35">
      <c r="A50" s="54" t="s">
        <v>612</v>
      </c>
      <c r="B50" s="55" t="s">
        <v>1132</v>
      </c>
      <c r="C50" s="56" t="s">
        <v>956</v>
      </c>
      <c r="D50" s="24" t="s">
        <v>1147</v>
      </c>
      <c r="E50" t="s">
        <v>1230</v>
      </c>
      <c r="F50">
        <v>921</v>
      </c>
      <c r="G50" s="20">
        <f t="shared" si="0"/>
        <v>5.0397987379882041E-2</v>
      </c>
      <c r="H50" s="9" t="s">
        <v>597</v>
      </c>
      <c r="I50" s="9"/>
      <c r="J50" s="20">
        <f>IF(SUMIFS(Negociados!C:C,Negociados!B:B,E50,Negociados!A:A,A50,Negociados!D:D,"&lt;="&amp;$E$1,Negociados!E:E,"&gt;="&amp;$E$1),SUMIFS(Negociados!C:C,Negociados!B:B,E50,Negociados!A:A,A50,Negociados!D:D,"&lt;="&amp;$E$1,Negociados!E:E,"&gt;="&amp;$E$1),19%)</f>
        <v>0.13</v>
      </c>
    </row>
    <row r="51" spans="1:10" x14ac:dyDescent="0.35">
      <c r="A51" s="54" t="s">
        <v>604</v>
      </c>
      <c r="B51" s="55" t="s">
        <v>1133</v>
      </c>
      <c r="C51" s="56" t="s">
        <v>1185</v>
      </c>
      <c r="D51" s="24" t="s">
        <v>1147</v>
      </c>
      <c r="E51" t="s">
        <v>1231</v>
      </c>
      <c r="F51">
        <v>854</v>
      </c>
      <c r="G51" s="20">
        <f t="shared" si="0"/>
        <v>5.0984575721207265E-2</v>
      </c>
      <c r="H51" s="9" t="s">
        <v>597</v>
      </c>
      <c r="I51" s="9"/>
      <c r="J51" s="20">
        <f>IF(SUMIFS(Negociados!C:C,Negociados!B:B,E51,Negociados!A:A,A51,Negociados!D:D,"&lt;="&amp;$E$1,Negociados!E:E,"&gt;="&amp;$E$1),SUMIFS(Negociados!C:C,Negociados!B:B,E51,Negociados!A:A,A51,Negociados!D:D,"&lt;="&amp;$E$1,Negociados!E:E,"&gt;="&amp;$E$1),19%)</f>
        <v>0.13</v>
      </c>
    </row>
    <row r="52" spans="1:10" x14ac:dyDescent="0.35">
      <c r="A52" s="54" t="s">
        <v>675</v>
      </c>
      <c r="B52" s="55" t="s">
        <v>1134</v>
      </c>
      <c r="C52" s="56" t="s">
        <v>1186</v>
      </c>
      <c r="D52" s="24" t="s">
        <v>1147</v>
      </c>
      <c r="E52" t="s">
        <v>1221</v>
      </c>
      <c r="F52">
        <v>778</v>
      </c>
      <c r="G52" s="20">
        <f t="shared" si="0"/>
        <v>5.1080645948187536E-2</v>
      </c>
      <c r="H52" s="9" t="s">
        <v>597</v>
      </c>
      <c r="I52" s="9"/>
      <c r="J52" s="20">
        <f>IF(SUMIFS(Negociados!C:C,Negociados!B:B,E52,Negociados!A:A,A52,Negociados!D:D,"&lt;="&amp;$E$1,Negociados!E:E,"&gt;="&amp;$E$1),SUMIFS(Negociados!C:C,Negociados!B:B,E52,Negociados!A:A,A52,Negociados!D:D,"&lt;="&amp;$E$1,Negociados!E:E,"&gt;="&amp;$E$1),19%)</f>
        <v>0.13</v>
      </c>
    </row>
    <row r="53" spans="1:10" x14ac:dyDescent="0.35">
      <c r="A53" s="54" t="s">
        <v>267</v>
      </c>
      <c r="B53" s="55" t="s">
        <v>1135</v>
      </c>
      <c r="C53" s="56" t="s">
        <v>937</v>
      </c>
      <c r="D53" s="24" t="s">
        <v>1147</v>
      </c>
      <c r="E53" t="s">
        <v>1202</v>
      </c>
      <c r="F53" s="59">
        <v>1130</v>
      </c>
      <c r="G53" s="20">
        <f t="shared" si="0"/>
        <v>5.0324402460752433E-2</v>
      </c>
      <c r="H53" s="9" t="s">
        <v>597</v>
      </c>
      <c r="I53" s="9"/>
      <c r="J53" s="20">
        <f>IF(SUMIFS(Negociados!C:C,Negociados!B:B,E53,Negociados!A:A,A53,Negociados!D:D,"&lt;="&amp;$E$1,Negociados!E:E,"&gt;="&amp;$E$1),SUMIFS(Negociados!C:C,Negociados!B:B,E53,Negociados!A:A,A53,Negociados!D:D,"&lt;="&amp;$E$1,Negociados!E:E,"&gt;="&amp;$E$1),19%)</f>
        <v>0.13</v>
      </c>
    </row>
    <row r="54" spans="1:10" x14ac:dyDescent="0.35">
      <c r="A54" s="54" t="s">
        <v>23</v>
      </c>
      <c r="B54" s="55" t="s">
        <v>1136</v>
      </c>
      <c r="C54" s="56" t="s">
        <v>942</v>
      </c>
      <c r="D54" s="24" t="s">
        <v>1147</v>
      </c>
      <c r="E54" t="s">
        <v>1223</v>
      </c>
      <c r="F54">
        <v>436</v>
      </c>
      <c r="G54" s="20">
        <f t="shared" si="0"/>
        <v>5.1926589545098711E-2</v>
      </c>
      <c r="H54" s="9" t="s">
        <v>597</v>
      </c>
      <c r="I54" s="9"/>
      <c r="J54" s="20">
        <f>IF(SUMIFS(Negociados!C:C,Negociados!B:B,E54,Negociados!A:A,A54,Negociados!D:D,"&lt;="&amp;$E$1,Negociados!E:E,"&gt;="&amp;$E$1),SUMIFS(Negociados!C:C,Negociados!B:B,E54,Negociados!A:A,A54,Negociados!D:D,"&lt;="&amp;$E$1,Negociados!E:E,"&gt;="&amp;$E$1),19%)</f>
        <v>0.13</v>
      </c>
    </row>
    <row r="55" spans="1:10" x14ac:dyDescent="0.35">
      <c r="A55" s="54" t="s">
        <v>316</v>
      </c>
      <c r="B55" s="55" t="s">
        <v>1137</v>
      </c>
      <c r="C55" s="56" t="s">
        <v>936</v>
      </c>
      <c r="D55" s="24" t="s">
        <v>1147</v>
      </c>
      <c r="E55" t="s">
        <v>1218</v>
      </c>
      <c r="F55" s="59">
        <v>1709</v>
      </c>
      <c r="G55" s="20">
        <f t="shared" si="0"/>
        <v>5.0492255039224894E-2</v>
      </c>
      <c r="H55" s="9" t="s">
        <v>597</v>
      </c>
      <c r="I55" s="9"/>
      <c r="J55" s="20">
        <f>IF(SUMIFS(Negociados!C:C,Negociados!B:B,E55,Negociados!A:A,A55,Negociados!D:D,"&lt;="&amp;$E$1,Negociados!E:E,"&gt;="&amp;$E$1),SUMIFS(Negociados!C:C,Negociados!B:B,E55,Negociados!A:A,A55,Negociados!D:D,"&lt;="&amp;$E$1,Negociados!E:E,"&gt;="&amp;$E$1),19%)</f>
        <v>0.13</v>
      </c>
    </row>
    <row r="56" spans="1:10" x14ac:dyDescent="0.35">
      <c r="A56" s="54" t="s">
        <v>37</v>
      </c>
      <c r="B56" s="55" t="s">
        <v>1138</v>
      </c>
      <c r="C56" s="56" t="s">
        <v>949</v>
      </c>
      <c r="D56" s="24" t="s">
        <v>1147</v>
      </c>
      <c r="E56" t="s">
        <v>1232</v>
      </c>
      <c r="F56" s="59">
        <v>1405</v>
      </c>
      <c r="G56" s="20">
        <f t="shared" si="0"/>
        <v>5.0598697191664259E-2</v>
      </c>
      <c r="H56" s="9" t="s">
        <v>597</v>
      </c>
      <c r="I56" s="9"/>
      <c r="J56" s="20">
        <f>IF(SUMIFS(Negociados!C:C,Negociados!B:B,E56,Negociados!A:A,A56,Negociados!D:D,"&lt;="&amp;$E$1,Negociados!E:E,"&gt;="&amp;$E$1),SUMIFS(Negociados!C:C,Negociados!B:B,E56,Negociados!A:A,A56,Negociados!D:D,"&lt;="&amp;$E$1,Negociados!E:E,"&gt;="&amp;$E$1),19%)</f>
        <v>0.13</v>
      </c>
    </row>
    <row r="57" spans="1:10" x14ac:dyDescent="0.35">
      <c r="A57" s="54" t="s">
        <v>55</v>
      </c>
      <c r="B57" s="55" t="s">
        <v>1139</v>
      </c>
      <c r="C57" s="56" t="s">
        <v>931</v>
      </c>
      <c r="D57" s="24" t="s">
        <v>1147</v>
      </c>
      <c r="E57" t="s">
        <v>1233</v>
      </c>
      <c r="F57">
        <v>712</v>
      </c>
      <c r="G57" s="20">
        <f t="shared" si="0"/>
        <v>5.0514749026510902E-2</v>
      </c>
      <c r="H57" s="9" t="s">
        <v>597</v>
      </c>
      <c r="I57" s="9"/>
      <c r="J57" s="20">
        <f>IF(SUMIFS(Negociados!C:C,Negociados!B:B,E57,Negociados!A:A,A57,Negociados!D:D,"&lt;="&amp;$E$1,Negociados!E:E,"&gt;="&amp;$E$1),SUMIFS(Negociados!C:C,Negociados!B:B,E57,Negociados!A:A,A57,Negociados!D:D,"&lt;="&amp;$E$1,Negociados!E:E,"&gt;="&amp;$E$1),19%)</f>
        <v>0.13</v>
      </c>
    </row>
    <row r="58" spans="1:10" x14ac:dyDescent="0.35">
      <c r="A58" s="54" t="s">
        <v>61</v>
      </c>
      <c r="B58" s="55" t="s">
        <v>1140</v>
      </c>
      <c r="C58" s="56" t="s">
        <v>947</v>
      </c>
      <c r="D58" s="24" t="s">
        <v>1147</v>
      </c>
      <c r="E58" t="s">
        <v>1234</v>
      </c>
      <c r="F58" s="59">
        <v>1196</v>
      </c>
      <c r="G58" s="20">
        <f t="shared" si="0"/>
        <v>5.0733379897136381E-2</v>
      </c>
      <c r="H58" s="9" t="s">
        <v>597</v>
      </c>
      <c r="I58" s="9"/>
      <c r="J58" s="20">
        <f>IF(SUMIFS(Negociados!C:C,Negociados!B:B,E58,Negociados!A:A,A58,Negociados!D:D,"&lt;="&amp;$E$1,Negociados!E:E,"&gt;="&amp;$E$1),SUMIFS(Negociados!C:C,Negociados!B:B,E58,Negociados!A:A,A58,Negociados!D:D,"&lt;="&amp;$E$1,Negociados!E:E,"&gt;="&amp;$E$1),19%)</f>
        <v>0.13</v>
      </c>
    </row>
    <row r="59" spans="1:10" x14ac:dyDescent="0.35">
      <c r="A59" s="54" t="s">
        <v>610</v>
      </c>
      <c r="B59" s="55" t="s">
        <v>1141</v>
      </c>
      <c r="C59" s="56" t="s">
        <v>953</v>
      </c>
      <c r="D59" s="24" t="s">
        <v>1147</v>
      </c>
      <c r="E59" t="s">
        <v>1235</v>
      </c>
      <c r="F59" s="59">
        <v>1747</v>
      </c>
      <c r="G59" s="20">
        <f t="shared" si="0"/>
        <v>5.0481553144770368E-2</v>
      </c>
      <c r="H59" s="9" t="s">
        <v>597</v>
      </c>
      <c r="I59" s="9"/>
      <c r="J59" s="20">
        <f>IF(SUMIFS(Negociados!C:C,Negociados!B:B,E59,Negociados!A:A,A59,Negociados!D:D,"&lt;="&amp;$E$1,Negociados!E:E,"&gt;="&amp;$E$1),SUMIFS(Negociados!C:C,Negociados!B:B,E59,Negociados!A:A,A59,Negociados!D:D,"&lt;="&amp;$E$1,Negociados!E:E,"&gt;="&amp;$E$1),19%)</f>
        <v>0.13</v>
      </c>
    </row>
    <row r="60" spans="1:10" x14ac:dyDescent="0.35">
      <c r="A60" s="54" t="s">
        <v>270</v>
      </c>
      <c r="B60" s="55" t="s">
        <v>1142</v>
      </c>
      <c r="C60" s="56" t="s">
        <v>955</v>
      </c>
      <c r="D60" s="24" t="s">
        <v>1147</v>
      </c>
      <c r="E60" t="s">
        <v>1213</v>
      </c>
      <c r="F60" s="59">
        <v>1196</v>
      </c>
      <c r="G60" s="20">
        <f t="shared" si="0"/>
        <v>5.0703241578563117E-2</v>
      </c>
      <c r="H60" s="9" t="s">
        <v>597</v>
      </c>
      <c r="I60" s="9"/>
      <c r="J60" s="20">
        <f>IF(SUMIFS(Negociados!C:C,Negociados!B:B,E60,Negociados!A:A,A60,Negociados!D:D,"&lt;="&amp;$E$1,Negociados!E:E,"&gt;="&amp;$E$1),SUMIFS(Negociados!C:C,Negociados!B:B,E60,Negociados!A:A,A60,Negociados!D:D,"&lt;="&amp;$E$1,Negociados!E:E,"&gt;="&amp;$E$1),19%)</f>
        <v>0.13</v>
      </c>
    </row>
    <row r="61" spans="1:10" x14ac:dyDescent="0.35">
      <c r="A61" s="54" t="s">
        <v>33</v>
      </c>
      <c r="B61" s="55" t="s">
        <v>1143</v>
      </c>
      <c r="C61" s="56" t="s">
        <v>34</v>
      </c>
      <c r="D61" s="24" t="s">
        <v>1147</v>
      </c>
      <c r="E61" t="s">
        <v>1236</v>
      </c>
      <c r="F61">
        <v>902</v>
      </c>
      <c r="G61" s="20">
        <f t="shared" si="0"/>
        <v>5.0406367120057263E-2</v>
      </c>
      <c r="H61" s="9" t="s">
        <v>597</v>
      </c>
      <c r="I61" s="9"/>
      <c r="J61" s="20">
        <f>IF(SUMIFS(Negociados!C:C,Negociados!B:B,E61,Negociados!A:A,A61,Negociados!D:D,"&lt;="&amp;$E$1,Negociados!E:E,"&gt;="&amp;$E$1),SUMIFS(Negociados!C:C,Negociados!B:B,E61,Negociados!A:A,A61,Negociados!D:D,"&lt;="&amp;$E$1,Negociados!E:E,"&gt;="&amp;$E$1),19%)</f>
        <v>0.13</v>
      </c>
    </row>
    <row r="62" spans="1:10" x14ac:dyDescent="0.35">
      <c r="A62" s="54" t="s">
        <v>602</v>
      </c>
      <c r="B62" s="55" t="s">
        <v>1144</v>
      </c>
      <c r="C62" s="56" t="s">
        <v>1187</v>
      </c>
      <c r="D62" s="24" t="s">
        <v>1147</v>
      </c>
      <c r="E62" t="s">
        <v>1204</v>
      </c>
      <c r="F62">
        <v>531</v>
      </c>
      <c r="G62" s="20">
        <f t="shared" si="0"/>
        <v>5.1582481960420083E-2</v>
      </c>
      <c r="H62" s="9" t="s">
        <v>597</v>
      </c>
      <c r="I62" s="9"/>
      <c r="J62" s="20">
        <f>IF(SUMIFS(Negociados!C:C,Negociados!B:B,E62,Negociados!A:A,A62,Negociados!D:D,"&lt;="&amp;$E$1,Negociados!E:E,"&gt;="&amp;$E$1),SUMIFS(Negociados!C:C,Negociados!B:B,E62,Negociados!A:A,A62,Negociados!D:D,"&lt;="&amp;$E$1,Negociados!E:E,"&gt;="&amp;$E$1),19%)</f>
        <v>0.13</v>
      </c>
    </row>
    <row r="63" spans="1:10" x14ac:dyDescent="0.35">
      <c r="A63" s="54" t="s">
        <v>589</v>
      </c>
      <c r="B63" s="55" t="s">
        <v>1145</v>
      </c>
      <c r="C63" s="56" t="s">
        <v>959</v>
      </c>
      <c r="D63" s="24" t="s">
        <v>1147</v>
      </c>
      <c r="E63" t="s">
        <v>1237</v>
      </c>
      <c r="F63">
        <v>626</v>
      </c>
      <c r="G63" s="20">
        <f t="shared" si="0"/>
        <v>5.1342668363944952E-2</v>
      </c>
      <c r="H63" s="9" t="s">
        <v>597</v>
      </c>
      <c r="I63" s="9"/>
      <c r="J63" s="20">
        <f>IF(SUMIFS(Negociados!C:C,Negociados!B:B,E63,Negociados!A:A,A63,Negociados!D:D,"&lt;="&amp;$E$1,Negociados!E:E,"&gt;="&amp;$E$1),SUMIFS(Negociados!C:C,Negociados!B:B,E63,Negociados!A:A,A63,Negociados!D:D,"&lt;="&amp;$E$1,Negociados!E:E,"&gt;="&amp;$E$1),19%)</f>
        <v>0.13</v>
      </c>
    </row>
    <row r="64" spans="1:10" x14ac:dyDescent="0.35">
      <c r="A64" s="54" t="s">
        <v>605</v>
      </c>
      <c r="C64" s="56" t="s">
        <v>1188</v>
      </c>
      <c r="D64" s="24" t="s">
        <v>1147</v>
      </c>
      <c r="E64" t="s">
        <v>1237</v>
      </c>
      <c r="F64">
        <v>626</v>
      </c>
      <c r="G64" s="20">
        <f t="shared" si="0"/>
        <v>5.1342668363944952E-2</v>
      </c>
      <c r="H64" s="9" t="s">
        <v>597</v>
      </c>
      <c r="I64" s="9"/>
      <c r="J64" s="20">
        <f>IF(SUMIFS(Negociados!C:C,Negociados!B:B,E64,Negociados!A:A,A64,Negociados!D:D,"&lt;="&amp;$E$1,Negociados!E:E,"&gt;="&amp;$E$1),SUMIFS(Negociados!C:C,Negociados!B:B,E64,Negociados!A:A,A64,Negociados!D:D,"&lt;="&amp;$E$1,Negociados!E:E,"&gt;="&amp;$E$1),19%)</f>
        <v>0.13</v>
      </c>
    </row>
  </sheetData>
  <conditionalFormatting sqref="A1">
    <cfRule type="duplicateValues" dxfId="16" priority="3"/>
  </conditionalFormatting>
  <conditionalFormatting sqref="A2:A4 B1:B3">
    <cfRule type="duplicateValues" dxfId="15" priority="2"/>
  </conditionalFormatting>
  <conditionalFormatting sqref="A5:A64 B4:B63">
    <cfRule type="duplicateValues" dxfId="14" priority="1"/>
  </conditionalFormatting>
  <hyperlinks>
    <hyperlink ref="B3" r:id="rId1" xr:uid="{7FE38428-39F1-4B7C-B29B-CD0F8A96B60F}"/>
    <hyperlink ref="B2" r:id="rId2" xr:uid="{210C3E7A-C305-404B-B36D-1C3735767407}"/>
    <hyperlink ref="B4" r:id="rId3" xr:uid="{4F6B8EA8-49C7-4F8D-977C-844637CC6DE5}"/>
    <hyperlink ref="B5" r:id="rId4" xr:uid="{84292525-8630-475E-A8CF-B7501AC20C53}"/>
    <hyperlink ref="B10" r:id="rId5" xr:uid="{0655B134-32F6-4EDF-A8FD-88BE8D3BD5C9}"/>
    <hyperlink ref="B37" r:id="rId6" xr:uid="{B983ABE9-D767-42D5-A4DF-F58C33313A7B}"/>
  </hyperlinks>
  <pageMargins left="0.511811024" right="0.511811024" top="0.78740157499999996" bottom="0.78740157499999996" header="0.31496062000000002" footer="0.3149606200000000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8C87-896C-4DA8-98DB-E465B737750F}">
  <sheetPr>
    <tabColor rgb="FF92D050"/>
  </sheetPr>
  <dimension ref="A1:AC41"/>
  <sheetViews>
    <sheetView showGridLines="0" zoomScale="80" zoomScaleNormal="80" workbookViewId="0">
      <selection activeCell="F6" sqref="F6"/>
    </sheetView>
  </sheetViews>
  <sheetFormatPr defaultRowHeight="14.5" x14ac:dyDescent="0.35"/>
  <cols>
    <col min="1" max="1" width="17.81640625" style="40" bestFit="1" customWidth="1"/>
    <col min="2" max="3" width="17.81640625" style="40" customWidth="1"/>
    <col min="4" max="4" width="29.1796875" style="40" customWidth="1"/>
    <col min="5" max="5" width="12.453125" style="40" bestFit="1" customWidth="1"/>
    <col min="6" max="8" width="8.7265625" style="40"/>
    <col min="9" max="9" width="9.1796875" style="40" bestFit="1" customWidth="1"/>
    <col min="10" max="12" width="8.7265625" style="40"/>
    <col min="13" max="13" width="9.1796875" style="40" bestFit="1" customWidth="1"/>
    <col min="14" max="16" width="8.7265625" style="40"/>
    <col min="17" max="17" width="9.1796875" style="40" bestFit="1" customWidth="1"/>
    <col min="18" max="20" width="8.7265625" style="40"/>
    <col min="21" max="21" width="9.1796875" style="40" bestFit="1" customWidth="1"/>
    <col min="22" max="16384" width="8.7265625" style="40"/>
  </cols>
  <sheetData>
    <row r="1" spans="1:29" s="41" customFormat="1" x14ac:dyDescent="0.35">
      <c r="F1" s="67">
        <v>45833</v>
      </c>
      <c r="G1" s="67"/>
      <c r="H1" s="67"/>
      <c r="I1" s="67"/>
      <c r="J1" s="67"/>
      <c r="K1" s="67"/>
      <c r="L1" s="67"/>
      <c r="M1" s="67"/>
      <c r="N1" s="67">
        <v>45784</v>
      </c>
      <c r="O1" s="67"/>
      <c r="P1" s="67"/>
      <c r="Q1" s="67"/>
      <c r="R1" s="67"/>
      <c r="S1" s="67"/>
      <c r="T1" s="67"/>
      <c r="U1" s="67"/>
      <c r="V1" s="67">
        <v>45705</v>
      </c>
      <c r="W1" s="67"/>
      <c r="X1" s="67"/>
      <c r="Y1" s="67"/>
      <c r="Z1" s="67"/>
      <c r="AA1" s="67"/>
      <c r="AB1" s="67"/>
      <c r="AC1" s="67"/>
    </row>
    <row r="2" spans="1:29" s="41" customFormat="1" x14ac:dyDescent="0.35">
      <c r="A2" s="36" t="s">
        <v>0</v>
      </c>
      <c r="B2" s="36" t="s">
        <v>332</v>
      </c>
      <c r="C2" s="36" t="s">
        <v>333</v>
      </c>
      <c r="D2" s="36" t="s">
        <v>2</v>
      </c>
      <c r="E2" s="47" t="s">
        <v>3</v>
      </c>
      <c r="F2" s="36" t="s">
        <v>436</v>
      </c>
      <c r="G2" s="36" t="s">
        <v>440</v>
      </c>
      <c r="H2" s="36" t="s">
        <v>441</v>
      </c>
      <c r="I2" s="36" t="s">
        <v>512</v>
      </c>
      <c r="J2" s="48" t="s">
        <v>274</v>
      </c>
      <c r="K2" s="48" t="s">
        <v>440</v>
      </c>
      <c r="L2" s="48" t="s">
        <v>441</v>
      </c>
      <c r="M2" s="48" t="s">
        <v>512</v>
      </c>
      <c r="N2" s="36" t="s">
        <v>436</v>
      </c>
      <c r="O2" s="36" t="s">
        <v>440</v>
      </c>
      <c r="P2" s="36" t="s">
        <v>441</v>
      </c>
      <c r="Q2" s="36" t="s">
        <v>512</v>
      </c>
      <c r="R2" s="48" t="s">
        <v>274</v>
      </c>
      <c r="S2" s="48" t="s">
        <v>440</v>
      </c>
      <c r="T2" s="48" t="s">
        <v>441</v>
      </c>
      <c r="U2" s="48" t="s">
        <v>512</v>
      </c>
      <c r="V2" s="36" t="s">
        <v>436</v>
      </c>
      <c r="W2" s="36" t="s">
        <v>440</v>
      </c>
      <c r="X2" s="36" t="s">
        <v>441</v>
      </c>
      <c r="Y2" s="36" t="s">
        <v>512</v>
      </c>
      <c r="Z2" s="48" t="s">
        <v>274</v>
      </c>
      <c r="AA2" s="48" t="s">
        <v>440</v>
      </c>
      <c r="AB2" s="48" t="s">
        <v>441</v>
      </c>
      <c r="AC2" s="48" t="s">
        <v>512</v>
      </c>
    </row>
    <row r="3" spans="1:29" x14ac:dyDescent="0.35">
      <c r="A3" s="38" t="s">
        <v>9</v>
      </c>
      <c r="B3" s="37" t="s">
        <v>335</v>
      </c>
      <c r="C3" s="37" t="s">
        <v>334</v>
      </c>
      <c r="D3" s="38" t="s">
        <v>10</v>
      </c>
      <c r="E3" s="39" t="s">
        <v>68</v>
      </c>
      <c r="F3" s="38">
        <v>339.98</v>
      </c>
      <c r="G3" s="38"/>
      <c r="H3" s="38">
        <v>7</v>
      </c>
      <c r="I3" s="51">
        <f>IF(SUMIFS(Negociados!C:C,Negociados!B:B,F3,Negociados!A:A,A3,Negociados!D:D,"&lt;="&amp;$F$1,Negociados!E:E,"&gt;="&amp;$F$1),SUMIFS(Negociados!C:C,Negociados!B:B,F3,Negociados!A:A,A3,Negociados!D:D,"&lt;="&amp;$F$1,Negociados!E:E,"&gt;="&amp;$F$1),19%)</f>
        <v>0.19</v>
      </c>
      <c r="J3" s="49"/>
      <c r="K3" s="49"/>
      <c r="L3" s="49"/>
      <c r="M3" s="50">
        <f>IF(SUMIFS(Negociados!C:C,Negociados!B:B,J3,Negociados!A:A,A3,Negociados!D:D,"&lt;="&amp;$F$1,Negociados!E:E,"&gt;="&amp;$F$1),SUMIFS(Negociados!C:C,Negociados!B:B,J3,Negociados!A:A,A3,Negociados!D:D,"&lt;="&amp;$F$1,Negociados!E:E,"&gt;="&amp;$F$1),19%)</f>
        <v>0.19</v>
      </c>
      <c r="N3" s="38">
        <v>339.98</v>
      </c>
      <c r="O3" s="38" t="s">
        <v>597</v>
      </c>
      <c r="P3" s="38">
        <v>6</v>
      </c>
      <c r="Q3" s="51">
        <v>0.13</v>
      </c>
      <c r="R3" s="49"/>
      <c r="S3" s="49"/>
      <c r="T3" s="49"/>
      <c r="U3" s="50">
        <f ca="1">IF(SUMIFS(Negociados!K:K,Negociados!J:J,R3,Negociados!I:I,I3,Negociados!L:L,"&lt;="&amp;$F$1,Negociados!M:M,"&gt;="&amp;$F$1),SUMIFS(Negociados!K:K,Negociados!J:J,R3,Negociados!I:I,I3,Negociados!L:L,"&lt;="&amp;$F$1,Negociados!M:M,"&gt;="&amp;$F$1),19%)</f>
        <v>0.19</v>
      </c>
      <c r="V3" s="38">
        <v>339.98</v>
      </c>
      <c r="W3" s="38">
        <v>66.7</v>
      </c>
      <c r="X3" s="38">
        <v>10</v>
      </c>
      <c r="Y3" s="51">
        <v>0.15</v>
      </c>
      <c r="Z3" s="49">
        <v>339.98</v>
      </c>
      <c r="AA3" s="49">
        <v>66.7</v>
      </c>
      <c r="AB3" s="49">
        <v>10</v>
      </c>
      <c r="AC3" s="50">
        <v>0.15</v>
      </c>
    </row>
    <row r="4" spans="1:29" x14ac:dyDescent="0.35">
      <c r="A4" s="38" t="s">
        <v>55</v>
      </c>
      <c r="B4" s="37" t="s">
        <v>336</v>
      </c>
      <c r="C4" s="37" t="s">
        <v>337</v>
      </c>
      <c r="D4" s="38" t="s">
        <v>56</v>
      </c>
      <c r="E4" s="39" t="s">
        <v>68</v>
      </c>
      <c r="F4" s="38">
        <v>699.98</v>
      </c>
      <c r="G4" s="38"/>
      <c r="H4" s="38">
        <v>8</v>
      </c>
      <c r="I4" s="51">
        <f>IF(SUMIFS(Negociados!C:C,Negociados!B:B,F4,Negociados!A:A,A4,Negociados!D:D,"&lt;="&amp;$F$1,Negociados!E:E,"&gt;="&amp;$F$1),SUMIFS(Negociados!C:C,Negociados!B:B,F4,Negociados!A:A,A4,Negociados!D:D,"&lt;="&amp;$F$1,Negociados!E:E,"&gt;="&amp;$F$1),19%)</f>
        <v>0.19</v>
      </c>
      <c r="J4" s="49"/>
      <c r="K4" s="49"/>
      <c r="L4" s="49"/>
      <c r="M4" s="50">
        <f>IF(SUMIFS(Negociados!C:C,Negociados!B:B,J4,Negociados!A:A,A4,Negociados!D:D,"&lt;="&amp;$F$1,Negociados!E:E,"&gt;="&amp;$F$1),SUMIFS(Negociados!C:C,Negociados!B:B,J4,Negociados!A:A,A4,Negociados!D:D,"&lt;="&amp;$F$1,Negociados!E:E,"&gt;="&amp;$F$1),19%)</f>
        <v>0.19</v>
      </c>
      <c r="N4" s="38">
        <v>699.98</v>
      </c>
      <c r="O4" s="38" t="s">
        <v>597</v>
      </c>
      <c r="P4" s="38">
        <v>7</v>
      </c>
      <c r="Q4" s="51">
        <v>0.13</v>
      </c>
      <c r="R4" s="49"/>
      <c r="S4" s="49"/>
      <c r="T4" s="49"/>
      <c r="U4" s="50">
        <f ca="1">IF(SUMIFS(Negociados!K:K,Negociados!J:J,R4,Negociados!I:I,I4,Negociados!L:L,"&lt;="&amp;$F$1,Negociados!M:M,"&gt;="&amp;$F$1),SUMIFS(Negociados!K:K,Negociados!J:J,R4,Negociados!I:I,I4,Negociados!L:L,"&lt;="&amp;$F$1,Negociados!M:M,"&gt;="&amp;$F$1),19%)</f>
        <v>0.19</v>
      </c>
      <c r="V4" s="38">
        <v>699.98</v>
      </c>
      <c r="W4" s="38">
        <v>83.9</v>
      </c>
      <c r="X4" s="38">
        <v>14</v>
      </c>
      <c r="Y4" s="51">
        <v>0.15</v>
      </c>
      <c r="Z4" s="49">
        <v>699.98</v>
      </c>
      <c r="AA4" s="49">
        <v>83.9</v>
      </c>
      <c r="AB4" s="49">
        <v>13</v>
      </c>
      <c r="AC4" s="50">
        <v>0.15</v>
      </c>
    </row>
    <row r="5" spans="1:29" x14ac:dyDescent="0.35">
      <c r="A5" s="38" t="s">
        <v>71</v>
      </c>
      <c r="B5" s="38" t="s">
        <v>342</v>
      </c>
      <c r="C5" s="37" t="s">
        <v>338</v>
      </c>
      <c r="D5" s="38" t="s">
        <v>72</v>
      </c>
      <c r="E5" s="39" t="s">
        <v>68</v>
      </c>
      <c r="F5" s="38" t="s">
        <v>600</v>
      </c>
      <c r="G5" s="38"/>
      <c r="H5" s="38"/>
      <c r="I5" s="51">
        <f>IF(SUMIFS(Negociados!C:C,Negociados!B:B,F5,Negociados!A:A,A5,Negociados!D:D,"&lt;="&amp;$F$1,Negociados!E:E,"&gt;="&amp;$F$1),SUMIFS(Negociados!C:C,Negociados!B:B,F5,Negociados!A:A,A5,Negociados!D:D,"&lt;="&amp;$F$1,Negociados!E:E,"&gt;="&amp;$F$1),19%)</f>
        <v>0.19</v>
      </c>
      <c r="J5" s="49"/>
      <c r="K5" s="49"/>
      <c r="L5" s="49"/>
      <c r="M5" s="50">
        <f>IF(SUMIFS(Negociados!C:C,Negociados!B:B,J5,Negociados!A:A,A5,Negociados!D:D,"&lt;="&amp;$F$1,Negociados!E:E,"&gt;="&amp;$F$1),SUMIFS(Negociados!C:C,Negociados!B:B,J5,Negociados!A:A,A5,Negociados!D:D,"&lt;="&amp;$F$1,Negociados!E:E,"&gt;="&amp;$F$1),19%)</f>
        <v>0.19</v>
      </c>
      <c r="N5" s="38" t="s">
        <v>600</v>
      </c>
      <c r="O5" s="38" t="s">
        <v>600</v>
      </c>
      <c r="P5" s="38" t="s">
        <v>600</v>
      </c>
      <c r="Q5" s="51">
        <v>0.19</v>
      </c>
      <c r="R5" s="49"/>
      <c r="S5" s="49"/>
      <c r="T5" s="49"/>
      <c r="U5" s="50">
        <f ca="1">IF(SUMIFS(Negociados!K:K,Negociados!J:J,R5,Negociados!I:I,I5,Negociados!L:L,"&lt;="&amp;$F$1,Negociados!M:M,"&gt;="&amp;$F$1),SUMIFS(Negociados!K:K,Negociados!J:J,R5,Negociados!I:I,I5,Negociados!L:L,"&lt;="&amp;$F$1,Negociados!M:M,"&gt;="&amp;$F$1),19%)</f>
        <v>0.19</v>
      </c>
      <c r="V5" s="38">
        <v>0</v>
      </c>
      <c r="W5" s="38">
        <v>0</v>
      </c>
      <c r="X5" s="38">
        <v>0</v>
      </c>
      <c r="Y5" s="51">
        <v>0.19</v>
      </c>
      <c r="Z5" s="49">
        <v>489.98</v>
      </c>
      <c r="AA5" s="49">
        <v>69.7</v>
      </c>
      <c r="AB5" s="49">
        <v>10</v>
      </c>
      <c r="AC5" s="50">
        <v>0.15</v>
      </c>
    </row>
    <row r="6" spans="1:29" x14ac:dyDescent="0.35">
      <c r="A6" s="38" t="s">
        <v>15</v>
      </c>
      <c r="B6" s="37" t="s">
        <v>339</v>
      </c>
      <c r="C6" s="37" t="s">
        <v>340</v>
      </c>
      <c r="D6" s="38" t="s">
        <v>119</v>
      </c>
      <c r="E6" s="39" t="s">
        <v>68</v>
      </c>
      <c r="F6" s="38"/>
      <c r="G6" s="38"/>
      <c r="H6" s="38"/>
      <c r="I6" s="51">
        <f>IF(SUMIFS(Negociados!C:C,Negociados!B:B,F6,Negociados!A:A,A6,Negociados!D:D,"&lt;="&amp;$F$1,Negociados!E:E,"&gt;="&amp;$F$1),SUMIFS(Negociados!C:C,Negociados!B:B,F6,Negociados!A:A,A6,Negociados!D:D,"&lt;="&amp;$F$1,Negociados!E:E,"&gt;="&amp;$F$1),19%)</f>
        <v>0.19</v>
      </c>
      <c r="J6" s="49"/>
      <c r="K6" s="49"/>
      <c r="L6" s="49"/>
      <c r="M6" s="50">
        <f>IF(SUMIFS(Negociados!C:C,Negociados!B:B,J6,Negociados!A:A,A6,Negociados!D:D,"&lt;="&amp;$F$1,Negociados!E:E,"&gt;="&amp;$F$1),SUMIFS(Negociados!C:C,Negociados!B:B,J6,Negociados!A:A,A6,Negociados!D:D,"&lt;="&amp;$F$1,Negociados!E:E,"&gt;="&amp;$F$1),19%)</f>
        <v>0.19</v>
      </c>
      <c r="N6" s="38">
        <v>399.98</v>
      </c>
      <c r="O6" s="38" t="s">
        <v>597</v>
      </c>
      <c r="P6" s="38">
        <v>6</v>
      </c>
      <c r="Q6" s="51">
        <v>0.13</v>
      </c>
      <c r="R6" s="49"/>
      <c r="S6" s="49"/>
      <c r="T6" s="49"/>
      <c r="U6" s="50">
        <f ca="1">IF(SUMIFS(Negociados!K:K,Negociados!J:J,R6,Negociados!I:I,I6,Negociados!L:L,"&lt;="&amp;$F$1,Negociados!M:M,"&gt;="&amp;$F$1),SUMIFS(Negociados!K:K,Negociados!J:J,R6,Negociados!I:I,I6,Negociados!L:L,"&lt;="&amp;$F$1,Negociados!M:M,"&gt;="&amp;$F$1),19%)</f>
        <v>0.19</v>
      </c>
      <c r="V6" s="38">
        <v>399.98</v>
      </c>
      <c r="W6" s="38">
        <v>67.900000000000006</v>
      </c>
      <c r="X6" s="38">
        <v>10</v>
      </c>
      <c r="Y6" s="51">
        <v>0.15</v>
      </c>
      <c r="Z6" s="49">
        <v>399.98</v>
      </c>
      <c r="AA6" s="49">
        <v>67.900000000000006</v>
      </c>
      <c r="AB6" s="49">
        <v>10</v>
      </c>
      <c r="AC6" s="50">
        <v>0.15</v>
      </c>
    </row>
    <row r="7" spans="1:29" x14ac:dyDescent="0.35">
      <c r="A7" s="38" t="s">
        <v>16</v>
      </c>
      <c r="B7" s="38" t="s">
        <v>342</v>
      </c>
      <c r="C7" s="37" t="s">
        <v>341</v>
      </c>
      <c r="D7" s="38" t="s">
        <v>17</v>
      </c>
      <c r="E7" s="39" t="s">
        <v>68</v>
      </c>
      <c r="F7" s="38"/>
      <c r="G7" s="38"/>
      <c r="H7" s="38"/>
      <c r="I7" s="51">
        <f>IF(SUMIFS(Negociados!C:C,Negociados!B:B,F7,Negociados!A:A,A7,Negociados!D:D,"&lt;="&amp;$F$1,Negociados!E:E,"&gt;="&amp;$F$1),SUMIFS(Negociados!C:C,Negociados!B:B,F7,Negociados!A:A,A7,Negociados!D:D,"&lt;="&amp;$F$1,Negociados!E:E,"&gt;="&amp;$F$1),19%)</f>
        <v>0.19</v>
      </c>
      <c r="J7" s="49"/>
      <c r="K7" s="49"/>
      <c r="L7" s="49"/>
      <c r="M7" s="50">
        <f>IF(SUMIFS(Negociados!C:C,Negociados!B:B,J7,Negociados!A:A,A7,Negociados!D:D,"&lt;="&amp;$F$1,Negociados!E:E,"&gt;="&amp;$F$1),SUMIFS(Negociados!C:C,Negociados!B:B,J7,Negociados!A:A,A7,Negociados!D:D,"&lt;="&amp;$F$1,Negociados!E:E,"&gt;="&amp;$F$1),19%)</f>
        <v>0.19</v>
      </c>
      <c r="N7" s="38"/>
      <c r="O7" s="38"/>
      <c r="P7" s="38"/>
      <c r="Q7" s="51">
        <v>0.19</v>
      </c>
      <c r="R7" s="49"/>
      <c r="S7" s="49"/>
      <c r="T7" s="49"/>
      <c r="U7" s="50">
        <f ca="1">IF(SUMIFS(Negociados!K:K,Negociados!J:J,R7,Negociados!I:I,I7,Negociados!L:L,"&lt;="&amp;$F$1,Negociados!M:M,"&gt;="&amp;$F$1),SUMIFS(Negociados!K:K,Negociados!J:J,R7,Negociados!I:I,I7,Negociados!L:L,"&lt;="&amp;$F$1,Negociados!M:M,"&gt;="&amp;$F$1),19%)</f>
        <v>0.19</v>
      </c>
      <c r="V7" s="38">
        <v>0</v>
      </c>
      <c r="W7" s="38">
        <v>0</v>
      </c>
      <c r="X7" s="38">
        <v>0</v>
      </c>
      <c r="Y7" s="51">
        <v>0.19</v>
      </c>
      <c r="Z7" s="49">
        <v>399.98</v>
      </c>
      <c r="AA7" s="49">
        <v>67.900000000000006</v>
      </c>
      <c r="AB7" s="49">
        <v>10</v>
      </c>
      <c r="AC7" s="50">
        <v>0.15</v>
      </c>
    </row>
    <row r="8" spans="1:29" x14ac:dyDescent="0.35">
      <c r="A8" s="38" t="s">
        <v>11</v>
      </c>
      <c r="B8" s="37" t="s">
        <v>343</v>
      </c>
      <c r="C8" s="37" t="s">
        <v>344</v>
      </c>
      <c r="D8" s="38" t="s">
        <v>424</v>
      </c>
      <c r="E8" s="39" t="s">
        <v>68</v>
      </c>
      <c r="F8" s="38"/>
      <c r="G8" s="38"/>
      <c r="H8" s="38"/>
      <c r="I8" s="51">
        <f>IF(SUMIFS(Negociados!C:C,Negociados!B:B,F8,Negociados!A:A,A8,Negociados!D:D,"&lt;="&amp;$F$1,Negociados!E:E,"&gt;="&amp;$F$1),SUMIFS(Negociados!C:C,Negociados!B:B,F8,Negociados!A:A,A8,Negociados!D:D,"&lt;="&amp;$F$1,Negociados!E:E,"&gt;="&amp;$F$1),19%)</f>
        <v>0.19</v>
      </c>
      <c r="J8" s="49"/>
      <c r="K8" s="49"/>
      <c r="L8" s="49"/>
      <c r="M8" s="50">
        <f>IF(SUMIFS(Negociados!C:C,Negociados!B:B,J8,Negociados!A:A,A8,Negociados!D:D,"&lt;="&amp;$F$1,Negociados!E:E,"&gt;="&amp;$F$1),SUMIFS(Negociados!C:C,Negociados!B:B,J8,Negociados!A:A,A8,Negociados!D:D,"&lt;="&amp;$F$1,Negociados!E:E,"&gt;="&amp;$F$1),19%)</f>
        <v>0.19</v>
      </c>
      <c r="N8" s="38">
        <v>339.98</v>
      </c>
      <c r="O8" s="38" t="s">
        <v>597</v>
      </c>
      <c r="P8" s="38">
        <v>6</v>
      </c>
      <c r="Q8" s="51">
        <v>0.13</v>
      </c>
      <c r="R8" s="49"/>
      <c r="S8" s="49"/>
      <c r="T8" s="49"/>
      <c r="U8" s="50">
        <f ca="1">IF(SUMIFS(Negociados!K:K,Negociados!J:J,R8,Negociados!I:I,I8,Negociados!L:L,"&lt;="&amp;$F$1,Negociados!M:M,"&gt;="&amp;$F$1),SUMIFS(Negociados!K:K,Negociados!J:J,R8,Negociados!I:I,I8,Negociados!L:L,"&lt;="&amp;$F$1,Negociados!M:M,"&gt;="&amp;$F$1),19%)</f>
        <v>0.19</v>
      </c>
      <c r="V8" s="38">
        <v>339.98</v>
      </c>
      <c r="W8" s="38">
        <v>66.7</v>
      </c>
      <c r="X8" s="38">
        <v>10</v>
      </c>
      <c r="Y8" s="51">
        <v>0.15</v>
      </c>
      <c r="Z8" s="49">
        <v>339.98</v>
      </c>
      <c r="AA8" s="49">
        <v>66.7</v>
      </c>
      <c r="AB8" s="49">
        <v>10</v>
      </c>
      <c r="AC8" s="50">
        <v>0.15</v>
      </c>
    </row>
    <row r="9" spans="1:29" x14ac:dyDescent="0.35">
      <c r="A9" s="38" t="s">
        <v>69</v>
      </c>
      <c r="B9" s="37" t="s">
        <v>345</v>
      </c>
      <c r="C9" s="37" t="s">
        <v>346</v>
      </c>
      <c r="D9" s="38" t="s">
        <v>425</v>
      </c>
      <c r="E9" s="39" t="s">
        <v>68</v>
      </c>
      <c r="F9" s="38"/>
      <c r="G9" s="38"/>
      <c r="H9" s="38"/>
      <c r="I9" s="51">
        <f>IF(SUMIFS(Negociados!C:C,Negociados!B:B,F9,Negociados!A:A,A9,Negociados!D:D,"&lt;="&amp;$F$1,Negociados!E:E,"&gt;="&amp;$F$1),SUMIFS(Negociados!C:C,Negociados!B:B,F9,Negociados!A:A,A9,Negociados!D:D,"&lt;="&amp;$F$1,Negociados!E:E,"&gt;="&amp;$F$1),19%)</f>
        <v>0.19</v>
      </c>
      <c r="J9" s="49"/>
      <c r="K9" s="49"/>
      <c r="L9" s="49"/>
      <c r="M9" s="50">
        <f>IF(SUMIFS(Negociados!C:C,Negociados!B:B,J9,Negociados!A:A,A9,Negociados!D:D,"&lt;="&amp;$F$1,Negociados!E:E,"&gt;="&amp;$F$1),SUMIFS(Negociados!C:C,Negociados!B:B,J9,Negociados!A:A,A9,Negociados!D:D,"&lt;="&amp;$F$1,Negociados!E:E,"&gt;="&amp;$F$1),19%)</f>
        <v>0.19</v>
      </c>
      <c r="N9" s="38">
        <v>399.99</v>
      </c>
      <c r="O9" s="38" t="s">
        <v>597</v>
      </c>
      <c r="P9" s="38">
        <v>6</v>
      </c>
      <c r="Q9" s="51">
        <v>0.19</v>
      </c>
      <c r="R9" s="49"/>
      <c r="S9" s="49"/>
      <c r="T9" s="49"/>
      <c r="U9" s="50">
        <f ca="1">IF(SUMIFS(Negociados!K:K,Negociados!J:J,R9,Negociados!I:I,I9,Negociados!L:L,"&lt;="&amp;$F$1,Negociados!M:M,"&gt;="&amp;$F$1),SUMIFS(Negociados!K:K,Negociados!J:J,R9,Negociados!I:I,I9,Negociados!L:L,"&lt;="&amp;$F$1,Negociados!M:M,"&gt;="&amp;$F$1),19%)</f>
        <v>0.19</v>
      </c>
      <c r="V9" s="38">
        <v>399.99</v>
      </c>
      <c r="W9" s="38">
        <v>67.900000000000006</v>
      </c>
      <c r="X9" s="38">
        <v>10</v>
      </c>
      <c r="Y9" s="51">
        <v>0.19</v>
      </c>
      <c r="Z9" s="49">
        <v>399.99</v>
      </c>
      <c r="AA9" s="49">
        <v>67.900000000000006</v>
      </c>
      <c r="AB9" s="49">
        <v>10</v>
      </c>
      <c r="AC9" s="50">
        <v>0.19</v>
      </c>
    </row>
    <row r="10" spans="1:29" x14ac:dyDescent="0.35">
      <c r="A10" s="38" t="s">
        <v>67</v>
      </c>
      <c r="B10" s="37" t="s">
        <v>347</v>
      </c>
      <c r="C10" s="37" t="s">
        <v>348</v>
      </c>
      <c r="D10" s="38" t="s">
        <v>117</v>
      </c>
      <c r="E10" s="39" t="s">
        <v>68</v>
      </c>
      <c r="F10" s="38"/>
      <c r="G10" s="38"/>
      <c r="H10" s="38"/>
      <c r="I10" s="51">
        <f>IF(SUMIFS(Negociados!C:C,Negociados!B:B,F10,Negociados!A:A,A10,Negociados!D:D,"&lt;="&amp;$F$1,Negociados!E:E,"&gt;="&amp;$F$1),SUMIFS(Negociados!C:C,Negociados!B:B,F10,Negociados!A:A,A10,Negociados!D:D,"&lt;="&amp;$F$1,Negociados!E:E,"&gt;="&amp;$F$1),19%)</f>
        <v>0.19</v>
      </c>
      <c r="J10" s="49"/>
      <c r="K10" s="49"/>
      <c r="L10" s="49"/>
      <c r="M10" s="50">
        <f>IF(SUMIFS(Negociados!C:C,Negociados!B:B,J10,Negociados!A:A,A10,Negociados!D:D,"&lt;="&amp;$F$1,Negociados!E:E,"&gt;="&amp;$F$1),SUMIFS(Negociados!C:C,Negociados!B:B,J10,Negociados!A:A,A10,Negociados!D:D,"&lt;="&amp;$F$1,Negociados!E:E,"&gt;="&amp;$F$1),19%)</f>
        <v>0.19</v>
      </c>
      <c r="N10" s="38">
        <v>339.98</v>
      </c>
      <c r="O10" s="38" t="s">
        <v>597</v>
      </c>
      <c r="P10" s="38">
        <v>6</v>
      </c>
      <c r="Q10" s="51">
        <v>0.13</v>
      </c>
      <c r="R10" s="49"/>
      <c r="S10" s="49"/>
      <c r="T10" s="49"/>
      <c r="U10" s="50">
        <f ca="1">IF(SUMIFS(Negociados!K:K,Negociados!J:J,R10,Negociados!I:I,I10,Negociados!L:L,"&lt;="&amp;$F$1,Negociados!M:M,"&gt;="&amp;$F$1),SUMIFS(Negociados!K:K,Negociados!J:J,R10,Negociados!I:I,I10,Negociados!L:L,"&lt;="&amp;$F$1,Negociados!M:M,"&gt;="&amp;$F$1),19%)</f>
        <v>0.19</v>
      </c>
      <c r="V10" s="38">
        <v>339.98</v>
      </c>
      <c r="W10" s="38">
        <v>66.7</v>
      </c>
      <c r="X10" s="38">
        <v>10</v>
      </c>
      <c r="Y10" s="51">
        <v>0.15</v>
      </c>
      <c r="Z10" s="49">
        <v>339.98</v>
      </c>
      <c r="AA10" s="49">
        <v>66.7</v>
      </c>
      <c r="AB10" s="49">
        <v>10</v>
      </c>
      <c r="AC10" s="50">
        <v>0.15</v>
      </c>
    </row>
    <row r="11" spans="1:29" x14ac:dyDescent="0.35">
      <c r="A11" s="38" t="s">
        <v>8</v>
      </c>
      <c r="B11" s="37" t="s">
        <v>349</v>
      </c>
      <c r="C11" s="37" t="s">
        <v>350</v>
      </c>
      <c r="D11" s="38" t="s">
        <v>118</v>
      </c>
      <c r="E11" s="39" t="s">
        <v>68</v>
      </c>
      <c r="F11" s="38"/>
      <c r="G11" s="38"/>
      <c r="H11" s="38"/>
      <c r="I11" s="51">
        <f>IF(SUMIFS(Negociados!C:C,Negociados!B:B,F11,Negociados!A:A,A11,Negociados!D:D,"&lt;="&amp;$F$1,Negociados!E:E,"&gt;="&amp;$F$1),SUMIFS(Negociados!C:C,Negociados!B:B,F11,Negociados!A:A,A11,Negociados!D:D,"&lt;="&amp;$F$1,Negociados!E:E,"&gt;="&amp;$F$1),19%)</f>
        <v>0.19</v>
      </c>
      <c r="J11" s="49"/>
      <c r="K11" s="49"/>
      <c r="L11" s="49"/>
      <c r="M11" s="50">
        <f>IF(SUMIFS(Negociados!C:C,Negociados!B:B,J11,Negociados!A:A,A11,Negociados!D:D,"&lt;="&amp;$F$1,Negociados!E:E,"&gt;="&amp;$F$1),SUMIFS(Negociados!C:C,Negociados!B:B,J11,Negociados!A:A,A11,Negociados!D:D,"&lt;="&amp;$F$1,Negociados!E:E,"&gt;="&amp;$F$1),19%)</f>
        <v>0.19</v>
      </c>
      <c r="N11" s="38">
        <v>359.98</v>
      </c>
      <c r="O11" s="38" t="s">
        <v>597</v>
      </c>
      <c r="P11" s="38">
        <v>6</v>
      </c>
      <c r="Q11" s="51">
        <v>0.13</v>
      </c>
      <c r="R11" s="49"/>
      <c r="S11" s="49"/>
      <c r="T11" s="49"/>
      <c r="U11" s="50">
        <f ca="1">IF(SUMIFS(Negociados!K:K,Negociados!J:J,R11,Negociados!I:I,I11,Negociados!L:L,"&lt;="&amp;$F$1,Negociados!M:M,"&gt;="&amp;$F$1),SUMIFS(Negociados!K:K,Negociados!J:J,R11,Negociados!I:I,I11,Negociados!L:L,"&lt;="&amp;$F$1,Negociados!M:M,"&gt;="&amp;$F$1),19%)</f>
        <v>0.19</v>
      </c>
      <c r="V11" s="38">
        <v>349.98</v>
      </c>
      <c r="W11" s="38">
        <v>66.900000000000006</v>
      </c>
      <c r="X11" s="38">
        <v>10</v>
      </c>
      <c r="Y11" s="51">
        <v>0.15</v>
      </c>
      <c r="Z11" s="49">
        <v>349.98</v>
      </c>
      <c r="AA11" s="49">
        <v>66.900000000000006</v>
      </c>
      <c r="AB11" s="49">
        <v>10</v>
      </c>
      <c r="AC11" s="50">
        <v>0.15</v>
      </c>
    </row>
    <row r="12" spans="1:29" x14ac:dyDescent="0.35">
      <c r="A12" s="38" t="s">
        <v>20</v>
      </c>
      <c r="B12" s="37" t="s">
        <v>351</v>
      </c>
      <c r="C12" s="37" t="s">
        <v>352</v>
      </c>
      <c r="D12" s="38" t="s">
        <v>426</v>
      </c>
      <c r="E12" s="39" t="s">
        <v>68</v>
      </c>
      <c r="F12" s="38"/>
      <c r="G12" s="38"/>
      <c r="H12" s="38"/>
      <c r="I12" s="51">
        <f>IF(SUMIFS(Negociados!C:C,Negociados!B:B,F12,Negociados!A:A,A12,Negociados!D:D,"&lt;="&amp;$F$1,Negociados!E:E,"&gt;="&amp;$F$1),SUMIFS(Negociados!C:C,Negociados!B:B,F12,Negociados!A:A,A12,Negociados!D:D,"&lt;="&amp;$F$1,Negociados!E:E,"&gt;="&amp;$F$1),19%)</f>
        <v>0.19</v>
      </c>
      <c r="J12" s="49"/>
      <c r="K12" s="49"/>
      <c r="L12" s="49"/>
      <c r="M12" s="50">
        <f>IF(SUMIFS(Negociados!C:C,Negociados!B:B,J12,Negociados!A:A,A12,Negociados!D:D,"&lt;="&amp;$F$1,Negociados!E:E,"&gt;="&amp;$F$1),SUMIFS(Negociados!C:C,Negociados!B:B,J12,Negociados!A:A,A12,Negociados!D:D,"&lt;="&amp;$F$1,Negociados!E:E,"&gt;="&amp;$F$1),19%)</f>
        <v>0.19</v>
      </c>
      <c r="N12" s="38">
        <v>499.98</v>
      </c>
      <c r="O12" s="38" t="s">
        <v>597</v>
      </c>
      <c r="P12" s="38">
        <v>6</v>
      </c>
      <c r="Q12" s="51">
        <v>0.15</v>
      </c>
      <c r="R12" s="49"/>
      <c r="S12" s="49"/>
      <c r="T12" s="49"/>
      <c r="U12" s="50">
        <f ca="1">IF(SUMIFS(Negociados!K:K,Negociados!J:J,R12,Negociados!I:I,I12,Negociados!L:L,"&lt;="&amp;$F$1,Negociados!M:M,"&gt;="&amp;$F$1),SUMIFS(Negociados!K:K,Negociados!J:J,R12,Negociados!I:I,I12,Negociados!L:L,"&lt;="&amp;$F$1,Negociados!M:M,"&gt;="&amp;$F$1),19%)</f>
        <v>0.19</v>
      </c>
      <c r="V12" s="38">
        <v>489.98</v>
      </c>
      <c r="W12" s="38">
        <v>69.7</v>
      </c>
      <c r="X12" s="38">
        <v>10</v>
      </c>
      <c r="Y12" s="51">
        <v>0.15</v>
      </c>
      <c r="Z12" s="49">
        <v>489.98</v>
      </c>
      <c r="AA12" s="49">
        <v>69.7</v>
      </c>
      <c r="AB12" s="49">
        <v>10</v>
      </c>
      <c r="AC12" s="50">
        <v>0.15</v>
      </c>
    </row>
    <row r="13" spans="1:29" x14ac:dyDescent="0.35">
      <c r="A13" s="38" t="s">
        <v>19</v>
      </c>
      <c r="B13" s="37" t="s">
        <v>353</v>
      </c>
      <c r="C13" s="37" t="s">
        <v>354</v>
      </c>
      <c r="D13" s="38" t="s">
        <v>120</v>
      </c>
      <c r="E13" s="39" t="s">
        <v>68</v>
      </c>
      <c r="F13" s="38"/>
      <c r="G13" s="38"/>
      <c r="H13" s="38"/>
      <c r="I13" s="51">
        <f>IF(SUMIFS(Negociados!C:C,Negociados!B:B,F13,Negociados!A:A,A13,Negociados!D:D,"&lt;="&amp;$F$1,Negociados!E:E,"&gt;="&amp;$F$1),SUMIFS(Negociados!C:C,Negociados!B:B,F13,Negociados!A:A,A13,Negociados!D:D,"&lt;="&amp;$F$1,Negociados!E:E,"&gt;="&amp;$F$1),19%)</f>
        <v>0.19</v>
      </c>
      <c r="J13" s="49"/>
      <c r="K13" s="49"/>
      <c r="L13" s="49"/>
      <c r="M13" s="50">
        <f>IF(SUMIFS(Negociados!C:C,Negociados!B:B,J13,Negociados!A:A,A13,Negociados!D:D,"&lt;="&amp;$F$1,Negociados!E:E,"&gt;="&amp;$F$1),SUMIFS(Negociados!C:C,Negociados!B:B,J13,Negociados!A:A,A13,Negociados!D:D,"&lt;="&amp;$F$1,Negociados!E:E,"&gt;="&amp;$F$1),19%)</f>
        <v>0.19</v>
      </c>
      <c r="N13" s="38">
        <v>499.98</v>
      </c>
      <c r="O13" s="38" t="s">
        <v>597</v>
      </c>
      <c r="P13" s="38">
        <v>6</v>
      </c>
      <c r="Q13" s="51">
        <v>0.13</v>
      </c>
      <c r="R13" s="49"/>
      <c r="S13" s="49"/>
      <c r="T13" s="49"/>
      <c r="U13" s="50">
        <f ca="1">IF(SUMIFS(Negociados!K:K,Negociados!J:J,R13,Negociados!I:I,I13,Negociados!L:L,"&lt;="&amp;$F$1,Negociados!M:M,"&gt;="&amp;$F$1),SUMIFS(Negociados!K:K,Negociados!J:J,R13,Negociados!I:I,I13,Negociados!L:L,"&lt;="&amp;$F$1,Negociados!M:M,"&gt;="&amp;$F$1),19%)</f>
        <v>0.19</v>
      </c>
      <c r="V13" s="38">
        <v>489.98</v>
      </c>
      <c r="W13" s="38">
        <v>69.7</v>
      </c>
      <c r="X13" s="38">
        <v>10</v>
      </c>
      <c r="Y13" s="51">
        <v>0.15</v>
      </c>
      <c r="Z13" s="49">
        <v>489.98</v>
      </c>
      <c r="AA13" s="49">
        <v>69.7</v>
      </c>
      <c r="AB13" s="49">
        <v>10</v>
      </c>
      <c r="AC13" s="50">
        <v>0.15</v>
      </c>
    </row>
    <row r="14" spans="1:29" x14ac:dyDescent="0.35">
      <c r="A14" s="38" t="s">
        <v>113</v>
      </c>
      <c r="B14" s="37" t="s">
        <v>355</v>
      </c>
      <c r="C14" s="37" t="s">
        <v>356</v>
      </c>
      <c r="D14" s="38" t="s">
        <v>427</v>
      </c>
      <c r="E14" s="39" t="s">
        <v>68</v>
      </c>
      <c r="F14" s="38"/>
      <c r="G14" s="38"/>
      <c r="H14" s="38"/>
      <c r="I14" s="51">
        <f>IF(SUMIFS(Negociados!C:C,Negociados!B:B,F14,Negociados!A:A,A14,Negociados!D:D,"&lt;="&amp;$F$1,Negociados!E:E,"&gt;="&amp;$F$1),SUMIFS(Negociados!C:C,Negociados!B:B,F14,Negociados!A:A,A14,Negociados!D:D,"&lt;="&amp;$F$1,Negociados!E:E,"&gt;="&amp;$F$1),19%)</f>
        <v>0.19</v>
      </c>
      <c r="J14" s="49"/>
      <c r="K14" s="49"/>
      <c r="L14" s="49"/>
      <c r="M14" s="50">
        <f>IF(SUMIFS(Negociados!C:C,Negociados!B:B,J14,Negociados!A:A,A14,Negociados!D:D,"&lt;="&amp;$F$1,Negociados!E:E,"&gt;="&amp;$F$1),SUMIFS(Negociados!C:C,Negociados!B:B,J14,Negociados!A:A,A14,Negociados!D:D,"&lt;="&amp;$F$1,Negociados!E:E,"&gt;="&amp;$F$1),19%)</f>
        <v>0.19</v>
      </c>
      <c r="N14" s="38">
        <v>1179.99</v>
      </c>
      <c r="O14" s="38" t="s">
        <v>597</v>
      </c>
      <c r="P14" s="38">
        <v>9</v>
      </c>
      <c r="Q14" s="51">
        <v>0.19</v>
      </c>
      <c r="R14" s="49"/>
      <c r="S14" s="49"/>
      <c r="T14" s="49"/>
      <c r="U14" s="50">
        <f ca="1">IF(SUMIFS(Negociados!K:K,Negociados!J:J,R14,Negociados!I:I,I14,Negociados!L:L,"&lt;="&amp;$F$1,Negociados!M:M,"&gt;="&amp;$F$1),SUMIFS(Negociados!K:K,Negociados!J:J,R14,Negociados!I:I,I14,Negociados!L:L,"&lt;="&amp;$F$1,Negociados!M:M,"&gt;="&amp;$F$1),19%)</f>
        <v>0.19</v>
      </c>
      <c r="V14" s="38">
        <v>919.98</v>
      </c>
      <c r="W14" s="38">
        <v>78.39</v>
      </c>
      <c r="X14" s="38">
        <v>15</v>
      </c>
      <c r="Y14" s="51">
        <v>0.15</v>
      </c>
      <c r="Z14" s="49">
        <v>919.98</v>
      </c>
      <c r="AA14" s="49">
        <v>78.39</v>
      </c>
      <c r="AB14" s="49">
        <v>15</v>
      </c>
      <c r="AC14" s="50">
        <v>0.15</v>
      </c>
    </row>
    <row r="15" spans="1:29" x14ac:dyDescent="0.35">
      <c r="A15" s="38" t="s">
        <v>115</v>
      </c>
      <c r="B15" s="38" t="s">
        <v>342</v>
      </c>
      <c r="C15" s="37" t="s">
        <v>357</v>
      </c>
      <c r="D15" s="38" t="s">
        <v>428</v>
      </c>
      <c r="E15" s="39" t="s">
        <v>68</v>
      </c>
      <c r="F15" s="38"/>
      <c r="G15" s="38"/>
      <c r="H15" s="38"/>
      <c r="I15" s="51">
        <f>IF(SUMIFS(Negociados!C:C,Negociados!B:B,F15,Negociados!A:A,A15,Negociados!D:D,"&lt;="&amp;$F$1,Negociados!E:E,"&gt;="&amp;$F$1),SUMIFS(Negociados!C:C,Negociados!B:B,F15,Negociados!A:A,A15,Negociados!D:D,"&lt;="&amp;$F$1,Negociados!E:E,"&gt;="&amp;$F$1),19%)</f>
        <v>0.19</v>
      </c>
      <c r="J15" s="49"/>
      <c r="K15" s="49"/>
      <c r="L15" s="49"/>
      <c r="M15" s="50">
        <f>IF(SUMIFS(Negociados!C:C,Negociados!B:B,J15,Negociados!A:A,A15,Negociados!D:D,"&lt;="&amp;$F$1,Negociados!E:E,"&gt;="&amp;$F$1),SUMIFS(Negociados!C:C,Negociados!B:B,J15,Negociados!A:A,A15,Negociados!D:D,"&lt;="&amp;$F$1,Negociados!E:E,"&gt;="&amp;$F$1),19%)</f>
        <v>0.19</v>
      </c>
      <c r="N15" s="38"/>
      <c r="O15" s="38"/>
      <c r="P15" s="38"/>
      <c r="Q15" s="51">
        <v>0.19</v>
      </c>
      <c r="R15" s="49"/>
      <c r="S15" s="49"/>
      <c r="T15" s="49"/>
      <c r="U15" s="50">
        <f ca="1">IF(SUMIFS(Negociados!K:K,Negociados!J:J,R15,Negociados!I:I,I15,Negociados!L:L,"&lt;="&amp;$F$1,Negociados!M:M,"&gt;="&amp;$F$1),SUMIFS(Negociados!K:K,Negociados!J:J,R15,Negociados!I:I,I15,Negociados!L:L,"&lt;="&amp;$F$1,Negociados!M:M,"&gt;="&amp;$F$1),19%)</f>
        <v>0.19</v>
      </c>
      <c r="V15" s="38">
        <v>0</v>
      </c>
      <c r="W15" s="38">
        <v>0</v>
      </c>
      <c r="X15" s="38">
        <v>0</v>
      </c>
      <c r="Y15" s="51">
        <v>0.19</v>
      </c>
      <c r="Z15" s="49">
        <v>339.98</v>
      </c>
      <c r="AA15" s="49">
        <v>66.7</v>
      </c>
      <c r="AB15" s="49">
        <v>10</v>
      </c>
      <c r="AC15" s="50">
        <v>0.15</v>
      </c>
    </row>
    <row r="16" spans="1:29" x14ac:dyDescent="0.35">
      <c r="A16" s="38" t="s">
        <v>77</v>
      </c>
      <c r="B16" s="37" t="s">
        <v>358</v>
      </c>
      <c r="C16" s="37" t="s">
        <v>359</v>
      </c>
      <c r="D16" s="38" t="s">
        <v>429</v>
      </c>
      <c r="E16" s="39" t="s">
        <v>68</v>
      </c>
      <c r="F16" s="38"/>
      <c r="G16" s="38"/>
      <c r="H16" s="38"/>
      <c r="I16" s="51">
        <f>IF(SUMIFS(Negociados!C:C,Negociados!B:B,F16,Negociados!A:A,A16,Negociados!D:D,"&lt;="&amp;$F$1,Negociados!E:E,"&gt;="&amp;$F$1),SUMIFS(Negociados!C:C,Negociados!B:B,F16,Negociados!A:A,A16,Negociados!D:D,"&lt;="&amp;$F$1,Negociados!E:E,"&gt;="&amp;$F$1),19%)</f>
        <v>0.19</v>
      </c>
      <c r="J16" s="49"/>
      <c r="K16" s="49"/>
      <c r="L16" s="49"/>
      <c r="M16" s="50">
        <f>IF(SUMIFS(Negociados!C:C,Negociados!B:B,J16,Negociados!A:A,A16,Negociados!D:D,"&lt;="&amp;$F$1,Negociados!E:E,"&gt;="&amp;$F$1),SUMIFS(Negociados!C:C,Negociados!B:B,J16,Negociados!A:A,A16,Negociados!D:D,"&lt;="&amp;$F$1,Negociados!E:E,"&gt;="&amp;$F$1),19%)</f>
        <v>0.19</v>
      </c>
      <c r="N16" s="38">
        <v>359.98</v>
      </c>
      <c r="O16" s="38" t="s">
        <v>597</v>
      </c>
      <c r="P16" s="38">
        <v>6</v>
      </c>
      <c r="Q16" s="51">
        <v>0.15</v>
      </c>
      <c r="R16" s="49"/>
      <c r="S16" s="49"/>
      <c r="T16" s="49"/>
      <c r="U16" s="50">
        <f ca="1">IF(SUMIFS(Negociados!K:K,Negociados!J:J,R16,Negociados!I:I,I16,Negociados!L:L,"&lt;="&amp;$F$1,Negociados!M:M,"&gt;="&amp;$F$1),SUMIFS(Negociados!K:K,Negociados!J:J,R16,Negociados!I:I,I16,Negociados!L:L,"&lt;="&amp;$F$1,Negociados!M:M,"&gt;="&amp;$F$1),19%)</f>
        <v>0.19</v>
      </c>
      <c r="V16" s="38">
        <v>349.98</v>
      </c>
      <c r="W16" s="38">
        <v>66.900000000000006</v>
      </c>
      <c r="X16" s="38">
        <v>10</v>
      </c>
      <c r="Y16" s="51">
        <v>0.15</v>
      </c>
      <c r="Z16" s="49">
        <v>349.98</v>
      </c>
      <c r="AA16" s="49">
        <v>66.900000000000006</v>
      </c>
      <c r="AB16" s="49">
        <v>10</v>
      </c>
      <c r="AC16" s="50">
        <v>0.15</v>
      </c>
    </row>
    <row r="17" spans="1:29" x14ac:dyDescent="0.35">
      <c r="A17" s="38" t="s">
        <v>116</v>
      </c>
      <c r="B17" s="38" t="s">
        <v>342</v>
      </c>
      <c r="C17" s="37" t="s">
        <v>360</v>
      </c>
      <c r="D17" s="38" t="s">
        <v>430</v>
      </c>
      <c r="E17" s="39" t="s">
        <v>68</v>
      </c>
      <c r="F17" s="38"/>
      <c r="G17" s="38"/>
      <c r="H17" s="38"/>
      <c r="I17" s="51">
        <f>IF(SUMIFS(Negociados!C:C,Negociados!B:B,F17,Negociados!A:A,A17,Negociados!D:D,"&lt;="&amp;$F$1,Negociados!E:E,"&gt;="&amp;$F$1),SUMIFS(Negociados!C:C,Negociados!B:B,F17,Negociados!A:A,A17,Negociados!D:D,"&lt;="&amp;$F$1,Negociados!E:E,"&gt;="&amp;$F$1),19%)</f>
        <v>0.19</v>
      </c>
      <c r="J17" s="49"/>
      <c r="K17" s="49"/>
      <c r="L17" s="49"/>
      <c r="M17" s="50">
        <f>IF(SUMIFS(Negociados!C:C,Negociados!B:B,J17,Negociados!A:A,A17,Negociados!D:D,"&lt;="&amp;$F$1,Negociados!E:E,"&gt;="&amp;$F$1),SUMIFS(Negociados!C:C,Negociados!B:B,J17,Negociados!A:A,A17,Negociados!D:D,"&lt;="&amp;$F$1,Negociados!E:E,"&gt;="&amp;$F$1),19%)</f>
        <v>0.19</v>
      </c>
      <c r="N17" s="38"/>
      <c r="O17" s="38"/>
      <c r="P17" s="38"/>
      <c r="Q17" s="51">
        <v>0.19</v>
      </c>
      <c r="R17" s="49"/>
      <c r="S17" s="49"/>
      <c r="T17" s="49"/>
      <c r="U17" s="50">
        <f ca="1">IF(SUMIFS(Negociados!K:K,Negociados!J:J,R17,Negociados!I:I,I17,Negociados!L:L,"&lt;="&amp;$F$1,Negociados!M:M,"&gt;="&amp;$F$1),SUMIFS(Negociados!K:K,Negociados!J:J,R17,Negociados!I:I,I17,Negociados!L:L,"&lt;="&amp;$F$1,Negociados!M:M,"&gt;="&amp;$F$1),19%)</f>
        <v>0.19</v>
      </c>
      <c r="V17" s="38">
        <v>0</v>
      </c>
      <c r="W17" s="38">
        <v>0</v>
      </c>
      <c r="X17" s="38">
        <v>0</v>
      </c>
      <c r="Y17" s="51">
        <v>0.19</v>
      </c>
      <c r="Z17" s="49">
        <v>349.98</v>
      </c>
      <c r="AA17" s="49">
        <v>66.900000000000006</v>
      </c>
      <c r="AB17" s="49">
        <v>10</v>
      </c>
      <c r="AC17" s="50">
        <v>0.15</v>
      </c>
    </row>
    <row r="18" spans="1:29" x14ac:dyDescent="0.35">
      <c r="A18" s="38" t="s">
        <v>76</v>
      </c>
      <c r="B18" s="37" t="s">
        <v>361</v>
      </c>
      <c r="C18" s="37" t="s">
        <v>362</v>
      </c>
      <c r="D18" s="38" t="s">
        <v>431</v>
      </c>
      <c r="E18" s="39" t="s">
        <v>68</v>
      </c>
      <c r="F18" s="38"/>
      <c r="G18" s="38"/>
      <c r="H18" s="38"/>
      <c r="I18" s="51">
        <f>IF(SUMIFS(Negociados!C:C,Negociados!B:B,F18,Negociados!A:A,A18,Negociados!D:D,"&lt;="&amp;$F$1,Negociados!E:E,"&gt;="&amp;$F$1),SUMIFS(Negociados!C:C,Negociados!B:B,F18,Negociados!A:A,A18,Negociados!D:D,"&lt;="&amp;$F$1,Negociados!E:E,"&gt;="&amp;$F$1),19%)</f>
        <v>0.19</v>
      </c>
      <c r="J18" s="49"/>
      <c r="K18" s="49"/>
      <c r="L18" s="49"/>
      <c r="M18" s="50">
        <f>IF(SUMIFS(Negociados!C:C,Negociados!B:B,J18,Negociados!A:A,A18,Negociados!D:D,"&lt;="&amp;$F$1,Negociados!E:E,"&gt;="&amp;$F$1),SUMIFS(Negociados!C:C,Negociados!B:B,J18,Negociados!A:A,A18,Negociados!D:D,"&lt;="&amp;$F$1,Negociados!E:E,"&gt;="&amp;$F$1),19%)</f>
        <v>0.19</v>
      </c>
      <c r="N18" s="38">
        <v>359.98</v>
      </c>
      <c r="O18" s="38" t="s">
        <v>597</v>
      </c>
      <c r="P18" s="38">
        <v>6</v>
      </c>
      <c r="Q18" s="51">
        <v>0.15</v>
      </c>
      <c r="R18" s="49"/>
      <c r="S18" s="49"/>
      <c r="T18" s="49"/>
      <c r="U18" s="50">
        <f ca="1">IF(SUMIFS(Negociados!K:K,Negociados!J:J,R18,Negociados!I:I,I18,Negociados!L:L,"&lt;="&amp;$F$1,Negociados!M:M,"&gt;="&amp;$F$1),SUMIFS(Negociados!K:K,Negociados!J:J,R18,Negociados!I:I,I18,Negociados!L:L,"&lt;="&amp;$F$1,Negociados!M:M,"&gt;="&amp;$F$1),19%)</f>
        <v>0.19</v>
      </c>
      <c r="V18" s="38">
        <v>349.98</v>
      </c>
      <c r="W18" s="38">
        <v>66.900000000000006</v>
      </c>
      <c r="X18" s="38">
        <v>10</v>
      </c>
      <c r="Y18" s="51">
        <v>0.15</v>
      </c>
      <c r="Z18" s="49">
        <v>349.98</v>
      </c>
      <c r="AA18" s="49">
        <v>66.900000000000006</v>
      </c>
      <c r="AB18" s="49">
        <v>10</v>
      </c>
      <c r="AC18" s="50">
        <v>0.15</v>
      </c>
    </row>
    <row r="19" spans="1:29" x14ac:dyDescent="0.35">
      <c r="A19" s="38" t="s">
        <v>23</v>
      </c>
      <c r="B19" s="37" t="s">
        <v>363</v>
      </c>
      <c r="C19" s="37" t="s">
        <v>364</v>
      </c>
      <c r="D19" s="38" t="s">
        <v>24</v>
      </c>
      <c r="E19" s="39" t="s">
        <v>68</v>
      </c>
      <c r="F19" s="38"/>
      <c r="G19" s="38"/>
      <c r="H19" s="38"/>
      <c r="I19" s="51">
        <f>IF(SUMIFS(Negociados!C:C,Negociados!B:B,F19,Negociados!A:A,A19,Negociados!D:D,"&lt;="&amp;$F$1,Negociados!E:E,"&gt;="&amp;$F$1),SUMIFS(Negociados!C:C,Negociados!B:B,F19,Negociados!A:A,A19,Negociados!D:D,"&lt;="&amp;$F$1,Negociados!E:E,"&gt;="&amp;$F$1),19%)</f>
        <v>0.19</v>
      </c>
      <c r="J19" s="49"/>
      <c r="K19" s="49"/>
      <c r="L19" s="49"/>
      <c r="M19" s="50">
        <f>IF(SUMIFS(Negociados!C:C,Negociados!B:B,J19,Negociados!A:A,A19,Negociados!D:D,"&lt;="&amp;$F$1,Negociados!E:E,"&gt;="&amp;$F$1),SUMIFS(Negociados!C:C,Negociados!B:B,J19,Negociados!A:A,A19,Negociados!D:D,"&lt;="&amp;$F$1,Negociados!E:E,"&gt;="&amp;$F$1),19%)</f>
        <v>0.19</v>
      </c>
      <c r="N19" s="38">
        <v>469.98</v>
      </c>
      <c r="O19" s="38" t="s">
        <v>597</v>
      </c>
      <c r="P19" s="38">
        <v>6</v>
      </c>
      <c r="Q19" s="51">
        <v>0.13</v>
      </c>
      <c r="R19" s="49"/>
      <c r="S19" s="49"/>
      <c r="T19" s="49"/>
      <c r="U19" s="50">
        <f ca="1">IF(SUMIFS(Negociados!K:K,Negociados!J:J,R19,Negociados!I:I,I19,Negociados!L:L,"&lt;="&amp;$F$1,Negociados!M:M,"&gt;="&amp;$F$1),SUMIFS(Negociados!K:K,Negociados!J:J,R19,Negociados!I:I,I19,Negociados!L:L,"&lt;="&amp;$F$1,Negociados!M:M,"&gt;="&amp;$F$1),19%)</f>
        <v>0.19</v>
      </c>
      <c r="V19" s="38">
        <v>459.98</v>
      </c>
      <c r="W19" s="38">
        <v>69.099999999999994</v>
      </c>
      <c r="X19" s="38">
        <v>10</v>
      </c>
      <c r="Y19" s="51">
        <v>0.15</v>
      </c>
      <c r="Z19" s="49">
        <v>459.98</v>
      </c>
      <c r="AA19" s="49">
        <v>69.099999999999994</v>
      </c>
      <c r="AB19" s="49">
        <v>10</v>
      </c>
      <c r="AC19" s="50">
        <v>0.15</v>
      </c>
    </row>
    <row r="20" spans="1:29" x14ac:dyDescent="0.35">
      <c r="A20" s="38" t="s">
        <v>78</v>
      </c>
      <c r="B20" s="37" t="s">
        <v>365</v>
      </c>
      <c r="C20" s="37" t="s">
        <v>366</v>
      </c>
      <c r="D20" s="38" t="s">
        <v>432</v>
      </c>
      <c r="E20" s="39" t="s">
        <v>68</v>
      </c>
      <c r="F20" s="38"/>
      <c r="G20" s="38"/>
      <c r="H20" s="38"/>
      <c r="I20" s="51">
        <f>IF(SUMIFS(Negociados!C:C,Negociados!B:B,F20,Negociados!A:A,A20,Negociados!D:D,"&lt;="&amp;$F$1,Negociados!E:E,"&gt;="&amp;$F$1),SUMIFS(Negociados!C:C,Negociados!B:B,F20,Negociados!A:A,A20,Negociados!D:D,"&lt;="&amp;$F$1,Negociados!E:E,"&gt;="&amp;$F$1),19%)</f>
        <v>0.19</v>
      </c>
      <c r="J20" s="49"/>
      <c r="K20" s="49"/>
      <c r="L20" s="49"/>
      <c r="M20" s="50">
        <f>IF(SUMIFS(Negociados!C:C,Negociados!B:B,J20,Negociados!A:A,A20,Negociados!D:D,"&lt;="&amp;$F$1,Negociados!E:E,"&gt;="&amp;$F$1),SUMIFS(Negociados!C:C,Negociados!B:B,J20,Negociados!A:A,A20,Negociados!D:D,"&lt;="&amp;$F$1,Negociados!E:E,"&gt;="&amp;$F$1),19%)</f>
        <v>0.19</v>
      </c>
      <c r="N20" s="38">
        <v>554.99</v>
      </c>
      <c r="O20" s="38" t="s">
        <v>597</v>
      </c>
      <c r="P20" s="38">
        <v>6</v>
      </c>
      <c r="Q20" s="51">
        <v>0.19</v>
      </c>
      <c r="R20" s="49"/>
      <c r="S20" s="49"/>
      <c r="T20" s="49"/>
      <c r="U20" s="50">
        <f ca="1">IF(SUMIFS(Negociados!K:K,Negociados!J:J,R20,Negociados!I:I,I20,Negociados!L:L,"&lt;="&amp;$F$1,Negociados!M:M,"&gt;="&amp;$F$1),SUMIFS(Negociados!K:K,Negociados!J:J,R20,Negociados!I:I,I20,Negociados!L:L,"&lt;="&amp;$F$1,Negociados!M:M,"&gt;="&amp;$F$1),19%)</f>
        <v>0.19</v>
      </c>
      <c r="V20" s="38">
        <v>554.99</v>
      </c>
      <c r="W20" s="38">
        <v>71</v>
      </c>
      <c r="X20" s="38">
        <v>10</v>
      </c>
      <c r="Y20" s="51">
        <v>0.19</v>
      </c>
      <c r="Z20" s="49">
        <v>554.99</v>
      </c>
      <c r="AA20" s="49">
        <v>71</v>
      </c>
      <c r="AB20" s="49">
        <v>10</v>
      </c>
      <c r="AC20" s="50">
        <v>0.19</v>
      </c>
    </row>
    <row r="21" spans="1:29" x14ac:dyDescent="0.35">
      <c r="A21" s="38" t="s">
        <v>272</v>
      </c>
      <c r="B21" s="37" t="s">
        <v>367</v>
      </c>
      <c r="C21" s="37" t="s">
        <v>368</v>
      </c>
      <c r="D21" s="38" t="s">
        <v>273</v>
      </c>
      <c r="E21" s="39" t="s">
        <v>68</v>
      </c>
      <c r="F21" s="38"/>
      <c r="G21" s="38"/>
      <c r="H21" s="38"/>
      <c r="I21" s="51">
        <f>IF(SUMIFS(Negociados!C:C,Negociados!B:B,F21,Negociados!A:A,A21,Negociados!D:D,"&lt;="&amp;$F$1,Negociados!E:E,"&gt;="&amp;$F$1),SUMIFS(Negociados!C:C,Negociados!B:B,F21,Negociados!A:A,A21,Negociados!D:D,"&lt;="&amp;$F$1,Negociados!E:E,"&gt;="&amp;$F$1),19%)</f>
        <v>0.19</v>
      </c>
      <c r="J21" s="49"/>
      <c r="K21" s="49"/>
      <c r="L21" s="49"/>
      <c r="M21" s="50">
        <f>IF(SUMIFS(Negociados!C:C,Negociados!B:B,J21,Negociados!A:A,A21,Negociados!D:D,"&lt;="&amp;$F$1,Negociados!E:E,"&gt;="&amp;$F$1),SUMIFS(Negociados!C:C,Negociados!B:B,J21,Negociados!A:A,A21,Negociados!D:D,"&lt;="&amp;$F$1,Negociados!E:E,"&gt;="&amp;$F$1),19%)</f>
        <v>0.19</v>
      </c>
      <c r="N21" s="38">
        <v>309.98</v>
      </c>
      <c r="O21" s="38" t="s">
        <v>597</v>
      </c>
      <c r="P21" s="38">
        <v>6</v>
      </c>
      <c r="Q21" s="51">
        <v>0.15</v>
      </c>
      <c r="R21" s="49"/>
      <c r="S21" s="49"/>
      <c r="T21" s="49"/>
      <c r="U21" s="50">
        <f ca="1">IF(SUMIFS(Negociados!K:K,Negociados!J:J,R21,Negociados!I:I,I21,Negociados!L:L,"&lt;="&amp;$F$1,Negociados!M:M,"&gt;="&amp;$F$1),SUMIFS(Negociados!K:K,Negociados!J:J,R21,Negociados!I:I,I21,Negociados!L:L,"&lt;="&amp;$F$1,Negociados!M:M,"&gt;="&amp;$F$1),19%)</f>
        <v>0.19</v>
      </c>
      <c r="V21" s="38">
        <v>319.98</v>
      </c>
      <c r="W21" s="38">
        <v>46.3</v>
      </c>
      <c r="X21" s="38">
        <v>10</v>
      </c>
      <c r="Y21" s="51">
        <v>0.15</v>
      </c>
      <c r="Z21" s="49">
        <v>319.98</v>
      </c>
      <c r="AA21" s="49">
        <v>46.3</v>
      </c>
      <c r="AB21" s="49">
        <v>10</v>
      </c>
      <c r="AC21" s="50">
        <v>0.15</v>
      </c>
    </row>
    <row r="22" spans="1:29" x14ac:dyDescent="0.35">
      <c r="A22" s="38" t="s">
        <v>14</v>
      </c>
      <c r="B22" s="37" t="s">
        <v>369</v>
      </c>
      <c r="C22" s="37" t="s">
        <v>370</v>
      </c>
      <c r="D22" s="38" t="s">
        <v>123</v>
      </c>
      <c r="E22" s="39" t="s">
        <v>68</v>
      </c>
      <c r="F22" s="38"/>
      <c r="G22" s="38"/>
      <c r="H22" s="38"/>
      <c r="I22" s="51">
        <f>IF(SUMIFS(Negociados!C:C,Negociados!B:B,F22,Negociados!A:A,A22,Negociados!D:D,"&lt;="&amp;$F$1,Negociados!E:E,"&gt;="&amp;$F$1),SUMIFS(Negociados!C:C,Negociados!B:B,F22,Negociados!A:A,A22,Negociados!D:D,"&lt;="&amp;$F$1,Negociados!E:E,"&gt;="&amp;$F$1),19%)</f>
        <v>0.19</v>
      </c>
      <c r="J22" s="49"/>
      <c r="K22" s="49"/>
      <c r="L22" s="49"/>
      <c r="M22" s="50">
        <f>IF(SUMIFS(Negociados!C:C,Negociados!B:B,J22,Negociados!A:A,A22,Negociados!D:D,"&lt;="&amp;$F$1,Negociados!E:E,"&gt;="&amp;$F$1),SUMIFS(Negociados!C:C,Negociados!B:B,J22,Negociados!A:A,A22,Negociados!D:D,"&lt;="&amp;$F$1,Negociados!E:E,"&gt;="&amp;$F$1),19%)</f>
        <v>0.19</v>
      </c>
      <c r="N22" s="38">
        <v>379.98</v>
      </c>
      <c r="O22" s="38" t="s">
        <v>597</v>
      </c>
      <c r="P22" s="38">
        <v>6</v>
      </c>
      <c r="Q22" s="51">
        <v>0.13</v>
      </c>
      <c r="R22" s="49"/>
      <c r="S22" s="49"/>
      <c r="T22" s="49"/>
      <c r="U22" s="50">
        <f ca="1">IF(SUMIFS(Negociados!K:K,Negociados!J:J,R22,Negociados!I:I,I22,Negociados!L:L,"&lt;="&amp;$F$1,Negociados!M:M,"&gt;="&amp;$F$1),SUMIFS(Negociados!K:K,Negociados!J:J,R22,Negociados!I:I,I22,Negociados!L:L,"&lt;="&amp;$F$1,Negociados!M:M,"&gt;="&amp;$F$1),19%)</f>
        <v>0.19</v>
      </c>
      <c r="V22" s="38">
        <v>369.98</v>
      </c>
      <c r="W22" s="38">
        <v>67.3</v>
      </c>
      <c r="X22" s="38">
        <v>10</v>
      </c>
      <c r="Y22" s="51">
        <v>0.15</v>
      </c>
      <c r="Z22" s="49">
        <v>369.98</v>
      </c>
      <c r="AA22" s="49">
        <v>67.3</v>
      </c>
      <c r="AB22" s="49">
        <v>10</v>
      </c>
      <c r="AC22" s="50">
        <v>0.15</v>
      </c>
    </row>
    <row r="23" spans="1:29" x14ac:dyDescent="0.35">
      <c r="A23" s="38" t="s">
        <v>35</v>
      </c>
      <c r="B23" s="37" t="s">
        <v>371</v>
      </c>
      <c r="C23" s="37" t="s">
        <v>372</v>
      </c>
      <c r="D23" s="38" t="s">
        <v>36</v>
      </c>
      <c r="E23" s="39" t="s">
        <v>68</v>
      </c>
      <c r="F23" s="38"/>
      <c r="G23" s="38"/>
      <c r="H23" s="38"/>
      <c r="I23" s="51">
        <f>IF(SUMIFS(Negociados!C:C,Negociados!B:B,F23,Negociados!A:A,A23,Negociados!D:D,"&lt;="&amp;$F$1,Negociados!E:E,"&gt;="&amp;$F$1),SUMIFS(Negociados!C:C,Negociados!B:B,F23,Negociados!A:A,A23,Negociados!D:D,"&lt;="&amp;$F$1,Negociados!E:E,"&gt;="&amp;$F$1),19%)</f>
        <v>0.19</v>
      </c>
      <c r="J23" s="49"/>
      <c r="K23" s="49"/>
      <c r="L23" s="49"/>
      <c r="M23" s="50">
        <f>IF(SUMIFS(Negociados!C:C,Negociados!B:B,J23,Negociados!A:A,A23,Negociados!D:D,"&lt;="&amp;$F$1,Negociados!E:E,"&gt;="&amp;$F$1),SUMIFS(Negociados!C:C,Negociados!B:B,J23,Negociados!A:A,A23,Negociados!D:D,"&lt;="&amp;$F$1,Negociados!E:E,"&gt;="&amp;$F$1),19%)</f>
        <v>0.19</v>
      </c>
      <c r="N23" s="38">
        <v>1489.98</v>
      </c>
      <c r="O23" s="38" t="s">
        <v>597</v>
      </c>
      <c r="P23" s="38">
        <v>9</v>
      </c>
      <c r="Q23" s="51">
        <v>0.15</v>
      </c>
      <c r="R23" s="49"/>
      <c r="S23" s="49"/>
      <c r="T23" s="49"/>
      <c r="U23" s="50">
        <f ca="1">IF(SUMIFS(Negociados!K:K,Negociados!J:J,R23,Negociados!I:I,I23,Negociados!L:L,"&lt;="&amp;$F$1,Negociados!M:M,"&gt;="&amp;$F$1),SUMIFS(Negociados!K:K,Negociados!J:J,R23,Negociados!I:I,I23,Negociados!L:L,"&lt;="&amp;$F$1,Negociados!M:M,"&gt;="&amp;$F$1),19%)</f>
        <v>0.19</v>
      </c>
      <c r="V23" s="38">
        <v>1469.98</v>
      </c>
      <c r="W23" s="38">
        <v>89.3</v>
      </c>
      <c r="X23" s="38">
        <v>10</v>
      </c>
      <c r="Y23" s="51">
        <v>0.15</v>
      </c>
      <c r="Z23" s="49">
        <v>1469.98</v>
      </c>
      <c r="AA23" s="49">
        <v>89.3</v>
      </c>
      <c r="AB23" s="49">
        <v>10</v>
      </c>
      <c r="AC23" s="50">
        <v>0.15</v>
      </c>
    </row>
    <row r="24" spans="1:29" x14ac:dyDescent="0.35">
      <c r="A24" s="38" t="s">
        <v>27</v>
      </c>
      <c r="B24" s="38" t="s">
        <v>342</v>
      </c>
      <c r="C24" s="37" t="s">
        <v>373</v>
      </c>
      <c r="D24" s="38" t="s">
        <v>28</v>
      </c>
      <c r="E24" s="39" t="s">
        <v>68</v>
      </c>
      <c r="F24" s="38"/>
      <c r="G24" s="38"/>
      <c r="H24" s="38"/>
      <c r="I24" s="51">
        <f>IF(SUMIFS(Negociados!C:C,Negociados!B:B,F24,Negociados!A:A,A24,Negociados!D:D,"&lt;="&amp;$F$1,Negociados!E:E,"&gt;="&amp;$F$1),SUMIFS(Negociados!C:C,Negociados!B:B,F24,Negociados!A:A,A24,Negociados!D:D,"&lt;="&amp;$F$1,Negociados!E:E,"&gt;="&amp;$F$1),19%)</f>
        <v>0.19</v>
      </c>
      <c r="J24" s="49"/>
      <c r="K24" s="49"/>
      <c r="L24" s="49"/>
      <c r="M24" s="50">
        <f>IF(SUMIFS(Negociados!C:C,Negociados!B:B,J24,Negociados!A:A,A24,Negociados!D:D,"&lt;="&amp;$F$1,Negociados!E:E,"&gt;="&amp;$F$1),SUMIFS(Negociados!C:C,Negociados!B:B,J24,Negociados!A:A,A24,Negociados!D:D,"&lt;="&amp;$F$1,Negociados!E:E,"&gt;="&amp;$F$1),19%)</f>
        <v>0.19</v>
      </c>
      <c r="N24" s="38"/>
      <c r="O24" s="38" t="s">
        <v>597</v>
      </c>
      <c r="P24" s="38">
        <v>6</v>
      </c>
      <c r="Q24" s="51">
        <v>0.19</v>
      </c>
      <c r="R24" s="49"/>
      <c r="S24" s="49"/>
      <c r="T24" s="49"/>
      <c r="U24" s="50">
        <f ca="1">IF(SUMIFS(Negociados!K:K,Negociados!J:J,R24,Negociados!I:I,I24,Negociados!L:L,"&lt;="&amp;$F$1,Negociados!M:M,"&gt;="&amp;$F$1),SUMIFS(Negociados!K:K,Negociados!J:J,R24,Negociados!I:I,I24,Negociados!L:L,"&lt;="&amp;$F$1,Negociados!M:M,"&gt;="&amp;$F$1),19%)</f>
        <v>0.19</v>
      </c>
      <c r="V24" s="38">
        <v>0</v>
      </c>
      <c r="W24" s="38">
        <v>0</v>
      </c>
      <c r="X24" s="38">
        <v>0</v>
      </c>
      <c r="Y24" s="51">
        <v>0.19</v>
      </c>
      <c r="Z24" s="49">
        <v>679.98</v>
      </c>
      <c r="AA24" s="49">
        <v>83.5</v>
      </c>
      <c r="AB24" s="49">
        <v>10</v>
      </c>
      <c r="AC24" s="50">
        <v>0.15</v>
      </c>
    </row>
    <row r="25" spans="1:29" x14ac:dyDescent="0.35">
      <c r="A25" s="38" t="s">
        <v>102</v>
      </c>
      <c r="B25" s="38" t="s">
        <v>342</v>
      </c>
      <c r="C25" s="37" t="s">
        <v>374</v>
      </c>
      <c r="D25" s="38" t="s">
        <v>103</v>
      </c>
      <c r="E25" s="39" t="s">
        <v>68</v>
      </c>
      <c r="F25" s="38"/>
      <c r="G25" s="38"/>
      <c r="H25" s="38"/>
      <c r="I25" s="51">
        <f>IF(SUMIFS(Negociados!C:C,Negociados!B:B,F25,Negociados!A:A,A25,Negociados!D:D,"&lt;="&amp;$F$1,Negociados!E:E,"&gt;="&amp;$F$1),SUMIFS(Negociados!C:C,Negociados!B:B,F25,Negociados!A:A,A25,Negociados!D:D,"&lt;="&amp;$F$1,Negociados!E:E,"&gt;="&amp;$F$1),19%)</f>
        <v>0.19</v>
      </c>
      <c r="J25" s="49"/>
      <c r="K25" s="49"/>
      <c r="L25" s="49"/>
      <c r="M25" s="50">
        <f>IF(SUMIFS(Negociados!C:C,Negociados!B:B,J25,Negociados!A:A,A25,Negociados!D:D,"&lt;="&amp;$F$1,Negociados!E:E,"&gt;="&amp;$F$1),SUMIFS(Negociados!C:C,Negociados!B:B,J25,Negociados!A:A,A25,Negociados!D:D,"&lt;="&amp;$F$1,Negociados!E:E,"&gt;="&amp;$F$1),19%)</f>
        <v>0.19</v>
      </c>
      <c r="N25" s="38"/>
      <c r="O25" s="38" t="s">
        <v>597</v>
      </c>
      <c r="P25" s="38">
        <v>6</v>
      </c>
      <c r="Q25" s="51">
        <v>0.19</v>
      </c>
      <c r="R25" s="49"/>
      <c r="S25" s="49"/>
      <c r="T25" s="49"/>
      <c r="U25" s="50">
        <f ca="1">IF(SUMIFS(Negociados!K:K,Negociados!J:J,R25,Negociados!I:I,I25,Negociados!L:L,"&lt;="&amp;$F$1,Negociados!M:M,"&gt;="&amp;$F$1),SUMIFS(Negociados!K:K,Negociados!J:J,R25,Negociados!I:I,I25,Negociados!L:L,"&lt;="&amp;$F$1,Negociados!M:M,"&gt;="&amp;$F$1),19%)</f>
        <v>0.19</v>
      </c>
      <c r="V25" s="38">
        <v>0</v>
      </c>
      <c r="W25" s="38">
        <v>0</v>
      </c>
      <c r="X25" s="38">
        <v>0</v>
      </c>
      <c r="Y25" s="51">
        <v>0.19</v>
      </c>
      <c r="Z25" s="49">
        <v>999.98</v>
      </c>
      <c r="AA25" s="49">
        <v>69.900000000000006</v>
      </c>
      <c r="AB25" s="49">
        <v>10</v>
      </c>
      <c r="AC25" s="50">
        <v>0.15</v>
      </c>
    </row>
    <row r="26" spans="1:29" x14ac:dyDescent="0.35">
      <c r="A26" s="38" t="s">
        <v>63</v>
      </c>
      <c r="B26" s="37" t="s">
        <v>376</v>
      </c>
      <c r="C26" s="37" t="s">
        <v>375</v>
      </c>
      <c r="D26" s="38" t="s">
        <v>64</v>
      </c>
      <c r="E26" s="39" t="s">
        <v>68</v>
      </c>
      <c r="F26" s="38"/>
      <c r="G26" s="38"/>
      <c r="H26" s="38"/>
      <c r="I26" s="51">
        <f>IF(SUMIFS(Negociados!C:C,Negociados!B:B,F26,Negociados!A:A,A26,Negociados!D:D,"&lt;="&amp;$F$1,Negociados!E:E,"&gt;="&amp;$F$1),SUMIFS(Negociados!C:C,Negociados!B:B,F26,Negociados!A:A,A26,Negociados!D:D,"&lt;="&amp;$F$1,Negociados!E:E,"&gt;="&amp;$F$1),19%)</f>
        <v>0.19</v>
      </c>
      <c r="J26" s="49"/>
      <c r="K26" s="49"/>
      <c r="L26" s="49"/>
      <c r="M26" s="50">
        <f>IF(SUMIFS(Negociados!C:C,Negociados!B:B,J26,Negociados!A:A,A26,Negociados!D:D,"&lt;="&amp;$F$1,Negociados!E:E,"&gt;="&amp;$F$1),SUMIFS(Negociados!C:C,Negociados!B:B,J26,Negociados!A:A,A26,Negociados!D:D,"&lt;="&amp;$F$1,Negociados!E:E,"&gt;="&amp;$F$1),19%)</f>
        <v>0.19</v>
      </c>
      <c r="N26" s="38">
        <v>1449.98</v>
      </c>
      <c r="O26" s="38" t="s">
        <v>597</v>
      </c>
      <c r="P26" s="38">
        <v>6</v>
      </c>
      <c r="Q26" s="51">
        <v>0.15</v>
      </c>
      <c r="R26" s="49"/>
      <c r="S26" s="49"/>
      <c r="T26" s="49"/>
      <c r="U26" s="50">
        <f ca="1">IF(SUMIFS(Negociados!K:K,Negociados!J:J,R26,Negociados!I:I,I26,Negociados!L:L,"&lt;="&amp;$F$1,Negociados!M:M,"&gt;="&amp;$F$1),SUMIFS(Negociados!K:K,Negociados!J:J,R26,Negociados!I:I,I26,Negociados!L:L,"&lt;="&amp;$F$1,Negociados!M:M,"&gt;="&amp;$F$1),19%)</f>
        <v>0.19</v>
      </c>
      <c r="V26" s="38">
        <v>1429.98</v>
      </c>
      <c r="W26" s="38">
        <v>98.5</v>
      </c>
      <c r="X26" s="38">
        <v>10</v>
      </c>
      <c r="Y26" s="51">
        <v>0.15</v>
      </c>
      <c r="Z26" s="49">
        <v>1429.98</v>
      </c>
      <c r="AA26" s="49">
        <v>98.5</v>
      </c>
      <c r="AB26" s="49">
        <v>10</v>
      </c>
      <c r="AC26" s="50">
        <v>0.15</v>
      </c>
    </row>
    <row r="27" spans="1:29" x14ac:dyDescent="0.35">
      <c r="A27" s="38" t="s">
        <v>49</v>
      </c>
      <c r="B27" s="37" t="s">
        <v>377</v>
      </c>
      <c r="C27" s="37" t="s">
        <v>378</v>
      </c>
      <c r="D27" s="38" t="s">
        <v>421</v>
      </c>
      <c r="E27" s="39" t="s">
        <v>68</v>
      </c>
      <c r="F27" s="38"/>
      <c r="G27" s="38"/>
      <c r="H27" s="38"/>
      <c r="I27" s="51">
        <f>IF(SUMIFS(Negociados!C:C,Negociados!B:B,F27,Negociados!A:A,A27,Negociados!D:D,"&lt;="&amp;$F$1,Negociados!E:E,"&gt;="&amp;$F$1),SUMIFS(Negociados!C:C,Negociados!B:B,F27,Negociados!A:A,A27,Negociados!D:D,"&lt;="&amp;$F$1,Negociados!E:E,"&gt;="&amp;$F$1),19%)</f>
        <v>0.19</v>
      </c>
      <c r="J27" s="49"/>
      <c r="K27" s="49"/>
      <c r="L27" s="49"/>
      <c r="M27" s="50">
        <f>IF(SUMIFS(Negociados!C:C,Negociados!B:B,J27,Negociados!A:A,A27,Negociados!D:D,"&lt;="&amp;$F$1,Negociados!E:E,"&gt;="&amp;$F$1),SUMIFS(Negociados!C:C,Negociados!B:B,J27,Negociados!A:A,A27,Negociados!D:D,"&lt;="&amp;$F$1,Negociados!E:E,"&gt;="&amp;$F$1),19%)</f>
        <v>0.19</v>
      </c>
      <c r="N27" s="38">
        <v>1649.98</v>
      </c>
      <c r="O27" s="38" t="s">
        <v>597</v>
      </c>
      <c r="P27" s="38">
        <v>9</v>
      </c>
      <c r="Q27" s="51">
        <v>0.15</v>
      </c>
      <c r="R27" s="49"/>
      <c r="S27" s="49"/>
      <c r="T27" s="49"/>
      <c r="U27" s="50">
        <f ca="1">IF(SUMIFS(Negociados!K:K,Negociados!J:J,R27,Negociados!I:I,I27,Negociados!L:L,"&lt;="&amp;$F$1,Negociados!M:M,"&gt;="&amp;$F$1),SUMIFS(Negociados!K:K,Negociados!J:J,R27,Negociados!I:I,I27,Negociados!L:L,"&lt;="&amp;$F$1,Negociados!M:M,"&gt;="&amp;$F$1),19%)</f>
        <v>0.19</v>
      </c>
      <c r="V27" s="38">
        <v>1639.98</v>
      </c>
      <c r="W27" s="38">
        <v>102.79</v>
      </c>
      <c r="X27" s="38">
        <v>15</v>
      </c>
      <c r="Y27" s="51">
        <v>0.15</v>
      </c>
      <c r="Z27" s="49">
        <v>1639.98</v>
      </c>
      <c r="AA27" s="49">
        <v>102.79</v>
      </c>
      <c r="AB27" s="49">
        <v>15</v>
      </c>
      <c r="AC27" s="50">
        <v>0.15</v>
      </c>
    </row>
    <row r="28" spans="1:29" x14ac:dyDescent="0.35">
      <c r="A28" s="38" t="s">
        <v>12</v>
      </c>
      <c r="B28" s="37" t="s">
        <v>379</v>
      </c>
      <c r="C28" s="38" t="s">
        <v>342</v>
      </c>
      <c r="D28" s="38" t="s">
        <v>13</v>
      </c>
      <c r="E28" s="39" t="s">
        <v>68</v>
      </c>
      <c r="F28" s="38"/>
      <c r="G28" s="38"/>
      <c r="H28" s="38"/>
      <c r="I28" s="51">
        <f>IF(SUMIFS(Negociados!C:C,Negociados!B:B,F28,Negociados!A:A,A28,Negociados!D:D,"&lt;="&amp;$F$1,Negociados!E:E,"&gt;="&amp;$F$1),SUMIFS(Negociados!C:C,Negociados!B:B,F28,Negociados!A:A,A28,Negociados!D:D,"&lt;="&amp;$F$1,Negociados!E:E,"&gt;="&amp;$F$1),19%)</f>
        <v>0.19</v>
      </c>
      <c r="J28" s="49"/>
      <c r="K28" s="49"/>
      <c r="L28" s="49"/>
      <c r="M28" s="50">
        <f>IF(SUMIFS(Negociados!C:C,Negociados!B:B,J28,Negociados!A:A,A28,Negociados!D:D,"&lt;="&amp;$F$1,Negociados!E:E,"&gt;="&amp;$F$1),SUMIFS(Negociados!C:C,Negociados!B:B,J28,Negociados!A:A,A28,Negociados!D:D,"&lt;="&amp;$F$1,Negociados!E:E,"&gt;="&amp;$F$1),19%)</f>
        <v>0.19</v>
      </c>
      <c r="N28" s="38">
        <v>379.98</v>
      </c>
      <c r="O28" s="38" t="s">
        <v>597</v>
      </c>
      <c r="P28" s="38">
        <v>6</v>
      </c>
      <c r="Q28" s="51">
        <v>0.13</v>
      </c>
      <c r="R28" s="49"/>
      <c r="S28" s="49"/>
      <c r="T28" s="49"/>
      <c r="U28" s="50">
        <f ca="1">IF(SUMIFS(Negociados!K:K,Negociados!J:J,R28,Negociados!I:I,I28,Negociados!L:L,"&lt;="&amp;$F$1,Negociados!M:M,"&gt;="&amp;$F$1),SUMIFS(Negociados!K:K,Negociados!J:J,R28,Negociados!I:I,I28,Negociados!L:L,"&lt;="&amp;$F$1,Negociados!M:M,"&gt;="&amp;$F$1),19%)</f>
        <v>0.19</v>
      </c>
      <c r="V28" s="38">
        <v>369.98</v>
      </c>
      <c r="W28" s="38">
        <v>67.3</v>
      </c>
      <c r="X28" s="38">
        <v>10</v>
      </c>
      <c r="Y28" s="51">
        <v>0.15</v>
      </c>
      <c r="Z28" s="49">
        <v>0</v>
      </c>
      <c r="AA28" s="49">
        <v>0</v>
      </c>
      <c r="AB28" s="49">
        <v>0</v>
      </c>
      <c r="AC28" s="50">
        <v>0.19</v>
      </c>
    </row>
    <row r="29" spans="1:29" x14ac:dyDescent="0.35">
      <c r="A29" s="38" t="s">
        <v>21</v>
      </c>
      <c r="B29" s="38" t="s">
        <v>342</v>
      </c>
      <c r="C29" s="37" t="s">
        <v>380</v>
      </c>
      <c r="D29" s="38" t="s">
        <v>22</v>
      </c>
      <c r="E29" s="39" t="s">
        <v>68</v>
      </c>
      <c r="F29" s="38"/>
      <c r="G29" s="38"/>
      <c r="H29" s="38"/>
      <c r="I29" s="51">
        <f>IF(SUMIFS(Negociados!C:C,Negociados!B:B,F29,Negociados!A:A,A29,Negociados!D:D,"&lt;="&amp;$F$1,Negociados!E:E,"&gt;="&amp;$F$1),SUMIFS(Negociados!C:C,Negociados!B:B,F29,Negociados!A:A,A29,Negociados!D:D,"&lt;="&amp;$F$1,Negociados!E:E,"&gt;="&amp;$F$1),19%)</f>
        <v>0.19</v>
      </c>
      <c r="J29" s="49"/>
      <c r="K29" s="49"/>
      <c r="L29" s="49"/>
      <c r="M29" s="50">
        <f>IF(SUMIFS(Negociados!C:C,Negociados!B:B,J29,Negociados!A:A,A29,Negociados!D:D,"&lt;="&amp;$F$1,Negociados!E:E,"&gt;="&amp;$F$1),SUMIFS(Negociados!C:C,Negociados!B:B,J29,Negociados!A:A,A29,Negociados!D:D,"&lt;="&amp;$F$1,Negociados!E:E,"&gt;="&amp;$F$1),19%)</f>
        <v>0.19</v>
      </c>
      <c r="N29" s="38"/>
      <c r="O29" s="38"/>
      <c r="P29" s="38"/>
      <c r="Q29" s="51">
        <v>0.19</v>
      </c>
      <c r="R29" s="49"/>
      <c r="S29" s="49"/>
      <c r="T29" s="49"/>
      <c r="U29" s="50">
        <f ca="1">IF(SUMIFS(Negociados!K:K,Negociados!J:J,R29,Negociados!I:I,I29,Negociados!L:L,"&lt;="&amp;$F$1,Negociados!M:M,"&gt;="&amp;$F$1),SUMIFS(Negociados!K:K,Negociados!J:J,R29,Negociados!I:I,I29,Negociados!L:L,"&lt;="&amp;$F$1,Negociados!M:M,"&gt;="&amp;$F$1),19%)</f>
        <v>0.19</v>
      </c>
      <c r="V29" s="38">
        <v>0</v>
      </c>
      <c r="W29" s="38">
        <v>0</v>
      </c>
      <c r="X29" s="38">
        <v>0</v>
      </c>
      <c r="Y29" s="51">
        <v>0.19</v>
      </c>
      <c r="Z29" s="49">
        <v>489.98</v>
      </c>
      <c r="AA29" s="49">
        <v>69.790000000000006</v>
      </c>
      <c r="AB29" s="49">
        <v>15</v>
      </c>
      <c r="AC29" s="50">
        <v>0.15</v>
      </c>
    </row>
    <row r="30" spans="1:29" x14ac:dyDescent="0.35">
      <c r="A30" s="38" t="s">
        <v>53</v>
      </c>
      <c r="B30" s="37" t="s">
        <v>381</v>
      </c>
      <c r="C30" s="37" t="s">
        <v>382</v>
      </c>
      <c r="D30" s="38" t="s">
        <v>280</v>
      </c>
      <c r="E30" s="39" t="s">
        <v>68</v>
      </c>
      <c r="F30" s="38"/>
      <c r="G30" s="38"/>
      <c r="H30" s="38"/>
      <c r="I30" s="51">
        <f>IF(SUMIFS(Negociados!C:C,Negociados!B:B,F30,Negociados!A:A,A30,Negociados!D:D,"&lt;="&amp;$F$1,Negociados!E:E,"&gt;="&amp;$F$1),SUMIFS(Negociados!C:C,Negociados!B:B,F30,Negociados!A:A,A30,Negociados!D:D,"&lt;="&amp;$F$1,Negociados!E:E,"&gt;="&amp;$F$1),19%)</f>
        <v>0.19</v>
      </c>
      <c r="J30" s="49"/>
      <c r="K30" s="49"/>
      <c r="L30" s="49"/>
      <c r="M30" s="50">
        <f>IF(SUMIFS(Negociados!C:C,Negociados!B:B,J30,Negociados!A:A,A30,Negociados!D:D,"&lt;="&amp;$F$1,Negociados!E:E,"&gt;="&amp;$F$1),SUMIFS(Negociados!C:C,Negociados!B:B,J30,Negociados!A:A,A30,Negociados!D:D,"&lt;="&amp;$F$1,Negociados!E:E,"&gt;="&amp;$F$1),19%)</f>
        <v>0.19</v>
      </c>
      <c r="N30" s="38" t="s">
        <v>599</v>
      </c>
      <c r="O30" s="38" t="s">
        <v>598</v>
      </c>
      <c r="P30" s="38"/>
      <c r="Q30" s="51">
        <v>0.19</v>
      </c>
      <c r="R30" s="49"/>
      <c r="S30" s="49"/>
      <c r="T30" s="49"/>
      <c r="U30" s="50">
        <f ca="1">IF(SUMIFS(Negociados!K:K,Negociados!J:J,R30,Negociados!I:I,I30,Negociados!L:L,"&lt;="&amp;$F$1,Negociados!M:M,"&gt;="&amp;$F$1),SUMIFS(Negociados!K:K,Negociados!J:J,R30,Negociados!I:I,I30,Negociados!L:L,"&lt;="&amp;$F$1,Negociados!M:M,"&gt;="&amp;$F$1),19%)</f>
        <v>0.19</v>
      </c>
      <c r="V30" s="38">
        <v>459.98</v>
      </c>
      <c r="W30" s="38">
        <v>59.19</v>
      </c>
      <c r="X30" s="38">
        <v>15</v>
      </c>
      <c r="Y30" s="51">
        <v>0.15</v>
      </c>
      <c r="Z30" s="49">
        <v>459.98</v>
      </c>
      <c r="AA30" s="49">
        <v>59.19</v>
      </c>
      <c r="AB30" s="49">
        <v>15</v>
      </c>
      <c r="AC30" s="50">
        <v>0.15</v>
      </c>
    </row>
    <row r="31" spans="1:29" x14ac:dyDescent="0.35">
      <c r="A31" s="38" t="s">
        <v>54</v>
      </c>
      <c r="B31" s="38" t="s">
        <v>342</v>
      </c>
      <c r="C31" s="37" t="s">
        <v>383</v>
      </c>
      <c r="D31" s="38" t="s">
        <v>124</v>
      </c>
      <c r="E31" s="39" t="s">
        <v>68</v>
      </c>
      <c r="F31" s="38"/>
      <c r="G31" s="38"/>
      <c r="H31" s="38"/>
      <c r="I31" s="51">
        <f>IF(SUMIFS(Negociados!C:C,Negociados!B:B,F31,Negociados!A:A,A31,Negociados!D:D,"&lt;="&amp;$F$1,Negociados!E:E,"&gt;="&amp;$F$1),SUMIFS(Negociados!C:C,Negociados!B:B,F31,Negociados!A:A,A31,Negociados!D:D,"&lt;="&amp;$F$1,Negociados!E:E,"&gt;="&amp;$F$1),19%)</f>
        <v>0.19</v>
      </c>
      <c r="J31" s="49"/>
      <c r="K31" s="49"/>
      <c r="L31" s="49"/>
      <c r="M31" s="50">
        <f>IF(SUMIFS(Negociados!C:C,Negociados!B:B,J31,Negociados!A:A,A31,Negociados!D:D,"&lt;="&amp;$F$1,Negociados!E:E,"&gt;="&amp;$F$1),SUMIFS(Negociados!C:C,Negociados!B:B,J31,Negociados!A:A,A31,Negociados!D:D,"&lt;="&amp;$F$1,Negociados!E:E,"&gt;="&amp;$F$1),19%)</f>
        <v>0.19</v>
      </c>
      <c r="N31" s="38"/>
      <c r="O31" s="38"/>
      <c r="P31" s="38"/>
      <c r="Q31" s="51">
        <v>0.19</v>
      </c>
      <c r="R31" s="49"/>
      <c r="S31" s="49"/>
      <c r="T31" s="49"/>
      <c r="U31" s="50">
        <f ca="1">IF(SUMIFS(Negociados!K:K,Negociados!J:J,R31,Negociados!I:I,I31,Negociados!L:L,"&lt;="&amp;$F$1,Negociados!M:M,"&gt;="&amp;$F$1),SUMIFS(Negociados!K:K,Negociados!J:J,R31,Negociados!I:I,I31,Negociados!L:L,"&lt;="&amp;$F$1,Negociados!M:M,"&gt;="&amp;$F$1),19%)</f>
        <v>0.19</v>
      </c>
      <c r="V31" s="38">
        <v>0</v>
      </c>
      <c r="W31" s="38">
        <v>0</v>
      </c>
      <c r="X31" s="38">
        <v>0</v>
      </c>
      <c r="Y31" s="51">
        <v>0.19</v>
      </c>
      <c r="Z31" s="49">
        <v>539.98</v>
      </c>
      <c r="AA31" s="49">
        <v>70.7</v>
      </c>
      <c r="AB31" s="49">
        <v>10</v>
      </c>
      <c r="AC31" s="50">
        <v>0.15</v>
      </c>
    </row>
    <row r="32" spans="1:29" x14ac:dyDescent="0.35">
      <c r="A32" s="38" t="s">
        <v>59</v>
      </c>
      <c r="B32" s="38" t="s">
        <v>342</v>
      </c>
      <c r="C32" s="37" t="s">
        <v>384</v>
      </c>
      <c r="D32" s="38" t="s">
        <v>125</v>
      </c>
      <c r="E32" s="39" t="s">
        <v>68</v>
      </c>
      <c r="F32" s="38"/>
      <c r="G32" s="38"/>
      <c r="H32" s="38"/>
      <c r="I32" s="51">
        <f>IF(SUMIFS(Negociados!C:C,Negociados!B:B,F32,Negociados!A:A,A32,Negociados!D:D,"&lt;="&amp;$F$1,Negociados!E:E,"&gt;="&amp;$F$1),SUMIFS(Negociados!C:C,Negociados!B:B,F32,Negociados!A:A,A32,Negociados!D:D,"&lt;="&amp;$F$1,Negociados!E:E,"&gt;="&amp;$F$1),19%)</f>
        <v>0.19</v>
      </c>
      <c r="J32" s="49"/>
      <c r="K32" s="49"/>
      <c r="L32" s="49"/>
      <c r="M32" s="50">
        <f>IF(SUMIFS(Negociados!C:C,Negociados!B:B,J32,Negociados!A:A,A32,Negociados!D:D,"&lt;="&amp;$F$1,Negociados!E:E,"&gt;="&amp;$F$1),SUMIFS(Negociados!C:C,Negociados!B:B,J32,Negociados!A:A,A32,Negociados!D:D,"&lt;="&amp;$F$1,Negociados!E:E,"&gt;="&amp;$F$1),19%)</f>
        <v>0.19</v>
      </c>
      <c r="N32" s="38"/>
      <c r="O32" s="38"/>
      <c r="P32" s="38"/>
      <c r="Q32" s="51">
        <v>0.19</v>
      </c>
      <c r="R32" s="49"/>
      <c r="S32" s="49"/>
      <c r="T32" s="49"/>
      <c r="U32" s="50">
        <f ca="1">IF(SUMIFS(Negociados!K:K,Negociados!J:J,R32,Negociados!I:I,I32,Negociados!L:L,"&lt;="&amp;$F$1,Negociados!M:M,"&gt;="&amp;$F$1),SUMIFS(Negociados!K:K,Negociados!J:J,R32,Negociados!I:I,I32,Negociados!L:L,"&lt;="&amp;$F$1,Negociados!M:M,"&gt;="&amp;$F$1),19%)</f>
        <v>0.19</v>
      </c>
      <c r="V32" s="38">
        <v>0</v>
      </c>
      <c r="W32" s="38">
        <v>0</v>
      </c>
      <c r="X32" s="38">
        <v>0</v>
      </c>
      <c r="Y32" s="51">
        <v>0.19</v>
      </c>
      <c r="Z32" s="49">
        <v>799.98</v>
      </c>
      <c r="AA32" s="49">
        <v>85.9</v>
      </c>
      <c r="AB32" s="49">
        <v>10</v>
      </c>
      <c r="AC32" s="50">
        <v>0.15</v>
      </c>
    </row>
    <row r="33" spans="1:29" x14ac:dyDescent="0.35">
      <c r="A33" s="38" t="s">
        <v>101</v>
      </c>
      <c r="B33" s="38" t="s">
        <v>342</v>
      </c>
      <c r="C33" s="37" t="s">
        <v>385</v>
      </c>
      <c r="D33" s="38" t="s">
        <v>433</v>
      </c>
      <c r="E33" s="39" t="s">
        <v>68</v>
      </c>
      <c r="F33" s="38"/>
      <c r="G33" s="38"/>
      <c r="H33" s="38"/>
      <c r="I33" s="51">
        <f>IF(SUMIFS(Negociados!C:C,Negociados!B:B,F33,Negociados!A:A,A33,Negociados!D:D,"&lt;="&amp;$F$1,Negociados!E:E,"&gt;="&amp;$F$1),SUMIFS(Negociados!C:C,Negociados!B:B,F33,Negociados!A:A,A33,Negociados!D:D,"&lt;="&amp;$F$1,Negociados!E:E,"&gt;="&amp;$F$1),19%)</f>
        <v>0.19</v>
      </c>
      <c r="J33" s="49"/>
      <c r="K33" s="49"/>
      <c r="L33" s="49"/>
      <c r="M33" s="50">
        <f>IF(SUMIFS(Negociados!C:C,Negociados!B:B,J33,Negociados!A:A,A33,Negociados!D:D,"&lt;="&amp;$F$1,Negociados!E:E,"&gt;="&amp;$F$1),SUMIFS(Negociados!C:C,Negociados!B:B,J33,Negociados!A:A,A33,Negociados!D:D,"&lt;="&amp;$F$1,Negociados!E:E,"&gt;="&amp;$F$1),19%)</f>
        <v>0.19</v>
      </c>
      <c r="N33" s="38"/>
      <c r="O33" s="38"/>
      <c r="P33" s="38"/>
      <c r="Q33" s="51">
        <v>0.19</v>
      </c>
      <c r="R33" s="49"/>
      <c r="S33" s="49"/>
      <c r="T33" s="49"/>
      <c r="U33" s="50">
        <f ca="1">IF(SUMIFS(Negociados!K:K,Negociados!J:J,R33,Negociados!I:I,I33,Negociados!L:L,"&lt;="&amp;$F$1,Negociados!M:M,"&gt;="&amp;$F$1),SUMIFS(Negociados!K:K,Negociados!J:J,R33,Negociados!I:I,I33,Negociados!L:L,"&lt;="&amp;$F$1,Negociados!M:M,"&gt;="&amp;$F$1),19%)</f>
        <v>0.19</v>
      </c>
      <c r="V33" s="38">
        <v>0</v>
      </c>
      <c r="W33" s="38">
        <v>0</v>
      </c>
      <c r="X33" s="38">
        <v>0</v>
      </c>
      <c r="Y33" s="51">
        <v>0.19</v>
      </c>
      <c r="Z33" s="49">
        <v>5069.99</v>
      </c>
      <c r="AA33" s="49">
        <v>191.39</v>
      </c>
      <c r="AB33" s="49">
        <v>15</v>
      </c>
      <c r="AC33" s="50">
        <v>0.19</v>
      </c>
    </row>
    <row r="34" spans="1:29" x14ac:dyDescent="0.35">
      <c r="A34" s="38" t="s">
        <v>25</v>
      </c>
      <c r="B34" s="38" t="s">
        <v>342</v>
      </c>
      <c r="C34" s="37" t="s">
        <v>386</v>
      </c>
      <c r="D34" s="38" t="s">
        <v>26</v>
      </c>
      <c r="E34" s="39" t="s">
        <v>68</v>
      </c>
      <c r="F34" s="38"/>
      <c r="G34" s="38"/>
      <c r="H34" s="38"/>
      <c r="I34" s="51">
        <f>IF(SUMIFS(Negociados!C:C,Negociados!B:B,F34,Negociados!A:A,A34,Negociados!D:D,"&lt;="&amp;$F$1,Negociados!E:E,"&gt;="&amp;$F$1),SUMIFS(Negociados!C:C,Negociados!B:B,F34,Negociados!A:A,A34,Negociados!D:D,"&lt;="&amp;$F$1,Negociados!E:E,"&gt;="&amp;$F$1),19%)</f>
        <v>0.19</v>
      </c>
      <c r="J34" s="49"/>
      <c r="K34" s="49"/>
      <c r="L34" s="49"/>
      <c r="M34" s="50">
        <f>IF(SUMIFS(Negociados!C:C,Negociados!B:B,J34,Negociados!A:A,A34,Negociados!D:D,"&lt;="&amp;$F$1,Negociados!E:E,"&gt;="&amp;$F$1),SUMIFS(Negociados!C:C,Negociados!B:B,J34,Negociados!A:A,A34,Negociados!D:D,"&lt;="&amp;$F$1,Negociados!E:E,"&gt;="&amp;$F$1),19%)</f>
        <v>0.19</v>
      </c>
      <c r="N34" s="38"/>
      <c r="O34" s="38"/>
      <c r="P34" s="38"/>
      <c r="Q34" s="51">
        <v>0.19</v>
      </c>
      <c r="R34" s="49"/>
      <c r="S34" s="49"/>
      <c r="T34" s="49"/>
      <c r="U34" s="50">
        <f ca="1">IF(SUMIFS(Negociados!K:K,Negociados!J:J,R34,Negociados!I:I,I34,Negociados!L:L,"&lt;="&amp;$F$1,Negociados!M:M,"&gt;="&amp;$F$1),SUMIFS(Negociados!K:K,Negociados!J:J,R34,Negociados!I:I,I34,Negociados!L:L,"&lt;="&amp;$F$1,Negociados!M:M,"&gt;="&amp;$F$1),19%)</f>
        <v>0.19</v>
      </c>
      <c r="V34" s="38">
        <v>0</v>
      </c>
      <c r="W34" s="38">
        <v>0</v>
      </c>
      <c r="X34" s="38">
        <v>0</v>
      </c>
      <c r="Y34" s="51">
        <v>0.19</v>
      </c>
      <c r="Z34" s="49">
        <v>559.98</v>
      </c>
      <c r="AA34" s="49">
        <v>81.099999999999994</v>
      </c>
      <c r="AB34" s="49">
        <v>10</v>
      </c>
      <c r="AC34" s="50">
        <v>0.15</v>
      </c>
    </row>
    <row r="35" spans="1:29" x14ac:dyDescent="0.35">
      <c r="A35" s="38" t="s">
        <v>283</v>
      </c>
      <c r="B35" s="38" t="s">
        <v>342</v>
      </c>
      <c r="C35" s="37" t="s">
        <v>387</v>
      </c>
      <c r="D35" s="38" t="s">
        <v>411</v>
      </c>
      <c r="E35" s="39" t="s">
        <v>68</v>
      </c>
      <c r="F35" s="38"/>
      <c r="G35" s="38"/>
      <c r="H35" s="38"/>
      <c r="I35" s="51">
        <f>IF(SUMIFS(Negociados!C:C,Negociados!B:B,F35,Negociados!A:A,A35,Negociados!D:D,"&lt;="&amp;$F$1,Negociados!E:E,"&gt;="&amp;$F$1),SUMIFS(Negociados!C:C,Negociados!B:B,F35,Negociados!A:A,A35,Negociados!D:D,"&lt;="&amp;$F$1,Negociados!E:E,"&gt;="&amp;$F$1),19%)</f>
        <v>0.19</v>
      </c>
      <c r="J35" s="49"/>
      <c r="K35" s="49"/>
      <c r="L35" s="49"/>
      <c r="M35" s="50">
        <f>IF(SUMIFS(Negociados!C:C,Negociados!B:B,J35,Negociados!A:A,A35,Negociados!D:D,"&lt;="&amp;$F$1,Negociados!E:E,"&gt;="&amp;$F$1),SUMIFS(Negociados!C:C,Negociados!B:B,J35,Negociados!A:A,A35,Negociados!D:D,"&lt;="&amp;$F$1,Negociados!E:E,"&gt;="&amp;$F$1),19%)</f>
        <v>0.19</v>
      </c>
      <c r="N35" s="38"/>
      <c r="O35" s="38"/>
      <c r="P35" s="38"/>
      <c r="Q35" s="51">
        <v>0.19</v>
      </c>
      <c r="R35" s="49"/>
      <c r="S35" s="49"/>
      <c r="T35" s="49"/>
      <c r="U35" s="50">
        <f ca="1">IF(SUMIFS(Negociados!K:K,Negociados!J:J,R35,Negociados!I:I,I35,Negociados!L:L,"&lt;="&amp;$F$1,Negociados!M:M,"&gt;="&amp;$F$1),SUMIFS(Negociados!K:K,Negociados!J:J,R35,Negociados!I:I,I35,Negociados!L:L,"&lt;="&amp;$F$1,Negociados!M:M,"&gt;="&amp;$F$1),19%)</f>
        <v>0.19</v>
      </c>
      <c r="V35" s="38">
        <v>0</v>
      </c>
      <c r="W35" s="38">
        <v>0</v>
      </c>
      <c r="X35" s="38">
        <v>0</v>
      </c>
      <c r="Y35" s="51">
        <v>0.19</v>
      </c>
      <c r="Z35" s="49">
        <v>739.98</v>
      </c>
      <c r="AA35" s="49">
        <v>84.7</v>
      </c>
      <c r="AB35" s="49">
        <v>10</v>
      </c>
      <c r="AC35" s="50">
        <v>0.15</v>
      </c>
    </row>
    <row r="36" spans="1:29" x14ac:dyDescent="0.35">
      <c r="A36" s="38" t="s">
        <v>61</v>
      </c>
      <c r="B36" s="37" t="s">
        <v>389</v>
      </c>
      <c r="C36" s="37" t="s">
        <v>388</v>
      </c>
      <c r="D36" s="38" t="s">
        <v>62</v>
      </c>
      <c r="E36" s="39" t="s">
        <v>68</v>
      </c>
      <c r="F36" s="38"/>
      <c r="G36" s="38"/>
      <c r="H36" s="38"/>
      <c r="I36" s="51">
        <f>IF(SUMIFS(Negociados!C:C,Negociados!B:B,F36,Negociados!A:A,A36,Negociados!D:D,"&lt;="&amp;$F$1,Negociados!E:E,"&gt;="&amp;$F$1),SUMIFS(Negociados!C:C,Negociados!B:B,F36,Negociados!A:A,A36,Negociados!D:D,"&lt;="&amp;$F$1,Negociados!E:E,"&gt;="&amp;$F$1),19%)</f>
        <v>0.19</v>
      </c>
      <c r="J36" s="49"/>
      <c r="K36" s="49"/>
      <c r="L36" s="49"/>
      <c r="M36" s="50">
        <f>IF(SUMIFS(Negociados!C:C,Negociados!B:B,J36,Negociados!A:A,A36,Negociados!D:D,"&lt;="&amp;$F$1,Negociados!E:E,"&gt;="&amp;$F$1),SUMIFS(Negociados!C:C,Negociados!B:B,J36,Negociados!A:A,A36,Negociados!D:D,"&lt;="&amp;$F$1,Negociados!E:E,"&gt;="&amp;$F$1),19%)</f>
        <v>0.19</v>
      </c>
      <c r="N36" s="38">
        <v>1199.98</v>
      </c>
      <c r="O36" s="38" t="s">
        <v>597</v>
      </c>
      <c r="P36" s="38">
        <v>6</v>
      </c>
      <c r="Q36" s="51">
        <v>0.15</v>
      </c>
      <c r="R36" s="49"/>
      <c r="S36" s="49"/>
      <c r="T36" s="49"/>
      <c r="U36" s="50">
        <f ca="1">IF(SUMIFS(Negociados!K:K,Negociados!J:J,R36,Negociados!I:I,I36,Negociados!L:L,"&lt;="&amp;$F$1,Negociados!M:M,"&gt;="&amp;$F$1),SUMIFS(Negociados!K:K,Negociados!J:J,R36,Negociados!I:I,I36,Negociados!L:L,"&lt;="&amp;$F$1,Negociados!M:M,"&gt;="&amp;$F$1),19%)</f>
        <v>0.19</v>
      </c>
      <c r="V36" s="38">
        <v>1249.98</v>
      </c>
      <c r="W36" s="38">
        <v>84.9</v>
      </c>
      <c r="X36" s="38">
        <v>10</v>
      </c>
      <c r="Y36" s="51">
        <v>0.15</v>
      </c>
      <c r="Z36" s="49">
        <v>1249.98</v>
      </c>
      <c r="AA36" s="49">
        <v>84.9</v>
      </c>
      <c r="AB36" s="49">
        <v>10</v>
      </c>
      <c r="AC36" s="50">
        <v>0.15</v>
      </c>
    </row>
    <row r="37" spans="1:29" x14ac:dyDescent="0.35">
      <c r="A37" s="38" t="s">
        <v>73</v>
      </c>
      <c r="B37" s="37" t="s">
        <v>391</v>
      </c>
      <c r="C37" s="37" t="s">
        <v>390</v>
      </c>
      <c r="D37" s="38" t="s">
        <v>231</v>
      </c>
      <c r="E37" s="39" t="s">
        <v>68</v>
      </c>
      <c r="F37" s="38"/>
      <c r="G37" s="38"/>
      <c r="H37" s="38"/>
      <c r="I37" s="51">
        <f>IF(SUMIFS(Negociados!C:C,Negociados!B:B,F37,Negociados!A:A,A37,Negociados!D:D,"&lt;="&amp;$F$1,Negociados!E:E,"&gt;="&amp;$F$1),SUMIFS(Negociados!C:C,Negociados!B:B,F37,Negociados!A:A,A37,Negociados!D:D,"&lt;="&amp;$F$1,Negociados!E:E,"&gt;="&amp;$F$1),19%)</f>
        <v>0.19</v>
      </c>
      <c r="J37" s="49"/>
      <c r="K37" s="49"/>
      <c r="L37" s="49"/>
      <c r="M37" s="50">
        <f>IF(SUMIFS(Negociados!C:C,Negociados!B:B,J37,Negociados!A:A,A37,Negociados!D:D,"&lt;="&amp;$F$1,Negociados!E:E,"&gt;="&amp;$F$1),SUMIFS(Negociados!C:C,Negociados!B:B,J37,Negociados!A:A,A37,Negociados!D:D,"&lt;="&amp;$F$1,Negociados!E:E,"&gt;="&amp;$F$1),19%)</f>
        <v>0.19</v>
      </c>
      <c r="N37" s="38">
        <v>679.98</v>
      </c>
      <c r="O37" s="38" t="s">
        <v>597</v>
      </c>
      <c r="P37" s="38">
        <v>6</v>
      </c>
      <c r="Q37" s="51">
        <v>0.13</v>
      </c>
      <c r="R37" s="49"/>
      <c r="S37" s="49"/>
      <c r="T37" s="49"/>
      <c r="U37" s="50">
        <f ca="1">IF(SUMIFS(Negociados!K:K,Negociados!J:J,R37,Negociados!I:I,I37,Negociados!L:L,"&lt;="&amp;$F$1,Negociados!M:M,"&gt;="&amp;$F$1),SUMIFS(Negociados!K:K,Negociados!J:J,R37,Negociados!I:I,I37,Negociados!L:L,"&lt;="&amp;$F$1,Negociados!M:M,"&gt;="&amp;$F$1),19%)</f>
        <v>0.19</v>
      </c>
      <c r="V37" s="38">
        <v>679.98</v>
      </c>
      <c r="W37" s="38">
        <v>83.5</v>
      </c>
      <c r="X37" s="38">
        <v>10</v>
      </c>
      <c r="Y37" s="51">
        <v>0.15</v>
      </c>
      <c r="Z37" s="49">
        <v>679.98</v>
      </c>
      <c r="AA37" s="49">
        <v>83.5</v>
      </c>
      <c r="AB37" s="49">
        <v>10</v>
      </c>
      <c r="AC37" s="50">
        <v>0.15</v>
      </c>
    </row>
    <row r="38" spans="1:29" x14ac:dyDescent="0.35">
      <c r="A38" s="38" t="s">
        <v>42</v>
      </c>
      <c r="B38" s="37" t="s">
        <v>392</v>
      </c>
      <c r="C38" s="37" t="s">
        <v>393</v>
      </c>
      <c r="D38" s="38" t="s">
        <v>43</v>
      </c>
      <c r="E38" s="39" t="s">
        <v>68</v>
      </c>
      <c r="F38" s="38"/>
      <c r="G38" s="38"/>
      <c r="H38" s="38"/>
      <c r="I38" s="51">
        <f>IF(SUMIFS(Negociados!C:C,Negociados!B:B,F38,Negociados!A:A,A38,Negociados!D:D,"&lt;="&amp;$F$1,Negociados!E:E,"&gt;="&amp;$F$1),SUMIFS(Negociados!C:C,Negociados!B:B,F38,Negociados!A:A,A38,Negociados!D:D,"&lt;="&amp;$F$1,Negociados!E:E,"&gt;="&amp;$F$1),19%)</f>
        <v>0.19</v>
      </c>
      <c r="J38" s="49"/>
      <c r="K38" s="49"/>
      <c r="L38" s="49"/>
      <c r="M38" s="50">
        <f>IF(SUMIFS(Negociados!C:C,Negociados!B:B,J38,Negociados!A:A,A38,Negociados!D:D,"&lt;="&amp;$F$1,Negociados!E:E,"&gt;="&amp;$F$1),SUMIFS(Negociados!C:C,Negociados!B:B,J38,Negociados!A:A,A38,Negociados!D:D,"&lt;="&amp;$F$1,Negociados!E:E,"&gt;="&amp;$F$1),19%)</f>
        <v>0.19</v>
      </c>
      <c r="N38" s="38">
        <v>899.98</v>
      </c>
      <c r="O38" s="38" t="s">
        <v>597</v>
      </c>
      <c r="P38" s="38">
        <v>6</v>
      </c>
      <c r="Q38" s="51">
        <v>0.15</v>
      </c>
      <c r="R38" s="49"/>
      <c r="S38" s="49"/>
      <c r="T38" s="49"/>
      <c r="U38" s="50">
        <f ca="1">IF(SUMIFS(Negociados!K:K,Negociados!J:J,R38,Negociados!I:I,I38,Negociados!L:L,"&lt;="&amp;$F$1,Negociados!M:M,"&gt;="&amp;$F$1),SUMIFS(Negociados!K:K,Negociados!J:J,R38,Negociados!I:I,I38,Negociados!L:L,"&lt;="&amp;$F$1,Negociados!M:M,"&gt;="&amp;$F$1),19%)</f>
        <v>0.19</v>
      </c>
      <c r="V38" s="38">
        <v>919.98</v>
      </c>
      <c r="W38" s="38">
        <v>68.3</v>
      </c>
      <c r="X38" s="38">
        <v>10</v>
      </c>
      <c r="Y38" s="51">
        <v>0.15</v>
      </c>
      <c r="Z38" s="49">
        <v>919.98</v>
      </c>
      <c r="AA38" s="49">
        <v>68.3</v>
      </c>
      <c r="AB38" s="49">
        <v>10</v>
      </c>
      <c r="AC38" s="50">
        <v>0.15</v>
      </c>
    </row>
    <row r="39" spans="1:29" x14ac:dyDescent="0.35">
      <c r="A39" s="38" t="s">
        <v>31</v>
      </c>
      <c r="B39" s="37" t="s">
        <v>394</v>
      </c>
      <c r="C39" s="37" t="s">
        <v>395</v>
      </c>
      <c r="D39" s="38" t="s">
        <v>32</v>
      </c>
      <c r="E39" s="39" t="s">
        <v>68</v>
      </c>
      <c r="F39" s="38"/>
      <c r="G39" s="38"/>
      <c r="H39" s="38"/>
      <c r="I39" s="51">
        <f>IF(SUMIFS(Negociados!C:C,Negociados!B:B,F39,Negociados!A:A,A39,Negociados!D:D,"&lt;="&amp;$F$1,Negociados!E:E,"&gt;="&amp;$F$1),SUMIFS(Negociados!C:C,Negociados!B:B,F39,Negociados!A:A,A39,Negociados!D:D,"&lt;="&amp;$F$1,Negociados!E:E,"&gt;="&amp;$F$1),19%)</f>
        <v>0.19</v>
      </c>
      <c r="J39" s="49"/>
      <c r="K39" s="49"/>
      <c r="L39" s="49"/>
      <c r="M39" s="50">
        <f>IF(SUMIFS(Negociados!C:C,Negociados!B:B,J39,Negociados!A:A,A39,Negociados!D:D,"&lt;="&amp;$F$1,Negociados!E:E,"&gt;="&amp;$F$1),SUMIFS(Negociados!C:C,Negociados!B:B,J39,Negociados!A:A,A39,Negociados!D:D,"&lt;="&amp;$F$1,Negociados!E:E,"&gt;="&amp;$F$1),19%)</f>
        <v>0.19</v>
      </c>
      <c r="N39" s="38">
        <v>829.98</v>
      </c>
      <c r="O39" s="38" t="s">
        <v>597</v>
      </c>
      <c r="P39" s="38">
        <v>6</v>
      </c>
      <c r="Q39" s="51">
        <v>0.15</v>
      </c>
      <c r="R39" s="49"/>
      <c r="S39" s="49"/>
      <c r="T39" s="49"/>
      <c r="U39" s="50">
        <f ca="1">IF(SUMIFS(Negociados!K:K,Negociados!J:J,R39,Negociados!I:I,I39,Negociados!L:L,"&lt;="&amp;$F$1,Negociados!M:M,"&gt;="&amp;$F$1),SUMIFS(Negociados!K:K,Negociados!J:J,R39,Negociados!I:I,I39,Negociados!L:L,"&lt;="&amp;$F$1,Negociados!M:M,"&gt;="&amp;$F$1),19%)</f>
        <v>0.19</v>
      </c>
      <c r="V39" s="38">
        <v>819.98</v>
      </c>
      <c r="W39" s="38">
        <v>66.3</v>
      </c>
      <c r="X39" s="38">
        <v>10</v>
      </c>
      <c r="Y39" s="51">
        <v>0.15</v>
      </c>
      <c r="Z39" s="49">
        <v>819.98</v>
      </c>
      <c r="AA39" s="49">
        <v>66.3</v>
      </c>
      <c r="AB39" s="49">
        <v>10</v>
      </c>
      <c r="AC39" s="50">
        <v>0.15</v>
      </c>
    </row>
    <row r="40" spans="1:29" x14ac:dyDescent="0.35">
      <c r="A40" s="38" t="s">
        <v>279</v>
      </c>
      <c r="B40" s="38" t="s">
        <v>342</v>
      </c>
      <c r="C40" s="37" t="s">
        <v>396</v>
      </c>
      <c r="D40" s="38" t="s">
        <v>434</v>
      </c>
      <c r="E40" s="39" t="s">
        <v>68</v>
      </c>
      <c r="F40" s="38"/>
      <c r="G40" s="38"/>
      <c r="H40" s="38"/>
      <c r="I40" s="51">
        <f>IF(SUMIFS(Negociados!C:C,Negociados!B:B,F40,Negociados!A:A,A40,Negociados!D:D,"&lt;="&amp;$F$1,Negociados!E:E,"&gt;="&amp;$F$1),SUMIFS(Negociados!C:C,Negociados!B:B,F40,Negociados!A:A,A40,Negociados!D:D,"&lt;="&amp;$F$1,Negociados!E:E,"&gt;="&amp;$F$1),19%)</f>
        <v>0.19</v>
      </c>
      <c r="J40" s="49"/>
      <c r="K40" s="49"/>
      <c r="L40" s="49"/>
      <c r="M40" s="50">
        <f>IF(SUMIFS(Negociados!C:C,Negociados!B:B,J40,Negociados!A:A,A40,Negociados!D:D,"&lt;="&amp;$F$1,Negociados!E:E,"&gt;="&amp;$F$1),SUMIFS(Negociados!C:C,Negociados!B:B,J40,Negociados!A:A,A40,Negociados!D:D,"&lt;="&amp;$F$1,Negociados!E:E,"&gt;="&amp;$F$1),19%)</f>
        <v>0.19</v>
      </c>
      <c r="N40" s="38"/>
      <c r="O40" s="38"/>
      <c r="P40" s="38"/>
      <c r="Q40" s="51">
        <v>0.19</v>
      </c>
      <c r="R40" s="49"/>
      <c r="S40" s="49"/>
      <c r="T40" s="49"/>
      <c r="U40" s="50">
        <f ca="1">IF(SUMIFS(Negociados!K:K,Negociados!J:J,R40,Negociados!I:I,I40,Negociados!L:L,"&lt;="&amp;$F$1,Negociados!M:M,"&gt;="&amp;$F$1),SUMIFS(Negociados!K:K,Negociados!J:J,R40,Negociados!I:I,I40,Negociados!L:L,"&lt;="&amp;$F$1,Negociados!M:M,"&gt;="&amp;$F$1),19%)</f>
        <v>0.19</v>
      </c>
      <c r="V40" s="38">
        <v>0</v>
      </c>
      <c r="W40" s="38">
        <v>0</v>
      </c>
      <c r="X40" s="38">
        <v>0</v>
      </c>
      <c r="Y40" s="51">
        <v>0.19</v>
      </c>
      <c r="Z40" s="49">
        <v>559.98</v>
      </c>
      <c r="AA40" s="49">
        <v>81.099999999999994</v>
      </c>
      <c r="AB40" s="49">
        <v>10</v>
      </c>
      <c r="AC40" s="50">
        <v>0.15</v>
      </c>
    </row>
    <row r="41" spans="1:29" x14ac:dyDescent="0.35">
      <c r="A41" s="38" t="s">
        <v>57</v>
      </c>
      <c r="B41" s="37" t="s">
        <v>397</v>
      </c>
      <c r="C41" s="37" t="s">
        <v>398</v>
      </c>
      <c r="D41" s="38" t="s">
        <v>278</v>
      </c>
      <c r="E41" s="39" t="s">
        <v>68</v>
      </c>
      <c r="F41" s="38"/>
      <c r="G41" s="38"/>
      <c r="H41" s="38"/>
      <c r="I41" s="51">
        <f>IF(SUMIFS(Negociados!C:C,Negociados!B:B,F41,Negociados!A:A,A41,Negociados!D:D,"&lt;="&amp;$F$1,Negociados!E:E,"&gt;="&amp;$F$1),SUMIFS(Negociados!C:C,Negociados!B:B,F41,Negociados!A:A,A41,Negociados!D:D,"&lt;="&amp;$F$1,Negociados!E:E,"&gt;="&amp;$F$1),19%)</f>
        <v>0.19</v>
      </c>
      <c r="J41" s="49"/>
      <c r="K41" s="49"/>
      <c r="L41" s="49"/>
      <c r="M41" s="50">
        <f>IF(SUMIFS(Negociados!C:C,Negociados!B:B,J41,Negociados!A:A,A41,Negociados!D:D,"&lt;="&amp;$F$1,Negociados!E:E,"&gt;="&amp;$F$1),SUMIFS(Negociados!C:C,Negociados!B:B,J41,Negociados!A:A,A41,Negociados!D:D,"&lt;="&amp;$F$1,Negociados!E:E,"&gt;="&amp;$F$1),19%)</f>
        <v>0.19</v>
      </c>
      <c r="N41" s="38">
        <v>779.98</v>
      </c>
      <c r="O41" s="38" t="s">
        <v>597</v>
      </c>
      <c r="P41" s="38">
        <v>6</v>
      </c>
      <c r="Q41" s="51">
        <v>0.15</v>
      </c>
      <c r="R41" s="49"/>
      <c r="S41" s="49"/>
      <c r="T41" s="49"/>
      <c r="U41" s="50">
        <f ca="1">IF(SUMIFS(Negociados!K:K,Negociados!J:J,R41,Negociados!I:I,I41,Negociados!L:L,"&lt;="&amp;$F$1,Negociados!M:M,"&gt;="&amp;$F$1),SUMIFS(Negociados!K:K,Negociados!J:J,R41,Negociados!I:I,I41,Negociados!L:L,"&lt;="&amp;$F$1,Negociados!M:M,"&gt;="&amp;$F$1),19%)</f>
        <v>0.19</v>
      </c>
      <c r="V41" s="38">
        <v>829.98</v>
      </c>
      <c r="W41" s="38">
        <v>66.5</v>
      </c>
      <c r="X41" s="38">
        <v>10</v>
      </c>
      <c r="Y41" s="51">
        <v>0.15</v>
      </c>
      <c r="Z41" s="49">
        <v>829.98</v>
      </c>
      <c r="AA41" s="49">
        <v>66.5</v>
      </c>
      <c r="AB41" s="49">
        <v>10</v>
      </c>
      <c r="AC41" s="50">
        <v>0.15</v>
      </c>
    </row>
  </sheetData>
  <autoFilter ref="A2:E2" xr:uid="{43FF8C87-896C-4DA8-98DB-E465B737750F}"/>
  <mergeCells count="3">
    <mergeCell ref="F1:M1"/>
    <mergeCell ref="V1:AC1"/>
    <mergeCell ref="N1:U1"/>
  </mergeCells>
  <conditionalFormatting sqref="A1:C1048576">
    <cfRule type="duplicateValues" dxfId="13" priority="157"/>
    <cfRule type="duplicateValues" dxfId="12" priority="158"/>
    <cfRule type="duplicateValues" dxfId="11" priority="159"/>
  </conditionalFormatting>
  <conditionalFormatting sqref="A3:C22">
    <cfRule type="duplicateValues" dxfId="10" priority="194"/>
  </conditionalFormatting>
  <hyperlinks>
    <hyperlink ref="B3" r:id="rId1" location="polycard_client=search-nordic&amp;wid=MLB3776944271&amp;sid=search&amp;searchVariation=MLB26868684&amp;position=1&amp;search_layout=grid&amp;type=product&amp;tracking_id=51462268-8dd5-45fe-8944-5455a3207abf" display="https://www.mercadolivre.com.br/kit-4-cadeiras-4290-madesa-rusticpreto-cor-da-estrutura-da-cadeira-rustic-cor-do-assento-preto-desenho-do-tecido-preto/p/MLB26868684?pdp_filters=adult_content%3Ayes%7Cseller_id%3A618210172#polycard_client=search-nordic&amp;wid=MLB3776944271&amp;sid=search&amp;searchVariation=MLB26868684&amp;position=1&amp;search_layout=grid&amp;type=product&amp;tracking_id=51462268-8dd5-45fe-8944-5455a3207abf" xr:uid="{64D3788C-5714-4A9A-981D-4FBEC05B6CE4}"/>
    <hyperlink ref="C3" r:id="rId2" location="polycard_client=search-nordic&amp;wid=MLB4887794640&amp;sid=search&amp;searchVariation=MLB26868684&amp;position=1&amp;search_layout=grid&amp;type=product&amp;tracking_id=3ada75a7-5305-4e68-b085-8d5e6a4e6ce1" display="https://www.mercadolivre.com.br/kit-4-cadeiras-4290-madesa-rusticpreto-cor-da-estrutura-da-cadeira-rustic-cor-do-assento-preto-desenho-do-tecido-preto/p/MLB26868684?pdp_filters=official_store%3A869#polycard_client=search-nordic&amp;wid=MLB4887794640&amp;sid=search&amp;searchVariation=MLB26868684&amp;position=1&amp;search_layout=grid&amp;type=product&amp;tracking_id=3ada75a7-5305-4e68-b085-8d5e6a4e6ce1" xr:uid="{8598BB01-B698-4EC6-876B-C86F5CF0CB43}"/>
    <hyperlink ref="B4" r:id="rId3" location="polycard_client=search-nordic&amp;wid=MLB4902879524&amp;sid=search&amp;searchVariation=MLB23563597&amp;position=1&amp;search_layout=grid&amp;type=product&amp;tracking_id=14e657b6-7b72-48b8-9d07-76954de2c4a1" display="https://www.mercadolivre.com.br/sala-jantar-madesa-medelin-mesa-tampo-madeira-6-cadeiras-prs-cor-pretorusticsint-preto-mdja060017d8pt/p/MLB23563597?pdp_filters=adult_content%3Ayes%7Cseller_id%3A618210172#polycard_client=search-nordic&amp;wid=MLB4902879524&amp;sid=search&amp;searchVariation=MLB23563597&amp;position=1&amp;search_layout=grid&amp;type=product&amp;tracking_id=14e657b6-7b72-48b8-9d07-76954de2c4a1" xr:uid="{5526E2B6-7ECD-44DD-94BC-C9B9C91CA048}"/>
    <hyperlink ref="C4" r:id="rId4" location="polycard_client=search-nordic&amp;wid=MLB4251813772&amp;sid=search&amp;searchVariation=MLB23563597&amp;position=1&amp;search_layout=grid&amp;type=product&amp;tracking_id=8ecd1450-b4e5-4cab-8176-9a6f75bc4846" display="https://www.mercadolivre.com.br/sala-jantar-madesa-medelin-mesa-tampo-madeira-6-cadeiras-prs-cor-pretorusticsint-preto-mdja060017d8pt/p/MLB23563597?pdp_filters=official_store%3A869#polycard_client=search-nordic&amp;wid=MLB4251813772&amp;sid=search&amp;searchVariation=MLB23563597&amp;position=1&amp;search_layout=grid&amp;type=product&amp;tracking_id=8ecd1450-b4e5-4cab-8176-9a6f75bc4846" xr:uid="{9309BF27-5089-4253-BE8B-263766FA5B2C}"/>
    <hyperlink ref="C5" r:id="rId5" location="polycard_client=search-nordic&amp;wid=MLB3776775099&amp;sid=search&amp;searchVariation=MLB26100827&amp;position=1&amp;search_layout=grid&amp;type=product&amp;tracking_id=c51b9afa-c1df-43ba-9fe9-f1052c5b0a18" display="https://www.mercadolivre.com.br/sala-jantar-mesa-tampo-madeira-4-cadeiras-samara-madesa-rcfh-cor-rusticcinzahibiscos-desenho-do-tecido-das-cadeiras-hibiscos/p/MLB26100827?pdp_filters=official_store%3A869#polycard_client=search-nordic&amp;wid=MLB3776775099&amp;sid=search&amp;searchVariation=MLB26100827&amp;position=1&amp;search_layout=grid&amp;type=product&amp;tracking_id=c51b9afa-c1df-43ba-9fe9-f1052c5b0a18" xr:uid="{D258639F-4453-4B95-AEA8-CE3DFF524865}"/>
    <hyperlink ref="B6" r:id="rId6" location="polycard_client=search-nordic&amp;wid=MLB3701858098&amp;sid=search&amp;searchVariation=MLB23448435&amp;position=1&amp;search_layout=grid&amp;type=product&amp;tracking_id=b3a1604b-0f00-4c2e-9814-8b520e495775" display="https://www.mercadolivre.com.br/kit-4-cadeiras-em-mdf-e-mdp-madesa/p/MLB23448435?pdp_filters=adult_content%3Ayes%7Cseller_id%3A618210172#polycard_client=search-nordic&amp;wid=MLB3701858098&amp;sid=search&amp;searchVariation=MLB23448435&amp;position=1&amp;search_layout=grid&amp;type=product&amp;tracking_id=b3a1604b-0f00-4c2e-9814-8b520e495775" xr:uid="{EC150392-3911-48C4-A4B7-78703D62DE10}"/>
    <hyperlink ref="C6" r:id="rId7" location="polycard_client=search-nordic&amp;wid=MLB4309521738&amp;sid=search&amp;searchVariation=MLB23448435&amp;position=1&amp;search_layout=grid&amp;type=product&amp;tracking_id=cbc31811-34dc-4a9f-9d9e-43078326c2f4" display="https://www.mercadolivre.com.br/kit-4-cadeiras-em-mdf-e-mdp-madesa/p/MLB23448435?pdp_filters=official_store%3A869#polycard_client=search-nordic&amp;wid=MLB4309521738&amp;sid=search&amp;searchVariation=MLB23448435&amp;position=1&amp;search_layout=grid&amp;type=product&amp;tracking_id=cbc31811-34dc-4a9f-9d9e-43078326c2f4" xr:uid="{F5B914AC-1845-4A41-8C16-FE49ED092589}"/>
    <hyperlink ref="C7" r:id="rId8" location="polycard_client=search-nordic&amp;wid=MLB4353956318&amp;sid=search&amp;searchVariation=MLB21787807&amp;position=1&amp;search_layout=grid&amp;type=product&amp;tracking_id=34837dcb-2b07-4b4f-90ab-b66d29195e03" display="https://www.mercadolivre.com.br/kit-4-cadeiras-rustic-preto-madesa/p/MLB21787807?pdp_filters=official_store%3A869#polycard_client=search-nordic&amp;wid=MLB4353956318&amp;sid=search&amp;searchVariation=MLB21787807&amp;position=1&amp;search_layout=grid&amp;type=product&amp;tracking_id=34837dcb-2b07-4b4f-90ab-b66d29195e03" xr:uid="{334A56A9-7764-4742-909C-458BB1CAA797}"/>
    <hyperlink ref="B8" r:id="rId9" location="polycard_client=search-nordic&amp;wid=MLB3325439821&amp;sid=search&amp;searchVariation=MLB21948626&amp;position=1&amp;search_layout=grid&amp;type=product&amp;tracking_id=ba29c0d6-fcdf-4cd8-a9a9-6bfff03717c3" display="https://www.mercadolivre.com.br/kit-4-cadeiras-4290-madesa-rustichibiscos-cor-da-estrutura-da-cadeira-rustic-cor-do-assento-hibiscos-42905z4xtflh/p/MLB21948626?pdp_filters=adult_content%3Ayes%7Cseller_id%3A618210172#polycard_client=search-nordic&amp;wid=MLB3325439821&amp;sid=search&amp;searchVariation=MLB21948626&amp;position=1&amp;search_layout=grid&amp;type=product&amp;tracking_id=ba29c0d6-fcdf-4cd8-a9a9-6bfff03717c3" xr:uid="{3CF55914-F7A4-4043-B735-97BA9C59F5EB}"/>
    <hyperlink ref="C8" r:id="rId10" location="polycard_client=search-nordic&amp;wid=MLB3551849841&amp;sid=search&amp;searchVariation=MLB21948626&amp;position=1&amp;search_layout=grid&amp;type=product&amp;tracking_id=1fe82d55-1b95-425c-8ad2-a5a3070f4ee0" display="https://www.mercadolivre.com.br/kit-4-cadeiras-4290-madesa-rustichibiscos-cor-da-estrutura-da-cadeira-rustic-cor-do-assento-hibiscos-42905z4xtflh/p/MLB21948626?pdp_filters=official_store%3A869#polycard_client=search-nordic&amp;wid=MLB3551849841&amp;sid=search&amp;searchVariation=MLB21948626&amp;position=1&amp;search_layout=grid&amp;type=product&amp;tracking_id=1fe82d55-1b95-425c-8ad2-a5a3070f4ee0" xr:uid="{E63D9D08-857F-479A-9D9A-EC0B6E99A884}"/>
    <hyperlink ref="B9" r:id="rId11" location="polycard_client=search-nordic&amp;wid=MLB3325575621&amp;sid=search&amp;searchVariation=MLB21561222&amp;position=1&amp;search_layout=grid&amp;type=product&amp;tracking_id=df23e6b0-c346-418c-85bf-87e2ede1de8a" display="https://www.mercadolivre.com.br/kit-4-cadeiras-4290-madesa-rusticlirio-bege-cor-da-estrutura-da-cadeira-rustic-cor-do-assento-lirio-bege-42905z4xtlib/p/MLB21561222?pdp_filters=adult_content%3Ayes%7Cseller_id%3A618210172#polycard_client=search-nordic&amp;wid=MLB3325575621&amp;sid=search&amp;searchVariation=MLB21561222&amp;position=1&amp;search_layout=grid&amp;type=product&amp;tracking_id=df23e6b0-c346-418c-85bf-87e2ede1de8a" xr:uid="{E60E9E11-0FBA-4ADA-BF48-5F74594A99F9}"/>
    <hyperlink ref="C9" r:id="rId12" location="polycard_client=search-nordic&amp;wid=MLB3614013349&amp;sid=search&amp;searchVariation=MLB21561222&amp;position=1&amp;search_layout=grid&amp;type=product&amp;tracking_id=4d104943-2d4c-47e0-bd40-d4cdaed79892" display="https://www.mercadolivre.com.br/kit-4-cadeiras-4290-madesa-rusticlirio-bege-cor-da-estrutura-da-cadeira-rustic-cor-do-assento-lirio-bege-42905z4xtlib/p/MLB21561222?pdp_filters=official_store%3A869#polycard_client=search-nordic&amp;wid=MLB3614013349&amp;sid=search&amp;searchVariation=MLB21561222&amp;position=1&amp;search_layout=grid&amp;type=product&amp;tracking_id=4d104943-2d4c-47e0-bd40-d4cdaed79892" xr:uid="{BB04F33F-D06E-4374-8943-640F1A5ADF27}"/>
    <hyperlink ref="B10" r:id="rId13" location="polycard_client=search-nordic&amp;wid=MLB3658399454&amp;sid=search&amp;searchVariation=MLB22129874&amp;position=1&amp;search_layout=grid&amp;type=product&amp;tracking_id=d4374b16-1ac9-4132-89fc-9f0a15fc0d80" display="https://www.mercadolivre.com.br/kit-4-cadeiras-de-jantar-madesa-rusticperola-cor-da-estrutura-da-cadeira-rustic-cor-do-assento-perola-42905z4xtper/p/MLB22129874?pdp_filters=adult_content%3Ayes%7Cseller_id%3A618210172#polycard_client=search-nordic&amp;wid=MLB3658399454&amp;sid=search&amp;searchVariation=MLB22129874&amp;position=1&amp;search_layout=grid&amp;type=product&amp;tracking_id=d4374b16-1ac9-4132-89fc-9f0a15fc0d80" xr:uid="{D8FCE317-4469-45D0-B9B6-AA377949E1C3}"/>
    <hyperlink ref="C10" r:id="rId14" location="polycard_client=search-nordic&amp;wid=MLB4322260876&amp;sid=search&amp;searchVariation=MLB22129874&amp;position=1&amp;search_layout=grid&amp;type=product&amp;tracking_id=5c6d20da-5920-4ce8-be37-bfe2157a2e72" display="https://www.mercadolivre.com.br/kit-4-cadeiras-de-jantar-madesa-rusticperola-cor-da-estrutura-da-cadeira-rustic-cor-do-assento-perola-42905z4xtper/p/MLB22129874?pdp_filters=official_store%3A869#polycard_client=search-nordic&amp;wid=MLB4322260876&amp;sid=search&amp;searchVariation=MLB22129874&amp;position=1&amp;search_layout=grid&amp;type=product&amp;tracking_id=5c6d20da-5920-4ce8-be37-bfe2157a2e72" xr:uid="{BF10796D-5341-40D1-B5C0-32A2E7CAD0D4}"/>
    <hyperlink ref="B11" r:id="rId15" location="polycard_client=search-nordic&amp;wid=MLB3325620079&amp;sid=search&amp;searchVariation=MLB21849174&amp;position=1&amp;search_layout=grid&amp;type=product&amp;tracking_id=4f04444b-4d71-437f-83a1-d5b5641c9614" display="https://www.mercadolivre.com.br/kit-4-cadeiras-de-jantar-4291-madesa-rusticcremaperola-cor-da-estrutura-da-cadeira-rusticcrema-cor-do-assento-perola-42917g4xtper/p/MLB21849174?pdp_filters=adult_content%3Ayes%7Cseller_id%3A618210172#polycard_client=search-nordic&amp;wid=MLB3325620079&amp;sid=search&amp;searchVariation=MLB21849174&amp;position=1&amp;search_layout=grid&amp;type=product&amp;tracking_id=4f04444b-4d71-437f-83a1-d5b5641c9614" xr:uid="{5C8A735F-790C-4BAC-B27A-829543ECB141}"/>
    <hyperlink ref="C11" r:id="rId16" location="polycard_client=search-nordic&amp;wid=MLB3551853853&amp;sid=search&amp;searchVariation=MLB21849174&amp;position=1&amp;search_layout=grid&amp;type=product&amp;tracking_id=a3f66f92-55ff-42b3-836e-0cf37269b4b0" display="https://www.mercadolivre.com.br/kit-4-cadeiras-de-jantar-4291-madesa-rusticcremaperola-cor-da-estrutura-da-cadeira-rusticcrema-cor-do-assento-perola-42917g4xtper/p/MLB21849174?pdp_filters=official_store%3A869#polycard_client=search-nordic&amp;wid=MLB3551853853&amp;sid=search&amp;searchVariation=MLB21849174&amp;position=1&amp;search_layout=grid&amp;type=product&amp;tracking_id=a3f66f92-55ff-42b3-836e-0cf37269b4b0" xr:uid="{1A42436A-3D43-4FE7-A6F2-71CE393C3478}"/>
    <hyperlink ref="B12" r:id="rId17" location="polycard_client=search-nordic&amp;wid=MLB3322469557&amp;sid=search&amp;searchVariation=MLB21948630&amp;position=1&amp;search_layout=grid&amp;type=product&amp;tracking_id=d173908b-bf09-47b1-8364-6e744bd002e3" display="https://www.mercadolivre.com.br/kit-6-cadeiras-4290-madesa-rusticlirio-bege-cor-da-estrutura-da-cadeira-rustic-cor-do-assento-lirio-bege-desenho-do-tecido-lirio-bege/p/MLB21948630?pdp_filters=adult_content%3Ayes%7Cseller_id%3A618210172#polycard_client=search-nordic&amp;wid=MLB3322469557&amp;sid=search&amp;searchVariation=MLB21948630&amp;position=1&amp;search_layout=grid&amp;type=product&amp;tracking_id=d173908b-bf09-47b1-8364-6e744bd002e3" xr:uid="{46FE6C7B-041F-4F45-B9E7-355C2F1A035F}"/>
    <hyperlink ref="C12" r:id="rId18" location="polycard_client=search-nordic&amp;wid=MLB3526881645&amp;sid=search&amp;searchVariation=MLB21948630&amp;position=1&amp;search_layout=grid&amp;type=product&amp;tracking_id=3fdbc617-5928-4d97-b0f7-1a481f78c3d2" display="https://www.mercadolivre.com.br/kit-6-cadeiras-4290-madesa-rusticlirio-bege-cor-da-estrutura-da-cadeira-rustic-cor-do-assento-lirio-bege-desenho-do-tecido-lirio-bege/p/MLB21948630?pdp_filters=official_store%3A869#polycard_client=search-nordic&amp;wid=MLB3526881645&amp;sid=search&amp;searchVariation=MLB21948630&amp;position=1&amp;search_layout=grid&amp;type=product&amp;tracking_id=3fdbc617-5928-4d97-b0f7-1a481f78c3d2" xr:uid="{0301E615-49D4-4E69-9B5B-E909C557D99F}"/>
    <hyperlink ref="B13" r:id="rId19" location="polycard_client=search-nordic&amp;wid=MLB3293845033&amp;sid=search&amp;searchVariation=MLB21849171&amp;position=1&amp;search_layout=grid&amp;type=product&amp;tracking_id=c5524ace-d837-4909-8ef1-9c3ebbdd7b25" display="https://www.mercadolivre.com.br/kit-6-cadeiras-4290-madesa-rusticperola-cor-da-estrutura-da-cadeira-rustic-42905z6xtper/p/MLB21849171?pdp_filters=adult_content%3Ayes%7Cseller_id%3A618210172#polycard_client=search-nordic&amp;wid=MLB3293845033&amp;sid=search&amp;searchVariation=MLB21849171&amp;position=1&amp;search_layout=grid&amp;type=product&amp;tracking_id=c5524ace-d837-4909-8ef1-9c3ebbdd7b25" xr:uid="{F82BD487-B5F8-4C96-B017-4DEB1D401DE7}"/>
    <hyperlink ref="C13" r:id="rId20" location="polycard_client=search-nordic&amp;wid=MLB4269193930&amp;sid=search&amp;searchVariation=MLB21849171&amp;position=1&amp;search_layout=grid&amp;type=product&amp;tracking_id=6193d7dd-4464-4bc0-a5c7-11424250d901" display="https://www.mercadolivre.com.br/kit-6-cadeiras-4290-madesa-rusticperola-cor-da-estrutura-da-cadeira-rustic-42905z6xtper/p/MLB21849171?pdp_filters=official_store%3A869#polycard_client=search-nordic&amp;wid=MLB4269193930&amp;sid=search&amp;searchVariation=MLB21849171&amp;position=1&amp;search_layout=grid&amp;type=product&amp;tracking_id=6193d7dd-4464-4bc0-a5c7-11424250d901" xr:uid="{4701B77D-EF85-425D-8381-447B9589B3AD}"/>
    <hyperlink ref="B14" r:id="rId21" location="polycard_client=search-nordic&amp;wid=MLB4449697864&amp;sid=search&amp;searchVariation=MLB21993399&amp;position=1&amp;search_layout=grid&amp;type=product&amp;tracking_id=3e4c9f86-a020-429b-9de5-467102043d5f" display="https://www.mercadolivre.com.br/guarda-roupa-casal-madesa-vip-6-portas-batentes-cor-rustic-16695z2/p/MLB21993399?pdp_filters=adult_content%3Ayes%7Cseller_id%3A618210172#polycard_client=search-nordic&amp;wid=MLB4449697864&amp;sid=search&amp;searchVariation=MLB21993399&amp;position=1&amp;search_layout=grid&amp;type=product&amp;tracking_id=3e4c9f86-a020-429b-9de5-467102043d5f" xr:uid="{2DF59100-269F-4583-B5BA-66901BA01B53}"/>
    <hyperlink ref="C14" r:id="rId22" location="polycard_client=search-nordic&amp;wid=MLB4321181356&amp;sid=search&amp;searchVariation=MLB21993399&amp;position=1&amp;search_layout=grid&amp;type=product&amp;tracking_id=fd168e03-4927-49b4-9463-bd9cceb68c1b" display="https://www.mercadolivre.com.br/guarda-roupa-casal-madesa-vip-6-portas-batentes-cor-rustic-16695z2/p/MLB21993399?pdp_filters=official_store%3A869#polycard_client=search-nordic&amp;wid=MLB4321181356&amp;sid=search&amp;searchVariation=MLB21993399&amp;position=1&amp;search_layout=grid&amp;type=product&amp;tracking_id=fd168e03-4927-49b4-9463-bd9cceb68c1b" xr:uid="{CF6ED8E1-AB0B-4DE1-A47D-386A383A7E1B}"/>
    <hyperlink ref="C15" r:id="rId23" location="polycard_client=search-nordic&amp;wid=MLB3674803985&amp;sid=search&amp;searchVariation=MLB22850317&amp;position=1&amp;search_layout=grid&amp;type=product&amp;tracking_id=db083da7-1f63-4725-8f0b-1846949f38d0" display="https://www.mercadolivre.com.br/kit-4-cadeiras-4290-madesa-rusticbege-marrom-cor-da-estrutura-da-cadeira-rustic-cor-do-assento-begemarrom-42905z4xtfbm/p/MLB22850317?pdp_filters=official_store%3A869#polycard_client=search-nordic&amp;wid=MLB3674803985&amp;sid=search&amp;searchVariation=MLB22850317&amp;position=1&amp;search_layout=grid&amp;type=product&amp;tracking_id=db083da7-1f63-4725-8f0b-1846949f38d0" xr:uid="{C0A5A178-0978-4DFD-A716-35260520B8E3}"/>
    <hyperlink ref="B16" r:id="rId24" location="polycard_client=search-nordic&amp;wid=MLB3645627403&amp;sid=search&amp;searchVariation=MLB20972327&amp;position=1&amp;search_layout=grid&amp;type=product&amp;tracking_id=624b9d25-a0f8-46bf-8322-7a01047d504e" display="https://www.mercadolivre.com.br/kit-4-cadeiras-4291-madesa-rusticcremabege-marrom-cor-da-estrutura-da-cadeira-rusticcrema-cor-do-assento-begemarrom-42917g4xtfbm/p/MLB20972327?pdp_filters=adult_content%3Ayes%7Cseller_id%3A618210172#polycard_client=search-nordic&amp;wid=MLB3645627403&amp;sid=search&amp;searchVariation=MLB20972327&amp;position=1&amp;search_layout=grid&amp;type=product&amp;tracking_id=624b9d25-a0f8-46bf-8322-7a01047d504e" xr:uid="{40CB7A1E-B480-43EA-89C3-F30310F0D024}"/>
    <hyperlink ref="C16" r:id="rId25" location="polycard_client=search-nordic&amp;wid=MLB3605101861&amp;sid=search&amp;searchVariation=MLB20972327&amp;position=1&amp;search_layout=grid&amp;type=product&amp;tracking_id=4274b233-6bfd-4ecc-89a1-857bafe6b49d" display="https://www.mercadolivre.com.br/kit-4-cadeiras-4291-madesa-rusticcremabege-marrom-cor-da-estrutura-da-cadeira-rusticcrema-cor-do-assento-begemarrom-42917g4xtfbm/p/MLB20972327?pdp_filters=official_store%3A869#polycard_client=search-nordic&amp;wid=MLB3605101861&amp;sid=search&amp;searchVariation=MLB20972327&amp;position=1&amp;search_layout=grid&amp;type=product&amp;tracking_id=4274b233-6bfd-4ecc-89a1-857bafe6b49d" xr:uid="{582C6C51-BDF1-44E7-85AE-BA4EBE58AB18}"/>
    <hyperlink ref="C17" r:id="rId26" location="polycard_client=search-nordic&amp;wid=MLB3526786569&amp;sid=search&amp;searchVariation=MLB20972392&amp;position=1&amp;search_layout=grid&amp;type=product&amp;tracking_id=b555534c-0d2d-42f1-a8d3-13ea2146005e" display="https://www.mercadolivre.com.br/kit-4-cadeiras-4291-madesa-rusticcremahibiscos-cor-da-estrutura-da-cadeira-rusticcrema-cor-do-assento-hibiscos/p/MLB20972392?pdp_filters=official_store%3A869#polycard_client=search-nordic&amp;wid=MLB3526786569&amp;sid=search&amp;searchVariation=MLB20972392&amp;position=1&amp;search_layout=grid&amp;type=product&amp;tracking_id=b555534c-0d2d-42f1-a8d3-13ea2146005e" xr:uid="{3609DF9D-3688-46BC-B79F-9C2D76E9F6A0}"/>
    <hyperlink ref="B18" r:id="rId27" location="polycard_client=search-nordic&amp;wid=MLB3645652299&amp;sid=search&amp;searchVariation=MLB24201813&amp;position=1&amp;search_layout=grid&amp;type=product&amp;tracking_id=e6fd5f26-bdaa-48f1-afe5-35e3b70d3ebf" display="https://www.mercadolivre.com.br/kit-2-cadeiras-de-jantar-4255-madesa-rustic-imperial-cor-do-assento-imperial-desenho-do-tecido-imperial-42555z2tsimk/p/MLB24201813?pdp_filters=adult_content%3Ayes%7Cseller_id%3A618210172#polycard_client=search-nordic&amp;wid=MLB3645652299&amp;sid=search&amp;searchVariation=MLB24201813&amp;position=1&amp;search_layout=grid&amp;type=product&amp;tracking_id=e6fd5f26-bdaa-48f1-afe5-35e3b70d3ebf" xr:uid="{4E060F9B-5BA0-4162-8371-989F831056EE}"/>
    <hyperlink ref="C18" r:id="rId28" location="polycard_client=search-nordic&amp;wid=MLB3583285283&amp;sid=search&amp;searchVariation=MLB24201813&amp;position=1&amp;search_layout=grid&amp;type=product&amp;tracking_id=75f68cea-8243-482c-9c31-70686e4f91d4" display="https://www.mercadolivre.com.br/kit-2-cadeiras-de-jantar-4255-madesa-rustic-imperial-cor-do-assento-imperial-desenho-do-tecido-imperial-42555z2tsimk/p/MLB24201813?pdp_filters=official_store%3A869#polycard_client=search-nordic&amp;wid=MLB3583285283&amp;sid=search&amp;searchVariation=MLB24201813&amp;position=1&amp;search_layout=grid&amp;type=product&amp;tracking_id=75f68cea-8243-482c-9c31-70686e4f91d4" xr:uid="{AC803528-9C90-4D0C-9407-2F3A7D9E3B46}"/>
    <hyperlink ref="B19" r:id="rId29" location="polycard_client=search-nordic&amp;wid=MLB3474978769&amp;sid=search&amp;searchVariation=MLB26423955&amp;position=1&amp;search_layout=grid&amp;type=product&amp;tracking_id=d318767d-da10-45bd-8aa4-35c1836f226a" display="https://mercadolivre.com.br/sala-jantar-luana-madesa-mesa-tampo-madeira-4-cadeiras-rbm-cor-rusticbege-marrom-mdja0400885zfbm/p/MLB26423955?pdp_filters=adult_content%3Ayes%7Cseller_id%3A618210172#polycard_client=search-nordic&amp;wid=MLB3474978769&amp;sid=search&amp;searchVariation=MLB26423955&amp;position=1&amp;search_layout=grid&amp;type=product&amp;tracking_id=d318767d-da10-45bd-8aa4-35c1836f226a" xr:uid="{88E6086D-F7C8-4000-B6BB-E1036ED04871}"/>
    <hyperlink ref="C19" r:id="rId30" location="polycard_client=search-nordic&amp;wid=MLB4286053766&amp;sid=search&amp;searchVariation=MLB26423955&amp;position=1&amp;search_layout=grid&amp;type=product&amp;tracking_id=f9a58b75-1746-430f-99d1-b4b7a46bbd6c" display="https://www.mercadolivre.com.br/sala-jantar-luana-madesa-mesa-tampo-madeira-4-cadeiras-rbm-cor-rusticbege-marrom-mdja0400885zfbm/p/MLB26423955?pdp_filters=official_store%3A869#polycard_client=search-nordic&amp;wid=MLB4286053766&amp;sid=search&amp;searchVariation=MLB26423955&amp;position=1&amp;search_layout=grid&amp;type=product&amp;tracking_id=f9a58b75-1746-430f-99d1-b4b7a46bbd6c" xr:uid="{455CEC6D-A44B-4FC4-8FE8-B1F17DC0CF79}"/>
    <hyperlink ref="B20" r:id="rId31" location="polycard_client=search-nordic&amp;wid=MLB3970209870&amp;sid=search&amp;searchVariation=MLB23136430&amp;position=1&amp;search_layout=grid&amp;type=product&amp;tracking_id=9aa63d62-29c6-4a1c-8db3-cd9ccf71b24c" display="https://www.mercadolivre.com.br/sala-de-jantar-lexy-madesa-4-cadeiras-mesa-tampo-madeira-rlb-cor-rusticfloral-lirio-bege-044745zxtlib/p/MLB23136430?pdp_filters=adult_content%3Ayes%7Cseller_id%3A618210172#polycard_client=search-nordic&amp;wid=MLB3970209870&amp;sid=search&amp;searchVariation=MLB23136430&amp;position=1&amp;search_layout=grid&amp;type=product&amp;tracking_id=9aa63d62-29c6-4a1c-8db3-cd9ccf71b24c" xr:uid="{25B9DDBF-A0B9-49CE-92D4-81E09842C0C2}"/>
    <hyperlink ref="C20" r:id="rId32" location="polycard_client=search-nordic&amp;wid=MLB3525810697&amp;sid=search&amp;searchVariation=MLB23136430&amp;position=1&amp;search_layout=grid&amp;type=product&amp;tracking_id=f45d2ba9-1942-4f03-9e81-c76a43b3cd13" display="https://www.mercadolivre.com.br/sala-de-jantar-lexy-madesa-4-cadeiras-mesa-tampo-madeira-rlb-cor-rusticfloral-lirio-bege-044745zxtlib/p/MLB23136430?pdp_filters=official_store%3A869#polycard_client=search-nordic&amp;wid=MLB3525810697&amp;sid=search&amp;searchVariation=MLB23136430&amp;position=1&amp;search_layout=grid&amp;type=product&amp;tracking_id=f45d2ba9-1942-4f03-9e81-c76a43b3cd13" xr:uid="{9E752569-8F59-48A6-A092-2E7D13A308CF}"/>
    <hyperlink ref="B21" r:id="rId33" location="polycard_client=search-nordic&amp;wid=MLB4411335342&amp;sid=search&amp;searchVariation=MLB23384410&amp;position=1&amp;search_layout=grid&amp;type=product&amp;tracking_id=a6c65329-3a0d-4754-9f51-bd4b6626e6c9" display="https://www.mercadolivre.com.br/rack-para-tv-ate-55-polegadas-le-mans-madesa-2-portas-pru-cor-rusticpreto-69487k1/p/MLB23384410?pdp_filters=adult_content%3Ayes%7Cseller_id%3A618210172#polycard_client=search-nordic&amp;wid=MLB4411335342&amp;sid=search&amp;searchVariation=MLB23384410&amp;position=1&amp;search_layout=grid&amp;type=product&amp;tracking_id=a6c65329-3a0d-4754-9f51-bd4b6626e6c9" xr:uid="{F5BDB962-2D1F-4C1D-B442-54B2F3597576}"/>
    <hyperlink ref="C21" r:id="rId34" location="polycard_client=search-nordic&amp;wid=MLB4414250800&amp;sid=search&amp;searchVariation=MLB23384410&amp;position=1&amp;search_layout=grid&amp;type=product&amp;tracking_id=0bfd4bfd-026d-4b86-a6a3-03b1bf2fda32" display="https://www.mercadolivre.com.br/rack-para-tv-ate-55-polegadas-le-mans-madesa-2-portas-pru-cor-rusticpreto-69487k1/p/MLB23384410?pdp_filters=official_store%3A869#polycard_client=search-nordic&amp;wid=MLB4414250800&amp;sid=search&amp;searchVariation=MLB23384410&amp;position=1&amp;search_layout=grid&amp;type=product&amp;tracking_id=0bfd4bfd-026d-4b86-a6a3-03b1bf2fda32" xr:uid="{CC2F8864-09E4-4667-891B-CFF8DB569800}"/>
    <hyperlink ref="B22" r:id="rId35" location="polycard_client=search-nordic&amp;wid=MLB4887169776&amp;sid=search&amp;searchVariation=MLB23205259&amp;position=1&amp;search_layout=grid&amp;type=product&amp;tracking_id=19f23c07-e47a-4f15-8bfa-19990579175b" display="https://www.mercadolivre.com.br/sala-de-jantar-madesa-gabi-mesa-tampo-de-madeira-2-cadeiras-cor-rusticcremaperola-mdja0200015zper/p/MLB23205259?pdp_filters=adult_content%3Ayes%7Cseller_id%3A618210172#polycard_client=search-nordic&amp;wid=MLB4887169776&amp;sid=search&amp;searchVariation=MLB23205259&amp;position=1&amp;search_layout=grid&amp;type=product&amp;tracking_id=19f23c07-e47a-4f15-8bfa-19990579175b" xr:uid="{CE59977B-2DFD-4156-926B-08E821C6F3ED}"/>
    <hyperlink ref="C22" r:id="rId36" location="polycard_client=search-nordic&amp;wid=MLB4887053348&amp;sid=search&amp;searchVariation=MLB23205259&amp;position=1&amp;search_layout=grid&amp;type=product&amp;tracking_id=bf14bd50-714a-4744-a47a-ce8f7078a78f" display="https://www.mercadolivre.com.br/sala-de-jantar-madesa-gabi-mesa-tampo-de-madeira-2-cadeiras-cor-rusticcremaperola-mdja0200015zper/p/MLB23205259?pdp_filters=official_store%3A869#polycard_client=search-nordic&amp;wid=MLB4887053348&amp;sid=search&amp;searchVariation=MLB23205259&amp;position=1&amp;search_layout=grid&amp;type=product&amp;tracking_id=bf14bd50-714a-4744-a47a-ce8f7078a78f" xr:uid="{4E811B41-5FE0-4261-A0D9-AA195F11A892}"/>
    <hyperlink ref="B23" r:id="rId37" location="polycard_client=search-nordic&amp;wid=MLB5079660878&amp;sid=search&amp;searchVariation=MLB29010057&amp;position=1&amp;search_layout=grid&amp;type=product&amp;tracking_id=7d2725dc-d67f-45ee-bc3e-03d8e3c2a5af" display="https://www.mercadolivre.com.br/armario-cozinha-completa-suspensa-modulada-com-balco-para-cooktop-240cm-cinza-madesa-nice-05/p/MLB29010057?pdp_filters=seller_id%3A618210172#polycard_client=search-nordic&amp;wid=MLB5079660878&amp;sid=search&amp;searchVariation=MLB29010057&amp;position=1&amp;search_layout=grid&amp;type=product&amp;tracking_id=7d2725dc-d67f-45ee-bc3e-03d8e3c2a5af" xr:uid="{FBFED987-5DBD-486C-A37F-978EC7A6C196}"/>
    <hyperlink ref="C23" r:id="rId38" location="polycard_client=search-nordic&amp;wid=MLB4884153280&amp;sid=search&amp;searchVariation=MLB29010057&amp;position=1&amp;search_layout=grid&amp;type=product&amp;tracking_id=1548e73d-bffd-4ec0-8f09-56f8bf458f15" display="https://www.mercadolivre.com.br/armario-cozinha-completa-suspensa-modulada-com-balco-para-cooktop-240cm-cinza-madesa-nice-05/p/MLB29010057?pdp_filters=official_store%3A869#polycard_client=search-nordic&amp;wid=MLB4884153280&amp;sid=search&amp;searchVariation=MLB29010057&amp;position=1&amp;search_layout=grid&amp;type=product&amp;tracking_id=1548e73d-bffd-4ec0-8f09-56f8bf458f15" xr:uid="{1128207E-E58E-4A15-A415-5775F503E775}"/>
    <hyperlink ref="C24" r:id="rId39" location="polycard_client=search-nordic&amp;wid=MLB4358922340&amp;sid=search&amp;searchVariation=MLB23612993&amp;position=1&amp;search_layout=grid&amp;type=product&amp;tracking_id=99f07b90-93b6-434d-95c2-3e3107a352dc" display="https://www.mercadolivre.com.br/sala-de-jantar-madesa-maris-mesa-tampo-de-madeira-6-cadeiras-cor-rusticfloral-hibiscos-044825zxtflh/p/MLB23612993?pdp_filters=official_store%3A869#polycard_client=search-nordic&amp;wid=MLB4358922340&amp;sid=search&amp;searchVariation=MLB23612993&amp;position=1&amp;search_layout=grid&amp;type=product&amp;tracking_id=99f07b90-93b6-434d-95c2-3e3107a352dc" xr:uid="{EC2A3E34-CCEF-489B-AE27-D17EE97769D7}"/>
    <hyperlink ref="C25" r:id="rId40" location="polycard_client=search-nordic&amp;wid=MLB4931783302&amp;sid=search&amp;searchVariation=MLB27349505&amp;position=1&amp;search_layout=grid&amp;type=product&amp;tracking_id=e7604d11-00a3-4742-9d94-024cc0ad2c54" display="https://www.mercadolivre.com.br/guarda-roupa-solteiro-madesa-dallas-2-portas-correr-de-esp-b-cor-branco-1094092e2g/p/MLB27349505?pdp_filters=official_store%3A869#polycard_client=search-nordic&amp;wid=MLB4931783302&amp;sid=search&amp;searchVariation=MLB27349505&amp;position=1&amp;search_layout=grid&amp;type=product&amp;tracking_id=e7604d11-00a3-4742-9d94-024cc0ad2c54" xr:uid="{C397654D-58D6-4B0B-8EEC-7C479142E247}"/>
    <hyperlink ref="C26" r:id="rId41" location="polycard_client=search-nordic&amp;position=1&amp;search_layout=grid&amp;type=item&amp;tracking_id=df4eb1a7-8630-43e5-9350-9bdea030b673" xr:uid="{5E447022-FF9F-457F-A666-D64226B94D53}"/>
    <hyperlink ref="B26" r:id="rId42" location="polycard_client=search-nordic&amp;position=1&amp;search_layout=grid&amp;type=item&amp;tracking_id=d6022156-9749-49fa-bbd5-3c506565be28" xr:uid="{134424C5-9360-4F16-9577-E13ED621B793}"/>
    <hyperlink ref="B27" r:id="rId43" location="polycard_client=search-nordic&amp;wid=MLB3833366925&amp;sid=search&amp;searchVariation=MLB23476331&amp;position=1&amp;search_layout=grid&amp;type=product&amp;tracking_id=9be72d2b-2519-4c56-8fc3-63677052961c" display="https://www.mercadolivre.com.br/guarda-roupa-casal-madesa-napoli-3-portas-com-espelho-cor-branco-1082093e/p/MLB23476331?pdp_filters=seller_id%3A618210172#polycard_client=search-nordic&amp;wid=MLB3833366925&amp;sid=search&amp;searchVariation=MLB23476331&amp;position=1&amp;search_layout=grid&amp;type=product&amp;tracking_id=9be72d2b-2519-4c56-8fc3-63677052961c" xr:uid="{1DB86CAE-1899-49D9-84EE-3BF35B624B76}"/>
    <hyperlink ref="C27" r:id="rId44" location="polycard_client=search-nordic&amp;wid=MLB4631416546&amp;sid=search&amp;searchVariation=MLB23476331&amp;position=1&amp;search_layout=grid&amp;type=product&amp;tracking_id=87aaa0b4-ee1c-4ced-919a-f6a2525e9ce4" display="https://www.mercadolivre.com.br/guarda-roupa-casal-madesa-napoli-3-portas-com-espelho-cor-branco-1082093e/p/MLB23476331?pdp_filters=official_store%3A869#polycard_client=search-nordic&amp;wid=MLB4631416546&amp;sid=search&amp;searchVariation=MLB23476331&amp;position=1&amp;search_layout=grid&amp;type=product&amp;tracking_id=87aaa0b4-ee1c-4ced-919a-f6a2525e9ce4" xr:uid="{5DA3AACA-199C-4F4F-ADA2-AE8E39D2C3AE}"/>
    <hyperlink ref="B28" r:id="rId45" location="polycard_client=search-nordic&amp;wid=MLB4398725122&amp;sid=search&amp;searchVariation=MLB23999198&amp;position=1&amp;search_layout=grid&amp;type=product&amp;tracking_id=c88a36eb-0791-462b-bb6d-b8d7ceed7a81" display="https://www.mercadolivre.com.br/sala-de-jantar-madesa-gabi-mesa-tampo-de-madeira-2-cadeiras-cor-rusticpretosintetico-preto/p/MLB23999198?pdp_filters=seller_id%3A618210172#polycard_client=search-nordic&amp;wid=MLB4398725122&amp;sid=search&amp;searchVariation=MLB23999198&amp;position=1&amp;search_layout=grid&amp;type=product&amp;tracking_id=c88a36eb-0791-462b-bb6d-b8d7ceed7a81" xr:uid="{E47C5E3A-7412-4A5A-B103-A3E426420711}"/>
    <hyperlink ref="C29" r:id="rId46" location="polycard_client=search-nordic&amp;wid=MLB3526971199&amp;sid=search&amp;searchVariation=MLB21948629&amp;position=1&amp;search_layout=grid&amp;type=product&amp;tracking_id=6a82edd4-2f8a-458d-a66e-dc0c7a8064f4" display="https://www.mercadolivre.com.br/kit-6-cadeiras-rusticpreto-madesa-4291/p/MLB21948629?pdp_filters=official_store%3A869#polycard_client=search-nordic&amp;wid=MLB3526971199&amp;sid=search&amp;searchVariation=MLB21948629&amp;position=1&amp;search_layout=grid&amp;type=product&amp;tracking_id=6a82edd4-2f8a-458d-a66e-dc0c7a8064f4" xr:uid="{F9FBFC12-798E-4D63-AE15-7AC2044E63E8}"/>
    <hyperlink ref="B30" r:id="rId47" location="polycard_client=search-nordic&amp;wid=MLB4096517398&amp;sid=search&amp;searchVariation=MLB23340077&amp;position=1&amp;search_layout=grid&amp;type=product&amp;tracking_id=61311f15-9d5d-42b4-9d3a-7d0b47ef2dd9" display="https://www.mercadolivre.com.br/rack-painel-para-tv-quarto-ate-65-polegadas-everest-madesa-rustic-xb70035z1/p/MLB23340077?pdp_filters=seller_id%3A618210172#polycard_client=search-nordic&amp;wid=MLB4096517398&amp;sid=search&amp;searchVariation=MLB23340077&amp;position=1&amp;search_layout=grid&amp;type=product&amp;tracking_id=61311f15-9d5d-42b4-9d3a-7d0b47ef2dd9" xr:uid="{BA9E7AD2-6128-4AA6-A1CE-80BA9C3F14B7}"/>
    <hyperlink ref="C30" r:id="rId48" location="polycard_client=search-nordic&amp;wid=MLB3551473145&amp;sid=search&amp;searchVariation=MLB23340077&amp;position=1&amp;search_layout=grid&amp;type=product&amp;tracking_id=6f74c1d3-0018-42cd-a2ba-1659641c27a4" display="https://www.mercadolivre.com.br/rack-painel-para-tv-quarto-ate-65-polegadas-everest-madesa-rustic-xb70035z1/p/MLB23340077?pdp_filters=official_store%3A869#polycard_client=search-nordic&amp;wid=MLB3551473145&amp;sid=search&amp;searchVariation=MLB23340077&amp;position=1&amp;search_layout=grid&amp;type=product&amp;tracking_id=6f74c1d3-0018-42cd-a2ba-1659641c27a4" xr:uid="{BAB51BF2-400D-4DB8-BE2A-2C018A183695}"/>
    <hyperlink ref="C31" r:id="rId49" location="polycard_client=search-nordic&amp;wid=MLB3532818273&amp;sid=search&amp;searchVariation=MLB23126528&amp;position=1&amp;search_layout=grid&amp;type=product&amp;tracking_id=c90d8134-2bbc-4e20-b97e-674136b6fb95" display="https://www.mercadolivre.com.br/sala-de-jantar-madesa-rute-mesa-tampo-madeira-4-cadeiras-rpe-cor-rusticperola-044915zxtper/p/MLB23126528?pdp_filters=official_store%3A869#polycard_client=search-nordic&amp;wid=MLB3532818273&amp;sid=search&amp;searchVariation=MLB23126528&amp;position=1&amp;search_layout=grid&amp;type=product&amp;tracking_id=c90d8134-2bbc-4e20-b97e-674136b6fb95" xr:uid="{0EFB53B4-80DE-4095-A3DB-4351983C0629}"/>
    <hyperlink ref="C32" r:id="rId50" location="polycard_client=search-nordic&amp;wid=MLB4340996954&amp;sid=search&amp;searchVariation=MLB23472382&amp;position=1&amp;search_layout=grid&amp;type=product&amp;tracking_id=9f173f57-27cc-49d2-8b3d-83b04a391176" display="https://www.mercadolivre.com.br/sala-jantar-madesa-ohana-mesa-tampo-madeira-6-cadeiras-rcp-cor-rusticcremaperola/p/MLB23472382?pdp_filters=official_store%3A869#polycard_client=search-nordic&amp;wid=MLB4340996954&amp;sid=search&amp;searchVariation=MLB23472382&amp;position=1&amp;search_layout=grid&amp;type=product&amp;tracking_id=9f173f57-27cc-49d2-8b3d-83b04a391176" xr:uid="{4079CAE2-DACC-410D-B8EC-FA63EF611EC0}"/>
    <hyperlink ref="C33" r:id="rId51" location="polycard_client=search-nordic&amp;wid=MLB3595273295&amp;sid=search&amp;searchVariation=MLB23998113&amp;position=1&amp;search_layout=grid&amp;type=product&amp;tracking_id=c71741ba-2a8f-4186-8a0d-b6e8cbf2e2e5" display="https://www.mercadolivre.com.br/guarda-roupa-kremlin-reflecta-madesa-4-portas-de-correr-cor-branco-1060094rfct/p/MLB23998113?pdp_filters=official_store%3A869#polycard_client=search-nordic&amp;wid=MLB3595273295&amp;sid=search&amp;searchVariation=MLB23998113&amp;position=1&amp;search_layout=grid&amp;type=product&amp;tracking_id=c71741ba-2a8f-4186-8a0d-b6e8cbf2e2e5" xr:uid="{8E6D61E9-E05C-41AB-B5CA-F448AF914DC7}"/>
    <hyperlink ref="C34" r:id="rId52" location="polycard_client=search-nordic&amp;wid=MLB3563106937&amp;sid=search&amp;searchVariation=MLB23955215&amp;position=1&amp;search_layout=grid&amp;type=product&amp;tracking_id=33dd2492-8b67-4bc4-bf58-d9227b332fbb" display="https://www.mercadolivre.com.br/sala-de-jantar-madesa-maya-mesa-tampo-vidro-com-4-cadeiras-cor-rusticsintetico-preto-mdja0400505zpt/p/MLB23955215?pdp_filters=official_store%3A869#polycard_client=search-nordic&amp;wid=MLB3563106937&amp;sid=search&amp;searchVariation=MLB23955215&amp;position=1&amp;search_layout=grid&amp;type=product&amp;tracking_id=33dd2492-8b67-4bc4-bf58-d9227b332fbb" xr:uid="{8B00678B-38D3-4D42-9DE1-64969131D6F0}"/>
    <hyperlink ref="C35" r:id="rId53" location="polycard_client=search-nordic&amp;wid=MLB4322111638&amp;sid=search&amp;searchVariation=MLB23218635&amp;position=1&amp;search_layout=grid&amp;type=product&amp;tracking_id=9725a9f3-5772-40f7-b9b1-275d288d54ee" display="https://www.mercadolivre.com.br/sala-jantar-mesa-tampo-madeira-4-cadeiras-karina-madesa-rcs-cor-rusticcinzasilver-desenho-do-tecido-das-cadeiras-liso-mdja040139f9sil/p/MLB23218635?pdp_filters=official_store%3A869#polycard_client=search-nordic&amp;wid=MLB4322111638&amp;sid=search&amp;searchVariation=MLB23218635&amp;position=1&amp;search_layout=grid&amp;type=product&amp;tracking_id=9725a9f3-5772-40f7-b9b1-275d288d54ee" xr:uid="{C36107F3-62F3-41BA-8C41-C28B1AFFFD65}"/>
    <hyperlink ref="C36" r:id="rId54" location="polycard_client=search-nordic&amp;wid=MLB4887181090&amp;sid=search&amp;searchVariation=MLB27972059&amp;position=1&amp;search_layout=grid&amp;type=product&amp;tracking_id=e48c2b8e-b3bf-4bd7-b899-570541f07733" display="https://www.mercadolivre.com.br/armario-cozinha-canto-madesa-emilly-play-aereo-vidro-reflex-cor-rusticpreto/p/MLB27972059?pdp_filters=official_store%3A869#polycard_client=search-nordic&amp;wid=MLB4887181090&amp;sid=search&amp;searchVariation=MLB27972059&amp;position=1&amp;search_layout=grid&amp;type=product&amp;tracking_id=e48c2b8e-b3bf-4bd7-b899-570541f07733" xr:uid="{94A042F8-AC8B-424D-B97F-649DB2F16379}"/>
    <hyperlink ref="B36" r:id="rId55" location="polycard_client=search-nordic&amp;wid=MLB4887065066&amp;sid=search&amp;searchVariation=MLB27972059&amp;position=1&amp;search_layout=grid&amp;type=product&amp;tracking_id=818aee74-165b-41ee-8850-d88051d0043e" display="https://www.mercadolivre.com.br/armario-cozinha-canto-madesa-emilly-play-aereo-vidro-reflex-cor-rusticpreto/p/MLB27972059?pdp_filters=seller_id%3A618210172#polycard_client=search-nordic&amp;wid=MLB4887065066&amp;sid=search&amp;searchVariation=MLB27972059&amp;position=1&amp;search_layout=grid&amp;type=product&amp;tracking_id=818aee74-165b-41ee-8850-d88051d0043e" xr:uid="{9C76C432-A02E-4C9F-A7BA-1CF210855744}"/>
    <hyperlink ref="C37" r:id="rId56" location="polycard_client=search-nordic&amp;position=1&amp;search_layout=grid&amp;type=item&amp;tracking_id=ce7637ab-68e2-4aeb-a5f2-2ecf8f21a1ce" xr:uid="{EE00C8F2-1C1C-42B6-B181-A17A7F9A587C}"/>
    <hyperlink ref="B37" r:id="rId57" location="polycard_client=search-nordic&amp;position=1&amp;search_layout=grid&amp;type=item&amp;tracking_id=8a1c9171-461f-45f4-9548-b2a0d6e0023f" xr:uid="{E247E09B-7904-414A-A718-22C316BAFC97}"/>
    <hyperlink ref="B38" r:id="rId58" location="polycard_client=search-nordic&amp;wid=MLB3813023113&amp;sid=search&amp;searchVariation=MLB29668305&amp;position=1&amp;search_layout=grid&amp;type=product&amp;tracking_id=2f0972c4-af13-437c-aee5-cae9f30863fa" display="https://www.mercadolivre.com.br/armario-de-cozinha-madesa-emilly-box-balco-e-aereo-vidro-cor-rusticpreto/p/MLB29668305?pdp_filters=seller_id%3A618210172#polycard_client=search-nordic&amp;wid=MLB3813023113&amp;sid=search&amp;searchVariation=MLB29668305&amp;position=1&amp;search_layout=grid&amp;type=product&amp;tracking_id=2f0972c4-af13-437c-aee5-cae9f30863fa" xr:uid="{3D39050A-D044-4524-B211-2FDDD90087AA}"/>
    <hyperlink ref="C38" r:id="rId59" location="polycard_client=search-nordic&amp;wid=MLB3813022307&amp;sid=search&amp;searchVariation=MLB29668305&amp;position=1&amp;search_layout=grid&amp;type=product&amp;tracking_id=3d39975c-39dc-4fdb-a16a-6f6d5c5a8256" display="https://www.mercadolivre.com.br/armario-de-cozinha-madesa-emilly-box-balco-e-aereo-vidro-cor-rusticpreto/p/MLB29668305?pdp_filters=official_store%3A869#polycard_client=search-nordic&amp;wid=MLB3813022307&amp;sid=search&amp;searchVariation=MLB29668305&amp;position=1&amp;search_layout=grid&amp;type=product&amp;tracking_id=3d39975c-39dc-4fdb-a16a-6f6d5c5a8256" xr:uid="{1275F748-82B5-4D9C-BD5B-429DAB64BB9C}"/>
    <hyperlink ref="B39" r:id="rId60" location="polycard_client=search-nordic&amp;wid=MLB4992102314&amp;sid=search&amp;searchVariation=MLB27711890&amp;position=1&amp;search_layout=grid&amp;type=product&amp;tracking_id=7eaea022-0a9b-403a-a143-ca87d03918a8" display="https://www.mercadolivre.com.br/guarda-roupa-madesa-denver-2-portas-correr-espelho-com-pes-cor-branco/p/MLB27711890?pdp_filters=seller_id%3A618210172#polycard_client=search-nordic&amp;wid=MLB4992102314&amp;sid=search&amp;searchVariation=MLB27711890&amp;position=1&amp;search_layout=grid&amp;type=product&amp;tracking_id=7eaea022-0a9b-403a-a143-ca87d03918a8" xr:uid="{395B5851-2AB1-4832-ACEE-21C628E2C2D7}"/>
    <hyperlink ref="C39" r:id="rId61" location="polycard_client=search-nordic&amp;wid=MLB5031039918&amp;sid=search&amp;searchVariation=MLB27711890&amp;position=1&amp;search_layout=grid&amp;type=product&amp;tracking_id=6094e1f8-6ff8-418b-8636-290342d8b36f" display="https://www.mercadolivre.com.br/guarda-roupa-madesa-denver-2-portas-correr-espelho-com-pes-cor-branco/p/MLB27711890?pdp_filters=official_store%3A869#polycard_client=search-nordic&amp;wid=MLB5031039918&amp;sid=search&amp;searchVariation=MLB27711890&amp;position=1&amp;search_layout=grid&amp;type=product&amp;tracking_id=6094e1f8-6ff8-418b-8636-290342d8b36f" xr:uid="{24DAD601-4101-4CC9-917C-CD80A99047AA}"/>
    <hyperlink ref="C40" r:id="rId62" location="polycard_client=search-nordic&amp;wid=MLB4354210404&amp;sid=search&amp;searchVariation=MLB23205322&amp;position=1&amp;search_layout=grid&amp;type=product&amp;tracking_id=45e46b1c-6cee-4c0d-8733-92de7a7ec272" display="https://www.mercadolivre.com.br/sala-de-jantar-maya-madesa-mesa-tampo-vidro-4-cadeiras-rpe-cor-rusticperola/p/MLB23205322?pdp_filters=official_store%3A869#polycard_client=search-nordic&amp;wid=MLB4354210404&amp;sid=search&amp;searchVariation=MLB23205322&amp;position=1&amp;search_layout=grid&amp;type=product&amp;tracking_id=45e46b1c-6cee-4c0d-8733-92de7a7ec272" xr:uid="{9534081B-3096-438A-85B3-C733EE3C00FA}"/>
    <hyperlink ref="B41" r:id="rId63" location="polycard_client=search-nordic&amp;wid=MLB3813191219&amp;sid=search&amp;searchVariation=MLB29699236&amp;position=1&amp;search_layout=grid&amp;type=product&amp;tracking_id=a431ffb8-1e4c-4d3c-b98e-69b0d9984b2e" display="https://www.mercadolivre.com.br/cozinha-compacta-madesa-emilly-gold-c-arma-balco-panelei-rp-cor-rusticpreto/p/MLB29699236?pdp_filters=seller_id%3A618210172#polycard_client=search-nordic&amp;wid=MLB3813191219&amp;sid=search&amp;searchVariation=MLB29699236&amp;position=1&amp;search_layout=grid&amp;type=product&amp;tracking_id=a431ffb8-1e4c-4d3c-b98e-69b0d9984b2e" xr:uid="{BB5E33C7-FF9D-4642-B401-20E6215B9E9F}"/>
    <hyperlink ref="C41" r:id="rId64" location="polycard_client=search-nordic&amp;wid=MLB3813140259&amp;sid=search&amp;searchVariation=MLB29699236&amp;position=1&amp;search_layout=grid&amp;type=product&amp;tracking_id=c6148a9c-d15b-4a63-9935-1e23dea82124" display="https://www.mercadolivre.com.br/cozinha-compacta-madesa-emilly-gold-c-arma-balco-panelei-rp-cor-rusticpreto/p/MLB29699236?pdp_filters=official_store%3A869#polycard_client=search-nordic&amp;wid=MLB3813140259&amp;sid=search&amp;searchVariation=MLB29699236&amp;position=1&amp;search_layout=grid&amp;type=product&amp;tracking_id=c6148a9c-d15b-4a63-9935-1e23dea82124" xr:uid="{A4956A2F-BF9D-4585-ADBA-09AB34528DB9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4E83-D4B6-451E-AAC6-25EBD2CF71B0}">
  <dimension ref="A1:F4681"/>
  <sheetViews>
    <sheetView topLeftCell="A2521" workbookViewId="0">
      <selection activeCell="B12" sqref="B12"/>
    </sheetView>
  </sheetViews>
  <sheetFormatPr defaultRowHeight="14.5" x14ac:dyDescent="0.35"/>
  <cols>
    <col min="1" max="1" width="16.81640625" style="42" bestFit="1" customWidth="1"/>
    <col min="2" max="2" width="17.54296875" style="42" bestFit="1" customWidth="1"/>
    <col min="3" max="3" width="14" style="43" bestFit="1" customWidth="1"/>
    <col min="4" max="4" width="15.54296875" style="42" bestFit="1" customWidth="1"/>
    <col min="5" max="5" width="8.7265625" style="42"/>
    <col min="6" max="6" width="16.7265625" style="42" bestFit="1" customWidth="1"/>
    <col min="7" max="16384" width="8.7265625" style="44"/>
  </cols>
  <sheetData>
    <row r="1" spans="1:6" x14ac:dyDescent="0.35">
      <c r="A1" s="42" t="s">
        <v>0</v>
      </c>
      <c r="B1" s="42" t="s">
        <v>444</v>
      </c>
      <c r="C1" s="43" t="s">
        <v>445</v>
      </c>
      <c r="D1" s="42" t="s">
        <v>446</v>
      </c>
      <c r="E1" s="42" t="s">
        <v>447</v>
      </c>
      <c r="F1" s="42" t="s">
        <v>3</v>
      </c>
    </row>
    <row r="2" spans="1:6" x14ac:dyDescent="0.35">
      <c r="A2" s="42" t="s">
        <v>601</v>
      </c>
      <c r="B2" s="42">
        <v>469.96</v>
      </c>
      <c r="C2" s="43">
        <v>0.06</v>
      </c>
      <c r="D2" s="45">
        <v>45962</v>
      </c>
      <c r="E2" s="45">
        <v>45991.999305555553</v>
      </c>
      <c r="F2" s="42" t="s">
        <v>492</v>
      </c>
    </row>
    <row r="3" spans="1:6" x14ac:dyDescent="0.35">
      <c r="A3" s="42" t="s">
        <v>602</v>
      </c>
      <c r="B3" s="42">
        <v>499.96</v>
      </c>
      <c r="C3" s="43">
        <v>0.06</v>
      </c>
      <c r="D3" s="45">
        <v>45962</v>
      </c>
      <c r="E3" s="45">
        <v>45991.999305555553</v>
      </c>
      <c r="F3" s="42" t="s">
        <v>492</v>
      </c>
    </row>
    <row r="4" spans="1:6" x14ac:dyDescent="0.35">
      <c r="A4" s="42" t="s">
        <v>603</v>
      </c>
      <c r="B4" s="42">
        <v>829.96</v>
      </c>
      <c r="C4" s="43">
        <v>0.06</v>
      </c>
      <c r="D4" s="45">
        <v>45962</v>
      </c>
      <c r="E4" s="45">
        <v>45991.999305555553</v>
      </c>
      <c r="F4" s="42" t="s">
        <v>492</v>
      </c>
    </row>
    <row r="5" spans="1:6" x14ac:dyDescent="0.35">
      <c r="A5" s="42" t="s">
        <v>501</v>
      </c>
      <c r="B5" s="42">
        <v>879.96</v>
      </c>
      <c r="C5" s="43">
        <v>0.06</v>
      </c>
      <c r="D5" s="45">
        <v>45962</v>
      </c>
      <c r="E5" s="45">
        <v>45991.999305555553</v>
      </c>
      <c r="F5" s="42" t="s">
        <v>492</v>
      </c>
    </row>
    <row r="6" spans="1:6" x14ac:dyDescent="0.35">
      <c r="A6" s="42" t="s">
        <v>523</v>
      </c>
      <c r="B6" s="42">
        <v>789.96</v>
      </c>
      <c r="C6" s="43">
        <v>0.06</v>
      </c>
      <c r="D6" s="45">
        <v>45962</v>
      </c>
      <c r="E6" s="45">
        <v>45991.999305555553</v>
      </c>
      <c r="F6" s="42" t="s">
        <v>492</v>
      </c>
    </row>
    <row r="7" spans="1:6" x14ac:dyDescent="0.35">
      <c r="A7" s="42" t="s">
        <v>604</v>
      </c>
      <c r="B7" s="42">
        <v>829.96</v>
      </c>
      <c r="C7" s="43">
        <v>0.06</v>
      </c>
      <c r="D7" s="45">
        <v>45962</v>
      </c>
      <c r="E7" s="45">
        <v>45991.999305555553</v>
      </c>
      <c r="F7" s="42" t="s">
        <v>492</v>
      </c>
    </row>
    <row r="8" spans="1:6" x14ac:dyDescent="0.35">
      <c r="A8" s="42" t="s">
        <v>605</v>
      </c>
      <c r="B8" s="42">
        <v>589.96</v>
      </c>
      <c r="C8" s="43">
        <v>0.06</v>
      </c>
      <c r="D8" s="45">
        <v>45962</v>
      </c>
      <c r="E8" s="45">
        <v>45991.999305555553</v>
      </c>
      <c r="F8" s="42" t="s">
        <v>492</v>
      </c>
    </row>
    <row r="9" spans="1:6" x14ac:dyDescent="0.35">
      <c r="A9" s="42" t="s">
        <v>606</v>
      </c>
      <c r="B9" s="42">
        <v>1149.96</v>
      </c>
      <c r="C9" s="43">
        <v>0.06</v>
      </c>
      <c r="D9" s="45">
        <v>45962</v>
      </c>
      <c r="E9" s="45">
        <v>45991.999305555553</v>
      </c>
      <c r="F9" s="42" t="s">
        <v>492</v>
      </c>
    </row>
    <row r="10" spans="1:6" x14ac:dyDescent="0.35">
      <c r="A10" s="42" t="s">
        <v>59</v>
      </c>
      <c r="B10" s="42">
        <v>739.96</v>
      </c>
      <c r="C10" s="43">
        <v>0.06</v>
      </c>
      <c r="D10" s="45">
        <v>45962</v>
      </c>
      <c r="E10" s="45">
        <v>45991.999305555553</v>
      </c>
      <c r="F10" s="42" t="s">
        <v>492</v>
      </c>
    </row>
    <row r="11" spans="1:6" x14ac:dyDescent="0.35">
      <c r="A11" s="42" t="s">
        <v>58</v>
      </c>
      <c r="B11" s="42">
        <v>739.96</v>
      </c>
      <c r="C11" s="43">
        <v>0.06</v>
      </c>
      <c r="D11" s="45">
        <v>45962</v>
      </c>
      <c r="E11" s="45">
        <v>45991.999305555553</v>
      </c>
      <c r="F11" s="42" t="s">
        <v>492</v>
      </c>
    </row>
    <row r="12" spans="1:6" x14ac:dyDescent="0.35">
      <c r="A12" s="42" t="s">
        <v>122</v>
      </c>
      <c r="B12" s="42">
        <v>639.96</v>
      </c>
      <c r="C12" s="43">
        <v>0.06</v>
      </c>
      <c r="D12" s="45">
        <v>45962</v>
      </c>
      <c r="E12" s="45">
        <v>45991.999305555553</v>
      </c>
      <c r="F12" s="42" t="s">
        <v>492</v>
      </c>
    </row>
    <row r="13" spans="1:6" x14ac:dyDescent="0.35">
      <c r="A13" s="1" t="s">
        <v>27</v>
      </c>
      <c r="B13" s="42">
        <v>639.96</v>
      </c>
      <c r="C13" s="43">
        <v>0.06</v>
      </c>
      <c r="D13" s="45">
        <v>45962</v>
      </c>
      <c r="E13" s="45">
        <v>45991.999305555553</v>
      </c>
      <c r="F13" s="42" t="s">
        <v>492</v>
      </c>
    </row>
    <row r="14" spans="1:6" x14ac:dyDescent="0.35">
      <c r="A14" s="42" t="s">
        <v>14</v>
      </c>
      <c r="B14" s="42">
        <v>369.96</v>
      </c>
      <c r="C14" s="43">
        <v>0.06</v>
      </c>
      <c r="D14" s="45">
        <v>45962</v>
      </c>
      <c r="E14" s="45">
        <v>45991.999305555553</v>
      </c>
      <c r="F14" s="42" t="s">
        <v>492</v>
      </c>
    </row>
    <row r="15" spans="1:6" x14ac:dyDescent="0.35">
      <c r="A15" s="42" t="s">
        <v>12</v>
      </c>
      <c r="B15" s="42">
        <v>369.96</v>
      </c>
      <c r="C15" s="43">
        <v>0.06</v>
      </c>
      <c r="D15" s="45">
        <v>45962</v>
      </c>
      <c r="E15" s="45">
        <v>45991.999305555553</v>
      </c>
      <c r="F15" s="42" t="s">
        <v>492</v>
      </c>
    </row>
    <row r="16" spans="1:6" x14ac:dyDescent="0.35">
      <c r="A16" s="42" t="s">
        <v>399</v>
      </c>
      <c r="B16" s="42">
        <v>639.96</v>
      </c>
      <c r="C16" s="43">
        <v>0.06</v>
      </c>
      <c r="D16" s="45">
        <v>45962</v>
      </c>
      <c r="E16" s="45">
        <v>45991.999305555553</v>
      </c>
      <c r="F16" s="42" t="s">
        <v>492</v>
      </c>
    </row>
    <row r="17" spans="1:6" x14ac:dyDescent="0.35">
      <c r="A17" s="42" t="s">
        <v>79</v>
      </c>
      <c r="B17" s="42">
        <v>489.96</v>
      </c>
      <c r="C17" s="43">
        <v>0.06</v>
      </c>
      <c r="D17" s="45">
        <v>45962</v>
      </c>
      <c r="E17" s="45">
        <v>45991.999305555553</v>
      </c>
      <c r="F17" s="42" t="s">
        <v>492</v>
      </c>
    </row>
    <row r="18" spans="1:6" x14ac:dyDescent="0.35">
      <c r="A18" s="42" t="s">
        <v>265</v>
      </c>
      <c r="B18" s="42">
        <v>669.96</v>
      </c>
      <c r="C18" s="43">
        <v>0.06</v>
      </c>
      <c r="D18" s="45">
        <v>45962</v>
      </c>
      <c r="E18" s="45">
        <v>45991.999305555553</v>
      </c>
      <c r="F18" s="42" t="s">
        <v>492</v>
      </c>
    </row>
    <row r="19" spans="1:6" x14ac:dyDescent="0.35">
      <c r="A19" s="42" t="s">
        <v>29</v>
      </c>
      <c r="B19" s="42">
        <v>669.96</v>
      </c>
      <c r="C19" s="43">
        <v>0.06</v>
      </c>
      <c r="D19" s="45">
        <v>45962</v>
      </c>
      <c r="E19" s="45">
        <v>45991.999305555553</v>
      </c>
      <c r="F19" s="42" t="s">
        <v>492</v>
      </c>
    </row>
    <row r="20" spans="1:6" x14ac:dyDescent="0.35">
      <c r="A20" s="42" t="s">
        <v>55</v>
      </c>
      <c r="B20" s="42">
        <v>669.96</v>
      </c>
      <c r="C20" s="43">
        <v>0.06</v>
      </c>
      <c r="D20" s="45">
        <v>45962</v>
      </c>
      <c r="E20" s="45">
        <v>45991.999305555553</v>
      </c>
      <c r="F20" s="42" t="s">
        <v>492</v>
      </c>
    </row>
    <row r="21" spans="1:6" x14ac:dyDescent="0.35">
      <c r="A21" s="42" t="s">
        <v>89</v>
      </c>
      <c r="B21" s="42">
        <v>829.96</v>
      </c>
      <c r="C21" s="43">
        <v>0.06</v>
      </c>
      <c r="D21" s="45">
        <v>45962</v>
      </c>
      <c r="E21" s="45">
        <v>45991.999305555553</v>
      </c>
      <c r="F21" s="42" t="s">
        <v>492</v>
      </c>
    </row>
    <row r="22" spans="1:6" x14ac:dyDescent="0.35">
      <c r="A22" s="42" t="s">
        <v>21</v>
      </c>
      <c r="B22" s="42">
        <v>499.96</v>
      </c>
      <c r="C22" s="43">
        <v>0.06</v>
      </c>
      <c r="D22" s="45">
        <v>45962</v>
      </c>
      <c r="E22" s="45">
        <v>45991.999305555553</v>
      </c>
      <c r="F22" s="42" t="s">
        <v>492</v>
      </c>
    </row>
    <row r="23" spans="1:6" x14ac:dyDescent="0.35">
      <c r="A23" s="42" t="s">
        <v>16</v>
      </c>
      <c r="B23" s="42">
        <v>389.96</v>
      </c>
      <c r="C23" s="43">
        <v>0.06</v>
      </c>
      <c r="D23" s="45">
        <v>45962</v>
      </c>
      <c r="E23" s="45">
        <v>45991.999305555553</v>
      </c>
      <c r="F23" s="42" t="s">
        <v>492</v>
      </c>
    </row>
    <row r="24" spans="1:6" x14ac:dyDescent="0.35">
      <c r="A24" s="42" t="s">
        <v>8</v>
      </c>
      <c r="B24" s="42">
        <v>339.96</v>
      </c>
      <c r="C24" s="43">
        <v>0.06</v>
      </c>
      <c r="D24" s="45">
        <v>45962</v>
      </c>
      <c r="E24" s="45">
        <v>45991.999305555553</v>
      </c>
      <c r="F24" s="42" t="s">
        <v>492</v>
      </c>
    </row>
    <row r="25" spans="1:6" x14ac:dyDescent="0.35">
      <c r="A25" s="42" t="s">
        <v>15</v>
      </c>
      <c r="B25" s="42">
        <v>389.96</v>
      </c>
      <c r="C25" s="43">
        <v>0.06</v>
      </c>
      <c r="D25" s="45">
        <v>45962</v>
      </c>
      <c r="E25" s="45">
        <v>45991.999305555553</v>
      </c>
      <c r="F25" s="42" t="s">
        <v>492</v>
      </c>
    </row>
    <row r="26" spans="1:6" x14ac:dyDescent="0.35">
      <c r="A26" s="42" t="s">
        <v>9</v>
      </c>
      <c r="B26" s="42">
        <v>339.96</v>
      </c>
      <c r="C26" s="43">
        <v>0.06</v>
      </c>
      <c r="D26" s="45">
        <v>45962</v>
      </c>
      <c r="E26" s="45">
        <v>45991.999305555553</v>
      </c>
      <c r="F26" s="42" t="s">
        <v>492</v>
      </c>
    </row>
    <row r="27" spans="1:6" x14ac:dyDescent="0.35">
      <c r="A27" s="42" t="s">
        <v>31</v>
      </c>
      <c r="B27" s="42">
        <v>739.96</v>
      </c>
      <c r="C27" s="43">
        <v>0.06</v>
      </c>
      <c r="D27" s="45">
        <v>45962</v>
      </c>
      <c r="E27" s="45">
        <v>45991.999305555553</v>
      </c>
      <c r="F27" s="42" t="s">
        <v>492</v>
      </c>
    </row>
    <row r="28" spans="1:6" x14ac:dyDescent="0.35">
      <c r="A28" s="42" t="s">
        <v>40</v>
      </c>
      <c r="B28" s="42">
        <v>739.96</v>
      </c>
      <c r="C28" s="43">
        <v>0.06</v>
      </c>
      <c r="D28" s="45">
        <v>45962</v>
      </c>
      <c r="E28" s="45">
        <v>45991.999305555553</v>
      </c>
      <c r="F28" s="42" t="s">
        <v>492</v>
      </c>
    </row>
    <row r="29" spans="1:6" x14ac:dyDescent="0.35">
      <c r="A29" s="42" t="s">
        <v>316</v>
      </c>
      <c r="B29" s="42">
        <v>1659.96</v>
      </c>
      <c r="C29" s="43">
        <v>0.06</v>
      </c>
      <c r="D29" s="45">
        <v>45962</v>
      </c>
      <c r="E29" s="45">
        <v>45991.999305555553</v>
      </c>
      <c r="F29" s="42" t="s">
        <v>492</v>
      </c>
    </row>
    <row r="30" spans="1:6" x14ac:dyDescent="0.35">
      <c r="A30" s="42" t="s">
        <v>57</v>
      </c>
      <c r="B30" s="42">
        <v>739.96</v>
      </c>
      <c r="C30" s="43">
        <v>0.06</v>
      </c>
      <c r="D30" s="45">
        <v>45962</v>
      </c>
      <c r="E30" s="45">
        <v>45991.999305555553</v>
      </c>
      <c r="F30" s="42" t="s">
        <v>492</v>
      </c>
    </row>
    <row r="31" spans="1:6" x14ac:dyDescent="0.35">
      <c r="A31" s="42" t="s">
        <v>65</v>
      </c>
      <c r="B31" s="42">
        <v>1379.96</v>
      </c>
      <c r="C31" s="43">
        <v>0.06</v>
      </c>
      <c r="D31" s="45">
        <v>45962</v>
      </c>
      <c r="E31" s="45">
        <v>45991.999305555553</v>
      </c>
      <c r="F31" s="42" t="s">
        <v>492</v>
      </c>
    </row>
    <row r="32" spans="1:6" x14ac:dyDescent="0.35">
      <c r="A32" s="42" t="s">
        <v>400</v>
      </c>
      <c r="B32" s="42">
        <v>1129.96</v>
      </c>
      <c r="C32" s="43">
        <v>0.06</v>
      </c>
      <c r="D32" s="45">
        <v>45962</v>
      </c>
      <c r="E32" s="45">
        <v>45991.999305555553</v>
      </c>
      <c r="F32" s="42" t="s">
        <v>492</v>
      </c>
    </row>
    <row r="33" spans="1:6" x14ac:dyDescent="0.35">
      <c r="A33" s="42" t="s">
        <v>267</v>
      </c>
      <c r="B33" s="42">
        <v>1079.96</v>
      </c>
      <c r="C33" s="43">
        <v>0.06</v>
      </c>
      <c r="D33" s="45">
        <v>45962</v>
      </c>
      <c r="E33" s="45">
        <v>45991.999305555553</v>
      </c>
      <c r="F33" s="42" t="s">
        <v>492</v>
      </c>
    </row>
    <row r="34" spans="1:6" x14ac:dyDescent="0.35">
      <c r="A34" s="42" t="s">
        <v>54</v>
      </c>
      <c r="B34" s="42">
        <v>489.96</v>
      </c>
      <c r="C34" s="43">
        <v>0.06</v>
      </c>
      <c r="D34" s="45">
        <v>45962</v>
      </c>
      <c r="E34" s="45">
        <v>45991.999305555553</v>
      </c>
      <c r="F34" s="42" t="s">
        <v>492</v>
      </c>
    </row>
    <row r="35" spans="1:6" x14ac:dyDescent="0.35">
      <c r="A35" s="42" t="s">
        <v>281</v>
      </c>
      <c r="B35" s="42">
        <v>1539.96</v>
      </c>
      <c r="C35" s="43">
        <v>0.06</v>
      </c>
      <c r="D35" s="45">
        <v>45962</v>
      </c>
      <c r="E35" s="45">
        <v>45991.999305555553</v>
      </c>
      <c r="F35" s="42" t="s">
        <v>492</v>
      </c>
    </row>
    <row r="36" spans="1:6" x14ac:dyDescent="0.35">
      <c r="A36" s="42" t="s">
        <v>88</v>
      </c>
      <c r="B36" s="42">
        <v>1079.96</v>
      </c>
      <c r="C36" s="43">
        <v>0.06</v>
      </c>
      <c r="D36" s="45">
        <v>45962</v>
      </c>
      <c r="E36" s="45">
        <v>45991.999305555553</v>
      </c>
      <c r="F36" s="42" t="s">
        <v>492</v>
      </c>
    </row>
    <row r="37" spans="1:6" x14ac:dyDescent="0.35">
      <c r="A37" s="42" t="s">
        <v>121</v>
      </c>
      <c r="B37" s="42">
        <v>1289.96</v>
      </c>
      <c r="C37" s="43">
        <v>0.06</v>
      </c>
      <c r="D37" s="45">
        <v>45962</v>
      </c>
      <c r="E37" s="45">
        <v>45991.999305555553</v>
      </c>
      <c r="F37" s="42" t="s">
        <v>492</v>
      </c>
    </row>
    <row r="38" spans="1:6" x14ac:dyDescent="0.35">
      <c r="A38" s="42" t="s">
        <v>282</v>
      </c>
      <c r="B38" s="42">
        <v>529.96</v>
      </c>
      <c r="C38" s="43">
        <v>0.06</v>
      </c>
      <c r="D38" s="45">
        <v>45962</v>
      </c>
      <c r="E38" s="45">
        <v>45991.999305555553</v>
      </c>
      <c r="F38" s="42" t="s">
        <v>492</v>
      </c>
    </row>
    <row r="39" spans="1:6" x14ac:dyDescent="0.35">
      <c r="A39" s="42" t="s">
        <v>71</v>
      </c>
      <c r="B39" s="42">
        <v>499.96</v>
      </c>
      <c r="C39" s="43">
        <v>0.06</v>
      </c>
      <c r="D39" s="45">
        <v>45962</v>
      </c>
      <c r="E39" s="45">
        <v>45991.999305555553</v>
      </c>
      <c r="F39" s="42" t="s">
        <v>492</v>
      </c>
    </row>
    <row r="40" spans="1:6" x14ac:dyDescent="0.35">
      <c r="A40" s="42" t="s">
        <v>25</v>
      </c>
      <c r="B40" s="42">
        <v>549.96</v>
      </c>
      <c r="C40" s="43">
        <v>0.06</v>
      </c>
      <c r="D40" s="45">
        <v>45962</v>
      </c>
      <c r="E40" s="45">
        <v>45991.999305555553</v>
      </c>
      <c r="F40" s="42" t="s">
        <v>492</v>
      </c>
    </row>
    <row r="41" spans="1:6" x14ac:dyDescent="0.35">
      <c r="A41" s="42" t="s">
        <v>23</v>
      </c>
      <c r="B41" s="42">
        <v>419.96</v>
      </c>
      <c r="C41" s="43">
        <v>0.06</v>
      </c>
      <c r="D41" s="45">
        <v>45962</v>
      </c>
      <c r="E41" s="45">
        <v>45991.999305555553</v>
      </c>
      <c r="F41" s="42" t="s">
        <v>492</v>
      </c>
    </row>
    <row r="42" spans="1:6" x14ac:dyDescent="0.35">
      <c r="A42" s="42" t="s">
        <v>75</v>
      </c>
      <c r="B42" s="42">
        <v>419.96</v>
      </c>
      <c r="C42" s="43">
        <v>0.06</v>
      </c>
      <c r="D42" s="45">
        <v>45962</v>
      </c>
      <c r="E42" s="45">
        <v>45991.999305555553</v>
      </c>
      <c r="F42" s="42" t="s">
        <v>492</v>
      </c>
    </row>
    <row r="43" spans="1:6" x14ac:dyDescent="0.35">
      <c r="A43" s="42" t="s">
        <v>283</v>
      </c>
      <c r="B43" s="42">
        <v>739.96</v>
      </c>
      <c r="C43" s="43">
        <v>0.06</v>
      </c>
      <c r="D43" s="45">
        <v>45962</v>
      </c>
      <c r="E43" s="45">
        <v>45991.999305555553</v>
      </c>
      <c r="F43" s="42" t="s">
        <v>492</v>
      </c>
    </row>
    <row r="44" spans="1:6" x14ac:dyDescent="0.35">
      <c r="A44" s="42" t="s">
        <v>63</v>
      </c>
      <c r="B44" s="42">
        <v>1379.96</v>
      </c>
      <c r="C44" s="43">
        <v>0.06</v>
      </c>
      <c r="D44" s="45">
        <v>45962</v>
      </c>
      <c r="E44" s="45">
        <v>45991.999305555553</v>
      </c>
      <c r="F44" s="42" t="s">
        <v>492</v>
      </c>
    </row>
    <row r="45" spans="1:6" x14ac:dyDescent="0.35">
      <c r="A45" s="42" t="s">
        <v>42</v>
      </c>
      <c r="B45" s="42">
        <v>829.96</v>
      </c>
      <c r="C45" s="43">
        <v>0.06</v>
      </c>
      <c r="D45" s="45">
        <v>45962</v>
      </c>
      <c r="E45" s="45">
        <v>45991.999305555553</v>
      </c>
      <c r="F45" s="42" t="s">
        <v>492</v>
      </c>
    </row>
    <row r="46" spans="1:6" x14ac:dyDescent="0.35">
      <c r="A46" s="42" t="s">
        <v>401</v>
      </c>
      <c r="B46" s="42">
        <v>1329.96</v>
      </c>
      <c r="C46" s="43">
        <v>0.06</v>
      </c>
      <c r="D46" s="45">
        <v>45962</v>
      </c>
      <c r="E46" s="45">
        <v>45991.999305555553</v>
      </c>
      <c r="F46" s="42" t="s">
        <v>492</v>
      </c>
    </row>
    <row r="47" spans="1:6" x14ac:dyDescent="0.35">
      <c r="A47" s="42" t="s">
        <v>35</v>
      </c>
      <c r="B47" s="42">
        <v>1399.96</v>
      </c>
      <c r="C47" s="43">
        <v>0.06</v>
      </c>
      <c r="D47" s="45">
        <v>45962</v>
      </c>
      <c r="E47" s="45">
        <v>45991.999305555553</v>
      </c>
      <c r="F47" s="42" t="s">
        <v>492</v>
      </c>
    </row>
    <row r="48" spans="1:6" x14ac:dyDescent="0.35">
      <c r="A48" s="42" t="s">
        <v>61</v>
      </c>
      <c r="B48" s="42">
        <v>1149.96</v>
      </c>
      <c r="C48" s="43">
        <v>0.06</v>
      </c>
      <c r="D48" s="45">
        <v>45962</v>
      </c>
      <c r="E48" s="45">
        <v>45991.999305555553</v>
      </c>
      <c r="F48" s="42" t="s">
        <v>492</v>
      </c>
    </row>
    <row r="49" spans="1:6" x14ac:dyDescent="0.35">
      <c r="A49" s="42" t="s">
        <v>304</v>
      </c>
      <c r="B49" s="42">
        <v>1149.96</v>
      </c>
      <c r="C49" s="43">
        <v>0.06</v>
      </c>
      <c r="D49" s="45">
        <v>45962</v>
      </c>
      <c r="E49" s="45">
        <v>45991.999305555553</v>
      </c>
      <c r="F49" s="42" t="s">
        <v>492</v>
      </c>
    </row>
    <row r="50" spans="1:6" x14ac:dyDescent="0.35">
      <c r="A50" s="42" t="s">
        <v>266</v>
      </c>
      <c r="B50" s="42">
        <v>1389.96</v>
      </c>
      <c r="C50" s="43">
        <v>0.06</v>
      </c>
      <c r="D50" s="45">
        <v>45962</v>
      </c>
      <c r="E50" s="45">
        <v>45991.999305555553</v>
      </c>
      <c r="F50" s="42" t="s">
        <v>492</v>
      </c>
    </row>
    <row r="51" spans="1:6" x14ac:dyDescent="0.35">
      <c r="A51" s="42" t="s">
        <v>607</v>
      </c>
      <c r="B51" s="42">
        <v>2489.96</v>
      </c>
      <c r="C51" s="43">
        <v>0.06</v>
      </c>
      <c r="D51" s="45">
        <v>45962</v>
      </c>
      <c r="E51" s="45">
        <v>45991.999305555553</v>
      </c>
      <c r="F51" s="42" t="s">
        <v>492</v>
      </c>
    </row>
    <row r="52" spans="1:6" x14ac:dyDescent="0.35">
      <c r="A52" s="42" t="s">
        <v>37</v>
      </c>
      <c r="B52" s="42">
        <v>1369.96</v>
      </c>
      <c r="C52" s="43">
        <v>0.06</v>
      </c>
      <c r="D52" s="45">
        <v>45962</v>
      </c>
      <c r="E52" s="45">
        <v>45991.999305555553</v>
      </c>
      <c r="F52" s="42" t="s">
        <v>492</v>
      </c>
    </row>
    <row r="53" spans="1:6" x14ac:dyDescent="0.35">
      <c r="A53" s="42" t="s">
        <v>608</v>
      </c>
      <c r="B53" s="42">
        <v>1149.96</v>
      </c>
      <c r="C53" s="43">
        <v>0.06</v>
      </c>
      <c r="D53" s="45">
        <v>45962</v>
      </c>
      <c r="E53" s="45">
        <v>45991.999305555553</v>
      </c>
      <c r="F53" s="42" t="s">
        <v>492</v>
      </c>
    </row>
    <row r="54" spans="1:6" x14ac:dyDescent="0.35">
      <c r="A54" s="42" t="s">
        <v>609</v>
      </c>
      <c r="B54" s="42">
        <v>1569.96</v>
      </c>
      <c r="C54" s="43">
        <v>0.06</v>
      </c>
      <c r="D54" s="45">
        <v>45962</v>
      </c>
      <c r="E54" s="45">
        <v>45991.999305555553</v>
      </c>
      <c r="F54" s="42" t="s">
        <v>492</v>
      </c>
    </row>
    <row r="55" spans="1:6" x14ac:dyDescent="0.35">
      <c r="A55" s="42" t="s">
        <v>407</v>
      </c>
      <c r="B55" s="42">
        <v>1829.96</v>
      </c>
      <c r="C55" s="43">
        <v>0.06</v>
      </c>
      <c r="D55" s="45">
        <v>45962</v>
      </c>
      <c r="E55" s="45">
        <v>45991.999305555553</v>
      </c>
      <c r="F55" s="42" t="s">
        <v>492</v>
      </c>
    </row>
    <row r="56" spans="1:6" x14ac:dyDescent="0.35">
      <c r="A56" s="42" t="s">
        <v>610</v>
      </c>
      <c r="B56" s="42">
        <v>1699.96</v>
      </c>
      <c r="C56" s="43">
        <v>0.06</v>
      </c>
      <c r="D56" s="45">
        <v>45962</v>
      </c>
      <c r="E56" s="45">
        <v>45991.999305555553</v>
      </c>
      <c r="F56" s="42" t="s">
        <v>492</v>
      </c>
    </row>
    <row r="57" spans="1:6" x14ac:dyDescent="0.35">
      <c r="A57" s="42" t="s">
        <v>611</v>
      </c>
      <c r="B57" s="42">
        <v>1389.96</v>
      </c>
      <c r="C57" s="43">
        <v>0.06</v>
      </c>
      <c r="D57" s="45">
        <v>45962</v>
      </c>
      <c r="E57" s="45">
        <v>45991.999305555553</v>
      </c>
      <c r="F57" s="42" t="s">
        <v>492</v>
      </c>
    </row>
    <row r="58" spans="1:6" x14ac:dyDescent="0.35">
      <c r="A58" s="42" t="s">
        <v>270</v>
      </c>
      <c r="B58" s="42">
        <v>1149.96</v>
      </c>
      <c r="C58" s="43">
        <v>0.06</v>
      </c>
      <c r="D58" s="45">
        <v>45962</v>
      </c>
      <c r="E58" s="45">
        <v>45991.999305555553</v>
      </c>
      <c r="F58" s="42" t="s">
        <v>492</v>
      </c>
    </row>
    <row r="59" spans="1:6" x14ac:dyDescent="0.35">
      <c r="A59" s="42" t="s">
        <v>612</v>
      </c>
      <c r="B59" s="42">
        <v>899.96</v>
      </c>
      <c r="C59" s="43">
        <v>0.06</v>
      </c>
      <c r="D59" s="45">
        <v>45962</v>
      </c>
      <c r="E59" s="45">
        <v>45991.999305555553</v>
      </c>
      <c r="F59" s="42" t="s">
        <v>492</v>
      </c>
    </row>
    <row r="60" spans="1:6" x14ac:dyDescent="0.35">
      <c r="A60" s="42" t="s">
        <v>33</v>
      </c>
      <c r="B60" s="42">
        <v>879.96</v>
      </c>
      <c r="C60" s="43">
        <v>0.06</v>
      </c>
      <c r="D60" s="45">
        <v>45962</v>
      </c>
      <c r="E60" s="45">
        <v>45991.999305555553</v>
      </c>
      <c r="F60" s="42" t="s">
        <v>492</v>
      </c>
    </row>
    <row r="61" spans="1:6" x14ac:dyDescent="0.35">
      <c r="A61" s="42" t="s">
        <v>613</v>
      </c>
      <c r="B61" s="42">
        <v>639.96</v>
      </c>
      <c r="C61" s="43">
        <v>0.06</v>
      </c>
      <c r="D61" s="45">
        <v>45962</v>
      </c>
      <c r="E61" s="45">
        <v>45991.999305555553</v>
      </c>
      <c r="F61" s="42" t="s">
        <v>492</v>
      </c>
    </row>
    <row r="62" spans="1:6" x14ac:dyDescent="0.35">
      <c r="A62" s="42" t="s">
        <v>614</v>
      </c>
      <c r="B62" s="42">
        <v>469.96</v>
      </c>
      <c r="C62" s="43">
        <v>0.06</v>
      </c>
      <c r="D62" s="45">
        <v>45962</v>
      </c>
      <c r="E62" s="45">
        <v>45991.999305555553</v>
      </c>
      <c r="F62" s="42" t="s">
        <v>492</v>
      </c>
    </row>
    <row r="63" spans="1:6" x14ac:dyDescent="0.35">
      <c r="A63" s="42" t="s">
        <v>589</v>
      </c>
      <c r="B63" s="42">
        <v>589.96</v>
      </c>
      <c r="C63" s="43">
        <v>0.06</v>
      </c>
      <c r="D63" s="45">
        <v>45962</v>
      </c>
      <c r="E63" s="45">
        <v>45991.999305555553</v>
      </c>
      <c r="F63" s="42" t="s">
        <v>492</v>
      </c>
    </row>
    <row r="64" spans="1:6" x14ac:dyDescent="0.35">
      <c r="A64" s="42" t="s">
        <v>615</v>
      </c>
      <c r="B64" s="42">
        <v>499.96</v>
      </c>
      <c r="C64" s="43">
        <v>0.06</v>
      </c>
      <c r="D64" s="45">
        <v>45962</v>
      </c>
      <c r="E64" s="45">
        <v>45991.999305555553</v>
      </c>
      <c r="F64" s="42" t="s">
        <v>492</v>
      </c>
    </row>
    <row r="65" spans="1:6" x14ac:dyDescent="0.35">
      <c r="A65" s="42" t="s">
        <v>578</v>
      </c>
      <c r="B65" s="42">
        <v>419.96</v>
      </c>
      <c r="C65" s="43">
        <v>0.06</v>
      </c>
      <c r="D65" s="45">
        <v>45962</v>
      </c>
      <c r="E65" s="45">
        <v>45991.999305555553</v>
      </c>
      <c r="F65" s="42" t="s">
        <v>492</v>
      </c>
    </row>
    <row r="66" spans="1:6" x14ac:dyDescent="0.35">
      <c r="A66" s="42" t="s">
        <v>601</v>
      </c>
      <c r="B66" s="42">
        <v>479.96</v>
      </c>
      <c r="C66" s="43">
        <v>0.08</v>
      </c>
      <c r="D66" s="45">
        <v>45962</v>
      </c>
      <c r="E66" s="45">
        <v>45991.999305555553</v>
      </c>
      <c r="F66" s="42" t="s">
        <v>492</v>
      </c>
    </row>
    <row r="67" spans="1:6" x14ac:dyDescent="0.35">
      <c r="A67" s="42" t="s">
        <v>602</v>
      </c>
      <c r="B67" s="42">
        <v>519.96</v>
      </c>
      <c r="C67" s="43">
        <v>0.08</v>
      </c>
      <c r="D67" s="45">
        <v>45962</v>
      </c>
      <c r="E67" s="45">
        <v>45991.999305555553</v>
      </c>
      <c r="F67" s="42" t="s">
        <v>492</v>
      </c>
    </row>
    <row r="68" spans="1:6" x14ac:dyDescent="0.35">
      <c r="A68" s="42" t="s">
        <v>603</v>
      </c>
      <c r="B68" s="42">
        <v>849.96</v>
      </c>
      <c r="C68" s="43">
        <v>0.08</v>
      </c>
      <c r="D68" s="45">
        <v>45962</v>
      </c>
      <c r="E68" s="45">
        <v>45991.999305555553</v>
      </c>
      <c r="F68" s="42" t="s">
        <v>492</v>
      </c>
    </row>
    <row r="69" spans="1:6" x14ac:dyDescent="0.35">
      <c r="A69" s="42" t="s">
        <v>501</v>
      </c>
      <c r="B69" s="42">
        <v>899.96</v>
      </c>
      <c r="C69" s="43">
        <v>0.08</v>
      </c>
      <c r="D69" s="45">
        <v>45962</v>
      </c>
      <c r="E69" s="45">
        <v>45991.999305555553</v>
      </c>
      <c r="F69" s="42" t="s">
        <v>492</v>
      </c>
    </row>
    <row r="70" spans="1:6" x14ac:dyDescent="0.35">
      <c r="A70" s="42" t="s">
        <v>523</v>
      </c>
      <c r="B70" s="42">
        <v>819.96</v>
      </c>
      <c r="C70" s="43">
        <v>0.08</v>
      </c>
      <c r="D70" s="45">
        <v>45962</v>
      </c>
      <c r="E70" s="45">
        <v>45991.999305555553</v>
      </c>
      <c r="F70" s="42" t="s">
        <v>492</v>
      </c>
    </row>
    <row r="71" spans="1:6" x14ac:dyDescent="0.35">
      <c r="A71" s="42" t="s">
        <v>604</v>
      </c>
      <c r="B71" s="42">
        <v>849.96</v>
      </c>
      <c r="C71" s="43">
        <v>0.08</v>
      </c>
      <c r="D71" s="45">
        <v>45962</v>
      </c>
      <c r="E71" s="45">
        <v>45991.999305555553</v>
      </c>
      <c r="F71" s="42" t="s">
        <v>492</v>
      </c>
    </row>
    <row r="72" spans="1:6" x14ac:dyDescent="0.35">
      <c r="A72" s="42" t="s">
        <v>605</v>
      </c>
      <c r="B72" s="42">
        <v>619.96</v>
      </c>
      <c r="C72" s="43">
        <v>0.08</v>
      </c>
      <c r="D72" s="45">
        <v>45962</v>
      </c>
      <c r="E72" s="45">
        <v>45991.999305555553</v>
      </c>
      <c r="F72" s="42" t="s">
        <v>492</v>
      </c>
    </row>
    <row r="73" spans="1:6" x14ac:dyDescent="0.35">
      <c r="A73" s="42" t="s">
        <v>606</v>
      </c>
      <c r="B73" s="42">
        <v>1179.96</v>
      </c>
      <c r="C73" s="43">
        <v>0.08</v>
      </c>
      <c r="D73" s="45">
        <v>45962</v>
      </c>
      <c r="E73" s="45">
        <v>45991.999305555553</v>
      </c>
      <c r="F73" s="42" t="s">
        <v>492</v>
      </c>
    </row>
    <row r="74" spans="1:6" x14ac:dyDescent="0.35">
      <c r="A74" s="42" t="s">
        <v>59</v>
      </c>
      <c r="B74" s="42">
        <v>759.96</v>
      </c>
      <c r="C74" s="43">
        <v>0.08</v>
      </c>
      <c r="D74" s="45">
        <v>45962</v>
      </c>
      <c r="E74" s="45">
        <v>45991.999305555553</v>
      </c>
      <c r="F74" s="42" t="s">
        <v>492</v>
      </c>
    </row>
    <row r="75" spans="1:6" x14ac:dyDescent="0.35">
      <c r="A75" s="42" t="s">
        <v>58</v>
      </c>
      <c r="B75" s="42">
        <v>759.96</v>
      </c>
      <c r="C75" s="43">
        <v>0.08</v>
      </c>
      <c r="D75" s="45">
        <v>45962</v>
      </c>
      <c r="E75" s="45">
        <v>45991.999305555553</v>
      </c>
      <c r="F75" s="42" t="s">
        <v>492</v>
      </c>
    </row>
    <row r="76" spans="1:6" x14ac:dyDescent="0.35">
      <c r="A76" s="42" t="s">
        <v>122</v>
      </c>
      <c r="B76" s="42">
        <v>659.96</v>
      </c>
      <c r="C76" s="43">
        <v>0.08</v>
      </c>
      <c r="D76" s="45">
        <v>45962</v>
      </c>
      <c r="E76" s="45">
        <v>45991.999305555553</v>
      </c>
      <c r="F76" s="42" t="s">
        <v>492</v>
      </c>
    </row>
    <row r="77" spans="1:6" x14ac:dyDescent="0.35">
      <c r="A77" s="42" t="s">
        <v>27</v>
      </c>
      <c r="B77" s="42">
        <v>659.96</v>
      </c>
      <c r="C77" s="43">
        <v>0.08</v>
      </c>
      <c r="D77" s="45">
        <v>45962</v>
      </c>
      <c r="E77" s="45">
        <v>45991.999305555553</v>
      </c>
      <c r="F77" s="42" t="s">
        <v>492</v>
      </c>
    </row>
    <row r="78" spans="1:6" x14ac:dyDescent="0.35">
      <c r="A78" s="42" t="s">
        <v>14</v>
      </c>
      <c r="B78" s="42">
        <v>379.96</v>
      </c>
      <c r="C78" s="43">
        <v>0.08</v>
      </c>
      <c r="D78" s="45">
        <v>45962</v>
      </c>
      <c r="E78" s="45">
        <v>45991.999305555553</v>
      </c>
      <c r="F78" s="42" t="s">
        <v>492</v>
      </c>
    </row>
    <row r="79" spans="1:6" x14ac:dyDescent="0.35">
      <c r="A79" s="42" t="s">
        <v>12</v>
      </c>
      <c r="B79" s="42">
        <v>379.96</v>
      </c>
      <c r="C79" s="43">
        <v>0.08</v>
      </c>
      <c r="D79" s="45">
        <v>45962</v>
      </c>
      <c r="E79" s="45">
        <v>45991.999305555553</v>
      </c>
      <c r="F79" s="42" t="s">
        <v>492</v>
      </c>
    </row>
    <row r="80" spans="1:6" x14ac:dyDescent="0.35">
      <c r="A80" s="42" t="s">
        <v>399</v>
      </c>
      <c r="B80" s="42">
        <v>659.96</v>
      </c>
      <c r="C80" s="43">
        <v>0.08</v>
      </c>
      <c r="D80" s="45">
        <v>45962</v>
      </c>
      <c r="E80" s="45">
        <v>45991.999305555553</v>
      </c>
      <c r="F80" s="42" t="s">
        <v>492</v>
      </c>
    </row>
    <row r="81" spans="1:6" x14ac:dyDescent="0.35">
      <c r="A81" s="42" t="s">
        <v>79</v>
      </c>
      <c r="B81" s="42">
        <v>499.96</v>
      </c>
      <c r="C81" s="43">
        <v>0.08</v>
      </c>
      <c r="D81" s="45">
        <v>45962</v>
      </c>
      <c r="E81" s="45">
        <v>45991.999305555553</v>
      </c>
      <c r="F81" s="42" t="s">
        <v>492</v>
      </c>
    </row>
    <row r="82" spans="1:6" x14ac:dyDescent="0.35">
      <c r="A82" s="42" t="s">
        <v>265</v>
      </c>
      <c r="B82" s="42">
        <v>689.96</v>
      </c>
      <c r="C82" s="43">
        <v>0.08</v>
      </c>
      <c r="D82" s="45">
        <v>45962</v>
      </c>
      <c r="E82" s="45">
        <v>45991.999305555553</v>
      </c>
      <c r="F82" s="42" t="s">
        <v>492</v>
      </c>
    </row>
    <row r="83" spans="1:6" x14ac:dyDescent="0.35">
      <c r="A83" s="42" t="s">
        <v>29</v>
      </c>
      <c r="B83" s="42">
        <v>689.96</v>
      </c>
      <c r="C83" s="43">
        <v>0.08</v>
      </c>
      <c r="D83" s="45">
        <v>45962</v>
      </c>
      <c r="E83" s="45">
        <v>45991.999305555553</v>
      </c>
      <c r="F83" s="42" t="s">
        <v>492</v>
      </c>
    </row>
    <row r="84" spans="1:6" x14ac:dyDescent="0.35">
      <c r="A84" s="42" t="s">
        <v>55</v>
      </c>
      <c r="B84" s="42">
        <v>689.96</v>
      </c>
      <c r="C84" s="43">
        <v>0.08</v>
      </c>
      <c r="D84" s="45">
        <v>45962</v>
      </c>
      <c r="E84" s="45">
        <v>45991.999305555553</v>
      </c>
      <c r="F84" s="42" t="s">
        <v>492</v>
      </c>
    </row>
    <row r="85" spans="1:6" x14ac:dyDescent="0.35">
      <c r="A85" s="42" t="s">
        <v>89</v>
      </c>
      <c r="B85" s="42">
        <v>849.96</v>
      </c>
      <c r="C85" s="43">
        <v>0.08</v>
      </c>
      <c r="D85" s="45">
        <v>45962</v>
      </c>
      <c r="E85" s="45">
        <v>45991.999305555553</v>
      </c>
      <c r="F85" s="42" t="s">
        <v>492</v>
      </c>
    </row>
    <row r="86" spans="1:6" x14ac:dyDescent="0.35">
      <c r="A86" s="42" t="s">
        <v>21</v>
      </c>
      <c r="B86" s="42">
        <v>519.96</v>
      </c>
      <c r="C86" s="43">
        <v>0.08</v>
      </c>
      <c r="D86" s="45">
        <v>45962</v>
      </c>
      <c r="E86" s="45">
        <v>45991.999305555553</v>
      </c>
      <c r="F86" s="42" t="s">
        <v>492</v>
      </c>
    </row>
    <row r="87" spans="1:6" x14ac:dyDescent="0.35">
      <c r="A87" s="42" t="s">
        <v>16</v>
      </c>
      <c r="B87" s="42">
        <v>399.96</v>
      </c>
      <c r="C87" s="43">
        <v>0.08</v>
      </c>
      <c r="D87" s="45">
        <v>45962</v>
      </c>
      <c r="E87" s="45">
        <v>45991.999305555553</v>
      </c>
      <c r="F87" s="42" t="s">
        <v>492</v>
      </c>
    </row>
    <row r="88" spans="1:6" x14ac:dyDescent="0.35">
      <c r="A88" s="42" t="s">
        <v>8</v>
      </c>
      <c r="B88" s="42">
        <v>349.96</v>
      </c>
      <c r="C88" s="43">
        <v>0.08</v>
      </c>
      <c r="D88" s="45">
        <v>45962</v>
      </c>
      <c r="E88" s="45">
        <v>45991.999305555553</v>
      </c>
      <c r="F88" s="42" t="s">
        <v>492</v>
      </c>
    </row>
    <row r="89" spans="1:6" x14ac:dyDescent="0.35">
      <c r="A89" s="42" t="s">
        <v>15</v>
      </c>
      <c r="B89" s="42">
        <v>399.96</v>
      </c>
      <c r="C89" s="43">
        <v>0.08</v>
      </c>
      <c r="D89" s="45">
        <v>45962</v>
      </c>
      <c r="E89" s="45">
        <v>45991.999305555553</v>
      </c>
      <c r="F89" s="42" t="s">
        <v>492</v>
      </c>
    </row>
    <row r="90" spans="1:6" x14ac:dyDescent="0.35">
      <c r="A90" s="42" t="s">
        <v>9</v>
      </c>
      <c r="B90" s="42">
        <v>349.96</v>
      </c>
      <c r="C90" s="43">
        <v>0.08</v>
      </c>
      <c r="D90" s="45">
        <v>45962</v>
      </c>
      <c r="E90" s="45">
        <v>45991.999305555553</v>
      </c>
      <c r="F90" s="42" t="s">
        <v>492</v>
      </c>
    </row>
    <row r="91" spans="1:6" x14ac:dyDescent="0.35">
      <c r="A91" s="42" t="s">
        <v>31</v>
      </c>
      <c r="B91" s="42">
        <v>759.96</v>
      </c>
      <c r="C91" s="43">
        <v>0.08</v>
      </c>
      <c r="D91" s="45">
        <v>45962</v>
      </c>
      <c r="E91" s="45">
        <v>45991.999305555553</v>
      </c>
      <c r="F91" s="42" t="s">
        <v>492</v>
      </c>
    </row>
    <row r="92" spans="1:6" x14ac:dyDescent="0.35">
      <c r="A92" s="42" t="s">
        <v>40</v>
      </c>
      <c r="B92" s="42">
        <v>759.96</v>
      </c>
      <c r="C92" s="43">
        <v>0.08</v>
      </c>
      <c r="D92" s="45">
        <v>45962</v>
      </c>
      <c r="E92" s="45">
        <v>45991.999305555553</v>
      </c>
      <c r="F92" s="42" t="s">
        <v>492</v>
      </c>
    </row>
    <row r="93" spans="1:6" x14ac:dyDescent="0.35">
      <c r="A93" s="42" t="s">
        <v>316</v>
      </c>
      <c r="B93" s="42">
        <v>1699.96</v>
      </c>
      <c r="C93" s="43">
        <v>0.08</v>
      </c>
      <c r="D93" s="45">
        <v>45962</v>
      </c>
      <c r="E93" s="45">
        <v>45991.999305555553</v>
      </c>
      <c r="F93" s="42" t="s">
        <v>492</v>
      </c>
    </row>
    <row r="94" spans="1:6" x14ac:dyDescent="0.35">
      <c r="A94" s="42" t="s">
        <v>57</v>
      </c>
      <c r="B94" s="42">
        <v>759.96</v>
      </c>
      <c r="C94" s="43">
        <v>0.08</v>
      </c>
      <c r="D94" s="45">
        <v>45962</v>
      </c>
      <c r="E94" s="45">
        <v>45991.999305555553</v>
      </c>
      <c r="F94" s="42" t="s">
        <v>492</v>
      </c>
    </row>
    <row r="95" spans="1:6" x14ac:dyDescent="0.35">
      <c r="A95" s="42" t="s">
        <v>65</v>
      </c>
      <c r="B95" s="42">
        <v>1419.96</v>
      </c>
      <c r="C95" s="43">
        <v>0.08</v>
      </c>
      <c r="D95" s="45">
        <v>45962</v>
      </c>
      <c r="E95" s="45">
        <v>45991.999305555553</v>
      </c>
      <c r="F95" s="42" t="s">
        <v>492</v>
      </c>
    </row>
    <row r="96" spans="1:6" x14ac:dyDescent="0.35">
      <c r="A96" s="42" t="s">
        <v>400</v>
      </c>
      <c r="B96" s="42">
        <v>1159.96</v>
      </c>
      <c r="C96" s="43">
        <v>0.08</v>
      </c>
      <c r="D96" s="45">
        <v>45962</v>
      </c>
      <c r="E96" s="45">
        <v>45991.999305555553</v>
      </c>
      <c r="F96" s="42" t="s">
        <v>492</v>
      </c>
    </row>
    <row r="97" spans="1:6" x14ac:dyDescent="0.35">
      <c r="A97" s="42" t="s">
        <v>267</v>
      </c>
      <c r="B97" s="42">
        <v>1119.96</v>
      </c>
      <c r="C97" s="43">
        <v>0.08</v>
      </c>
      <c r="D97" s="45">
        <v>45962</v>
      </c>
      <c r="E97" s="45">
        <v>45991.999305555553</v>
      </c>
      <c r="F97" s="42" t="s">
        <v>492</v>
      </c>
    </row>
    <row r="98" spans="1:6" x14ac:dyDescent="0.35">
      <c r="A98" s="42" t="s">
        <v>54</v>
      </c>
      <c r="B98" s="42">
        <v>499.96</v>
      </c>
      <c r="C98" s="43">
        <v>0.08</v>
      </c>
      <c r="D98" s="45">
        <v>45962</v>
      </c>
      <c r="E98" s="45">
        <v>45991.999305555553</v>
      </c>
      <c r="F98" s="42" t="s">
        <v>492</v>
      </c>
    </row>
    <row r="99" spans="1:6" x14ac:dyDescent="0.35">
      <c r="A99" s="42" t="s">
        <v>281</v>
      </c>
      <c r="B99" s="42">
        <v>1579.96</v>
      </c>
      <c r="C99" s="43">
        <v>0.08</v>
      </c>
      <c r="D99" s="45">
        <v>45962</v>
      </c>
      <c r="E99" s="45">
        <v>45991.999305555553</v>
      </c>
      <c r="F99" s="42" t="s">
        <v>492</v>
      </c>
    </row>
    <row r="100" spans="1:6" x14ac:dyDescent="0.35">
      <c r="A100" s="42" t="s">
        <v>88</v>
      </c>
      <c r="B100" s="42">
        <v>1119.96</v>
      </c>
      <c r="C100" s="43">
        <v>0.08</v>
      </c>
      <c r="D100" s="45">
        <v>45962</v>
      </c>
      <c r="E100" s="45">
        <v>45991.999305555553</v>
      </c>
      <c r="F100" s="42" t="s">
        <v>492</v>
      </c>
    </row>
    <row r="101" spans="1:6" x14ac:dyDescent="0.35">
      <c r="A101" s="42" t="s">
        <v>121</v>
      </c>
      <c r="B101" s="42">
        <v>1319.96</v>
      </c>
      <c r="C101" s="43">
        <v>0.08</v>
      </c>
      <c r="D101" s="45">
        <v>45962</v>
      </c>
      <c r="E101" s="45">
        <v>45991.999305555553</v>
      </c>
      <c r="F101" s="42" t="s">
        <v>492</v>
      </c>
    </row>
    <row r="102" spans="1:6" x14ac:dyDescent="0.35">
      <c r="A102" s="42" t="s">
        <v>282</v>
      </c>
      <c r="B102" s="42">
        <v>549.96</v>
      </c>
      <c r="C102" s="43">
        <v>0.08</v>
      </c>
      <c r="D102" s="45">
        <v>45962</v>
      </c>
      <c r="E102" s="45">
        <v>45991.999305555553</v>
      </c>
      <c r="F102" s="42" t="s">
        <v>492</v>
      </c>
    </row>
    <row r="103" spans="1:6" x14ac:dyDescent="0.35">
      <c r="A103" s="42" t="s">
        <v>71</v>
      </c>
      <c r="B103" s="42">
        <v>519.96</v>
      </c>
      <c r="C103" s="43">
        <v>0.08</v>
      </c>
      <c r="D103" s="45">
        <v>45962</v>
      </c>
      <c r="E103" s="45">
        <v>45991.999305555553</v>
      </c>
      <c r="F103" s="42" t="s">
        <v>492</v>
      </c>
    </row>
    <row r="104" spans="1:6" x14ac:dyDescent="0.35">
      <c r="A104" s="42" t="s">
        <v>25</v>
      </c>
      <c r="B104" s="42">
        <v>569.96</v>
      </c>
      <c r="C104" s="43">
        <v>0.08</v>
      </c>
      <c r="D104" s="45">
        <v>45962</v>
      </c>
      <c r="E104" s="45">
        <v>45991.999305555553</v>
      </c>
      <c r="F104" s="42" t="s">
        <v>492</v>
      </c>
    </row>
    <row r="105" spans="1:6" x14ac:dyDescent="0.35">
      <c r="A105" s="42" t="s">
        <v>23</v>
      </c>
      <c r="B105" s="42">
        <v>429.96</v>
      </c>
      <c r="C105" s="43">
        <v>0.08</v>
      </c>
      <c r="D105" s="45">
        <v>45962</v>
      </c>
      <c r="E105" s="45">
        <v>45991.999305555553</v>
      </c>
      <c r="F105" s="42" t="s">
        <v>492</v>
      </c>
    </row>
    <row r="106" spans="1:6" x14ac:dyDescent="0.35">
      <c r="A106" s="42" t="s">
        <v>75</v>
      </c>
      <c r="B106" s="42">
        <v>429.96</v>
      </c>
      <c r="C106" s="43">
        <v>0.08</v>
      </c>
      <c r="D106" s="45">
        <v>45962</v>
      </c>
      <c r="E106" s="45">
        <v>45991.999305555553</v>
      </c>
      <c r="F106" s="42" t="s">
        <v>492</v>
      </c>
    </row>
    <row r="107" spans="1:6" x14ac:dyDescent="0.35">
      <c r="A107" s="42" t="s">
        <v>283</v>
      </c>
      <c r="B107" s="42">
        <v>759.96</v>
      </c>
      <c r="C107" s="43">
        <v>0.08</v>
      </c>
      <c r="D107" s="45">
        <v>45962</v>
      </c>
      <c r="E107" s="45">
        <v>45991.999305555553</v>
      </c>
      <c r="F107" s="42" t="s">
        <v>492</v>
      </c>
    </row>
    <row r="108" spans="1:6" x14ac:dyDescent="0.35">
      <c r="A108" s="42" t="s">
        <v>63</v>
      </c>
      <c r="B108" s="42">
        <v>1419.96</v>
      </c>
      <c r="C108" s="43">
        <v>0.08</v>
      </c>
      <c r="D108" s="45">
        <v>45962</v>
      </c>
      <c r="E108" s="45">
        <v>45991.999305555553</v>
      </c>
      <c r="F108" s="42" t="s">
        <v>492</v>
      </c>
    </row>
    <row r="109" spans="1:6" x14ac:dyDescent="0.35">
      <c r="A109" s="42" t="s">
        <v>42</v>
      </c>
      <c r="B109" s="42">
        <v>849.96</v>
      </c>
      <c r="C109" s="43">
        <v>0.08</v>
      </c>
      <c r="D109" s="45">
        <v>45962</v>
      </c>
      <c r="E109" s="45">
        <v>45991.999305555553</v>
      </c>
      <c r="F109" s="42" t="s">
        <v>492</v>
      </c>
    </row>
    <row r="110" spans="1:6" x14ac:dyDescent="0.35">
      <c r="A110" s="42" t="s">
        <v>401</v>
      </c>
      <c r="B110" s="42">
        <v>1359.96</v>
      </c>
      <c r="C110" s="43">
        <v>0.08</v>
      </c>
      <c r="D110" s="45">
        <v>45962</v>
      </c>
      <c r="E110" s="45">
        <v>45991.999305555553</v>
      </c>
      <c r="F110" s="42" t="s">
        <v>492</v>
      </c>
    </row>
    <row r="111" spans="1:6" x14ac:dyDescent="0.35">
      <c r="A111" s="42" t="s">
        <v>35</v>
      </c>
      <c r="B111" s="42">
        <v>1429.96</v>
      </c>
      <c r="C111" s="43">
        <v>0.08</v>
      </c>
      <c r="D111" s="45">
        <v>45962</v>
      </c>
      <c r="E111" s="45">
        <v>45991.999305555553</v>
      </c>
      <c r="F111" s="42" t="s">
        <v>492</v>
      </c>
    </row>
    <row r="112" spans="1:6" x14ac:dyDescent="0.35">
      <c r="A112" s="42" t="s">
        <v>61</v>
      </c>
      <c r="B112" s="42">
        <v>1179.96</v>
      </c>
      <c r="C112" s="43">
        <v>0.08</v>
      </c>
      <c r="D112" s="45">
        <v>45962</v>
      </c>
      <c r="E112" s="45">
        <v>45991.999305555553</v>
      </c>
      <c r="F112" s="42" t="s">
        <v>492</v>
      </c>
    </row>
    <row r="113" spans="1:6" x14ac:dyDescent="0.35">
      <c r="A113" s="42" t="s">
        <v>304</v>
      </c>
      <c r="B113" s="42">
        <v>1179.96</v>
      </c>
      <c r="C113" s="43">
        <v>0.08</v>
      </c>
      <c r="D113" s="45">
        <v>45962</v>
      </c>
      <c r="E113" s="45">
        <v>45991.999305555553</v>
      </c>
      <c r="F113" s="42" t="s">
        <v>492</v>
      </c>
    </row>
    <row r="114" spans="1:6" x14ac:dyDescent="0.35">
      <c r="A114" s="42" t="s">
        <v>266</v>
      </c>
      <c r="B114" s="42">
        <v>1419.96</v>
      </c>
      <c r="C114" s="43">
        <v>0.08</v>
      </c>
      <c r="D114" s="45">
        <v>45962</v>
      </c>
      <c r="E114" s="45">
        <v>45991.999305555553</v>
      </c>
      <c r="F114" s="42" t="s">
        <v>492</v>
      </c>
    </row>
    <row r="115" spans="1:6" x14ac:dyDescent="0.35">
      <c r="A115" s="42" t="s">
        <v>607</v>
      </c>
      <c r="B115" s="42">
        <v>2539.96</v>
      </c>
      <c r="C115" s="43">
        <v>0.08</v>
      </c>
      <c r="D115" s="45">
        <v>45962</v>
      </c>
      <c r="E115" s="45">
        <v>45991.999305555553</v>
      </c>
      <c r="F115" s="42" t="s">
        <v>492</v>
      </c>
    </row>
    <row r="116" spans="1:6" x14ac:dyDescent="0.35">
      <c r="A116" s="42" t="s">
        <v>37</v>
      </c>
      <c r="B116" s="42">
        <v>1399.96</v>
      </c>
      <c r="C116" s="43">
        <v>0.08</v>
      </c>
      <c r="D116" s="45">
        <v>45962</v>
      </c>
      <c r="E116" s="45">
        <v>45991.999305555553</v>
      </c>
      <c r="F116" s="42" t="s">
        <v>492</v>
      </c>
    </row>
    <row r="117" spans="1:6" x14ac:dyDescent="0.35">
      <c r="A117" s="42" t="s">
        <v>608</v>
      </c>
      <c r="B117" s="42">
        <v>1179.96</v>
      </c>
      <c r="C117" s="43">
        <v>0.08</v>
      </c>
      <c r="D117" s="45">
        <v>45962</v>
      </c>
      <c r="E117" s="45">
        <v>45991.999305555553</v>
      </c>
      <c r="F117" s="42" t="s">
        <v>492</v>
      </c>
    </row>
    <row r="118" spans="1:6" x14ac:dyDescent="0.35">
      <c r="A118" s="42" t="s">
        <v>609</v>
      </c>
      <c r="B118" s="42">
        <v>1619.96</v>
      </c>
      <c r="C118" s="43">
        <v>0.08</v>
      </c>
      <c r="D118" s="45">
        <v>45962</v>
      </c>
      <c r="E118" s="45">
        <v>45991.999305555553</v>
      </c>
      <c r="F118" s="42" t="s">
        <v>492</v>
      </c>
    </row>
    <row r="119" spans="1:6" x14ac:dyDescent="0.35">
      <c r="A119" s="42" t="s">
        <v>407</v>
      </c>
      <c r="B119" s="42">
        <v>1869.96</v>
      </c>
      <c r="C119" s="43">
        <v>0.08</v>
      </c>
      <c r="D119" s="45">
        <v>45962</v>
      </c>
      <c r="E119" s="45">
        <v>45991.999305555553</v>
      </c>
      <c r="F119" s="42" t="s">
        <v>492</v>
      </c>
    </row>
    <row r="120" spans="1:6" x14ac:dyDescent="0.35">
      <c r="A120" s="42" t="s">
        <v>610</v>
      </c>
      <c r="B120" s="42">
        <v>1739.96</v>
      </c>
      <c r="C120" s="43">
        <v>0.08</v>
      </c>
      <c r="D120" s="45">
        <v>45962</v>
      </c>
      <c r="E120" s="45">
        <v>45991.999305555553</v>
      </c>
      <c r="F120" s="42" t="s">
        <v>492</v>
      </c>
    </row>
    <row r="121" spans="1:6" x14ac:dyDescent="0.35">
      <c r="A121" s="42" t="s">
        <v>611</v>
      </c>
      <c r="B121" s="42">
        <v>1419.96</v>
      </c>
      <c r="C121" s="43">
        <v>0.08</v>
      </c>
      <c r="D121" s="45">
        <v>45962</v>
      </c>
      <c r="E121" s="45">
        <v>45991.999305555553</v>
      </c>
      <c r="F121" s="42" t="s">
        <v>492</v>
      </c>
    </row>
    <row r="122" spans="1:6" x14ac:dyDescent="0.35">
      <c r="A122" s="42" t="s">
        <v>270</v>
      </c>
      <c r="B122" s="42">
        <v>1179.96</v>
      </c>
      <c r="C122" s="43">
        <v>0.08</v>
      </c>
      <c r="D122" s="45">
        <v>45962</v>
      </c>
      <c r="E122" s="45">
        <v>45991.999305555553</v>
      </c>
      <c r="F122" s="42" t="s">
        <v>492</v>
      </c>
    </row>
    <row r="123" spans="1:6" x14ac:dyDescent="0.35">
      <c r="A123" s="42" t="s">
        <v>612</v>
      </c>
      <c r="B123" s="42">
        <v>919.96</v>
      </c>
      <c r="C123" s="43">
        <v>0.08</v>
      </c>
      <c r="D123" s="45">
        <v>45962</v>
      </c>
      <c r="E123" s="45">
        <v>45991.999305555553</v>
      </c>
      <c r="F123" s="42" t="s">
        <v>492</v>
      </c>
    </row>
    <row r="124" spans="1:6" x14ac:dyDescent="0.35">
      <c r="A124" s="42" t="s">
        <v>33</v>
      </c>
      <c r="B124" s="42">
        <v>899.96</v>
      </c>
      <c r="C124" s="43">
        <v>0.08</v>
      </c>
      <c r="D124" s="45">
        <v>45962</v>
      </c>
      <c r="E124" s="45">
        <v>45991.999305555553</v>
      </c>
      <c r="F124" s="42" t="s">
        <v>492</v>
      </c>
    </row>
    <row r="125" spans="1:6" x14ac:dyDescent="0.35">
      <c r="A125" s="42" t="s">
        <v>613</v>
      </c>
      <c r="B125" s="42">
        <v>659.96</v>
      </c>
      <c r="C125" s="43">
        <v>0.08</v>
      </c>
      <c r="D125" s="45">
        <v>45962</v>
      </c>
      <c r="E125" s="45">
        <v>45991.999305555553</v>
      </c>
      <c r="F125" s="42" t="s">
        <v>492</v>
      </c>
    </row>
    <row r="126" spans="1:6" x14ac:dyDescent="0.35">
      <c r="A126" s="42" t="s">
        <v>614</v>
      </c>
      <c r="B126" s="42">
        <v>479.96</v>
      </c>
      <c r="C126" s="43">
        <v>0.08</v>
      </c>
      <c r="D126" s="45">
        <v>45962</v>
      </c>
      <c r="E126" s="45">
        <v>45991.999305555553</v>
      </c>
      <c r="F126" s="42" t="s">
        <v>492</v>
      </c>
    </row>
    <row r="127" spans="1:6" x14ac:dyDescent="0.35">
      <c r="A127" s="42" t="s">
        <v>589</v>
      </c>
      <c r="B127" s="42">
        <v>619.96</v>
      </c>
      <c r="C127" s="43">
        <v>0.08</v>
      </c>
      <c r="D127" s="45">
        <v>45962</v>
      </c>
      <c r="E127" s="45">
        <v>45991.999305555553</v>
      </c>
      <c r="F127" s="42" t="s">
        <v>492</v>
      </c>
    </row>
    <row r="128" spans="1:6" x14ac:dyDescent="0.35">
      <c r="A128" s="42" t="s">
        <v>615</v>
      </c>
      <c r="B128" s="42">
        <v>519.96</v>
      </c>
      <c r="C128" s="43">
        <v>0.08</v>
      </c>
      <c r="D128" s="45">
        <v>45962</v>
      </c>
      <c r="E128" s="45">
        <v>45991.999305555553</v>
      </c>
      <c r="F128" s="42" t="s">
        <v>492</v>
      </c>
    </row>
    <row r="129" spans="1:6" x14ac:dyDescent="0.35">
      <c r="A129" s="42" t="s">
        <v>578</v>
      </c>
      <c r="B129" s="42">
        <v>429.96</v>
      </c>
      <c r="C129" s="43">
        <v>0.08</v>
      </c>
      <c r="D129" s="45">
        <v>45962</v>
      </c>
      <c r="E129" s="45">
        <v>45991.999305555553</v>
      </c>
      <c r="F129" s="42" t="s">
        <v>492</v>
      </c>
    </row>
    <row r="130" spans="1:6" x14ac:dyDescent="0.35">
      <c r="A130" s="42" t="s">
        <v>601</v>
      </c>
      <c r="B130" s="42">
        <v>489.96</v>
      </c>
      <c r="C130" s="43">
        <v>0.1</v>
      </c>
      <c r="D130" s="45">
        <v>45962</v>
      </c>
      <c r="E130" s="45">
        <v>45991.999305555553</v>
      </c>
      <c r="F130" s="42" t="s">
        <v>492</v>
      </c>
    </row>
    <row r="131" spans="1:6" x14ac:dyDescent="0.35">
      <c r="A131" s="42" t="s">
        <v>602</v>
      </c>
      <c r="B131" s="42">
        <v>539.96</v>
      </c>
      <c r="C131" s="43">
        <v>0.1</v>
      </c>
      <c r="D131" s="45">
        <v>45962</v>
      </c>
      <c r="E131" s="45">
        <v>45991.999305555553</v>
      </c>
      <c r="F131" s="42" t="s">
        <v>492</v>
      </c>
    </row>
    <row r="132" spans="1:6" x14ac:dyDescent="0.35">
      <c r="A132" s="42" t="s">
        <v>603</v>
      </c>
      <c r="B132" s="42">
        <v>869.96</v>
      </c>
      <c r="C132" s="43">
        <v>0.1</v>
      </c>
      <c r="D132" s="45">
        <v>45962</v>
      </c>
      <c r="E132" s="45">
        <v>45991.999305555553</v>
      </c>
      <c r="F132" s="42" t="s">
        <v>492</v>
      </c>
    </row>
    <row r="133" spans="1:6" x14ac:dyDescent="0.35">
      <c r="A133" s="42" t="s">
        <v>501</v>
      </c>
      <c r="B133" s="42">
        <v>919.96</v>
      </c>
      <c r="C133" s="43">
        <v>0.1</v>
      </c>
      <c r="D133" s="45">
        <v>45962</v>
      </c>
      <c r="E133" s="45">
        <v>45991.999305555553</v>
      </c>
      <c r="F133" s="42" t="s">
        <v>492</v>
      </c>
    </row>
    <row r="134" spans="1:6" x14ac:dyDescent="0.35">
      <c r="A134" s="42" t="s">
        <v>523</v>
      </c>
      <c r="B134" s="42">
        <v>839.96</v>
      </c>
      <c r="C134" s="43">
        <v>0.1</v>
      </c>
      <c r="D134" s="45">
        <v>45962</v>
      </c>
      <c r="E134" s="45">
        <v>45991.999305555553</v>
      </c>
      <c r="F134" s="42" t="s">
        <v>492</v>
      </c>
    </row>
    <row r="135" spans="1:6" x14ac:dyDescent="0.35">
      <c r="A135" s="42" t="s">
        <v>604</v>
      </c>
      <c r="B135" s="42">
        <v>869.96</v>
      </c>
      <c r="C135" s="43">
        <v>0.1</v>
      </c>
      <c r="D135" s="45">
        <v>45962</v>
      </c>
      <c r="E135" s="45">
        <v>45991.999305555553</v>
      </c>
      <c r="F135" s="42" t="s">
        <v>492</v>
      </c>
    </row>
    <row r="136" spans="1:6" x14ac:dyDescent="0.35">
      <c r="A136" s="42" t="s">
        <v>605</v>
      </c>
      <c r="B136" s="42">
        <v>639.96</v>
      </c>
      <c r="C136" s="43">
        <v>0.1</v>
      </c>
      <c r="D136" s="45">
        <v>45962</v>
      </c>
      <c r="E136" s="45">
        <v>45991.999305555553</v>
      </c>
      <c r="F136" s="42" t="s">
        <v>492</v>
      </c>
    </row>
    <row r="137" spans="1:6" x14ac:dyDescent="0.35">
      <c r="A137" s="42" t="s">
        <v>606</v>
      </c>
      <c r="B137" s="42">
        <v>1219.96</v>
      </c>
      <c r="C137" s="43">
        <v>0.1</v>
      </c>
      <c r="D137" s="45">
        <v>45962</v>
      </c>
      <c r="E137" s="45">
        <v>45991.999305555553</v>
      </c>
      <c r="F137" s="42" t="s">
        <v>492</v>
      </c>
    </row>
    <row r="138" spans="1:6" x14ac:dyDescent="0.35">
      <c r="A138" s="42" t="s">
        <v>59</v>
      </c>
      <c r="B138" s="42">
        <v>779.96</v>
      </c>
      <c r="C138" s="43">
        <v>0.1</v>
      </c>
      <c r="D138" s="45">
        <v>45962</v>
      </c>
      <c r="E138" s="45">
        <v>45991.999305555553</v>
      </c>
      <c r="F138" s="42" t="s">
        <v>492</v>
      </c>
    </row>
    <row r="139" spans="1:6" x14ac:dyDescent="0.35">
      <c r="A139" s="42" t="s">
        <v>58</v>
      </c>
      <c r="B139" s="42">
        <v>779.96</v>
      </c>
      <c r="C139" s="43">
        <v>0.1</v>
      </c>
      <c r="D139" s="45">
        <v>45962</v>
      </c>
      <c r="E139" s="45">
        <v>45991.999305555553</v>
      </c>
      <c r="F139" s="42" t="s">
        <v>492</v>
      </c>
    </row>
    <row r="140" spans="1:6" x14ac:dyDescent="0.35">
      <c r="A140" s="42" t="s">
        <v>122</v>
      </c>
      <c r="B140" s="42">
        <v>679.96</v>
      </c>
      <c r="C140" s="43">
        <v>0.1</v>
      </c>
      <c r="D140" s="45">
        <v>45962</v>
      </c>
      <c r="E140" s="45">
        <v>45991.999305555553</v>
      </c>
      <c r="F140" s="42" t="s">
        <v>492</v>
      </c>
    </row>
    <row r="141" spans="1:6" x14ac:dyDescent="0.35">
      <c r="A141" s="42" t="s">
        <v>27</v>
      </c>
      <c r="B141" s="42">
        <v>679.96</v>
      </c>
      <c r="C141" s="43">
        <v>0.1</v>
      </c>
      <c r="D141" s="45">
        <v>45962</v>
      </c>
      <c r="E141" s="45">
        <v>45991.999305555553</v>
      </c>
      <c r="F141" s="42" t="s">
        <v>492</v>
      </c>
    </row>
    <row r="142" spans="1:6" x14ac:dyDescent="0.35">
      <c r="A142" s="42" t="s">
        <v>14</v>
      </c>
      <c r="B142" s="42">
        <v>389.96</v>
      </c>
      <c r="C142" s="43">
        <v>0.1</v>
      </c>
      <c r="D142" s="45">
        <v>45962</v>
      </c>
      <c r="E142" s="45">
        <v>45991.999305555553</v>
      </c>
      <c r="F142" s="42" t="s">
        <v>492</v>
      </c>
    </row>
    <row r="143" spans="1:6" x14ac:dyDescent="0.35">
      <c r="A143" s="42" t="s">
        <v>12</v>
      </c>
      <c r="B143" s="42">
        <v>389.96</v>
      </c>
      <c r="C143" s="43">
        <v>0.1</v>
      </c>
      <c r="D143" s="45">
        <v>45962</v>
      </c>
      <c r="E143" s="45">
        <v>45991.999305555553</v>
      </c>
      <c r="F143" s="42" t="s">
        <v>492</v>
      </c>
    </row>
    <row r="144" spans="1:6" x14ac:dyDescent="0.35">
      <c r="A144" s="42" t="s">
        <v>399</v>
      </c>
      <c r="B144" s="42">
        <v>679.96</v>
      </c>
      <c r="C144" s="43">
        <v>0.1</v>
      </c>
      <c r="D144" s="45">
        <v>45962</v>
      </c>
      <c r="E144" s="45">
        <v>45991.999305555553</v>
      </c>
      <c r="F144" s="42" t="s">
        <v>492</v>
      </c>
    </row>
    <row r="145" spans="1:6" x14ac:dyDescent="0.35">
      <c r="A145" s="42" t="s">
        <v>79</v>
      </c>
      <c r="B145" s="42">
        <v>519.96</v>
      </c>
      <c r="C145" s="43">
        <v>0.1</v>
      </c>
      <c r="D145" s="45">
        <v>45962</v>
      </c>
      <c r="E145" s="45">
        <v>45991.999305555553</v>
      </c>
      <c r="F145" s="42" t="s">
        <v>492</v>
      </c>
    </row>
    <row r="146" spans="1:6" x14ac:dyDescent="0.35">
      <c r="A146" s="42" t="s">
        <v>265</v>
      </c>
      <c r="B146" s="42">
        <v>719.96</v>
      </c>
      <c r="C146" s="43">
        <v>0.1</v>
      </c>
      <c r="D146" s="45">
        <v>45962</v>
      </c>
      <c r="E146" s="45">
        <v>45991.999305555553</v>
      </c>
      <c r="F146" s="42" t="s">
        <v>492</v>
      </c>
    </row>
    <row r="147" spans="1:6" x14ac:dyDescent="0.35">
      <c r="A147" s="42" t="s">
        <v>29</v>
      </c>
      <c r="B147" s="42">
        <v>719.96</v>
      </c>
      <c r="C147" s="43">
        <v>0.1</v>
      </c>
      <c r="D147" s="45">
        <v>45962</v>
      </c>
      <c r="E147" s="45">
        <v>45991.999305555553</v>
      </c>
      <c r="F147" s="42" t="s">
        <v>492</v>
      </c>
    </row>
    <row r="148" spans="1:6" x14ac:dyDescent="0.35">
      <c r="A148" s="42" t="s">
        <v>55</v>
      </c>
      <c r="B148" s="42">
        <v>719.96</v>
      </c>
      <c r="C148" s="43">
        <v>0.1</v>
      </c>
      <c r="D148" s="45">
        <v>45962</v>
      </c>
      <c r="E148" s="45">
        <v>45991.999305555553</v>
      </c>
      <c r="F148" s="42" t="s">
        <v>492</v>
      </c>
    </row>
    <row r="149" spans="1:6" x14ac:dyDescent="0.35">
      <c r="A149" s="42" t="s">
        <v>89</v>
      </c>
      <c r="B149" s="42">
        <v>869.96</v>
      </c>
      <c r="C149" s="43">
        <v>0.1</v>
      </c>
      <c r="D149" s="45">
        <v>45962</v>
      </c>
      <c r="E149" s="45">
        <v>45991.999305555553</v>
      </c>
      <c r="F149" s="42" t="s">
        <v>492</v>
      </c>
    </row>
    <row r="150" spans="1:6" x14ac:dyDescent="0.35">
      <c r="A150" s="42" t="s">
        <v>21</v>
      </c>
      <c r="B150" s="42">
        <v>539.96</v>
      </c>
      <c r="C150" s="43">
        <v>0.1</v>
      </c>
      <c r="D150" s="45">
        <v>45962</v>
      </c>
      <c r="E150" s="45">
        <v>45991.999305555553</v>
      </c>
      <c r="F150" s="42" t="s">
        <v>492</v>
      </c>
    </row>
    <row r="151" spans="1:6" x14ac:dyDescent="0.35">
      <c r="A151" s="42" t="s">
        <v>16</v>
      </c>
      <c r="B151" s="42">
        <v>419.96</v>
      </c>
      <c r="C151" s="43">
        <v>0.1</v>
      </c>
      <c r="D151" s="45">
        <v>45962</v>
      </c>
      <c r="E151" s="45">
        <v>45991.999305555553</v>
      </c>
      <c r="F151" s="42" t="s">
        <v>492</v>
      </c>
    </row>
    <row r="152" spans="1:6" x14ac:dyDescent="0.35">
      <c r="A152" s="42" t="s">
        <v>8</v>
      </c>
      <c r="B152" s="42">
        <v>359.96</v>
      </c>
      <c r="C152" s="43">
        <v>0.1</v>
      </c>
      <c r="D152" s="45">
        <v>45962</v>
      </c>
      <c r="E152" s="45">
        <v>45991.999305555553</v>
      </c>
      <c r="F152" s="42" t="s">
        <v>492</v>
      </c>
    </row>
    <row r="153" spans="1:6" x14ac:dyDescent="0.35">
      <c r="A153" s="42" t="s">
        <v>15</v>
      </c>
      <c r="B153" s="42">
        <v>419.96</v>
      </c>
      <c r="C153" s="43">
        <v>0.1</v>
      </c>
      <c r="D153" s="45">
        <v>45962</v>
      </c>
      <c r="E153" s="45">
        <v>45991.999305555553</v>
      </c>
      <c r="F153" s="42" t="s">
        <v>492</v>
      </c>
    </row>
    <row r="154" spans="1:6" x14ac:dyDescent="0.35">
      <c r="A154" s="42" t="s">
        <v>9</v>
      </c>
      <c r="B154" s="42">
        <v>359.96</v>
      </c>
      <c r="C154" s="43">
        <v>0.1</v>
      </c>
      <c r="D154" s="45">
        <v>45962</v>
      </c>
      <c r="E154" s="45">
        <v>45991.999305555553</v>
      </c>
      <c r="F154" s="42" t="s">
        <v>492</v>
      </c>
    </row>
    <row r="155" spans="1:6" x14ac:dyDescent="0.35">
      <c r="A155" s="42" t="s">
        <v>31</v>
      </c>
      <c r="B155" s="42">
        <v>779.96</v>
      </c>
      <c r="C155" s="43">
        <v>0.1</v>
      </c>
      <c r="D155" s="45">
        <v>45962</v>
      </c>
      <c r="E155" s="45">
        <v>45991.999305555553</v>
      </c>
      <c r="F155" s="42" t="s">
        <v>492</v>
      </c>
    </row>
    <row r="156" spans="1:6" x14ac:dyDescent="0.35">
      <c r="A156" s="42" t="s">
        <v>40</v>
      </c>
      <c r="B156" s="42">
        <v>779.96</v>
      </c>
      <c r="C156" s="43">
        <v>0.1</v>
      </c>
      <c r="D156" s="45">
        <v>45962</v>
      </c>
      <c r="E156" s="45">
        <v>45991.999305555553</v>
      </c>
      <c r="F156" s="42" t="s">
        <v>492</v>
      </c>
    </row>
    <row r="157" spans="1:6" x14ac:dyDescent="0.35">
      <c r="A157" s="42" t="s">
        <v>316</v>
      </c>
      <c r="B157" s="42">
        <v>1739.96</v>
      </c>
      <c r="C157" s="43">
        <v>0.1</v>
      </c>
      <c r="D157" s="45">
        <v>45962</v>
      </c>
      <c r="E157" s="45">
        <v>45991.999305555553</v>
      </c>
      <c r="F157" s="42" t="s">
        <v>492</v>
      </c>
    </row>
    <row r="158" spans="1:6" x14ac:dyDescent="0.35">
      <c r="A158" s="42" t="s">
        <v>57</v>
      </c>
      <c r="B158" s="42">
        <v>779.96</v>
      </c>
      <c r="C158" s="43">
        <v>0.1</v>
      </c>
      <c r="D158" s="45">
        <v>45962</v>
      </c>
      <c r="E158" s="45">
        <v>45991.999305555553</v>
      </c>
      <c r="F158" s="42" t="s">
        <v>492</v>
      </c>
    </row>
    <row r="159" spans="1:6" x14ac:dyDescent="0.35">
      <c r="A159" s="42" t="s">
        <v>65</v>
      </c>
      <c r="B159" s="42">
        <v>1449.96</v>
      </c>
      <c r="C159" s="43">
        <v>0.1</v>
      </c>
      <c r="D159" s="45">
        <v>45962</v>
      </c>
      <c r="E159" s="45">
        <v>45991.999305555553</v>
      </c>
      <c r="F159" s="42" t="s">
        <v>492</v>
      </c>
    </row>
    <row r="160" spans="1:6" x14ac:dyDescent="0.35">
      <c r="A160" s="42" t="s">
        <v>400</v>
      </c>
      <c r="B160" s="42">
        <v>1189.96</v>
      </c>
      <c r="C160" s="43">
        <v>0.1</v>
      </c>
      <c r="D160" s="45">
        <v>45962</v>
      </c>
      <c r="E160" s="45">
        <v>45991.999305555553</v>
      </c>
      <c r="F160" s="42" t="s">
        <v>492</v>
      </c>
    </row>
    <row r="161" spans="1:6" x14ac:dyDescent="0.35">
      <c r="A161" s="42" t="s">
        <v>267</v>
      </c>
      <c r="B161" s="42">
        <v>1149.96</v>
      </c>
      <c r="C161" s="43">
        <v>0.1</v>
      </c>
      <c r="D161" s="45">
        <v>45962</v>
      </c>
      <c r="E161" s="45">
        <v>45991.999305555553</v>
      </c>
      <c r="F161" s="42" t="s">
        <v>492</v>
      </c>
    </row>
    <row r="162" spans="1:6" x14ac:dyDescent="0.35">
      <c r="A162" s="42" t="s">
        <v>54</v>
      </c>
      <c r="B162" s="42">
        <v>519.96</v>
      </c>
      <c r="C162" s="43">
        <v>0.1</v>
      </c>
      <c r="D162" s="45">
        <v>45962</v>
      </c>
      <c r="E162" s="45">
        <v>45991.999305555553</v>
      </c>
      <c r="F162" s="42" t="s">
        <v>492</v>
      </c>
    </row>
    <row r="163" spans="1:6" x14ac:dyDescent="0.35">
      <c r="A163" s="42" t="s">
        <v>281</v>
      </c>
      <c r="B163" s="42">
        <v>1619.96</v>
      </c>
      <c r="C163" s="43">
        <v>0.1</v>
      </c>
      <c r="D163" s="45">
        <v>45962</v>
      </c>
      <c r="E163" s="45">
        <v>45991.999305555553</v>
      </c>
      <c r="F163" s="42" t="s">
        <v>492</v>
      </c>
    </row>
    <row r="164" spans="1:6" x14ac:dyDescent="0.35">
      <c r="A164" s="42" t="s">
        <v>88</v>
      </c>
      <c r="B164" s="42">
        <v>1149.96</v>
      </c>
      <c r="C164" s="43">
        <v>0.1</v>
      </c>
      <c r="D164" s="45">
        <v>45962</v>
      </c>
      <c r="E164" s="45">
        <v>45991.999305555553</v>
      </c>
      <c r="F164" s="42" t="s">
        <v>492</v>
      </c>
    </row>
    <row r="165" spans="1:6" x14ac:dyDescent="0.35">
      <c r="A165" s="42" t="s">
        <v>121</v>
      </c>
      <c r="B165" s="42">
        <v>1349.96</v>
      </c>
      <c r="C165" s="43">
        <v>0.1</v>
      </c>
      <c r="D165" s="45">
        <v>45962</v>
      </c>
      <c r="E165" s="45">
        <v>45991.999305555553</v>
      </c>
      <c r="F165" s="42" t="s">
        <v>492</v>
      </c>
    </row>
    <row r="166" spans="1:6" x14ac:dyDescent="0.35">
      <c r="A166" s="42" t="s">
        <v>282</v>
      </c>
      <c r="B166" s="42">
        <v>569.96</v>
      </c>
      <c r="C166" s="43">
        <v>0.1</v>
      </c>
      <c r="D166" s="45">
        <v>45962</v>
      </c>
      <c r="E166" s="45">
        <v>45991.999305555553</v>
      </c>
      <c r="F166" s="42" t="s">
        <v>492</v>
      </c>
    </row>
    <row r="167" spans="1:6" x14ac:dyDescent="0.35">
      <c r="A167" s="42" t="s">
        <v>71</v>
      </c>
      <c r="B167" s="42">
        <v>539.96</v>
      </c>
      <c r="C167" s="43">
        <v>0.1</v>
      </c>
      <c r="D167" s="45">
        <v>45962</v>
      </c>
      <c r="E167" s="45">
        <v>45991.999305555553</v>
      </c>
      <c r="F167" s="42" t="s">
        <v>492</v>
      </c>
    </row>
    <row r="168" spans="1:6" x14ac:dyDescent="0.35">
      <c r="A168" s="42" t="s">
        <v>25</v>
      </c>
      <c r="B168" s="42">
        <v>589.96</v>
      </c>
      <c r="C168" s="43">
        <v>0.1</v>
      </c>
      <c r="D168" s="45">
        <v>45962</v>
      </c>
      <c r="E168" s="45">
        <v>45991.999305555553</v>
      </c>
      <c r="F168" s="42" t="s">
        <v>492</v>
      </c>
    </row>
    <row r="169" spans="1:6" x14ac:dyDescent="0.35">
      <c r="A169" s="42" t="s">
        <v>23</v>
      </c>
      <c r="B169" s="42">
        <v>439.96</v>
      </c>
      <c r="C169" s="43">
        <v>0.1</v>
      </c>
      <c r="D169" s="45">
        <v>45962</v>
      </c>
      <c r="E169" s="45">
        <v>45991.999305555553</v>
      </c>
      <c r="F169" s="42" t="s">
        <v>492</v>
      </c>
    </row>
    <row r="170" spans="1:6" x14ac:dyDescent="0.35">
      <c r="A170" s="42" t="s">
        <v>75</v>
      </c>
      <c r="B170" s="42">
        <v>439.96</v>
      </c>
      <c r="C170" s="43">
        <v>0.1</v>
      </c>
      <c r="D170" s="45">
        <v>45962</v>
      </c>
      <c r="E170" s="45">
        <v>45991.999305555553</v>
      </c>
      <c r="F170" s="42" t="s">
        <v>492</v>
      </c>
    </row>
    <row r="171" spans="1:6" x14ac:dyDescent="0.35">
      <c r="A171" s="42" t="s">
        <v>283</v>
      </c>
      <c r="B171" s="42">
        <v>779.96</v>
      </c>
      <c r="C171" s="43">
        <v>0.1</v>
      </c>
      <c r="D171" s="45">
        <v>45962</v>
      </c>
      <c r="E171" s="45">
        <v>45991.999305555553</v>
      </c>
      <c r="F171" s="42" t="s">
        <v>492</v>
      </c>
    </row>
    <row r="172" spans="1:6" x14ac:dyDescent="0.35">
      <c r="A172" s="42" t="s">
        <v>63</v>
      </c>
      <c r="B172" s="42">
        <v>1449.96</v>
      </c>
      <c r="C172" s="43">
        <v>0.1</v>
      </c>
      <c r="D172" s="45">
        <v>45962</v>
      </c>
      <c r="E172" s="45">
        <v>45991.999305555553</v>
      </c>
      <c r="F172" s="42" t="s">
        <v>492</v>
      </c>
    </row>
    <row r="173" spans="1:6" x14ac:dyDescent="0.35">
      <c r="A173" s="42" t="s">
        <v>42</v>
      </c>
      <c r="B173" s="42">
        <v>869.96</v>
      </c>
      <c r="C173" s="43">
        <v>0.1</v>
      </c>
      <c r="D173" s="45">
        <v>45962</v>
      </c>
      <c r="E173" s="45">
        <v>45991.999305555553</v>
      </c>
      <c r="F173" s="42" t="s">
        <v>492</v>
      </c>
    </row>
    <row r="174" spans="1:6" x14ac:dyDescent="0.35">
      <c r="A174" s="42" t="s">
        <v>401</v>
      </c>
      <c r="B174" s="42">
        <v>1389.96</v>
      </c>
      <c r="C174" s="43">
        <v>0.1</v>
      </c>
      <c r="D174" s="45">
        <v>45962</v>
      </c>
      <c r="E174" s="45">
        <v>45991.999305555553</v>
      </c>
      <c r="F174" s="42" t="s">
        <v>492</v>
      </c>
    </row>
    <row r="175" spans="1:6" x14ac:dyDescent="0.35">
      <c r="A175" s="42" t="s">
        <v>35</v>
      </c>
      <c r="B175" s="42">
        <v>1459.96</v>
      </c>
      <c r="C175" s="43">
        <v>0.1</v>
      </c>
      <c r="D175" s="45">
        <v>45962</v>
      </c>
      <c r="E175" s="45">
        <v>45991.999305555553</v>
      </c>
      <c r="F175" s="42" t="s">
        <v>492</v>
      </c>
    </row>
    <row r="176" spans="1:6" x14ac:dyDescent="0.35">
      <c r="A176" s="42" t="s">
        <v>61</v>
      </c>
      <c r="B176" s="42">
        <v>1219.96</v>
      </c>
      <c r="C176" s="43">
        <v>0.1</v>
      </c>
      <c r="D176" s="45">
        <v>45962</v>
      </c>
      <c r="E176" s="45">
        <v>45991.999305555553</v>
      </c>
      <c r="F176" s="42" t="s">
        <v>492</v>
      </c>
    </row>
    <row r="177" spans="1:6" x14ac:dyDescent="0.35">
      <c r="A177" s="42" t="s">
        <v>304</v>
      </c>
      <c r="B177" s="42">
        <v>1219.96</v>
      </c>
      <c r="C177" s="43">
        <v>0.1</v>
      </c>
      <c r="D177" s="45">
        <v>45962</v>
      </c>
      <c r="E177" s="45">
        <v>45991.999305555553</v>
      </c>
      <c r="F177" s="42" t="s">
        <v>492</v>
      </c>
    </row>
    <row r="178" spans="1:6" x14ac:dyDescent="0.35">
      <c r="A178" s="42" t="s">
        <v>266</v>
      </c>
      <c r="B178" s="42">
        <v>1449.96</v>
      </c>
      <c r="C178" s="43">
        <v>0.1</v>
      </c>
      <c r="D178" s="45">
        <v>45962</v>
      </c>
      <c r="E178" s="45">
        <v>45991.999305555553</v>
      </c>
      <c r="F178" s="42" t="s">
        <v>492</v>
      </c>
    </row>
    <row r="179" spans="1:6" x14ac:dyDescent="0.35">
      <c r="A179" s="42" t="s">
        <v>607</v>
      </c>
      <c r="B179" s="42">
        <v>2599.96</v>
      </c>
      <c r="C179" s="43">
        <v>0.1</v>
      </c>
      <c r="D179" s="45">
        <v>45962</v>
      </c>
      <c r="E179" s="45">
        <v>45991.999305555553</v>
      </c>
      <c r="F179" s="42" t="s">
        <v>492</v>
      </c>
    </row>
    <row r="180" spans="1:6" x14ac:dyDescent="0.35">
      <c r="A180" s="42" t="s">
        <v>37</v>
      </c>
      <c r="B180" s="42">
        <v>1429.96</v>
      </c>
      <c r="C180" s="43">
        <v>0.1</v>
      </c>
      <c r="D180" s="45">
        <v>45962</v>
      </c>
      <c r="E180" s="45">
        <v>45991.999305555553</v>
      </c>
      <c r="F180" s="42" t="s">
        <v>492</v>
      </c>
    </row>
    <row r="181" spans="1:6" x14ac:dyDescent="0.35">
      <c r="A181" s="42" t="s">
        <v>608</v>
      </c>
      <c r="B181" s="42">
        <v>1219.96</v>
      </c>
      <c r="C181" s="43">
        <v>0.1</v>
      </c>
      <c r="D181" s="45">
        <v>45962</v>
      </c>
      <c r="E181" s="45">
        <v>45991.999305555553</v>
      </c>
      <c r="F181" s="42" t="s">
        <v>492</v>
      </c>
    </row>
    <row r="182" spans="1:6" x14ac:dyDescent="0.35">
      <c r="A182" s="42" t="s">
        <v>609</v>
      </c>
      <c r="B182" s="42">
        <v>1659.96</v>
      </c>
      <c r="C182" s="43">
        <v>0.1</v>
      </c>
      <c r="D182" s="45">
        <v>45962</v>
      </c>
      <c r="E182" s="45">
        <v>45991.999305555553</v>
      </c>
      <c r="F182" s="42" t="s">
        <v>492</v>
      </c>
    </row>
    <row r="183" spans="1:6" x14ac:dyDescent="0.35">
      <c r="A183" s="42" t="s">
        <v>407</v>
      </c>
      <c r="B183" s="42">
        <v>1919.96</v>
      </c>
      <c r="C183" s="43">
        <v>0.1</v>
      </c>
      <c r="D183" s="45">
        <v>45962</v>
      </c>
      <c r="E183" s="45">
        <v>45991.999305555553</v>
      </c>
      <c r="F183" s="42" t="s">
        <v>492</v>
      </c>
    </row>
    <row r="184" spans="1:6" x14ac:dyDescent="0.35">
      <c r="A184" s="42" t="s">
        <v>610</v>
      </c>
      <c r="B184" s="42">
        <v>1779.96</v>
      </c>
      <c r="C184" s="43">
        <v>0.1</v>
      </c>
      <c r="D184" s="45">
        <v>45962</v>
      </c>
      <c r="E184" s="45">
        <v>45991.999305555553</v>
      </c>
      <c r="F184" s="42" t="s">
        <v>492</v>
      </c>
    </row>
    <row r="185" spans="1:6" x14ac:dyDescent="0.35">
      <c r="A185" s="42" t="s">
        <v>611</v>
      </c>
      <c r="B185" s="42">
        <v>1449.96</v>
      </c>
      <c r="C185" s="43">
        <v>0.1</v>
      </c>
      <c r="D185" s="45">
        <v>45962</v>
      </c>
      <c r="E185" s="45">
        <v>45991.999305555553</v>
      </c>
      <c r="F185" s="42" t="s">
        <v>492</v>
      </c>
    </row>
    <row r="186" spans="1:6" x14ac:dyDescent="0.35">
      <c r="A186" s="42" t="s">
        <v>270</v>
      </c>
      <c r="B186" s="42">
        <v>1219.96</v>
      </c>
      <c r="C186" s="43">
        <v>0.1</v>
      </c>
      <c r="D186" s="45">
        <v>45962</v>
      </c>
      <c r="E186" s="45">
        <v>45991.999305555553</v>
      </c>
      <c r="F186" s="42" t="s">
        <v>492</v>
      </c>
    </row>
    <row r="187" spans="1:6" x14ac:dyDescent="0.35">
      <c r="A187" s="42" t="s">
        <v>612</v>
      </c>
      <c r="B187" s="42">
        <v>939.96</v>
      </c>
      <c r="C187" s="43">
        <v>0.1</v>
      </c>
      <c r="D187" s="45">
        <v>45962</v>
      </c>
      <c r="E187" s="45">
        <v>45991.999305555553</v>
      </c>
      <c r="F187" s="42" t="s">
        <v>492</v>
      </c>
    </row>
    <row r="188" spans="1:6" x14ac:dyDescent="0.35">
      <c r="A188" s="42" t="s">
        <v>33</v>
      </c>
      <c r="B188" s="42">
        <v>919.96</v>
      </c>
      <c r="C188" s="43">
        <v>0.1</v>
      </c>
      <c r="D188" s="45">
        <v>45962</v>
      </c>
      <c r="E188" s="45">
        <v>45991.999305555553</v>
      </c>
      <c r="F188" s="42" t="s">
        <v>492</v>
      </c>
    </row>
    <row r="189" spans="1:6" x14ac:dyDescent="0.35">
      <c r="A189" s="42" t="s">
        <v>613</v>
      </c>
      <c r="B189" s="42">
        <v>679.96</v>
      </c>
      <c r="C189" s="43">
        <v>0.1</v>
      </c>
      <c r="D189" s="45">
        <v>45962</v>
      </c>
      <c r="E189" s="45">
        <v>45991.999305555553</v>
      </c>
      <c r="F189" s="42" t="s">
        <v>492</v>
      </c>
    </row>
    <row r="190" spans="1:6" x14ac:dyDescent="0.35">
      <c r="A190" s="42" t="s">
        <v>614</v>
      </c>
      <c r="B190" s="42">
        <v>489.96</v>
      </c>
      <c r="C190" s="43">
        <v>0.1</v>
      </c>
      <c r="D190" s="45">
        <v>45962</v>
      </c>
      <c r="E190" s="45">
        <v>45991.999305555553</v>
      </c>
      <c r="F190" s="42" t="s">
        <v>492</v>
      </c>
    </row>
    <row r="191" spans="1:6" x14ac:dyDescent="0.35">
      <c r="A191" s="42" t="s">
        <v>589</v>
      </c>
      <c r="B191" s="42">
        <v>639.96</v>
      </c>
      <c r="C191" s="43">
        <v>0.1</v>
      </c>
      <c r="D191" s="45">
        <v>45962</v>
      </c>
      <c r="E191" s="45">
        <v>45991.999305555553</v>
      </c>
      <c r="F191" s="42" t="s">
        <v>492</v>
      </c>
    </row>
    <row r="192" spans="1:6" x14ac:dyDescent="0.35">
      <c r="A192" s="42" t="s">
        <v>615</v>
      </c>
      <c r="B192" s="42">
        <v>539.96</v>
      </c>
      <c r="C192" s="43">
        <v>0.1</v>
      </c>
      <c r="D192" s="45">
        <v>45962</v>
      </c>
      <c r="E192" s="45">
        <v>45991.999305555553</v>
      </c>
      <c r="F192" s="42" t="s">
        <v>492</v>
      </c>
    </row>
    <row r="193" spans="1:6" x14ac:dyDescent="0.35">
      <c r="A193" s="42" t="s">
        <v>578</v>
      </c>
      <c r="B193" s="42">
        <v>439.96</v>
      </c>
      <c r="C193" s="43">
        <v>0.1</v>
      </c>
      <c r="D193" s="45">
        <v>45962</v>
      </c>
      <c r="E193" s="45">
        <v>45991.999305555553</v>
      </c>
      <c r="F193" s="42" t="s">
        <v>492</v>
      </c>
    </row>
    <row r="194" spans="1:6" x14ac:dyDescent="0.35">
      <c r="A194" s="42" t="s">
        <v>601</v>
      </c>
      <c r="B194" s="42">
        <v>519.96</v>
      </c>
      <c r="C194" s="43">
        <v>0.13</v>
      </c>
      <c r="D194" s="45">
        <v>45962</v>
      </c>
      <c r="E194" s="45">
        <v>45991.999305555553</v>
      </c>
      <c r="F194" s="42" t="s">
        <v>492</v>
      </c>
    </row>
    <row r="195" spans="1:6" x14ac:dyDescent="0.35">
      <c r="A195" s="42" t="s">
        <v>602</v>
      </c>
      <c r="B195" s="42">
        <v>559.96</v>
      </c>
      <c r="C195" s="43">
        <v>0.13</v>
      </c>
      <c r="D195" s="45">
        <v>45962</v>
      </c>
      <c r="E195" s="45">
        <v>45991.999305555553</v>
      </c>
      <c r="F195" s="42" t="s">
        <v>492</v>
      </c>
    </row>
    <row r="196" spans="1:6" x14ac:dyDescent="0.35">
      <c r="A196" s="42" t="s">
        <v>603</v>
      </c>
      <c r="B196" s="42">
        <v>899.96</v>
      </c>
      <c r="C196" s="43">
        <v>0.13</v>
      </c>
      <c r="D196" s="45">
        <v>45962</v>
      </c>
      <c r="E196" s="45">
        <v>45991.999305555553</v>
      </c>
      <c r="F196" s="42" t="s">
        <v>492</v>
      </c>
    </row>
    <row r="197" spans="1:6" x14ac:dyDescent="0.35">
      <c r="A197" s="42" t="s">
        <v>501</v>
      </c>
      <c r="B197" s="42">
        <v>949.96</v>
      </c>
      <c r="C197" s="43">
        <v>0.13</v>
      </c>
      <c r="D197" s="45">
        <v>45962</v>
      </c>
      <c r="E197" s="45">
        <v>45991.999305555553</v>
      </c>
      <c r="F197" s="42" t="s">
        <v>492</v>
      </c>
    </row>
    <row r="198" spans="1:6" x14ac:dyDescent="0.35">
      <c r="A198" s="42" t="s">
        <v>523</v>
      </c>
      <c r="B198" s="42">
        <v>869.96</v>
      </c>
      <c r="C198" s="43">
        <v>0.13</v>
      </c>
      <c r="D198" s="45">
        <v>45962</v>
      </c>
      <c r="E198" s="45">
        <v>45991.999305555553</v>
      </c>
      <c r="F198" s="42" t="s">
        <v>492</v>
      </c>
    </row>
    <row r="199" spans="1:6" x14ac:dyDescent="0.35">
      <c r="A199" s="42" t="s">
        <v>604</v>
      </c>
      <c r="B199" s="42">
        <v>899.96</v>
      </c>
      <c r="C199" s="43">
        <v>0.13</v>
      </c>
      <c r="D199" s="45">
        <v>45962</v>
      </c>
      <c r="E199" s="45">
        <v>45991.999305555553</v>
      </c>
      <c r="F199" s="42" t="s">
        <v>492</v>
      </c>
    </row>
    <row r="200" spans="1:6" x14ac:dyDescent="0.35">
      <c r="A200" s="42" t="s">
        <v>605</v>
      </c>
      <c r="B200" s="42">
        <v>659.96</v>
      </c>
      <c r="C200" s="43">
        <v>0.13</v>
      </c>
      <c r="D200" s="45">
        <v>45962</v>
      </c>
      <c r="E200" s="45">
        <v>45991.999305555553</v>
      </c>
      <c r="F200" s="42" t="s">
        <v>492</v>
      </c>
    </row>
    <row r="201" spans="1:6" x14ac:dyDescent="0.35">
      <c r="A201" s="42" t="s">
        <v>606</v>
      </c>
      <c r="B201" s="42">
        <v>1259.96</v>
      </c>
      <c r="C201" s="43">
        <v>0.13</v>
      </c>
      <c r="D201" s="45">
        <v>45962</v>
      </c>
      <c r="E201" s="45">
        <v>45991.999305555553</v>
      </c>
      <c r="F201" s="42" t="s">
        <v>492</v>
      </c>
    </row>
    <row r="202" spans="1:6" x14ac:dyDescent="0.35">
      <c r="A202" s="42" t="s">
        <v>59</v>
      </c>
      <c r="B202" s="42">
        <v>819.96</v>
      </c>
      <c r="C202" s="43">
        <v>0.13</v>
      </c>
      <c r="D202" s="45">
        <v>45962</v>
      </c>
      <c r="E202" s="45">
        <v>45991.999305555553</v>
      </c>
      <c r="F202" s="42" t="s">
        <v>492</v>
      </c>
    </row>
    <row r="203" spans="1:6" x14ac:dyDescent="0.35">
      <c r="A203" s="42" t="s">
        <v>58</v>
      </c>
      <c r="B203" s="42">
        <v>819.96</v>
      </c>
      <c r="C203" s="43">
        <v>0.13</v>
      </c>
      <c r="D203" s="45">
        <v>45962</v>
      </c>
      <c r="E203" s="45">
        <v>45991.999305555553</v>
      </c>
      <c r="F203" s="42" t="s">
        <v>492</v>
      </c>
    </row>
    <row r="204" spans="1:6" x14ac:dyDescent="0.35">
      <c r="A204" s="42" t="s">
        <v>122</v>
      </c>
      <c r="B204" s="42">
        <v>719.96</v>
      </c>
      <c r="C204" s="43">
        <v>0.13</v>
      </c>
      <c r="D204" s="45">
        <v>45962</v>
      </c>
      <c r="E204" s="45">
        <v>45991.999305555553</v>
      </c>
      <c r="F204" s="42" t="s">
        <v>492</v>
      </c>
    </row>
    <row r="205" spans="1:6" x14ac:dyDescent="0.35">
      <c r="A205" s="42" t="s">
        <v>27</v>
      </c>
      <c r="B205" s="42">
        <v>719.96</v>
      </c>
      <c r="C205" s="43">
        <v>0.13</v>
      </c>
      <c r="D205" s="45">
        <v>45962</v>
      </c>
      <c r="E205" s="45">
        <v>45991.999305555553</v>
      </c>
      <c r="F205" s="42" t="s">
        <v>492</v>
      </c>
    </row>
    <row r="206" spans="1:6" x14ac:dyDescent="0.35">
      <c r="A206" s="42" t="s">
        <v>14</v>
      </c>
      <c r="B206" s="42">
        <v>419.96</v>
      </c>
      <c r="C206" s="43">
        <v>0.13</v>
      </c>
      <c r="D206" s="45">
        <v>45962</v>
      </c>
      <c r="E206" s="45">
        <v>45991.999305555553</v>
      </c>
      <c r="F206" s="42" t="s">
        <v>492</v>
      </c>
    </row>
    <row r="207" spans="1:6" x14ac:dyDescent="0.35">
      <c r="A207" s="42" t="s">
        <v>12</v>
      </c>
      <c r="B207" s="42">
        <v>419.96</v>
      </c>
      <c r="C207" s="43">
        <v>0.13</v>
      </c>
      <c r="D207" s="45">
        <v>45962</v>
      </c>
      <c r="E207" s="45">
        <v>45991.999305555553</v>
      </c>
      <c r="F207" s="42" t="s">
        <v>492</v>
      </c>
    </row>
    <row r="208" spans="1:6" x14ac:dyDescent="0.35">
      <c r="A208" s="42" t="s">
        <v>399</v>
      </c>
      <c r="B208" s="42">
        <v>719.96</v>
      </c>
      <c r="C208" s="43">
        <v>0.13</v>
      </c>
      <c r="D208" s="45">
        <v>45962</v>
      </c>
      <c r="E208" s="45">
        <v>45991.999305555553</v>
      </c>
      <c r="F208" s="42" t="s">
        <v>492</v>
      </c>
    </row>
    <row r="209" spans="1:6" x14ac:dyDescent="0.35">
      <c r="A209" s="42" t="s">
        <v>79</v>
      </c>
      <c r="B209" s="42">
        <v>539.96</v>
      </c>
      <c r="C209" s="43">
        <v>0.13</v>
      </c>
      <c r="D209" s="45">
        <v>45962</v>
      </c>
      <c r="E209" s="45">
        <v>45991.999305555553</v>
      </c>
      <c r="F209" s="42" t="s">
        <v>492</v>
      </c>
    </row>
    <row r="210" spans="1:6" x14ac:dyDescent="0.35">
      <c r="A210" s="42" t="s">
        <v>265</v>
      </c>
      <c r="B210" s="42">
        <v>749.96</v>
      </c>
      <c r="C210" s="43">
        <v>0.13</v>
      </c>
      <c r="D210" s="45">
        <v>45962</v>
      </c>
      <c r="E210" s="45">
        <v>45991.999305555553</v>
      </c>
      <c r="F210" s="42" t="s">
        <v>492</v>
      </c>
    </row>
    <row r="211" spans="1:6" x14ac:dyDescent="0.35">
      <c r="A211" s="42" t="s">
        <v>29</v>
      </c>
      <c r="B211" s="42">
        <v>749.96</v>
      </c>
      <c r="C211" s="43">
        <v>0.13</v>
      </c>
      <c r="D211" s="45">
        <v>45962</v>
      </c>
      <c r="E211" s="45">
        <v>45991.999305555553</v>
      </c>
      <c r="F211" s="42" t="s">
        <v>492</v>
      </c>
    </row>
    <row r="212" spans="1:6" x14ac:dyDescent="0.35">
      <c r="A212" s="42" t="s">
        <v>55</v>
      </c>
      <c r="B212" s="42">
        <v>749.96</v>
      </c>
      <c r="C212" s="43">
        <v>0.13</v>
      </c>
      <c r="D212" s="45">
        <v>45962</v>
      </c>
      <c r="E212" s="45">
        <v>45991.999305555553</v>
      </c>
      <c r="F212" s="42" t="s">
        <v>492</v>
      </c>
    </row>
    <row r="213" spans="1:6" x14ac:dyDescent="0.35">
      <c r="A213" s="42" t="s">
        <v>89</v>
      </c>
      <c r="B213" s="42">
        <v>899.96</v>
      </c>
      <c r="C213" s="43">
        <v>0.13</v>
      </c>
      <c r="D213" s="45">
        <v>45962</v>
      </c>
      <c r="E213" s="45">
        <v>45991.999305555553</v>
      </c>
      <c r="F213" s="42" t="s">
        <v>492</v>
      </c>
    </row>
    <row r="214" spans="1:6" x14ac:dyDescent="0.35">
      <c r="A214" s="42" t="s">
        <v>21</v>
      </c>
      <c r="B214" s="42">
        <v>559.96</v>
      </c>
      <c r="C214" s="43">
        <v>0.13</v>
      </c>
      <c r="D214" s="45">
        <v>45962</v>
      </c>
      <c r="E214" s="45">
        <v>45991.999305555553</v>
      </c>
      <c r="F214" s="42" t="s">
        <v>492</v>
      </c>
    </row>
    <row r="215" spans="1:6" x14ac:dyDescent="0.35">
      <c r="A215" s="42" t="s">
        <v>16</v>
      </c>
      <c r="B215" s="42">
        <v>439.96</v>
      </c>
      <c r="C215" s="43">
        <v>0.13</v>
      </c>
      <c r="D215" s="45">
        <v>45962</v>
      </c>
      <c r="E215" s="45">
        <v>45991.999305555553</v>
      </c>
      <c r="F215" s="42" t="s">
        <v>492</v>
      </c>
    </row>
    <row r="216" spans="1:6" x14ac:dyDescent="0.35">
      <c r="A216" s="42" t="s">
        <v>8</v>
      </c>
      <c r="B216" s="42">
        <v>379.96</v>
      </c>
      <c r="C216" s="43">
        <v>0.13</v>
      </c>
      <c r="D216" s="45">
        <v>45962</v>
      </c>
      <c r="E216" s="45">
        <v>45991.999305555553</v>
      </c>
      <c r="F216" s="42" t="s">
        <v>492</v>
      </c>
    </row>
    <row r="217" spans="1:6" x14ac:dyDescent="0.35">
      <c r="A217" s="42" t="s">
        <v>15</v>
      </c>
      <c r="B217" s="42">
        <v>439.96</v>
      </c>
      <c r="C217" s="43">
        <v>0.13</v>
      </c>
      <c r="D217" s="45">
        <v>45962</v>
      </c>
      <c r="E217" s="45">
        <v>45991.999305555553</v>
      </c>
      <c r="F217" s="42" t="s">
        <v>492</v>
      </c>
    </row>
    <row r="218" spans="1:6" x14ac:dyDescent="0.35">
      <c r="A218" s="42" t="s">
        <v>9</v>
      </c>
      <c r="B218" s="42">
        <v>379.96</v>
      </c>
      <c r="C218" s="43">
        <v>0.13</v>
      </c>
      <c r="D218" s="45">
        <v>45962</v>
      </c>
      <c r="E218" s="45">
        <v>45991.999305555553</v>
      </c>
      <c r="F218" s="42" t="s">
        <v>492</v>
      </c>
    </row>
    <row r="219" spans="1:6" x14ac:dyDescent="0.35">
      <c r="A219" s="42" t="s">
        <v>31</v>
      </c>
      <c r="B219" s="42">
        <v>819.96</v>
      </c>
      <c r="C219" s="43">
        <v>0.13</v>
      </c>
      <c r="D219" s="45">
        <v>45962</v>
      </c>
      <c r="E219" s="45">
        <v>45991.999305555553</v>
      </c>
      <c r="F219" s="42" t="s">
        <v>492</v>
      </c>
    </row>
    <row r="220" spans="1:6" x14ac:dyDescent="0.35">
      <c r="A220" s="42" t="s">
        <v>40</v>
      </c>
      <c r="B220" s="42">
        <v>819.96</v>
      </c>
      <c r="C220" s="43">
        <v>0.13</v>
      </c>
      <c r="D220" s="45">
        <v>45962</v>
      </c>
      <c r="E220" s="45">
        <v>45991.999305555553</v>
      </c>
      <c r="F220" s="42" t="s">
        <v>492</v>
      </c>
    </row>
    <row r="221" spans="1:6" x14ac:dyDescent="0.35">
      <c r="A221" s="42" t="s">
        <v>316</v>
      </c>
      <c r="B221" s="42">
        <v>1799.96</v>
      </c>
      <c r="C221" s="43">
        <v>0.13</v>
      </c>
      <c r="D221" s="45">
        <v>45962</v>
      </c>
      <c r="E221" s="45">
        <v>45991.999305555553</v>
      </c>
      <c r="F221" s="42" t="s">
        <v>492</v>
      </c>
    </row>
    <row r="222" spans="1:6" x14ac:dyDescent="0.35">
      <c r="A222" s="42" t="s">
        <v>57</v>
      </c>
      <c r="B222" s="42">
        <v>819.96</v>
      </c>
      <c r="C222" s="43">
        <v>0.13</v>
      </c>
      <c r="D222" s="45">
        <v>45962</v>
      </c>
      <c r="E222" s="45">
        <v>45991.999305555553</v>
      </c>
      <c r="F222" s="42" t="s">
        <v>492</v>
      </c>
    </row>
    <row r="223" spans="1:6" x14ac:dyDescent="0.35">
      <c r="A223" s="42" t="s">
        <v>65</v>
      </c>
      <c r="B223" s="42">
        <v>1499.96</v>
      </c>
      <c r="C223" s="43">
        <v>0.13</v>
      </c>
      <c r="D223" s="45">
        <v>45962</v>
      </c>
      <c r="E223" s="45">
        <v>45991.999305555553</v>
      </c>
      <c r="F223" s="42" t="s">
        <v>492</v>
      </c>
    </row>
    <row r="224" spans="1:6" x14ac:dyDescent="0.35">
      <c r="A224" s="42" t="s">
        <v>400</v>
      </c>
      <c r="B224" s="42">
        <v>1229.96</v>
      </c>
      <c r="C224" s="43">
        <v>0.13</v>
      </c>
      <c r="D224" s="45">
        <v>45962</v>
      </c>
      <c r="E224" s="45">
        <v>45991.999305555553</v>
      </c>
      <c r="F224" s="42" t="s">
        <v>492</v>
      </c>
    </row>
    <row r="225" spans="1:6" x14ac:dyDescent="0.35">
      <c r="A225" s="42" t="s">
        <v>267</v>
      </c>
      <c r="B225" s="42">
        <v>1189.96</v>
      </c>
      <c r="C225" s="43">
        <v>0.13</v>
      </c>
      <c r="D225" s="45">
        <v>45962</v>
      </c>
      <c r="E225" s="45">
        <v>45991.999305555553</v>
      </c>
      <c r="F225" s="42" t="s">
        <v>492</v>
      </c>
    </row>
    <row r="226" spans="1:6" x14ac:dyDescent="0.35">
      <c r="A226" s="42" t="s">
        <v>54</v>
      </c>
      <c r="B226" s="42">
        <v>539.96</v>
      </c>
      <c r="C226" s="43">
        <v>0.13</v>
      </c>
      <c r="D226" s="45">
        <v>45962</v>
      </c>
      <c r="E226" s="45">
        <v>45991.999305555553</v>
      </c>
      <c r="F226" s="42" t="s">
        <v>492</v>
      </c>
    </row>
    <row r="227" spans="1:6" x14ac:dyDescent="0.35">
      <c r="A227" s="42" t="s">
        <v>281</v>
      </c>
      <c r="B227" s="42">
        <v>1669.96</v>
      </c>
      <c r="C227" s="43">
        <v>0.13</v>
      </c>
      <c r="D227" s="45">
        <v>45962</v>
      </c>
      <c r="E227" s="45">
        <v>45991.999305555553</v>
      </c>
      <c r="F227" s="42" t="s">
        <v>492</v>
      </c>
    </row>
    <row r="228" spans="1:6" x14ac:dyDescent="0.35">
      <c r="A228" s="42" t="s">
        <v>88</v>
      </c>
      <c r="B228" s="42">
        <v>1189.96</v>
      </c>
      <c r="C228" s="43">
        <v>0.13</v>
      </c>
      <c r="D228" s="45">
        <v>45962</v>
      </c>
      <c r="E228" s="45">
        <v>45991.999305555553</v>
      </c>
      <c r="F228" s="42" t="s">
        <v>492</v>
      </c>
    </row>
    <row r="229" spans="1:6" x14ac:dyDescent="0.35">
      <c r="A229" s="42" t="s">
        <v>121</v>
      </c>
      <c r="B229" s="42">
        <v>1399.96</v>
      </c>
      <c r="C229" s="43">
        <v>0.13</v>
      </c>
      <c r="D229" s="45">
        <v>45962</v>
      </c>
      <c r="E229" s="45">
        <v>45991.999305555553</v>
      </c>
      <c r="F229" s="42" t="s">
        <v>492</v>
      </c>
    </row>
    <row r="230" spans="1:6" x14ac:dyDescent="0.35">
      <c r="A230" s="42" t="s">
        <v>282</v>
      </c>
      <c r="B230" s="42">
        <v>589.96</v>
      </c>
      <c r="C230" s="43">
        <v>0.13</v>
      </c>
      <c r="D230" s="45">
        <v>45962</v>
      </c>
      <c r="E230" s="45">
        <v>45991.999305555553</v>
      </c>
      <c r="F230" s="42" t="s">
        <v>492</v>
      </c>
    </row>
    <row r="231" spans="1:6" x14ac:dyDescent="0.35">
      <c r="A231" s="42" t="s">
        <v>71</v>
      </c>
      <c r="B231" s="42">
        <v>559.96</v>
      </c>
      <c r="C231" s="43">
        <v>0.13</v>
      </c>
      <c r="D231" s="45">
        <v>45962</v>
      </c>
      <c r="E231" s="45">
        <v>45991.999305555553</v>
      </c>
      <c r="F231" s="42" t="s">
        <v>492</v>
      </c>
    </row>
    <row r="232" spans="1:6" x14ac:dyDescent="0.35">
      <c r="A232" s="42" t="s">
        <v>25</v>
      </c>
      <c r="B232" s="42">
        <v>619.96</v>
      </c>
      <c r="C232" s="43">
        <v>0.13</v>
      </c>
      <c r="D232" s="45">
        <v>45962</v>
      </c>
      <c r="E232" s="45">
        <v>45991.999305555553</v>
      </c>
      <c r="F232" s="42" t="s">
        <v>492</v>
      </c>
    </row>
    <row r="233" spans="1:6" x14ac:dyDescent="0.35">
      <c r="A233" s="42" t="s">
        <v>23</v>
      </c>
      <c r="B233" s="42">
        <v>459.96</v>
      </c>
      <c r="C233" s="43">
        <v>0.13</v>
      </c>
      <c r="D233" s="45">
        <v>45962</v>
      </c>
      <c r="E233" s="45">
        <v>45991.999305555553</v>
      </c>
      <c r="F233" s="42" t="s">
        <v>492</v>
      </c>
    </row>
    <row r="234" spans="1:6" x14ac:dyDescent="0.35">
      <c r="A234" s="42" t="s">
        <v>75</v>
      </c>
      <c r="B234" s="42">
        <v>459.96</v>
      </c>
      <c r="C234" s="43">
        <v>0.13</v>
      </c>
      <c r="D234" s="45">
        <v>45962</v>
      </c>
      <c r="E234" s="45">
        <v>45991.999305555553</v>
      </c>
      <c r="F234" s="42" t="s">
        <v>492</v>
      </c>
    </row>
    <row r="235" spans="1:6" x14ac:dyDescent="0.35">
      <c r="A235" s="42" t="s">
        <v>283</v>
      </c>
      <c r="B235" s="42">
        <v>819.96</v>
      </c>
      <c r="C235" s="43">
        <v>0.13</v>
      </c>
      <c r="D235" s="45">
        <v>45962</v>
      </c>
      <c r="E235" s="45">
        <v>45991.999305555553</v>
      </c>
      <c r="F235" s="42" t="s">
        <v>492</v>
      </c>
    </row>
    <row r="236" spans="1:6" x14ac:dyDescent="0.35">
      <c r="A236" s="42" t="s">
        <v>63</v>
      </c>
      <c r="B236" s="42">
        <v>1499.96</v>
      </c>
      <c r="C236" s="43">
        <v>0.13</v>
      </c>
      <c r="D236" s="45">
        <v>45962</v>
      </c>
      <c r="E236" s="45">
        <v>45991.999305555553</v>
      </c>
      <c r="F236" s="42" t="s">
        <v>492</v>
      </c>
    </row>
    <row r="237" spans="1:6" x14ac:dyDescent="0.35">
      <c r="A237" s="42" t="s">
        <v>42</v>
      </c>
      <c r="B237" s="42">
        <v>899.96</v>
      </c>
      <c r="C237" s="43">
        <v>0.13</v>
      </c>
      <c r="D237" s="45">
        <v>45962</v>
      </c>
      <c r="E237" s="45">
        <v>45991.999305555553</v>
      </c>
      <c r="F237" s="42" t="s">
        <v>492</v>
      </c>
    </row>
    <row r="238" spans="1:6" x14ac:dyDescent="0.35">
      <c r="A238" s="42" t="s">
        <v>401</v>
      </c>
      <c r="B238" s="42">
        <v>1439.96</v>
      </c>
      <c r="C238" s="43">
        <v>0.13</v>
      </c>
      <c r="D238" s="45">
        <v>45962</v>
      </c>
      <c r="E238" s="45">
        <v>45991.999305555553</v>
      </c>
      <c r="F238" s="42" t="s">
        <v>492</v>
      </c>
    </row>
    <row r="239" spans="1:6" x14ac:dyDescent="0.35">
      <c r="A239" s="42" t="s">
        <v>35</v>
      </c>
      <c r="B239" s="42">
        <v>1519.96</v>
      </c>
      <c r="C239" s="43">
        <v>0.13</v>
      </c>
      <c r="D239" s="45">
        <v>45962</v>
      </c>
      <c r="E239" s="45">
        <v>45991.999305555553</v>
      </c>
      <c r="F239" s="42" t="s">
        <v>492</v>
      </c>
    </row>
    <row r="240" spans="1:6" x14ac:dyDescent="0.35">
      <c r="A240" s="42" t="s">
        <v>61</v>
      </c>
      <c r="B240" s="42">
        <v>1259.96</v>
      </c>
      <c r="C240" s="43">
        <v>0.13</v>
      </c>
      <c r="D240" s="45">
        <v>45962</v>
      </c>
      <c r="E240" s="45">
        <v>45991.999305555553</v>
      </c>
      <c r="F240" s="42" t="s">
        <v>492</v>
      </c>
    </row>
    <row r="241" spans="1:6" x14ac:dyDescent="0.35">
      <c r="A241" s="42" t="s">
        <v>304</v>
      </c>
      <c r="B241" s="42">
        <v>1259.96</v>
      </c>
      <c r="C241" s="43">
        <v>0.13</v>
      </c>
      <c r="D241" s="45">
        <v>45962</v>
      </c>
      <c r="E241" s="45">
        <v>45991.999305555553</v>
      </c>
      <c r="F241" s="42" t="s">
        <v>492</v>
      </c>
    </row>
    <row r="242" spans="1:6" x14ac:dyDescent="0.35">
      <c r="A242" s="42" t="s">
        <v>266</v>
      </c>
      <c r="B242" s="42">
        <v>1499.96</v>
      </c>
      <c r="C242" s="43">
        <v>0.13</v>
      </c>
      <c r="D242" s="45">
        <v>45962</v>
      </c>
      <c r="E242" s="45">
        <v>45991.999305555553</v>
      </c>
      <c r="F242" s="42" t="s">
        <v>492</v>
      </c>
    </row>
    <row r="243" spans="1:6" x14ac:dyDescent="0.35">
      <c r="A243" s="42" t="s">
        <v>607</v>
      </c>
      <c r="B243" s="42">
        <v>2679.96</v>
      </c>
      <c r="C243" s="43">
        <v>0.13</v>
      </c>
      <c r="D243" s="45">
        <v>45962</v>
      </c>
      <c r="E243" s="45">
        <v>45991.999305555553</v>
      </c>
      <c r="F243" s="42" t="s">
        <v>492</v>
      </c>
    </row>
    <row r="244" spans="1:6" x14ac:dyDescent="0.35">
      <c r="A244" s="42" t="s">
        <v>37</v>
      </c>
      <c r="B244" s="42">
        <v>1479.96</v>
      </c>
      <c r="C244" s="43">
        <v>0.13</v>
      </c>
      <c r="D244" s="45">
        <v>45962</v>
      </c>
      <c r="E244" s="45">
        <v>45991.999305555553</v>
      </c>
      <c r="F244" s="42" t="s">
        <v>492</v>
      </c>
    </row>
    <row r="245" spans="1:6" x14ac:dyDescent="0.35">
      <c r="A245" s="42" t="s">
        <v>608</v>
      </c>
      <c r="B245" s="42">
        <v>1259.96</v>
      </c>
      <c r="C245" s="43">
        <v>0.13</v>
      </c>
      <c r="D245" s="45">
        <v>45962</v>
      </c>
      <c r="E245" s="45">
        <v>45991.999305555553</v>
      </c>
      <c r="F245" s="42" t="s">
        <v>492</v>
      </c>
    </row>
    <row r="246" spans="1:6" x14ac:dyDescent="0.35">
      <c r="A246" s="42" t="s">
        <v>609</v>
      </c>
      <c r="B246" s="42">
        <v>1719.96</v>
      </c>
      <c r="C246" s="43">
        <v>0.13</v>
      </c>
      <c r="D246" s="45">
        <v>45962</v>
      </c>
      <c r="E246" s="45">
        <v>45991.999305555553</v>
      </c>
      <c r="F246" s="42" t="s">
        <v>492</v>
      </c>
    </row>
    <row r="247" spans="1:6" x14ac:dyDescent="0.35">
      <c r="A247" s="42" t="s">
        <v>407</v>
      </c>
      <c r="B247" s="42">
        <v>1979.96</v>
      </c>
      <c r="C247" s="43">
        <v>0.13</v>
      </c>
      <c r="D247" s="45">
        <v>45962</v>
      </c>
      <c r="E247" s="45">
        <v>45991.999305555553</v>
      </c>
      <c r="F247" s="42" t="s">
        <v>492</v>
      </c>
    </row>
    <row r="248" spans="1:6" x14ac:dyDescent="0.35">
      <c r="A248" s="42" t="s">
        <v>610</v>
      </c>
      <c r="B248" s="42">
        <v>1839.96</v>
      </c>
      <c r="C248" s="43">
        <v>0.13</v>
      </c>
      <c r="D248" s="45">
        <v>45962</v>
      </c>
      <c r="E248" s="45">
        <v>45991.999305555553</v>
      </c>
      <c r="F248" s="42" t="s">
        <v>492</v>
      </c>
    </row>
    <row r="249" spans="1:6" x14ac:dyDescent="0.35">
      <c r="A249" s="42" t="s">
        <v>611</v>
      </c>
      <c r="B249" s="42">
        <v>1499.96</v>
      </c>
      <c r="C249" s="43">
        <v>0.13</v>
      </c>
      <c r="D249" s="45">
        <v>45962</v>
      </c>
      <c r="E249" s="45">
        <v>45991.999305555553</v>
      </c>
      <c r="F249" s="42" t="s">
        <v>492</v>
      </c>
    </row>
    <row r="250" spans="1:6" x14ac:dyDescent="0.35">
      <c r="A250" s="42" t="s">
        <v>270</v>
      </c>
      <c r="B250" s="42">
        <v>1259.96</v>
      </c>
      <c r="C250" s="43">
        <v>0.13</v>
      </c>
      <c r="D250" s="45">
        <v>45962</v>
      </c>
      <c r="E250" s="45">
        <v>45991.999305555553</v>
      </c>
      <c r="F250" s="42" t="s">
        <v>492</v>
      </c>
    </row>
    <row r="251" spans="1:6" x14ac:dyDescent="0.35">
      <c r="A251" s="42" t="s">
        <v>612</v>
      </c>
      <c r="B251" s="42">
        <v>969.96</v>
      </c>
      <c r="C251" s="43">
        <v>0.13</v>
      </c>
      <c r="D251" s="45">
        <v>45962</v>
      </c>
      <c r="E251" s="45">
        <v>45991.999305555553</v>
      </c>
      <c r="F251" s="42" t="s">
        <v>492</v>
      </c>
    </row>
    <row r="252" spans="1:6" x14ac:dyDescent="0.35">
      <c r="A252" s="42" t="s">
        <v>33</v>
      </c>
      <c r="B252" s="42">
        <v>949.96</v>
      </c>
      <c r="C252" s="43">
        <v>0.13</v>
      </c>
      <c r="D252" s="45">
        <v>45962</v>
      </c>
      <c r="E252" s="45">
        <v>45991.999305555553</v>
      </c>
      <c r="F252" s="42" t="s">
        <v>492</v>
      </c>
    </row>
    <row r="253" spans="1:6" x14ac:dyDescent="0.35">
      <c r="A253" s="42" t="s">
        <v>613</v>
      </c>
      <c r="B253" s="42">
        <v>719.96</v>
      </c>
      <c r="C253" s="43">
        <v>0.13</v>
      </c>
      <c r="D253" s="45">
        <v>45962</v>
      </c>
      <c r="E253" s="45">
        <v>45991.999305555553</v>
      </c>
      <c r="F253" s="42" t="s">
        <v>492</v>
      </c>
    </row>
    <row r="254" spans="1:6" x14ac:dyDescent="0.35">
      <c r="A254" s="42" t="s">
        <v>614</v>
      </c>
      <c r="B254" s="42">
        <v>519.96</v>
      </c>
      <c r="C254" s="43">
        <v>0.13</v>
      </c>
      <c r="D254" s="45">
        <v>45962</v>
      </c>
      <c r="E254" s="45">
        <v>45991.999305555553</v>
      </c>
      <c r="F254" s="42" t="s">
        <v>492</v>
      </c>
    </row>
    <row r="255" spans="1:6" x14ac:dyDescent="0.35">
      <c r="A255" s="42" t="s">
        <v>589</v>
      </c>
      <c r="B255" s="42">
        <v>659.96</v>
      </c>
      <c r="C255" s="43">
        <v>0.13</v>
      </c>
      <c r="D255" s="45">
        <v>45962</v>
      </c>
      <c r="E255" s="45">
        <v>45991.999305555553</v>
      </c>
      <c r="F255" s="42" t="s">
        <v>492</v>
      </c>
    </row>
    <row r="256" spans="1:6" x14ac:dyDescent="0.35">
      <c r="A256" s="42" t="s">
        <v>615</v>
      </c>
      <c r="B256" s="42">
        <v>559.96</v>
      </c>
      <c r="C256" s="43">
        <v>0.13</v>
      </c>
      <c r="D256" s="45">
        <v>45962</v>
      </c>
      <c r="E256" s="45">
        <v>45991.999305555553</v>
      </c>
      <c r="F256" s="42" t="s">
        <v>492</v>
      </c>
    </row>
    <row r="257" spans="1:6" x14ac:dyDescent="0.35">
      <c r="A257" s="42" t="s">
        <v>578</v>
      </c>
      <c r="B257" s="42">
        <v>459.96</v>
      </c>
      <c r="C257" s="43">
        <v>0.13</v>
      </c>
      <c r="D257" s="45">
        <v>45962</v>
      </c>
      <c r="E257" s="45">
        <v>45991.999305555553</v>
      </c>
      <c r="F257" s="42" t="s">
        <v>492</v>
      </c>
    </row>
    <row r="258" spans="1:6" x14ac:dyDescent="0.35">
      <c r="A258" s="42" t="s">
        <v>601</v>
      </c>
      <c r="B258" s="42">
        <v>539.96</v>
      </c>
      <c r="C258" s="43">
        <v>0.15</v>
      </c>
      <c r="D258" s="45">
        <v>45962</v>
      </c>
      <c r="E258" s="45">
        <v>45991.999305555553</v>
      </c>
      <c r="F258" s="42" t="s">
        <v>492</v>
      </c>
    </row>
    <row r="259" spans="1:6" x14ac:dyDescent="0.35">
      <c r="A259" s="42" t="s">
        <v>602</v>
      </c>
      <c r="B259" s="42">
        <v>579.96</v>
      </c>
      <c r="C259" s="43">
        <v>0.15</v>
      </c>
      <c r="D259" s="45">
        <v>45962</v>
      </c>
      <c r="E259" s="45">
        <v>45991.999305555553</v>
      </c>
      <c r="F259" s="42" t="s">
        <v>492</v>
      </c>
    </row>
    <row r="260" spans="1:6" x14ac:dyDescent="0.35">
      <c r="A260" s="42" t="s">
        <v>603</v>
      </c>
      <c r="B260" s="42">
        <v>919.96</v>
      </c>
      <c r="C260" s="43">
        <v>0.15</v>
      </c>
      <c r="D260" s="45">
        <v>45962</v>
      </c>
      <c r="E260" s="45">
        <v>45991.999305555553</v>
      </c>
      <c r="F260" s="42" t="s">
        <v>492</v>
      </c>
    </row>
    <row r="261" spans="1:6" x14ac:dyDescent="0.35">
      <c r="A261" s="42" t="s">
        <v>501</v>
      </c>
      <c r="B261" s="42">
        <v>969.96</v>
      </c>
      <c r="C261" s="43">
        <v>0.15</v>
      </c>
      <c r="D261" s="45">
        <v>45962</v>
      </c>
      <c r="E261" s="45">
        <v>45991.999305555553</v>
      </c>
      <c r="F261" s="42" t="s">
        <v>492</v>
      </c>
    </row>
    <row r="262" spans="1:6" x14ac:dyDescent="0.35">
      <c r="A262" s="42" t="s">
        <v>523</v>
      </c>
      <c r="B262" s="42">
        <v>889.96</v>
      </c>
      <c r="C262" s="43">
        <v>0.15</v>
      </c>
      <c r="D262" s="45">
        <v>45962</v>
      </c>
      <c r="E262" s="45">
        <v>45991.999305555553</v>
      </c>
      <c r="F262" s="42" t="s">
        <v>492</v>
      </c>
    </row>
    <row r="263" spans="1:6" x14ac:dyDescent="0.35">
      <c r="A263" s="42" t="s">
        <v>604</v>
      </c>
      <c r="B263" s="42">
        <v>919.96</v>
      </c>
      <c r="C263" s="43">
        <v>0.15</v>
      </c>
      <c r="D263" s="45">
        <v>45962</v>
      </c>
      <c r="E263" s="45">
        <v>45991.999305555553</v>
      </c>
      <c r="F263" s="42" t="s">
        <v>492</v>
      </c>
    </row>
    <row r="264" spans="1:6" x14ac:dyDescent="0.35">
      <c r="A264" s="42" t="s">
        <v>605</v>
      </c>
      <c r="B264" s="42">
        <v>679.96</v>
      </c>
      <c r="C264" s="43">
        <v>0.15</v>
      </c>
      <c r="D264" s="45">
        <v>45962</v>
      </c>
      <c r="E264" s="45">
        <v>45991.999305555553</v>
      </c>
      <c r="F264" s="42" t="s">
        <v>492</v>
      </c>
    </row>
    <row r="265" spans="1:6" x14ac:dyDescent="0.35">
      <c r="A265" s="42" t="s">
        <v>606</v>
      </c>
      <c r="B265" s="42">
        <v>1289.96</v>
      </c>
      <c r="C265" s="43">
        <v>0.15</v>
      </c>
      <c r="D265" s="45">
        <v>45962</v>
      </c>
      <c r="E265" s="45">
        <v>45991.999305555553</v>
      </c>
      <c r="F265" s="42" t="s">
        <v>492</v>
      </c>
    </row>
    <row r="266" spans="1:6" x14ac:dyDescent="0.35">
      <c r="A266" s="42" t="s">
        <v>59</v>
      </c>
      <c r="B266" s="42">
        <v>839.96</v>
      </c>
      <c r="C266" s="43">
        <v>0.15</v>
      </c>
      <c r="D266" s="45">
        <v>45962</v>
      </c>
      <c r="E266" s="45">
        <v>45991.999305555553</v>
      </c>
      <c r="F266" s="42" t="s">
        <v>492</v>
      </c>
    </row>
    <row r="267" spans="1:6" x14ac:dyDescent="0.35">
      <c r="A267" s="42" t="s">
        <v>58</v>
      </c>
      <c r="B267" s="42">
        <v>839.96</v>
      </c>
      <c r="C267" s="43">
        <v>0.15</v>
      </c>
      <c r="D267" s="45">
        <v>45962</v>
      </c>
      <c r="E267" s="45">
        <v>45991.999305555553</v>
      </c>
      <c r="F267" s="42" t="s">
        <v>492</v>
      </c>
    </row>
    <row r="268" spans="1:6" x14ac:dyDescent="0.35">
      <c r="A268" s="42" t="s">
        <v>122</v>
      </c>
      <c r="B268" s="42">
        <v>739.96</v>
      </c>
      <c r="C268" s="43">
        <v>0.15</v>
      </c>
      <c r="D268" s="45">
        <v>45962</v>
      </c>
      <c r="E268" s="45">
        <v>45991.999305555553</v>
      </c>
      <c r="F268" s="42" t="s">
        <v>492</v>
      </c>
    </row>
    <row r="269" spans="1:6" x14ac:dyDescent="0.35">
      <c r="A269" s="42" t="s">
        <v>27</v>
      </c>
      <c r="B269" s="42">
        <v>739.96</v>
      </c>
      <c r="C269" s="43">
        <v>0.15</v>
      </c>
      <c r="D269" s="45">
        <v>45962</v>
      </c>
      <c r="E269" s="45">
        <v>45991.999305555553</v>
      </c>
      <c r="F269" s="42" t="s">
        <v>492</v>
      </c>
    </row>
    <row r="270" spans="1:6" x14ac:dyDescent="0.35">
      <c r="A270" s="42" t="s">
        <v>14</v>
      </c>
      <c r="B270" s="42">
        <v>429.96</v>
      </c>
      <c r="C270" s="43">
        <v>0.15</v>
      </c>
      <c r="D270" s="45">
        <v>45962</v>
      </c>
      <c r="E270" s="45">
        <v>45991.999305555553</v>
      </c>
      <c r="F270" s="42" t="s">
        <v>492</v>
      </c>
    </row>
    <row r="271" spans="1:6" x14ac:dyDescent="0.35">
      <c r="A271" s="42" t="s">
        <v>12</v>
      </c>
      <c r="B271" s="42">
        <v>429.96</v>
      </c>
      <c r="C271" s="43">
        <v>0.15</v>
      </c>
      <c r="D271" s="45">
        <v>45962</v>
      </c>
      <c r="E271" s="45">
        <v>45991.999305555553</v>
      </c>
      <c r="F271" s="42" t="s">
        <v>492</v>
      </c>
    </row>
    <row r="272" spans="1:6" x14ac:dyDescent="0.35">
      <c r="A272" s="42" t="s">
        <v>399</v>
      </c>
      <c r="B272" s="42">
        <v>739.96</v>
      </c>
      <c r="C272" s="43">
        <v>0.15</v>
      </c>
      <c r="D272" s="45">
        <v>45962</v>
      </c>
      <c r="E272" s="45">
        <v>45991.999305555553</v>
      </c>
      <c r="F272" s="42" t="s">
        <v>492</v>
      </c>
    </row>
    <row r="273" spans="1:6" x14ac:dyDescent="0.35">
      <c r="A273" s="42" t="s">
        <v>79</v>
      </c>
      <c r="B273" s="42">
        <v>559.96</v>
      </c>
      <c r="C273" s="43">
        <v>0.15</v>
      </c>
      <c r="D273" s="45">
        <v>45962</v>
      </c>
      <c r="E273" s="45">
        <v>45991.999305555553</v>
      </c>
      <c r="F273" s="42" t="s">
        <v>492</v>
      </c>
    </row>
    <row r="274" spans="1:6" x14ac:dyDescent="0.35">
      <c r="A274" s="42" t="s">
        <v>265</v>
      </c>
      <c r="B274" s="42">
        <v>769.96</v>
      </c>
      <c r="C274" s="43">
        <v>0.15</v>
      </c>
      <c r="D274" s="45">
        <v>45962</v>
      </c>
      <c r="E274" s="45">
        <v>45991.999305555553</v>
      </c>
      <c r="F274" s="42" t="s">
        <v>492</v>
      </c>
    </row>
    <row r="275" spans="1:6" x14ac:dyDescent="0.35">
      <c r="A275" s="42" t="s">
        <v>29</v>
      </c>
      <c r="B275" s="42">
        <v>769.96</v>
      </c>
      <c r="C275" s="43">
        <v>0.15</v>
      </c>
      <c r="D275" s="45">
        <v>45962</v>
      </c>
      <c r="E275" s="45">
        <v>45991.999305555553</v>
      </c>
      <c r="F275" s="42" t="s">
        <v>492</v>
      </c>
    </row>
    <row r="276" spans="1:6" x14ac:dyDescent="0.35">
      <c r="A276" s="42" t="s">
        <v>55</v>
      </c>
      <c r="B276" s="42">
        <v>769.96</v>
      </c>
      <c r="C276" s="43">
        <v>0.15</v>
      </c>
      <c r="D276" s="45">
        <v>45962</v>
      </c>
      <c r="E276" s="45">
        <v>45991.999305555553</v>
      </c>
      <c r="F276" s="42" t="s">
        <v>492</v>
      </c>
    </row>
    <row r="277" spans="1:6" x14ac:dyDescent="0.35">
      <c r="A277" s="42" t="s">
        <v>89</v>
      </c>
      <c r="B277" s="42">
        <v>919.96</v>
      </c>
      <c r="C277" s="43">
        <v>0.15</v>
      </c>
      <c r="D277" s="45">
        <v>45962</v>
      </c>
      <c r="E277" s="45">
        <v>45991.999305555553</v>
      </c>
      <c r="F277" s="42" t="s">
        <v>492</v>
      </c>
    </row>
    <row r="278" spans="1:6" x14ac:dyDescent="0.35">
      <c r="A278" s="42" t="s">
        <v>21</v>
      </c>
      <c r="B278" s="42">
        <v>579.96</v>
      </c>
      <c r="C278" s="43">
        <v>0.15</v>
      </c>
      <c r="D278" s="45">
        <v>45962</v>
      </c>
      <c r="E278" s="45">
        <v>45991.999305555553</v>
      </c>
      <c r="F278" s="42" t="s">
        <v>492</v>
      </c>
    </row>
    <row r="279" spans="1:6" x14ac:dyDescent="0.35">
      <c r="A279" s="42" t="s">
        <v>16</v>
      </c>
      <c r="B279" s="42">
        <v>449.96</v>
      </c>
      <c r="C279" s="43">
        <v>0.15</v>
      </c>
      <c r="D279" s="45">
        <v>45962</v>
      </c>
      <c r="E279" s="45">
        <v>45991.999305555553</v>
      </c>
      <c r="F279" s="42" t="s">
        <v>492</v>
      </c>
    </row>
    <row r="280" spans="1:6" x14ac:dyDescent="0.35">
      <c r="A280" s="42" t="s">
        <v>8</v>
      </c>
      <c r="B280" s="42">
        <v>389.96</v>
      </c>
      <c r="C280" s="43">
        <v>0.15</v>
      </c>
      <c r="D280" s="45">
        <v>45962</v>
      </c>
      <c r="E280" s="45">
        <v>45991.999305555553</v>
      </c>
      <c r="F280" s="42" t="s">
        <v>492</v>
      </c>
    </row>
    <row r="281" spans="1:6" x14ac:dyDescent="0.35">
      <c r="A281" s="42" t="s">
        <v>15</v>
      </c>
      <c r="B281" s="42">
        <v>449.96</v>
      </c>
      <c r="C281" s="43">
        <v>0.15</v>
      </c>
      <c r="D281" s="45">
        <v>45962</v>
      </c>
      <c r="E281" s="45">
        <v>45991.999305555553</v>
      </c>
      <c r="F281" s="42" t="s">
        <v>492</v>
      </c>
    </row>
    <row r="282" spans="1:6" x14ac:dyDescent="0.35">
      <c r="A282" s="42" t="s">
        <v>9</v>
      </c>
      <c r="B282" s="42">
        <v>389.96</v>
      </c>
      <c r="C282" s="43">
        <v>0.15</v>
      </c>
      <c r="D282" s="45">
        <v>45962</v>
      </c>
      <c r="E282" s="45">
        <v>45991.999305555553</v>
      </c>
      <c r="F282" s="42" t="s">
        <v>492</v>
      </c>
    </row>
    <row r="283" spans="1:6" x14ac:dyDescent="0.35">
      <c r="A283" s="42" t="s">
        <v>31</v>
      </c>
      <c r="B283" s="42">
        <v>839.96</v>
      </c>
      <c r="C283" s="43">
        <v>0.15</v>
      </c>
      <c r="D283" s="45">
        <v>45962</v>
      </c>
      <c r="E283" s="45">
        <v>45991.999305555553</v>
      </c>
      <c r="F283" s="42" t="s">
        <v>492</v>
      </c>
    </row>
    <row r="284" spans="1:6" x14ac:dyDescent="0.35">
      <c r="A284" s="42" t="s">
        <v>40</v>
      </c>
      <c r="B284" s="42">
        <v>839.96</v>
      </c>
      <c r="C284" s="43">
        <v>0.15</v>
      </c>
      <c r="D284" s="45">
        <v>45962</v>
      </c>
      <c r="E284" s="45">
        <v>45991.999305555553</v>
      </c>
      <c r="F284" s="42" t="s">
        <v>492</v>
      </c>
    </row>
    <row r="285" spans="1:6" x14ac:dyDescent="0.35">
      <c r="A285" s="42" t="s">
        <v>316</v>
      </c>
      <c r="B285" s="42">
        <v>1839.96</v>
      </c>
      <c r="C285" s="43">
        <v>0.15</v>
      </c>
      <c r="D285" s="45">
        <v>45962</v>
      </c>
      <c r="E285" s="45">
        <v>45991.999305555553</v>
      </c>
      <c r="F285" s="42" t="s">
        <v>492</v>
      </c>
    </row>
    <row r="286" spans="1:6" x14ac:dyDescent="0.35">
      <c r="A286" s="42" t="s">
        <v>57</v>
      </c>
      <c r="B286" s="42">
        <v>839.96</v>
      </c>
      <c r="C286" s="43">
        <v>0.15</v>
      </c>
      <c r="D286" s="45">
        <v>45962</v>
      </c>
      <c r="E286" s="45">
        <v>45991.999305555553</v>
      </c>
      <c r="F286" s="42" t="s">
        <v>492</v>
      </c>
    </row>
    <row r="287" spans="1:6" x14ac:dyDescent="0.35">
      <c r="A287" s="42" t="s">
        <v>65</v>
      </c>
      <c r="B287" s="42">
        <v>1529.96</v>
      </c>
      <c r="C287" s="43">
        <v>0.15</v>
      </c>
      <c r="D287" s="45">
        <v>45962</v>
      </c>
      <c r="E287" s="45">
        <v>45991.999305555553</v>
      </c>
      <c r="F287" s="42" t="s">
        <v>492</v>
      </c>
    </row>
    <row r="288" spans="1:6" x14ac:dyDescent="0.35">
      <c r="A288" s="42" t="s">
        <v>400</v>
      </c>
      <c r="B288" s="42">
        <v>1259.96</v>
      </c>
      <c r="C288" s="43">
        <v>0.15</v>
      </c>
      <c r="D288" s="45">
        <v>45962</v>
      </c>
      <c r="E288" s="45">
        <v>45991.999305555553</v>
      </c>
      <c r="F288" s="42" t="s">
        <v>492</v>
      </c>
    </row>
    <row r="289" spans="1:6" x14ac:dyDescent="0.35">
      <c r="A289" s="42" t="s">
        <v>267</v>
      </c>
      <c r="B289" s="42">
        <v>1219.96</v>
      </c>
      <c r="C289" s="43">
        <v>0.15</v>
      </c>
      <c r="D289" s="45">
        <v>45962</v>
      </c>
      <c r="E289" s="45">
        <v>45991.999305555553</v>
      </c>
      <c r="F289" s="42" t="s">
        <v>492</v>
      </c>
    </row>
    <row r="290" spans="1:6" x14ac:dyDescent="0.35">
      <c r="A290" s="42" t="s">
        <v>54</v>
      </c>
      <c r="B290" s="42">
        <v>559.96</v>
      </c>
      <c r="C290" s="43">
        <v>0.15</v>
      </c>
      <c r="D290" s="45">
        <v>45962</v>
      </c>
      <c r="E290" s="45">
        <v>45991.999305555553</v>
      </c>
      <c r="F290" s="42" t="s">
        <v>492</v>
      </c>
    </row>
    <row r="291" spans="1:6" x14ac:dyDescent="0.35">
      <c r="A291" s="42" t="s">
        <v>281</v>
      </c>
      <c r="B291" s="42">
        <v>1719.96</v>
      </c>
      <c r="C291" s="43">
        <v>0.15</v>
      </c>
      <c r="D291" s="45">
        <v>45962</v>
      </c>
      <c r="E291" s="45">
        <v>45991.999305555553</v>
      </c>
      <c r="F291" s="42" t="s">
        <v>492</v>
      </c>
    </row>
    <row r="292" spans="1:6" x14ac:dyDescent="0.35">
      <c r="A292" s="42" t="s">
        <v>88</v>
      </c>
      <c r="B292" s="42">
        <v>1219.96</v>
      </c>
      <c r="C292" s="43">
        <v>0.15</v>
      </c>
      <c r="D292" s="45">
        <v>45962</v>
      </c>
      <c r="E292" s="45">
        <v>45991.999305555553</v>
      </c>
      <c r="F292" s="42" t="s">
        <v>492</v>
      </c>
    </row>
    <row r="293" spans="1:6" x14ac:dyDescent="0.35">
      <c r="A293" s="42" t="s">
        <v>121</v>
      </c>
      <c r="B293" s="42">
        <v>1429.96</v>
      </c>
      <c r="C293" s="43">
        <v>0.15</v>
      </c>
      <c r="D293" s="45">
        <v>45962</v>
      </c>
      <c r="E293" s="45">
        <v>45991.999305555553</v>
      </c>
      <c r="F293" s="42" t="s">
        <v>492</v>
      </c>
    </row>
    <row r="294" spans="1:6" x14ac:dyDescent="0.35">
      <c r="A294" s="42" t="s">
        <v>282</v>
      </c>
      <c r="B294" s="42">
        <v>619.96</v>
      </c>
      <c r="C294" s="43">
        <v>0.15</v>
      </c>
      <c r="D294" s="45">
        <v>45962</v>
      </c>
      <c r="E294" s="45">
        <v>45991.999305555553</v>
      </c>
      <c r="F294" s="42" t="s">
        <v>492</v>
      </c>
    </row>
    <row r="295" spans="1:6" x14ac:dyDescent="0.35">
      <c r="A295" s="42" t="s">
        <v>71</v>
      </c>
      <c r="B295" s="42">
        <v>579.96</v>
      </c>
      <c r="C295" s="43">
        <v>0.15</v>
      </c>
      <c r="D295" s="45">
        <v>45962</v>
      </c>
      <c r="E295" s="45">
        <v>45991.999305555553</v>
      </c>
      <c r="F295" s="42" t="s">
        <v>492</v>
      </c>
    </row>
    <row r="296" spans="1:6" x14ac:dyDescent="0.35">
      <c r="A296" s="42" t="s">
        <v>25</v>
      </c>
      <c r="B296" s="42">
        <v>639.96</v>
      </c>
      <c r="C296" s="43">
        <v>0.15</v>
      </c>
      <c r="D296" s="45">
        <v>45962</v>
      </c>
      <c r="E296" s="45">
        <v>45991.999305555553</v>
      </c>
      <c r="F296" s="42" t="s">
        <v>492</v>
      </c>
    </row>
    <row r="297" spans="1:6" x14ac:dyDescent="0.35">
      <c r="A297" s="42" t="s">
        <v>23</v>
      </c>
      <c r="B297" s="42">
        <v>469.96</v>
      </c>
      <c r="C297" s="43">
        <v>0.15</v>
      </c>
      <c r="D297" s="45">
        <v>45962</v>
      </c>
      <c r="E297" s="45">
        <v>45991.999305555553</v>
      </c>
      <c r="F297" s="42" t="s">
        <v>492</v>
      </c>
    </row>
    <row r="298" spans="1:6" x14ac:dyDescent="0.35">
      <c r="A298" s="42" t="s">
        <v>75</v>
      </c>
      <c r="B298" s="42">
        <v>469.96</v>
      </c>
      <c r="C298" s="43">
        <v>0.15</v>
      </c>
      <c r="D298" s="45">
        <v>45962</v>
      </c>
      <c r="E298" s="45">
        <v>45991.999305555553</v>
      </c>
      <c r="F298" s="42" t="s">
        <v>492</v>
      </c>
    </row>
    <row r="299" spans="1:6" x14ac:dyDescent="0.35">
      <c r="A299" s="42" t="s">
        <v>283</v>
      </c>
      <c r="B299" s="42">
        <v>839.96</v>
      </c>
      <c r="C299" s="43">
        <v>0.15</v>
      </c>
      <c r="D299" s="45">
        <v>45962</v>
      </c>
      <c r="E299" s="45">
        <v>45991.999305555553</v>
      </c>
      <c r="F299" s="42" t="s">
        <v>492</v>
      </c>
    </row>
    <row r="300" spans="1:6" x14ac:dyDescent="0.35">
      <c r="A300" s="42" t="s">
        <v>63</v>
      </c>
      <c r="B300" s="42">
        <v>1529.96</v>
      </c>
      <c r="C300" s="43">
        <v>0.15</v>
      </c>
      <c r="D300" s="45">
        <v>45962</v>
      </c>
      <c r="E300" s="45">
        <v>45991.999305555553</v>
      </c>
      <c r="F300" s="42" t="s">
        <v>492</v>
      </c>
    </row>
    <row r="301" spans="1:6" x14ac:dyDescent="0.35">
      <c r="A301" s="42" t="s">
        <v>42</v>
      </c>
      <c r="B301" s="42">
        <v>919.96</v>
      </c>
      <c r="C301" s="43">
        <v>0.15</v>
      </c>
      <c r="D301" s="45">
        <v>45962</v>
      </c>
      <c r="E301" s="45">
        <v>45991.999305555553</v>
      </c>
      <c r="F301" s="42" t="s">
        <v>492</v>
      </c>
    </row>
    <row r="302" spans="1:6" x14ac:dyDescent="0.35">
      <c r="A302" s="42" t="s">
        <v>401</v>
      </c>
      <c r="B302" s="42">
        <v>1469.96</v>
      </c>
      <c r="C302" s="43">
        <v>0.15</v>
      </c>
      <c r="D302" s="45">
        <v>45962</v>
      </c>
      <c r="E302" s="45">
        <v>45991.999305555553</v>
      </c>
      <c r="F302" s="42" t="s">
        <v>492</v>
      </c>
    </row>
    <row r="303" spans="1:6" x14ac:dyDescent="0.35">
      <c r="A303" s="42" t="s">
        <v>35</v>
      </c>
      <c r="B303" s="42">
        <v>1559.96</v>
      </c>
      <c r="C303" s="43">
        <v>0.15</v>
      </c>
      <c r="D303" s="45">
        <v>45962</v>
      </c>
      <c r="E303" s="45">
        <v>45991.999305555553</v>
      </c>
      <c r="F303" s="42" t="s">
        <v>492</v>
      </c>
    </row>
    <row r="304" spans="1:6" x14ac:dyDescent="0.35">
      <c r="A304" s="42" t="s">
        <v>61</v>
      </c>
      <c r="B304" s="42">
        <v>1289.96</v>
      </c>
      <c r="C304" s="43">
        <v>0.15</v>
      </c>
      <c r="D304" s="45">
        <v>45962</v>
      </c>
      <c r="E304" s="45">
        <v>45991.999305555553</v>
      </c>
      <c r="F304" s="42" t="s">
        <v>492</v>
      </c>
    </row>
    <row r="305" spans="1:6" x14ac:dyDescent="0.35">
      <c r="A305" s="42" t="s">
        <v>304</v>
      </c>
      <c r="B305" s="42">
        <v>1289.96</v>
      </c>
      <c r="C305" s="43">
        <v>0.15</v>
      </c>
      <c r="D305" s="45">
        <v>45962</v>
      </c>
      <c r="E305" s="45">
        <v>45991.999305555553</v>
      </c>
      <c r="F305" s="42" t="s">
        <v>492</v>
      </c>
    </row>
    <row r="306" spans="1:6" x14ac:dyDescent="0.35">
      <c r="A306" s="42" t="s">
        <v>266</v>
      </c>
      <c r="B306" s="42">
        <v>1529.96</v>
      </c>
      <c r="C306" s="43">
        <v>0.15</v>
      </c>
      <c r="D306" s="45">
        <v>45962</v>
      </c>
      <c r="E306" s="45">
        <v>45991.999305555553</v>
      </c>
      <c r="F306" s="42" t="s">
        <v>492</v>
      </c>
    </row>
    <row r="307" spans="1:6" x14ac:dyDescent="0.35">
      <c r="A307" s="42" t="s">
        <v>607</v>
      </c>
      <c r="B307" s="42">
        <v>2739.96</v>
      </c>
      <c r="C307" s="43">
        <v>0.15</v>
      </c>
      <c r="D307" s="45">
        <v>45962</v>
      </c>
      <c r="E307" s="45">
        <v>45991.999305555553</v>
      </c>
      <c r="F307" s="42" t="s">
        <v>492</v>
      </c>
    </row>
    <row r="308" spans="1:6" x14ac:dyDescent="0.35">
      <c r="A308" s="42" t="s">
        <v>37</v>
      </c>
      <c r="B308" s="42">
        <v>1519.96</v>
      </c>
      <c r="C308" s="43">
        <v>0.15</v>
      </c>
      <c r="D308" s="45">
        <v>45962</v>
      </c>
      <c r="E308" s="45">
        <v>45991.999305555553</v>
      </c>
      <c r="F308" s="42" t="s">
        <v>492</v>
      </c>
    </row>
    <row r="309" spans="1:6" x14ac:dyDescent="0.35">
      <c r="A309" s="42" t="s">
        <v>608</v>
      </c>
      <c r="B309" s="42">
        <v>1289.96</v>
      </c>
      <c r="C309" s="43">
        <v>0.15</v>
      </c>
      <c r="D309" s="45">
        <v>45962</v>
      </c>
      <c r="E309" s="45">
        <v>45991.999305555553</v>
      </c>
      <c r="F309" s="42" t="s">
        <v>492</v>
      </c>
    </row>
    <row r="310" spans="1:6" x14ac:dyDescent="0.35">
      <c r="A310" s="42" t="s">
        <v>609</v>
      </c>
      <c r="B310" s="42">
        <v>1759.96</v>
      </c>
      <c r="C310" s="43">
        <v>0.15</v>
      </c>
      <c r="D310" s="45">
        <v>45962</v>
      </c>
      <c r="E310" s="45">
        <v>45991.999305555553</v>
      </c>
      <c r="F310" s="42" t="s">
        <v>492</v>
      </c>
    </row>
    <row r="311" spans="1:6" x14ac:dyDescent="0.35">
      <c r="A311" s="42" t="s">
        <v>407</v>
      </c>
      <c r="B311" s="42">
        <v>2019.96</v>
      </c>
      <c r="C311" s="43">
        <v>0.15</v>
      </c>
      <c r="D311" s="45">
        <v>45962</v>
      </c>
      <c r="E311" s="45">
        <v>45991.999305555553</v>
      </c>
      <c r="F311" s="42" t="s">
        <v>492</v>
      </c>
    </row>
    <row r="312" spans="1:6" x14ac:dyDescent="0.35">
      <c r="A312" s="42" t="s">
        <v>610</v>
      </c>
      <c r="B312" s="42">
        <v>1879.96</v>
      </c>
      <c r="C312" s="43">
        <v>0.15</v>
      </c>
      <c r="D312" s="45">
        <v>45962</v>
      </c>
      <c r="E312" s="45">
        <v>45991.999305555553</v>
      </c>
      <c r="F312" s="42" t="s">
        <v>492</v>
      </c>
    </row>
    <row r="313" spans="1:6" x14ac:dyDescent="0.35">
      <c r="A313" s="42" t="s">
        <v>611</v>
      </c>
      <c r="B313" s="42">
        <v>1529.96</v>
      </c>
      <c r="C313" s="43">
        <v>0.15</v>
      </c>
      <c r="D313" s="45">
        <v>45962</v>
      </c>
      <c r="E313" s="45">
        <v>45991.999305555553</v>
      </c>
      <c r="F313" s="42" t="s">
        <v>492</v>
      </c>
    </row>
    <row r="314" spans="1:6" x14ac:dyDescent="0.35">
      <c r="A314" s="42" t="s">
        <v>270</v>
      </c>
      <c r="B314" s="42">
        <v>1289.96</v>
      </c>
      <c r="C314" s="43">
        <v>0.15</v>
      </c>
      <c r="D314" s="45">
        <v>45962</v>
      </c>
      <c r="E314" s="45">
        <v>45991.999305555553</v>
      </c>
      <c r="F314" s="42" t="s">
        <v>492</v>
      </c>
    </row>
    <row r="315" spans="1:6" x14ac:dyDescent="0.35">
      <c r="A315" s="42" t="s">
        <v>612</v>
      </c>
      <c r="B315" s="42">
        <v>989.96</v>
      </c>
      <c r="C315" s="43">
        <v>0.15</v>
      </c>
      <c r="D315" s="45">
        <v>45962</v>
      </c>
      <c r="E315" s="45">
        <v>45991.999305555553</v>
      </c>
      <c r="F315" s="42" t="s">
        <v>492</v>
      </c>
    </row>
    <row r="316" spans="1:6" x14ac:dyDescent="0.35">
      <c r="A316" s="42" t="s">
        <v>33</v>
      </c>
      <c r="B316" s="42">
        <v>969.96</v>
      </c>
      <c r="C316" s="43">
        <v>0.15</v>
      </c>
      <c r="D316" s="45">
        <v>45962</v>
      </c>
      <c r="E316" s="45">
        <v>45991.999305555553</v>
      </c>
      <c r="F316" s="42" t="s">
        <v>492</v>
      </c>
    </row>
    <row r="317" spans="1:6" x14ac:dyDescent="0.35">
      <c r="A317" s="42" t="s">
        <v>613</v>
      </c>
      <c r="B317" s="42">
        <v>739.96</v>
      </c>
      <c r="C317" s="43">
        <v>0.15</v>
      </c>
      <c r="D317" s="45">
        <v>45962</v>
      </c>
      <c r="E317" s="45">
        <v>45991.999305555553</v>
      </c>
      <c r="F317" s="42" t="s">
        <v>492</v>
      </c>
    </row>
    <row r="318" spans="1:6" x14ac:dyDescent="0.35">
      <c r="A318" s="42" t="s">
        <v>614</v>
      </c>
      <c r="B318" s="42">
        <v>539.96</v>
      </c>
      <c r="C318" s="43">
        <v>0.15</v>
      </c>
      <c r="D318" s="45">
        <v>45962</v>
      </c>
      <c r="E318" s="45">
        <v>45991.999305555553</v>
      </c>
      <c r="F318" s="42" t="s">
        <v>492</v>
      </c>
    </row>
    <row r="319" spans="1:6" x14ac:dyDescent="0.35">
      <c r="A319" s="42" t="s">
        <v>589</v>
      </c>
      <c r="B319" s="42">
        <v>679.96</v>
      </c>
      <c r="C319" s="43">
        <v>0.15</v>
      </c>
      <c r="D319" s="45">
        <v>45962</v>
      </c>
      <c r="E319" s="45">
        <v>45991.999305555553</v>
      </c>
      <c r="F319" s="42" t="s">
        <v>492</v>
      </c>
    </row>
    <row r="320" spans="1:6" x14ac:dyDescent="0.35">
      <c r="A320" s="42" t="s">
        <v>615</v>
      </c>
      <c r="B320" s="42">
        <v>579.96</v>
      </c>
      <c r="C320" s="43">
        <v>0.15</v>
      </c>
      <c r="D320" s="45">
        <v>45962</v>
      </c>
      <c r="E320" s="45">
        <v>45991.999305555553</v>
      </c>
      <c r="F320" s="42" t="s">
        <v>492</v>
      </c>
    </row>
    <row r="321" spans="1:6" x14ac:dyDescent="0.35">
      <c r="A321" s="42" t="s">
        <v>578</v>
      </c>
      <c r="B321" s="42">
        <v>469.96</v>
      </c>
      <c r="C321" s="43">
        <v>0.15</v>
      </c>
      <c r="D321" s="45">
        <v>45962</v>
      </c>
      <c r="E321" s="45">
        <v>45991.999305555553</v>
      </c>
      <c r="F321" s="42" t="s">
        <v>492</v>
      </c>
    </row>
    <row r="322" spans="1:6" x14ac:dyDescent="0.35">
      <c r="A322" s="42" t="s">
        <v>601</v>
      </c>
      <c r="B322" s="42">
        <v>559.96</v>
      </c>
      <c r="C322" s="43">
        <v>0.17</v>
      </c>
      <c r="D322" s="45">
        <v>45962</v>
      </c>
      <c r="E322" s="45">
        <v>45991.999305555553</v>
      </c>
      <c r="F322" s="42" t="s">
        <v>492</v>
      </c>
    </row>
    <row r="323" spans="1:6" x14ac:dyDescent="0.35">
      <c r="A323" s="42" t="s">
        <v>602</v>
      </c>
      <c r="B323" s="42">
        <v>599.96</v>
      </c>
      <c r="C323" s="43">
        <v>0.17</v>
      </c>
      <c r="D323" s="45">
        <v>45962</v>
      </c>
      <c r="E323" s="45">
        <v>45991.999305555553</v>
      </c>
      <c r="F323" s="42" t="s">
        <v>492</v>
      </c>
    </row>
    <row r="324" spans="1:6" x14ac:dyDescent="0.35">
      <c r="A324" s="42" t="s">
        <v>603</v>
      </c>
      <c r="B324" s="42">
        <v>939.96</v>
      </c>
      <c r="C324" s="43">
        <v>0.17</v>
      </c>
      <c r="D324" s="45">
        <v>45962</v>
      </c>
      <c r="E324" s="45">
        <v>45991.999305555553</v>
      </c>
      <c r="F324" s="42" t="s">
        <v>492</v>
      </c>
    </row>
    <row r="325" spans="1:6" x14ac:dyDescent="0.35">
      <c r="A325" s="42" t="s">
        <v>501</v>
      </c>
      <c r="B325" s="42">
        <v>989.96</v>
      </c>
      <c r="C325" s="43">
        <v>0.17</v>
      </c>
      <c r="D325" s="45">
        <v>45962</v>
      </c>
      <c r="E325" s="45">
        <v>45991.999305555553</v>
      </c>
      <c r="F325" s="42" t="s">
        <v>492</v>
      </c>
    </row>
    <row r="326" spans="1:6" x14ac:dyDescent="0.35">
      <c r="A326" s="42" t="s">
        <v>523</v>
      </c>
      <c r="B326" s="42">
        <v>919.96</v>
      </c>
      <c r="C326" s="43">
        <v>0.17</v>
      </c>
      <c r="D326" s="45">
        <v>45962</v>
      </c>
      <c r="E326" s="45">
        <v>45991.999305555553</v>
      </c>
      <c r="F326" s="42" t="s">
        <v>492</v>
      </c>
    </row>
    <row r="327" spans="1:6" x14ac:dyDescent="0.35">
      <c r="A327" s="42" t="s">
        <v>604</v>
      </c>
      <c r="B327" s="42">
        <v>939.96</v>
      </c>
      <c r="C327" s="43">
        <v>0.17</v>
      </c>
      <c r="D327" s="45">
        <v>45962</v>
      </c>
      <c r="E327" s="45">
        <v>45991.999305555553</v>
      </c>
      <c r="F327" s="42" t="s">
        <v>492</v>
      </c>
    </row>
    <row r="328" spans="1:6" x14ac:dyDescent="0.35">
      <c r="A328" s="42" t="s">
        <v>605</v>
      </c>
      <c r="B328" s="42">
        <v>699.96</v>
      </c>
      <c r="C328" s="43">
        <v>0.17</v>
      </c>
      <c r="D328" s="45">
        <v>45962</v>
      </c>
      <c r="E328" s="45">
        <v>45991.999305555553</v>
      </c>
      <c r="F328" s="42" t="s">
        <v>492</v>
      </c>
    </row>
    <row r="329" spans="1:6" x14ac:dyDescent="0.35">
      <c r="A329" s="42" t="s">
        <v>606</v>
      </c>
      <c r="B329" s="42">
        <v>1319.96</v>
      </c>
      <c r="C329" s="43">
        <v>0.17</v>
      </c>
      <c r="D329" s="45">
        <v>45962</v>
      </c>
      <c r="E329" s="45">
        <v>45991.999305555553</v>
      </c>
      <c r="F329" s="42" t="s">
        <v>492</v>
      </c>
    </row>
    <row r="330" spans="1:6" x14ac:dyDescent="0.35">
      <c r="A330" s="42" t="s">
        <v>59</v>
      </c>
      <c r="B330" s="42">
        <v>859.96</v>
      </c>
      <c r="C330" s="43">
        <v>0.17</v>
      </c>
      <c r="D330" s="45">
        <v>45962</v>
      </c>
      <c r="E330" s="45">
        <v>45991.999305555553</v>
      </c>
      <c r="F330" s="42" t="s">
        <v>492</v>
      </c>
    </row>
    <row r="331" spans="1:6" x14ac:dyDescent="0.35">
      <c r="A331" s="42" t="s">
        <v>58</v>
      </c>
      <c r="B331" s="42">
        <v>859.96</v>
      </c>
      <c r="C331" s="43">
        <v>0.17</v>
      </c>
      <c r="D331" s="45">
        <v>45962</v>
      </c>
      <c r="E331" s="45">
        <v>45991.999305555553</v>
      </c>
      <c r="F331" s="42" t="s">
        <v>492</v>
      </c>
    </row>
    <row r="332" spans="1:6" x14ac:dyDescent="0.35">
      <c r="A332" s="42" t="s">
        <v>122</v>
      </c>
      <c r="B332" s="42">
        <v>759.96</v>
      </c>
      <c r="C332" s="43">
        <v>0.17</v>
      </c>
      <c r="D332" s="45">
        <v>45962</v>
      </c>
      <c r="E332" s="45">
        <v>45991.999305555553</v>
      </c>
      <c r="F332" s="42" t="s">
        <v>492</v>
      </c>
    </row>
    <row r="333" spans="1:6" x14ac:dyDescent="0.35">
      <c r="A333" s="42" t="s">
        <v>27</v>
      </c>
      <c r="B333" s="42">
        <v>759.96</v>
      </c>
      <c r="C333" s="43">
        <v>0.17</v>
      </c>
      <c r="D333" s="45">
        <v>45962</v>
      </c>
      <c r="E333" s="45">
        <v>45991.999305555553</v>
      </c>
      <c r="F333" s="42" t="s">
        <v>492</v>
      </c>
    </row>
    <row r="334" spans="1:6" x14ac:dyDescent="0.35">
      <c r="A334" s="42" t="s">
        <v>14</v>
      </c>
      <c r="B334" s="42">
        <v>439.96</v>
      </c>
      <c r="C334" s="43">
        <v>0.17</v>
      </c>
      <c r="D334" s="45">
        <v>45962</v>
      </c>
      <c r="E334" s="45">
        <v>45991.999305555553</v>
      </c>
      <c r="F334" s="42" t="s">
        <v>492</v>
      </c>
    </row>
    <row r="335" spans="1:6" x14ac:dyDescent="0.35">
      <c r="A335" s="42" t="s">
        <v>12</v>
      </c>
      <c r="B335" s="42">
        <v>439.96</v>
      </c>
      <c r="C335" s="43">
        <v>0.17</v>
      </c>
      <c r="D335" s="45">
        <v>45962</v>
      </c>
      <c r="E335" s="45">
        <v>45991.999305555553</v>
      </c>
      <c r="F335" s="42" t="s">
        <v>492</v>
      </c>
    </row>
    <row r="336" spans="1:6" x14ac:dyDescent="0.35">
      <c r="A336" s="42" t="s">
        <v>399</v>
      </c>
      <c r="B336" s="42">
        <v>759.96</v>
      </c>
      <c r="C336" s="43">
        <v>0.17</v>
      </c>
      <c r="D336" s="45">
        <v>45962</v>
      </c>
      <c r="E336" s="45">
        <v>45991.999305555553</v>
      </c>
      <c r="F336" s="42" t="s">
        <v>492</v>
      </c>
    </row>
    <row r="337" spans="1:6" x14ac:dyDescent="0.35">
      <c r="A337" s="42" t="s">
        <v>79</v>
      </c>
      <c r="B337" s="42">
        <v>579.96</v>
      </c>
      <c r="C337" s="43">
        <v>0.17</v>
      </c>
      <c r="D337" s="45">
        <v>45962</v>
      </c>
      <c r="E337" s="45">
        <v>45991.999305555553</v>
      </c>
      <c r="F337" s="42" t="s">
        <v>492</v>
      </c>
    </row>
    <row r="338" spans="1:6" x14ac:dyDescent="0.35">
      <c r="A338" s="42" t="s">
        <v>265</v>
      </c>
      <c r="B338" s="42">
        <v>789.96</v>
      </c>
      <c r="C338" s="43">
        <v>0.17</v>
      </c>
      <c r="D338" s="45">
        <v>45962</v>
      </c>
      <c r="E338" s="45">
        <v>45991.999305555553</v>
      </c>
      <c r="F338" s="42" t="s">
        <v>492</v>
      </c>
    </row>
    <row r="339" spans="1:6" x14ac:dyDescent="0.35">
      <c r="A339" s="42" t="s">
        <v>29</v>
      </c>
      <c r="B339" s="42">
        <v>789.96</v>
      </c>
      <c r="C339" s="43">
        <v>0.17</v>
      </c>
      <c r="D339" s="45">
        <v>45962</v>
      </c>
      <c r="E339" s="45">
        <v>45991.999305555553</v>
      </c>
      <c r="F339" s="42" t="s">
        <v>492</v>
      </c>
    </row>
    <row r="340" spans="1:6" x14ac:dyDescent="0.35">
      <c r="A340" s="42" t="s">
        <v>55</v>
      </c>
      <c r="B340" s="42">
        <v>789.96</v>
      </c>
      <c r="C340" s="43">
        <v>0.17</v>
      </c>
      <c r="D340" s="45">
        <v>45962</v>
      </c>
      <c r="E340" s="45">
        <v>45991.999305555553</v>
      </c>
      <c r="F340" s="42" t="s">
        <v>492</v>
      </c>
    </row>
    <row r="341" spans="1:6" x14ac:dyDescent="0.35">
      <c r="A341" s="42" t="s">
        <v>89</v>
      </c>
      <c r="B341" s="42">
        <v>939.96</v>
      </c>
      <c r="C341" s="43">
        <v>0.17</v>
      </c>
      <c r="D341" s="45">
        <v>45962</v>
      </c>
      <c r="E341" s="45">
        <v>45991.999305555553</v>
      </c>
      <c r="F341" s="42" t="s">
        <v>492</v>
      </c>
    </row>
    <row r="342" spans="1:6" x14ac:dyDescent="0.35">
      <c r="A342" s="42" t="s">
        <v>21</v>
      </c>
      <c r="B342" s="42">
        <v>599.96</v>
      </c>
      <c r="C342" s="43">
        <v>0.17</v>
      </c>
      <c r="D342" s="45">
        <v>45962</v>
      </c>
      <c r="E342" s="45">
        <v>45991.999305555553</v>
      </c>
      <c r="F342" s="42" t="s">
        <v>492</v>
      </c>
    </row>
    <row r="343" spans="1:6" x14ac:dyDescent="0.35">
      <c r="A343" s="42" t="s">
        <v>16</v>
      </c>
      <c r="B343" s="42">
        <v>459.96</v>
      </c>
      <c r="C343" s="43">
        <v>0.17</v>
      </c>
      <c r="D343" s="45">
        <v>45962</v>
      </c>
      <c r="E343" s="45">
        <v>45991.999305555553</v>
      </c>
      <c r="F343" s="42" t="s">
        <v>492</v>
      </c>
    </row>
    <row r="344" spans="1:6" x14ac:dyDescent="0.35">
      <c r="A344" s="42" t="s">
        <v>8</v>
      </c>
      <c r="B344" s="42">
        <v>399.96</v>
      </c>
      <c r="C344" s="43">
        <v>0.17</v>
      </c>
      <c r="D344" s="45">
        <v>45962</v>
      </c>
      <c r="E344" s="45">
        <v>45991.999305555553</v>
      </c>
      <c r="F344" s="42" t="s">
        <v>492</v>
      </c>
    </row>
    <row r="345" spans="1:6" x14ac:dyDescent="0.35">
      <c r="A345" s="42" t="s">
        <v>15</v>
      </c>
      <c r="B345" s="42">
        <v>459.96</v>
      </c>
      <c r="C345" s="43">
        <v>0.17</v>
      </c>
      <c r="D345" s="45">
        <v>45962</v>
      </c>
      <c r="E345" s="45">
        <v>45991.999305555553</v>
      </c>
      <c r="F345" s="42" t="s">
        <v>492</v>
      </c>
    </row>
    <row r="346" spans="1:6" x14ac:dyDescent="0.35">
      <c r="A346" s="42" t="s">
        <v>9</v>
      </c>
      <c r="B346" s="42">
        <v>399.96</v>
      </c>
      <c r="C346" s="43">
        <v>0.17</v>
      </c>
      <c r="D346" s="45">
        <v>45962</v>
      </c>
      <c r="E346" s="45">
        <v>45991.999305555553</v>
      </c>
      <c r="F346" s="42" t="s">
        <v>492</v>
      </c>
    </row>
    <row r="347" spans="1:6" x14ac:dyDescent="0.35">
      <c r="A347" s="42" t="s">
        <v>31</v>
      </c>
      <c r="B347" s="42">
        <v>859.96</v>
      </c>
      <c r="C347" s="43">
        <v>0.17</v>
      </c>
      <c r="D347" s="45">
        <v>45962</v>
      </c>
      <c r="E347" s="45">
        <v>45991.999305555553</v>
      </c>
      <c r="F347" s="42" t="s">
        <v>492</v>
      </c>
    </row>
    <row r="348" spans="1:6" x14ac:dyDescent="0.35">
      <c r="A348" s="42" t="s">
        <v>40</v>
      </c>
      <c r="B348" s="42">
        <v>859.96</v>
      </c>
      <c r="C348" s="43">
        <v>0.17</v>
      </c>
      <c r="D348" s="45">
        <v>45962</v>
      </c>
      <c r="E348" s="45">
        <v>45991.999305555553</v>
      </c>
      <c r="F348" s="42" t="s">
        <v>492</v>
      </c>
    </row>
    <row r="349" spans="1:6" x14ac:dyDescent="0.35">
      <c r="A349" s="42" t="s">
        <v>316</v>
      </c>
      <c r="B349" s="42">
        <v>1879.96</v>
      </c>
      <c r="C349" s="43">
        <v>0.17</v>
      </c>
      <c r="D349" s="45">
        <v>45962</v>
      </c>
      <c r="E349" s="45">
        <v>45991.999305555553</v>
      </c>
      <c r="F349" s="42" t="s">
        <v>492</v>
      </c>
    </row>
    <row r="350" spans="1:6" x14ac:dyDescent="0.35">
      <c r="A350" s="42" t="s">
        <v>57</v>
      </c>
      <c r="B350" s="42">
        <v>859.96</v>
      </c>
      <c r="C350" s="43">
        <v>0.17</v>
      </c>
      <c r="D350" s="45">
        <v>45962</v>
      </c>
      <c r="E350" s="45">
        <v>45991.999305555553</v>
      </c>
      <c r="F350" s="42" t="s">
        <v>492</v>
      </c>
    </row>
    <row r="351" spans="1:6" x14ac:dyDescent="0.35">
      <c r="A351" s="42" t="s">
        <v>65</v>
      </c>
      <c r="B351" s="42">
        <v>1569.96</v>
      </c>
      <c r="C351" s="43">
        <v>0.17</v>
      </c>
      <c r="D351" s="45">
        <v>45962</v>
      </c>
      <c r="E351" s="45">
        <v>45991.999305555553</v>
      </c>
      <c r="F351" s="42" t="s">
        <v>492</v>
      </c>
    </row>
    <row r="352" spans="1:6" x14ac:dyDescent="0.35">
      <c r="A352" s="42" t="s">
        <v>400</v>
      </c>
      <c r="B352" s="42">
        <v>1289.96</v>
      </c>
      <c r="C352" s="43">
        <v>0.17</v>
      </c>
      <c r="D352" s="45">
        <v>45962</v>
      </c>
      <c r="E352" s="45">
        <v>45991.999305555553</v>
      </c>
      <c r="F352" s="42" t="s">
        <v>492</v>
      </c>
    </row>
    <row r="353" spans="1:6" x14ac:dyDescent="0.35">
      <c r="A353" s="42" t="s">
        <v>267</v>
      </c>
      <c r="B353" s="42">
        <v>1249.96</v>
      </c>
      <c r="C353" s="43">
        <v>0.17</v>
      </c>
      <c r="D353" s="45">
        <v>45962</v>
      </c>
      <c r="E353" s="45">
        <v>45991.999305555553</v>
      </c>
      <c r="F353" s="42" t="s">
        <v>492</v>
      </c>
    </row>
    <row r="354" spans="1:6" x14ac:dyDescent="0.35">
      <c r="A354" s="42" t="s">
        <v>54</v>
      </c>
      <c r="B354" s="42">
        <v>579.96</v>
      </c>
      <c r="C354" s="43">
        <v>0.17</v>
      </c>
      <c r="D354" s="45">
        <v>45962</v>
      </c>
      <c r="E354" s="45">
        <v>45991.999305555553</v>
      </c>
      <c r="F354" s="42" t="s">
        <v>492</v>
      </c>
    </row>
    <row r="355" spans="1:6" x14ac:dyDescent="0.35">
      <c r="A355" s="42" t="s">
        <v>281</v>
      </c>
      <c r="B355" s="42">
        <v>1759.96</v>
      </c>
      <c r="C355" s="43">
        <v>0.17</v>
      </c>
      <c r="D355" s="45">
        <v>45962</v>
      </c>
      <c r="E355" s="45">
        <v>45991.999305555553</v>
      </c>
      <c r="F355" s="42" t="s">
        <v>492</v>
      </c>
    </row>
    <row r="356" spans="1:6" x14ac:dyDescent="0.35">
      <c r="A356" s="42" t="s">
        <v>88</v>
      </c>
      <c r="B356" s="42">
        <v>1249.96</v>
      </c>
      <c r="C356" s="43">
        <v>0.17</v>
      </c>
      <c r="D356" s="45">
        <v>45962</v>
      </c>
      <c r="E356" s="45">
        <v>45991.999305555553</v>
      </c>
      <c r="F356" s="42" t="s">
        <v>492</v>
      </c>
    </row>
    <row r="357" spans="1:6" x14ac:dyDescent="0.35">
      <c r="A357" s="42" t="s">
        <v>121</v>
      </c>
      <c r="B357" s="42">
        <v>1459.96</v>
      </c>
      <c r="C357" s="43">
        <v>0.17</v>
      </c>
      <c r="D357" s="45">
        <v>45962</v>
      </c>
      <c r="E357" s="45">
        <v>45991.999305555553</v>
      </c>
      <c r="F357" s="42" t="s">
        <v>492</v>
      </c>
    </row>
    <row r="358" spans="1:6" x14ac:dyDescent="0.35">
      <c r="A358" s="42" t="s">
        <v>282</v>
      </c>
      <c r="B358" s="42">
        <v>639.96</v>
      </c>
      <c r="C358" s="43">
        <v>0.17</v>
      </c>
      <c r="D358" s="45">
        <v>45962</v>
      </c>
      <c r="E358" s="45">
        <v>45991.999305555553</v>
      </c>
      <c r="F358" s="42" t="s">
        <v>492</v>
      </c>
    </row>
    <row r="359" spans="1:6" x14ac:dyDescent="0.35">
      <c r="A359" s="42" t="s">
        <v>71</v>
      </c>
      <c r="B359" s="42">
        <v>599.96</v>
      </c>
      <c r="C359" s="43">
        <v>0.17</v>
      </c>
      <c r="D359" s="45">
        <v>45962</v>
      </c>
      <c r="E359" s="45">
        <v>45991.999305555553</v>
      </c>
      <c r="F359" s="42" t="s">
        <v>492</v>
      </c>
    </row>
    <row r="360" spans="1:6" x14ac:dyDescent="0.35">
      <c r="A360" s="42" t="s">
        <v>25</v>
      </c>
      <c r="B360" s="42">
        <v>659.96</v>
      </c>
      <c r="C360" s="43">
        <v>0.17</v>
      </c>
      <c r="D360" s="45">
        <v>45962</v>
      </c>
      <c r="E360" s="45">
        <v>45991.999305555553</v>
      </c>
      <c r="F360" s="42" t="s">
        <v>492</v>
      </c>
    </row>
    <row r="361" spans="1:6" x14ac:dyDescent="0.35">
      <c r="A361" s="42" t="s">
        <v>23</v>
      </c>
      <c r="B361" s="42">
        <v>479.96</v>
      </c>
      <c r="C361" s="43">
        <v>0.17</v>
      </c>
      <c r="D361" s="45">
        <v>45962</v>
      </c>
      <c r="E361" s="45">
        <v>45991.999305555553</v>
      </c>
      <c r="F361" s="42" t="s">
        <v>492</v>
      </c>
    </row>
    <row r="362" spans="1:6" x14ac:dyDescent="0.35">
      <c r="A362" s="42" t="s">
        <v>75</v>
      </c>
      <c r="B362" s="42">
        <v>479.96</v>
      </c>
      <c r="C362" s="43">
        <v>0.17</v>
      </c>
      <c r="D362" s="45">
        <v>45962</v>
      </c>
      <c r="E362" s="45">
        <v>45991.999305555553</v>
      </c>
      <c r="F362" s="42" t="s">
        <v>492</v>
      </c>
    </row>
    <row r="363" spans="1:6" x14ac:dyDescent="0.35">
      <c r="A363" s="42" t="s">
        <v>283</v>
      </c>
      <c r="B363" s="42">
        <v>859.96</v>
      </c>
      <c r="C363" s="43">
        <v>0.17</v>
      </c>
      <c r="D363" s="45">
        <v>45962</v>
      </c>
      <c r="E363" s="45">
        <v>45991.999305555553</v>
      </c>
      <c r="F363" s="42" t="s">
        <v>492</v>
      </c>
    </row>
    <row r="364" spans="1:6" x14ac:dyDescent="0.35">
      <c r="A364" s="42" t="s">
        <v>63</v>
      </c>
      <c r="B364" s="42">
        <v>1569.96</v>
      </c>
      <c r="C364" s="43">
        <v>0.17</v>
      </c>
      <c r="D364" s="45">
        <v>45962</v>
      </c>
      <c r="E364" s="45">
        <v>45991.999305555553</v>
      </c>
      <c r="F364" s="42" t="s">
        <v>492</v>
      </c>
    </row>
    <row r="365" spans="1:6" x14ac:dyDescent="0.35">
      <c r="A365" s="42" t="s">
        <v>42</v>
      </c>
      <c r="B365" s="42">
        <v>939.96</v>
      </c>
      <c r="C365" s="43">
        <v>0.17</v>
      </c>
      <c r="D365" s="45">
        <v>45962</v>
      </c>
      <c r="E365" s="45">
        <v>45991.999305555553</v>
      </c>
      <c r="F365" s="42" t="s">
        <v>492</v>
      </c>
    </row>
    <row r="366" spans="1:6" x14ac:dyDescent="0.35">
      <c r="A366" s="42" t="s">
        <v>401</v>
      </c>
      <c r="B366" s="42">
        <v>1499.96</v>
      </c>
      <c r="C366" s="43">
        <v>0.17</v>
      </c>
      <c r="D366" s="45">
        <v>45962</v>
      </c>
      <c r="E366" s="45">
        <v>45991.999305555553</v>
      </c>
      <c r="F366" s="42" t="s">
        <v>492</v>
      </c>
    </row>
    <row r="367" spans="1:6" x14ac:dyDescent="0.35">
      <c r="A367" s="42" t="s">
        <v>35</v>
      </c>
      <c r="B367" s="42">
        <v>1599.96</v>
      </c>
      <c r="C367" s="43">
        <v>0.17</v>
      </c>
      <c r="D367" s="45">
        <v>45962</v>
      </c>
      <c r="E367" s="45">
        <v>45991.999305555553</v>
      </c>
      <c r="F367" s="42" t="s">
        <v>492</v>
      </c>
    </row>
    <row r="368" spans="1:6" x14ac:dyDescent="0.35">
      <c r="A368" s="42" t="s">
        <v>61</v>
      </c>
      <c r="B368" s="42">
        <v>1319.96</v>
      </c>
      <c r="C368" s="43">
        <v>0.17</v>
      </c>
      <c r="D368" s="45">
        <v>45962</v>
      </c>
      <c r="E368" s="45">
        <v>45991.999305555553</v>
      </c>
      <c r="F368" s="42" t="s">
        <v>492</v>
      </c>
    </row>
    <row r="369" spans="1:6" x14ac:dyDescent="0.35">
      <c r="A369" s="42" t="s">
        <v>304</v>
      </c>
      <c r="B369" s="42">
        <v>1319.96</v>
      </c>
      <c r="C369" s="43">
        <v>0.17</v>
      </c>
      <c r="D369" s="45">
        <v>45962</v>
      </c>
      <c r="E369" s="45">
        <v>45991.999305555553</v>
      </c>
      <c r="F369" s="42" t="s">
        <v>492</v>
      </c>
    </row>
    <row r="370" spans="1:6" x14ac:dyDescent="0.35">
      <c r="A370" s="42" t="s">
        <v>266</v>
      </c>
      <c r="B370" s="42">
        <v>1569.96</v>
      </c>
      <c r="C370" s="43">
        <v>0.17</v>
      </c>
      <c r="D370" s="45">
        <v>45962</v>
      </c>
      <c r="E370" s="45">
        <v>45991.999305555553</v>
      </c>
      <c r="F370" s="42" t="s">
        <v>492</v>
      </c>
    </row>
    <row r="371" spans="1:6" x14ac:dyDescent="0.35">
      <c r="A371" s="42" t="s">
        <v>607</v>
      </c>
      <c r="B371" s="42">
        <v>2799.96</v>
      </c>
      <c r="C371" s="43">
        <v>0.17</v>
      </c>
      <c r="D371" s="45">
        <v>45962</v>
      </c>
      <c r="E371" s="45">
        <v>45991.999305555553</v>
      </c>
      <c r="F371" s="42" t="s">
        <v>492</v>
      </c>
    </row>
    <row r="372" spans="1:6" x14ac:dyDescent="0.35">
      <c r="A372" s="42" t="s">
        <v>37</v>
      </c>
      <c r="B372" s="42">
        <v>1559.96</v>
      </c>
      <c r="C372" s="43">
        <v>0.17</v>
      </c>
      <c r="D372" s="45">
        <v>45962</v>
      </c>
      <c r="E372" s="45">
        <v>45991.999305555553</v>
      </c>
      <c r="F372" s="42" t="s">
        <v>492</v>
      </c>
    </row>
    <row r="373" spans="1:6" x14ac:dyDescent="0.35">
      <c r="A373" s="42" t="s">
        <v>608</v>
      </c>
      <c r="B373" s="42">
        <v>1319.96</v>
      </c>
      <c r="C373" s="43">
        <v>0.17</v>
      </c>
      <c r="D373" s="45">
        <v>45962</v>
      </c>
      <c r="E373" s="45">
        <v>45991.999305555553</v>
      </c>
      <c r="F373" s="42" t="s">
        <v>492</v>
      </c>
    </row>
    <row r="374" spans="1:6" x14ac:dyDescent="0.35">
      <c r="A374" s="42" t="s">
        <v>609</v>
      </c>
      <c r="B374" s="42">
        <v>1799.96</v>
      </c>
      <c r="C374" s="43">
        <v>0.17</v>
      </c>
      <c r="D374" s="45">
        <v>45962</v>
      </c>
      <c r="E374" s="45">
        <v>45991.999305555553</v>
      </c>
      <c r="F374" s="42" t="s">
        <v>492</v>
      </c>
    </row>
    <row r="375" spans="1:6" x14ac:dyDescent="0.35">
      <c r="A375" s="42" t="s">
        <v>407</v>
      </c>
      <c r="B375" s="42">
        <v>2069.96</v>
      </c>
      <c r="C375" s="43">
        <v>0.17</v>
      </c>
      <c r="D375" s="45">
        <v>45962</v>
      </c>
      <c r="E375" s="45">
        <v>45991.999305555553</v>
      </c>
      <c r="F375" s="42" t="s">
        <v>492</v>
      </c>
    </row>
    <row r="376" spans="1:6" x14ac:dyDescent="0.35">
      <c r="A376" s="42" t="s">
        <v>610</v>
      </c>
      <c r="B376" s="42">
        <v>1919.96</v>
      </c>
      <c r="C376" s="43">
        <v>0.17</v>
      </c>
      <c r="D376" s="45">
        <v>45962</v>
      </c>
      <c r="E376" s="45">
        <v>45991.999305555553</v>
      </c>
      <c r="F376" s="42" t="s">
        <v>492</v>
      </c>
    </row>
    <row r="377" spans="1:6" x14ac:dyDescent="0.35">
      <c r="A377" s="42" t="s">
        <v>611</v>
      </c>
      <c r="B377" s="42">
        <v>1569.96</v>
      </c>
      <c r="C377" s="43">
        <v>0.17</v>
      </c>
      <c r="D377" s="45">
        <v>45962</v>
      </c>
      <c r="E377" s="45">
        <v>45991.999305555553</v>
      </c>
      <c r="F377" s="42" t="s">
        <v>492</v>
      </c>
    </row>
    <row r="378" spans="1:6" x14ac:dyDescent="0.35">
      <c r="A378" s="42" t="s">
        <v>270</v>
      </c>
      <c r="B378" s="42">
        <v>1319.96</v>
      </c>
      <c r="C378" s="43">
        <v>0.17</v>
      </c>
      <c r="D378" s="45">
        <v>45962</v>
      </c>
      <c r="E378" s="45">
        <v>45991.999305555553</v>
      </c>
      <c r="F378" s="42" t="s">
        <v>492</v>
      </c>
    </row>
    <row r="379" spans="1:6" x14ac:dyDescent="0.35">
      <c r="A379" s="42" t="s">
        <v>612</v>
      </c>
      <c r="B379" s="42">
        <v>999.96</v>
      </c>
      <c r="C379" s="43">
        <v>0.17</v>
      </c>
      <c r="D379" s="45">
        <v>45962</v>
      </c>
      <c r="E379" s="45">
        <v>45991.999305555553</v>
      </c>
      <c r="F379" s="42" t="s">
        <v>492</v>
      </c>
    </row>
    <row r="380" spans="1:6" x14ac:dyDescent="0.35">
      <c r="A380" s="42" t="s">
        <v>33</v>
      </c>
      <c r="B380" s="42">
        <v>989.96</v>
      </c>
      <c r="C380" s="43">
        <v>0.17</v>
      </c>
      <c r="D380" s="45">
        <v>45962</v>
      </c>
      <c r="E380" s="45">
        <v>45991.999305555553</v>
      </c>
      <c r="F380" s="42" t="s">
        <v>492</v>
      </c>
    </row>
    <row r="381" spans="1:6" x14ac:dyDescent="0.35">
      <c r="A381" s="42" t="s">
        <v>613</v>
      </c>
      <c r="B381" s="42">
        <v>759.96</v>
      </c>
      <c r="C381" s="43">
        <v>0.17</v>
      </c>
      <c r="D381" s="45">
        <v>45962</v>
      </c>
      <c r="E381" s="45">
        <v>45991.999305555553</v>
      </c>
      <c r="F381" s="42" t="s">
        <v>492</v>
      </c>
    </row>
    <row r="382" spans="1:6" x14ac:dyDescent="0.35">
      <c r="A382" s="42" t="s">
        <v>614</v>
      </c>
      <c r="B382" s="42">
        <v>559.96</v>
      </c>
      <c r="C382" s="43">
        <v>0.17</v>
      </c>
      <c r="D382" s="45">
        <v>45962</v>
      </c>
      <c r="E382" s="45">
        <v>45991.999305555553</v>
      </c>
      <c r="F382" s="42" t="s">
        <v>492</v>
      </c>
    </row>
    <row r="383" spans="1:6" x14ac:dyDescent="0.35">
      <c r="A383" s="42" t="s">
        <v>589</v>
      </c>
      <c r="B383" s="42">
        <v>699.96</v>
      </c>
      <c r="C383" s="43">
        <v>0.17</v>
      </c>
      <c r="D383" s="45">
        <v>45962</v>
      </c>
      <c r="E383" s="45">
        <v>45991.999305555553</v>
      </c>
      <c r="F383" s="42" t="s">
        <v>492</v>
      </c>
    </row>
    <row r="384" spans="1:6" x14ac:dyDescent="0.35">
      <c r="A384" s="42" t="s">
        <v>615</v>
      </c>
      <c r="B384" s="42">
        <v>599.96</v>
      </c>
      <c r="C384" s="43">
        <v>0.17</v>
      </c>
      <c r="D384" s="45">
        <v>45962</v>
      </c>
      <c r="E384" s="45">
        <v>45991.999305555553</v>
      </c>
      <c r="F384" s="42" t="s">
        <v>492</v>
      </c>
    </row>
    <row r="385" spans="1:6" x14ac:dyDescent="0.35">
      <c r="A385" s="42" t="s">
        <v>578</v>
      </c>
      <c r="B385" s="42">
        <v>479.96</v>
      </c>
      <c r="C385" s="43">
        <v>0.17</v>
      </c>
      <c r="D385" s="45">
        <v>45962</v>
      </c>
      <c r="E385" s="45">
        <v>45991.999305555553</v>
      </c>
      <c r="F385" s="42" t="s">
        <v>492</v>
      </c>
    </row>
    <row r="386" spans="1:6" x14ac:dyDescent="0.35">
      <c r="A386" s="42" t="s">
        <v>102</v>
      </c>
      <c r="B386" s="42">
        <v>919.97</v>
      </c>
      <c r="C386" s="43">
        <v>0.06</v>
      </c>
      <c r="D386" s="45">
        <v>45962</v>
      </c>
      <c r="E386" s="45">
        <v>45991.999305555553</v>
      </c>
      <c r="F386" s="42" t="s">
        <v>493</v>
      </c>
    </row>
    <row r="387" spans="1:6" x14ac:dyDescent="0.35">
      <c r="A387" s="42" t="s">
        <v>618</v>
      </c>
      <c r="B387" s="42">
        <v>919.97</v>
      </c>
      <c r="C387" s="43">
        <v>0.06</v>
      </c>
      <c r="D387" s="45">
        <v>45962</v>
      </c>
      <c r="E387" s="45">
        <v>45991.999305555553</v>
      </c>
      <c r="F387" s="42" t="s">
        <v>493</v>
      </c>
    </row>
    <row r="388" spans="1:6" x14ac:dyDescent="0.35">
      <c r="A388" s="42" t="s">
        <v>37</v>
      </c>
      <c r="B388" s="42">
        <v>1369.97</v>
      </c>
      <c r="C388" s="43">
        <v>0.06</v>
      </c>
      <c r="D388" s="45">
        <v>45962</v>
      </c>
      <c r="E388" s="45">
        <v>45991.999305555553</v>
      </c>
      <c r="F388" s="42" t="s">
        <v>493</v>
      </c>
    </row>
    <row r="389" spans="1:6" x14ac:dyDescent="0.35">
      <c r="A389" s="42" t="s">
        <v>49</v>
      </c>
      <c r="B389" s="42">
        <v>1539.97</v>
      </c>
      <c r="C389" s="43">
        <v>0.06</v>
      </c>
      <c r="D389" s="45">
        <v>45962</v>
      </c>
      <c r="E389" s="45">
        <v>45991.999305555553</v>
      </c>
      <c r="F389" s="42" t="s">
        <v>493</v>
      </c>
    </row>
    <row r="390" spans="1:6" x14ac:dyDescent="0.35">
      <c r="A390" s="42" t="s">
        <v>405</v>
      </c>
      <c r="B390" s="42">
        <v>2369.9699999999998</v>
      </c>
      <c r="C390" s="43">
        <v>0.06</v>
      </c>
      <c r="D390" s="45">
        <v>45962</v>
      </c>
      <c r="E390" s="45">
        <v>45991.999305555553</v>
      </c>
      <c r="F390" s="42" t="s">
        <v>493</v>
      </c>
    </row>
    <row r="391" spans="1:6" x14ac:dyDescent="0.35">
      <c r="A391" s="42" t="s">
        <v>546</v>
      </c>
      <c r="B391" s="42">
        <v>279.97000000000003</v>
      </c>
      <c r="C391" s="43">
        <v>0.06</v>
      </c>
      <c r="D391" s="45">
        <v>45962</v>
      </c>
      <c r="E391" s="45">
        <v>45991.999305555553</v>
      </c>
      <c r="F391" s="42" t="s">
        <v>493</v>
      </c>
    </row>
    <row r="392" spans="1:6" x14ac:dyDescent="0.35">
      <c r="A392" s="42" t="s">
        <v>617</v>
      </c>
      <c r="B392" s="42">
        <v>279.97000000000003</v>
      </c>
      <c r="C392" s="43">
        <v>0.06</v>
      </c>
      <c r="D392" s="45">
        <v>45962</v>
      </c>
      <c r="E392" s="45">
        <v>45991.999305555553</v>
      </c>
      <c r="F392" s="42" t="s">
        <v>493</v>
      </c>
    </row>
    <row r="393" spans="1:6" x14ac:dyDescent="0.35">
      <c r="A393" s="42" t="s">
        <v>12</v>
      </c>
      <c r="B393" s="42">
        <v>369.97</v>
      </c>
      <c r="C393" s="43">
        <v>0.06</v>
      </c>
      <c r="D393" s="45">
        <v>45962</v>
      </c>
      <c r="E393" s="45">
        <v>45991.999305555553</v>
      </c>
      <c r="F393" s="42" t="s">
        <v>493</v>
      </c>
    </row>
    <row r="394" spans="1:6" x14ac:dyDescent="0.35">
      <c r="A394" s="42" t="s">
        <v>14</v>
      </c>
      <c r="B394" s="42">
        <v>369.97</v>
      </c>
      <c r="C394" s="43">
        <v>0.06</v>
      </c>
      <c r="D394" s="45">
        <v>45962</v>
      </c>
      <c r="E394" s="45">
        <v>45991.999305555553</v>
      </c>
      <c r="F394" s="42" t="s">
        <v>493</v>
      </c>
    </row>
    <row r="395" spans="1:6" x14ac:dyDescent="0.35">
      <c r="A395" s="42" t="s">
        <v>601</v>
      </c>
      <c r="B395" s="42">
        <v>469.97</v>
      </c>
      <c r="C395" s="43">
        <v>0.06</v>
      </c>
      <c r="D395" s="45">
        <v>45962</v>
      </c>
      <c r="E395" s="45">
        <v>45991.999305555553</v>
      </c>
      <c r="F395" s="42" t="s">
        <v>493</v>
      </c>
    </row>
    <row r="396" spans="1:6" x14ac:dyDescent="0.35">
      <c r="A396" s="42" t="s">
        <v>616</v>
      </c>
      <c r="B396" s="42">
        <v>549.97</v>
      </c>
      <c r="C396" s="43">
        <v>0.06</v>
      </c>
      <c r="D396" s="45">
        <v>45962</v>
      </c>
      <c r="E396" s="45">
        <v>45991.999305555553</v>
      </c>
      <c r="F396" s="42" t="s">
        <v>493</v>
      </c>
    </row>
    <row r="397" spans="1:6" x14ac:dyDescent="0.35">
      <c r="A397" s="42" t="s">
        <v>25</v>
      </c>
      <c r="B397" s="42">
        <v>549.97</v>
      </c>
      <c r="C397" s="43">
        <v>0.06</v>
      </c>
      <c r="D397" s="45">
        <v>45962</v>
      </c>
      <c r="E397" s="45">
        <v>45991.999305555553</v>
      </c>
      <c r="F397" s="42" t="s">
        <v>493</v>
      </c>
    </row>
    <row r="398" spans="1:6" x14ac:dyDescent="0.35">
      <c r="A398" s="42" t="s">
        <v>27</v>
      </c>
      <c r="B398" s="42">
        <v>639.97</v>
      </c>
      <c r="C398" s="43">
        <v>0.06</v>
      </c>
      <c r="D398" s="45">
        <v>45962</v>
      </c>
      <c r="E398" s="45">
        <v>45991.999305555553</v>
      </c>
      <c r="F398" s="42" t="s">
        <v>493</v>
      </c>
    </row>
    <row r="399" spans="1:6" x14ac:dyDescent="0.35">
      <c r="A399" s="42" t="s">
        <v>283</v>
      </c>
      <c r="B399" s="42">
        <v>739.97</v>
      </c>
      <c r="C399" s="43">
        <v>0.06</v>
      </c>
      <c r="D399" s="45">
        <v>45962</v>
      </c>
      <c r="E399" s="45">
        <v>45991.999305555553</v>
      </c>
      <c r="F399" s="42" t="s">
        <v>493</v>
      </c>
    </row>
    <row r="400" spans="1:6" x14ac:dyDescent="0.35">
      <c r="A400" s="42" t="s">
        <v>30</v>
      </c>
      <c r="B400" s="42">
        <v>739.97</v>
      </c>
      <c r="C400" s="43">
        <v>0.06</v>
      </c>
      <c r="D400" s="45">
        <v>45962</v>
      </c>
      <c r="E400" s="45">
        <v>45991.999305555553</v>
      </c>
      <c r="F400" s="42" t="s">
        <v>493</v>
      </c>
    </row>
    <row r="401" spans="1:6" x14ac:dyDescent="0.35">
      <c r="A401" s="42" t="s">
        <v>40</v>
      </c>
      <c r="B401" s="42">
        <v>739.97</v>
      </c>
      <c r="C401" s="43">
        <v>0.06</v>
      </c>
      <c r="D401" s="45">
        <v>45962</v>
      </c>
      <c r="E401" s="45">
        <v>45991.999305555553</v>
      </c>
      <c r="F401" s="42" t="s">
        <v>493</v>
      </c>
    </row>
    <row r="402" spans="1:6" x14ac:dyDescent="0.35">
      <c r="A402" s="42" t="s">
        <v>35</v>
      </c>
      <c r="B402" s="42">
        <v>1399.97</v>
      </c>
      <c r="C402" s="43">
        <v>0.06</v>
      </c>
      <c r="D402" s="45">
        <v>45962</v>
      </c>
      <c r="E402" s="45">
        <v>45991.999305555553</v>
      </c>
      <c r="F402" s="42" t="s">
        <v>493</v>
      </c>
    </row>
    <row r="403" spans="1:6" x14ac:dyDescent="0.35">
      <c r="A403" s="42" t="s">
        <v>268</v>
      </c>
      <c r="B403" s="42">
        <v>1579.97</v>
      </c>
      <c r="C403" s="43">
        <v>0.06</v>
      </c>
      <c r="D403" s="45">
        <v>45962</v>
      </c>
      <c r="E403" s="45">
        <v>45991.999305555553</v>
      </c>
      <c r="F403" s="42" t="s">
        <v>493</v>
      </c>
    </row>
    <row r="404" spans="1:6" x14ac:dyDescent="0.35">
      <c r="A404" s="42" t="s">
        <v>619</v>
      </c>
      <c r="B404" s="42">
        <v>1579.97</v>
      </c>
      <c r="C404" s="43">
        <v>0.06</v>
      </c>
      <c r="D404" s="45">
        <v>45962</v>
      </c>
      <c r="E404" s="45">
        <v>45991.999305555553</v>
      </c>
      <c r="F404" s="42" t="s">
        <v>493</v>
      </c>
    </row>
    <row r="405" spans="1:6" x14ac:dyDescent="0.35">
      <c r="A405" s="42" t="s">
        <v>51</v>
      </c>
      <c r="B405" s="42">
        <v>1959.97</v>
      </c>
      <c r="C405" s="43">
        <v>0.06</v>
      </c>
      <c r="D405" s="45">
        <v>45962</v>
      </c>
      <c r="E405" s="45">
        <v>45991.999305555553</v>
      </c>
      <c r="F405" s="42" t="s">
        <v>493</v>
      </c>
    </row>
    <row r="406" spans="1:6" x14ac:dyDescent="0.35">
      <c r="A406" s="42" t="s">
        <v>554</v>
      </c>
      <c r="B406" s="42">
        <v>299.97000000000003</v>
      </c>
      <c r="C406" s="43">
        <v>0.06</v>
      </c>
      <c r="D406" s="45">
        <v>45962</v>
      </c>
      <c r="E406" s="45">
        <v>45991.999305555553</v>
      </c>
      <c r="F406" s="42" t="s">
        <v>493</v>
      </c>
    </row>
    <row r="407" spans="1:6" x14ac:dyDescent="0.35">
      <c r="A407" s="42" t="s">
        <v>602</v>
      </c>
      <c r="B407" s="42">
        <v>499.97</v>
      </c>
      <c r="C407" s="43">
        <v>0.06</v>
      </c>
      <c r="D407" s="45">
        <v>45962</v>
      </c>
      <c r="E407" s="45">
        <v>45991.999305555553</v>
      </c>
      <c r="F407" s="42" t="s">
        <v>493</v>
      </c>
    </row>
    <row r="408" spans="1:6" x14ac:dyDescent="0.35">
      <c r="A408" s="42" t="s">
        <v>622</v>
      </c>
      <c r="B408" s="42">
        <v>589.97</v>
      </c>
      <c r="C408" s="43">
        <v>0.06</v>
      </c>
      <c r="D408" s="45">
        <v>45962</v>
      </c>
      <c r="E408" s="45">
        <v>45991.999305555553</v>
      </c>
      <c r="F408" s="42" t="s">
        <v>493</v>
      </c>
    </row>
    <row r="409" spans="1:6" x14ac:dyDescent="0.35">
      <c r="A409" s="42" t="s">
        <v>476</v>
      </c>
      <c r="B409" s="42">
        <v>689.97</v>
      </c>
      <c r="C409" s="43">
        <v>0.06</v>
      </c>
      <c r="D409" s="45">
        <v>45962</v>
      </c>
      <c r="E409" s="45">
        <v>45991.999305555553</v>
      </c>
      <c r="F409" s="42" t="s">
        <v>493</v>
      </c>
    </row>
    <row r="410" spans="1:6" x14ac:dyDescent="0.35">
      <c r="A410" s="42" t="s">
        <v>523</v>
      </c>
      <c r="B410" s="42">
        <v>789.97</v>
      </c>
      <c r="C410" s="43">
        <v>0.06</v>
      </c>
      <c r="D410" s="45">
        <v>45962</v>
      </c>
      <c r="E410" s="45">
        <v>45991.999305555553</v>
      </c>
      <c r="F410" s="42" t="s">
        <v>493</v>
      </c>
    </row>
    <row r="411" spans="1:6" x14ac:dyDescent="0.35">
      <c r="A411" s="42" t="s">
        <v>46</v>
      </c>
      <c r="B411" s="42">
        <v>789.97</v>
      </c>
      <c r="C411" s="43">
        <v>0.06</v>
      </c>
      <c r="D411" s="45">
        <v>45962</v>
      </c>
      <c r="E411" s="45">
        <v>45991.999305555553</v>
      </c>
      <c r="F411" s="42" t="s">
        <v>493</v>
      </c>
    </row>
    <row r="412" spans="1:6" x14ac:dyDescent="0.35">
      <c r="A412" s="42" t="s">
        <v>47</v>
      </c>
      <c r="B412" s="42">
        <v>789.97</v>
      </c>
      <c r="C412" s="43">
        <v>0.06</v>
      </c>
      <c r="D412" s="45">
        <v>45962</v>
      </c>
      <c r="E412" s="45">
        <v>45991.999305555553</v>
      </c>
      <c r="F412" s="42" t="s">
        <v>493</v>
      </c>
    </row>
    <row r="413" spans="1:6" x14ac:dyDescent="0.35">
      <c r="A413" s="42" t="s">
        <v>620</v>
      </c>
      <c r="B413" s="42">
        <v>1079.97</v>
      </c>
      <c r="C413" s="43">
        <v>0.06</v>
      </c>
      <c r="D413" s="45">
        <v>45962</v>
      </c>
      <c r="E413" s="45">
        <v>45991.999305555553</v>
      </c>
      <c r="F413" s="42" t="s">
        <v>493</v>
      </c>
    </row>
    <row r="414" spans="1:6" x14ac:dyDescent="0.35">
      <c r="A414" s="42" t="s">
        <v>276</v>
      </c>
      <c r="B414" s="42">
        <v>1379.97</v>
      </c>
      <c r="C414" s="43">
        <v>0.06</v>
      </c>
      <c r="D414" s="45">
        <v>45962</v>
      </c>
      <c r="E414" s="45">
        <v>45991.999305555553</v>
      </c>
      <c r="F414" s="42" t="s">
        <v>493</v>
      </c>
    </row>
    <row r="415" spans="1:6" x14ac:dyDescent="0.35">
      <c r="A415" s="42" t="s">
        <v>404</v>
      </c>
      <c r="B415" s="42">
        <v>489.97</v>
      </c>
      <c r="C415" s="43">
        <v>0.06</v>
      </c>
      <c r="D415" s="45">
        <v>45962</v>
      </c>
      <c r="E415" s="45">
        <v>45991.999305555553</v>
      </c>
      <c r="F415" s="42" t="s">
        <v>493</v>
      </c>
    </row>
    <row r="416" spans="1:6" x14ac:dyDescent="0.35">
      <c r="A416" s="42" t="s">
        <v>105</v>
      </c>
      <c r="B416" s="42">
        <v>1329.97</v>
      </c>
      <c r="C416" s="43">
        <v>0.06</v>
      </c>
      <c r="D416" s="45">
        <v>45962</v>
      </c>
      <c r="E416" s="45">
        <v>45991.999305555553</v>
      </c>
      <c r="F416" s="42" t="s">
        <v>493</v>
      </c>
    </row>
    <row r="417" spans="1:6" x14ac:dyDescent="0.35">
      <c r="A417" s="42" t="s">
        <v>604</v>
      </c>
      <c r="B417" s="42">
        <v>829.97</v>
      </c>
      <c r="C417" s="43">
        <v>0.06</v>
      </c>
      <c r="D417" s="45">
        <v>45962</v>
      </c>
      <c r="E417" s="45">
        <v>45991.999305555553</v>
      </c>
      <c r="F417" s="42" t="s">
        <v>493</v>
      </c>
    </row>
    <row r="418" spans="1:6" x14ac:dyDescent="0.35">
      <c r="A418" s="42" t="s">
        <v>33</v>
      </c>
      <c r="B418" s="42">
        <v>879.97</v>
      </c>
      <c r="C418" s="43">
        <v>0.06</v>
      </c>
      <c r="D418" s="45">
        <v>45962</v>
      </c>
      <c r="E418" s="45">
        <v>45991.999305555553</v>
      </c>
      <c r="F418" s="42" t="s">
        <v>493</v>
      </c>
    </row>
    <row r="419" spans="1:6" x14ac:dyDescent="0.35">
      <c r="A419" s="42" t="s">
        <v>48</v>
      </c>
      <c r="B419" s="42">
        <v>999.97</v>
      </c>
      <c r="C419" s="43">
        <v>0.06</v>
      </c>
      <c r="D419" s="45">
        <v>45962</v>
      </c>
      <c r="E419" s="45">
        <v>45991.999305555553</v>
      </c>
      <c r="F419" s="42" t="s">
        <v>493</v>
      </c>
    </row>
    <row r="420" spans="1:6" x14ac:dyDescent="0.35">
      <c r="A420" s="42" t="s">
        <v>407</v>
      </c>
      <c r="B420" s="42">
        <v>1829.97</v>
      </c>
      <c r="C420" s="43">
        <v>0.06</v>
      </c>
      <c r="D420" s="45">
        <v>45962</v>
      </c>
      <c r="E420" s="45">
        <v>45991.999305555553</v>
      </c>
      <c r="F420" s="42" t="s">
        <v>493</v>
      </c>
    </row>
    <row r="421" spans="1:6" x14ac:dyDescent="0.35">
      <c r="A421" s="42" t="s">
        <v>406</v>
      </c>
      <c r="B421" s="42">
        <v>1829.97</v>
      </c>
      <c r="C421" s="43">
        <v>0.06</v>
      </c>
      <c r="D421" s="45">
        <v>45962</v>
      </c>
      <c r="E421" s="45">
        <v>45991.999305555553</v>
      </c>
      <c r="F421" s="42" t="s">
        <v>493</v>
      </c>
    </row>
    <row r="422" spans="1:6" x14ac:dyDescent="0.35">
      <c r="A422" s="42" t="s">
        <v>54</v>
      </c>
      <c r="B422" s="42">
        <v>489.97</v>
      </c>
      <c r="C422" s="43">
        <v>0.06</v>
      </c>
      <c r="D422" s="45">
        <v>45962</v>
      </c>
      <c r="E422" s="45">
        <v>45991.999305555553</v>
      </c>
      <c r="F422" s="42" t="s">
        <v>493</v>
      </c>
    </row>
    <row r="423" spans="1:6" x14ac:dyDescent="0.35">
      <c r="A423" s="42" t="s">
        <v>75</v>
      </c>
      <c r="B423" s="42">
        <v>419.97</v>
      </c>
      <c r="C423" s="43">
        <v>0.06</v>
      </c>
      <c r="D423" s="45">
        <v>45962</v>
      </c>
      <c r="E423" s="45">
        <v>45991.999305555553</v>
      </c>
      <c r="F423" s="42" t="s">
        <v>493</v>
      </c>
    </row>
    <row r="424" spans="1:6" x14ac:dyDescent="0.35">
      <c r="A424" s="42" t="s">
        <v>45</v>
      </c>
      <c r="B424" s="42">
        <v>419.97</v>
      </c>
      <c r="C424" s="43">
        <v>0.06</v>
      </c>
      <c r="D424" s="45">
        <v>45962</v>
      </c>
      <c r="E424" s="45">
        <v>45991.999305555553</v>
      </c>
      <c r="F424" s="42" t="s">
        <v>493</v>
      </c>
    </row>
    <row r="425" spans="1:6" x14ac:dyDescent="0.35">
      <c r="A425" s="42" t="s">
        <v>23</v>
      </c>
      <c r="B425" s="42">
        <v>419.97</v>
      </c>
      <c r="C425" s="43">
        <v>0.06</v>
      </c>
      <c r="D425" s="45">
        <v>45962</v>
      </c>
      <c r="E425" s="45">
        <v>45991.999305555553</v>
      </c>
      <c r="F425" s="42" t="s">
        <v>493</v>
      </c>
    </row>
    <row r="426" spans="1:6" x14ac:dyDescent="0.35">
      <c r="A426" s="42" t="s">
        <v>327</v>
      </c>
      <c r="B426" s="42">
        <v>2199.9699999999998</v>
      </c>
      <c r="C426" s="43">
        <v>0.06</v>
      </c>
      <c r="D426" s="45">
        <v>45962</v>
      </c>
      <c r="E426" s="45">
        <v>45991.999305555553</v>
      </c>
      <c r="F426" s="42" t="s">
        <v>493</v>
      </c>
    </row>
    <row r="427" spans="1:6" x14ac:dyDescent="0.35">
      <c r="A427" s="42" t="s">
        <v>50</v>
      </c>
      <c r="B427" s="42">
        <v>1749.97</v>
      </c>
      <c r="C427" s="43">
        <v>0.06</v>
      </c>
      <c r="D427" s="45">
        <v>45962</v>
      </c>
      <c r="E427" s="45">
        <v>45991.999305555553</v>
      </c>
      <c r="F427" s="42" t="s">
        <v>493</v>
      </c>
    </row>
    <row r="428" spans="1:6" x14ac:dyDescent="0.35">
      <c r="A428" s="42" t="s">
        <v>621</v>
      </c>
      <c r="B428" s="42">
        <v>1639.97</v>
      </c>
      <c r="C428" s="43">
        <v>0.06</v>
      </c>
      <c r="D428" s="45">
        <v>45962</v>
      </c>
      <c r="E428" s="45">
        <v>45991.999305555553</v>
      </c>
      <c r="F428" s="42" t="s">
        <v>493</v>
      </c>
    </row>
    <row r="429" spans="1:6" x14ac:dyDescent="0.35">
      <c r="A429" s="42" t="s">
        <v>316</v>
      </c>
      <c r="B429" s="42">
        <v>1659.97</v>
      </c>
      <c r="C429" s="43">
        <v>0.06</v>
      </c>
      <c r="D429" s="45">
        <v>45962</v>
      </c>
      <c r="E429" s="45">
        <v>45991.999305555553</v>
      </c>
      <c r="F429" s="42" t="s">
        <v>493</v>
      </c>
    </row>
    <row r="430" spans="1:6" x14ac:dyDescent="0.35">
      <c r="A430" s="42" t="s">
        <v>102</v>
      </c>
      <c r="B430" s="42">
        <v>939.97</v>
      </c>
      <c r="C430" s="43">
        <v>0.08</v>
      </c>
      <c r="D430" s="45">
        <v>45962</v>
      </c>
      <c r="E430" s="45">
        <v>45991.999305555553</v>
      </c>
      <c r="F430" s="42" t="s">
        <v>493</v>
      </c>
    </row>
    <row r="431" spans="1:6" x14ac:dyDescent="0.35">
      <c r="A431" s="42" t="s">
        <v>618</v>
      </c>
      <c r="B431" s="42">
        <v>939.97</v>
      </c>
      <c r="C431" s="43">
        <v>0.08</v>
      </c>
      <c r="D431" s="45">
        <v>45962</v>
      </c>
      <c r="E431" s="45">
        <v>45991.999305555553</v>
      </c>
      <c r="F431" s="42" t="s">
        <v>493</v>
      </c>
    </row>
    <row r="432" spans="1:6" x14ac:dyDescent="0.35">
      <c r="A432" s="42" t="s">
        <v>37</v>
      </c>
      <c r="B432" s="42">
        <v>1399.97</v>
      </c>
      <c r="C432" s="43">
        <v>0.08</v>
      </c>
      <c r="D432" s="45">
        <v>45962</v>
      </c>
      <c r="E432" s="45">
        <v>45991.999305555553</v>
      </c>
      <c r="F432" s="42" t="s">
        <v>493</v>
      </c>
    </row>
    <row r="433" spans="1:6" x14ac:dyDescent="0.35">
      <c r="A433" s="42" t="s">
        <v>49</v>
      </c>
      <c r="B433" s="42">
        <v>1579.97</v>
      </c>
      <c r="C433" s="43">
        <v>0.08</v>
      </c>
      <c r="D433" s="45">
        <v>45962</v>
      </c>
      <c r="E433" s="45">
        <v>45991.999305555553</v>
      </c>
      <c r="F433" s="42" t="s">
        <v>493</v>
      </c>
    </row>
    <row r="434" spans="1:6" x14ac:dyDescent="0.35">
      <c r="A434" s="42" t="s">
        <v>405</v>
      </c>
      <c r="B434" s="42">
        <v>2419.9699999999998</v>
      </c>
      <c r="C434" s="43">
        <v>0.08</v>
      </c>
      <c r="D434" s="45">
        <v>45962</v>
      </c>
      <c r="E434" s="45">
        <v>45991.999305555553</v>
      </c>
      <c r="F434" s="42" t="s">
        <v>493</v>
      </c>
    </row>
    <row r="435" spans="1:6" x14ac:dyDescent="0.35">
      <c r="A435" s="42" t="s">
        <v>546</v>
      </c>
      <c r="B435" s="42">
        <v>289.97000000000003</v>
      </c>
      <c r="C435" s="43">
        <v>0.08</v>
      </c>
      <c r="D435" s="45">
        <v>45962</v>
      </c>
      <c r="E435" s="45">
        <v>45991.999305555553</v>
      </c>
      <c r="F435" s="42" t="s">
        <v>493</v>
      </c>
    </row>
    <row r="436" spans="1:6" x14ac:dyDescent="0.35">
      <c r="A436" s="42" t="s">
        <v>617</v>
      </c>
      <c r="B436" s="42">
        <v>289.97000000000003</v>
      </c>
      <c r="C436" s="43">
        <v>0.08</v>
      </c>
      <c r="D436" s="45">
        <v>45962</v>
      </c>
      <c r="E436" s="45">
        <v>45991.999305555553</v>
      </c>
      <c r="F436" s="42" t="s">
        <v>493</v>
      </c>
    </row>
    <row r="437" spans="1:6" x14ac:dyDescent="0.35">
      <c r="A437" s="42" t="s">
        <v>12</v>
      </c>
      <c r="B437" s="42">
        <v>379.97</v>
      </c>
      <c r="C437" s="43">
        <v>0.08</v>
      </c>
      <c r="D437" s="45">
        <v>45962</v>
      </c>
      <c r="E437" s="45">
        <v>45991.999305555553</v>
      </c>
      <c r="F437" s="42" t="s">
        <v>493</v>
      </c>
    </row>
    <row r="438" spans="1:6" x14ac:dyDescent="0.35">
      <c r="A438" s="42" t="s">
        <v>14</v>
      </c>
      <c r="B438" s="42">
        <v>379.97</v>
      </c>
      <c r="C438" s="43">
        <v>0.08</v>
      </c>
      <c r="D438" s="45">
        <v>45962</v>
      </c>
      <c r="E438" s="45">
        <v>45991.999305555553</v>
      </c>
      <c r="F438" s="42" t="s">
        <v>493</v>
      </c>
    </row>
    <row r="439" spans="1:6" x14ac:dyDescent="0.35">
      <c r="A439" s="42" t="s">
        <v>601</v>
      </c>
      <c r="B439" s="42">
        <v>479.97</v>
      </c>
      <c r="C439" s="43">
        <v>0.08</v>
      </c>
      <c r="D439" s="45">
        <v>45962</v>
      </c>
      <c r="E439" s="45">
        <v>45991.999305555553</v>
      </c>
      <c r="F439" s="42" t="s">
        <v>493</v>
      </c>
    </row>
    <row r="440" spans="1:6" x14ac:dyDescent="0.35">
      <c r="A440" s="42" t="s">
        <v>616</v>
      </c>
      <c r="B440" s="42">
        <v>569.97</v>
      </c>
      <c r="C440" s="43">
        <v>0.08</v>
      </c>
      <c r="D440" s="45">
        <v>45962</v>
      </c>
      <c r="E440" s="45">
        <v>45991.999305555553</v>
      </c>
      <c r="F440" s="42" t="s">
        <v>493</v>
      </c>
    </row>
    <row r="441" spans="1:6" x14ac:dyDescent="0.35">
      <c r="A441" s="42" t="s">
        <v>25</v>
      </c>
      <c r="B441" s="42">
        <v>569.97</v>
      </c>
      <c r="C441" s="43">
        <v>0.08</v>
      </c>
      <c r="D441" s="45">
        <v>45962</v>
      </c>
      <c r="E441" s="45">
        <v>45991.999305555553</v>
      </c>
      <c r="F441" s="42" t="s">
        <v>493</v>
      </c>
    </row>
    <row r="442" spans="1:6" x14ac:dyDescent="0.35">
      <c r="A442" s="42" t="s">
        <v>27</v>
      </c>
      <c r="B442" s="42">
        <v>659.97</v>
      </c>
      <c r="C442" s="43">
        <v>0.08</v>
      </c>
      <c r="D442" s="45">
        <v>45962</v>
      </c>
      <c r="E442" s="45">
        <v>45991.999305555553</v>
      </c>
      <c r="F442" s="42" t="s">
        <v>493</v>
      </c>
    </row>
    <row r="443" spans="1:6" x14ac:dyDescent="0.35">
      <c r="A443" s="42" t="s">
        <v>283</v>
      </c>
      <c r="B443" s="42">
        <v>759.97</v>
      </c>
      <c r="C443" s="43">
        <v>0.08</v>
      </c>
      <c r="D443" s="45">
        <v>45962</v>
      </c>
      <c r="E443" s="45">
        <v>45991.999305555553</v>
      </c>
      <c r="F443" s="42" t="s">
        <v>493</v>
      </c>
    </row>
    <row r="444" spans="1:6" x14ac:dyDescent="0.35">
      <c r="A444" s="42" t="s">
        <v>30</v>
      </c>
      <c r="B444" s="42">
        <v>759.97</v>
      </c>
      <c r="C444" s="43">
        <v>0.08</v>
      </c>
      <c r="D444" s="45">
        <v>45962</v>
      </c>
      <c r="E444" s="45">
        <v>45991.999305555553</v>
      </c>
      <c r="F444" s="42" t="s">
        <v>493</v>
      </c>
    </row>
    <row r="445" spans="1:6" x14ac:dyDescent="0.35">
      <c r="A445" s="42" t="s">
        <v>40</v>
      </c>
      <c r="B445" s="42">
        <v>759.97</v>
      </c>
      <c r="C445" s="43">
        <v>0.08</v>
      </c>
      <c r="D445" s="45">
        <v>45962</v>
      </c>
      <c r="E445" s="45">
        <v>45991.999305555553</v>
      </c>
      <c r="F445" s="42" t="s">
        <v>493</v>
      </c>
    </row>
    <row r="446" spans="1:6" x14ac:dyDescent="0.35">
      <c r="A446" s="42" t="s">
        <v>35</v>
      </c>
      <c r="B446" s="42">
        <v>1429.97</v>
      </c>
      <c r="C446" s="43">
        <v>0.08</v>
      </c>
      <c r="D446" s="45">
        <v>45962</v>
      </c>
      <c r="E446" s="45">
        <v>45991.999305555553</v>
      </c>
      <c r="F446" s="42" t="s">
        <v>493</v>
      </c>
    </row>
    <row r="447" spans="1:6" x14ac:dyDescent="0.35">
      <c r="A447" s="42" t="s">
        <v>268</v>
      </c>
      <c r="B447" s="42">
        <v>1619.97</v>
      </c>
      <c r="C447" s="43">
        <v>0.08</v>
      </c>
      <c r="D447" s="45">
        <v>45962</v>
      </c>
      <c r="E447" s="45">
        <v>45991.999305555553</v>
      </c>
      <c r="F447" s="42" t="s">
        <v>493</v>
      </c>
    </row>
    <row r="448" spans="1:6" x14ac:dyDescent="0.35">
      <c r="A448" s="42" t="s">
        <v>619</v>
      </c>
      <c r="B448" s="42">
        <v>1619.97</v>
      </c>
      <c r="C448" s="43">
        <v>0.08</v>
      </c>
      <c r="D448" s="45">
        <v>45962</v>
      </c>
      <c r="E448" s="45">
        <v>45991.999305555553</v>
      </c>
      <c r="F448" s="42" t="s">
        <v>493</v>
      </c>
    </row>
    <row r="449" spans="1:6" x14ac:dyDescent="0.35">
      <c r="A449" s="42" t="s">
        <v>51</v>
      </c>
      <c r="B449" s="42">
        <v>1999.97</v>
      </c>
      <c r="C449" s="43">
        <v>0.08</v>
      </c>
      <c r="D449" s="45">
        <v>45962</v>
      </c>
      <c r="E449" s="45">
        <v>45991.999305555553</v>
      </c>
      <c r="F449" s="42" t="s">
        <v>493</v>
      </c>
    </row>
    <row r="450" spans="1:6" x14ac:dyDescent="0.35">
      <c r="A450" s="42" t="s">
        <v>554</v>
      </c>
      <c r="B450" s="42">
        <v>319.97000000000003</v>
      </c>
      <c r="C450" s="43">
        <v>0.08</v>
      </c>
      <c r="D450" s="45">
        <v>45962</v>
      </c>
      <c r="E450" s="45">
        <v>45991.999305555553</v>
      </c>
      <c r="F450" s="42" t="s">
        <v>493</v>
      </c>
    </row>
    <row r="451" spans="1:6" x14ac:dyDescent="0.35">
      <c r="A451" s="42" t="s">
        <v>602</v>
      </c>
      <c r="B451" s="42">
        <v>519.97</v>
      </c>
      <c r="C451" s="43">
        <v>0.08</v>
      </c>
      <c r="D451" s="45">
        <v>45962</v>
      </c>
      <c r="E451" s="45">
        <v>45991.999305555553</v>
      </c>
      <c r="F451" s="42" t="s">
        <v>493</v>
      </c>
    </row>
    <row r="452" spans="1:6" x14ac:dyDescent="0.35">
      <c r="A452" s="42" t="s">
        <v>622</v>
      </c>
      <c r="B452" s="42">
        <v>619.97</v>
      </c>
      <c r="C452" s="43">
        <v>0.08</v>
      </c>
      <c r="D452" s="45">
        <v>45962</v>
      </c>
      <c r="E452" s="45">
        <v>45991.999305555553</v>
      </c>
      <c r="F452" s="42" t="s">
        <v>493</v>
      </c>
    </row>
    <row r="453" spans="1:6" x14ac:dyDescent="0.35">
      <c r="A453" s="42" t="s">
        <v>476</v>
      </c>
      <c r="B453" s="42">
        <v>719.97</v>
      </c>
      <c r="C453" s="43">
        <v>0.08</v>
      </c>
      <c r="D453" s="45">
        <v>45962</v>
      </c>
      <c r="E453" s="45">
        <v>45991.999305555553</v>
      </c>
      <c r="F453" s="42" t="s">
        <v>493</v>
      </c>
    </row>
    <row r="454" spans="1:6" x14ac:dyDescent="0.35">
      <c r="A454" s="42" t="s">
        <v>523</v>
      </c>
      <c r="B454" s="42">
        <v>819.97</v>
      </c>
      <c r="C454" s="43">
        <v>0.08</v>
      </c>
      <c r="D454" s="45">
        <v>45962</v>
      </c>
      <c r="E454" s="45">
        <v>45991.999305555553</v>
      </c>
      <c r="F454" s="42" t="s">
        <v>493</v>
      </c>
    </row>
    <row r="455" spans="1:6" x14ac:dyDescent="0.35">
      <c r="A455" s="42" t="s">
        <v>46</v>
      </c>
      <c r="B455" s="42">
        <v>819.97</v>
      </c>
      <c r="C455" s="43">
        <v>0.08</v>
      </c>
      <c r="D455" s="45">
        <v>45962</v>
      </c>
      <c r="E455" s="45">
        <v>45991.999305555553</v>
      </c>
      <c r="F455" s="42" t="s">
        <v>493</v>
      </c>
    </row>
    <row r="456" spans="1:6" x14ac:dyDescent="0.35">
      <c r="A456" s="42" t="s">
        <v>47</v>
      </c>
      <c r="B456" s="42">
        <v>819.97</v>
      </c>
      <c r="C456" s="43">
        <v>0.08</v>
      </c>
      <c r="D456" s="45">
        <v>45962</v>
      </c>
      <c r="E456" s="45">
        <v>45991.999305555553</v>
      </c>
      <c r="F456" s="42" t="s">
        <v>493</v>
      </c>
    </row>
    <row r="457" spans="1:6" x14ac:dyDescent="0.35">
      <c r="A457" s="42" t="s">
        <v>620</v>
      </c>
      <c r="B457" s="42">
        <v>1119.97</v>
      </c>
      <c r="C457" s="43">
        <v>0.08</v>
      </c>
      <c r="D457" s="45">
        <v>45962</v>
      </c>
      <c r="E457" s="45">
        <v>45991.999305555553</v>
      </c>
      <c r="F457" s="42" t="s">
        <v>493</v>
      </c>
    </row>
    <row r="458" spans="1:6" x14ac:dyDescent="0.35">
      <c r="A458" s="42" t="s">
        <v>276</v>
      </c>
      <c r="B458" s="42">
        <v>1419.97</v>
      </c>
      <c r="C458" s="43">
        <v>0.08</v>
      </c>
      <c r="D458" s="45">
        <v>45962</v>
      </c>
      <c r="E458" s="45">
        <v>45991.999305555553</v>
      </c>
      <c r="F458" s="42" t="s">
        <v>493</v>
      </c>
    </row>
    <row r="459" spans="1:6" x14ac:dyDescent="0.35">
      <c r="A459" s="42" t="s">
        <v>404</v>
      </c>
      <c r="B459" s="42">
        <v>499.97</v>
      </c>
      <c r="C459" s="43">
        <v>0.08</v>
      </c>
      <c r="D459" s="45">
        <v>45962</v>
      </c>
      <c r="E459" s="45">
        <v>45991.999305555553</v>
      </c>
      <c r="F459" s="42" t="s">
        <v>493</v>
      </c>
    </row>
    <row r="460" spans="1:6" x14ac:dyDescent="0.35">
      <c r="A460" s="42" t="s">
        <v>105</v>
      </c>
      <c r="B460" s="42">
        <v>1359.97</v>
      </c>
      <c r="C460" s="43">
        <v>0.08</v>
      </c>
      <c r="D460" s="45">
        <v>45962</v>
      </c>
      <c r="E460" s="45">
        <v>45991.999305555553</v>
      </c>
      <c r="F460" s="42" t="s">
        <v>493</v>
      </c>
    </row>
    <row r="461" spans="1:6" x14ac:dyDescent="0.35">
      <c r="A461" s="42" t="s">
        <v>604</v>
      </c>
      <c r="B461" s="42">
        <v>849.97</v>
      </c>
      <c r="C461" s="43">
        <v>0.08</v>
      </c>
      <c r="D461" s="45">
        <v>45962</v>
      </c>
      <c r="E461" s="45">
        <v>45991.999305555553</v>
      </c>
      <c r="F461" s="42" t="s">
        <v>493</v>
      </c>
    </row>
    <row r="462" spans="1:6" x14ac:dyDescent="0.35">
      <c r="A462" s="42" t="s">
        <v>33</v>
      </c>
      <c r="B462" s="42">
        <v>899.97</v>
      </c>
      <c r="C462" s="43">
        <v>0.08</v>
      </c>
      <c r="D462" s="45">
        <v>45962</v>
      </c>
      <c r="E462" s="45">
        <v>45991.999305555553</v>
      </c>
      <c r="F462" s="42" t="s">
        <v>493</v>
      </c>
    </row>
    <row r="463" spans="1:6" x14ac:dyDescent="0.35">
      <c r="A463" s="42" t="s">
        <v>48</v>
      </c>
      <c r="B463" s="42">
        <v>1019.97</v>
      </c>
      <c r="C463" s="43">
        <v>0.08</v>
      </c>
      <c r="D463" s="45">
        <v>45962</v>
      </c>
      <c r="E463" s="45">
        <v>45991.999305555553</v>
      </c>
      <c r="F463" s="42" t="s">
        <v>493</v>
      </c>
    </row>
    <row r="464" spans="1:6" x14ac:dyDescent="0.35">
      <c r="A464" s="42" t="s">
        <v>407</v>
      </c>
      <c r="B464" s="42">
        <v>1869.97</v>
      </c>
      <c r="C464" s="43">
        <v>0.08</v>
      </c>
      <c r="D464" s="45">
        <v>45962</v>
      </c>
      <c r="E464" s="45">
        <v>45991.999305555553</v>
      </c>
      <c r="F464" s="42" t="s">
        <v>493</v>
      </c>
    </row>
    <row r="465" spans="1:6" x14ac:dyDescent="0.35">
      <c r="A465" s="42" t="s">
        <v>406</v>
      </c>
      <c r="B465" s="42">
        <v>1869.97</v>
      </c>
      <c r="C465" s="43">
        <v>0.08</v>
      </c>
      <c r="D465" s="45">
        <v>45962</v>
      </c>
      <c r="E465" s="45">
        <v>45991.999305555553</v>
      </c>
      <c r="F465" s="42" t="s">
        <v>493</v>
      </c>
    </row>
    <row r="466" spans="1:6" x14ac:dyDescent="0.35">
      <c r="A466" s="42" t="s">
        <v>54</v>
      </c>
      <c r="B466" s="42">
        <v>499.97</v>
      </c>
      <c r="C466" s="43">
        <v>0.08</v>
      </c>
      <c r="D466" s="45">
        <v>45962</v>
      </c>
      <c r="E466" s="45">
        <v>45991.999305555553</v>
      </c>
      <c r="F466" s="42" t="s">
        <v>493</v>
      </c>
    </row>
    <row r="467" spans="1:6" x14ac:dyDescent="0.35">
      <c r="A467" s="42" t="s">
        <v>75</v>
      </c>
      <c r="B467" s="42">
        <v>429.97</v>
      </c>
      <c r="C467" s="43">
        <v>0.08</v>
      </c>
      <c r="D467" s="45">
        <v>45962</v>
      </c>
      <c r="E467" s="45">
        <v>45991.999305555553</v>
      </c>
      <c r="F467" s="42" t="s">
        <v>493</v>
      </c>
    </row>
    <row r="468" spans="1:6" x14ac:dyDescent="0.35">
      <c r="A468" s="42" t="s">
        <v>45</v>
      </c>
      <c r="B468" s="42">
        <v>429.97</v>
      </c>
      <c r="C468" s="43">
        <v>0.08</v>
      </c>
      <c r="D468" s="45">
        <v>45962</v>
      </c>
      <c r="E468" s="45">
        <v>45991.999305555553</v>
      </c>
      <c r="F468" s="42" t="s">
        <v>493</v>
      </c>
    </row>
    <row r="469" spans="1:6" x14ac:dyDescent="0.35">
      <c r="A469" s="42" t="s">
        <v>23</v>
      </c>
      <c r="B469" s="42">
        <v>429.97</v>
      </c>
      <c r="C469" s="43">
        <v>0.08</v>
      </c>
      <c r="D469" s="45">
        <v>45962</v>
      </c>
      <c r="E469" s="45">
        <v>45991.999305555553</v>
      </c>
      <c r="F469" s="42" t="s">
        <v>493</v>
      </c>
    </row>
    <row r="470" spans="1:6" x14ac:dyDescent="0.35">
      <c r="A470" s="42" t="s">
        <v>327</v>
      </c>
      <c r="B470" s="42">
        <v>2249.9699999999998</v>
      </c>
      <c r="C470" s="43">
        <v>0.08</v>
      </c>
      <c r="D470" s="45">
        <v>45962</v>
      </c>
      <c r="E470" s="45">
        <v>45991.999305555553</v>
      </c>
      <c r="F470" s="42" t="s">
        <v>493</v>
      </c>
    </row>
    <row r="471" spans="1:6" x14ac:dyDescent="0.35">
      <c r="A471" s="42" t="s">
        <v>50</v>
      </c>
      <c r="B471" s="42">
        <v>1789.97</v>
      </c>
      <c r="C471" s="43">
        <v>0.08</v>
      </c>
      <c r="D471" s="45">
        <v>45962</v>
      </c>
      <c r="E471" s="45">
        <v>45991.999305555553</v>
      </c>
      <c r="F471" s="42" t="s">
        <v>493</v>
      </c>
    </row>
    <row r="472" spans="1:6" x14ac:dyDescent="0.35">
      <c r="A472" s="42" t="s">
        <v>621</v>
      </c>
      <c r="B472" s="42">
        <v>1679.97</v>
      </c>
      <c r="C472" s="43">
        <v>0.08</v>
      </c>
      <c r="D472" s="45">
        <v>45962</v>
      </c>
      <c r="E472" s="45">
        <v>45991.999305555553</v>
      </c>
      <c r="F472" s="42" t="s">
        <v>493</v>
      </c>
    </row>
    <row r="473" spans="1:6" x14ac:dyDescent="0.35">
      <c r="A473" s="42" t="s">
        <v>316</v>
      </c>
      <c r="B473" s="42">
        <v>1699.97</v>
      </c>
      <c r="C473" s="43">
        <v>0.08</v>
      </c>
      <c r="D473" s="45">
        <v>45962</v>
      </c>
      <c r="E473" s="45">
        <v>45991.999305555553</v>
      </c>
      <c r="F473" s="42" t="s">
        <v>493</v>
      </c>
    </row>
    <row r="474" spans="1:6" x14ac:dyDescent="0.35">
      <c r="A474" s="42" t="s">
        <v>102</v>
      </c>
      <c r="B474" s="42">
        <v>959.97</v>
      </c>
      <c r="C474" s="43">
        <v>0.1</v>
      </c>
      <c r="D474" s="45">
        <v>45962</v>
      </c>
      <c r="E474" s="45">
        <v>45991.999305555553</v>
      </c>
      <c r="F474" s="42" t="s">
        <v>493</v>
      </c>
    </row>
    <row r="475" spans="1:6" x14ac:dyDescent="0.35">
      <c r="A475" s="42" t="s">
        <v>618</v>
      </c>
      <c r="B475" s="42">
        <v>959.97</v>
      </c>
      <c r="C475" s="43">
        <v>0.1</v>
      </c>
      <c r="D475" s="45">
        <v>45962</v>
      </c>
      <c r="E475" s="45">
        <v>45991.999305555553</v>
      </c>
      <c r="F475" s="42" t="s">
        <v>493</v>
      </c>
    </row>
    <row r="476" spans="1:6" x14ac:dyDescent="0.35">
      <c r="A476" s="42" t="s">
        <v>37</v>
      </c>
      <c r="B476" s="42">
        <v>1429.97</v>
      </c>
      <c r="C476" s="43">
        <v>0.1</v>
      </c>
      <c r="D476" s="45">
        <v>45962</v>
      </c>
      <c r="E476" s="45">
        <v>45991.999305555553</v>
      </c>
      <c r="F476" s="42" t="s">
        <v>493</v>
      </c>
    </row>
    <row r="477" spans="1:6" x14ac:dyDescent="0.35">
      <c r="A477" s="42" t="s">
        <v>49</v>
      </c>
      <c r="B477" s="42">
        <v>1619.97</v>
      </c>
      <c r="C477" s="43">
        <v>0.1</v>
      </c>
      <c r="D477" s="45">
        <v>45962</v>
      </c>
      <c r="E477" s="45">
        <v>45991.999305555553</v>
      </c>
      <c r="F477" s="42" t="s">
        <v>493</v>
      </c>
    </row>
    <row r="478" spans="1:6" x14ac:dyDescent="0.35">
      <c r="A478" s="42" t="s">
        <v>405</v>
      </c>
      <c r="B478" s="42">
        <v>2469.9699999999998</v>
      </c>
      <c r="C478" s="43">
        <v>0.1</v>
      </c>
      <c r="D478" s="45">
        <v>45962</v>
      </c>
      <c r="E478" s="45">
        <v>45991.999305555553</v>
      </c>
      <c r="F478" s="42" t="s">
        <v>493</v>
      </c>
    </row>
    <row r="479" spans="1:6" x14ac:dyDescent="0.35">
      <c r="A479" s="42" t="s">
        <v>546</v>
      </c>
      <c r="B479" s="42">
        <v>299.97000000000003</v>
      </c>
      <c r="C479" s="43">
        <v>0.1</v>
      </c>
      <c r="D479" s="45">
        <v>45962</v>
      </c>
      <c r="E479" s="45">
        <v>45991.999305555553</v>
      </c>
      <c r="F479" s="42" t="s">
        <v>493</v>
      </c>
    </row>
    <row r="480" spans="1:6" x14ac:dyDescent="0.35">
      <c r="A480" s="42" t="s">
        <v>617</v>
      </c>
      <c r="B480" s="42">
        <v>299.97000000000003</v>
      </c>
      <c r="C480" s="43">
        <v>0.1</v>
      </c>
      <c r="D480" s="45">
        <v>45962</v>
      </c>
      <c r="E480" s="45">
        <v>45991.999305555553</v>
      </c>
      <c r="F480" s="42" t="s">
        <v>493</v>
      </c>
    </row>
    <row r="481" spans="1:6" x14ac:dyDescent="0.35">
      <c r="A481" s="42" t="s">
        <v>12</v>
      </c>
      <c r="B481" s="42">
        <v>389.97</v>
      </c>
      <c r="C481" s="43">
        <v>0.1</v>
      </c>
      <c r="D481" s="45">
        <v>45962</v>
      </c>
      <c r="E481" s="45">
        <v>45991.999305555553</v>
      </c>
      <c r="F481" s="42" t="s">
        <v>493</v>
      </c>
    </row>
    <row r="482" spans="1:6" x14ac:dyDescent="0.35">
      <c r="A482" s="42" t="s">
        <v>14</v>
      </c>
      <c r="B482" s="42">
        <v>389.97</v>
      </c>
      <c r="C482" s="43">
        <v>0.1</v>
      </c>
      <c r="D482" s="45">
        <v>45962</v>
      </c>
      <c r="E482" s="45">
        <v>45991.999305555553</v>
      </c>
      <c r="F482" s="42" t="s">
        <v>493</v>
      </c>
    </row>
    <row r="483" spans="1:6" x14ac:dyDescent="0.35">
      <c r="A483" s="42" t="s">
        <v>601</v>
      </c>
      <c r="B483" s="42">
        <v>489.97</v>
      </c>
      <c r="C483" s="43">
        <v>0.1</v>
      </c>
      <c r="D483" s="45">
        <v>45962</v>
      </c>
      <c r="E483" s="45">
        <v>45991.999305555553</v>
      </c>
      <c r="F483" s="42" t="s">
        <v>493</v>
      </c>
    </row>
    <row r="484" spans="1:6" x14ac:dyDescent="0.35">
      <c r="A484" s="42" t="s">
        <v>616</v>
      </c>
      <c r="B484" s="42">
        <v>589.97</v>
      </c>
      <c r="C484" s="43">
        <v>0.1</v>
      </c>
      <c r="D484" s="45">
        <v>45962</v>
      </c>
      <c r="E484" s="45">
        <v>45991.999305555553</v>
      </c>
      <c r="F484" s="42" t="s">
        <v>493</v>
      </c>
    </row>
    <row r="485" spans="1:6" x14ac:dyDescent="0.35">
      <c r="A485" s="42" t="s">
        <v>25</v>
      </c>
      <c r="B485" s="42">
        <v>589.97</v>
      </c>
      <c r="C485" s="43">
        <v>0.1</v>
      </c>
      <c r="D485" s="45">
        <v>45962</v>
      </c>
      <c r="E485" s="45">
        <v>45991.999305555553</v>
      </c>
      <c r="F485" s="42" t="s">
        <v>493</v>
      </c>
    </row>
    <row r="486" spans="1:6" x14ac:dyDescent="0.35">
      <c r="A486" s="42" t="s">
        <v>27</v>
      </c>
      <c r="B486" s="42">
        <v>679.97</v>
      </c>
      <c r="C486" s="43">
        <v>0.1</v>
      </c>
      <c r="D486" s="45">
        <v>45962</v>
      </c>
      <c r="E486" s="45">
        <v>45991.999305555553</v>
      </c>
      <c r="F486" s="42" t="s">
        <v>493</v>
      </c>
    </row>
    <row r="487" spans="1:6" x14ac:dyDescent="0.35">
      <c r="A487" s="42" t="s">
        <v>283</v>
      </c>
      <c r="B487" s="42">
        <v>779.97</v>
      </c>
      <c r="C487" s="43">
        <v>0.1</v>
      </c>
      <c r="D487" s="45">
        <v>45962</v>
      </c>
      <c r="E487" s="45">
        <v>45991.999305555553</v>
      </c>
      <c r="F487" s="42" t="s">
        <v>493</v>
      </c>
    </row>
    <row r="488" spans="1:6" x14ac:dyDescent="0.35">
      <c r="A488" s="42" t="s">
        <v>30</v>
      </c>
      <c r="B488" s="42">
        <v>779.97</v>
      </c>
      <c r="C488" s="43">
        <v>0.1</v>
      </c>
      <c r="D488" s="45">
        <v>45962</v>
      </c>
      <c r="E488" s="45">
        <v>45991.999305555553</v>
      </c>
      <c r="F488" s="42" t="s">
        <v>493</v>
      </c>
    </row>
    <row r="489" spans="1:6" x14ac:dyDescent="0.35">
      <c r="A489" s="42" t="s">
        <v>40</v>
      </c>
      <c r="B489" s="42">
        <v>779.97</v>
      </c>
      <c r="C489" s="43">
        <v>0.1</v>
      </c>
      <c r="D489" s="45">
        <v>45962</v>
      </c>
      <c r="E489" s="45">
        <v>45991.999305555553</v>
      </c>
      <c r="F489" s="42" t="s">
        <v>493</v>
      </c>
    </row>
    <row r="490" spans="1:6" x14ac:dyDescent="0.35">
      <c r="A490" s="42" t="s">
        <v>35</v>
      </c>
      <c r="B490" s="42">
        <v>1459.97</v>
      </c>
      <c r="C490" s="43">
        <v>0.1</v>
      </c>
      <c r="D490" s="45">
        <v>45962</v>
      </c>
      <c r="E490" s="45">
        <v>45991.999305555553</v>
      </c>
      <c r="F490" s="42" t="s">
        <v>493</v>
      </c>
    </row>
    <row r="491" spans="1:6" x14ac:dyDescent="0.35">
      <c r="A491" s="42" t="s">
        <v>268</v>
      </c>
      <c r="B491" s="42">
        <v>1659.97</v>
      </c>
      <c r="C491" s="43">
        <v>0.1</v>
      </c>
      <c r="D491" s="45">
        <v>45962</v>
      </c>
      <c r="E491" s="45">
        <v>45991.999305555553</v>
      </c>
      <c r="F491" s="42" t="s">
        <v>493</v>
      </c>
    </row>
    <row r="492" spans="1:6" x14ac:dyDescent="0.35">
      <c r="A492" s="42" t="s">
        <v>619</v>
      </c>
      <c r="B492" s="42">
        <v>1659.97</v>
      </c>
      <c r="C492" s="43">
        <v>0.1</v>
      </c>
      <c r="D492" s="45">
        <v>45962</v>
      </c>
      <c r="E492" s="45">
        <v>45991.999305555553</v>
      </c>
      <c r="F492" s="42" t="s">
        <v>493</v>
      </c>
    </row>
    <row r="493" spans="1:6" x14ac:dyDescent="0.35">
      <c r="A493" s="42" t="s">
        <v>51</v>
      </c>
      <c r="B493" s="42">
        <v>2039.97</v>
      </c>
      <c r="C493" s="43">
        <v>0.1</v>
      </c>
      <c r="D493" s="45">
        <v>45962</v>
      </c>
      <c r="E493" s="45">
        <v>45991.999305555553</v>
      </c>
      <c r="F493" s="42" t="s">
        <v>493</v>
      </c>
    </row>
    <row r="494" spans="1:6" x14ac:dyDescent="0.35">
      <c r="A494" s="42" t="s">
        <v>554</v>
      </c>
      <c r="B494" s="42">
        <v>329.97</v>
      </c>
      <c r="C494" s="43">
        <v>0.1</v>
      </c>
      <c r="D494" s="45">
        <v>45962</v>
      </c>
      <c r="E494" s="45">
        <v>45991.999305555553</v>
      </c>
      <c r="F494" s="42" t="s">
        <v>493</v>
      </c>
    </row>
    <row r="495" spans="1:6" x14ac:dyDescent="0.35">
      <c r="A495" s="42" t="s">
        <v>602</v>
      </c>
      <c r="B495" s="42">
        <v>539.97</v>
      </c>
      <c r="C495" s="43">
        <v>0.1</v>
      </c>
      <c r="D495" s="45">
        <v>45962</v>
      </c>
      <c r="E495" s="45">
        <v>45991.999305555553</v>
      </c>
      <c r="F495" s="42" t="s">
        <v>493</v>
      </c>
    </row>
    <row r="496" spans="1:6" x14ac:dyDescent="0.35">
      <c r="A496" s="42" t="s">
        <v>622</v>
      </c>
      <c r="B496" s="42">
        <v>639.97</v>
      </c>
      <c r="C496" s="43">
        <v>0.1</v>
      </c>
      <c r="D496" s="45">
        <v>45962</v>
      </c>
      <c r="E496" s="45">
        <v>45991.999305555553</v>
      </c>
      <c r="F496" s="42" t="s">
        <v>493</v>
      </c>
    </row>
    <row r="497" spans="1:6" x14ac:dyDescent="0.35">
      <c r="A497" s="42" t="s">
        <v>476</v>
      </c>
      <c r="B497" s="42">
        <v>739.97</v>
      </c>
      <c r="C497" s="43">
        <v>0.1</v>
      </c>
      <c r="D497" s="45">
        <v>45962</v>
      </c>
      <c r="E497" s="45">
        <v>45991.999305555553</v>
      </c>
      <c r="F497" s="42" t="s">
        <v>493</v>
      </c>
    </row>
    <row r="498" spans="1:6" x14ac:dyDescent="0.35">
      <c r="A498" s="42" t="s">
        <v>523</v>
      </c>
      <c r="B498" s="42">
        <v>839.97</v>
      </c>
      <c r="C498" s="43">
        <v>0.1</v>
      </c>
      <c r="D498" s="45">
        <v>45962</v>
      </c>
      <c r="E498" s="45">
        <v>45991.999305555553</v>
      </c>
      <c r="F498" s="42" t="s">
        <v>493</v>
      </c>
    </row>
    <row r="499" spans="1:6" x14ac:dyDescent="0.35">
      <c r="A499" s="42" t="s">
        <v>46</v>
      </c>
      <c r="B499" s="42">
        <v>839.97</v>
      </c>
      <c r="C499" s="43">
        <v>0.1</v>
      </c>
      <c r="D499" s="45">
        <v>45962</v>
      </c>
      <c r="E499" s="45">
        <v>45991.999305555553</v>
      </c>
      <c r="F499" s="42" t="s">
        <v>493</v>
      </c>
    </row>
    <row r="500" spans="1:6" x14ac:dyDescent="0.35">
      <c r="A500" s="42" t="s">
        <v>47</v>
      </c>
      <c r="B500" s="42">
        <v>839.97</v>
      </c>
      <c r="C500" s="43">
        <v>0.1</v>
      </c>
      <c r="D500" s="45">
        <v>45962</v>
      </c>
      <c r="E500" s="45">
        <v>45991.999305555553</v>
      </c>
      <c r="F500" s="42" t="s">
        <v>493</v>
      </c>
    </row>
    <row r="501" spans="1:6" x14ac:dyDescent="0.35">
      <c r="A501" s="42" t="s">
        <v>620</v>
      </c>
      <c r="B501" s="42">
        <v>1149.97</v>
      </c>
      <c r="C501" s="43">
        <v>0.1</v>
      </c>
      <c r="D501" s="45">
        <v>45962</v>
      </c>
      <c r="E501" s="45">
        <v>45991.999305555553</v>
      </c>
      <c r="F501" s="42" t="s">
        <v>493</v>
      </c>
    </row>
    <row r="502" spans="1:6" x14ac:dyDescent="0.35">
      <c r="A502" s="42" t="s">
        <v>276</v>
      </c>
      <c r="B502" s="42">
        <v>1449.97</v>
      </c>
      <c r="C502" s="43">
        <v>0.1</v>
      </c>
      <c r="D502" s="45">
        <v>45962</v>
      </c>
      <c r="E502" s="45">
        <v>45991.999305555553</v>
      </c>
      <c r="F502" s="42" t="s">
        <v>493</v>
      </c>
    </row>
    <row r="503" spans="1:6" x14ac:dyDescent="0.35">
      <c r="A503" s="42" t="s">
        <v>404</v>
      </c>
      <c r="B503" s="42">
        <v>519.97</v>
      </c>
      <c r="C503" s="43">
        <v>0.1</v>
      </c>
      <c r="D503" s="45">
        <v>45962</v>
      </c>
      <c r="E503" s="45">
        <v>45991.999305555553</v>
      </c>
      <c r="F503" s="42" t="s">
        <v>493</v>
      </c>
    </row>
    <row r="504" spans="1:6" x14ac:dyDescent="0.35">
      <c r="A504" s="42" t="s">
        <v>105</v>
      </c>
      <c r="B504" s="42">
        <v>1389.97</v>
      </c>
      <c r="C504" s="43">
        <v>0.1</v>
      </c>
      <c r="D504" s="45">
        <v>45962</v>
      </c>
      <c r="E504" s="45">
        <v>45991.999305555553</v>
      </c>
      <c r="F504" s="42" t="s">
        <v>493</v>
      </c>
    </row>
    <row r="505" spans="1:6" x14ac:dyDescent="0.35">
      <c r="A505" s="42" t="s">
        <v>604</v>
      </c>
      <c r="B505" s="42">
        <v>869.97</v>
      </c>
      <c r="C505" s="43">
        <v>0.1</v>
      </c>
      <c r="D505" s="45">
        <v>45962</v>
      </c>
      <c r="E505" s="45">
        <v>45991.999305555553</v>
      </c>
      <c r="F505" s="42" t="s">
        <v>493</v>
      </c>
    </row>
    <row r="506" spans="1:6" x14ac:dyDescent="0.35">
      <c r="A506" s="42" t="s">
        <v>33</v>
      </c>
      <c r="B506" s="42">
        <v>919.97</v>
      </c>
      <c r="C506" s="43">
        <v>0.1</v>
      </c>
      <c r="D506" s="45">
        <v>45962</v>
      </c>
      <c r="E506" s="45">
        <v>45991.999305555553</v>
      </c>
      <c r="F506" s="42" t="s">
        <v>493</v>
      </c>
    </row>
    <row r="507" spans="1:6" x14ac:dyDescent="0.35">
      <c r="A507" s="42" t="s">
        <v>48</v>
      </c>
      <c r="B507" s="42">
        <v>1049.97</v>
      </c>
      <c r="C507" s="43">
        <v>0.1</v>
      </c>
      <c r="D507" s="45">
        <v>45962</v>
      </c>
      <c r="E507" s="45">
        <v>45991.999305555553</v>
      </c>
      <c r="F507" s="42" t="s">
        <v>493</v>
      </c>
    </row>
    <row r="508" spans="1:6" x14ac:dyDescent="0.35">
      <c r="A508" s="42" t="s">
        <v>407</v>
      </c>
      <c r="B508" s="42">
        <v>1919.97</v>
      </c>
      <c r="C508" s="43">
        <v>0.1</v>
      </c>
      <c r="D508" s="45">
        <v>45962</v>
      </c>
      <c r="E508" s="45">
        <v>45991.999305555553</v>
      </c>
      <c r="F508" s="42" t="s">
        <v>493</v>
      </c>
    </row>
    <row r="509" spans="1:6" x14ac:dyDescent="0.35">
      <c r="A509" s="42" t="s">
        <v>406</v>
      </c>
      <c r="B509" s="42">
        <v>1919.97</v>
      </c>
      <c r="C509" s="43">
        <v>0.1</v>
      </c>
      <c r="D509" s="45">
        <v>45962</v>
      </c>
      <c r="E509" s="45">
        <v>45991.999305555553</v>
      </c>
      <c r="F509" s="42" t="s">
        <v>493</v>
      </c>
    </row>
    <row r="510" spans="1:6" x14ac:dyDescent="0.35">
      <c r="A510" s="42" t="s">
        <v>54</v>
      </c>
      <c r="B510" s="42">
        <v>519.97</v>
      </c>
      <c r="C510" s="43">
        <v>0.1</v>
      </c>
      <c r="D510" s="45">
        <v>45962</v>
      </c>
      <c r="E510" s="45">
        <v>45991.999305555553</v>
      </c>
      <c r="F510" s="42" t="s">
        <v>493</v>
      </c>
    </row>
    <row r="511" spans="1:6" x14ac:dyDescent="0.35">
      <c r="A511" s="42" t="s">
        <v>75</v>
      </c>
      <c r="B511" s="42">
        <v>439.97</v>
      </c>
      <c r="C511" s="43">
        <v>0.1</v>
      </c>
      <c r="D511" s="45">
        <v>45962</v>
      </c>
      <c r="E511" s="45">
        <v>45991.999305555553</v>
      </c>
      <c r="F511" s="42" t="s">
        <v>493</v>
      </c>
    </row>
    <row r="512" spans="1:6" x14ac:dyDescent="0.35">
      <c r="A512" s="42" t="s">
        <v>45</v>
      </c>
      <c r="B512" s="42">
        <v>439.97</v>
      </c>
      <c r="C512" s="43">
        <v>0.1</v>
      </c>
      <c r="D512" s="45">
        <v>45962</v>
      </c>
      <c r="E512" s="45">
        <v>45991.999305555553</v>
      </c>
      <c r="F512" s="42" t="s">
        <v>493</v>
      </c>
    </row>
    <row r="513" spans="1:6" x14ac:dyDescent="0.35">
      <c r="A513" s="42" t="s">
        <v>23</v>
      </c>
      <c r="B513" s="42">
        <v>439.97</v>
      </c>
      <c r="C513" s="43">
        <v>0.1</v>
      </c>
      <c r="D513" s="45">
        <v>45962</v>
      </c>
      <c r="E513" s="45">
        <v>45991.999305555553</v>
      </c>
      <c r="F513" s="42" t="s">
        <v>493</v>
      </c>
    </row>
    <row r="514" spans="1:6" x14ac:dyDescent="0.35">
      <c r="A514" s="42" t="s">
        <v>327</v>
      </c>
      <c r="B514" s="42">
        <v>2299.9699999999998</v>
      </c>
      <c r="C514" s="43">
        <v>0.1</v>
      </c>
      <c r="D514" s="45">
        <v>45962</v>
      </c>
      <c r="E514" s="45">
        <v>45991.999305555553</v>
      </c>
      <c r="F514" s="42" t="s">
        <v>493</v>
      </c>
    </row>
    <row r="515" spans="1:6" x14ac:dyDescent="0.35">
      <c r="A515" s="42" t="s">
        <v>50</v>
      </c>
      <c r="B515" s="42">
        <v>1829.97</v>
      </c>
      <c r="C515" s="43">
        <v>0.1</v>
      </c>
      <c r="D515" s="45">
        <v>45962</v>
      </c>
      <c r="E515" s="45">
        <v>45991.999305555553</v>
      </c>
      <c r="F515" s="42" t="s">
        <v>493</v>
      </c>
    </row>
    <row r="516" spans="1:6" x14ac:dyDescent="0.35">
      <c r="A516" s="42" t="s">
        <v>621</v>
      </c>
      <c r="B516" s="42">
        <v>1719.97</v>
      </c>
      <c r="C516" s="43">
        <v>0.1</v>
      </c>
      <c r="D516" s="45">
        <v>45962</v>
      </c>
      <c r="E516" s="45">
        <v>45991.999305555553</v>
      </c>
      <c r="F516" s="42" t="s">
        <v>493</v>
      </c>
    </row>
    <row r="517" spans="1:6" x14ac:dyDescent="0.35">
      <c r="A517" s="42" t="s">
        <v>316</v>
      </c>
      <c r="B517" s="42">
        <v>1739.97</v>
      </c>
      <c r="C517" s="43">
        <v>0.1</v>
      </c>
      <c r="D517" s="45">
        <v>45962</v>
      </c>
      <c r="E517" s="45">
        <v>45991.999305555553</v>
      </c>
      <c r="F517" s="42" t="s">
        <v>493</v>
      </c>
    </row>
    <row r="518" spans="1:6" x14ac:dyDescent="0.35">
      <c r="A518" s="42" t="s">
        <v>102</v>
      </c>
      <c r="B518" s="42">
        <v>989.97</v>
      </c>
      <c r="C518" s="43">
        <v>0.13</v>
      </c>
      <c r="D518" s="45">
        <v>45962</v>
      </c>
      <c r="E518" s="45">
        <v>45991.999305555553</v>
      </c>
      <c r="F518" s="42" t="s">
        <v>493</v>
      </c>
    </row>
    <row r="519" spans="1:6" x14ac:dyDescent="0.35">
      <c r="A519" s="42" t="s">
        <v>618</v>
      </c>
      <c r="B519" s="42">
        <v>989.97</v>
      </c>
      <c r="C519" s="43">
        <v>0.13</v>
      </c>
      <c r="D519" s="45">
        <v>45962</v>
      </c>
      <c r="E519" s="45">
        <v>45991.999305555553</v>
      </c>
      <c r="F519" s="42" t="s">
        <v>493</v>
      </c>
    </row>
    <row r="520" spans="1:6" x14ac:dyDescent="0.35">
      <c r="A520" s="42" t="s">
        <v>37</v>
      </c>
      <c r="B520" s="42">
        <v>1479.97</v>
      </c>
      <c r="C520" s="43">
        <v>0.13</v>
      </c>
      <c r="D520" s="45">
        <v>45962</v>
      </c>
      <c r="E520" s="45">
        <v>45991.999305555553</v>
      </c>
      <c r="F520" s="42" t="s">
        <v>493</v>
      </c>
    </row>
    <row r="521" spans="1:6" x14ac:dyDescent="0.35">
      <c r="A521" s="42" t="s">
        <v>49</v>
      </c>
      <c r="B521" s="42">
        <v>1669.97</v>
      </c>
      <c r="C521" s="43">
        <v>0.13</v>
      </c>
      <c r="D521" s="45">
        <v>45962</v>
      </c>
      <c r="E521" s="45">
        <v>45991.999305555553</v>
      </c>
      <c r="F521" s="42" t="s">
        <v>493</v>
      </c>
    </row>
    <row r="522" spans="1:6" x14ac:dyDescent="0.35">
      <c r="A522" s="42" t="s">
        <v>405</v>
      </c>
      <c r="B522" s="42">
        <v>2549.9699999999998</v>
      </c>
      <c r="C522" s="43">
        <v>0.13</v>
      </c>
      <c r="D522" s="45">
        <v>45962</v>
      </c>
      <c r="E522" s="45">
        <v>45991.999305555553</v>
      </c>
      <c r="F522" s="42" t="s">
        <v>493</v>
      </c>
    </row>
    <row r="523" spans="1:6" x14ac:dyDescent="0.35">
      <c r="A523" s="42" t="s">
        <v>546</v>
      </c>
      <c r="B523" s="42">
        <v>319.97000000000003</v>
      </c>
      <c r="C523" s="43">
        <v>0.13</v>
      </c>
      <c r="D523" s="45">
        <v>45962</v>
      </c>
      <c r="E523" s="45">
        <v>45991.999305555553</v>
      </c>
      <c r="F523" s="42" t="s">
        <v>493</v>
      </c>
    </row>
    <row r="524" spans="1:6" x14ac:dyDescent="0.35">
      <c r="A524" s="42" t="s">
        <v>617</v>
      </c>
      <c r="B524" s="42">
        <v>319.97000000000003</v>
      </c>
      <c r="C524" s="43">
        <v>0.13</v>
      </c>
      <c r="D524" s="45">
        <v>45962</v>
      </c>
      <c r="E524" s="45">
        <v>45991.999305555553</v>
      </c>
      <c r="F524" s="42" t="s">
        <v>493</v>
      </c>
    </row>
    <row r="525" spans="1:6" x14ac:dyDescent="0.35">
      <c r="A525" s="42" t="s">
        <v>12</v>
      </c>
      <c r="B525" s="42">
        <v>419.97</v>
      </c>
      <c r="C525" s="43">
        <v>0.13</v>
      </c>
      <c r="D525" s="45">
        <v>45962</v>
      </c>
      <c r="E525" s="45">
        <v>45991.999305555553</v>
      </c>
      <c r="F525" s="42" t="s">
        <v>493</v>
      </c>
    </row>
    <row r="526" spans="1:6" x14ac:dyDescent="0.35">
      <c r="A526" s="42" t="s">
        <v>14</v>
      </c>
      <c r="B526" s="42">
        <v>419.97</v>
      </c>
      <c r="C526" s="43">
        <v>0.13</v>
      </c>
      <c r="D526" s="45">
        <v>45962</v>
      </c>
      <c r="E526" s="45">
        <v>45991.999305555553</v>
      </c>
      <c r="F526" s="42" t="s">
        <v>493</v>
      </c>
    </row>
    <row r="527" spans="1:6" x14ac:dyDescent="0.35">
      <c r="A527" s="42" t="s">
        <v>601</v>
      </c>
      <c r="B527" s="42">
        <v>519.97</v>
      </c>
      <c r="C527" s="43">
        <v>0.13</v>
      </c>
      <c r="D527" s="45">
        <v>45962</v>
      </c>
      <c r="E527" s="45">
        <v>45991.999305555553</v>
      </c>
      <c r="F527" s="42" t="s">
        <v>493</v>
      </c>
    </row>
    <row r="528" spans="1:6" x14ac:dyDescent="0.35">
      <c r="A528" s="42" t="s">
        <v>616</v>
      </c>
      <c r="B528" s="42">
        <v>619.97</v>
      </c>
      <c r="C528" s="43">
        <v>0.13</v>
      </c>
      <c r="D528" s="45">
        <v>45962</v>
      </c>
      <c r="E528" s="45">
        <v>45991.999305555553</v>
      </c>
      <c r="F528" s="42" t="s">
        <v>493</v>
      </c>
    </row>
    <row r="529" spans="1:6" x14ac:dyDescent="0.35">
      <c r="A529" s="42" t="s">
        <v>25</v>
      </c>
      <c r="B529" s="42">
        <v>619.97</v>
      </c>
      <c r="C529" s="43">
        <v>0.13</v>
      </c>
      <c r="D529" s="45">
        <v>45962</v>
      </c>
      <c r="E529" s="45">
        <v>45991.999305555553</v>
      </c>
      <c r="F529" s="42" t="s">
        <v>493</v>
      </c>
    </row>
    <row r="530" spans="1:6" x14ac:dyDescent="0.35">
      <c r="A530" s="42" t="s">
        <v>27</v>
      </c>
      <c r="B530" s="42">
        <v>719.97</v>
      </c>
      <c r="C530" s="43">
        <v>0.13</v>
      </c>
      <c r="D530" s="45">
        <v>45962</v>
      </c>
      <c r="E530" s="45">
        <v>45991.999305555553</v>
      </c>
      <c r="F530" s="42" t="s">
        <v>493</v>
      </c>
    </row>
    <row r="531" spans="1:6" x14ac:dyDescent="0.35">
      <c r="A531" s="42" t="s">
        <v>283</v>
      </c>
      <c r="B531" s="42">
        <v>819.97</v>
      </c>
      <c r="C531" s="43">
        <v>0.13</v>
      </c>
      <c r="D531" s="45">
        <v>45962</v>
      </c>
      <c r="E531" s="45">
        <v>45991.999305555553</v>
      </c>
      <c r="F531" s="42" t="s">
        <v>493</v>
      </c>
    </row>
    <row r="532" spans="1:6" x14ac:dyDescent="0.35">
      <c r="A532" s="42" t="s">
        <v>30</v>
      </c>
      <c r="B532" s="42">
        <v>819.97</v>
      </c>
      <c r="C532" s="43">
        <v>0.13</v>
      </c>
      <c r="D532" s="45">
        <v>45962</v>
      </c>
      <c r="E532" s="45">
        <v>45991.999305555553</v>
      </c>
      <c r="F532" s="42" t="s">
        <v>493</v>
      </c>
    </row>
    <row r="533" spans="1:6" x14ac:dyDescent="0.35">
      <c r="A533" s="42" t="s">
        <v>40</v>
      </c>
      <c r="B533" s="42">
        <v>819.97</v>
      </c>
      <c r="C533" s="43">
        <v>0.13</v>
      </c>
      <c r="D533" s="45">
        <v>45962</v>
      </c>
      <c r="E533" s="45">
        <v>45991.999305555553</v>
      </c>
      <c r="F533" s="42" t="s">
        <v>493</v>
      </c>
    </row>
    <row r="534" spans="1:6" x14ac:dyDescent="0.35">
      <c r="A534" s="42" t="s">
        <v>35</v>
      </c>
      <c r="B534" s="42">
        <v>1519.97</v>
      </c>
      <c r="C534" s="43">
        <v>0.13</v>
      </c>
      <c r="D534" s="45">
        <v>45962</v>
      </c>
      <c r="E534" s="45">
        <v>45991.999305555553</v>
      </c>
      <c r="F534" s="42" t="s">
        <v>493</v>
      </c>
    </row>
    <row r="535" spans="1:6" x14ac:dyDescent="0.35">
      <c r="A535" s="42" t="s">
        <v>268</v>
      </c>
      <c r="B535" s="42">
        <v>1719.97</v>
      </c>
      <c r="C535" s="43">
        <v>0.13</v>
      </c>
      <c r="D535" s="45">
        <v>45962</v>
      </c>
      <c r="E535" s="45">
        <v>45991.999305555553</v>
      </c>
      <c r="F535" s="42" t="s">
        <v>493</v>
      </c>
    </row>
    <row r="536" spans="1:6" x14ac:dyDescent="0.35">
      <c r="A536" s="42" t="s">
        <v>619</v>
      </c>
      <c r="B536" s="42">
        <v>1719.97</v>
      </c>
      <c r="C536" s="43">
        <v>0.13</v>
      </c>
      <c r="D536" s="45">
        <v>45962</v>
      </c>
      <c r="E536" s="45">
        <v>45991.999305555553</v>
      </c>
      <c r="F536" s="42" t="s">
        <v>493</v>
      </c>
    </row>
    <row r="537" spans="1:6" x14ac:dyDescent="0.35">
      <c r="A537" s="42" t="s">
        <v>51</v>
      </c>
      <c r="B537" s="42">
        <v>2119.9699999999998</v>
      </c>
      <c r="C537" s="43">
        <v>0.13</v>
      </c>
      <c r="D537" s="45">
        <v>45962</v>
      </c>
      <c r="E537" s="45">
        <v>45991.999305555553</v>
      </c>
      <c r="F537" s="42" t="s">
        <v>493</v>
      </c>
    </row>
    <row r="538" spans="1:6" x14ac:dyDescent="0.35">
      <c r="A538" s="42" t="s">
        <v>554</v>
      </c>
      <c r="B538" s="42">
        <v>339.97</v>
      </c>
      <c r="C538" s="43">
        <v>0.13</v>
      </c>
      <c r="D538" s="45">
        <v>45962</v>
      </c>
      <c r="E538" s="45">
        <v>45991.999305555553</v>
      </c>
      <c r="F538" s="42" t="s">
        <v>493</v>
      </c>
    </row>
    <row r="539" spans="1:6" x14ac:dyDescent="0.35">
      <c r="A539" s="42" t="s">
        <v>602</v>
      </c>
      <c r="B539" s="42">
        <v>559.97</v>
      </c>
      <c r="C539" s="43">
        <v>0.13</v>
      </c>
      <c r="D539" s="45">
        <v>45962</v>
      </c>
      <c r="E539" s="45">
        <v>45991.999305555553</v>
      </c>
      <c r="F539" s="42" t="s">
        <v>493</v>
      </c>
    </row>
    <row r="540" spans="1:6" x14ac:dyDescent="0.35">
      <c r="A540" s="42" t="s">
        <v>622</v>
      </c>
      <c r="B540" s="42">
        <v>659.97</v>
      </c>
      <c r="C540" s="43">
        <v>0.13</v>
      </c>
      <c r="D540" s="45">
        <v>45962</v>
      </c>
      <c r="E540" s="45">
        <v>45991.999305555553</v>
      </c>
      <c r="F540" s="42" t="s">
        <v>493</v>
      </c>
    </row>
    <row r="541" spans="1:6" x14ac:dyDescent="0.35">
      <c r="A541" s="42" t="s">
        <v>476</v>
      </c>
      <c r="B541" s="42">
        <v>769.97</v>
      </c>
      <c r="C541" s="43">
        <v>0.13</v>
      </c>
      <c r="D541" s="45">
        <v>45962</v>
      </c>
      <c r="E541" s="45">
        <v>45991.999305555553</v>
      </c>
      <c r="F541" s="42" t="s">
        <v>493</v>
      </c>
    </row>
    <row r="542" spans="1:6" x14ac:dyDescent="0.35">
      <c r="A542" s="42" t="s">
        <v>523</v>
      </c>
      <c r="B542" s="42">
        <v>869.97</v>
      </c>
      <c r="C542" s="43">
        <v>0.13</v>
      </c>
      <c r="D542" s="45">
        <v>45962</v>
      </c>
      <c r="E542" s="45">
        <v>45991.999305555553</v>
      </c>
      <c r="F542" s="42" t="s">
        <v>493</v>
      </c>
    </row>
    <row r="543" spans="1:6" x14ac:dyDescent="0.35">
      <c r="A543" s="42" t="s">
        <v>46</v>
      </c>
      <c r="B543" s="42">
        <v>869.97</v>
      </c>
      <c r="C543" s="43">
        <v>0.13</v>
      </c>
      <c r="D543" s="45">
        <v>45962</v>
      </c>
      <c r="E543" s="45">
        <v>45991.999305555553</v>
      </c>
      <c r="F543" s="42" t="s">
        <v>493</v>
      </c>
    </row>
    <row r="544" spans="1:6" x14ac:dyDescent="0.35">
      <c r="A544" s="42" t="s">
        <v>47</v>
      </c>
      <c r="B544" s="42">
        <v>869.97</v>
      </c>
      <c r="C544" s="43">
        <v>0.13</v>
      </c>
      <c r="D544" s="45">
        <v>45962</v>
      </c>
      <c r="E544" s="45">
        <v>45991.999305555553</v>
      </c>
      <c r="F544" s="42" t="s">
        <v>493</v>
      </c>
    </row>
    <row r="545" spans="1:6" x14ac:dyDescent="0.35">
      <c r="A545" s="42" t="s">
        <v>620</v>
      </c>
      <c r="B545" s="42">
        <v>1189.97</v>
      </c>
      <c r="C545" s="43">
        <v>0.13</v>
      </c>
      <c r="D545" s="45">
        <v>45962</v>
      </c>
      <c r="E545" s="45">
        <v>45991.999305555553</v>
      </c>
      <c r="F545" s="42" t="s">
        <v>493</v>
      </c>
    </row>
    <row r="546" spans="1:6" x14ac:dyDescent="0.35">
      <c r="A546" s="42" t="s">
        <v>276</v>
      </c>
      <c r="B546" s="42">
        <v>1499.97</v>
      </c>
      <c r="C546" s="43">
        <v>0.13</v>
      </c>
      <c r="D546" s="45">
        <v>45962</v>
      </c>
      <c r="E546" s="45">
        <v>45991.999305555553</v>
      </c>
      <c r="F546" s="42" t="s">
        <v>493</v>
      </c>
    </row>
    <row r="547" spans="1:6" x14ac:dyDescent="0.35">
      <c r="A547" s="42" t="s">
        <v>404</v>
      </c>
      <c r="B547" s="42">
        <v>539.97</v>
      </c>
      <c r="C547" s="43">
        <v>0.13</v>
      </c>
      <c r="D547" s="45">
        <v>45962</v>
      </c>
      <c r="E547" s="45">
        <v>45991.999305555553</v>
      </c>
      <c r="F547" s="42" t="s">
        <v>493</v>
      </c>
    </row>
    <row r="548" spans="1:6" x14ac:dyDescent="0.35">
      <c r="A548" s="42" t="s">
        <v>105</v>
      </c>
      <c r="B548" s="42">
        <v>1439.97</v>
      </c>
      <c r="C548" s="43">
        <v>0.13</v>
      </c>
      <c r="D548" s="45">
        <v>45962</v>
      </c>
      <c r="E548" s="45">
        <v>45991.999305555553</v>
      </c>
      <c r="F548" s="42" t="s">
        <v>493</v>
      </c>
    </row>
    <row r="549" spans="1:6" x14ac:dyDescent="0.35">
      <c r="A549" s="42" t="s">
        <v>604</v>
      </c>
      <c r="B549" s="42">
        <v>899.97</v>
      </c>
      <c r="C549" s="43">
        <v>0.13</v>
      </c>
      <c r="D549" s="45">
        <v>45962</v>
      </c>
      <c r="E549" s="45">
        <v>45991.999305555553</v>
      </c>
      <c r="F549" s="42" t="s">
        <v>493</v>
      </c>
    </row>
    <row r="550" spans="1:6" x14ac:dyDescent="0.35">
      <c r="A550" s="42" t="s">
        <v>33</v>
      </c>
      <c r="B550" s="42">
        <v>949.97</v>
      </c>
      <c r="C550" s="43">
        <v>0.13</v>
      </c>
      <c r="D550" s="45">
        <v>45962</v>
      </c>
      <c r="E550" s="45">
        <v>45991.999305555553</v>
      </c>
      <c r="F550" s="42" t="s">
        <v>493</v>
      </c>
    </row>
    <row r="551" spans="1:6" x14ac:dyDescent="0.35">
      <c r="A551" s="42" t="s">
        <v>48</v>
      </c>
      <c r="B551" s="42">
        <v>1089.97</v>
      </c>
      <c r="C551" s="43">
        <v>0.13</v>
      </c>
      <c r="D551" s="45">
        <v>45962</v>
      </c>
      <c r="E551" s="45">
        <v>45991.999305555553</v>
      </c>
      <c r="F551" s="42" t="s">
        <v>493</v>
      </c>
    </row>
    <row r="552" spans="1:6" x14ac:dyDescent="0.35">
      <c r="A552" s="42" t="s">
        <v>407</v>
      </c>
      <c r="B552" s="42">
        <v>1979.97</v>
      </c>
      <c r="C552" s="43">
        <v>0.13</v>
      </c>
      <c r="D552" s="45">
        <v>45962</v>
      </c>
      <c r="E552" s="45">
        <v>45991.999305555553</v>
      </c>
      <c r="F552" s="42" t="s">
        <v>493</v>
      </c>
    </row>
    <row r="553" spans="1:6" x14ac:dyDescent="0.35">
      <c r="A553" s="42" t="s">
        <v>406</v>
      </c>
      <c r="B553" s="42">
        <v>1979.97</v>
      </c>
      <c r="C553" s="43">
        <v>0.13</v>
      </c>
      <c r="D553" s="45">
        <v>45962</v>
      </c>
      <c r="E553" s="45">
        <v>45991.999305555553</v>
      </c>
      <c r="F553" s="42" t="s">
        <v>493</v>
      </c>
    </row>
    <row r="554" spans="1:6" x14ac:dyDescent="0.35">
      <c r="A554" s="42" t="s">
        <v>54</v>
      </c>
      <c r="B554" s="42">
        <v>539.97</v>
      </c>
      <c r="C554" s="43">
        <v>0.13</v>
      </c>
      <c r="D554" s="45">
        <v>45962</v>
      </c>
      <c r="E554" s="45">
        <v>45991.999305555553</v>
      </c>
      <c r="F554" s="42" t="s">
        <v>493</v>
      </c>
    </row>
    <row r="555" spans="1:6" x14ac:dyDescent="0.35">
      <c r="A555" s="42" t="s">
        <v>75</v>
      </c>
      <c r="B555" s="42">
        <v>459.97</v>
      </c>
      <c r="C555" s="43">
        <v>0.13</v>
      </c>
      <c r="D555" s="45">
        <v>45962</v>
      </c>
      <c r="E555" s="45">
        <v>45991.999305555553</v>
      </c>
      <c r="F555" s="42" t="s">
        <v>493</v>
      </c>
    </row>
    <row r="556" spans="1:6" x14ac:dyDescent="0.35">
      <c r="A556" s="42" t="s">
        <v>45</v>
      </c>
      <c r="B556" s="42">
        <v>459.97</v>
      </c>
      <c r="C556" s="43">
        <v>0.13</v>
      </c>
      <c r="D556" s="45">
        <v>45962</v>
      </c>
      <c r="E556" s="45">
        <v>45991.999305555553</v>
      </c>
      <c r="F556" s="42" t="s">
        <v>493</v>
      </c>
    </row>
    <row r="557" spans="1:6" x14ac:dyDescent="0.35">
      <c r="A557" s="42" t="s">
        <v>23</v>
      </c>
      <c r="B557" s="42">
        <v>459.97</v>
      </c>
      <c r="C557" s="43">
        <v>0.13</v>
      </c>
      <c r="D557" s="45">
        <v>45962</v>
      </c>
      <c r="E557" s="45">
        <v>45991.999305555553</v>
      </c>
      <c r="F557" s="42" t="s">
        <v>493</v>
      </c>
    </row>
    <row r="558" spans="1:6" x14ac:dyDescent="0.35">
      <c r="A558" s="42" t="s">
        <v>327</v>
      </c>
      <c r="B558" s="42">
        <v>2369.9699999999998</v>
      </c>
      <c r="C558" s="43">
        <v>0.13</v>
      </c>
      <c r="D558" s="45">
        <v>45962</v>
      </c>
      <c r="E558" s="45">
        <v>45991.999305555553</v>
      </c>
      <c r="F558" s="42" t="s">
        <v>493</v>
      </c>
    </row>
    <row r="559" spans="1:6" x14ac:dyDescent="0.35">
      <c r="A559" s="42" t="s">
        <v>50</v>
      </c>
      <c r="B559" s="42">
        <v>1889.97</v>
      </c>
      <c r="C559" s="43">
        <v>0.13</v>
      </c>
      <c r="D559" s="45">
        <v>45962</v>
      </c>
      <c r="E559" s="45">
        <v>45991.999305555553</v>
      </c>
      <c r="F559" s="42" t="s">
        <v>493</v>
      </c>
    </row>
    <row r="560" spans="1:6" x14ac:dyDescent="0.35">
      <c r="A560" s="42" t="s">
        <v>621</v>
      </c>
      <c r="B560" s="42">
        <v>1779.97</v>
      </c>
      <c r="C560" s="43">
        <v>0.13</v>
      </c>
      <c r="D560" s="45">
        <v>45962</v>
      </c>
      <c r="E560" s="45">
        <v>45991.999305555553</v>
      </c>
      <c r="F560" s="42" t="s">
        <v>493</v>
      </c>
    </row>
    <row r="561" spans="1:6" x14ac:dyDescent="0.35">
      <c r="A561" s="42" t="s">
        <v>316</v>
      </c>
      <c r="B561" s="42">
        <v>1799.97</v>
      </c>
      <c r="C561" s="43">
        <v>0.13</v>
      </c>
      <c r="D561" s="45">
        <v>45962</v>
      </c>
      <c r="E561" s="45">
        <v>45991.999305555553</v>
      </c>
      <c r="F561" s="42" t="s">
        <v>493</v>
      </c>
    </row>
    <row r="562" spans="1:6" x14ac:dyDescent="0.35">
      <c r="A562" s="42" t="s">
        <v>102</v>
      </c>
      <c r="B562" s="42">
        <v>1019.97</v>
      </c>
      <c r="C562" s="43">
        <v>0.15</v>
      </c>
      <c r="D562" s="45">
        <v>45962</v>
      </c>
      <c r="E562" s="45">
        <v>45991.999305555553</v>
      </c>
      <c r="F562" s="42" t="s">
        <v>493</v>
      </c>
    </row>
    <row r="563" spans="1:6" x14ac:dyDescent="0.35">
      <c r="A563" s="42" t="s">
        <v>618</v>
      </c>
      <c r="B563" s="42">
        <v>1019.97</v>
      </c>
      <c r="C563" s="43">
        <v>0.15</v>
      </c>
      <c r="D563" s="45">
        <v>45962</v>
      </c>
      <c r="E563" s="45">
        <v>45991.999305555553</v>
      </c>
      <c r="F563" s="42" t="s">
        <v>493</v>
      </c>
    </row>
    <row r="564" spans="1:6" x14ac:dyDescent="0.35">
      <c r="A564" s="42" t="s">
        <v>37</v>
      </c>
      <c r="B564" s="42">
        <v>1519.97</v>
      </c>
      <c r="C564" s="43">
        <v>0.15</v>
      </c>
      <c r="D564" s="45">
        <v>45962</v>
      </c>
      <c r="E564" s="45">
        <v>45991.999305555553</v>
      </c>
      <c r="F564" s="42" t="s">
        <v>493</v>
      </c>
    </row>
    <row r="565" spans="1:6" x14ac:dyDescent="0.35">
      <c r="A565" s="42" t="s">
        <v>49</v>
      </c>
      <c r="B565" s="42">
        <v>1719.97</v>
      </c>
      <c r="C565" s="43">
        <v>0.15</v>
      </c>
      <c r="D565" s="45">
        <v>45962</v>
      </c>
      <c r="E565" s="45">
        <v>45991.999305555553</v>
      </c>
      <c r="F565" s="42" t="s">
        <v>493</v>
      </c>
    </row>
    <row r="566" spans="1:6" x14ac:dyDescent="0.35">
      <c r="A566" s="42" t="s">
        <v>405</v>
      </c>
      <c r="B566" s="42">
        <v>2619.9699999999998</v>
      </c>
      <c r="C566" s="43">
        <v>0.15</v>
      </c>
      <c r="D566" s="45">
        <v>45962</v>
      </c>
      <c r="E566" s="45">
        <v>45991.999305555553</v>
      </c>
      <c r="F566" s="42" t="s">
        <v>493</v>
      </c>
    </row>
    <row r="567" spans="1:6" x14ac:dyDescent="0.35">
      <c r="A567" s="42" t="s">
        <v>546</v>
      </c>
      <c r="B567" s="42">
        <v>329.97</v>
      </c>
      <c r="C567" s="43">
        <v>0.15</v>
      </c>
      <c r="D567" s="45">
        <v>45962</v>
      </c>
      <c r="E567" s="45">
        <v>45991.999305555553</v>
      </c>
      <c r="F567" s="42" t="s">
        <v>493</v>
      </c>
    </row>
    <row r="568" spans="1:6" x14ac:dyDescent="0.35">
      <c r="A568" s="42" t="s">
        <v>617</v>
      </c>
      <c r="B568" s="42">
        <v>329.97</v>
      </c>
      <c r="C568" s="43">
        <v>0.15</v>
      </c>
      <c r="D568" s="45">
        <v>45962</v>
      </c>
      <c r="E568" s="45">
        <v>45991.999305555553</v>
      </c>
      <c r="F568" s="42" t="s">
        <v>493</v>
      </c>
    </row>
    <row r="569" spans="1:6" x14ac:dyDescent="0.35">
      <c r="A569" s="42" t="s">
        <v>12</v>
      </c>
      <c r="B569" s="42">
        <v>429.97</v>
      </c>
      <c r="C569" s="43">
        <v>0.15</v>
      </c>
      <c r="D569" s="45">
        <v>45962</v>
      </c>
      <c r="E569" s="45">
        <v>45991.999305555553</v>
      </c>
      <c r="F569" s="42" t="s">
        <v>493</v>
      </c>
    </row>
    <row r="570" spans="1:6" x14ac:dyDescent="0.35">
      <c r="A570" s="42" t="s">
        <v>14</v>
      </c>
      <c r="B570" s="42">
        <v>429.97</v>
      </c>
      <c r="C570" s="43">
        <v>0.15</v>
      </c>
      <c r="D570" s="45">
        <v>45962</v>
      </c>
      <c r="E570" s="45">
        <v>45991.999305555553</v>
      </c>
      <c r="F570" s="42" t="s">
        <v>493</v>
      </c>
    </row>
    <row r="571" spans="1:6" x14ac:dyDescent="0.35">
      <c r="A571" s="42" t="s">
        <v>601</v>
      </c>
      <c r="B571" s="42">
        <v>539.97</v>
      </c>
      <c r="C571" s="43">
        <v>0.15</v>
      </c>
      <c r="D571" s="45">
        <v>45962</v>
      </c>
      <c r="E571" s="45">
        <v>45991.999305555553</v>
      </c>
      <c r="F571" s="42" t="s">
        <v>493</v>
      </c>
    </row>
    <row r="572" spans="1:6" x14ac:dyDescent="0.35">
      <c r="A572" s="42" t="s">
        <v>616</v>
      </c>
      <c r="B572" s="42">
        <v>639.97</v>
      </c>
      <c r="C572" s="43">
        <v>0.15</v>
      </c>
      <c r="D572" s="45">
        <v>45962</v>
      </c>
      <c r="E572" s="45">
        <v>45991.999305555553</v>
      </c>
      <c r="F572" s="42" t="s">
        <v>493</v>
      </c>
    </row>
    <row r="573" spans="1:6" x14ac:dyDescent="0.35">
      <c r="A573" s="42" t="s">
        <v>25</v>
      </c>
      <c r="B573" s="42">
        <v>639.97</v>
      </c>
      <c r="C573" s="43">
        <v>0.15</v>
      </c>
      <c r="D573" s="45">
        <v>45962</v>
      </c>
      <c r="E573" s="45">
        <v>45991.999305555553</v>
      </c>
      <c r="F573" s="42" t="s">
        <v>493</v>
      </c>
    </row>
    <row r="574" spans="1:6" x14ac:dyDescent="0.35">
      <c r="A574" s="42" t="s">
        <v>27</v>
      </c>
      <c r="B574" s="42">
        <v>739.97</v>
      </c>
      <c r="C574" s="43">
        <v>0.15</v>
      </c>
      <c r="D574" s="45">
        <v>45962</v>
      </c>
      <c r="E574" s="45">
        <v>45991.999305555553</v>
      </c>
      <c r="F574" s="42" t="s">
        <v>493</v>
      </c>
    </row>
    <row r="575" spans="1:6" x14ac:dyDescent="0.35">
      <c r="A575" s="42" t="s">
        <v>283</v>
      </c>
      <c r="B575" s="42">
        <v>839.97</v>
      </c>
      <c r="C575" s="43">
        <v>0.15</v>
      </c>
      <c r="D575" s="45">
        <v>45962</v>
      </c>
      <c r="E575" s="45">
        <v>45991.999305555553</v>
      </c>
      <c r="F575" s="42" t="s">
        <v>493</v>
      </c>
    </row>
    <row r="576" spans="1:6" x14ac:dyDescent="0.35">
      <c r="A576" s="42" t="s">
        <v>30</v>
      </c>
      <c r="B576" s="42">
        <v>839.97</v>
      </c>
      <c r="C576" s="43">
        <v>0.15</v>
      </c>
      <c r="D576" s="45">
        <v>45962</v>
      </c>
      <c r="E576" s="45">
        <v>45991.999305555553</v>
      </c>
      <c r="F576" s="42" t="s">
        <v>493</v>
      </c>
    </row>
    <row r="577" spans="1:6" x14ac:dyDescent="0.35">
      <c r="A577" s="42" t="s">
        <v>40</v>
      </c>
      <c r="B577" s="42">
        <v>839.97</v>
      </c>
      <c r="C577" s="43">
        <v>0.15</v>
      </c>
      <c r="D577" s="45">
        <v>45962</v>
      </c>
      <c r="E577" s="45">
        <v>45991.999305555553</v>
      </c>
      <c r="F577" s="42" t="s">
        <v>493</v>
      </c>
    </row>
    <row r="578" spans="1:6" x14ac:dyDescent="0.35">
      <c r="A578" s="42" t="s">
        <v>35</v>
      </c>
      <c r="B578" s="42">
        <v>1559.97</v>
      </c>
      <c r="C578" s="43">
        <v>0.15</v>
      </c>
      <c r="D578" s="45">
        <v>45962</v>
      </c>
      <c r="E578" s="45">
        <v>45991.999305555553</v>
      </c>
      <c r="F578" s="42" t="s">
        <v>493</v>
      </c>
    </row>
    <row r="579" spans="1:6" x14ac:dyDescent="0.35">
      <c r="A579" s="42" t="s">
        <v>268</v>
      </c>
      <c r="B579" s="42">
        <v>1759.97</v>
      </c>
      <c r="C579" s="43">
        <v>0.15</v>
      </c>
      <c r="D579" s="45">
        <v>45962</v>
      </c>
      <c r="E579" s="45">
        <v>45991.999305555553</v>
      </c>
      <c r="F579" s="42" t="s">
        <v>493</v>
      </c>
    </row>
    <row r="580" spans="1:6" x14ac:dyDescent="0.35">
      <c r="A580" s="42" t="s">
        <v>619</v>
      </c>
      <c r="B580" s="42">
        <v>1759.97</v>
      </c>
      <c r="C580" s="43">
        <v>0.15</v>
      </c>
      <c r="D580" s="45">
        <v>45962</v>
      </c>
      <c r="E580" s="45">
        <v>45991.999305555553</v>
      </c>
      <c r="F580" s="42" t="s">
        <v>493</v>
      </c>
    </row>
    <row r="581" spans="1:6" x14ac:dyDescent="0.35">
      <c r="A581" s="42" t="s">
        <v>51</v>
      </c>
      <c r="B581" s="42">
        <v>2169.9699999999998</v>
      </c>
      <c r="C581" s="43">
        <v>0.15</v>
      </c>
      <c r="D581" s="45">
        <v>45962</v>
      </c>
      <c r="E581" s="45">
        <v>45991.999305555553</v>
      </c>
      <c r="F581" s="42" t="s">
        <v>493</v>
      </c>
    </row>
    <row r="582" spans="1:6" x14ac:dyDescent="0.35">
      <c r="A582" s="42" t="s">
        <v>554</v>
      </c>
      <c r="B582" s="42">
        <v>349.97</v>
      </c>
      <c r="C582" s="43">
        <v>0.15</v>
      </c>
      <c r="D582" s="45">
        <v>45962</v>
      </c>
      <c r="E582" s="45">
        <v>45991.999305555553</v>
      </c>
      <c r="F582" s="42" t="s">
        <v>493</v>
      </c>
    </row>
    <row r="583" spans="1:6" x14ac:dyDescent="0.35">
      <c r="A583" s="42" t="s">
        <v>602</v>
      </c>
      <c r="B583" s="42">
        <v>579.97</v>
      </c>
      <c r="C583" s="43">
        <v>0.15</v>
      </c>
      <c r="D583" s="45">
        <v>45962</v>
      </c>
      <c r="E583" s="45">
        <v>45991.999305555553</v>
      </c>
      <c r="F583" s="42" t="s">
        <v>493</v>
      </c>
    </row>
    <row r="584" spans="1:6" x14ac:dyDescent="0.35">
      <c r="A584" s="42" t="s">
        <v>622</v>
      </c>
      <c r="B584" s="42">
        <v>679.97</v>
      </c>
      <c r="C584" s="43">
        <v>0.15</v>
      </c>
      <c r="D584" s="45">
        <v>45962</v>
      </c>
      <c r="E584" s="45">
        <v>45991.999305555553</v>
      </c>
      <c r="F584" s="42" t="s">
        <v>493</v>
      </c>
    </row>
    <row r="585" spans="1:6" x14ac:dyDescent="0.35">
      <c r="A585" s="42" t="s">
        <v>476</v>
      </c>
      <c r="B585" s="42">
        <v>789.97</v>
      </c>
      <c r="C585" s="43">
        <v>0.15</v>
      </c>
      <c r="D585" s="45">
        <v>45962</v>
      </c>
      <c r="E585" s="45">
        <v>45991.999305555553</v>
      </c>
      <c r="F585" s="42" t="s">
        <v>493</v>
      </c>
    </row>
    <row r="586" spans="1:6" x14ac:dyDescent="0.35">
      <c r="A586" s="42" t="s">
        <v>523</v>
      </c>
      <c r="B586" s="42">
        <v>889.97</v>
      </c>
      <c r="C586" s="43">
        <v>0.15</v>
      </c>
      <c r="D586" s="45">
        <v>45962</v>
      </c>
      <c r="E586" s="45">
        <v>45991.999305555553</v>
      </c>
      <c r="F586" s="42" t="s">
        <v>493</v>
      </c>
    </row>
    <row r="587" spans="1:6" x14ac:dyDescent="0.35">
      <c r="A587" s="42" t="s">
        <v>46</v>
      </c>
      <c r="B587" s="42">
        <v>889.97</v>
      </c>
      <c r="C587" s="43">
        <v>0.15</v>
      </c>
      <c r="D587" s="45">
        <v>45962</v>
      </c>
      <c r="E587" s="45">
        <v>45991.999305555553</v>
      </c>
      <c r="F587" s="42" t="s">
        <v>493</v>
      </c>
    </row>
    <row r="588" spans="1:6" x14ac:dyDescent="0.35">
      <c r="A588" s="42" t="s">
        <v>47</v>
      </c>
      <c r="B588" s="42">
        <v>889.97</v>
      </c>
      <c r="C588" s="43">
        <v>0.15</v>
      </c>
      <c r="D588" s="45">
        <v>45962</v>
      </c>
      <c r="E588" s="45">
        <v>45991.999305555553</v>
      </c>
      <c r="F588" s="42" t="s">
        <v>493</v>
      </c>
    </row>
    <row r="589" spans="1:6" x14ac:dyDescent="0.35">
      <c r="A589" s="42" t="s">
        <v>620</v>
      </c>
      <c r="B589" s="42">
        <v>1219.97</v>
      </c>
      <c r="C589" s="43">
        <v>0.15</v>
      </c>
      <c r="D589" s="45">
        <v>45962</v>
      </c>
      <c r="E589" s="45">
        <v>45991.999305555553</v>
      </c>
      <c r="F589" s="42" t="s">
        <v>493</v>
      </c>
    </row>
    <row r="590" spans="1:6" x14ac:dyDescent="0.35">
      <c r="A590" s="42" t="s">
        <v>276</v>
      </c>
      <c r="B590" s="42">
        <v>1529.97</v>
      </c>
      <c r="C590" s="43">
        <v>0.15</v>
      </c>
      <c r="D590" s="45">
        <v>45962</v>
      </c>
      <c r="E590" s="45">
        <v>45991.999305555553</v>
      </c>
      <c r="F590" s="42" t="s">
        <v>493</v>
      </c>
    </row>
    <row r="591" spans="1:6" x14ac:dyDescent="0.35">
      <c r="A591" s="42" t="s">
        <v>404</v>
      </c>
      <c r="B591" s="42">
        <v>559.97</v>
      </c>
      <c r="C591" s="43">
        <v>0.15</v>
      </c>
      <c r="D591" s="45">
        <v>45962</v>
      </c>
      <c r="E591" s="45">
        <v>45991.999305555553</v>
      </c>
      <c r="F591" s="42" t="s">
        <v>493</v>
      </c>
    </row>
    <row r="592" spans="1:6" x14ac:dyDescent="0.35">
      <c r="A592" s="42" t="s">
        <v>105</v>
      </c>
      <c r="B592" s="42">
        <v>1469.97</v>
      </c>
      <c r="C592" s="43">
        <v>0.15</v>
      </c>
      <c r="D592" s="45">
        <v>45962</v>
      </c>
      <c r="E592" s="45">
        <v>45991.999305555553</v>
      </c>
      <c r="F592" s="42" t="s">
        <v>493</v>
      </c>
    </row>
    <row r="593" spans="1:6" x14ac:dyDescent="0.35">
      <c r="A593" s="42" t="s">
        <v>604</v>
      </c>
      <c r="B593" s="42">
        <v>919.97</v>
      </c>
      <c r="C593" s="43">
        <v>0.15</v>
      </c>
      <c r="D593" s="45">
        <v>45962</v>
      </c>
      <c r="E593" s="45">
        <v>45991.999305555553</v>
      </c>
      <c r="F593" s="42" t="s">
        <v>493</v>
      </c>
    </row>
    <row r="594" spans="1:6" x14ac:dyDescent="0.35">
      <c r="A594" s="42" t="s">
        <v>33</v>
      </c>
      <c r="B594" s="42">
        <v>969.97</v>
      </c>
      <c r="C594" s="43">
        <v>0.15</v>
      </c>
      <c r="D594" s="45">
        <v>45962</v>
      </c>
      <c r="E594" s="45">
        <v>45991.999305555553</v>
      </c>
      <c r="F594" s="42" t="s">
        <v>493</v>
      </c>
    </row>
    <row r="595" spans="1:6" x14ac:dyDescent="0.35">
      <c r="A595" s="42" t="s">
        <v>48</v>
      </c>
      <c r="B595" s="42">
        <v>1119.97</v>
      </c>
      <c r="C595" s="43">
        <v>0.15</v>
      </c>
      <c r="D595" s="45">
        <v>45962</v>
      </c>
      <c r="E595" s="45">
        <v>45991.999305555553</v>
      </c>
      <c r="F595" s="42" t="s">
        <v>493</v>
      </c>
    </row>
    <row r="596" spans="1:6" x14ac:dyDescent="0.35">
      <c r="A596" s="42" t="s">
        <v>407</v>
      </c>
      <c r="B596" s="42">
        <v>2019.97</v>
      </c>
      <c r="C596" s="43">
        <v>0.15</v>
      </c>
      <c r="D596" s="45">
        <v>45962</v>
      </c>
      <c r="E596" s="45">
        <v>45991.999305555553</v>
      </c>
      <c r="F596" s="42" t="s">
        <v>493</v>
      </c>
    </row>
    <row r="597" spans="1:6" x14ac:dyDescent="0.35">
      <c r="A597" s="42" t="s">
        <v>406</v>
      </c>
      <c r="B597" s="42">
        <v>2019.97</v>
      </c>
      <c r="C597" s="43">
        <v>0.15</v>
      </c>
      <c r="D597" s="45">
        <v>45962</v>
      </c>
      <c r="E597" s="45">
        <v>45991.999305555553</v>
      </c>
      <c r="F597" s="42" t="s">
        <v>493</v>
      </c>
    </row>
    <row r="598" spans="1:6" x14ac:dyDescent="0.35">
      <c r="A598" s="42" t="s">
        <v>54</v>
      </c>
      <c r="B598" s="42">
        <v>559.97</v>
      </c>
      <c r="C598" s="43">
        <v>0.15</v>
      </c>
      <c r="D598" s="45">
        <v>45962</v>
      </c>
      <c r="E598" s="45">
        <v>45991.999305555553</v>
      </c>
      <c r="F598" s="42" t="s">
        <v>493</v>
      </c>
    </row>
    <row r="599" spans="1:6" x14ac:dyDescent="0.35">
      <c r="A599" s="42" t="s">
        <v>75</v>
      </c>
      <c r="B599" s="42">
        <v>469.97</v>
      </c>
      <c r="C599" s="43">
        <v>0.15</v>
      </c>
      <c r="D599" s="45">
        <v>45962</v>
      </c>
      <c r="E599" s="45">
        <v>45991.999305555553</v>
      </c>
      <c r="F599" s="42" t="s">
        <v>493</v>
      </c>
    </row>
    <row r="600" spans="1:6" x14ac:dyDescent="0.35">
      <c r="A600" s="42" t="s">
        <v>45</v>
      </c>
      <c r="B600" s="42">
        <v>469.97</v>
      </c>
      <c r="C600" s="43">
        <v>0.15</v>
      </c>
      <c r="D600" s="45">
        <v>45962</v>
      </c>
      <c r="E600" s="45">
        <v>45991.999305555553</v>
      </c>
      <c r="F600" s="42" t="s">
        <v>493</v>
      </c>
    </row>
    <row r="601" spans="1:6" x14ac:dyDescent="0.35">
      <c r="A601" s="42" t="s">
        <v>23</v>
      </c>
      <c r="B601" s="42">
        <v>469.97</v>
      </c>
      <c r="C601" s="43">
        <v>0.15</v>
      </c>
      <c r="D601" s="45">
        <v>45962</v>
      </c>
      <c r="E601" s="45">
        <v>45991.999305555553</v>
      </c>
      <c r="F601" s="42" t="s">
        <v>493</v>
      </c>
    </row>
    <row r="602" spans="1:6" x14ac:dyDescent="0.35">
      <c r="A602" s="42" t="s">
        <v>327</v>
      </c>
      <c r="B602" s="42">
        <v>2419.9699999999998</v>
      </c>
      <c r="C602" s="43">
        <v>0.15</v>
      </c>
      <c r="D602" s="45">
        <v>45962</v>
      </c>
      <c r="E602" s="45">
        <v>45991.999305555553</v>
      </c>
      <c r="F602" s="42" t="s">
        <v>493</v>
      </c>
    </row>
    <row r="603" spans="1:6" x14ac:dyDescent="0.35">
      <c r="A603" s="42" t="s">
        <v>50</v>
      </c>
      <c r="B603" s="42">
        <v>1929.97</v>
      </c>
      <c r="C603" s="43">
        <v>0.15</v>
      </c>
      <c r="D603" s="45">
        <v>45962</v>
      </c>
      <c r="E603" s="45">
        <v>45991.999305555553</v>
      </c>
      <c r="F603" s="42" t="s">
        <v>493</v>
      </c>
    </row>
    <row r="604" spans="1:6" x14ac:dyDescent="0.35">
      <c r="A604" s="42" t="s">
        <v>621</v>
      </c>
      <c r="B604" s="42">
        <v>1819.97</v>
      </c>
      <c r="C604" s="43">
        <v>0.15</v>
      </c>
      <c r="D604" s="45">
        <v>45962</v>
      </c>
      <c r="E604" s="45">
        <v>45991.999305555553</v>
      </c>
      <c r="F604" s="42" t="s">
        <v>493</v>
      </c>
    </row>
    <row r="605" spans="1:6" x14ac:dyDescent="0.35">
      <c r="A605" s="42" t="s">
        <v>316</v>
      </c>
      <c r="B605" s="42">
        <v>1839.97</v>
      </c>
      <c r="C605" s="43">
        <v>0.15</v>
      </c>
      <c r="D605" s="45">
        <v>45962</v>
      </c>
      <c r="E605" s="45">
        <v>45991.999305555553</v>
      </c>
      <c r="F605" s="42" t="s">
        <v>493</v>
      </c>
    </row>
    <row r="606" spans="1:6" x14ac:dyDescent="0.35">
      <c r="A606" s="42" t="s">
        <v>102</v>
      </c>
      <c r="B606" s="42">
        <v>1049.97</v>
      </c>
      <c r="C606" s="43">
        <v>0.17</v>
      </c>
      <c r="D606" s="45">
        <v>45962</v>
      </c>
      <c r="E606" s="45">
        <v>45991.999305555553</v>
      </c>
      <c r="F606" s="42" t="s">
        <v>493</v>
      </c>
    </row>
    <row r="607" spans="1:6" x14ac:dyDescent="0.35">
      <c r="A607" s="42" t="s">
        <v>618</v>
      </c>
      <c r="B607" s="42">
        <v>1049.97</v>
      </c>
      <c r="C607" s="43">
        <v>0.17</v>
      </c>
      <c r="D607" s="45">
        <v>45962</v>
      </c>
      <c r="E607" s="45">
        <v>45991.999305555553</v>
      </c>
      <c r="F607" s="42" t="s">
        <v>493</v>
      </c>
    </row>
    <row r="608" spans="1:6" x14ac:dyDescent="0.35">
      <c r="A608" s="42" t="s">
        <v>37</v>
      </c>
      <c r="B608" s="42">
        <v>1559.97</v>
      </c>
      <c r="C608" s="43">
        <v>0.17</v>
      </c>
      <c r="D608" s="45">
        <v>45962</v>
      </c>
      <c r="E608" s="45">
        <v>45991.999305555553</v>
      </c>
      <c r="F608" s="42" t="s">
        <v>493</v>
      </c>
    </row>
    <row r="609" spans="1:6" x14ac:dyDescent="0.35">
      <c r="A609" s="42" t="s">
        <v>49</v>
      </c>
      <c r="B609" s="42">
        <v>1759.97</v>
      </c>
      <c r="C609" s="43">
        <v>0.17</v>
      </c>
      <c r="D609" s="45">
        <v>45962</v>
      </c>
      <c r="E609" s="45">
        <v>45991.999305555553</v>
      </c>
      <c r="F609" s="42" t="s">
        <v>493</v>
      </c>
    </row>
    <row r="610" spans="1:6" x14ac:dyDescent="0.35">
      <c r="A610" s="42" t="s">
        <v>405</v>
      </c>
      <c r="B610" s="42">
        <v>2679.97</v>
      </c>
      <c r="C610" s="43">
        <v>0.17</v>
      </c>
      <c r="D610" s="45">
        <v>45962</v>
      </c>
      <c r="E610" s="45">
        <v>45991.999305555553</v>
      </c>
      <c r="F610" s="42" t="s">
        <v>493</v>
      </c>
    </row>
    <row r="611" spans="1:6" x14ac:dyDescent="0.35">
      <c r="A611" s="42" t="s">
        <v>546</v>
      </c>
      <c r="B611" s="42">
        <v>339.97</v>
      </c>
      <c r="C611" s="43">
        <v>0.17</v>
      </c>
      <c r="D611" s="45">
        <v>45962</v>
      </c>
      <c r="E611" s="45">
        <v>45991.999305555553</v>
      </c>
      <c r="F611" s="42" t="s">
        <v>493</v>
      </c>
    </row>
    <row r="612" spans="1:6" x14ac:dyDescent="0.35">
      <c r="A612" s="42" t="s">
        <v>617</v>
      </c>
      <c r="B612" s="42">
        <v>339.97</v>
      </c>
      <c r="C612" s="43">
        <v>0.17</v>
      </c>
      <c r="D612" s="45">
        <v>45962</v>
      </c>
      <c r="E612" s="45">
        <v>45991.999305555553</v>
      </c>
      <c r="F612" s="42" t="s">
        <v>493</v>
      </c>
    </row>
    <row r="613" spans="1:6" x14ac:dyDescent="0.35">
      <c r="A613" s="42" t="s">
        <v>12</v>
      </c>
      <c r="B613" s="42">
        <v>439.97</v>
      </c>
      <c r="C613" s="43">
        <v>0.17</v>
      </c>
      <c r="D613" s="45">
        <v>45962</v>
      </c>
      <c r="E613" s="45">
        <v>45991.999305555553</v>
      </c>
      <c r="F613" s="42" t="s">
        <v>493</v>
      </c>
    </row>
    <row r="614" spans="1:6" x14ac:dyDescent="0.35">
      <c r="A614" s="42" t="s">
        <v>14</v>
      </c>
      <c r="B614" s="42">
        <v>439.97</v>
      </c>
      <c r="C614" s="43">
        <v>0.17</v>
      </c>
      <c r="D614" s="45">
        <v>45962</v>
      </c>
      <c r="E614" s="45">
        <v>45991.999305555553</v>
      </c>
      <c r="F614" s="42" t="s">
        <v>493</v>
      </c>
    </row>
    <row r="615" spans="1:6" x14ac:dyDescent="0.35">
      <c r="A615" s="42" t="s">
        <v>601</v>
      </c>
      <c r="B615" s="42">
        <v>559.97</v>
      </c>
      <c r="C615" s="43">
        <v>0.17</v>
      </c>
      <c r="D615" s="45">
        <v>45962</v>
      </c>
      <c r="E615" s="45">
        <v>45991.999305555553</v>
      </c>
      <c r="F615" s="42" t="s">
        <v>493</v>
      </c>
    </row>
    <row r="616" spans="1:6" x14ac:dyDescent="0.35">
      <c r="A616" s="42" t="s">
        <v>616</v>
      </c>
      <c r="B616" s="42">
        <v>659.97</v>
      </c>
      <c r="C616" s="43">
        <v>0.17</v>
      </c>
      <c r="D616" s="45">
        <v>45962</v>
      </c>
      <c r="E616" s="45">
        <v>45991.999305555553</v>
      </c>
      <c r="F616" s="42" t="s">
        <v>493</v>
      </c>
    </row>
    <row r="617" spans="1:6" x14ac:dyDescent="0.35">
      <c r="A617" s="42" t="s">
        <v>25</v>
      </c>
      <c r="B617" s="42">
        <v>659.97</v>
      </c>
      <c r="C617" s="43">
        <v>0.17</v>
      </c>
      <c r="D617" s="45">
        <v>45962</v>
      </c>
      <c r="E617" s="45">
        <v>45991.999305555553</v>
      </c>
      <c r="F617" s="42" t="s">
        <v>493</v>
      </c>
    </row>
    <row r="618" spans="1:6" x14ac:dyDescent="0.35">
      <c r="A618" s="42" t="s">
        <v>27</v>
      </c>
      <c r="B618" s="42">
        <v>759.97</v>
      </c>
      <c r="C618" s="43">
        <v>0.17</v>
      </c>
      <c r="D618" s="45">
        <v>45962</v>
      </c>
      <c r="E618" s="45">
        <v>45991.999305555553</v>
      </c>
      <c r="F618" s="42" t="s">
        <v>493</v>
      </c>
    </row>
    <row r="619" spans="1:6" x14ac:dyDescent="0.35">
      <c r="A619" s="42" t="s">
        <v>283</v>
      </c>
      <c r="B619" s="42">
        <v>859.97</v>
      </c>
      <c r="C619" s="43">
        <v>0.17</v>
      </c>
      <c r="D619" s="45">
        <v>45962</v>
      </c>
      <c r="E619" s="45">
        <v>45991.999305555553</v>
      </c>
      <c r="F619" s="42" t="s">
        <v>493</v>
      </c>
    </row>
    <row r="620" spans="1:6" x14ac:dyDescent="0.35">
      <c r="A620" s="42" t="s">
        <v>30</v>
      </c>
      <c r="B620" s="42">
        <v>859.97</v>
      </c>
      <c r="C620" s="43">
        <v>0.17</v>
      </c>
      <c r="D620" s="45">
        <v>45962</v>
      </c>
      <c r="E620" s="45">
        <v>45991.999305555553</v>
      </c>
      <c r="F620" s="42" t="s">
        <v>493</v>
      </c>
    </row>
    <row r="621" spans="1:6" x14ac:dyDescent="0.35">
      <c r="A621" s="42" t="s">
        <v>40</v>
      </c>
      <c r="B621" s="42">
        <v>859.97</v>
      </c>
      <c r="C621" s="43">
        <v>0.17</v>
      </c>
      <c r="D621" s="45">
        <v>45962</v>
      </c>
      <c r="E621" s="45">
        <v>45991.999305555553</v>
      </c>
      <c r="F621" s="42" t="s">
        <v>493</v>
      </c>
    </row>
    <row r="622" spans="1:6" x14ac:dyDescent="0.35">
      <c r="A622" s="42" t="s">
        <v>35</v>
      </c>
      <c r="B622" s="42">
        <v>1599.97</v>
      </c>
      <c r="C622" s="43">
        <v>0.17</v>
      </c>
      <c r="D622" s="45">
        <v>45962</v>
      </c>
      <c r="E622" s="45">
        <v>45991.999305555553</v>
      </c>
      <c r="F622" s="42" t="s">
        <v>493</v>
      </c>
    </row>
    <row r="623" spans="1:6" x14ac:dyDescent="0.35">
      <c r="A623" s="42" t="s">
        <v>268</v>
      </c>
      <c r="B623" s="42">
        <v>1799.97</v>
      </c>
      <c r="C623" s="43">
        <v>0.17</v>
      </c>
      <c r="D623" s="45">
        <v>45962</v>
      </c>
      <c r="E623" s="45">
        <v>45991.999305555553</v>
      </c>
      <c r="F623" s="42" t="s">
        <v>493</v>
      </c>
    </row>
    <row r="624" spans="1:6" x14ac:dyDescent="0.35">
      <c r="A624" s="42" t="s">
        <v>619</v>
      </c>
      <c r="B624" s="42">
        <v>1799.97</v>
      </c>
      <c r="C624" s="43">
        <v>0.17</v>
      </c>
      <c r="D624" s="45">
        <v>45962</v>
      </c>
      <c r="E624" s="45">
        <v>45991.999305555553</v>
      </c>
      <c r="F624" s="42" t="s">
        <v>493</v>
      </c>
    </row>
    <row r="625" spans="1:6" x14ac:dyDescent="0.35">
      <c r="A625" s="42" t="s">
        <v>51</v>
      </c>
      <c r="B625" s="42">
        <v>2219.9699999999998</v>
      </c>
      <c r="C625" s="43">
        <v>0.17</v>
      </c>
      <c r="D625" s="45">
        <v>45962</v>
      </c>
      <c r="E625" s="45">
        <v>45991.999305555553</v>
      </c>
      <c r="F625" s="42" t="s">
        <v>493</v>
      </c>
    </row>
    <row r="626" spans="1:6" x14ac:dyDescent="0.35">
      <c r="A626" s="42" t="s">
        <v>554</v>
      </c>
      <c r="B626" s="42">
        <v>359.97</v>
      </c>
      <c r="C626" s="43">
        <v>0.17</v>
      </c>
      <c r="D626" s="45">
        <v>45962</v>
      </c>
      <c r="E626" s="45">
        <v>45991.999305555553</v>
      </c>
      <c r="F626" s="42" t="s">
        <v>493</v>
      </c>
    </row>
    <row r="627" spans="1:6" x14ac:dyDescent="0.35">
      <c r="A627" s="42" t="s">
        <v>602</v>
      </c>
      <c r="B627" s="42">
        <v>599.97</v>
      </c>
      <c r="C627" s="43">
        <v>0.17</v>
      </c>
      <c r="D627" s="45">
        <v>45962</v>
      </c>
      <c r="E627" s="45">
        <v>45991.999305555553</v>
      </c>
      <c r="F627" s="42" t="s">
        <v>493</v>
      </c>
    </row>
    <row r="628" spans="1:6" x14ac:dyDescent="0.35">
      <c r="A628" s="42" t="s">
        <v>622</v>
      </c>
      <c r="B628" s="42">
        <v>699.97</v>
      </c>
      <c r="C628" s="43">
        <v>0.17</v>
      </c>
      <c r="D628" s="45">
        <v>45962</v>
      </c>
      <c r="E628" s="45">
        <v>45991.999305555553</v>
      </c>
      <c r="F628" s="42" t="s">
        <v>493</v>
      </c>
    </row>
    <row r="629" spans="1:6" x14ac:dyDescent="0.35">
      <c r="A629" s="42" t="s">
        <v>476</v>
      </c>
      <c r="B629" s="42">
        <v>819.97</v>
      </c>
      <c r="C629" s="43">
        <v>0.17</v>
      </c>
      <c r="D629" s="45">
        <v>45962</v>
      </c>
      <c r="E629" s="45">
        <v>45991.999305555553</v>
      </c>
      <c r="F629" s="42" t="s">
        <v>493</v>
      </c>
    </row>
    <row r="630" spans="1:6" x14ac:dyDescent="0.35">
      <c r="A630" s="42" t="s">
        <v>523</v>
      </c>
      <c r="B630" s="42">
        <v>919.97</v>
      </c>
      <c r="C630" s="43">
        <v>0.17</v>
      </c>
      <c r="D630" s="45">
        <v>45962</v>
      </c>
      <c r="E630" s="45">
        <v>45991.999305555553</v>
      </c>
      <c r="F630" s="42" t="s">
        <v>493</v>
      </c>
    </row>
    <row r="631" spans="1:6" x14ac:dyDescent="0.35">
      <c r="A631" s="42" t="s">
        <v>46</v>
      </c>
      <c r="B631" s="42">
        <v>919.97</v>
      </c>
      <c r="C631" s="43">
        <v>0.17</v>
      </c>
      <c r="D631" s="45">
        <v>45962</v>
      </c>
      <c r="E631" s="45">
        <v>45991.999305555553</v>
      </c>
      <c r="F631" s="42" t="s">
        <v>493</v>
      </c>
    </row>
    <row r="632" spans="1:6" x14ac:dyDescent="0.35">
      <c r="A632" s="42" t="s">
        <v>47</v>
      </c>
      <c r="B632" s="42">
        <v>919.97</v>
      </c>
      <c r="C632" s="43">
        <v>0.17</v>
      </c>
      <c r="D632" s="45">
        <v>45962</v>
      </c>
      <c r="E632" s="45">
        <v>45991.999305555553</v>
      </c>
      <c r="F632" s="42" t="s">
        <v>493</v>
      </c>
    </row>
    <row r="633" spans="1:6" x14ac:dyDescent="0.35">
      <c r="A633" s="42" t="s">
        <v>620</v>
      </c>
      <c r="B633" s="42">
        <v>1249.97</v>
      </c>
      <c r="C633" s="43">
        <v>0.17</v>
      </c>
      <c r="D633" s="45">
        <v>45962</v>
      </c>
      <c r="E633" s="45">
        <v>45991.999305555553</v>
      </c>
      <c r="F633" s="42" t="s">
        <v>493</v>
      </c>
    </row>
    <row r="634" spans="1:6" x14ac:dyDescent="0.35">
      <c r="A634" s="42" t="s">
        <v>276</v>
      </c>
      <c r="B634" s="42">
        <v>1569.97</v>
      </c>
      <c r="C634" s="43">
        <v>0.17</v>
      </c>
      <c r="D634" s="45">
        <v>45962</v>
      </c>
      <c r="E634" s="45">
        <v>45991.999305555553</v>
      </c>
      <c r="F634" s="42" t="s">
        <v>493</v>
      </c>
    </row>
    <row r="635" spans="1:6" x14ac:dyDescent="0.35">
      <c r="A635" s="42" t="s">
        <v>404</v>
      </c>
      <c r="B635" s="42">
        <v>579.97</v>
      </c>
      <c r="C635" s="43">
        <v>0.17</v>
      </c>
      <c r="D635" s="45">
        <v>45962</v>
      </c>
      <c r="E635" s="45">
        <v>45991.999305555553</v>
      </c>
      <c r="F635" s="42" t="s">
        <v>493</v>
      </c>
    </row>
    <row r="636" spans="1:6" x14ac:dyDescent="0.35">
      <c r="A636" s="42" t="s">
        <v>105</v>
      </c>
      <c r="B636" s="42">
        <v>1499.97</v>
      </c>
      <c r="C636" s="43">
        <v>0.17</v>
      </c>
      <c r="D636" s="45">
        <v>45962</v>
      </c>
      <c r="E636" s="45">
        <v>45991.999305555553</v>
      </c>
      <c r="F636" s="42" t="s">
        <v>493</v>
      </c>
    </row>
    <row r="637" spans="1:6" x14ac:dyDescent="0.35">
      <c r="A637" s="42" t="s">
        <v>604</v>
      </c>
      <c r="B637" s="42">
        <v>939.97</v>
      </c>
      <c r="C637" s="43">
        <v>0.17</v>
      </c>
      <c r="D637" s="45">
        <v>45962</v>
      </c>
      <c r="E637" s="45">
        <v>45991.999305555553</v>
      </c>
      <c r="F637" s="42" t="s">
        <v>493</v>
      </c>
    </row>
    <row r="638" spans="1:6" x14ac:dyDescent="0.35">
      <c r="A638" s="42" t="s">
        <v>33</v>
      </c>
      <c r="B638" s="42">
        <v>989.97</v>
      </c>
      <c r="C638" s="43">
        <v>0.17</v>
      </c>
      <c r="D638" s="45">
        <v>45962</v>
      </c>
      <c r="E638" s="45">
        <v>45991.999305555553</v>
      </c>
      <c r="F638" s="42" t="s">
        <v>493</v>
      </c>
    </row>
    <row r="639" spans="1:6" x14ac:dyDescent="0.35">
      <c r="A639" s="42" t="s">
        <v>48</v>
      </c>
      <c r="B639" s="42">
        <v>1149.97</v>
      </c>
      <c r="C639" s="43">
        <v>0.17</v>
      </c>
      <c r="D639" s="45">
        <v>45962</v>
      </c>
      <c r="E639" s="45">
        <v>45991.999305555553</v>
      </c>
      <c r="F639" s="42" t="s">
        <v>493</v>
      </c>
    </row>
    <row r="640" spans="1:6" x14ac:dyDescent="0.35">
      <c r="A640" s="42" t="s">
        <v>407</v>
      </c>
      <c r="B640" s="42">
        <v>2069.9699999999998</v>
      </c>
      <c r="C640" s="43">
        <v>0.17</v>
      </c>
      <c r="D640" s="45">
        <v>45962</v>
      </c>
      <c r="E640" s="45">
        <v>45991.999305555553</v>
      </c>
      <c r="F640" s="42" t="s">
        <v>493</v>
      </c>
    </row>
    <row r="641" spans="1:6" x14ac:dyDescent="0.35">
      <c r="A641" s="42" t="s">
        <v>406</v>
      </c>
      <c r="B641" s="42">
        <v>2069.9699999999998</v>
      </c>
      <c r="C641" s="43">
        <v>0.17</v>
      </c>
      <c r="D641" s="45">
        <v>45962</v>
      </c>
      <c r="E641" s="45">
        <v>45991.999305555553</v>
      </c>
      <c r="F641" s="42" t="s">
        <v>493</v>
      </c>
    </row>
    <row r="642" spans="1:6" x14ac:dyDescent="0.35">
      <c r="A642" s="42" t="s">
        <v>54</v>
      </c>
      <c r="B642" s="42">
        <v>579.97</v>
      </c>
      <c r="C642" s="43">
        <v>0.17</v>
      </c>
      <c r="D642" s="45">
        <v>45962</v>
      </c>
      <c r="E642" s="45">
        <v>45991.999305555553</v>
      </c>
      <c r="F642" s="42" t="s">
        <v>493</v>
      </c>
    </row>
    <row r="643" spans="1:6" x14ac:dyDescent="0.35">
      <c r="A643" s="42" t="s">
        <v>75</v>
      </c>
      <c r="B643" s="42">
        <v>479.97</v>
      </c>
      <c r="C643" s="43">
        <v>0.17</v>
      </c>
      <c r="D643" s="45">
        <v>45962</v>
      </c>
      <c r="E643" s="45">
        <v>45991.999305555553</v>
      </c>
      <c r="F643" s="42" t="s">
        <v>493</v>
      </c>
    </row>
    <row r="644" spans="1:6" x14ac:dyDescent="0.35">
      <c r="A644" s="42" t="s">
        <v>45</v>
      </c>
      <c r="B644" s="42">
        <v>479.97</v>
      </c>
      <c r="C644" s="43">
        <v>0.17</v>
      </c>
      <c r="D644" s="45">
        <v>45962</v>
      </c>
      <c r="E644" s="45">
        <v>45991.999305555553</v>
      </c>
      <c r="F644" s="42" t="s">
        <v>493</v>
      </c>
    </row>
    <row r="645" spans="1:6" x14ac:dyDescent="0.35">
      <c r="A645" s="42" t="s">
        <v>23</v>
      </c>
      <c r="B645" s="42">
        <v>479.97</v>
      </c>
      <c r="C645" s="43">
        <v>0.17</v>
      </c>
      <c r="D645" s="45">
        <v>45962</v>
      </c>
      <c r="E645" s="45">
        <v>45991.999305555553</v>
      </c>
      <c r="F645" s="42" t="s">
        <v>493</v>
      </c>
    </row>
    <row r="646" spans="1:6" x14ac:dyDescent="0.35">
      <c r="A646" s="42" t="s">
        <v>327</v>
      </c>
      <c r="B646" s="42">
        <v>2469.9699999999998</v>
      </c>
      <c r="C646" s="43">
        <v>0.17</v>
      </c>
      <c r="D646" s="45">
        <v>45962</v>
      </c>
      <c r="E646" s="45">
        <v>45991.999305555553</v>
      </c>
      <c r="F646" s="42" t="s">
        <v>493</v>
      </c>
    </row>
    <row r="647" spans="1:6" x14ac:dyDescent="0.35">
      <c r="A647" s="42" t="s">
        <v>50</v>
      </c>
      <c r="B647" s="42">
        <v>1969.97</v>
      </c>
      <c r="C647" s="43">
        <v>0.17</v>
      </c>
      <c r="D647" s="45">
        <v>45962</v>
      </c>
      <c r="E647" s="45">
        <v>45991.999305555553</v>
      </c>
      <c r="F647" s="42" t="s">
        <v>493</v>
      </c>
    </row>
    <row r="648" spans="1:6" x14ac:dyDescent="0.35">
      <c r="A648" s="42" t="s">
        <v>621</v>
      </c>
      <c r="B648" s="42">
        <v>1859.97</v>
      </c>
      <c r="C648" s="43">
        <v>0.17</v>
      </c>
      <c r="D648" s="45">
        <v>45962</v>
      </c>
      <c r="E648" s="45">
        <v>45991.999305555553</v>
      </c>
      <c r="F648" s="42" t="s">
        <v>493</v>
      </c>
    </row>
    <row r="649" spans="1:6" x14ac:dyDescent="0.35">
      <c r="A649" s="42" t="s">
        <v>316</v>
      </c>
      <c r="B649" s="42">
        <v>1879.97</v>
      </c>
      <c r="C649" s="43">
        <v>0.17</v>
      </c>
      <c r="D649" s="45">
        <v>45962</v>
      </c>
      <c r="E649" s="45">
        <v>45991.999305555553</v>
      </c>
      <c r="F649" s="42" t="s">
        <v>493</v>
      </c>
    </row>
    <row r="650" spans="1:6" x14ac:dyDescent="0.35">
      <c r="A650" s="42" t="s">
        <v>14</v>
      </c>
      <c r="B650" s="42">
        <v>369.98</v>
      </c>
      <c r="C650" s="43">
        <v>0.06</v>
      </c>
      <c r="D650" s="45">
        <v>45962</v>
      </c>
      <c r="E650" s="45">
        <v>45991.999305555553</v>
      </c>
      <c r="F650" s="42" t="s">
        <v>495</v>
      </c>
    </row>
    <row r="651" spans="1:6" x14ac:dyDescent="0.35">
      <c r="A651" s="42" t="s">
        <v>12</v>
      </c>
      <c r="B651" s="42">
        <v>369.98</v>
      </c>
      <c r="C651" s="43">
        <v>0.06</v>
      </c>
      <c r="D651" s="45">
        <v>45962</v>
      </c>
      <c r="E651" s="45">
        <v>45991.999305555553</v>
      </c>
      <c r="F651" s="42" t="s">
        <v>495</v>
      </c>
    </row>
    <row r="652" spans="1:6" x14ac:dyDescent="0.35">
      <c r="A652" s="42" t="s">
        <v>279</v>
      </c>
      <c r="B652" s="42">
        <v>549.98</v>
      </c>
      <c r="C652" s="43">
        <v>0.06</v>
      </c>
      <c r="D652" s="45">
        <v>45962</v>
      </c>
      <c r="E652" s="45">
        <v>45991.999305555553</v>
      </c>
      <c r="F652" s="42" t="s">
        <v>495</v>
      </c>
    </row>
    <row r="653" spans="1:6" x14ac:dyDescent="0.35">
      <c r="A653" s="42" t="s">
        <v>25</v>
      </c>
      <c r="B653" s="42">
        <v>549.98</v>
      </c>
      <c r="C653" s="43">
        <v>0.06</v>
      </c>
      <c r="D653" s="45">
        <v>45962</v>
      </c>
      <c r="E653" s="45">
        <v>45991.999305555553</v>
      </c>
      <c r="F653" s="42" t="s">
        <v>495</v>
      </c>
    </row>
    <row r="654" spans="1:6" x14ac:dyDescent="0.35">
      <c r="A654" s="42" t="s">
        <v>27</v>
      </c>
      <c r="B654" s="42">
        <v>639.98</v>
      </c>
      <c r="C654" s="43">
        <v>0.06</v>
      </c>
      <c r="D654" s="45">
        <v>45962</v>
      </c>
      <c r="E654" s="45">
        <v>45991.999305555553</v>
      </c>
      <c r="F654" s="42" t="s">
        <v>495</v>
      </c>
    </row>
    <row r="655" spans="1:6" x14ac:dyDescent="0.35">
      <c r="A655" s="42" t="s">
        <v>73</v>
      </c>
      <c r="B655" s="42">
        <v>639.98</v>
      </c>
      <c r="C655" s="43">
        <v>0.06</v>
      </c>
      <c r="D655" s="45">
        <v>45962</v>
      </c>
      <c r="E655" s="45">
        <v>45991.999305555553</v>
      </c>
      <c r="F655" s="42" t="s">
        <v>495</v>
      </c>
    </row>
    <row r="656" spans="1:6" x14ac:dyDescent="0.35">
      <c r="A656" s="42" t="s">
        <v>283</v>
      </c>
      <c r="B656" s="42">
        <v>739.98</v>
      </c>
      <c r="C656" s="43">
        <v>0.06</v>
      </c>
      <c r="D656" s="45">
        <v>45962</v>
      </c>
      <c r="E656" s="45">
        <v>45991.999305555553</v>
      </c>
      <c r="F656" s="42" t="s">
        <v>495</v>
      </c>
    </row>
    <row r="657" spans="1:6" x14ac:dyDescent="0.35">
      <c r="A657" s="42" t="s">
        <v>31</v>
      </c>
      <c r="B657" s="42">
        <v>739.98</v>
      </c>
      <c r="C657" s="43">
        <v>0.06</v>
      </c>
      <c r="D657" s="45">
        <v>45962</v>
      </c>
      <c r="E657" s="45">
        <v>45991.999305555553</v>
      </c>
      <c r="F657" s="42" t="s">
        <v>495</v>
      </c>
    </row>
    <row r="658" spans="1:6" x14ac:dyDescent="0.35">
      <c r="A658" s="42" t="s">
        <v>59</v>
      </c>
      <c r="B658" s="42">
        <v>739.98</v>
      </c>
      <c r="C658" s="43">
        <v>0.06</v>
      </c>
      <c r="D658" s="45">
        <v>45962</v>
      </c>
      <c r="E658" s="45">
        <v>45991.999305555553</v>
      </c>
      <c r="F658" s="42" t="s">
        <v>495</v>
      </c>
    </row>
    <row r="659" spans="1:6" x14ac:dyDescent="0.35">
      <c r="A659" s="42" t="s">
        <v>57</v>
      </c>
      <c r="B659" s="42">
        <v>739.98</v>
      </c>
      <c r="C659" s="43">
        <v>0.06</v>
      </c>
      <c r="D659" s="45">
        <v>45962</v>
      </c>
      <c r="E659" s="45">
        <v>45991.999305555553</v>
      </c>
      <c r="F659" s="42" t="s">
        <v>495</v>
      </c>
    </row>
    <row r="660" spans="1:6" x14ac:dyDescent="0.35">
      <c r="A660" s="42" t="s">
        <v>35</v>
      </c>
      <c r="B660" s="42">
        <v>1399.98</v>
      </c>
      <c r="C660" s="43">
        <v>0.06</v>
      </c>
      <c r="D660" s="45">
        <v>45962</v>
      </c>
      <c r="E660" s="45">
        <v>45991.999305555553</v>
      </c>
      <c r="F660" s="42" t="s">
        <v>495</v>
      </c>
    </row>
    <row r="661" spans="1:6" x14ac:dyDescent="0.35">
      <c r="A661" s="42" t="s">
        <v>15</v>
      </c>
      <c r="B661" s="42">
        <v>389.98</v>
      </c>
      <c r="C661" s="43">
        <v>0.06</v>
      </c>
      <c r="D661" s="45">
        <v>45962</v>
      </c>
      <c r="E661" s="45">
        <v>45991.999305555553</v>
      </c>
      <c r="F661" s="42" t="s">
        <v>495</v>
      </c>
    </row>
    <row r="662" spans="1:6" x14ac:dyDescent="0.35">
      <c r="A662" s="42" t="s">
        <v>16</v>
      </c>
      <c r="B662" s="42">
        <v>389.98</v>
      </c>
      <c r="C662" s="43">
        <v>0.06</v>
      </c>
      <c r="D662" s="45">
        <v>45962</v>
      </c>
      <c r="E662" s="45">
        <v>45991.999305555553</v>
      </c>
      <c r="F662" s="42" t="s">
        <v>495</v>
      </c>
    </row>
    <row r="663" spans="1:6" x14ac:dyDescent="0.35">
      <c r="A663" s="42" t="s">
        <v>54</v>
      </c>
      <c r="B663" s="42">
        <v>489.98</v>
      </c>
      <c r="C663" s="43">
        <v>0.06</v>
      </c>
      <c r="D663" s="45">
        <v>45962</v>
      </c>
      <c r="E663" s="45">
        <v>45991.999305555553</v>
      </c>
      <c r="F663" s="42" t="s">
        <v>495</v>
      </c>
    </row>
    <row r="664" spans="1:6" x14ac:dyDescent="0.35">
      <c r="A664" s="42" t="s">
        <v>55</v>
      </c>
      <c r="B664" s="42">
        <v>669.98</v>
      </c>
      <c r="C664" s="43">
        <v>0.06</v>
      </c>
      <c r="D664" s="45">
        <v>45962</v>
      </c>
      <c r="E664" s="45">
        <v>45991.999305555553</v>
      </c>
      <c r="F664" s="42" t="s">
        <v>495</v>
      </c>
    </row>
    <row r="665" spans="1:6" x14ac:dyDescent="0.35">
      <c r="A665" s="42" t="s">
        <v>61</v>
      </c>
      <c r="B665" s="42">
        <v>1149.98</v>
      </c>
      <c r="C665" s="43">
        <v>0.06</v>
      </c>
      <c r="D665" s="45">
        <v>45962</v>
      </c>
      <c r="E665" s="45">
        <v>45991.999305555553</v>
      </c>
      <c r="F665" s="42" t="s">
        <v>495</v>
      </c>
    </row>
    <row r="666" spans="1:6" x14ac:dyDescent="0.35">
      <c r="A666" s="42" t="s">
        <v>111</v>
      </c>
      <c r="B666" s="42">
        <v>499.98</v>
      </c>
      <c r="C666" s="43">
        <v>0.06</v>
      </c>
      <c r="D666" s="45">
        <v>45962</v>
      </c>
      <c r="E666" s="45">
        <v>45991.999305555553</v>
      </c>
      <c r="F666" s="42" t="s">
        <v>495</v>
      </c>
    </row>
    <row r="667" spans="1:6" x14ac:dyDescent="0.35">
      <c r="A667" s="42" t="s">
        <v>20</v>
      </c>
      <c r="B667" s="42">
        <v>499.98</v>
      </c>
      <c r="C667" s="43">
        <v>0.06</v>
      </c>
      <c r="D667" s="45">
        <v>45962</v>
      </c>
      <c r="E667" s="45">
        <v>45991.999305555553</v>
      </c>
      <c r="F667" s="42" t="s">
        <v>495</v>
      </c>
    </row>
    <row r="668" spans="1:6" x14ac:dyDescent="0.35">
      <c r="A668" s="42" t="s">
        <v>71</v>
      </c>
      <c r="B668" s="42">
        <v>499.98</v>
      </c>
      <c r="C668" s="43">
        <v>0.06</v>
      </c>
      <c r="D668" s="45">
        <v>45962</v>
      </c>
      <c r="E668" s="45">
        <v>45991.999305555553</v>
      </c>
      <c r="F668" s="42" t="s">
        <v>495</v>
      </c>
    </row>
    <row r="669" spans="1:6" x14ac:dyDescent="0.35">
      <c r="A669" s="42" t="s">
        <v>19</v>
      </c>
      <c r="B669" s="42">
        <v>499.98</v>
      </c>
      <c r="C669" s="43">
        <v>0.06</v>
      </c>
      <c r="D669" s="45">
        <v>45962</v>
      </c>
      <c r="E669" s="45">
        <v>45991.999305555553</v>
      </c>
      <c r="F669" s="42" t="s">
        <v>495</v>
      </c>
    </row>
    <row r="670" spans="1:6" x14ac:dyDescent="0.35">
      <c r="A670" s="42" t="s">
        <v>21</v>
      </c>
      <c r="B670" s="42">
        <v>499.98</v>
      </c>
      <c r="C670" s="43">
        <v>0.06</v>
      </c>
      <c r="D670" s="45">
        <v>45962</v>
      </c>
      <c r="E670" s="45">
        <v>45991.999305555553</v>
      </c>
      <c r="F670" s="42" t="s">
        <v>495</v>
      </c>
    </row>
    <row r="671" spans="1:6" x14ac:dyDescent="0.35">
      <c r="A671" s="42" t="s">
        <v>605</v>
      </c>
      <c r="B671" s="42">
        <v>589.98</v>
      </c>
      <c r="C671" s="43">
        <v>0.06</v>
      </c>
      <c r="D671" s="45">
        <v>45962</v>
      </c>
      <c r="E671" s="45">
        <v>45991.999305555553</v>
      </c>
      <c r="F671" s="42" t="s">
        <v>495</v>
      </c>
    </row>
    <row r="672" spans="1:6" x14ac:dyDescent="0.35">
      <c r="A672" s="42" t="s">
        <v>523</v>
      </c>
      <c r="B672" s="42">
        <v>789.98</v>
      </c>
      <c r="C672" s="43">
        <v>0.06</v>
      </c>
      <c r="D672" s="45">
        <v>45962</v>
      </c>
      <c r="E672" s="45">
        <v>45991.999305555553</v>
      </c>
      <c r="F672" s="42" t="s">
        <v>495</v>
      </c>
    </row>
    <row r="673" spans="1:6" x14ac:dyDescent="0.35">
      <c r="A673" s="42" t="s">
        <v>63</v>
      </c>
      <c r="B673" s="42">
        <v>1379.98</v>
      </c>
      <c r="C673" s="43">
        <v>0.06</v>
      </c>
      <c r="D673" s="45">
        <v>45962</v>
      </c>
      <c r="E673" s="45">
        <v>45991.999305555553</v>
      </c>
      <c r="F673" s="42" t="s">
        <v>495</v>
      </c>
    </row>
    <row r="674" spans="1:6" x14ac:dyDescent="0.35">
      <c r="A674" s="42" t="s">
        <v>547</v>
      </c>
      <c r="B674" s="42">
        <v>199.98</v>
      </c>
      <c r="C674" s="43">
        <v>0.06</v>
      </c>
      <c r="D674" s="45">
        <v>45962</v>
      </c>
      <c r="E674" s="45">
        <v>45991.999305555553</v>
      </c>
      <c r="F674" s="42" t="s">
        <v>495</v>
      </c>
    </row>
    <row r="675" spans="1:6" x14ac:dyDescent="0.35">
      <c r="A675" s="42" t="s">
        <v>49</v>
      </c>
      <c r="B675" s="42">
        <v>1539.98</v>
      </c>
      <c r="C675" s="43">
        <v>0.06</v>
      </c>
      <c r="D675" s="45">
        <v>45962</v>
      </c>
      <c r="E675" s="45">
        <v>45991.999305555553</v>
      </c>
      <c r="F675" s="42" t="s">
        <v>495</v>
      </c>
    </row>
    <row r="676" spans="1:6" x14ac:dyDescent="0.35">
      <c r="A676" s="42" t="s">
        <v>77</v>
      </c>
      <c r="B676" s="42">
        <v>339.98</v>
      </c>
      <c r="C676" s="43">
        <v>0.06</v>
      </c>
      <c r="D676" s="45">
        <v>45962</v>
      </c>
      <c r="E676" s="45">
        <v>45991.999305555553</v>
      </c>
      <c r="F676" s="42" t="s">
        <v>495</v>
      </c>
    </row>
    <row r="677" spans="1:6" x14ac:dyDescent="0.35">
      <c r="A677" s="42" t="s">
        <v>116</v>
      </c>
      <c r="B677" s="42">
        <v>339.98</v>
      </c>
      <c r="C677" s="43">
        <v>0.06</v>
      </c>
      <c r="D677" s="45">
        <v>45962</v>
      </c>
      <c r="E677" s="45">
        <v>45991.999305555553</v>
      </c>
      <c r="F677" s="42" t="s">
        <v>495</v>
      </c>
    </row>
    <row r="678" spans="1:6" x14ac:dyDescent="0.35">
      <c r="A678" s="42" t="s">
        <v>11</v>
      </c>
      <c r="B678" s="42">
        <v>339.98</v>
      </c>
      <c r="C678" s="43">
        <v>0.06</v>
      </c>
      <c r="D678" s="45">
        <v>45962</v>
      </c>
      <c r="E678" s="45">
        <v>45991.999305555553</v>
      </c>
      <c r="F678" s="42" t="s">
        <v>495</v>
      </c>
    </row>
    <row r="679" spans="1:6" x14ac:dyDescent="0.35">
      <c r="A679" s="42" t="s">
        <v>76</v>
      </c>
      <c r="B679" s="42">
        <v>359.98</v>
      </c>
      <c r="C679" s="43">
        <v>0.06</v>
      </c>
      <c r="D679" s="45">
        <v>45962</v>
      </c>
      <c r="E679" s="45">
        <v>45991.999305555553</v>
      </c>
      <c r="F679" s="42" t="s">
        <v>495</v>
      </c>
    </row>
    <row r="680" spans="1:6" x14ac:dyDescent="0.35">
      <c r="A680" s="42" t="s">
        <v>23</v>
      </c>
      <c r="B680" s="42">
        <v>419.98</v>
      </c>
      <c r="C680" s="43">
        <v>0.06</v>
      </c>
      <c r="D680" s="45">
        <v>45962</v>
      </c>
      <c r="E680" s="45">
        <v>45991.999305555553</v>
      </c>
      <c r="F680" s="42" t="s">
        <v>495</v>
      </c>
    </row>
    <row r="681" spans="1:6" x14ac:dyDescent="0.35">
      <c r="A681" s="42" t="s">
        <v>271</v>
      </c>
      <c r="B681" s="42">
        <v>419.98</v>
      </c>
      <c r="C681" s="43">
        <v>0.06</v>
      </c>
      <c r="D681" s="45">
        <v>45962</v>
      </c>
      <c r="E681" s="45">
        <v>45991.999305555553</v>
      </c>
      <c r="F681" s="42" t="s">
        <v>495</v>
      </c>
    </row>
    <row r="682" spans="1:6" x14ac:dyDescent="0.35">
      <c r="A682" s="42" t="s">
        <v>115</v>
      </c>
      <c r="B682" s="42">
        <v>339.98</v>
      </c>
      <c r="C682" s="43">
        <v>0.06</v>
      </c>
      <c r="D682" s="45">
        <v>45962</v>
      </c>
      <c r="E682" s="45">
        <v>45991.999305555553</v>
      </c>
      <c r="F682" s="42" t="s">
        <v>495</v>
      </c>
    </row>
    <row r="683" spans="1:6" x14ac:dyDescent="0.35">
      <c r="A683" s="42" t="s">
        <v>102</v>
      </c>
      <c r="B683" s="42">
        <v>919.98</v>
      </c>
      <c r="C683" s="43">
        <v>0.06</v>
      </c>
      <c r="D683" s="45">
        <v>45962</v>
      </c>
      <c r="E683" s="45">
        <v>45991.999305555553</v>
      </c>
      <c r="F683" s="42" t="s">
        <v>495</v>
      </c>
    </row>
    <row r="684" spans="1:6" x14ac:dyDescent="0.35">
      <c r="A684" s="42" t="s">
        <v>9</v>
      </c>
      <c r="B684" s="42">
        <v>339.98</v>
      </c>
      <c r="C684" s="43">
        <v>0.06</v>
      </c>
      <c r="D684" s="45">
        <v>45962</v>
      </c>
      <c r="E684" s="45">
        <v>45991.999305555553</v>
      </c>
      <c r="F684" s="42" t="s">
        <v>495</v>
      </c>
    </row>
    <row r="685" spans="1:6" x14ac:dyDescent="0.35">
      <c r="A685" s="42" t="s">
        <v>8</v>
      </c>
      <c r="B685" s="42">
        <v>339.98</v>
      </c>
      <c r="C685" s="43">
        <v>0.06</v>
      </c>
      <c r="D685" s="45">
        <v>45962</v>
      </c>
      <c r="E685" s="45">
        <v>45991.999305555553</v>
      </c>
      <c r="F685" s="42" t="s">
        <v>495</v>
      </c>
    </row>
    <row r="686" spans="1:6" x14ac:dyDescent="0.35">
      <c r="A686" s="42" t="s">
        <v>67</v>
      </c>
      <c r="B686" s="42">
        <v>339.98</v>
      </c>
      <c r="C686" s="43">
        <v>0.06</v>
      </c>
      <c r="D686" s="45">
        <v>45962</v>
      </c>
      <c r="E686" s="45">
        <v>45991.999305555553</v>
      </c>
      <c r="F686" s="42" t="s">
        <v>495</v>
      </c>
    </row>
    <row r="687" spans="1:6" x14ac:dyDescent="0.35">
      <c r="A687" s="42" t="s">
        <v>42</v>
      </c>
      <c r="B687" s="42">
        <v>829.98</v>
      </c>
      <c r="C687" s="43">
        <v>0.06</v>
      </c>
      <c r="D687" s="45">
        <v>45962</v>
      </c>
      <c r="E687" s="45">
        <v>45991.999305555553</v>
      </c>
      <c r="F687" s="42" t="s">
        <v>495</v>
      </c>
    </row>
    <row r="688" spans="1:6" x14ac:dyDescent="0.35">
      <c r="A688" s="42" t="s">
        <v>604</v>
      </c>
      <c r="B688" s="42">
        <v>829.98</v>
      </c>
      <c r="C688" s="43">
        <v>0.06</v>
      </c>
      <c r="D688" s="45">
        <v>45962</v>
      </c>
      <c r="E688" s="45">
        <v>45991.999305555553</v>
      </c>
      <c r="F688" s="42" t="s">
        <v>495</v>
      </c>
    </row>
    <row r="689" spans="1:6" x14ac:dyDescent="0.35">
      <c r="A689" s="42" t="s">
        <v>14</v>
      </c>
      <c r="B689" s="42">
        <v>379.98</v>
      </c>
      <c r="C689" s="43">
        <v>0.08</v>
      </c>
      <c r="D689" s="45">
        <v>45962</v>
      </c>
      <c r="E689" s="45">
        <v>45991.999305555553</v>
      </c>
      <c r="F689" s="42" t="s">
        <v>495</v>
      </c>
    </row>
    <row r="690" spans="1:6" x14ac:dyDescent="0.35">
      <c r="A690" s="42" t="s">
        <v>12</v>
      </c>
      <c r="B690" s="42">
        <v>379.98</v>
      </c>
      <c r="C690" s="43">
        <v>0.08</v>
      </c>
      <c r="D690" s="45">
        <v>45962</v>
      </c>
      <c r="E690" s="45">
        <v>45991.999305555553</v>
      </c>
      <c r="F690" s="42" t="s">
        <v>495</v>
      </c>
    </row>
    <row r="691" spans="1:6" x14ac:dyDescent="0.35">
      <c r="A691" s="42" t="s">
        <v>279</v>
      </c>
      <c r="B691" s="42">
        <v>569.98</v>
      </c>
      <c r="C691" s="43">
        <v>0.08</v>
      </c>
      <c r="D691" s="45">
        <v>45962</v>
      </c>
      <c r="E691" s="45">
        <v>45991.999305555553</v>
      </c>
      <c r="F691" s="42" t="s">
        <v>495</v>
      </c>
    </row>
    <row r="692" spans="1:6" x14ac:dyDescent="0.35">
      <c r="A692" s="42" t="s">
        <v>25</v>
      </c>
      <c r="B692" s="42">
        <v>569.98</v>
      </c>
      <c r="C692" s="43">
        <v>0.08</v>
      </c>
      <c r="D692" s="45">
        <v>45962</v>
      </c>
      <c r="E692" s="45">
        <v>45991.999305555553</v>
      </c>
      <c r="F692" s="42" t="s">
        <v>495</v>
      </c>
    </row>
    <row r="693" spans="1:6" x14ac:dyDescent="0.35">
      <c r="A693" s="42" t="s">
        <v>27</v>
      </c>
      <c r="B693" s="42">
        <v>659.98</v>
      </c>
      <c r="C693" s="43">
        <v>0.08</v>
      </c>
      <c r="D693" s="45">
        <v>45962</v>
      </c>
      <c r="E693" s="45">
        <v>45991.999305555553</v>
      </c>
      <c r="F693" s="42" t="s">
        <v>495</v>
      </c>
    </row>
    <row r="694" spans="1:6" x14ac:dyDescent="0.35">
      <c r="A694" s="42" t="s">
        <v>73</v>
      </c>
      <c r="B694" s="42">
        <v>659.98</v>
      </c>
      <c r="C694" s="43">
        <v>0.08</v>
      </c>
      <c r="D694" s="45">
        <v>45962</v>
      </c>
      <c r="E694" s="45">
        <v>45991.999305555553</v>
      </c>
      <c r="F694" s="42" t="s">
        <v>495</v>
      </c>
    </row>
    <row r="695" spans="1:6" x14ac:dyDescent="0.35">
      <c r="A695" s="42" t="s">
        <v>283</v>
      </c>
      <c r="B695" s="42">
        <v>759.98</v>
      </c>
      <c r="C695" s="43">
        <v>0.08</v>
      </c>
      <c r="D695" s="45">
        <v>45962</v>
      </c>
      <c r="E695" s="45">
        <v>45991.999305555553</v>
      </c>
      <c r="F695" s="42" t="s">
        <v>495</v>
      </c>
    </row>
    <row r="696" spans="1:6" x14ac:dyDescent="0.35">
      <c r="A696" s="42" t="s">
        <v>31</v>
      </c>
      <c r="B696" s="42">
        <v>759.98</v>
      </c>
      <c r="C696" s="43">
        <v>0.08</v>
      </c>
      <c r="D696" s="45">
        <v>45962</v>
      </c>
      <c r="E696" s="45">
        <v>45991.999305555553</v>
      </c>
      <c r="F696" s="42" t="s">
        <v>495</v>
      </c>
    </row>
    <row r="697" spans="1:6" x14ac:dyDescent="0.35">
      <c r="A697" s="42" t="s">
        <v>59</v>
      </c>
      <c r="B697" s="42">
        <v>759.98</v>
      </c>
      <c r="C697" s="43">
        <v>0.08</v>
      </c>
      <c r="D697" s="45">
        <v>45962</v>
      </c>
      <c r="E697" s="45">
        <v>45991.999305555553</v>
      </c>
      <c r="F697" s="42" t="s">
        <v>495</v>
      </c>
    </row>
    <row r="698" spans="1:6" x14ac:dyDescent="0.35">
      <c r="A698" s="42" t="s">
        <v>57</v>
      </c>
      <c r="B698" s="42">
        <v>759.98</v>
      </c>
      <c r="C698" s="43">
        <v>0.08</v>
      </c>
      <c r="D698" s="45">
        <v>45962</v>
      </c>
      <c r="E698" s="45">
        <v>45991.999305555553</v>
      </c>
      <c r="F698" s="42" t="s">
        <v>495</v>
      </c>
    </row>
    <row r="699" spans="1:6" x14ac:dyDescent="0.35">
      <c r="A699" s="42" t="s">
        <v>35</v>
      </c>
      <c r="B699" s="42">
        <v>1429.98</v>
      </c>
      <c r="C699" s="43">
        <v>0.08</v>
      </c>
      <c r="D699" s="45">
        <v>45962</v>
      </c>
      <c r="E699" s="45">
        <v>45991.999305555553</v>
      </c>
      <c r="F699" s="42" t="s">
        <v>495</v>
      </c>
    </row>
    <row r="700" spans="1:6" x14ac:dyDescent="0.35">
      <c r="A700" s="42" t="s">
        <v>15</v>
      </c>
      <c r="B700" s="42">
        <v>399.98</v>
      </c>
      <c r="C700" s="43">
        <v>0.08</v>
      </c>
      <c r="D700" s="45">
        <v>45962</v>
      </c>
      <c r="E700" s="45">
        <v>45991.999305555553</v>
      </c>
      <c r="F700" s="42" t="s">
        <v>495</v>
      </c>
    </row>
    <row r="701" spans="1:6" x14ac:dyDescent="0.35">
      <c r="A701" s="42" t="s">
        <v>16</v>
      </c>
      <c r="B701" s="42">
        <v>399.98</v>
      </c>
      <c r="C701" s="43">
        <v>0.08</v>
      </c>
      <c r="D701" s="45">
        <v>45962</v>
      </c>
      <c r="E701" s="45">
        <v>45991.999305555553</v>
      </c>
      <c r="F701" s="42" t="s">
        <v>495</v>
      </c>
    </row>
    <row r="702" spans="1:6" x14ac:dyDescent="0.35">
      <c r="A702" s="42" t="s">
        <v>54</v>
      </c>
      <c r="B702" s="42">
        <v>499.98</v>
      </c>
      <c r="C702" s="43">
        <v>0.08</v>
      </c>
      <c r="D702" s="45">
        <v>45962</v>
      </c>
      <c r="E702" s="45">
        <v>45991.999305555553</v>
      </c>
      <c r="F702" s="42" t="s">
        <v>495</v>
      </c>
    </row>
    <row r="703" spans="1:6" x14ac:dyDescent="0.35">
      <c r="A703" s="42" t="s">
        <v>55</v>
      </c>
      <c r="B703" s="42">
        <v>689.98</v>
      </c>
      <c r="C703" s="43">
        <v>0.08</v>
      </c>
      <c r="D703" s="45">
        <v>45962</v>
      </c>
      <c r="E703" s="45">
        <v>45991.999305555553</v>
      </c>
      <c r="F703" s="42" t="s">
        <v>495</v>
      </c>
    </row>
    <row r="704" spans="1:6" x14ac:dyDescent="0.35">
      <c r="A704" s="42" t="s">
        <v>61</v>
      </c>
      <c r="B704" s="42">
        <v>1179.98</v>
      </c>
      <c r="C704" s="43">
        <v>0.08</v>
      </c>
      <c r="D704" s="45">
        <v>45962</v>
      </c>
      <c r="E704" s="45">
        <v>45991.999305555553</v>
      </c>
      <c r="F704" s="42" t="s">
        <v>495</v>
      </c>
    </row>
    <row r="705" spans="1:6" x14ac:dyDescent="0.35">
      <c r="A705" s="42" t="s">
        <v>111</v>
      </c>
      <c r="B705" s="42">
        <v>519.98</v>
      </c>
      <c r="C705" s="43">
        <v>0.08</v>
      </c>
      <c r="D705" s="45">
        <v>45962</v>
      </c>
      <c r="E705" s="45">
        <v>45991.999305555553</v>
      </c>
      <c r="F705" s="42" t="s">
        <v>495</v>
      </c>
    </row>
    <row r="706" spans="1:6" x14ac:dyDescent="0.35">
      <c r="A706" s="42" t="s">
        <v>20</v>
      </c>
      <c r="B706" s="42">
        <v>519.98</v>
      </c>
      <c r="C706" s="43">
        <v>0.08</v>
      </c>
      <c r="D706" s="45">
        <v>45962</v>
      </c>
      <c r="E706" s="45">
        <v>45991.999305555553</v>
      </c>
      <c r="F706" s="42" t="s">
        <v>495</v>
      </c>
    </row>
    <row r="707" spans="1:6" x14ac:dyDescent="0.35">
      <c r="A707" s="42" t="s">
        <v>71</v>
      </c>
      <c r="B707" s="42">
        <v>519.98</v>
      </c>
      <c r="C707" s="43">
        <v>0.08</v>
      </c>
      <c r="D707" s="45">
        <v>45962</v>
      </c>
      <c r="E707" s="45">
        <v>45991.999305555553</v>
      </c>
      <c r="F707" s="42" t="s">
        <v>495</v>
      </c>
    </row>
    <row r="708" spans="1:6" x14ac:dyDescent="0.35">
      <c r="A708" s="42" t="s">
        <v>19</v>
      </c>
      <c r="B708" s="42">
        <v>519.98</v>
      </c>
      <c r="C708" s="43">
        <v>0.08</v>
      </c>
      <c r="D708" s="45">
        <v>45962</v>
      </c>
      <c r="E708" s="45">
        <v>45991.999305555553</v>
      </c>
      <c r="F708" s="42" t="s">
        <v>495</v>
      </c>
    </row>
    <row r="709" spans="1:6" x14ac:dyDescent="0.35">
      <c r="A709" s="42" t="s">
        <v>21</v>
      </c>
      <c r="B709" s="42">
        <v>519.98</v>
      </c>
      <c r="C709" s="43">
        <v>0.08</v>
      </c>
      <c r="D709" s="45">
        <v>45962</v>
      </c>
      <c r="E709" s="45">
        <v>45991.999305555553</v>
      </c>
      <c r="F709" s="42" t="s">
        <v>495</v>
      </c>
    </row>
    <row r="710" spans="1:6" x14ac:dyDescent="0.35">
      <c r="A710" s="42" t="s">
        <v>605</v>
      </c>
      <c r="B710" s="42">
        <v>619.98</v>
      </c>
      <c r="C710" s="43">
        <v>0.08</v>
      </c>
      <c r="D710" s="45">
        <v>45962</v>
      </c>
      <c r="E710" s="45">
        <v>45991.999305555553</v>
      </c>
      <c r="F710" s="42" t="s">
        <v>495</v>
      </c>
    </row>
    <row r="711" spans="1:6" x14ac:dyDescent="0.35">
      <c r="A711" s="42" t="s">
        <v>523</v>
      </c>
      <c r="B711" s="42">
        <v>819.98</v>
      </c>
      <c r="C711" s="43">
        <v>0.08</v>
      </c>
      <c r="D711" s="45">
        <v>45962</v>
      </c>
      <c r="E711" s="45">
        <v>45991.999305555553</v>
      </c>
      <c r="F711" s="42" t="s">
        <v>495</v>
      </c>
    </row>
    <row r="712" spans="1:6" x14ac:dyDescent="0.35">
      <c r="A712" s="42" t="s">
        <v>63</v>
      </c>
      <c r="B712" s="42">
        <v>1419.98</v>
      </c>
      <c r="C712" s="43">
        <v>0.08</v>
      </c>
      <c r="D712" s="45">
        <v>45962</v>
      </c>
      <c r="E712" s="45">
        <v>45991.999305555553</v>
      </c>
      <c r="F712" s="42" t="s">
        <v>495</v>
      </c>
    </row>
    <row r="713" spans="1:6" x14ac:dyDescent="0.35">
      <c r="A713" s="42" t="s">
        <v>547</v>
      </c>
      <c r="B713" s="42">
        <v>219.98</v>
      </c>
      <c r="C713" s="43">
        <v>0.08</v>
      </c>
      <c r="D713" s="45">
        <v>45962</v>
      </c>
      <c r="E713" s="45">
        <v>45991.999305555553</v>
      </c>
      <c r="F713" s="42" t="s">
        <v>495</v>
      </c>
    </row>
    <row r="714" spans="1:6" x14ac:dyDescent="0.35">
      <c r="A714" s="42" t="s">
        <v>49</v>
      </c>
      <c r="B714" s="42">
        <v>1579.98</v>
      </c>
      <c r="C714" s="43">
        <v>0.08</v>
      </c>
      <c r="D714" s="45">
        <v>45962</v>
      </c>
      <c r="E714" s="45">
        <v>45991.999305555553</v>
      </c>
      <c r="F714" s="42" t="s">
        <v>495</v>
      </c>
    </row>
    <row r="715" spans="1:6" x14ac:dyDescent="0.35">
      <c r="A715" s="42" t="s">
        <v>77</v>
      </c>
      <c r="B715" s="42">
        <v>349.98</v>
      </c>
      <c r="C715" s="43">
        <v>0.08</v>
      </c>
      <c r="D715" s="45">
        <v>45962</v>
      </c>
      <c r="E715" s="45">
        <v>45991.999305555553</v>
      </c>
      <c r="F715" s="42" t="s">
        <v>495</v>
      </c>
    </row>
    <row r="716" spans="1:6" x14ac:dyDescent="0.35">
      <c r="A716" s="42" t="s">
        <v>116</v>
      </c>
      <c r="B716" s="42">
        <v>349.98</v>
      </c>
      <c r="C716" s="43">
        <v>0.08</v>
      </c>
      <c r="D716" s="45">
        <v>45962</v>
      </c>
      <c r="E716" s="45">
        <v>45991.999305555553</v>
      </c>
      <c r="F716" s="42" t="s">
        <v>495</v>
      </c>
    </row>
    <row r="717" spans="1:6" x14ac:dyDescent="0.35">
      <c r="A717" s="42" t="s">
        <v>11</v>
      </c>
      <c r="B717" s="42">
        <v>349.98</v>
      </c>
      <c r="C717" s="43">
        <v>0.08</v>
      </c>
      <c r="D717" s="45">
        <v>45962</v>
      </c>
      <c r="E717" s="45">
        <v>45991.999305555553</v>
      </c>
      <c r="F717" s="42" t="s">
        <v>495</v>
      </c>
    </row>
    <row r="718" spans="1:6" x14ac:dyDescent="0.35">
      <c r="A718" s="42" t="s">
        <v>76</v>
      </c>
      <c r="B718" s="42">
        <v>369.98</v>
      </c>
      <c r="C718" s="43">
        <v>0.08</v>
      </c>
      <c r="D718" s="45">
        <v>45962</v>
      </c>
      <c r="E718" s="45">
        <v>45991.999305555553</v>
      </c>
      <c r="F718" s="42" t="s">
        <v>495</v>
      </c>
    </row>
    <row r="719" spans="1:6" x14ac:dyDescent="0.35">
      <c r="A719" s="42" t="s">
        <v>23</v>
      </c>
      <c r="B719" s="42">
        <v>429.98</v>
      </c>
      <c r="C719" s="43">
        <v>0.08</v>
      </c>
      <c r="D719" s="45">
        <v>45962</v>
      </c>
      <c r="E719" s="45">
        <v>45991.999305555553</v>
      </c>
      <c r="F719" s="42" t="s">
        <v>495</v>
      </c>
    </row>
    <row r="720" spans="1:6" x14ac:dyDescent="0.35">
      <c r="A720" s="42" t="s">
        <v>271</v>
      </c>
      <c r="B720" s="42">
        <v>429.98</v>
      </c>
      <c r="C720" s="43">
        <v>0.08</v>
      </c>
      <c r="D720" s="45">
        <v>45962</v>
      </c>
      <c r="E720" s="45">
        <v>45991.999305555553</v>
      </c>
      <c r="F720" s="42" t="s">
        <v>495</v>
      </c>
    </row>
    <row r="721" spans="1:6" x14ac:dyDescent="0.35">
      <c r="A721" s="42" t="s">
        <v>115</v>
      </c>
      <c r="B721" s="42">
        <v>349.98</v>
      </c>
      <c r="C721" s="43">
        <v>0.08</v>
      </c>
      <c r="D721" s="45">
        <v>45962</v>
      </c>
      <c r="E721" s="45">
        <v>45991.999305555553</v>
      </c>
      <c r="F721" s="42" t="s">
        <v>495</v>
      </c>
    </row>
    <row r="722" spans="1:6" x14ac:dyDescent="0.35">
      <c r="A722" s="42" t="s">
        <v>102</v>
      </c>
      <c r="B722" s="42">
        <v>939.98</v>
      </c>
      <c r="C722" s="43">
        <v>0.08</v>
      </c>
      <c r="D722" s="45">
        <v>45962</v>
      </c>
      <c r="E722" s="45">
        <v>45991.999305555553</v>
      </c>
      <c r="F722" s="42" t="s">
        <v>495</v>
      </c>
    </row>
    <row r="723" spans="1:6" x14ac:dyDescent="0.35">
      <c r="A723" s="42" t="s">
        <v>9</v>
      </c>
      <c r="B723" s="42">
        <v>349.98</v>
      </c>
      <c r="C723" s="43">
        <v>0.08</v>
      </c>
      <c r="D723" s="45">
        <v>45962</v>
      </c>
      <c r="E723" s="45">
        <v>45991.999305555553</v>
      </c>
      <c r="F723" s="42" t="s">
        <v>495</v>
      </c>
    </row>
    <row r="724" spans="1:6" x14ac:dyDescent="0.35">
      <c r="A724" s="42" t="s">
        <v>8</v>
      </c>
      <c r="B724" s="42">
        <v>349.98</v>
      </c>
      <c r="C724" s="43">
        <v>0.08</v>
      </c>
      <c r="D724" s="45">
        <v>45962</v>
      </c>
      <c r="E724" s="45">
        <v>45991.999305555553</v>
      </c>
      <c r="F724" s="42" t="s">
        <v>495</v>
      </c>
    </row>
    <row r="725" spans="1:6" x14ac:dyDescent="0.35">
      <c r="A725" s="42" t="s">
        <v>67</v>
      </c>
      <c r="B725" s="42">
        <v>349.98</v>
      </c>
      <c r="C725" s="43">
        <v>0.08</v>
      </c>
      <c r="D725" s="45">
        <v>45962</v>
      </c>
      <c r="E725" s="45">
        <v>45991.999305555553</v>
      </c>
      <c r="F725" s="42" t="s">
        <v>495</v>
      </c>
    </row>
    <row r="726" spans="1:6" x14ac:dyDescent="0.35">
      <c r="A726" s="42" t="s">
        <v>42</v>
      </c>
      <c r="B726" s="42">
        <v>849.98</v>
      </c>
      <c r="C726" s="43">
        <v>0.08</v>
      </c>
      <c r="D726" s="45">
        <v>45962</v>
      </c>
      <c r="E726" s="45">
        <v>45991.999305555553</v>
      </c>
      <c r="F726" s="42" t="s">
        <v>495</v>
      </c>
    </row>
    <row r="727" spans="1:6" x14ac:dyDescent="0.35">
      <c r="A727" s="42" t="s">
        <v>604</v>
      </c>
      <c r="B727" s="42">
        <v>849.98</v>
      </c>
      <c r="C727" s="43">
        <v>0.08</v>
      </c>
      <c r="D727" s="45">
        <v>45962</v>
      </c>
      <c r="E727" s="45">
        <v>45991.999305555553</v>
      </c>
      <c r="F727" s="42" t="s">
        <v>495</v>
      </c>
    </row>
    <row r="728" spans="1:6" x14ac:dyDescent="0.35">
      <c r="A728" s="42" t="s">
        <v>14</v>
      </c>
      <c r="B728" s="42">
        <v>389.98</v>
      </c>
      <c r="C728" s="43">
        <v>0.1</v>
      </c>
      <c r="D728" s="45">
        <v>45962</v>
      </c>
      <c r="E728" s="45">
        <v>45991.999305555553</v>
      </c>
      <c r="F728" s="42" t="s">
        <v>495</v>
      </c>
    </row>
    <row r="729" spans="1:6" x14ac:dyDescent="0.35">
      <c r="A729" s="42" t="s">
        <v>12</v>
      </c>
      <c r="B729" s="42">
        <v>389.98</v>
      </c>
      <c r="C729" s="43">
        <v>0.1</v>
      </c>
      <c r="D729" s="45">
        <v>45962</v>
      </c>
      <c r="E729" s="45">
        <v>45991.999305555553</v>
      </c>
      <c r="F729" s="42" t="s">
        <v>495</v>
      </c>
    </row>
    <row r="730" spans="1:6" x14ac:dyDescent="0.35">
      <c r="A730" s="42" t="s">
        <v>279</v>
      </c>
      <c r="B730" s="42">
        <v>589.98</v>
      </c>
      <c r="C730" s="43">
        <v>0.1</v>
      </c>
      <c r="D730" s="45">
        <v>45962</v>
      </c>
      <c r="E730" s="45">
        <v>45991.999305555553</v>
      </c>
      <c r="F730" s="42" t="s">
        <v>495</v>
      </c>
    </row>
    <row r="731" spans="1:6" x14ac:dyDescent="0.35">
      <c r="A731" s="42" t="s">
        <v>25</v>
      </c>
      <c r="B731" s="42">
        <v>589.98</v>
      </c>
      <c r="C731" s="43">
        <v>0.1</v>
      </c>
      <c r="D731" s="45">
        <v>45962</v>
      </c>
      <c r="E731" s="45">
        <v>45991.999305555553</v>
      </c>
      <c r="F731" s="42" t="s">
        <v>495</v>
      </c>
    </row>
    <row r="732" spans="1:6" x14ac:dyDescent="0.35">
      <c r="A732" s="42" t="s">
        <v>27</v>
      </c>
      <c r="B732" s="42">
        <v>679.98</v>
      </c>
      <c r="C732" s="43">
        <v>0.1</v>
      </c>
      <c r="D732" s="45">
        <v>45962</v>
      </c>
      <c r="E732" s="45">
        <v>45991.999305555553</v>
      </c>
      <c r="F732" s="42" t="s">
        <v>495</v>
      </c>
    </row>
    <row r="733" spans="1:6" x14ac:dyDescent="0.35">
      <c r="A733" s="42" t="s">
        <v>73</v>
      </c>
      <c r="B733" s="42">
        <v>679.98</v>
      </c>
      <c r="C733" s="43">
        <v>0.1</v>
      </c>
      <c r="D733" s="45">
        <v>45962</v>
      </c>
      <c r="E733" s="45">
        <v>45991.999305555553</v>
      </c>
      <c r="F733" s="42" t="s">
        <v>495</v>
      </c>
    </row>
    <row r="734" spans="1:6" x14ac:dyDescent="0.35">
      <c r="A734" s="42" t="s">
        <v>283</v>
      </c>
      <c r="B734" s="42">
        <v>779.98</v>
      </c>
      <c r="C734" s="43">
        <v>0.1</v>
      </c>
      <c r="D734" s="45">
        <v>45962</v>
      </c>
      <c r="E734" s="45">
        <v>45991.999305555553</v>
      </c>
      <c r="F734" s="42" t="s">
        <v>495</v>
      </c>
    </row>
    <row r="735" spans="1:6" x14ac:dyDescent="0.35">
      <c r="A735" s="42" t="s">
        <v>31</v>
      </c>
      <c r="B735" s="42">
        <v>779.98</v>
      </c>
      <c r="C735" s="43">
        <v>0.1</v>
      </c>
      <c r="D735" s="45">
        <v>45962</v>
      </c>
      <c r="E735" s="45">
        <v>45991.999305555553</v>
      </c>
      <c r="F735" s="42" t="s">
        <v>495</v>
      </c>
    </row>
    <row r="736" spans="1:6" x14ac:dyDescent="0.35">
      <c r="A736" s="42" t="s">
        <v>59</v>
      </c>
      <c r="B736" s="42">
        <v>779.98</v>
      </c>
      <c r="C736" s="43">
        <v>0.1</v>
      </c>
      <c r="D736" s="45">
        <v>45962</v>
      </c>
      <c r="E736" s="45">
        <v>45991.999305555553</v>
      </c>
      <c r="F736" s="42" t="s">
        <v>495</v>
      </c>
    </row>
    <row r="737" spans="1:6" x14ac:dyDescent="0.35">
      <c r="A737" s="42" t="s">
        <v>57</v>
      </c>
      <c r="B737" s="42">
        <v>779.98</v>
      </c>
      <c r="C737" s="43">
        <v>0.1</v>
      </c>
      <c r="D737" s="45">
        <v>45962</v>
      </c>
      <c r="E737" s="45">
        <v>45991.999305555553</v>
      </c>
      <c r="F737" s="42" t="s">
        <v>495</v>
      </c>
    </row>
    <row r="738" spans="1:6" x14ac:dyDescent="0.35">
      <c r="A738" s="42" t="s">
        <v>35</v>
      </c>
      <c r="B738" s="42">
        <v>1459.98</v>
      </c>
      <c r="C738" s="43">
        <v>0.1</v>
      </c>
      <c r="D738" s="45">
        <v>45962</v>
      </c>
      <c r="E738" s="45">
        <v>45991.999305555553</v>
      </c>
      <c r="F738" s="42" t="s">
        <v>495</v>
      </c>
    </row>
    <row r="739" spans="1:6" x14ac:dyDescent="0.35">
      <c r="A739" s="42" t="s">
        <v>15</v>
      </c>
      <c r="B739" s="42">
        <v>419.98</v>
      </c>
      <c r="C739" s="43">
        <v>0.1</v>
      </c>
      <c r="D739" s="45">
        <v>45962</v>
      </c>
      <c r="E739" s="45">
        <v>45991.999305555553</v>
      </c>
      <c r="F739" s="42" t="s">
        <v>495</v>
      </c>
    </row>
    <row r="740" spans="1:6" x14ac:dyDescent="0.35">
      <c r="A740" s="42" t="s">
        <v>16</v>
      </c>
      <c r="B740" s="42">
        <v>419.98</v>
      </c>
      <c r="C740" s="43">
        <v>0.1</v>
      </c>
      <c r="D740" s="45">
        <v>45962</v>
      </c>
      <c r="E740" s="45">
        <v>45991.999305555553</v>
      </c>
      <c r="F740" s="42" t="s">
        <v>495</v>
      </c>
    </row>
    <row r="741" spans="1:6" x14ac:dyDescent="0.35">
      <c r="A741" s="42" t="s">
        <v>54</v>
      </c>
      <c r="B741" s="42">
        <v>519.98</v>
      </c>
      <c r="C741" s="43">
        <v>0.1</v>
      </c>
      <c r="D741" s="45">
        <v>45962</v>
      </c>
      <c r="E741" s="45">
        <v>45991.999305555553</v>
      </c>
      <c r="F741" s="42" t="s">
        <v>495</v>
      </c>
    </row>
    <row r="742" spans="1:6" x14ac:dyDescent="0.35">
      <c r="A742" s="42" t="s">
        <v>55</v>
      </c>
      <c r="B742" s="42">
        <v>719.98</v>
      </c>
      <c r="C742" s="43">
        <v>0.1</v>
      </c>
      <c r="D742" s="45">
        <v>45962</v>
      </c>
      <c r="E742" s="45">
        <v>45991.999305555553</v>
      </c>
      <c r="F742" s="42" t="s">
        <v>495</v>
      </c>
    </row>
    <row r="743" spans="1:6" x14ac:dyDescent="0.35">
      <c r="A743" s="42" t="s">
        <v>61</v>
      </c>
      <c r="B743" s="42">
        <v>1219.98</v>
      </c>
      <c r="C743" s="43">
        <v>0.1</v>
      </c>
      <c r="D743" s="45">
        <v>45962</v>
      </c>
      <c r="E743" s="45">
        <v>45991.999305555553</v>
      </c>
      <c r="F743" s="42" t="s">
        <v>495</v>
      </c>
    </row>
    <row r="744" spans="1:6" x14ac:dyDescent="0.35">
      <c r="A744" s="42" t="s">
        <v>111</v>
      </c>
      <c r="B744" s="42">
        <v>539.98</v>
      </c>
      <c r="C744" s="43">
        <v>0.1</v>
      </c>
      <c r="D744" s="45">
        <v>45962</v>
      </c>
      <c r="E744" s="45">
        <v>45991.999305555553</v>
      </c>
      <c r="F744" s="42" t="s">
        <v>495</v>
      </c>
    </row>
    <row r="745" spans="1:6" x14ac:dyDescent="0.35">
      <c r="A745" s="42" t="s">
        <v>20</v>
      </c>
      <c r="B745" s="42">
        <v>539.98</v>
      </c>
      <c r="C745" s="43">
        <v>0.1</v>
      </c>
      <c r="D745" s="45">
        <v>45962</v>
      </c>
      <c r="E745" s="45">
        <v>45991.999305555553</v>
      </c>
      <c r="F745" s="42" t="s">
        <v>495</v>
      </c>
    </row>
    <row r="746" spans="1:6" x14ac:dyDescent="0.35">
      <c r="A746" s="42" t="s">
        <v>71</v>
      </c>
      <c r="B746" s="42">
        <v>539.98</v>
      </c>
      <c r="C746" s="43">
        <v>0.1</v>
      </c>
      <c r="D746" s="45">
        <v>45962</v>
      </c>
      <c r="E746" s="45">
        <v>45991.999305555553</v>
      </c>
      <c r="F746" s="42" t="s">
        <v>495</v>
      </c>
    </row>
    <row r="747" spans="1:6" x14ac:dyDescent="0.35">
      <c r="A747" s="42" t="s">
        <v>19</v>
      </c>
      <c r="B747" s="42">
        <v>539.98</v>
      </c>
      <c r="C747" s="43">
        <v>0.1</v>
      </c>
      <c r="D747" s="45">
        <v>45962</v>
      </c>
      <c r="E747" s="45">
        <v>45991.999305555553</v>
      </c>
      <c r="F747" s="42" t="s">
        <v>495</v>
      </c>
    </row>
    <row r="748" spans="1:6" x14ac:dyDescent="0.35">
      <c r="A748" s="42" t="s">
        <v>21</v>
      </c>
      <c r="B748" s="42">
        <v>539.98</v>
      </c>
      <c r="C748" s="43">
        <v>0.1</v>
      </c>
      <c r="D748" s="45">
        <v>45962</v>
      </c>
      <c r="E748" s="45">
        <v>45991.999305555553</v>
      </c>
      <c r="F748" s="42" t="s">
        <v>495</v>
      </c>
    </row>
    <row r="749" spans="1:6" x14ac:dyDescent="0.35">
      <c r="A749" s="42" t="s">
        <v>605</v>
      </c>
      <c r="B749" s="42">
        <v>639.98</v>
      </c>
      <c r="C749" s="43">
        <v>0.1</v>
      </c>
      <c r="D749" s="45">
        <v>45962</v>
      </c>
      <c r="E749" s="45">
        <v>45991.999305555553</v>
      </c>
      <c r="F749" s="42" t="s">
        <v>495</v>
      </c>
    </row>
    <row r="750" spans="1:6" x14ac:dyDescent="0.35">
      <c r="A750" s="42" t="s">
        <v>523</v>
      </c>
      <c r="B750" s="42">
        <v>839.98</v>
      </c>
      <c r="C750" s="43">
        <v>0.1</v>
      </c>
      <c r="D750" s="45">
        <v>45962</v>
      </c>
      <c r="E750" s="45">
        <v>45991.999305555553</v>
      </c>
      <c r="F750" s="42" t="s">
        <v>495</v>
      </c>
    </row>
    <row r="751" spans="1:6" x14ac:dyDescent="0.35">
      <c r="A751" s="42" t="s">
        <v>63</v>
      </c>
      <c r="B751" s="42">
        <v>1449.98</v>
      </c>
      <c r="C751" s="43">
        <v>0.1</v>
      </c>
      <c r="D751" s="45">
        <v>45962</v>
      </c>
      <c r="E751" s="45">
        <v>45991.999305555553</v>
      </c>
      <c r="F751" s="42" t="s">
        <v>495</v>
      </c>
    </row>
    <row r="752" spans="1:6" x14ac:dyDescent="0.35">
      <c r="A752" s="42" t="s">
        <v>547</v>
      </c>
      <c r="B752" s="42">
        <v>229.98</v>
      </c>
      <c r="C752" s="43">
        <v>0.1</v>
      </c>
      <c r="D752" s="45">
        <v>45962</v>
      </c>
      <c r="E752" s="45">
        <v>45991.999305555553</v>
      </c>
      <c r="F752" s="42" t="s">
        <v>495</v>
      </c>
    </row>
    <row r="753" spans="1:6" x14ac:dyDescent="0.35">
      <c r="A753" s="42" t="s">
        <v>49</v>
      </c>
      <c r="B753" s="42">
        <v>1619.98</v>
      </c>
      <c r="C753" s="43">
        <v>0.1</v>
      </c>
      <c r="D753" s="45">
        <v>45962</v>
      </c>
      <c r="E753" s="45">
        <v>45991.999305555553</v>
      </c>
      <c r="F753" s="42" t="s">
        <v>495</v>
      </c>
    </row>
    <row r="754" spans="1:6" x14ac:dyDescent="0.35">
      <c r="A754" s="42" t="s">
        <v>77</v>
      </c>
      <c r="B754" s="42">
        <v>359.98</v>
      </c>
      <c r="C754" s="43">
        <v>0.1</v>
      </c>
      <c r="D754" s="45">
        <v>45962</v>
      </c>
      <c r="E754" s="45">
        <v>45991.999305555553</v>
      </c>
      <c r="F754" s="42" t="s">
        <v>495</v>
      </c>
    </row>
    <row r="755" spans="1:6" x14ac:dyDescent="0.35">
      <c r="A755" s="42" t="s">
        <v>116</v>
      </c>
      <c r="B755" s="42">
        <v>359.98</v>
      </c>
      <c r="C755" s="43">
        <v>0.1</v>
      </c>
      <c r="D755" s="45">
        <v>45962</v>
      </c>
      <c r="E755" s="45">
        <v>45991.999305555553</v>
      </c>
      <c r="F755" s="42" t="s">
        <v>495</v>
      </c>
    </row>
    <row r="756" spans="1:6" x14ac:dyDescent="0.35">
      <c r="A756" s="42" t="s">
        <v>11</v>
      </c>
      <c r="B756" s="42">
        <v>359.98</v>
      </c>
      <c r="C756" s="43">
        <v>0.1</v>
      </c>
      <c r="D756" s="45">
        <v>45962</v>
      </c>
      <c r="E756" s="45">
        <v>45991.999305555553</v>
      </c>
      <c r="F756" s="42" t="s">
        <v>495</v>
      </c>
    </row>
    <row r="757" spans="1:6" x14ac:dyDescent="0.35">
      <c r="A757" s="42" t="s">
        <v>76</v>
      </c>
      <c r="B757" s="42">
        <v>379.98</v>
      </c>
      <c r="C757" s="43">
        <v>0.1</v>
      </c>
      <c r="D757" s="45">
        <v>45962</v>
      </c>
      <c r="E757" s="45">
        <v>45991.999305555553</v>
      </c>
      <c r="F757" s="42" t="s">
        <v>495</v>
      </c>
    </row>
    <row r="758" spans="1:6" x14ac:dyDescent="0.35">
      <c r="A758" s="42" t="s">
        <v>23</v>
      </c>
      <c r="B758" s="42">
        <v>439.98</v>
      </c>
      <c r="C758" s="43">
        <v>0.1</v>
      </c>
      <c r="D758" s="45">
        <v>45962</v>
      </c>
      <c r="E758" s="45">
        <v>45991.999305555553</v>
      </c>
      <c r="F758" s="42" t="s">
        <v>495</v>
      </c>
    </row>
    <row r="759" spans="1:6" x14ac:dyDescent="0.35">
      <c r="A759" s="42" t="s">
        <v>271</v>
      </c>
      <c r="B759" s="42">
        <v>439.98</v>
      </c>
      <c r="C759" s="43">
        <v>0.1</v>
      </c>
      <c r="D759" s="45">
        <v>45962</v>
      </c>
      <c r="E759" s="45">
        <v>45991.999305555553</v>
      </c>
      <c r="F759" s="42" t="s">
        <v>495</v>
      </c>
    </row>
    <row r="760" spans="1:6" x14ac:dyDescent="0.35">
      <c r="A760" s="42" t="s">
        <v>115</v>
      </c>
      <c r="B760" s="42">
        <v>359.98</v>
      </c>
      <c r="C760" s="43">
        <v>0.1</v>
      </c>
      <c r="D760" s="45">
        <v>45962</v>
      </c>
      <c r="E760" s="45">
        <v>45991.999305555553</v>
      </c>
      <c r="F760" s="42" t="s">
        <v>495</v>
      </c>
    </row>
    <row r="761" spans="1:6" x14ac:dyDescent="0.35">
      <c r="A761" s="42" t="s">
        <v>102</v>
      </c>
      <c r="B761" s="42">
        <v>959.98</v>
      </c>
      <c r="C761" s="43">
        <v>0.1</v>
      </c>
      <c r="D761" s="45">
        <v>45962</v>
      </c>
      <c r="E761" s="45">
        <v>45991.999305555553</v>
      </c>
      <c r="F761" s="42" t="s">
        <v>495</v>
      </c>
    </row>
    <row r="762" spans="1:6" x14ac:dyDescent="0.35">
      <c r="A762" s="42" t="s">
        <v>9</v>
      </c>
      <c r="B762" s="42">
        <v>359.98</v>
      </c>
      <c r="C762" s="43">
        <v>0.1</v>
      </c>
      <c r="D762" s="45">
        <v>45962</v>
      </c>
      <c r="E762" s="45">
        <v>45991.999305555553</v>
      </c>
      <c r="F762" s="42" t="s">
        <v>495</v>
      </c>
    </row>
    <row r="763" spans="1:6" x14ac:dyDescent="0.35">
      <c r="A763" s="42" t="s">
        <v>8</v>
      </c>
      <c r="B763" s="42">
        <v>359.98</v>
      </c>
      <c r="C763" s="43">
        <v>0.1</v>
      </c>
      <c r="D763" s="45">
        <v>45962</v>
      </c>
      <c r="E763" s="45">
        <v>45991.999305555553</v>
      </c>
      <c r="F763" s="42" t="s">
        <v>495</v>
      </c>
    </row>
    <row r="764" spans="1:6" x14ac:dyDescent="0.35">
      <c r="A764" s="42" t="s">
        <v>67</v>
      </c>
      <c r="B764" s="42">
        <v>359.98</v>
      </c>
      <c r="C764" s="43">
        <v>0.1</v>
      </c>
      <c r="D764" s="45">
        <v>45962</v>
      </c>
      <c r="E764" s="45">
        <v>45991.999305555553</v>
      </c>
      <c r="F764" s="42" t="s">
        <v>495</v>
      </c>
    </row>
    <row r="765" spans="1:6" x14ac:dyDescent="0.35">
      <c r="A765" s="42" t="s">
        <v>42</v>
      </c>
      <c r="B765" s="42">
        <v>869.98</v>
      </c>
      <c r="C765" s="43">
        <v>0.1</v>
      </c>
      <c r="D765" s="45">
        <v>45962</v>
      </c>
      <c r="E765" s="45">
        <v>45991.999305555553</v>
      </c>
      <c r="F765" s="42" t="s">
        <v>495</v>
      </c>
    </row>
    <row r="766" spans="1:6" x14ac:dyDescent="0.35">
      <c r="A766" s="42" t="s">
        <v>604</v>
      </c>
      <c r="B766" s="42">
        <v>869.98</v>
      </c>
      <c r="C766" s="43">
        <v>0.1</v>
      </c>
      <c r="D766" s="45">
        <v>45962</v>
      </c>
      <c r="E766" s="45">
        <v>45991.999305555553</v>
      </c>
      <c r="F766" s="42" t="s">
        <v>495</v>
      </c>
    </row>
    <row r="767" spans="1:6" x14ac:dyDescent="0.35">
      <c r="A767" s="42" t="s">
        <v>14</v>
      </c>
      <c r="B767" s="42">
        <v>419.98</v>
      </c>
      <c r="C767" s="43">
        <v>0.13</v>
      </c>
      <c r="D767" s="45">
        <v>45962</v>
      </c>
      <c r="E767" s="45">
        <v>45991.999305555553</v>
      </c>
      <c r="F767" s="42" t="s">
        <v>495</v>
      </c>
    </row>
    <row r="768" spans="1:6" x14ac:dyDescent="0.35">
      <c r="A768" s="42" t="s">
        <v>12</v>
      </c>
      <c r="B768" s="42">
        <v>419.98</v>
      </c>
      <c r="C768" s="43">
        <v>0.13</v>
      </c>
      <c r="D768" s="45">
        <v>45962</v>
      </c>
      <c r="E768" s="45">
        <v>45991.999305555553</v>
      </c>
      <c r="F768" s="42" t="s">
        <v>495</v>
      </c>
    </row>
    <row r="769" spans="1:6" x14ac:dyDescent="0.35">
      <c r="A769" s="42" t="s">
        <v>279</v>
      </c>
      <c r="B769" s="42">
        <v>619.98</v>
      </c>
      <c r="C769" s="43">
        <v>0.13</v>
      </c>
      <c r="D769" s="45">
        <v>45962</v>
      </c>
      <c r="E769" s="45">
        <v>45991.999305555553</v>
      </c>
      <c r="F769" s="42" t="s">
        <v>495</v>
      </c>
    </row>
    <row r="770" spans="1:6" x14ac:dyDescent="0.35">
      <c r="A770" s="42" t="s">
        <v>25</v>
      </c>
      <c r="B770" s="42">
        <v>619.98</v>
      </c>
      <c r="C770" s="43">
        <v>0.13</v>
      </c>
      <c r="D770" s="45">
        <v>45962</v>
      </c>
      <c r="E770" s="45">
        <v>45991.999305555553</v>
      </c>
      <c r="F770" s="42" t="s">
        <v>495</v>
      </c>
    </row>
    <row r="771" spans="1:6" x14ac:dyDescent="0.35">
      <c r="A771" s="42" t="s">
        <v>27</v>
      </c>
      <c r="B771" s="42">
        <v>719.98</v>
      </c>
      <c r="C771" s="43">
        <v>0.13</v>
      </c>
      <c r="D771" s="45">
        <v>45962</v>
      </c>
      <c r="E771" s="45">
        <v>45991.999305555553</v>
      </c>
      <c r="F771" s="42" t="s">
        <v>495</v>
      </c>
    </row>
    <row r="772" spans="1:6" x14ac:dyDescent="0.35">
      <c r="A772" s="42" t="s">
        <v>73</v>
      </c>
      <c r="B772" s="42">
        <v>719.98</v>
      </c>
      <c r="C772" s="43">
        <v>0.13</v>
      </c>
      <c r="D772" s="45">
        <v>45962</v>
      </c>
      <c r="E772" s="45">
        <v>45991.999305555553</v>
      </c>
      <c r="F772" s="42" t="s">
        <v>495</v>
      </c>
    </row>
    <row r="773" spans="1:6" x14ac:dyDescent="0.35">
      <c r="A773" s="42" t="s">
        <v>283</v>
      </c>
      <c r="B773" s="42">
        <v>819.98</v>
      </c>
      <c r="C773" s="43">
        <v>0.13</v>
      </c>
      <c r="D773" s="45">
        <v>45962</v>
      </c>
      <c r="E773" s="45">
        <v>45991.999305555553</v>
      </c>
      <c r="F773" s="42" t="s">
        <v>495</v>
      </c>
    </row>
    <row r="774" spans="1:6" x14ac:dyDescent="0.35">
      <c r="A774" s="42" t="s">
        <v>31</v>
      </c>
      <c r="B774" s="42">
        <v>819.98</v>
      </c>
      <c r="C774" s="43">
        <v>0.13</v>
      </c>
      <c r="D774" s="45">
        <v>45962</v>
      </c>
      <c r="E774" s="45">
        <v>45991.999305555553</v>
      </c>
      <c r="F774" s="42" t="s">
        <v>495</v>
      </c>
    </row>
    <row r="775" spans="1:6" x14ac:dyDescent="0.35">
      <c r="A775" s="42" t="s">
        <v>59</v>
      </c>
      <c r="B775" s="42">
        <v>819.98</v>
      </c>
      <c r="C775" s="43">
        <v>0.13</v>
      </c>
      <c r="D775" s="45">
        <v>45962</v>
      </c>
      <c r="E775" s="45">
        <v>45991.999305555553</v>
      </c>
      <c r="F775" s="42" t="s">
        <v>495</v>
      </c>
    </row>
    <row r="776" spans="1:6" x14ac:dyDescent="0.35">
      <c r="A776" s="42" t="s">
        <v>57</v>
      </c>
      <c r="B776" s="42">
        <v>819.98</v>
      </c>
      <c r="C776" s="43">
        <v>0.13</v>
      </c>
      <c r="D776" s="45">
        <v>45962</v>
      </c>
      <c r="E776" s="45">
        <v>45991.999305555553</v>
      </c>
      <c r="F776" s="42" t="s">
        <v>495</v>
      </c>
    </row>
    <row r="777" spans="1:6" x14ac:dyDescent="0.35">
      <c r="A777" s="42" t="s">
        <v>35</v>
      </c>
      <c r="B777" s="42">
        <v>1519.98</v>
      </c>
      <c r="C777" s="43">
        <v>0.13</v>
      </c>
      <c r="D777" s="45">
        <v>45962</v>
      </c>
      <c r="E777" s="45">
        <v>45991.999305555553</v>
      </c>
      <c r="F777" s="42" t="s">
        <v>495</v>
      </c>
    </row>
    <row r="778" spans="1:6" x14ac:dyDescent="0.35">
      <c r="A778" s="42" t="s">
        <v>15</v>
      </c>
      <c r="B778" s="42">
        <v>439.98</v>
      </c>
      <c r="C778" s="43">
        <v>0.13</v>
      </c>
      <c r="D778" s="45">
        <v>45962</v>
      </c>
      <c r="E778" s="45">
        <v>45991.999305555553</v>
      </c>
      <c r="F778" s="42" t="s">
        <v>495</v>
      </c>
    </row>
    <row r="779" spans="1:6" x14ac:dyDescent="0.35">
      <c r="A779" s="42" t="s">
        <v>16</v>
      </c>
      <c r="B779" s="42">
        <v>439.98</v>
      </c>
      <c r="C779" s="43">
        <v>0.13</v>
      </c>
      <c r="D779" s="45">
        <v>45962</v>
      </c>
      <c r="E779" s="45">
        <v>45991.999305555553</v>
      </c>
      <c r="F779" s="42" t="s">
        <v>495</v>
      </c>
    </row>
    <row r="780" spans="1:6" x14ac:dyDescent="0.35">
      <c r="A780" s="42" t="s">
        <v>54</v>
      </c>
      <c r="B780" s="42">
        <v>539.98</v>
      </c>
      <c r="C780" s="43">
        <v>0.13</v>
      </c>
      <c r="D780" s="45">
        <v>45962</v>
      </c>
      <c r="E780" s="45">
        <v>45991.999305555553</v>
      </c>
      <c r="F780" s="42" t="s">
        <v>495</v>
      </c>
    </row>
    <row r="781" spans="1:6" x14ac:dyDescent="0.35">
      <c r="A781" s="42" t="s">
        <v>55</v>
      </c>
      <c r="B781" s="42">
        <v>749.98</v>
      </c>
      <c r="C781" s="43">
        <v>0.13</v>
      </c>
      <c r="D781" s="45">
        <v>45962</v>
      </c>
      <c r="E781" s="45">
        <v>45991.999305555553</v>
      </c>
      <c r="F781" s="42" t="s">
        <v>495</v>
      </c>
    </row>
    <row r="782" spans="1:6" x14ac:dyDescent="0.35">
      <c r="A782" s="42" t="s">
        <v>61</v>
      </c>
      <c r="B782" s="42">
        <v>1259.98</v>
      </c>
      <c r="C782" s="43">
        <v>0.13</v>
      </c>
      <c r="D782" s="45">
        <v>45962</v>
      </c>
      <c r="E782" s="45">
        <v>45991.999305555553</v>
      </c>
      <c r="F782" s="42" t="s">
        <v>495</v>
      </c>
    </row>
    <row r="783" spans="1:6" x14ac:dyDescent="0.35">
      <c r="A783" s="42" t="s">
        <v>111</v>
      </c>
      <c r="B783" s="42">
        <v>559.98</v>
      </c>
      <c r="C783" s="43">
        <v>0.13</v>
      </c>
      <c r="D783" s="45">
        <v>45962</v>
      </c>
      <c r="E783" s="45">
        <v>45991.999305555553</v>
      </c>
      <c r="F783" s="42" t="s">
        <v>495</v>
      </c>
    </row>
    <row r="784" spans="1:6" x14ac:dyDescent="0.35">
      <c r="A784" s="42" t="s">
        <v>20</v>
      </c>
      <c r="B784" s="42">
        <v>559.98</v>
      </c>
      <c r="C784" s="43">
        <v>0.13</v>
      </c>
      <c r="D784" s="45">
        <v>45962</v>
      </c>
      <c r="E784" s="45">
        <v>45991.999305555553</v>
      </c>
      <c r="F784" s="42" t="s">
        <v>495</v>
      </c>
    </row>
    <row r="785" spans="1:6" x14ac:dyDescent="0.35">
      <c r="A785" s="42" t="s">
        <v>71</v>
      </c>
      <c r="B785" s="42">
        <v>559.98</v>
      </c>
      <c r="C785" s="43">
        <v>0.13</v>
      </c>
      <c r="D785" s="45">
        <v>45962</v>
      </c>
      <c r="E785" s="45">
        <v>45991.999305555553</v>
      </c>
      <c r="F785" s="42" t="s">
        <v>495</v>
      </c>
    </row>
    <row r="786" spans="1:6" x14ac:dyDescent="0.35">
      <c r="A786" s="42" t="s">
        <v>19</v>
      </c>
      <c r="B786" s="42">
        <v>559.98</v>
      </c>
      <c r="C786" s="43">
        <v>0.13</v>
      </c>
      <c r="D786" s="45">
        <v>45962</v>
      </c>
      <c r="E786" s="45">
        <v>45991.999305555553</v>
      </c>
      <c r="F786" s="42" t="s">
        <v>495</v>
      </c>
    </row>
    <row r="787" spans="1:6" x14ac:dyDescent="0.35">
      <c r="A787" s="42" t="s">
        <v>21</v>
      </c>
      <c r="B787" s="42">
        <v>559.98</v>
      </c>
      <c r="C787" s="43">
        <v>0.13</v>
      </c>
      <c r="D787" s="45">
        <v>45962</v>
      </c>
      <c r="E787" s="45">
        <v>45991.999305555553</v>
      </c>
      <c r="F787" s="42" t="s">
        <v>495</v>
      </c>
    </row>
    <row r="788" spans="1:6" x14ac:dyDescent="0.35">
      <c r="A788" s="42" t="s">
        <v>605</v>
      </c>
      <c r="B788" s="42">
        <v>659.98</v>
      </c>
      <c r="C788" s="43">
        <v>0.13</v>
      </c>
      <c r="D788" s="45">
        <v>45962</v>
      </c>
      <c r="E788" s="45">
        <v>45991.999305555553</v>
      </c>
      <c r="F788" s="42" t="s">
        <v>495</v>
      </c>
    </row>
    <row r="789" spans="1:6" x14ac:dyDescent="0.35">
      <c r="A789" s="42" t="s">
        <v>523</v>
      </c>
      <c r="B789" s="42">
        <v>869.98</v>
      </c>
      <c r="C789" s="43">
        <v>0.13</v>
      </c>
      <c r="D789" s="45">
        <v>45962</v>
      </c>
      <c r="E789" s="45">
        <v>45991.999305555553</v>
      </c>
      <c r="F789" s="42" t="s">
        <v>495</v>
      </c>
    </row>
    <row r="790" spans="1:6" x14ac:dyDescent="0.35">
      <c r="A790" s="42" t="s">
        <v>63</v>
      </c>
      <c r="B790" s="42">
        <v>1499.98</v>
      </c>
      <c r="C790" s="43">
        <v>0.13</v>
      </c>
      <c r="D790" s="45">
        <v>45962</v>
      </c>
      <c r="E790" s="45">
        <v>45991.999305555553</v>
      </c>
      <c r="F790" s="42" t="s">
        <v>495</v>
      </c>
    </row>
    <row r="791" spans="1:6" x14ac:dyDescent="0.35">
      <c r="A791" s="42" t="s">
        <v>547</v>
      </c>
      <c r="B791" s="42">
        <v>239.98</v>
      </c>
      <c r="C791" s="43">
        <v>0.13</v>
      </c>
      <c r="D791" s="45">
        <v>45962</v>
      </c>
      <c r="E791" s="45">
        <v>45991.999305555553</v>
      </c>
      <c r="F791" s="42" t="s">
        <v>495</v>
      </c>
    </row>
    <row r="792" spans="1:6" x14ac:dyDescent="0.35">
      <c r="A792" s="42" t="s">
        <v>49</v>
      </c>
      <c r="B792" s="42">
        <v>1669.98</v>
      </c>
      <c r="C792" s="43">
        <v>0.13</v>
      </c>
      <c r="D792" s="45">
        <v>45962</v>
      </c>
      <c r="E792" s="45">
        <v>45991.999305555553</v>
      </c>
      <c r="F792" s="42" t="s">
        <v>495</v>
      </c>
    </row>
    <row r="793" spans="1:6" x14ac:dyDescent="0.35">
      <c r="A793" s="42" t="s">
        <v>77</v>
      </c>
      <c r="B793" s="42">
        <v>379.98</v>
      </c>
      <c r="C793" s="43">
        <v>0.13</v>
      </c>
      <c r="D793" s="45">
        <v>45962</v>
      </c>
      <c r="E793" s="45">
        <v>45991.999305555553</v>
      </c>
      <c r="F793" s="42" t="s">
        <v>495</v>
      </c>
    </row>
    <row r="794" spans="1:6" x14ac:dyDescent="0.35">
      <c r="A794" s="42" t="s">
        <v>116</v>
      </c>
      <c r="B794" s="42">
        <v>379.98</v>
      </c>
      <c r="C794" s="43">
        <v>0.13</v>
      </c>
      <c r="D794" s="45">
        <v>45962</v>
      </c>
      <c r="E794" s="45">
        <v>45991.999305555553</v>
      </c>
      <c r="F794" s="42" t="s">
        <v>495</v>
      </c>
    </row>
    <row r="795" spans="1:6" x14ac:dyDescent="0.35">
      <c r="A795" s="42" t="s">
        <v>11</v>
      </c>
      <c r="B795" s="42">
        <v>379.98</v>
      </c>
      <c r="C795" s="43">
        <v>0.13</v>
      </c>
      <c r="D795" s="45">
        <v>45962</v>
      </c>
      <c r="E795" s="45">
        <v>45991.999305555553</v>
      </c>
      <c r="F795" s="42" t="s">
        <v>495</v>
      </c>
    </row>
    <row r="796" spans="1:6" x14ac:dyDescent="0.35">
      <c r="A796" s="42" t="s">
        <v>76</v>
      </c>
      <c r="B796" s="42">
        <v>399.98</v>
      </c>
      <c r="C796" s="43">
        <v>0.13</v>
      </c>
      <c r="D796" s="45">
        <v>45962</v>
      </c>
      <c r="E796" s="45">
        <v>45991.999305555553</v>
      </c>
      <c r="F796" s="42" t="s">
        <v>495</v>
      </c>
    </row>
    <row r="797" spans="1:6" x14ac:dyDescent="0.35">
      <c r="A797" s="42" t="s">
        <v>23</v>
      </c>
      <c r="B797" s="42">
        <v>459.98</v>
      </c>
      <c r="C797" s="43">
        <v>0.13</v>
      </c>
      <c r="D797" s="45">
        <v>45962</v>
      </c>
      <c r="E797" s="45">
        <v>45991.999305555553</v>
      </c>
      <c r="F797" s="42" t="s">
        <v>495</v>
      </c>
    </row>
    <row r="798" spans="1:6" x14ac:dyDescent="0.35">
      <c r="A798" s="42" t="s">
        <v>271</v>
      </c>
      <c r="B798" s="42">
        <v>459.98</v>
      </c>
      <c r="C798" s="43">
        <v>0.13</v>
      </c>
      <c r="D798" s="45">
        <v>45962</v>
      </c>
      <c r="E798" s="45">
        <v>45991.999305555553</v>
      </c>
      <c r="F798" s="42" t="s">
        <v>495</v>
      </c>
    </row>
    <row r="799" spans="1:6" x14ac:dyDescent="0.35">
      <c r="A799" s="42" t="s">
        <v>115</v>
      </c>
      <c r="B799" s="42">
        <v>379.98</v>
      </c>
      <c r="C799" s="43">
        <v>0.13</v>
      </c>
      <c r="D799" s="45">
        <v>45962</v>
      </c>
      <c r="E799" s="45">
        <v>45991.999305555553</v>
      </c>
      <c r="F799" s="42" t="s">
        <v>495</v>
      </c>
    </row>
    <row r="800" spans="1:6" x14ac:dyDescent="0.35">
      <c r="A800" s="42" t="s">
        <v>102</v>
      </c>
      <c r="B800" s="42">
        <v>989.98</v>
      </c>
      <c r="C800" s="43">
        <v>0.13</v>
      </c>
      <c r="D800" s="45">
        <v>45962</v>
      </c>
      <c r="E800" s="45">
        <v>45991.999305555553</v>
      </c>
      <c r="F800" s="42" t="s">
        <v>495</v>
      </c>
    </row>
    <row r="801" spans="1:6" x14ac:dyDescent="0.35">
      <c r="A801" s="42" t="s">
        <v>9</v>
      </c>
      <c r="B801" s="42">
        <v>379.98</v>
      </c>
      <c r="C801" s="43">
        <v>0.13</v>
      </c>
      <c r="D801" s="45">
        <v>45962</v>
      </c>
      <c r="E801" s="45">
        <v>45991.999305555553</v>
      </c>
      <c r="F801" s="42" t="s">
        <v>495</v>
      </c>
    </row>
    <row r="802" spans="1:6" x14ac:dyDescent="0.35">
      <c r="A802" s="42" t="s">
        <v>8</v>
      </c>
      <c r="B802" s="42">
        <v>379.98</v>
      </c>
      <c r="C802" s="43">
        <v>0.13</v>
      </c>
      <c r="D802" s="45">
        <v>45962</v>
      </c>
      <c r="E802" s="45">
        <v>45991.999305555553</v>
      </c>
      <c r="F802" s="42" t="s">
        <v>495</v>
      </c>
    </row>
    <row r="803" spans="1:6" x14ac:dyDescent="0.35">
      <c r="A803" s="42" t="s">
        <v>67</v>
      </c>
      <c r="B803" s="42">
        <v>379.98</v>
      </c>
      <c r="C803" s="43">
        <v>0.13</v>
      </c>
      <c r="D803" s="45">
        <v>45962</v>
      </c>
      <c r="E803" s="45">
        <v>45991.999305555553</v>
      </c>
      <c r="F803" s="42" t="s">
        <v>495</v>
      </c>
    </row>
    <row r="804" spans="1:6" x14ac:dyDescent="0.35">
      <c r="A804" s="42" t="s">
        <v>42</v>
      </c>
      <c r="B804" s="42">
        <v>899.98</v>
      </c>
      <c r="C804" s="43">
        <v>0.13</v>
      </c>
      <c r="D804" s="45">
        <v>45962</v>
      </c>
      <c r="E804" s="45">
        <v>45991.999305555553</v>
      </c>
      <c r="F804" s="42" t="s">
        <v>495</v>
      </c>
    </row>
    <row r="805" spans="1:6" x14ac:dyDescent="0.35">
      <c r="A805" s="42" t="s">
        <v>604</v>
      </c>
      <c r="B805" s="42">
        <v>899.98</v>
      </c>
      <c r="C805" s="43">
        <v>0.13</v>
      </c>
      <c r="D805" s="45">
        <v>45962</v>
      </c>
      <c r="E805" s="45">
        <v>45991.999305555553</v>
      </c>
      <c r="F805" s="42" t="s">
        <v>495</v>
      </c>
    </row>
    <row r="806" spans="1:6" x14ac:dyDescent="0.35">
      <c r="A806" s="42" t="s">
        <v>14</v>
      </c>
      <c r="B806" s="42">
        <v>429.98</v>
      </c>
      <c r="C806" s="43">
        <v>0.15</v>
      </c>
      <c r="D806" s="45">
        <v>45962</v>
      </c>
      <c r="E806" s="45">
        <v>45991.999305555553</v>
      </c>
      <c r="F806" s="42" t="s">
        <v>495</v>
      </c>
    </row>
    <row r="807" spans="1:6" x14ac:dyDescent="0.35">
      <c r="A807" s="42" t="s">
        <v>12</v>
      </c>
      <c r="B807" s="42">
        <v>429.98</v>
      </c>
      <c r="C807" s="43">
        <v>0.15</v>
      </c>
      <c r="D807" s="45">
        <v>45962</v>
      </c>
      <c r="E807" s="45">
        <v>45991.999305555553</v>
      </c>
      <c r="F807" s="42" t="s">
        <v>495</v>
      </c>
    </row>
    <row r="808" spans="1:6" x14ac:dyDescent="0.35">
      <c r="A808" s="42" t="s">
        <v>279</v>
      </c>
      <c r="B808" s="42">
        <v>639.98</v>
      </c>
      <c r="C808" s="43">
        <v>0.15</v>
      </c>
      <c r="D808" s="45">
        <v>45962</v>
      </c>
      <c r="E808" s="45">
        <v>45991.999305555553</v>
      </c>
      <c r="F808" s="42" t="s">
        <v>495</v>
      </c>
    </row>
    <row r="809" spans="1:6" x14ac:dyDescent="0.35">
      <c r="A809" s="42" t="s">
        <v>25</v>
      </c>
      <c r="B809" s="42">
        <v>639.98</v>
      </c>
      <c r="C809" s="43">
        <v>0.15</v>
      </c>
      <c r="D809" s="45">
        <v>45962</v>
      </c>
      <c r="E809" s="45">
        <v>45991.999305555553</v>
      </c>
      <c r="F809" s="42" t="s">
        <v>495</v>
      </c>
    </row>
    <row r="810" spans="1:6" x14ac:dyDescent="0.35">
      <c r="A810" s="42" t="s">
        <v>27</v>
      </c>
      <c r="B810" s="42">
        <v>739.98</v>
      </c>
      <c r="C810" s="43">
        <v>0.15</v>
      </c>
      <c r="D810" s="45">
        <v>45962</v>
      </c>
      <c r="E810" s="45">
        <v>45991.999305555553</v>
      </c>
      <c r="F810" s="42" t="s">
        <v>495</v>
      </c>
    </row>
    <row r="811" spans="1:6" x14ac:dyDescent="0.35">
      <c r="A811" s="42" t="s">
        <v>73</v>
      </c>
      <c r="B811" s="42">
        <v>739.98</v>
      </c>
      <c r="C811" s="43">
        <v>0.15</v>
      </c>
      <c r="D811" s="45">
        <v>45962</v>
      </c>
      <c r="E811" s="45">
        <v>45991.999305555553</v>
      </c>
      <c r="F811" s="42" t="s">
        <v>495</v>
      </c>
    </row>
    <row r="812" spans="1:6" x14ac:dyDescent="0.35">
      <c r="A812" s="42" t="s">
        <v>283</v>
      </c>
      <c r="B812" s="42">
        <v>839.98</v>
      </c>
      <c r="C812" s="43">
        <v>0.15</v>
      </c>
      <c r="D812" s="45">
        <v>45962</v>
      </c>
      <c r="E812" s="45">
        <v>45991.999305555553</v>
      </c>
      <c r="F812" s="42" t="s">
        <v>495</v>
      </c>
    </row>
    <row r="813" spans="1:6" x14ac:dyDescent="0.35">
      <c r="A813" s="42" t="s">
        <v>31</v>
      </c>
      <c r="B813" s="42">
        <v>839.98</v>
      </c>
      <c r="C813" s="43">
        <v>0.15</v>
      </c>
      <c r="D813" s="45">
        <v>45962</v>
      </c>
      <c r="E813" s="45">
        <v>45991.999305555553</v>
      </c>
      <c r="F813" s="42" t="s">
        <v>495</v>
      </c>
    </row>
    <row r="814" spans="1:6" x14ac:dyDescent="0.35">
      <c r="A814" s="42" t="s">
        <v>59</v>
      </c>
      <c r="B814" s="42">
        <v>839.98</v>
      </c>
      <c r="C814" s="43">
        <v>0.15</v>
      </c>
      <c r="D814" s="45">
        <v>45962</v>
      </c>
      <c r="E814" s="45">
        <v>45991.999305555553</v>
      </c>
      <c r="F814" s="42" t="s">
        <v>495</v>
      </c>
    </row>
    <row r="815" spans="1:6" x14ac:dyDescent="0.35">
      <c r="A815" s="42" t="s">
        <v>57</v>
      </c>
      <c r="B815" s="42">
        <v>839.98</v>
      </c>
      <c r="C815" s="43">
        <v>0.15</v>
      </c>
      <c r="D815" s="45">
        <v>45962</v>
      </c>
      <c r="E815" s="45">
        <v>45991.999305555553</v>
      </c>
      <c r="F815" s="42" t="s">
        <v>495</v>
      </c>
    </row>
    <row r="816" spans="1:6" x14ac:dyDescent="0.35">
      <c r="A816" s="42" t="s">
        <v>35</v>
      </c>
      <c r="B816" s="42">
        <v>1559.98</v>
      </c>
      <c r="C816" s="43">
        <v>0.15</v>
      </c>
      <c r="D816" s="45">
        <v>45962</v>
      </c>
      <c r="E816" s="45">
        <v>45991.999305555553</v>
      </c>
      <c r="F816" s="42" t="s">
        <v>495</v>
      </c>
    </row>
    <row r="817" spans="1:6" x14ac:dyDescent="0.35">
      <c r="A817" s="42" t="s">
        <v>15</v>
      </c>
      <c r="B817" s="42">
        <v>449.98</v>
      </c>
      <c r="C817" s="43">
        <v>0.15</v>
      </c>
      <c r="D817" s="45">
        <v>45962</v>
      </c>
      <c r="E817" s="45">
        <v>45991.999305555553</v>
      </c>
      <c r="F817" s="42" t="s">
        <v>495</v>
      </c>
    </row>
    <row r="818" spans="1:6" x14ac:dyDescent="0.35">
      <c r="A818" s="42" t="s">
        <v>16</v>
      </c>
      <c r="B818" s="42">
        <v>449.98</v>
      </c>
      <c r="C818" s="43">
        <v>0.15</v>
      </c>
      <c r="D818" s="45">
        <v>45962</v>
      </c>
      <c r="E818" s="45">
        <v>45991.999305555553</v>
      </c>
      <c r="F818" s="42" t="s">
        <v>495</v>
      </c>
    </row>
    <row r="819" spans="1:6" x14ac:dyDescent="0.35">
      <c r="A819" s="42" t="s">
        <v>54</v>
      </c>
      <c r="B819" s="42">
        <v>559.98</v>
      </c>
      <c r="C819" s="43">
        <v>0.15</v>
      </c>
      <c r="D819" s="45">
        <v>45962</v>
      </c>
      <c r="E819" s="45">
        <v>45991.999305555553</v>
      </c>
      <c r="F819" s="42" t="s">
        <v>495</v>
      </c>
    </row>
    <row r="820" spans="1:6" x14ac:dyDescent="0.35">
      <c r="A820" s="42" t="s">
        <v>55</v>
      </c>
      <c r="B820" s="42">
        <v>769.98</v>
      </c>
      <c r="C820" s="43">
        <v>0.15</v>
      </c>
      <c r="D820" s="45">
        <v>45962</v>
      </c>
      <c r="E820" s="45">
        <v>45991.999305555553</v>
      </c>
      <c r="F820" s="42" t="s">
        <v>495</v>
      </c>
    </row>
    <row r="821" spans="1:6" x14ac:dyDescent="0.35">
      <c r="A821" s="42" t="s">
        <v>61</v>
      </c>
      <c r="B821" s="42">
        <v>1289.98</v>
      </c>
      <c r="C821" s="43">
        <v>0.15</v>
      </c>
      <c r="D821" s="45">
        <v>45962</v>
      </c>
      <c r="E821" s="45">
        <v>45991.999305555553</v>
      </c>
      <c r="F821" s="42" t="s">
        <v>495</v>
      </c>
    </row>
    <row r="822" spans="1:6" x14ac:dyDescent="0.35">
      <c r="A822" s="42" t="s">
        <v>111</v>
      </c>
      <c r="B822" s="42">
        <v>579.98</v>
      </c>
      <c r="C822" s="43">
        <v>0.15</v>
      </c>
      <c r="D822" s="45">
        <v>45962</v>
      </c>
      <c r="E822" s="45">
        <v>45991.999305555553</v>
      </c>
      <c r="F822" s="42" t="s">
        <v>495</v>
      </c>
    </row>
    <row r="823" spans="1:6" x14ac:dyDescent="0.35">
      <c r="A823" s="42" t="s">
        <v>20</v>
      </c>
      <c r="B823" s="42">
        <v>579.98</v>
      </c>
      <c r="C823" s="43">
        <v>0.15</v>
      </c>
      <c r="D823" s="45">
        <v>45962</v>
      </c>
      <c r="E823" s="45">
        <v>45991.999305555553</v>
      </c>
      <c r="F823" s="42" t="s">
        <v>495</v>
      </c>
    </row>
    <row r="824" spans="1:6" x14ac:dyDescent="0.35">
      <c r="A824" s="42" t="s">
        <v>71</v>
      </c>
      <c r="B824" s="42">
        <v>579.98</v>
      </c>
      <c r="C824" s="43">
        <v>0.15</v>
      </c>
      <c r="D824" s="45">
        <v>45962</v>
      </c>
      <c r="E824" s="45">
        <v>45991.999305555553</v>
      </c>
      <c r="F824" s="42" t="s">
        <v>495</v>
      </c>
    </row>
    <row r="825" spans="1:6" x14ac:dyDescent="0.35">
      <c r="A825" s="42" t="s">
        <v>19</v>
      </c>
      <c r="B825" s="42">
        <v>579.98</v>
      </c>
      <c r="C825" s="43">
        <v>0.15</v>
      </c>
      <c r="D825" s="45">
        <v>45962</v>
      </c>
      <c r="E825" s="45">
        <v>45991.999305555553</v>
      </c>
      <c r="F825" s="42" t="s">
        <v>495</v>
      </c>
    </row>
    <row r="826" spans="1:6" x14ac:dyDescent="0.35">
      <c r="A826" s="42" t="s">
        <v>21</v>
      </c>
      <c r="B826" s="42">
        <v>579.98</v>
      </c>
      <c r="C826" s="43">
        <v>0.15</v>
      </c>
      <c r="D826" s="45">
        <v>45962</v>
      </c>
      <c r="E826" s="45">
        <v>45991.999305555553</v>
      </c>
      <c r="F826" s="42" t="s">
        <v>495</v>
      </c>
    </row>
    <row r="827" spans="1:6" x14ac:dyDescent="0.35">
      <c r="A827" s="42" t="s">
        <v>605</v>
      </c>
      <c r="B827" s="42">
        <v>679.98</v>
      </c>
      <c r="C827" s="43">
        <v>0.15</v>
      </c>
      <c r="D827" s="45">
        <v>45962</v>
      </c>
      <c r="E827" s="45">
        <v>45991.999305555553</v>
      </c>
      <c r="F827" s="42" t="s">
        <v>495</v>
      </c>
    </row>
    <row r="828" spans="1:6" x14ac:dyDescent="0.35">
      <c r="A828" s="42" t="s">
        <v>523</v>
      </c>
      <c r="B828" s="42">
        <v>889.98</v>
      </c>
      <c r="C828" s="43">
        <v>0.15</v>
      </c>
      <c r="D828" s="45">
        <v>45962</v>
      </c>
      <c r="E828" s="45">
        <v>45991.999305555553</v>
      </c>
      <c r="F828" s="42" t="s">
        <v>495</v>
      </c>
    </row>
    <row r="829" spans="1:6" x14ac:dyDescent="0.35">
      <c r="A829" s="42" t="s">
        <v>63</v>
      </c>
      <c r="B829" s="42">
        <v>1529.98</v>
      </c>
      <c r="C829" s="43">
        <v>0.15</v>
      </c>
      <c r="D829" s="45">
        <v>45962</v>
      </c>
      <c r="E829" s="45">
        <v>45991.999305555553</v>
      </c>
      <c r="F829" s="42" t="s">
        <v>495</v>
      </c>
    </row>
    <row r="830" spans="1:6" x14ac:dyDescent="0.35">
      <c r="A830" s="42" t="s">
        <v>547</v>
      </c>
      <c r="B830" s="42">
        <v>249.98</v>
      </c>
      <c r="C830" s="43">
        <v>0.15</v>
      </c>
      <c r="D830" s="45">
        <v>45962</v>
      </c>
      <c r="E830" s="45">
        <v>45991.999305555553</v>
      </c>
      <c r="F830" s="42" t="s">
        <v>495</v>
      </c>
    </row>
    <row r="831" spans="1:6" x14ac:dyDescent="0.35">
      <c r="A831" s="42" t="s">
        <v>49</v>
      </c>
      <c r="B831" s="42">
        <v>1719.98</v>
      </c>
      <c r="C831" s="43">
        <v>0.15</v>
      </c>
      <c r="D831" s="45">
        <v>45962</v>
      </c>
      <c r="E831" s="45">
        <v>45991.999305555553</v>
      </c>
      <c r="F831" s="42" t="s">
        <v>495</v>
      </c>
    </row>
    <row r="832" spans="1:6" x14ac:dyDescent="0.35">
      <c r="A832" s="42" t="s">
        <v>77</v>
      </c>
      <c r="B832" s="42">
        <v>389.98</v>
      </c>
      <c r="C832" s="43">
        <v>0.15</v>
      </c>
      <c r="D832" s="45">
        <v>45962</v>
      </c>
      <c r="E832" s="45">
        <v>45991.999305555553</v>
      </c>
      <c r="F832" s="42" t="s">
        <v>495</v>
      </c>
    </row>
    <row r="833" spans="1:6" x14ac:dyDescent="0.35">
      <c r="A833" s="42" t="s">
        <v>116</v>
      </c>
      <c r="B833" s="42">
        <v>389.98</v>
      </c>
      <c r="C833" s="43">
        <v>0.15</v>
      </c>
      <c r="D833" s="45">
        <v>45962</v>
      </c>
      <c r="E833" s="45">
        <v>45991.999305555553</v>
      </c>
      <c r="F833" s="42" t="s">
        <v>495</v>
      </c>
    </row>
    <row r="834" spans="1:6" x14ac:dyDescent="0.35">
      <c r="A834" s="42" t="s">
        <v>11</v>
      </c>
      <c r="B834" s="42">
        <v>389.98</v>
      </c>
      <c r="C834" s="43">
        <v>0.15</v>
      </c>
      <c r="D834" s="45">
        <v>45962</v>
      </c>
      <c r="E834" s="45">
        <v>45991.999305555553</v>
      </c>
      <c r="F834" s="42" t="s">
        <v>495</v>
      </c>
    </row>
    <row r="835" spans="1:6" x14ac:dyDescent="0.35">
      <c r="A835" s="42" t="s">
        <v>76</v>
      </c>
      <c r="B835" s="42">
        <v>419.98</v>
      </c>
      <c r="C835" s="43">
        <v>0.15</v>
      </c>
      <c r="D835" s="45">
        <v>45962</v>
      </c>
      <c r="E835" s="45">
        <v>45991.999305555553</v>
      </c>
      <c r="F835" s="42" t="s">
        <v>495</v>
      </c>
    </row>
    <row r="836" spans="1:6" x14ac:dyDescent="0.35">
      <c r="A836" s="42" t="s">
        <v>23</v>
      </c>
      <c r="B836" s="42">
        <v>469.98</v>
      </c>
      <c r="C836" s="43">
        <v>0.15</v>
      </c>
      <c r="D836" s="45">
        <v>45962</v>
      </c>
      <c r="E836" s="45">
        <v>45991.999305555553</v>
      </c>
      <c r="F836" s="42" t="s">
        <v>495</v>
      </c>
    </row>
    <row r="837" spans="1:6" x14ac:dyDescent="0.35">
      <c r="A837" s="42" t="s">
        <v>271</v>
      </c>
      <c r="B837" s="42">
        <v>469.98</v>
      </c>
      <c r="C837" s="43">
        <v>0.15</v>
      </c>
      <c r="D837" s="45">
        <v>45962</v>
      </c>
      <c r="E837" s="45">
        <v>45991.999305555553</v>
      </c>
      <c r="F837" s="42" t="s">
        <v>495</v>
      </c>
    </row>
    <row r="838" spans="1:6" x14ac:dyDescent="0.35">
      <c r="A838" s="42" t="s">
        <v>115</v>
      </c>
      <c r="B838" s="42">
        <v>389.98</v>
      </c>
      <c r="C838" s="43">
        <v>0.15</v>
      </c>
      <c r="D838" s="45">
        <v>45962</v>
      </c>
      <c r="E838" s="45">
        <v>45991.999305555553</v>
      </c>
      <c r="F838" s="42" t="s">
        <v>495</v>
      </c>
    </row>
    <row r="839" spans="1:6" x14ac:dyDescent="0.35">
      <c r="A839" s="42" t="s">
        <v>102</v>
      </c>
      <c r="B839" s="42">
        <v>1019.98</v>
      </c>
      <c r="C839" s="43">
        <v>0.15</v>
      </c>
      <c r="D839" s="45">
        <v>45962</v>
      </c>
      <c r="E839" s="45">
        <v>45991.999305555553</v>
      </c>
      <c r="F839" s="42" t="s">
        <v>495</v>
      </c>
    </row>
    <row r="840" spans="1:6" x14ac:dyDescent="0.35">
      <c r="A840" s="42" t="s">
        <v>9</v>
      </c>
      <c r="B840" s="42">
        <v>389.98</v>
      </c>
      <c r="C840" s="43">
        <v>0.15</v>
      </c>
      <c r="D840" s="45">
        <v>45962</v>
      </c>
      <c r="E840" s="45">
        <v>45991.999305555553</v>
      </c>
      <c r="F840" s="42" t="s">
        <v>495</v>
      </c>
    </row>
    <row r="841" spans="1:6" x14ac:dyDescent="0.35">
      <c r="A841" s="42" t="s">
        <v>8</v>
      </c>
      <c r="B841" s="42">
        <v>389.98</v>
      </c>
      <c r="C841" s="43">
        <v>0.15</v>
      </c>
      <c r="D841" s="45">
        <v>45962</v>
      </c>
      <c r="E841" s="45">
        <v>45991.999305555553</v>
      </c>
      <c r="F841" s="42" t="s">
        <v>495</v>
      </c>
    </row>
    <row r="842" spans="1:6" x14ac:dyDescent="0.35">
      <c r="A842" s="42" t="s">
        <v>67</v>
      </c>
      <c r="B842" s="42">
        <v>389.98</v>
      </c>
      <c r="C842" s="43">
        <v>0.15</v>
      </c>
      <c r="D842" s="45">
        <v>45962</v>
      </c>
      <c r="E842" s="45">
        <v>45991.999305555553</v>
      </c>
      <c r="F842" s="42" t="s">
        <v>495</v>
      </c>
    </row>
    <row r="843" spans="1:6" x14ac:dyDescent="0.35">
      <c r="A843" s="42" t="s">
        <v>42</v>
      </c>
      <c r="B843" s="42">
        <v>919.98</v>
      </c>
      <c r="C843" s="43">
        <v>0.15</v>
      </c>
      <c r="D843" s="45">
        <v>45962</v>
      </c>
      <c r="E843" s="45">
        <v>45991.999305555553</v>
      </c>
      <c r="F843" s="42" t="s">
        <v>495</v>
      </c>
    </row>
    <row r="844" spans="1:6" x14ac:dyDescent="0.35">
      <c r="A844" s="42" t="s">
        <v>604</v>
      </c>
      <c r="B844" s="42">
        <v>919.98</v>
      </c>
      <c r="C844" s="43">
        <v>0.15</v>
      </c>
      <c r="D844" s="45">
        <v>45962</v>
      </c>
      <c r="E844" s="45">
        <v>45991.999305555553</v>
      </c>
      <c r="F844" s="42" t="s">
        <v>495</v>
      </c>
    </row>
    <row r="845" spans="1:6" x14ac:dyDescent="0.35">
      <c r="A845" s="42" t="s">
        <v>14</v>
      </c>
      <c r="B845" s="42">
        <v>439.98</v>
      </c>
      <c r="C845" s="43">
        <v>0.17</v>
      </c>
      <c r="D845" s="45">
        <v>45962</v>
      </c>
      <c r="E845" s="45">
        <v>45991.999305555553</v>
      </c>
      <c r="F845" s="42" t="s">
        <v>495</v>
      </c>
    </row>
    <row r="846" spans="1:6" x14ac:dyDescent="0.35">
      <c r="A846" s="42" t="s">
        <v>12</v>
      </c>
      <c r="B846" s="42">
        <v>439.98</v>
      </c>
      <c r="C846" s="43">
        <v>0.17</v>
      </c>
      <c r="D846" s="45">
        <v>45962</v>
      </c>
      <c r="E846" s="45">
        <v>45991.999305555553</v>
      </c>
      <c r="F846" s="42" t="s">
        <v>495</v>
      </c>
    </row>
    <row r="847" spans="1:6" x14ac:dyDescent="0.35">
      <c r="A847" s="42" t="s">
        <v>279</v>
      </c>
      <c r="B847" s="42">
        <v>659.98</v>
      </c>
      <c r="C847" s="43">
        <v>0.17</v>
      </c>
      <c r="D847" s="45">
        <v>45962</v>
      </c>
      <c r="E847" s="45">
        <v>45991.999305555553</v>
      </c>
      <c r="F847" s="42" t="s">
        <v>495</v>
      </c>
    </row>
    <row r="848" spans="1:6" x14ac:dyDescent="0.35">
      <c r="A848" s="42" t="s">
        <v>25</v>
      </c>
      <c r="B848" s="42">
        <v>659.98</v>
      </c>
      <c r="C848" s="43">
        <v>0.17</v>
      </c>
      <c r="D848" s="45">
        <v>45962</v>
      </c>
      <c r="E848" s="45">
        <v>45991.999305555553</v>
      </c>
      <c r="F848" s="42" t="s">
        <v>495</v>
      </c>
    </row>
    <row r="849" spans="1:6" x14ac:dyDescent="0.35">
      <c r="A849" s="42" t="s">
        <v>27</v>
      </c>
      <c r="B849" s="42">
        <v>759.98</v>
      </c>
      <c r="C849" s="43">
        <v>0.17</v>
      </c>
      <c r="D849" s="45">
        <v>45962</v>
      </c>
      <c r="E849" s="45">
        <v>45991.999305555553</v>
      </c>
      <c r="F849" s="42" t="s">
        <v>495</v>
      </c>
    </row>
    <row r="850" spans="1:6" x14ac:dyDescent="0.35">
      <c r="A850" s="42" t="s">
        <v>73</v>
      </c>
      <c r="B850" s="42">
        <v>759.98</v>
      </c>
      <c r="C850" s="43">
        <v>0.17</v>
      </c>
      <c r="D850" s="45">
        <v>45962</v>
      </c>
      <c r="E850" s="45">
        <v>45991.999305555553</v>
      </c>
      <c r="F850" s="42" t="s">
        <v>495</v>
      </c>
    </row>
    <row r="851" spans="1:6" x14ac:dyDescent="0.35">
      <c r="A851" s="42" t="s">
        <v>283</v>
      </c>
      <c r="B851" s="42">
        <v>859.98</v>
      </c>
      <c r="C851" s="43">
        <v>0.17</v>
      </c>
      <c r="D851" s="45">
        <v>45962</v>
      </c>
      <c r="E851" s="45">
        <v>45991.999305555553</v>
      </c>
      <c r="F851" s="42" t="s">
        <v>495</v>
      </c>
    </row>
    <row r="852" spans="1:6" x14ac:dyDescent="0.35">
      <c r="A852" s="42" t="s">
        <v>31</v>
      </c>
      <c r="B852" s="42">
        <v>859.98</v>
      </c>
      <c r="C852" s="43">
        <v>0.17</v>
      </c>
      <c r="D852" s="45">
        <v>45962</v>
      </c>
      <c r="E852" s="45">
        <v>45991.999305555553</v>
      </c>
      <c r="F852" s="42" t="s">
        <v>495</v>
      </c>
    </row>
    <row r="853" spans="1:6" x14ac:dyDescent="0.35">
      <c r="A853" s="42" t="s">
        <v>59</v>
      </c>
      <c r="B853" s="42">
        <v>859.98</v>
      </c>
      <c r="C853" s="43">
        <v>0.17</v>
      </c>
      <c r="D853" s="45">
        <v>45962</v>
      </c>
      <c r="E853" s="45">
        <v>45991.999305555553</v>
      </c>
      <c r="F853" s="42" t="s">
        <v>495</v>
      </c>
    </row>
    <row r="854" spans="1:6" x14ac:dyDescent="0.35">
      <c r="A854" s="42" t="s">
        <v>57</v>
      </c>
      <c r="B854" s="42">
        <v>859.98</v>
      </c>
      <c r="C854" s="43">
        <v>0.17</v>
      </c>
      <c r="D854" s="45">
        <v>45962</v>
      </c>
      <c r="E854" s="45">
        <v>45991.999305555553</v>
      </c>
      <c r="F854" s="42" t="s">
        <v>495</v>
      </c>
    </row>
    <row r="855" spans="1:6" x14ac:dyDescent="0.35">
      <c r="A855" s="42" t="s">
        <v>35</v>
      </c>
      <c r="B855" s="42">
        <v>1599.98</v>
      </c>
      <c r="C855" s="43">
        <v>0.17</v>
      </c>
      <c r="D855" s="45">
        <v>45962</v>
      </c>
      <c r="E855" s="45">
        <v>45991.999305555553</v>
      </c>
      <c r="F855" s="42" t="s">
        <v>495</v>
      </c>
    </row>
    <row r="856" spans="1:6" x14ac:dyDescent="0.35">
      <c r="A856" s="42" t="s">
        <v>15</v>
      </c>
      <c r="B856" s="42">
        <v>459.98</v>
      </c>
      <c r="C856" s="43">
        <v>0.17</v>
      </c>
      <c r="D856" s="45">
        <v>45962</v>
      </c>
      <c r="E856" s="45">
        <v>45991.999305555553</v>
      </c>
      <c r="F856" s="42" t="s">
        <v>495</v>
      </c>
    </row>
    <row r="857" spans="1:6" x14ac:dyDescent="0.35">
      <c r="A857" s="42" t="s">
        <v>16</v>
      </c>
      <c r="B857" s="42">
        <v>459.98</v>
      </c>
      <c r="C857" s="43">
        <v>0.17</v>
      </c>
      <c r="D857" s="45">
        <v>45962</v>
      </c>
      <c r="E857" s="45">
        <v>45991.999305555553</v>
      </c>
      <c r="F857" s="42" t="s">
        <v>495</v>
      </c>
    </row>
    <row r="858" spans="1:6" x14ac:dyDescent="0.35">
      <c r="A858" s="42" t="s">
        <v>54</v>
      </c>
      <c r="B858" s="42">
        <v>579.98</v>
      </c>
      <c r="C858" s="43">
        <v>0.17</v>
      </c>
      <c r="D858" s="45">
        <v>45962</v>
      </c>
      <c r="E858" s="45">
        <v>45991.999305555553</v>
      </c>
      <c r="F858" s="42" t="s">
        <v>495</v>
      </c>
    </row>
    <row r="859" spans="1:6" x14ac:dyDescent="0.35">
      <c r="A859" s="42" t="s">
        <v>55</v>
      </c>
      <c r="B859" s="42">
        <v>789.98</v>
      </c>
      <c r="C859" s="43">
        <v>0.17</v>
      </c>
      <c r="D859" s="45">
        <v>45962</v>
      </c>
      <c r="E859" s="45">
        <v>45991.999305555553</v>
      </c>
      <c r="F859" s="42" t="s">
        <v>495</v>
      </c>
    </row>
    <row r="860" spans="1:6" x14ac:dyDescent="0.35">
      <c r="A860" s="42" t="s">
        <v>61</v>
      </c>
      <c r="B860" s="42">
        <v>1319.98</v>
      </c>
      <c r="C860" s="43">
        <v>0.17</v>
      </c>
      <c r="D860" s="45">
        <v>45962</v>
      </c>
      <c r="E860" s="45">
        <v>45991.999305555553</v>
      </c>
      <c r="F860" s="42" t="s">
        <v>495</v>
      </c>
    </row>
    <row r="861" spans="1:6" x14ac:dyDescent="0.35">
      <c r="A861" s="42" t="s">
        <v>111</v>
      </c>
      <c r="B861" s="42">
        <v>599.98</v>
      </c>
      <c r="C861" s="43">
        <v>0.17</v>
      </c>
      <c r="D861" s="45">
        <v>45962</v>
      </c>
      <c r="E861" s="45">
        <v>45991.999305555553</v>
      </c>
      <c r="F861" s="42" t="s">
        <v>495</v>
      </c>
    </row>
    <row r="862" spans="1:6" x14ac:dyDescent="0.35">
      <c r="A862" s="42" t="s">
        <v>20</v>
      </c>
      <c r="B862" s="42">
        <v>599.98</v>
      </c>
      <c r="C862" s="43">
        <v>0.17</v>
      </c>
      <c r="D862" s="45">
        <v>45962</v>
      </c>
      <c r="E862" s="45">
        <v>45991.999305555553</v>
      </c>
      <c r="F862" s="42" t="s">
        <v>495</v>
      </c>
    </row>
    <row r="863" spans="1:6" x14ac:dyDescent="0.35">
      <c r="A863" s="42" t="s">
        <v>71</v>
      </c>
      <c r="B863" s="42">
        <v>599.98</v>
      </c>
      <c r="C863" s="43">
        <v>0.17</v>
      </c>
      <c r="D863" s="45">
        <v>45962</v>
      </c>
      <c r="E863" s="45">
        <v>45991.999305555553</v>
      </c>
      <c r="F863" s="42" t="s">
        <v>495</v>
      </c>
    </row>
    <row r="864" spans="1:6" x14ac:dyDescent="0.35">
      <c r="A864" s="42" t="s">
        <v>19</v>
      </c>
      <c r="B864" s="42">
        <v>599.98</v>
      </c>
      <c r="C864" s="43">
        <v>0.17</v>
      </c>
      <c r="D864" s="45">
        <v>45962</v>
      </c>
      <c r="E864" s="45">
        <v>45991.999305555553</v>
      </c>
      <c r="F864" s="42" t="s">
        <v>495</v>
      </c>
    </row>
    <row r="865" spans="1:6" x14ac:dyDescent="0.35">
      <c r="A865" s="42" t="s">
        <v>21</v>
      </c>
      <c r="B865" s="42">
        <v>599.98</v>
      </c>
      <c r="C865" s="43">
        <v>0.17</v>
      </c>
      <c r="D865" s="45">
        <v>45962</v>
      </c>
      <c r="E865" s="45">
        <v>45991.999305555553</v>
      </c>
      <c r="F865" s="42" t="s">
        <v>495</v>
      </c>
    </row>
    <row r="866" spans="1:6" x14ac:dyDescent="0.35">
      <c r="A866" s="42" t="s">
        <v>605</v>
      </c>
      <c r="B866" s="42">
        <v>699.98</v>
      </c>
      <c r="C866" s="43">
        <v>0.17</v>
      </c>
      <c r="D866" s="45">
        <v>45962</v>
      </c>
      <c r="E866" s="45">
        <v>45991.999305555553</v>
      </c>
      <c r="F866" s="42" t="s">
        <v>495</v>
      </c>
    </row>
    <row r="867" spans="1:6" x14ac:dyDescent="0.35">
      <c r="A867" s="42" t="s">
        <v>523</v>
      </c>
      <c r="B867" s="42">
        <v>919.98</v>
      </c>
      <c r="C867" s="43">
        <v>0.17</v>
      </c>
      <c r="D867" s="45">
        <v>45962</v>
      </c>
      <c r="E867" s="45">
        <v>45991.999305555553</v>
      </c>
      <c r="F867" s="42" t="s">
        <v>495</v>
      </c>
    </row>
    <row r="868" spans="1:6" x14ac:dyDescent="0.35">
      <c r="A868" s="42" t="s">
        <v>63</v>
      </c>
      <c r="B868" s="42">
        <v>1569.98</v>
      </c>
      <c r="C868" s="43">
        <v>0.17</v>
      </c>
      <c r="D868" s="45">
        <v>45962</v>
      </c>
      <c r="E868" s="45">
        <v>45991.999305555553</v>
      </c>
      <c r="F868" s="42" t="s">
        <v>495</v>
      </c>
    </row>
    <row r="869" spans="1:6" x14ac:dyDescent="0.35">
      <c r="A869" s="42" t="s">
        <v>547</v>
      </c>
      <c r="B869" s="42">
        <v>259.98</v>
      </c>
      <c r="C869" s="43">
        <v>0.17</v>
      </c>
      <c r="D869" s="45">
        <v>45962</v>
      </c>
      <c r="E869" s="45">
        <v>45991.999305555553</v>
      </c>
      <c r="F869" s="42" t="s">
        <v>495</v>
      </c>
    </row>
    <row r="870" spans="1:6" x14ac:dyDescent="0.35">
      <c r="A870" s="42" t="s">
        <v>49</v>
      </c>
      <c r="B870" s="42">
        <v>1759.98</v>
      </c>
      <c r="C870" s="43">
        <v>0.17</v>
      </c>
      <c r="D870" s="45">
        <v>45962</v>
      </c>
      <c r="E870" s="45">
        <v>45991.999305555553</v>
      </c>
      <c r="F870" s="42" t="s">
        <v>495</v>
      </c>
    </row>
    <row r="871" spans="1:6" x14ac:dyDescent="0.35">
      <c r="A871" s="42" t="s">
        <v>77</v>
      </c>
      <c r="B871" s="42">
        <v>399.98</v>
      </c>
      <c r="C871" s="43">
        <v>0.17</v>
      </c>
      <c r="D871" s="45">
        <v>45962</v>
      </c>
      <c r="E871" s="45">
        <v>45991.999305555553</v>
      </c>
      <c r="F871" s="42" t="s">
        <v>495</v>
      </c>
    </row>
    <row r="872" spans="1:6" x14ac:dyDescent="0.35">
      <c r="A872" s="42" t="s">
        <v>116</v>
      </c>
      <c r="B872" s="42">
        <v>399.98</v>
      </c>
      <c r="C872" s="43">
        <v>0.17</v>
      </c>
      <c r="D872" s="45">
        <v>45962</v>
      </c>
      <c r="E872" s="45">
        <v>45991.999305555553</v>
      </c>
      <c r="F872" s="42" t="s">
        <v>495</v>
      </c>
    </row>
    <row r="873" spans="1:6" x14ac:dyDescent="0.35">
      <c r="A873" s="42" t="s">
        <v>11</v>
      </c>
      <c r="B873" s="42">
        <v>399.98</v>
      </c>
      <c r="C873" s="43">
        <v>0.17</v>
      </c>
      <c r="D873" s="45">
        <v>45962</v>
      </c>
      <c r="E873" s="45">
        <v>45991.999305555553</v>
      </c>
      <c r="F873" s="42" t="s">
        <v>495</v>
      </c>
    </row>
    <row r="874" spans="1:6" x14ac:dyDescent="0.35">
      <c r="A874" s="42" t="s">
        <v>76</v>
      </c>
      <c r="B874" s="42">
        <v>429.98</v>
      </c>
      <c r="C874" s="43">
        <v>0.17</v>
      </c>
      <c r="D874" s="45">
        <v>45962</v>
      </c>
      <c r="E874" s="45">
        <v>45991.999305555553</v>
      </c>
      <c r="F874" s="42" t="s">
        <v>495</v>
      </c>
    </row>
    <row r="875" spans="1:6" x14ac:dyDescent="0.35">
      <c r="A875" s="42" t="s">
        <v>23</v>
      </c>
      <c r="B875" s="42">
        <v>479.98</v>
      </c>
      <c r="C875" s="43">
        <v>0.17</v>
      </c>
      <c r="D875" s="45">
        <v>45962</v>
      </c>
      <c r="E875" s="45">
        <v>45991.999305555553</v>
      </c>
      <c r="F875" s="42" t="s">
        <v>495</v>
      </c>
    </row>
    <row r="876" spans="1:6" x14ac:dyDescent="0.35">
      <c r="A876" s="42" t="s">
        <v>271</v>
      </c>
      <c r="B876" s="42">
        <v>479.98</v>
      </c>
      <c r="C876" s="43">
        <v>0.17</v>
      </c>
      <c r="D876" s="45">
        <v>45962</v>
      </c>
      <c r="E876" s="45">
        <v>45991.999305555553</v>
      </c>
      <c r="F876" s="42" t="s">
        <v>495</v>
      </c>
    </row>
    <row r="877" spans="1:6" x14ac:dyDescent="0.35">
      <c r="A877" s="42" t="s">
        <v>115</v>
      </c>
      <c r="B877" s="42">
        <v>399.98</v>
      </c>
      <c r="C877" s="43">
        <v>0.17</v>
      </c>
      <c r="D877" s="45">
        <v>45962</v>
      </c>
      <c r="E877" s="45">
        <v>45991.999305555553</v>
      </c>
      <c r="F877" s="42" t="s">
        <v>495</v>
      </c>
    </row>
    <row r="878" spans="1:6" x14ac:dyDescent="0.35">
      <c r="A878" s="42" t="s">
        <v>102</v>
      </c>
      <c r="B878" s="42">
        <v>1049.98</v>
      </c>
      <c r="C878" s="43">
        <v>0.17</v>
      </c>
      <c r="D878" s="45">
        <v>45962</v>
      </c>
      <c r="E878" s="45">
        <v>45991.999305555553</v>
      </c>
      <c r="F878" s="42" t="s">
        <v>495</v>
      </c>
    </row>
    <row r="879" spans="1:6" x14ac:dyDescent="0.35">
      <c r="A879" s="42" t="s">
        <v>9</v>
      </c>
      <c r="B879" s="42">
        <v>399.98</v>
      </c>
      <c r="C879" s="43">
        <v>0.17</v>
      </c>
      <c r="D879" s="45">
        <v>45962</v>
      </c>
      <c r="E879" s="45">
        <v>45991.999305555553</v>
      </c>
      <c r="F879" s="42" t="s">
        <v>495</v>
      </c>
    </row>
    <row r="880" spans="1:6" x14ac:dyDescent="0.35">
      <c r="A880" s="42" t="s">
        <v>8</v>
      </c>
      <c r="B880" s="42">
        <v>399.98</v>
      </c>
      <c r="C880" s="43">
        <v>0.17</v>
      </c>
      <c r="D880" s="45">
        <v>45962</v>
      </c>
      <c r="E880" s="45">
        <v>45991.999305555553</v>
      </c>
      <c r="F880" s="42" t="s">
        <v>495</v>
      </c>
    </row>
    <row r="881" spans="1:6" x14ac:dyDescent="0.35">
      <c r="A881" s="42" t="s">
        <v>67</v>
      </c>
      <c r="B881" s="42">
        <v>399.98</v>
      </c>
      <c r="C881" s="43">
        <v>0.17</v>
      </c>
      <c r="D881" s="45">
        <v>45962</v>
      </c>
      <c r="E881" s="45">
        <v>45991.999305555553</v>
      </c>
      <c r="F881" s="42" t="s">
        <v>495</v>
      </c>
    </row>
    <row r="882" spans="1:6" x14ac:dyDescent="0.35">
      <c r="A882" s="42" t="s">
        <v>42</v>
      </c>
      <c r="B882" s="42">
        <v>939.98</v>
      </c>
      <c r="C882" s="43">
        <v>0.17</v>
      </c>
      <c r="D882" s="45">
        <v>45962</v>
      </c>
      <c r="E882" s="45">
        <v>45991.999305555553</v>
      </c>
      <c r="F882" s="42" t="s">
        <v>495</v>
      </c>
    </row>
    <row r="883" spans="1:6" x14ac:dyDescent="0.35">
      <c r="A883" s="42" t="s">
        <v>604</v>
      </c>
      <c r="B883" s="42">
        <v>939.98</v>
      </c>
      <c r="C883" s="43">
        <v>0.17</v>
      </c>
      <c r="D883" s="45">
        <v>45962</v>
      </c>
      <c r="E883" s="45">
        <v>45991.999305555553</v>
      </c>
      <c r="F883" s="42" t="s">
        <v>495</v>
      </c>
    </row>
    <row r="884" spans="1:6" x14ac:dyDescent="0.35">
      <c r="A884" s="42" t="s">
        <v>552</v>
      </c>
      <c r="B884" s="42">
        <v>279.94</v>
      </c>
      <c r="C884" s="43">
        <v>0.06</v>
      </c>
      <c r="D884" s="45">
        <v>45962</v>
      </c>
      <c r="E884" s="45">
        <v>45991.999305555553</v>
      </c>
      <c r="F884" s="42" t="s">
        <v>551</v>
      </c>
    </row>
    <row r="885" spans="1:6" x14ac:dyDescent="0.35">
      <c r="A885" s="42" t="s">
        <v>544</v>
      </c>
      <c r="B885" s="42">
        <v>549.94000000000005</v>
      </c>
      <c r="C885" s="43">
        <v>0.06</v>
      </c>
      <c r="D885" s="45">
        <v>45962</v>
      </c>
      <c r="E885" s="45">
        <v>45991.999305555553</v>
      </c>
      <c r="F885" s="42" t="s">
        <v>551</v>
      </c>
    </row>
    <row r="886" spans="1:6" x14ac:dyDescent="0.35">
      <c r="A886" s="42" t="s">
        <v>279</v>
      </c>
      <c r="B886" s="42">
        <v>549.94000000000005</v>
      </c>
      <c r="C886" s="43">
        <v>0.06</v>
      </c>
      <c r="D886" s="45">
        <v>45962</v>
      </c>
      <c r="E886" s="45">
        <v>45991.999305555553</v>
      </c>
      <c r="F886" s="42" t="s">
        <v>551</v>
      </c>
    </row>
    <row r="887" spans="1:6" x14ac:dyDescent="0.35">
      <c r="A887" s="42" t="s">
        <v>559</v>
      </c>
      <c r="B887" s="42">
        <v>549.94000000000005</v>
      </c>
      <c r="C887" s="43">
        <v>0.06</v>
      </c>
      <c r="D887" s="45">
        <v>45962</v>
      </c>
      <c r="E887" s="45">
        <v>45991.999305555553</v>
      </c>
      <c r="F887" s="42" t="s">
        <v>551</v>
      </c>
    </row>
    <row r="888" spans="1:6" x14ac:dyDescent="0.35">
      <c r="A888" s="42" t="s">
        <v>73</v>
      </c>
      <c r="B888" s="42">
        <v>639.94000000000005</v>
      </c>
      <c r="C888" s="43">
        <v>0.06</v>
      </c>
      <c r="D888" s="45">
        <v>45962</v>
      </c>
      <c r="E888" s="45">
        <v>45991.999305555553</v>
      </c>
      <c r="F888" s="42" t="s">
        <v>551</v>
      </c>
    </row>
    <row r="889" spans="1:6" x14ac:dyDescent="0.35">
      <c r="A889" s="42" t="s">
        <v>556</v>
      </c>
      <c r="B889" s="42">
        <v>639.94000000000005</v>
      </c>
      <c r="C889" s="43">
        <v>0.06</v>
      </c>
      <c r="D889" s="45">
        <v>45962</v>
      </c>
      <c r="E889" s="45">
        <v>45991.999305555553</v>
      </c>
      <c r="F889" s="42" t="s">
        <v>551</v>
      </c>
    </row>
    <row r="890" spans="1:6" x14ac:dyDescent="0.35">
      <c r="A890" s="42" t="s">
        <v>557</v>
      </c>
      <c r="B890" s="42">
        <v>639.94000000000005</v>
      </c>
      <c r="C890" s="43">
        <v>0.06</v>
      </c>
      <c r="D890" s="45">
        <v>45962</v>
      </c>
      <c r="E890" s="45">
        <v>45991.999305555553</v>
      </c>
      <c r="F890" s="42" t="s">
        <v>551</v>
      </c>
    </row>
    <row r="891" spans="1:6" x14ac:dyDescent="0.35">
      <c r="A891" s="42" t="s">
        <v>128</v>
      </c>
      <c r="B891" s="42">
        <v>639.94000000000005</v>
      </c>
      <c r="C891" s="43">
        <v>0.06</v>
      </c>
      <c r="D891" s="45">
        <v>45962</v>
      </c>
      <c r="E891" s="45">
        <v>45991.999305555553</v>
      </c>
      <c r="F891" s="42" t="s">
        <v>551</v>
      </c>
    </row>
    <row r="892" spans="1:6" x14ac:dyDescent="0.35">
      <c r="A892" s="42" t="s">
        <v>128</v>
      </c>
      <c r="B892" s="42">
        <v>639.94000000000005</v>
      </c>
      <c r="C892" s="43">
        <v>0.06</v>
      </c>
      <c r="D892" s="45">
        <v>45962</v>
      </c>
      <c r="E892" s="45">
        <v>45991.999305555553</v>
      </c>
      <c r="F892" s="42" t="s">
        <v>551</v>
      </c>
    </row>
    <row r="893" spans="1:6" x14ac:dyDescent="0.35">
      <c r="A893" s="42" t="s">
        <v>553</v>
      </c>
      <c r="B893" s="42">
        <v>639.94000000000005</v>
      </c>
      <c r="C893" s="43">
        <v>0.06</v>
      </c>
      <c r="D893" s="45">
        <v>45962</v>
      </c>
      <c r="E893" s="45">
        <v>45991.999305555553</v>
      </c>
      <c r="F893" s="42" t="s">
        <v>551</v>
      </c>
    </row>
    <row r="894" spans="1:6" x14ac:dyDescent="0.35">
      <c r="A894" s="42" t="s">
        <v>480</v>
      </c>
      <c r="B894" s="42">
        <v>629.94000000000005</v>
      </c>
      <c r="C894" s="43">
        <v>0.06</v>
      </c>
      <c r="D894" s="45">
        <v>45962</v>
      </c>
      <c r="E894" s="45">
        <v>45991.999305555553</v>
      </c>
      <c r="F894" s="42" t="s">
        <v>551</v>
      </c>
    </row>
    <row r="895" spans="1:6" x14ac:dyDescent="0.35">
      <c r="A895" s="42" t="s">
        <v>90</v>
      </c>
      <c r="B895" s="42">
        <v>629.94000000000005</v>
      </c>
      <c r="C895" s="43">
        <v>0.06</v>
      </c>
      <c r="D895" s="45">
        <v>45962</v>
      </c>
      <c r="E895" s="45">
        <v>45991.999305555553</v>
      </c>
      <c r="F895" s="42" t="s">
        <v>551</v>
      </c>
    </row>
    <row r="896" spans="1:6" x14ac:dyDescent="0.35">
      <c r="A896" s="42" t="s">
        <v>506</v>
      </c>
      <c r="B896" s="42">
        <v>1229.94</v>
      </c>
      <c r="C896" s="43">
        <v>0.06</v>
      </c>
      <c r="D896" s="45">
        <v>45962</v>
      </c>
      <c r="E896" s="45">
        <v>45991.999305555553</v>
      </c>
      <c r="F896" s="42" t="s">
        <v>551</v>
      </c>
    </row>
    <row r="897" spans="1:6" x14ac:dyDescent="0.35">
      <c r="A897" s="42" t="s">
        <v>623</v>
      </c>
      <c r="B897" s="42">
        <v>629.94000000000005</v>
      </c>
      <c r="C897" s="43">
        <v>0.06</v>
      </c>
      <c r="D897" s="45">
        <v>45962</v>
      </c>
      <c r="E897" s="45">
        <v>45991.999305555553</v>
      </c>
      <c r="F897" s="42" t="s">
        <v>551</v>
      </c>
    </row>
    <row r="898" spans="1:6" x14ac:dyDescent="0.35">
      <c r="A898" s="42" t="s">
        <v>501</v>
      </c>
      <c r="B898" s="42">
        <v>879.94</v>
      </c>
      <c r="C898" s="43">
        <v>0.06</v>
      </c>
      <c r="D898" s="45">
        <v>45962</v>
      </c>
      <c r="E898" s="45">
        <v>45991.999305555553</v>
      </c>
      <c r="F898" s="42" t="s">
        <v>551</v>
      </c>
    </row>
    <row r="899" spans="1:6" x14ac:dyDescent="0.35">
      <c r="A899" s="42" t="s">
        <v>501</v>
      </c>
      <c r="B899" s="42">
        <v>879.94</v>
      </c>
      <c r="C899" s="43">
        <v>0.06</v>
      </c>
      <c r="D899" s="45">
        <v>45962</v>
      </c>
      <c r="E899" s="45">
        <v>45991.999305555553</v>
      </c>
      <c r="F899" s="42" t="s">
        <v>551</v>
      </c>
    </row>
    <row r="900" spans="1:6" x14ac:dyDescent="0.35">
      <c r="A900" s="42" t="s">
        <v>554</v>
      </c>
      <c r="B900" s="42">
        <v>299.94</v>
      </c>
      <c r="C900" s="43">
        <v>0.06</v>
      </c>
      <c r="D900" s="45">
        <v>45962</v>
      </c>
      <c r="E900" s="45">
        <v>45991.999305555553</v>
      </c>
      <c r="F900" s="42" t="s">
        <v>551</v>
      </c>
    </row>
    <row r="901" spans="1:6" x14ac:dyDescent="0.35">
      <c r="A901" s="42" t="s">
        <v>555</v>
      </c>
      <c r="B901" s="42">
        <v>589.94000000000005</v>
      </c>
      <c r="C901" s="43">
        <v>0.06</v>
      </c>
      <c r="D901" s="45">
        <v>45962</v>
      </c>
      <c r="E901" s="45">
        <v>45991.999305555553</v>
      </c>
      <c r="F901" s="42" t="s">
        <v>551</v>
      </c>
    </row>
    <row r="902" spans="1:6" x14ac:dyDescent="0.35">
      <c r="A902" s="42" t="s">
        <v>271</v>
      </c>
      <c r="B902" s="42">
        <v>419.94</v>
      </c>
      <c r="C902" s="43">
        <v>0.06</v>
      </c>
      <c r="D902" s="45">
        <v>45962</v>
      </c>
      <c r="E902" s="45">
        <v>45991.999305555553</v>
      </c>
      <c r="F902" s="42" t="s">
        <v>551</v>
      </c>
    </row>
    <row r="903" spans="1:6" x14ac:dyDescent="0.35">
      <c r="A903" s="42" t="s">
        <v>558</v>
      </c>
      <c r="B903" s="42">
        <v>499.94</v>
      </c>
      <c r="C903" s="43">
        <v>0.06</v>
      </c>
      <c r="D903" s="45">
        <v>45962</v>
      </c>
      <c r="E903" s="45">
        <v>45991.999305555553</v>
      </c>
      <c r="F903" s="42" t="s">
        <v>551</v>
      </c>
    </row>
    <row r="904" spans="1:6" x14ac:dyDescent="0.35">
      <c r="A904" s="42" t="s">
        <v>457</v>
      </c>
      <c r="B904" s="42">
        <v>1079.94</v>
      </c>
      <c r="C904" s="43">
        <v>0.06</v>
      </c>
      <c r="D904" s="45">
        <v>45962</v>
      </c>
      <c r="E904" s="45">
        <v>45991.999305555553</v>
      </c>
      <c r="F904" s="42" t="s">
        <v>551</v>
      </c>
    </row>
    <row r="905" spans="1:6" x14ac:dyDescent="0.35">
      <c r="A905" s="42" t="s">
        <v>484</v>
      </c>
      <c r="B905" s="42">
        <v>919.94</v>
      </c>
      <c r="C905" s="43">
        <v>0.06</v>
      </c>
      <c r="D905" s="45">
        <v>45962</v>
      </c>
      <c r="E905" s="45">
        <v>45991.999305555553</v>
      </c>
      <c r="F905" s="42" t="s">
        <v>551</v>
      </c>
    </row>
    <row r="906" spans="1:6" x14ac:dyDescent="0.35">
      <c r="A906" s="42" t="s">
        <v>624</v>
      </c>
      <c r="B906" s="42">
        <v>1149.94</v>
      </c>
      <c r="C906" s="43">
        <v>0.06</v>
      </c>
      <c r="D906" s="45">
        <v>45962</v>
      </c>
      <c r="E906" s="45">
        <v>45991.999305555553</v>
      </c>
      <c r="F906" s="42" t="s">
        <v>551</v>
      </c>
    </row>
    <row r="907" spans="1:6" x14ac:dyDescent="0.35">
      <c r="A907" s="42" t="s">
        <v>560</v>
      </c>
      <c r="B907" s="42">
        <v>799.94</v>
      </c>
      <c r="C907" s="43">
        <v>0.06</v>
      </c>
      <c r="D907" s="45">
        <v>45962</v>
      </c>
      <c r="E907" s="45">
        <v>45991.999305555553</v>
      </c>
      <c r="F907" s="42" t="s">
        <v>551</v>
      </c>
    </row>
    <row r="908" spans="1:6" x14ac:dyDescent="0.35">
      <c r="A908" s="42" t="s">
        <v>561</v>
      </c>
      <c r="B908" s="42">
        <v>1249.94</v>
      </c>
      <c r="C908" s="43">
        <v>0.06</v>
      </c>
      <c r="D908" s="45">
        <v>45962</v>
      </c>
      <c r="E908" s="45">
        <v>45991.999305555553</v>
      </c>
      <c r="F908" s="42" t="s">
        <v>551</v>
      </c>
    </row>
    <row r="909" spans="1:6" x14ac:dyDescent="0.35">
      <c r="A909" s="42" t="s">
        <v>562</v>
      </c>
      <c r="B909" s="42">
        <v>899.94</v>
      </c>
      <c r="C909" s="43">
        <v>0.06</v>
      </c>
      <c r="D909" s="45">
        <v>45962</v>
      </c>
      <c r="E909" s="45">
        <v>45991.999305555553</v>
      </c>
      <c r="F909" s="42" t="s">
        <v>551</v>
      </c>
    </row>
    <row r="910" spans="1:6" x14ac:dyDescent="0.35">
      <c r="A910" s="42" t="s">
        <v>563</v>
      </c>
      <c r="B910" s="42">
        <v>1079.94</v>
      </c>
      <c r="C910" s="43">
        <v>0.06</v>
      </c>
      <c r="D910" s="45">
        <v>45962</v>
      </c>
      <c r="E910" s="45">
        <v>45991.999305555553</v>
      </c>
      <c r="F910" s="42" t="s">
        <v>551</v>
      </c>
    </row>
    <row r="911" spans="1:6" x14ac:dyDescent="0.35">
      <c r="A911" s="42" t="s">
        <v>552</v>
      </c>
      <c r="B911" s="42">
        <v>289.94</v>
      </c>
      <c r="C911" s="43">
        <v>0.08</v>
      </c>
      <c r="D911" s="45">
        <v>45962</v>
      </c>
      <c r="E911" s="45">
        <v>45991.999305555553</v>
      </c>
      <c r="F911" s="42" t="s">
        <v>551</v>
      </c>
    </row>
    <row r="912" spans="1:6" x14ac:dyDescent="0.35">
      <c r="A912" s="42" t="s">
        <v>544</v>
      </c>
      <c r="B912" s="42">
        <v>569.94000000000005</v>
      </c>
      <c r="C912" s="43">
        <v>0.08</v>
      </c>
      <c r="D912" s="45">
        <v>45962</v>
      </c>
      <c r="E912" s="45">
        <v>45991.999305555553</v>
      </c>
      <c r="F912" s="42" t="s">
        <v>551</v>
      </c>
    </row>
    <row r="913" spans="1:6" x14ac:dyDescent="0.35">
      <c r="A913" s="42" t="s">
        <v>279</v>
      </c>
      <c r="B913" s="42">
        <v>569.94000000000005</v>
      </c>
      <c r="C913" s="43">
        <v>0.08</v>
      </c>
      <c r="D913" s="45">
        <v>45962</v>
      </c>
      <c r="E913" s="45">
        <v>45991.999305555553</v>
      </c>
      <c r="F913" s="42" t="s">
        <v>551</v>
      </c>
    </row>
    <row r="914" spans="1:6" x14ac:dyDescent="0.35">
      <c r="A914" s="42" t="s">
        <v>559</v>
      </c>
      <c r="B914" s="42">
        <v>569.94000000000005</v>
      </c>
      <c r="C914" s="43">
        <v>0.08</v>
      </c>
      <c r="D914" s="45">
        <v>45962</v>
      </c>
      <c r="E914" s="45">
        <v>45991.999305555553</v>
      </c>
      <c r="F914" s="42" t="s">
        <v>551</v>
      </c>
    </row>
    <row r="915" spans="1:6" x14ac:dyDescent="0.35">
      <c r="A915" s="42" t="s">
        <v>73</v>
      </c>
      <c r="B915" s="42">
        <v>659.94</v>
      </c>
      <c r="C915" s="43">
        <v>0.08</v>
      </c>
      <c r="D915" s="45">
        <v>45962</v>
      </c>
      <c r="E915" s="45">
        <v>45991.999305555553</v>
      </c>
      <c r="F915" s="42" t="s">
        <v>551</v>
      </c>
    </row>
    <row r="916" spans="1:6" x14ac:dyDescent="0.35">
      <c r="A916" s="42" t="s">
        <v>556</v>
      </c>
      <c r="B916" s="42">
        <v>659.94</v>
      </c>
      <c r="C916" s="43">
        <v>0.08</v>
      </c>
      <c r="D916" s="45">
        <v>45962</v>
      </c>
      <c r="E916" s="45">
        <v>45991.999305555553</v>
      </c>
      <c r="F916" s="42" t="s">
        <v>551</v>
      </c>
    </row>
    <row r="917" spans="1:6" x14ac:dyDescent="0.35">
      <c r="A917" s="42" t="s">
        <v>557</v>
      </c>
      <c r="B917" s="42">
        <v>659.94</v>
      </c>
      <c r="C917" s="43">
        <v>0.08</v>
      </c>
      <c r="D917" s="45">
        <v>45962</v>
      </c>
      <c r="E917" s="45">
        <v>45991.999305555553</v>
      </c>
      <c r="F917" s="42" t="s">
        <v>551</v>
      </c>
    </row>
    <row r="918" spans="1:6" x14ac:dyDescent="0.35">
      <c r="A918" s="42" t="s">
        <v>128</v>
      </c>
      <c r="B918" s="42">
        <v>659.94</v>
      </c>
      <c r="C918" s="43">
        <v>0.08</v>
      </c>
      <c r="D918" s="45">
        <v>45962</v>
      </c>
      <c r="E918" s="45">
        <v>45991.999305555553</v>
      </c>
      <c r="F918" s="42" t="s">
        <v>551</v>
      </c>
    </row>
    <row r="919" spans="1:6" x14ac:dyDescent="0.35">
      <c r="A919" s="42" t="s">
        <v>128</v>
      </c>
      <c r="B919" s="42">
        <v>659.94</v>
      </c>
      <c r="C919" s="43">
        <v>0.08</v>
      </c>
      <c r="D919" s="45">
        <v>45962</v>
      </c>
      <c r="E919" s="45">
        <v>45991.999305555553</v>
      </c>
      <c r="F919" s="42" t="s">
        <v>551</v>
      </c>
    </row>
    <row r="920" spans="1:6" x14ac:dyDescent="0.35">
      <c r="A920" s="42" t="s">
        <v>553</v>
      </c>
      <c r="B920" s="42">
        <v>659.94</v>
      </c>
      <c r="C920" s="43">
        <v>0.08</v>
      </c>
      <c r="D920" s="45">
        <v>45962</v>
      </c>
      <c r="E920" s="45">
        <v>45991.999305555553</v>
      </c>
      <c r="F920" s="42" t="s">
        <v>551</v>
      </c>
    </row>
    <row r="921" spans="1:6" x14ac:dyDescent="0.35">
      <c r="A921" s="42" t="s">
        <v>480</v>
      </c>
      <c r="B921" s="42">
        <v>649.94000000000005</v>
      </c>
      <c r="C921" s="43">
        <v>0.08</v>
      </c>
      <c r="D921" s="45">
        <v>45962</v>
      </c>
      <c r="E921" s="45">
        <v>45991.999305555553</v>
      </c>
      <c r="F921" s="42" t="s">
        <v>551</v>
      </c>
    </row>
    <row r="922" spans="1:6" x14ac:dyDescent="0.35">
      <c r="A922" s="42" t="s">
        <v>90</v>
      </c>
      <c r="B922" s="42">
        <v>649.94000000000005</v>
      </c>
      <c r="C922" s="43">
        <v>0.08</v>
      </c>
      <c r="D922" s="45">
        <v>45962</v>
      </c>
      <c r="E922" s="45">
        <v>45991.999305555553</v>
      </c>
      <c r="F922" s="42" t="s">
        <v>551</v>
      </c>
    </row>
    <row r="923" spans="1:6" x14ac:dyDescent="0.35">
      <c r="A923" s="42" t="s">
        <v>506</v>
      </c>
      <c r="B923" s="42">
        <v>1259.94</v>
      </c>
      <c r="C923" s="43">
        <v>0.08</v>
      </c>
      <c r="D923" s="45">
        <v>45962</v>
      </c>
      <c r="E923" s="45">
        <v>45991.999305555553</v>
      </c>
      <c r="F923" s="42" t="s">
        <v>551</v>
      </c>
    </row>
    <row r="924" spans="1:6" x14ac:dyDescent="0.35">
      <c r="A924" s="42" t="s">
        <v>623</v>
      </c>
      <c r="B924" s="42">
        <v>649.94000000000005</v>
      </c>
      <c r="C924" s="43">
        <v>0.08</v>
      </c>
      <c r="D924" s="45">
        <v>45962</v>
      </c>
      <c r="E924" s="45">
        <v>45991.999305555553</v>
      </c>
      <c r="F924" s="42" t="s">
        <v>551</v>
      </c>
    </row>
    <row r="925" spans="1:6" x14ac:dyDescent="0.35">
      <c r="A925" s="42" t="s">
        <v>501</v>
      </c>
      <c r="B925" s="42">
        <v>899.94</v>
      </c>
      <c r="C925" s="43">
        <v>0.08</v>
      </c>
      <c r="D925" s="45">
        <v>45962</v>
      </c>
      <c r="E925" s="45">
        <v>45991.999305555553</v>
      </c>
      <c r="F925" s="42" t="s">
        <v>551</v>
      </c>
    </row>
    <row r="926" spans="1:6" x14ac:dyDescent="0.35">
      <c r="A926" s="42" t="s">
        <v>501</v>
      </c>
      <c r="B926" s="42">
        <v>899.94</v>
      </c>
      <c r="C926" s="43">
        <v>0.08</v>
      </c>
      <c r="D926" s="45">
        <v>45962</v>
      </c>
      <c r="E926" s="45">
        <v>45991.999305555553</v>
      </c>
      <c r="F926" s="42" t="s">
        <v>551</v>
      </c>
    </row>
    <row r="927" spans="1:6" x14ac:dyDescent="0.35">
      <c r="A927" s="42" t="s">
        <v>554</v>
      </c>
      <c r="B927" s="42">
        <v>319.94</v>
      </c>
      <c r="C927" s="43">
        <v>0.08</v>
      </c>
      <c r="D927" s="45">
        <v>45962</v>
      </c>
      <c r="E927" s="45">
        <v>45991.999305555553</v>
      </c>
      <c r="F927" s="42" t="s">
        <v>551</v>
      </c>
    </row>
    <row r="928" spans="1:6" x14ac:dyDescent="0.35">
      <c r="A928" s="42" t="s">
        <v>555</v>
      </c>
      <c r="B928" s="42">
        <v>619.94000000000005</v>
      </c>
      <c r="C928" s="43">
        <v>0.08</v>
      </c>
      <c r="D928" s="45">
        <v>45962</v>
      </c>
      <c r="E928" s="45">
        <v>45991.999305555553</v>
      </c>
      <c r="F928" s="42" t="s">
        <v>551</v>
      </c>
    </row>
    <row r="929" spans="1:6" x14ac:dyDescent="0.35">
      <c r="A929" s="42" t="s">
        <v>271</v>
      </c>
      <c r="B929" s="42">
        <v>429.94</v>
      </c>
      <c r="C929" s="43">
        <v>0.08</v>
      </c>
      <c r="D929" s="45">
        <v>45962</v>
      </c>
      <c r="E929" s="45">
        <v>45991.999305555553</v>
      </c>
      <c r="F929" s="42" t="s">
        <v>551</v>
      </c>
    </row>
    <row r="930" spans="1:6" x14ac:dyDescent="0.35">
      <c r="A930" s="42" t="s">
        <v>558</v>
      </c>
      <c r="B930" s="42">
        <v>519.94000000000005</v>
      </c>
      <c r="C930" s="43">
        <v>0.08</v>
      </c>
      <c r="D930" s="45">
        <v>45962</v>
      </c>
      <c r="E930" s="45">
        <v>45991.999305555553</v>
      </c>
      <c r="F930" s="42" t="s">
        <v>551</v>
      </c>
    </row>
    <row r="931" spans="1:6" x14ac:dyDescent="0.35">
      <c r="A931" s="42" t="s">
        <v>457</v>
      </c>
      <c r="B931" s="42">
        <v>1119.94</v>
      </c>
      <c r="C931" s="43">
        <v>0.08</v>
      </c>
      <c r="D931" s="45">
        <v>45962</v>
      </c>
      <c r="E931" s="45">
        <v>45991.999305555553</v>
      </c>
      <c r="F931" s="42" t="s">
        <v>551</v>
      </c>
    </row>
    <row r="932" spans="1:6" x14ac:dyDescent="0.35">
      <c r="A932" s="42" t="s">
        <v>484</v>
      </c>
      <c r="B932" s="42">
        <v>939.94</v>
      </c>
      <c r="C932" s="43">
        <v>0.08</v>
      </c>
      <c r="D932" s="45">
        <v>45962</v>
      </c>
      <c r="E932" s="45">
        <v>45991.999305555553</v>
      </c>
      <c r="F932" s="42" t="s">
        <v>551</v>
      </c>
    </row>
    <row r="933" spans="1:6" x14ac:dyDescent="0.35">
      <c r="A933" s="42" t="s">
        <v>624</v>
      </c>
      <c r="B933" s="42">
        <v>1179.94</v>
      </c>
      <c r="C933" s="43">
        <v>0.08</v>
      </c>
      <c r="D933" s="45">
        <v>45962</v>
      </c>
      <c r="E933" s="45">
        <v>45991.999305555553</v>
      </c>
      <c r="F933" s="42" t="s">
        <v>551</v>
      </c>
    </row>
    <row r="934" spans="1:6" x14ac:dyDescent="0.35">
      <c r="A934" s="42" t="s">
        <v>560</v>
      </c>
      <c r="B934" s="42">
        <v>819.94</v>
      </c>
      <c r="C934" s="43">
        <v>0.08</v>
      </c>
      <c r="D934" s="45">
        <v>45962</v>
      </c>
      <c r="E934" s="45">
        <v>45991.999305555553</v>
      </c>
      <c r="F934" s="42" t="s">
        <v>551</v>
      </c>
    </row>
    <row r="935" spans="1:6" x14ac:dyDescent="0.35">
      <c r="A935" s="42" t="s">
        <v>561</v>
      </c>
      <c r="B935" s="42">
        <v>1279.94</v>
      </c>
      <c r="C935" s="43">
        <v>0.08</v>
      </c>
      <c r="D935" s="45">
        <v>45962</v>
      </c>
      <c r="E935" s="45">
        <v>45991.999305555553</v>
      </c>
      <c r="F935" s="42" t="s">
        <v>551</v>
      </c>
    </row>
    <row r="936" spans="1:6" x14ac:dyDescent="0.35">
      <c r="A936" s="42" t="s">
        <v>562</v>
      </c>
      <c r="B936" s="42">
        <v>919.94</v>
      </c>
      <c r="C936" s="43">
        <v>0.08</v>
      </c>
      <c r="D936" s="45">
        <v>45962</v>
      </c>
      <c r="E936" s="45">
        <v>45991.999305555553</v>
      </c>
      <c r="F936" s="42" t="s">
        <v>551</v>
      </c>
    </row>
    <row r="937" spans="1:6" x14ac:dyDescent="0.35">
      <c r="A937" s="42" t="s">
        <v>563</v>
      </c>
      <c r="B937" s="42">
        <v>1119.94</v>
      </c>
      <c r="C937" s="43">
        <v>0.08</v>
      </c>
      <c r="D937" s="45">
        <v>45962</v>
      </c>
      <c r="E937" s="45">
        <v>45991.999305555553</v>
      </c>
      <c r="F937" s="42" t="s">
        <v>551</v>
      </c>
    </row>
    <row r="938" spans="1:6" x14ac:dyDescent="0.35">
      <c r="A938" s="42" t="s">
        <v>552</v>
      </c>
      <c r="B938" s="42">
        <v>299.94</v>
      </c>
      <c r="C938" s="43">
        <v>0.1</v>
      </c>
      <c r="D938" s="45">
        <v>45962</v>
      </c>
      <c r="E938" s="45">
        <v>45991.999305555553</v>
      </c>
      <c r="F938" s="42" t="s">
        <v>551</v>
      </c>
    </row>
    <row r="939" spans="1:6" x14ac:dyDescent="0.35">
      <c r="A939" s="42" t="s">
        <v>544</v>
      </c>
      <c r="B939" s="42">
        <v>589.94000000000005</v>
      </c>
      <c r="C939" s="43">
        <v>0.1</v>
      </c>
      <c r="D939" s="45">
        <v>45962</v>
      </c>
      <c r="E939" s="45">
        <v>45991.999305555553</v>
      </c>
      <c r="F939" s="42" t="s">
        <v>551</v>
      </c>
    </row>
    <row r="940" spans="1:6" x14ac:dyDescent="0.35">
      <c r="A940" s="42" t="s">
        <v>279</v>
      </c>
      <c r="B940" s="42">
        <v>589.94000000000005</v>
      </c>
      <c r="C940" s="43">
        <v>0.1</v>
      </c>
      <c r="D940" s="45">
        <v>45962</v>
      </c>
      <c r="E940" s="45">
        <v>45991.999305555553</v>
      </c>
      <c r="F940" s="42" t="s">
        <v>551</v>
      </c>
    </row>
    <row r="941" spans="1:6" x14ac:dyDescent="0.35">
      <c r="A941" s="42" t="s">
        <v>559</v>
      </c>
      <c r="B941" s="42">
        <v>589.94000000000005</v>
      </c>
      <c r="C941" s="43">
        <v>0.1</v>
      </c>
      <c r="D941" s="45">
        <v>45962</v>
      </c>
      <c r="E941" s="45">
        <v>45991.999305555553</v>
      </c>
      <c r="F941" s="42" t="s">
        <v>551</v>
      </c>
    </row>
    <row r="942" spans="1:6" x14ac:dyDescent="0.35">
      <c r="A942" s="42" t="s">
        <v>73</v>
      </c>
      <c r="B942" s="42">
        <v>679.94</v>
      </c>
      <c r="C942" s="43">
        <v>0.1</v>
      </c>
      <c r="D942" s="45">
        <v>45962</v>
      </c>
      <c r="E942" s="45">
        <v>45991.999305555553</v>
      </c>
      <c r="F942" s="42" t="s">
        <v>551</v>
      </c>
    </row>
    <row r="943" spans="1:6" x14ac:dyDescent="0.35">
      <c r="A943" s="42" t="s">
        <v>556</v>
      </c>
      <c r="B943" s="42">
        <v>679.94</v>
      </c>
      <c r="C943" s="43">
        <v>0.1</v>
      </c>
      <c r="D943" s="45">
        <v>45962</v>
      </c>
      <c r="E943" s="45">
        <v>45991.999305555553</v>
      </c>
      <c r="F943" s="42" t="s">
        <v>551</v>
      </c>
    </row>
    <row r="944" spans="1:6" x14ac:dyDescent="0.35">
      <c r="A944" s="42" t="s">
        <v>557</v>
      </c>
      <c r="B944" s="42">
        <v>679.94</v>
      </c>
      <c r="C944" s="43">
        <v>0.1</v>
      </c>
      <c r="D944" s="45">
        <v>45962</v>
      </c>
      <c r="E944" s="45">
        <v>45991.999305555553</v>
      </c>
      <c r="F944" s="42" t="s">
        <v>551</v>
      </c>
    </row>
    <row r="945" spans="1:6" x14ac:dyDescent="0.35">
      <c r="A945" s="42" t="s">
        <v>128</v>
      </c>
      <c r="B945" s="42">
        <v>679.94</v>
      </c>
      <c r="C945" s="43">
        <v>0.1</v>
      </c>
      <c r="D945" s="45">
        <v>45962</v>
      </c>
      <c r="E945" s="45">
        <v>45991.999305555553</v>
      </c>
      <c r="F945" s="42" t="s">
        <v>551</v>
      </c>
    </row>
    <row r="946" spans="1:6" x14ac:dyDescent="0.35">
      <c r="A946" s="42" t="s">
        <v>128</v>
      </c>
      <c r="B946" s="42">
        <v>679.94</v>
      </c>
      <c r="C946" s="43">
        <v>0.1</v>
      </c>
      <c r="D946" s="45">
        <v>45962</v>
      </c>
      <c r="E946" s="45">
        <v>45991.999305555553</v>
      </c>
      <c r="F946" s="42" t="s">
        <v>551</v>
      </c>
    </row>
    <row r="947" spans="1:6" x14ac:dyDescent="0.35">
      <c r="A947" s="42" t="s">
        <v>553</v>
      </c>
      <c r="B947" s="42">
        <v>679.94</v>
      </c>
      <c r="C947" s="43">
        <v>0.1</v>
      </c>
      <c r="D947" s="45">
        <v>45962</v>
      </c>
      <c r="E947" s="45">
        <v>45991.999305555553</v>
      </c>
      <c r="F947" s="42" t="s">
        <v>551</v>
      </c>
    </row>
    <row r="948" spans="1:6" x14ac:dyDescent="0.35">
      <c r="A948" s="42" t="s">
        <v>480</v>
      </c>
      <c r="B948" s="42">
        <v>669.94</v>
      </c>
      <c r="C948" s="43">
        <v>0.1</v>
      </c>
      <c r="D948" s="45">
        <v>45962</v>
      </c>
      <c r="E948" s="45">
        <v>45991.999305555553</v>
      </c>
      <c r="F948" s="42" t="s">
        <v>551</v>
      </c>
    </row>
    <row r="949" spans="1:6" x14ac:dyDescent="0.35">
      <c r="A949" s="42" t="s">
        <v>90</v>
      </c>
      <c r="B949" s="42">
        <v>669.94</v>
      </c>
      <c r="C949" s="43">
        <v>0.1</v>
      </c>
      <c r="D949" s="45">
        <v>45962</v>
      </c>
      <c r="E949" s="45">
        <v>45991.999305555553</v>
      </c>
      <c r="F949" s="42" t="s">
        <v>551</v>
      </c>
    </row>
    <row r="950" spans="1:6" x14ac:dyDescent="0.35">
      <c r="A950" s="42" t="s">
        <v>506</v>
      </c>
      <c r="B950" s="42">
        <v>1289.94</v>
      </c>
      <c r="C950" s="43">
        <v>0.1</v>
      </c>
      <c r="D950" s="45">
        <v>45962</v>
      </c>
      <c r="E950" s="45">
        <v>45991.999305555553</v>
      </c>
      <c r="F950" s="42" t="s">
        <v>551</v>
      </c>
    </row>
    <row r="951" spans="1:6" x14ac:dyDescent="0.35">
      <c r="A951" s="42" t="s">
        <v>623</v>
      </c>
      <c r="B951" s="42">
        <v>669.94</v>
      </c>
      <c r="C951" s="43">
        <v>0.1</v>
      </c>
      <c r="D951" s="45">
        <v>45962</v>
      </c>
      <c r="E951" s="45">
        <v>45991.999305555553</v>
      </c>
      <c r="F951" s="42" t="s">
        <v>551</v>
      </c>
    </row>
    <row r="952" spans="1:6" x14ac:dyDescent="0.35">
      <c r="A952" s="42" t="s">
        <v>501</v>
      </c>
      <c r="B952" s="42">
        <v>919.94</v>
      </c>
      <c r="C952" s="43">
        <v>0.1</v>
      </c>
      <c r="D952" s="45">
        <v>45962</v>
      </c>
      <c r="E952" s="45">
        <v>45991.999305555553</v>
      </c>
      <c r="F952" s="42" t="s">
        <v>551</v>
      </c>
    </row>
    <row r="953" spans="1:6" x14ac:dyDescent="0.35">
      <c r="A953" s="42" t="s">
        <v>501</v>
      </c>
      <c r="B953" s="42">
        <v>919.94</v>
      </c>
      <c r="C953" s="43">
        <v>0.1</v>
      </c>
      <c r="D953" s="45">
        <v>45962</v>
      </c>
      <c r="E953" s="45">
        <v>45991.999305555553</v>
      </c>
      <c r="F953" s="42" t="s">
        <v>551</v>
      </c>
    </row>
    <row r="954" spans="1:6" x14ac:dyDescent="0.35">
      <c r="A954" s="42" t="s">
        <v>554</v>
      </c>
      <c r="B954" s="42">
        <v>329.94</v>
      </c>
      <c r="C954" s="43">
        <v>0.1</v>
      </c>
      <c r="D954" s="45">
        <v>45962</v>
      </c>
      <c r="E954" s="45">
        <v>45991.999305555553</v>
      </c>
      <c r="F954" s="42" t="s">
        <v>551</v>
      </c>
    </row>
    <row r="955" spans="1:6" x14ac:dyDescent="0.35">
      <c r="A955" s="42" t="s">
        <v>555</v>
      </c>
      <c r="B955" s="42">
        <v>639.94000000000005</v>
      </c>
      <c r="C955" s="43">
        <v>0.1</v>
      </c>
      <c r="D955" s="45">
        <v>45962</v>
      </c>
      <c r="E955" s="45">
        <v>45991.999305555553</v>
      </c>
      <c r="F955" s="42" t="s">
        <v>551</v>
      </c>
    </row>
    <row r="956" spans="1:6" x14ac:dyDescent="0.35">
      <c r="A956" s="42" t="s">
        <v>271</v>
      </c>
      <c r="B956" s="42">
        <v>439.94</v>
      </c>
      <c r="C956" s="43">
        <v>0.1</v>
      </c>
      <c r="D956" s="45">
        <v>45962</v>
      </c>
      <c r="E956" s="45">
        <v>45991.999305555553</v>
      </c>
      <c r="F956" s="42" t="s">
        <v>551</v>
      </c>
    </row>
    <row r="957" spans="1:6" x14ac:dyDescent="0.35">
      <c r="A957" s="42" t="s">
        <v>558</v>
      </c>
      <c r="B957" s="42">
        <v>539.94000000000005</v>
      </c>
      <c r="C957" s="43">
        <v>0.1</v>
      </c>
      <c r="D957" s="45">
        <v>45962</v>
      </c>
      <c r="E957" s="45">
        <v>45991.999305555553</v>
      </c>
      <c r="F957" s="42" t="s">
        <v>551</v>
      </c>
    </row>
    <row r="958" spans="1:6" x14ac:dyDescent="0.35">
      <c r="A958" s="42" t="s">
        <v>457</v>
      </c>
      <c r="B958" s="42">
        <v>1149.94</v>
      </c>
      <c r="C958" s="43">
        <v>0.1</v>
      </c>
      <c r="D958" s="45">
        <v>45962</v>
      </c>
      <c r="E958" s="45">
        <v>45991.999305555553</v>
      </c>
      <c r="F958" s="42" t="s">
        <v>551</v>
      </c>
    </row>
    <row r="959" spans="1:6" x14ac:dyDescent="0.35">
      <c r="A959" s="42" t="s">
        <v>484</v>
      </c>
      <c r="B959" s="42">
        <v>959.94</v>
      </c>
      <c r="C959" s="43">
        <v>0.1</v>
      </c>
      <c r="D959" s="45">
        <v>45962</v>
      </c>
      <c r="E959" s="45">
        <v>45991.999305555553</v>
      </c>
      <c r="F959" s="42" t="s">
        <v>551</v>
      </c>
    </row>
    <row r="960" spans="1:6" x14ac:dyDescent="0.35">
      <c r="A960" s="42" t="s">
        <v>624</v>
      </c>
      <c r="B960" s="42">
        <v>1219.94</v>
      </c>
      <c r="C960" s="43">
        <v>0.1</v>
      </c>
      <c r="D960" s="45">
        <v>45962</v>
      </c>
      <c r="E960" s="45">
        <v>45991.999305555553</v>
      </c>
      <c r="F960" s="42" t="s">
        <v>551</v>
      </c>
    </row>
    <row r="961" spans="1:6" x14ac:dyDescent="0.35">
      <c r="A961" s="42" t="s">
        <v>560</v>
      </c>
      <c r="B961" s="42">
        <v>839.94</v>
      </c>
      <c r="C961" s="43">
        <v>0.1</v>
      </c>
      <c r="D961" s="45">
        <v>45962</v>
      </c>
      <c r="E961" s="45">
        <v>45991.999305555553</v>
      </c>
      <c r="F961" s="42" t="s">
        <v>551</v>
      </c>
    </row>
    <row r="962" spans="1:6" x14ac:dyDescent="0.35">
      <c r="A962" s="42" t="s">
        <v>561</v>
      </c>
      <c r="B962" s="42">
        <v>1319.94</v>
      </c>
      <c r="C962" s="43">
        <v>0.1</v>
      </c>
      <c r="D962" s="45">
        <v>45962</v>
      </c>
      <c r="E962" s="45">
        <v>45991.999305555553</v>
      </c>
      <c r="F962" s="42" t="s">
        <v>551</v>
      </c>
    </row>
    <row r="963" spans="1:6" x14ac:dyDescent="0.35">
      <c r="A963" s="42" t="s">
        <v>562</v>
      </c>
      <c r="B963" s="42">
        <v>939.94</v>
      </c>
      <c r="C963" s="43">
        <v>0.1</v>
      </c>
      <c r="D963" s="45">
        <v>45962</v>
      </c>
      <c r="E963" s="45">
        <v>45991.999305555553</v>
      </c>
      <c r="F963" s="42" t="s">
        <v>551</v>
      </c>
    </row>
    <row r="964" spans="1:6" x14ac:dyDescent="0.35">
      <c r="A964" s="42" t="s">
        <v>563</v>
      </c>
      <c r="B964" s="42">
        <v>1149.94</v>
      </c>
      <c r="C964" s="43">
        <v>0.1</v>
      </c>
      <c r="D964" s="45">
        <v>45962</v>
      </c>
      <c r="E964" s="45">
        <v>45991.999305555553</v>
      </c>
      <c r="F964" s="42" t="s">
        <v>551</v>
      </c>
    </row>
    <row r="965" spans="1:6" x14ac:dyDescent="0.35">
      <c r="A965" s="42" t="s">
        <v>552</v>
      </c>
      <c r="B965" s="42">
        <v>319.94</v>
      </c>
      <c r="C965" s="43">
        <v>0.13</v>
      </c>
      <c r="D965" s="45">
        <v>45962</v>
      </c>
      <c r="E965" s="45">
        <v>45991.999305555553</v>
      </c>
      <c r="F965" s="42" t="s">
        <v>551</v>
      </c>
    </row>
    <row r="966" spans="1:6" x14ac:dyDescent="0.35">
      <c r="A966" s="42" t="s">
        <v>544</v>
      </c>
      <c r="B966" s="42">
        <v>619.94000000000005</v>
      </c>
      <c r="C966" s="43">
        <v>0.13</v>
      </c>
      <c r="D966" s="45">
        <v>45962</v>
      </c>
      <c r="E966" s="45">
        <v>45991.999305555553</v>
      </c>
      <c r="F966" s="42" t="s">
        <v>551</v>
      </c>
    </row>
    <row r="967" spans="1:6" x14ac:dyDescent="0.35">
      <c r="A967" s="42" t="s">
        <v>279</v>
      </c>
      <c r="B967" s="42">
        <v>619.94000000000005</v>
      </c>
      <c r="C967" s="43">
        <v>0.13</v>
      </c>
      <c r="D967" s="45">
        <v>45962</v>
      </c>
      <c r="E967" s="45">
        <v>45991.999305555553</v>
      </c>
      <c r="F967" s="42" t="s">
        <v>551</v>
      </c>
    </row>
    <row r="968" spans="1:6" x14ac:dyDescent="0.35">
      <c r="A968" s="42" t="s">
        <v>559</v>
      </c>
      <c r="B968" s="42">
        <v>619.94000000000005</v>
      </c>
      <c r="C968" s="43">
        <v>0.13</v>
      </c>
      <c r="D968" s="45">
        <v>45962</v>
      </c>
      <c r="E968" s="45">
        <v>45991.999305555553</v>
      </c>
      <c r="F968" s="42" t="s">
        <v>551</v>
      </c>
    </row>
    <row r="969" spans="1:6" x14ac:dyDescent="0.35">
      <c r="A969" s="42" t="s">
        <v>73</v>
      </c>
      <c r="B969" s="42">
        <v>719.94</v>
      </c>
      <c r="C969" s="43">
        <v>0.13</v>
      </c>
      <c r="D969" s="45">
        <v>45962</v>
      </c>
      <c r="E969" s="45">
        <v>45991.999305555553</v>
      </c>
      <c r="F969" s="42" t="s">
        <v>551</v>
      </c>
    </row>
    <row r="970" spans="1:6" x14ac:dyDescent="0.35">
      <c r="A970" s="42" t="s">
        <v>556</v>
      </c>
      <c r="B970" s="42">
        <v>719.94</v>
      </c>
      <c r="C970" s="43">
        <v>0.13</v>
      </c>
      <c r="D970" s="45">
        <v>45962</v>
      </c>
      <c r="E970" s="45">
        <v>45991.999305555553</v>
      </c>
      <c r="F970" s="42" t="s">
        <v>551</v>
      </c>
    </row>
    <row r="971" spans="1:6" x14ac:dyDescent="0.35">
      <c r="A971" s="42" t="s">
        <v>557</v>
      </c>
      <c r="B971" s="42">
        <v>719.94</v>
      </c>
      <c r="C971" s="43">
        <v>0.13</v>
      </c>
      <c r="D971" s="45">
        <v>45962</v>
      </c>
      <c r="E971" s="45">
        <v>45991.999305555553</v>
      </c>
      <c r="F971" s="42" t="s">
        <v>551</v>
      </c>
    </row>
    <row r="972" spans="1:6" x14ac:dyDescent="0.35">
      <c r="A972" s="42" t="s">
        <v>128</v>
      </c>
      <c r="B972" s="42">
        <v>719.94</v>
      </c>
      <c r="C972" s="43">
        <v>0.13</v>
      </c>
      <c r="D972" s="45">
        <v>45962</v>
      </c>
      <c r="E972" s="45">
        <v>45991.999305555553</v>
      </c>
      <c r="F972" s="42" t="s">
        <v>551</v>
      </c>
    </row>
    <row r="973" spans="1:6" x14ac:dyDescent="0.35">
      <c r="A973" s="42" t="s">
        <v>128</v>
      </c>
      <c r="B973" s="42">
        <v>719.94</v>
      </c>
      <c r="C973" s="43">
        <v>0.13</v>
      </c>
      <c r="D973" s="45">
        <v>45962</v>
      </c>
      <c r="E973" s="45">
        <v>45991.999305555553</v>
      </c>
      <c r="F973" s="42" t="s">
        <v>551</v>
      </c>
    </row>
    <row r="974" spans="1:6" x14ac:dyDescent="0.35">
      <c r="A974" s="42" t="s">
        <v>553</v>
      </c>
      <c r="B974" s="42">
        <v>719.94</v>
      </c>
      <c r="C974" s="43">
        <v>0.13</v>
      </c>
      <c r="D974" s="45">
        <v>45962</v>
      </c>
      <c r="E974" s="45">
        <v>45991.999305555553</v>
      </c>
      <c r="F974" s="42" t="s">
        <v>551</v>
      </c>
    </row>
    <row r="975" spans="1:6" x14ac:dyDescent="0.35">
      <c r="A975" s="42" t="s">
        <v>480</v>
      </c>
      <c r="B975" s="42">
        <v>699.94</v>
      </c>
      <c r="C975" s="43">
        <v>0.13</v>
      </c>
      <c r="D975" s="45">
        <v>45962</v>
      </c>
      <c r="E975" s="45">
        <v>45991.999305555553</v>
      </c>
      <c r="F975" s="42" t="s">
        <v>551</v>
      </c>
    </row>
    <row r="976" spans="1:6" x14ac:dyDescent="0.35">
      <c r="A976" s="42" t="s">
        <v>90</v>
      </c>
      <c r="B976" s="42">
        <v>699.94</v>
      </c>
      <c r="C976" s="43">
        <v>0.13</v>
      </c>
      <c r="D976" s="45">
        <v>45962</v>
      </c>
      <c r="E976" s="45">
        <v>45991.999305555553</v>
      </c>
      <c r="F976" s="42" t="s">
        <v>551</v>
      </c>
    </row>
    <row r="977" spans="1:6" x14ac:dyDescent="0.35">
      <c r="A977" s="42" t="s">
        <v>506</v>
      </c>
      <c r="B977" s="42">
        <v>1329.94</v>
      </c>
      <c r="C977" s="43">
        <v>0.13</v>
      </c>
      <c r="D977" s="45">
        <v>45962</v>
      </c>
      <c r="E977" s="45">
        <v>45991.999305555553</v>
      </c>
      <c r="F977" s="42" t="s">
        <v>551</v>
      </c>
    </row>
    <row r="978" spans="1:6" x14ac:dyDescent="0.35">
      <c r="A978" s="42" t="s">
        <v>623</v>
      </c>
      <c r="B978" s="42">
        <v>699.94</v>
      </c>
      <c r="C978" s="43">
        <v>0.13</v>
      </c>
      <c r="D978" s="45">
        <v>45962</v>
      </c>
      <c r="E978" s="45">
        <v>45991.999305555553</v>
      </c>
      <c r="F978" s="42" t="s">
        <v>551</v>
      </c>
    </row>
    <row r="979" spans="1:6" x14ac:dyDescent="0.35">
      <c r="A979" s="42" t="s">
        <v>501</v>
      </c>
      <c r="B979" s="42">
        <v>949.94</v>
      </c>
      <c r="C979" s="43">
        <v>0.13</v>
      </c>
      <c r="D979" s="45">
        <v>45962</v>
      </c>
      <c r="E979" s="45">
        <v>45991.999305555553</v>
      </c>
      <c r="F979" s="42" t="s">
        <v>551</v>
      </c>
    </row>
    <row r="980" spans="1:6" x14ac:dyDescent="0.35">
      <c r="A980" s="42" t="s">
        <v>501</v>
      </c>
      <c r="B980" s="42">
        <v>949.94</v>
      </c>
      <c r="C980" s="43">
        <v>0.13</v>
      </c>
      <c r="D980" s="45">
        <v>45962</v>
      </c>
      <c r="E980" s="45">
        <v>45991.999305555553</v>
      </c>
      <c r="F980" s="42" t="s">
        <v>551</v>
      </c>
    </row>
    <row r="981" spans="1:6" x14ac:dyDescent="0.35">
      <c r="A981" s="42" t="s">
        <v>554</v>
      </c>
      <c r="B981" s="42">
        <v>339.94</v>
      </c>
      <c r="C981" s="43">
        <v>0.13</v>
      </c>
      <c r="D981" s="45">
        <v>45962</v>
      </c>
      <c r="E981" s="45">
        <v>45991.999305555553</v>
      </c>
      <c r="F981" s="42" t="s">
        <v>551</v>
      </c>
    </row>
    <row r="982" spans="1:6" x14ac:dyDescent="0.35">
      <c r="A982" s="42" t="s">
        <v>555</v>
      </c>
      <c r="B982" s="42">
        <v>659.94</v>
      </c>
      <c r="C982" s="43">
        <v>0.13</v>
      </c>
      <c r="D982" s="45">
        <v>45962</v>
      </c>
      <c r="E982" s="45">
        <v>45991.999305555553</v>
      </c>
      <c r="F982" s="42" t="s">
        <v>551</v>
      </c>
    </row>
    <row r="983" spans="1:6" x14ac:dyDescent="0.35">
      <c r="A983" s="42" t="s">
        <v>271</v>
      </c>
      <c r="B983" s="42">
        <v>459.94</v>
      </c>
      <c r="C983" s="43">
        <v>0.13</v>
      </c>
      <c r="D983" s="45">
        <v>45962</v>
      </c>
      <c r="E983" s="45">
        <v>45991.999305555553</v>
      </c>
      <c r="F983" s="42" t="s">
        <v>551</v>
      </c>
    </row>
    <row r="984" spans="1:6" x14ac:dyDescent="0.35">
      <c r="A984" s="42" t="s">
        <v>558</v>
      </c>
      <c r="B984" s="42">
        <v>559.94000000000005</v>
      </c>
      <c r="C984" s="43">
        <v>0.13</v>
      </c>
      <c r="D984" s="45">
        <v>45962</v>
      </c>
      <c r="E984" s="45">
        <v>45991.999305555553</v>
      </c>
      <c r="F984" s="42" t="s">
        <v>551</v>
      </c>
    </row>
    <row r="985" spans="1:6" x14ac:dyDescent="0.35">
      <c r="A985" s="42" t="s">
        <v>457</v>
      </c>
      <c r="B985" s="42">
        <v>1189.94</v>
      </c>
      <c r="C985" s="43">
        <v>0.13</v>
      </c>
      <c r="D985" s="45">
        <v>45962</v>
      </c>
      <c r="E985" s="45">
        <v>45991.999305555553</v>
      </c>
      <c r="F985" s="42" t="s">
        <v>551</v>
      </c>
    </row>
    <row r="986" spans="1:6" x14ac:dyDescent="0.35">
      <c r="A986" s="42" t="s">
        <v>484</v>
      </c>
      <c r="B986" s="42">
        <v>989.94</v>
      </c>
      <c r="C986" s="43">
        <v>0.13</v>
      </c>
      <c r="D986" s="45">
        <v>45962</v>
      </c>
      <c r="E986" s="45">
        <v>45991.999305555553</v>
      </c>
      <c r="F986" s="42" t="s">
        <v>551</v>
      </c>
    </row>
    <row r="987" spans="1:6" x14ac:dyDescent="0.35">
      <c r="A987" s="42" t="s">
        <v>624</v>
      </c>
      <c r="B987" s="42">
        <v>1259.94</v>
      </c>
      <c r="C987" s="43">
        <v>0.13</v>
      </c>
      <c r="D987" s="45">
        <v>45962</v>
      </c>
      <c r="E987" s="45">
        <v>45991.999305555553</v>
      </c>
      <c r="F987" s="42" t="s">
        <v>551</v>
      </c>
    </row>
    <row r="988" spans="1:6" x14ac:dyDescent="0.35">
      <c r="A988" s="42" t="s">
        <v>560</v>
      </c>
      <c r="B988" s="42">
        <v>869.94</v>
      </c>
      <c r="C988" s="43">
        <v>0.13</v>
      </c>
      <c r="D988" s="45">
        <v>45962</v>
      </c>
      <c r="E988" s="45">
        <v>45991.999305555553</v>
      </c>
      <c r="F988" s="42" t="s">
        <v>551</v>
      </c>
    </row>
    <row r="989" spans="1:6" x14ac:dyDescent="0.35">
      <c r="A989" s="42" t="s">
        <v>561</v>
      </c>
      <c r="B989" s="42">
        <v>1359.94</v>
      </c>
      <c r="C989" s="43">
        <v>0.13</v>
      </c>
      <c r="D989" s="45">
        <v>45962</v>
      </c>
      <c r="E989" s="45">
        <v>45991.999305555553</v>
      </c>
      <c r="F989" s="42" t="s">
        <v>551</v>
      </c>
    </row>
    <row r="990" spans="1:6" x14ac:dyDescent="0.35">
      <c r="A990" s="42" t="s">
        <v>562</v>
      </c>
      <c r="B990" s="42">
        <v>969.94</v>
      </c>
      <c r="C990" s="43">
        <v>0.13</v>
      </c>
      <c r="D990" s="45">
        <v>45962</v>
      </c>
      <c r="E990" s="45">
        <v>45991.999305555553</v>
      </c>
      <c r="F990" s="42" t="s">
        <v>551</v>
      </c>
    </row>
    <row r="991" spans="1:6" x14ac:dyDescent="0.35">
      <c r="A991" s="42" t="s">
        <v>563</v>
      </c>
      <c r="B991" s="42">
        <v>1189.94</v>
      </c>
      <c r="C991" s="43">
        <v>0.13</v>
      </c>
      <c r="D991" s="45">
        <v>45962</v>
      </c>
      <c r="E991" s="45">
        <v>45991.999305555553</v>
      </c>
      <c r="F991" s="42" t="s">
        <v>551</v>
      </c>
    </row>
    <row r="992" spans="1:6" x14ac:dyDescent="0.35">
      <c r="A992" s="42" t="s">
        <v>552</v>
      </c>
      <c r="B992" s="42">
        <v>329.94</v>
      </c>
      <c r="C992" s="43">
        <v>0.15</v>
      </c>
      <c r="D992" s="45">
        <v>45962</v>
      </c>
      <c r="E992" s="45">
        <v>45991.999305555553</v>
      </c>
      <c r="F992" s="42" t="s">
        <v>551</v>
      </c>
    </row>
    <row r="993" spans="1:6" x14ac:dyDescent="0.35">
      <c r="A993" s="42" t="s">
        <v>544</v>
      </c>
      <c r="B993" s="42">
        <v>639.94000000000005</v>
      </c>
      <c r="C993" s="43">
        <v>0.15</v>
      </c>
      <c r="D993" s="45">
        <v>45962</v>
      </c>
      <c r="E993" s="45">
        <v>45991.999305555553</v>
      </c>
      <c r="F993" s="42" t="s">
        <v>551</v>
      </c>
    </row>
    <row r="994" spans="1:6" x14ac:dyDescent="0.35">
      <c r="A994" s="42" t="s">
        <v>279</v>
      </c>
      <c r="B994" s="42">
        <v>639.94000000000005</v>
      </c>
      <c r="C994" s="43">
        <v>0.15</v>
      </c>
      <c r="D994" s="45">
        <v>45962</v>
      </c>
      <c r="E994" s="45">
        <v>45991.999305555553</v>
      </c>
      <c r="F994" s="42" t="s">
        <v>551</v>
      </c>
    </row>
    <row r="995" spans="1:6" x14ac:dyDescent="0.35">
      <c r="A995" s="42" t="s">
        <v>559</v>
      </c>
      <c r="B995" s="42">
        <v>639.94000000000005</v>
      </c>
      <c r="C995" s="43">
        <v>0.15</v>
      </c>
      <c r="D995" s="45">
        <v>45962</v>
      </c>
      <c r="E995" s="45">
        <v>45991.999305555553</v>
      </c>
      <c r="F995" s="42" t="s">
        <v>551</v>
      </c>
    </row>
    <row r="996" spans="1:6" x14ac:dyDescent="0.35">
      <c r="A996" s="42" t="s">
        <v>73</v>
      </c>
      <c r="B996" s="42">
        <v>739.94</v>
      </c>
      <c r="C996" s="43">
        <v>0.15</v>
      </c>
      <c r="D996" s="45">
        <v>45962</v>
      </c>
      <c r="E996" s="45">
        <v>45991.999305555553</v>
      </c>
      <c r="F996" s="42" t="s">
        <v>551</v>
      </c>
    </row>
    <row r="997" spans="1:6" x14ac:dyDescent="0.35">
      <c r="A997" s="42" t="s">
        <v>556</v>
      </c>
      <c r="B997" s="42">
        <v>739.94</v>
      </c>
      <c r="C997" s="43">
        <v>0.15</v>
      </c>
      <c r="D997" s="45">
        <v>45962</v>
      </c>
      <c r="E997" s="45">
        <v>45991.999305555553</v>
      </c>
      <c r="F997" s="42" t="s">
        <v>551</v>
      </c>
    </row>
    <row r="998" spans="1:6" x14ac:dyDescent="0.35">
      <c r="A998" s="42" t="s">
        <v>557</v>
      </c>
      <c r="B998" s="42">
        <v>739.94</v>
      </c>
      <c r="C998" s="43">
        <v>0.15</v>
      </c>
      <c r="D998" s="45">
        <v>45962</v>
      </c>
      <c r="E998" s="45">
        <v>45991.999305555553</v>
      </c>
      <c r="F998" s="42" t="s">
        <v>551</v>
      </c>
    </row>
    <row r="999" spans="1:6" x14ac:dyDescent="0.35">
      <c r="A999" s="42" t="s">
        <v>128</v>
      </c>
      <c r="B999" s="42">
        <v>739.94</v>
      </c>
      <c r="C999" s="43">
        <v>0.15</v>
      </c>
      <c r="D999" s="45">
        <v>45962</v>
      </c>
      <c r="E999" s="45">
        <v>45991.999305555553</v>
      </c>
      <c r="F999" s="42" t="s">
        <v>551</v>
      </c>
    </row>
    <row r="1000" spans="1:6" x14ac:dyDescent="0.35">
      <c r="A1000" s="42" t="s">
        <v>128</v>
      </c>
      <c r="B1000" s="42">
        <v>739.94</v>
      </c>
      <c r="C1000" s="43">
        <v>0.15</v>
      </c>
      <c r="D1000" s="45">
        <v>45962</v>
      </c>
      <c r="E1000" s="45">
        <v>45991.999305555553</v>
      </c>
      <c r="F1000" s="42" t="s">
        <v>551</v>
      </c>
    </row>
    <row r="1001" spans="1:6" x14ac:dyDescent="0.35">
      <c r="A1001" s="42" t="s">
        <v>553</v>
      </c>
      <c r="B1001" s="42">
        <v>739.94</v>
      </c>
      <c r="C1001" s="43">
        <v>0.15</v>
      </c>
      <c r="D1001" s="45">
        <v>45962</v>
      </c>
      <c r="E1001" s="45">
        <v>45991.999305555553</v>
      </c>
      <c r="F1001" s="42" t="s">
        <v>551</v>
      </c>
    </row>
    <row r="1002" spans="1:6" x14ac:dyDescent="0.35">
      <c r="A1002" s="42" t="s">
        <v>480</v>
      </c>
      <c r="B1002" s="42">
        <v>719.94</v>
      </c>
      <c r="C1002" s="43">
        <v>0.15</v>
      </c>
      <c r="D1002" s="45">
        <v>45962</v>
      </c>
      <c r="E1002" s="45">
        <v>45991.999305555553</v>
      </c>
      <c r="F1002" s="42" t="s">
        <v>551</v>
      </c>
    </row>
    <row r="1003" spans="1:6" x14ac:dyDescent="0.35">
      <c r="A1003" s="42" t="s">
        <v>90</v>
      </c>
      <c r="B1003" s="42">
        <v>719.94</v>
      </c>
      <c r="C1003" s="43">
        <v>0.15</v>
      </c>
      <c r="D1003" s="45">
        <v>45962</v>
      </c>
      <c r="E1003" s="45">
        <v>45991.999305555553</v>
      </c>
      <c r="F1003" s="42" t="s">
        <v>551</v>
      </c>
    </row>
    <row r="1004" spans="1:6" x14ac:dyDescent="0.35">
      <c r="A1004" s="42" t="s">
        <v>506</v>
      </c>
      <c r="B1004" s="42">
        <v>1359.94</v>
      </c>
      <c r="C1004" s="43">
        <v>0.15</v>
      </c>
      <c r="D1004" s="45">
        <v>45962</v>
      </c>
      <c r="E1004" s="45">
        <v>45991.999305555553</v>
      </c>
      <c r="F1004" s="42" t="s">
        <v>551</v>
      </c>
    </row>
    <row r="1005" spans="1:6" x14ac:dyDescent="0.35">
      <c r="A1005" s="42" t="s">
        <v>623</v>
      </c>
      <c r="B1005" s="42">
        <v>719.94</v>
      </c>
      <c r="C1005" s="43">
        <v>0.15</v>
      </c>
      <c r="D1005" s="45">
        <v>45962</v>
      </c>
      <c r="E1005" s="45">
        <v>45991.999305555553</v>
      </c>
      <c r="F1005" s="42" t="s">
        <v>551</v>
      </c>
    </row>
    <row r="1006" spans="1:6" x14ac:dyDescent="0.35">
      <c r="A1006" s="42" t="s">
        <v>501</v>
      </c>
      <c r="B1006" s="42">
        <v>969.94</v>
      </c>
      <c r="C1006" s="43">
        <v>0.15</v>
      </c>
      <c r="D1006" s="45">
        <v>45962</v>
      </c>
      <c r="E1006" s="45">
        <v>45991.999305555553</v>
      </c>
      <c r="F1006" s="42" t="s">
        <v>551</v>
      </c>
    </row>
    <row r="1007" spans="1:6" x14ac:dyDescent="0.35">
      <c r="A1007" s="42" t="s">
        <v>501</v>
      </c>
      <c r="B1007" s="42">
        <v>969.94</v>
      </c>
      <c r="C1007" s="43">
        <v>0.15</v>
      </c>
      <c r="D1007" s="45">
        <v>45962</v>
      </c>
      <c r="E1007" s="45">
        <v>45991.999305555553</v>
      </c>
      <c r="F1007" s="42" t="s">
        <v>551</v>
      </c>
    </row>
    <row r="1008" spans="1:6" x14ac:dyDescent="0.35">
      <c r="A1008" s="42" t="s">
        <v>554</v>
      </c>
      <c r="B1008" s="42">
        <v>349.94</v>
      </c>
      <c r="C1008" s="43">
        <v>0.15</v>
      </c>
      <c r="D1008" s="45">
        <v>45962</v>
      </c>
      <c r="E1008" s="45">
        <v>45991.999305555553</v>
      </c>
      <c r="F1008" s="42" t="s">
        <v>551</v>
      </c>
    </row>
    <row r="1009" spans="1:6" x14ac:dyDescent="0.35">
      <c r="A1009" s="42" t="s">
        <v>555</v>
      </c>
      <c r="B1009" s="42">
        <v>679.94</v>
      </c>
      <c r="C1009" s="43">
        <v>0.15</v>
      </c>
      <c r="D1009" s="45">
        <v>45962</v>
      </c>
      <c r="E1009" s="45">
        <v>45991.999305555553</v>
      </c>
      <c r="F1009" s="42" t="s">
        <v>551</v>
      </c>
    </row>
    <row r="1010" spans="1:6" x14ac:dyDescent="0.35">
      <c r="A1010" s="42" t="s">
        <v>271</v>
      </c>
      <c r="B1010" s="42">
        <v>469.94</v>
      </c>
      <c r="C1010" s="43">
        <v>0.15</v>
      </c>
      <c r="D1010" s="45">
        <v>45962</v>
      </c>
      <c r="E1010" s="45">
        <v>45991.999305555553</v>
      </c>
      <c r="F1010" s="42" t="s">
        <v>551</v>
      </c>
    </row>
    <row r="1011" spans="1:6" x14ac:dyDescent="0.35">
      <c r="A1011" s="42" t="s">
        <v>558</v>
      </c>
      <c r="B1011" s="42">
        <v>579.94000000000005</v>
      </c>
      <c r="C1011" s="43">
        <v>0.15</v>
      </c>
      <c r="D1011" s="45">
        <v>45962</v>
      </c>
      <c r="E1011" s="45">
        <v>45991.999305555553</v>
      </c>
      <c r="F1011" s="42" t="s">
        <v>551</v>
      </c>
    </row>
    <row r="1012" spans="1:6" x14ac:dyDescent="0.35">
      <c r="A1012" s="42" t="s">
        <v>457</v>
      </c>
      <c r="B1012" s="42">
        <v>1219.94</v>
      </c>
      <c r="C1012" s="43">
        <v>0.15</v>
      </c>
      <c r="D1012" s="45">
        <v>45962</v>
      </c>
      <c r="E1012" s="45">
        <v>45991.999305555553</v>
      </c>
      <c r="F1012" s="42" t="s">
        <v>551</v>
      </c>
    </row>
    <row r="1013" spans="1:6" x14ac:dyDescent="0.35">
      <c r="A1013" s="42" t="s">
        <v>484</v>
      </c>
      <c r="B1013" s="42">
        <v>1019.94</v>
      </c>
      <c r="C1013" s="43">
        <v>0.15</v>
      </c>
      <c r="D1013" s="45">
        <v>45962</v>
      </c>
      <c r="E1013" s="45">
        <v>45991.999305555553</v>
      </c>
      <c r="F1013" s="42" t="s">
        <v>551</v>
      </c>
    </row>
    <row r="1014" spans="1:6" x14ac:dyDescent="0.35">
      <c r="A1014" s="42" t="s">
        <v>624</v>
      </c>
      <c r="B1014" s="42">
        <v>1289.94</v>
      </c>
      <c r="C1014" s="43">
        <v>0.15</v>
      </c>
      <c r="D1014" s="45">
        <v>45962</v>
      </c>
      <c r="E1014" s="45">
        <v>45991.999305555553</v>
      </c>
      <c r="F1014" s="42" t="s">
        <v>551</v>
      </c>
    </row>
    <row r="1015" spans="1:6" x14ac:dyDescent="0.35">
      <c r="A1015" s="42" t="s">
        <v>560</v>
      </c>
      <c r="B1015" s="42">
        <v>889.94</v>
      </c>
      <c r="C1015" s="43">
        <v>0.15</v>
      </c>
      <c r="D1015" s="45">
        <v>45962</v>
      </c>
      <c r="E1015" s="45">
        <v>45991.999305555553</v>
      </c>
      <c r="F1015" s="42" t="s">
        <v>551</v>
      </c>
    </row>
    <row r="1016" spans="1:6" x14ac:dyDescent="0.35">
      <c r="A1016" s="42" t="s">
        <v>561</v>
      </c>
      <c r="B1016" s="42">
        <v>1389.94</v>
      </c>
      <c r="C1016" s="43">
        <v>0.15</v>
      </c>
      <c r="D1016" s="45">
        <v>45962</v>
      </c>
      <c r="E1016" s="45">
        <v>45991.999305555553</v>
      </c>
      <c r="F1016" s="42" t="s">
        <v>551</v>
      </c>
    </row>
    <row r="1017" spans="1:6" x14ac:dyDescent="0.35">
      <c r="A1017" s="42" t="s">
        <v>562</v>
      </c>
      <c r="B1017" s="42">
        <v>989.94</v>
      </c>
      <c r="C1017" s="43">
        <v>0.15</v>
      </c>
      <c r="D1017" s="45">
        <v>45962</v>
      </c>
      <c r="E1017" s="45">
        <v>45991.999305555553</v>
      </c>
      <c r="F1017" s="42" t="s">
        <v>551</v>
      </c>
    </row>
    <row r="1018" spans="1:6" x14ac:dyDescent="0.35">
      <c r="A1018" s="42" t="s">
        <v>563</v>
      </c>
      <c r="B1018" s="42">
        <v>1219.94</v>
      </c>
      <c r="C1018" s="43">
        <v>0.15</v>
      </c>
      <c r="D1018" s="45">
        <v>45962</v>
      </c>
      <c r="E1018" s="45">
        <v>45991.999305555553</v>
      </c>
      <c r="F1018" s="42" t="s">
        <v>551</v>
      </c>
    </row>
    <row r="1019" spans="1:6" x14ac:dyDescent="0.35">
      <c r="A1019" s="42" t="s">
        <v>552</v>
      </c>
      <c r="B1019" s="42">
        <v>339.94</v>
      </c>
      <c r="C1019" s="43">
        <v>0.17</v>
      </c>
      <c r="D1019" s="45">
        <v>45962</v>
      </c>
      <c r="E1019" s="45">
        <v>45991.999305555553</v>
      </c>
      <c r="F1019" s="42" t="s">
        <v>551</v>
      </c>
    </row>
    <row r="1020" spans="1:6" x14ac:dyDescent="0.35">
      <c r="A1020" s="42" t="s">
        <v>544</v>
      </c>
      <c r="B1020" s="42">
        <v>659.94</v>
      </c>
      <c r="C1020" s="43">
        <v>0.17</v>
      </c>
      <c r="D1020" s="45">
        <v>45962</v>
      </c>
      <c r="E1020" s="45">
        <v>45991.999305555553</v>
      </c>
      <c r="F1020" s="42" t="s">
        <v>551</v>
      </c>
    </row>
    <row r="1021" spans="1:6" x14ac:dyDescent="0.35">
      <c r="A1021" s="42" t="s">
        <v>279</v>
      </c>
      <c r="B1021" s="42">
        <v>659.94</v>
      </c>
      <c r="C1021" s="43">
        <v>0.17</v>
      </c>
      <c r="D1021" s="45">
        <v>45962</v>
      </c>
      <c r="E1021" s="45">
        <v>45991.999305555553</v>
      </c>
      <c r="F1021" s="42" t="s">
        <v>551</v>
      </c>
    </row>
    <row r="1022" spans="1:6" x14ac:dyDescent="0.35">
      <c r="A1022" s="42" t="s">
        <v>559</v>
      </c>
      <c r="B1022" s="42">
        <v>659.94</v>
      </c>
      <c r="C1022" s="43">
        <v>0.17</v>
      </c>
      <c r="D1022" s="45">
        <v>45962</v>
      </c>
      <c r="E1022" s="45">
        <v>45991.999305555553</v>
      </c>
      <c r="F1022" s="42" t="s">
        <v>551</v>
      </c>
    </row>
    <row r="1023" spans="1:6" x14ac:dyDescent="0.35">
      <c r="A1023" s="42" t="s">
        <v>73</v>
      </c>
      <c r="B1023" s="42">
        <v>759.94</v>
      </c>
      <c r="C1023" s="43">
        <v>0.17</v>
      </c>
      <c r="D1023" s="45">
        <v>45962</v>
      </c>
      <c r="E1023" s="45">
        <v>45991.999305555553</v>
      </c>
      <c r="F1023" s="42" t="s">
        <v>551</v>
      </c>
    </row>
    <row r="1024" spans="1:6" x14ac:dyDescent="0.35">
      <c r="A1024" s="42" t="s">
        <v>556</v>
      </c>
      <c r="B1024" s="42">
        <v>759.94</v>
      </c>
      <c r="C1024" s="43">
        <v>0.17</v>
      </c>
      <c r="D1024" s="45">
        <v>45962</v>
      </c>
      <c r="E1024" s="45">
        <v>45991.999305555553</v>
      </c>
      <c r="F1024" s="42" t="s">
        <v>551</v>
      </c>
    </row>
    <row r="1025" spans="1:6" x14ac:dyDescent="0.35">
      <c r="A1025" s="42" t="s">
        <v>557</v>
      </c>
      <c r="B1025" s="42">
        <v>759.94</v>
      </c>
      <c r="C1025" s="43">
        <v>0.17</v>
      </c>
      <c r="D1025" s="45">
        <v>45962</v>
      </c>
      <c r="E1025" s="45">
        <v>45991.999305555553</v>
      </c>
      <c r="F1025" s="42" t="s">
        <v>551</v>
      </c>
    </row>
    <row r="1026" spans="1:6" x14ac:dyDescent="0.35">
      <c r="A1026" s="42" t="s">
        <v>128</v>
      </c>
      <c r="B1026" s="42">
        <v>759.94</v>
      </c>
      <c r="C1026" s="43">
        <v>0.17</v>
      </c>
      <c r="D1026" s="45">
        <v>45962</v>
      </c>
      <c r="E1026" s="45">
        <v>45991.999305555553</v>
      </c>
      <c r="F1026" s="42" t="s">
        <v>551</v>
      </c>
    </row>
    <row r="1027" spans="1:6" x14ac:dyDescent="0.35">
      <c r="A1027" s="42" t="s">
        <v>128</v>
      </c>
      <c r="B1027" s="42">
        <v>759.94</v>
      </c>
      <c r="C1027" s="43">
        <v>0.17</v>
      </c>
      <c r="D1027" s="45">
        <v>45962</v>
      </c>
      <c r="E1027" s="45">
        <v>45991.999305555553</v>
      </c>
      <c r="F1027" s="42" t="s">
        <v>551</v>
      </c>
    </row>
    <row r="1028" spans="1:6" x14ac:dyDescent="0.35">
      <c r="A1028" s="42" t="s">
        <v>553</v>
      </c>
      <c r="B1028" s="42">
        <v>759.94</v>
      </c>
      <c r="C1028" s="43">
        <v>0.17</v>
      </c>
      <c r="D1028" s="45">
        <v>45962</v>
      </c>
      <c r="E1028" s="45">
        <v>45991.999305555553</v>
      </c>
      <c r="F1028" s="42" t="s">
        <v>551</v>
      </c>
    </row>
    <row r="1029" spans="1:6" x14ac:dyDescent="0.35">
      <c r="A1029" s="42" t="s">
        <v>480</v>
      </c>
      <c r="B1029" s="42">
        <v>739.94</v>
      </c>
      <c r="C1029" s="43">
        <v>0.17</v>
      </c>
      <c r="D1029" s="45">
        <v>45962</v>
      </c>
      <c r="E1029" s="45">
        <v>45991.999305555553</v>
      </c>
      <c r="F1029" s="42" t="s">
        <v>551</v>
      </c>
    </row>
    <row r="1030" spans="1:6" x14ac:dyDescent="0.35">
      <c r="A1030" s="42" t="s">
        <v>90</v>
      </c>
      <c r="B1030" s="42">
        <v>739.94</v>
      </c>
      <c r="C1030" s="43">
        <v>0.17</v>
      </c>
      <c r="D1030" s="45">
        <v>45962</v>
      </c>
      <c r="E1030" s="45">
        <v>45991.999305555553</v>
      </c>
      <c r="F1030" s="42" t="s">
        <v>551</v>
      </c>
    </row>
    <row r="1031" spans="1:6" x14ac:dyDescent="0.35">
      <c r="A1031" s="42" t="s">
        <v>506</v>
      </c>
      <c r="B1031" s="42">
        <v>1389.94</v>
      </c>
      <c r="C1031" s="43">
        <v>0.17</v>
      </c>
      <c r="D1031" s="45">
        <v>45962</v>
      </c>
      <c r="E1031" s="45">
        <v>45991.999305555553</v>
      </c>
      <c r="F1031" s="42" t="s">
        <v>551</v>
      </c>
    </row>
    <row r="1032" spans="1:6" x14ac:dyDescent="0.35">
      <c r="A1032" s="42" t="s">
        <v>623</v>
      </c>
      <c r="B1032" s="42">
        <v>739.94</v>
      </c>
      <c r="C1032" s="43">
        <v>0.17</v>
      </c>
      <c r="D1032" s="45">
        <v>45962</v>
      </c>
      <c r="E1032" s="45">
        <v>45991.999305555553</v>
      </c>
      <c r="F1032" s="42" t="s">
        <v>551</v>
      </c>
    </row>
    <row r="1033" spans="1:6" x14ac:dyDescent="0.35">
      <c r="A1033" s="42" t="s">
        <v>501</v>
      </c>
      <c r="B1033" s="42">
        <v>989.94</v>
      </c>
      <c r="C1033" s="43">
        <v>0.17</v>
      </c>
      <c r="D1033" s="45">
        <v>45962</v>
      </c>
      <c r="E1033" s="45">
        <v>45991.999305555553</v>
      </c>
      <c r="F1033" s="42" t="s">
        <v>551</v>
      </c>
    </row>
    <row r="1034" spans="1:6" x14ac:dyDescent="0.35">
      <c r="A1034" s="42" t="s">
        <v>501</v>
      </c>
      <c r="B1034" s="42">
        <v>989.94</v>
      </c>
      <c r="C1034" s="43">
        <v>0.17</v>
      </c>
      <c r="D1034" s="45">
        <v>45962</v>
      </c>
      <c r="E1034" s="45">
        <v>45991.999305555553</v>
      </c>
      <c r="F1034" s="42" t="s">
        <v>551</v>
      </c>
    </row>
    <row r="1035" spans="1:6" x14ac:dyDescent="0.35">
      <c r="A1035" s="42" t="s">
        <v>554</v>
      </c>
      <c r="B1035" s="42">
        <v>359.94</v>
      </c>
      <c r="C1035" s="43">
        <v>0.17</v>
      </c>
      <c r="D1035" s="45">
        <v>45962</v>
      </c>
      <c r="E1035" s="45">
        <v>45991.999305555553</v>
      </c>
      <c r="F1035" s="42" t="s">
        <v>551</v>
      </c>
    </row>
    <row r="1036" spans="1:6" x14ac:dyDescent="0.35">
      <c r="A1036" s="42" t="s">
        <v>555</v>
      </c>
      <c r="B1036" s="42">
        <v>699.94</v>
      </c>
      <c r="C1036" s="43">
        <v>0.17</v>
      </c>
      <c r="D1036" s="45">
        <v>45962</v>
      </c>
      <c r="E1036" s="45">
        <v>45991.999305555553</v>
      </c>
      <c r="F1036" s="42" t="s">
        <v>551</v>
      </c>
    </row>
    <row r="1037" spans="1:6" x14ac:dyDescent="0.35">
      <c r="A1037" s="42" t="s">
        <v>271</v>
      </c>
      <c r="B1037" s="42">
        <v>479.94</v>
      </c>
      <c r="C1037" s="43">
        <v>0.17</v>
      </c>
      <c r="D1037" s="45">
        <v>45962</v>
      </c>
      <c r="E1037" s="45">
        <v>45991.999305555553</v>
      </c>
      <c r="F1037" s="42" t="s">
        <v>551</v>
      </c>
    </row>
    <row r="1038" spans="1:6" x14ac:dyDescent="0.35">
      <c r="A1038" s="42" t="s">
        <v>558</v>
      </c>
      <c r="B1038" s="42">
        <v>599.94000000000005</v>
      </c>
      <c r="C1038" s="43">
        <v>0.17</v>
      </c>
      <c r="D1038" s="45">
        <v>45962</v>
      </c>
      <c r="E1038" s="45">
        <v>45991.999305555553</v>
      </c>
      <c r="F1038" s="42" t="s">
        <v>551</v>
      </c>
    </row>
    <row r="1039" spans="1:6" x14ac:dyDescent="0.35">
      <c r="A1039" s="42" t="s">
        <v>457</v>
      </c>
      <c r="B1039" s="42">
        <v>1249.94</v>
      </c>
      <c r="C1039" s="43">
        <v>0.17</v>
      </c>
      <c r="D1039" s="45">
        <v>45962</v>
      </c>
      <c r="E1039" s="45">
        <v>45991.999305555553</v>
      </c>
      <c r="F1039" s="42" t="s">
        <v>551</v>
      </c>
    </row>
    <row r="1040" spans="1:6" x14ac:dyDescent="0.35">
      <c r="A1040" s="42" t="s">
        <v>484</v>
      </c>
      <c r="B1040" s="42">
        <v>1049.94</v>
      </c>
      <c r="C1040" s="43">
        <v>0.17</v>
      </c>
      <c r="D1040" s="45">
        <v>45962</v>
      </c>
      <c r="E1040" s="45">
        <v>45991.999305555553</v>
      </c>
      <c r="F1040" s="42" t="s">
        <v>551</v>
      </c>
    </row>
    <row r="1041" spans="1:6" x14ac:dyDescent="0.35">
      <c r="A1041" s="42" t="s">
        <v>624</v>
      </c>
      <c r="B1041" s="42">
        <v>1319.94</v>
      </c>
      <c r="C1041" s="43">
        <v>0.17</v>
      </c>
      <c r="D1041" s="45">
        <v>45962</v>
      </c>
      <c r="E1041" s="45">
        <v>45991.999305555553</v>
      </c>
      <c r="F1041" s="42" t="s">
        <v>551</v>
      </c>
    </row>
    <row r="1042" spans="1:6" x14ac:dyDescent="0.35">
      <c r="A1042" s="42" t="s">
        <v>560</v>
      </c>
      <c r="B1042" s="42">
        <v>919.94</v>
      </c>
      <c r="C1042" s="43">
        <v>0.17</v>
      </c>
      <c r="D1042" s="45">
        <v>45962</v>
      </c>
      <c r="E1042" s="45">
        <v>45991.999305555553</v>
      </c>
      <c r="F1042" s="42" t="s">
        <v>551</v>
      </c>
    </row>
    <row r="1043" spans="1:6" x14ac:dyDescent="0.35">
      <c r="A1043" s="42" t="s">
        <v>561</v>
      </c>
      <c r="B1043" s="42">
        <v>1419.94</v>
      </c>
      <c r="C1043" s="43">
        <v>0.17</v>
      </c>
      <c r="D1043" s="45">
        <v>45962</v>
      </c>
      <c r="E1043" s="45">
        <v>45991.999305555553</v>
      </c>
      <c r="F1043" s="42" t="s">
        <v>551</v>
      </c>
    </row>
    <row r="1044" spans="1:6" x14ac:dyDescent="0.35">
      <c r="A1044" s="42" t="s">
        <v>562</v>
      </c>
      <c r="B1044" s="42">
        <v>1019.94</v>
      </c>
      <c r="C1044" s="43">
        <v>0.17</v>
      </c>
      <c r="D1044" s="45">
        <v>45962</v>
      </c>
      <c r="E1044" s="45">
        <v>45991.999305555553</v>
      </c>
      <c r="F1044" s="42" t="s">
        <v>551</v>
      </c>
    </row>
    <row r="1045" spans="1:6" x14ac:dyDescent="0.35">
      <c r="A1045" s="42" t="s">
        <v>563</v>
      </c>
      <c r="B1045" s="42">
        <v>1249.94</v>
      </c>
      <c r="C1045" s="43">
        <v>0.17</v>
      </c>
      <c r="D1045" s="45">
        <v>45962</v>
      </c>
      <c r="E1045" s="45">
        <v>45991.999305555553</v>
      </c>
      <c r="F1045" s="42" t="s">
        <v>551</v>
      </c>
    </row>
    <row r="1046" spans="1:6" x14ac:dyDescent="0.35">
      <c r="A1046" s="42" t="s">
        <v>631</v>
      </c>
      <c r="B1046" s="42">
        <v>369.9</v>
      </c>
      <c r="C1046" s="43">
        <v>0.06</v>
      </c>
      <c r="D1046" s="45">
        <v>45962</v>
      </c>
      <c r="E1046" s="45">
        <v>45991.999305555553</v>
      </c>
      <c r="F1046" s="42" t="s">
        <v>625</v>
      </c>
    </row>
    <row r="1047" spans="1:6" x14ac:dyDescent="0.35">
      <c r="A1047" s="42" t="s">
        <v>524</v>
      </c>
      <c r="B1047" s="42">
        <v>549.9</v>
      </c>
      <c r="C1047" s="43">
        <v>0.06</v>
      </c>
      <c r="D1047" s="45">
        <v>45962</v>
      </c>
      <c r="E1047" s="45">
        <v>45991.999305555553</v>
      </c>
      <c r="F1047" s="42" t="s">
        <v>625</v>
      </c>
    </row>
    <row r="1048" spans="1:6" x14ac:dyDescent="0.35">
      <c r="A1048" s="42" t="s">
        <v>616</v>
      </c>
      <c r="B1048" s="42">
        <v>549.9</v>
      </c>
      <c r="C1048" s="43">
        <v>0.06</v>
      </c>
      <c r="D1048" s="45">
        <v>45962</v>
      </c>
      <c r="E1048" s="45">
        <v>45991.999305555553</v>
      </c>
      <c r="F1048" s="42" t="s">
        <v>625</v>
      </c>
    </row>
    <row r="1049" spans="1:6" x14ac:dyDescent="0.35">
      <c r="A1049" s="42" t="s">
        <v>626</v>
      </c>
      <c r="B1049" s="42">
        <v>639.9</v>
      </c>
      <c r="C1049" s="43">
        <v>0.06</v>
      </c>
      <c r="D1049" s="45">
        <v>45962</v>
      </c>
      <c r="E1049" s="45">
        <v>45991.999305555553</v>
      </c>
      <c r="F1049" s="42" t="s">
        <v>625</v>
      </c>
    </row>
    <row r="1050" spans="1:6" x14ac:dyDescent="0.35">
      <c r="A1050" s="42" t="s">
        <v>635</v>
      </c>
      <c r="B1050" s="42">
        <v>639.9</v>
      </c>
      <c r="C1050" s="43">
        <v>0.06</v>
      </c>
      <c r="D1050" s="45">
        <v>45962</v>
      </c>
      <c r="E1050" s="45">
        <v>45991.999305555553</v>
      </c>
      <c r="F1050" s="42" t="s">
        <v>625</v>
      </c>
    </row>
    <row r="1051" spans="1:6" x14ac:dyDescent="0.35">
      <c r="A1051" s="42" t="s">
        <v>73</v>
      </c>
      <c r="B1051" s="42">
        <v>639.9</v>
      </c>
      <c r="C1051" s="43">
        <v>0.06</v>
      </c>
      <c r="D1051" s="45">
        <v>45962</v>
      </c>
      <c r="E1051" s="45">
        <v>45991.999305555553</v>
      </c>
      <c r="F1051" s="42" t="s">
        <v>625</v>
      </c>
    </row>
    <row r="1052" spans="1:6" x14ac:dyDescent="0.35">
      <c r="A1052" s="42" t="s">
        <v>30</v>
      </c>
      <c r="B1052" s="42">
        <v>739.9</v>
      </c>
      <c r="C1052" s="43">
        <v>0.06</v>
      </c>
      <c r="D1052" s="45">
        <v>45962</v>
      </c>
      <c r="E1052" s="45">
        <v>45991.999305555553</v>
      </c>
      <c r="F1052" s="42" t="s">
        <v>625</v>
      </c>
    </row>
    <row r="1053" spans="1:6" x14ac:dyDescent="0.35">
      <c r="A1053" s="42" t="s">
        <v>35</v>
      </c>
      <c r="B1053" s="42">
        <v>1399.9</v>
      </c>
      <c r="C1053" s="43">
        <v>0.06</v>
      </c>
      <c r="D1053" s="45">
        <v>45962</v>
      </c>
      <c r="E1053" s="45">
        <v>45991.999305555553</v>
      </c>
      <c r="F1053" s="42" t="s">
        <v>625</v>
      </c>
    </row>
    <row r="1054" spans="1:6" x14ac:dyDescent="0.35">
      <c r="A1054" s="42" t="s">
        <v>550</v>
      </c>
      <c r="B1054" s="42">
        <v>669.9</v>
      </c>
      <c r="C1054" s="43">
        <v>0.06</v>
      </c>
      <c r="D1054" s="45">
        <v>45962</v>
      </c>
      <c r="E1054" s="45">
        <v>45991.999305555553</v>
      </c>
      <c r="F1054" s="42" t="s">
        <v>625</v>
      </c>
    </row>
    <row r="1055" spans="1:6" x14ac:dyDescent="0.35">
      <c r="A1055" s="42" t="s">
        <v>628</v>
      </c>
      <c r="B1055" s="42">
        <v>669.9</v>
      </c>
      <c r="C1055" s="43">
        <v>0.06</v>
      </c>
      <c r="D1055" s="45">
        <v>45962</v>
      </c>
      <c r="E1055" s="45">
        <v>45991.999305555553</v>
      </c>
      <c r="F1055" s="42" t="s">
        <v>625</v>
      </c>
    </row>
    <row r="1056" spans="1:6" x14ac:dyDescent="0.35">
      <c r="A1056" s="42" t="s">
        <v>55</v>
      </c>
      <c r="B1056" s="42">
        <v>669.9</v>
      </c>
      <c r="C1056" s="43">
        <v>0.06</v>
      </c>
      <c r="D1056" s="45">
        <v>45962</v>
      </c>
      <c r="E1056" s="45">
        <v>45991.999305555553</v>
      </c>
      <c r="F1056" s="42" t="s">
        <v>625</v>
      </c>
    </row>
    <row r="1057" spans="1:6" x14ac:dyDescent="0.35">
      <c r="A1057" s="42" t="s">
        <v>639</v>
      </c>
      <c r="B1057" s="42">
        <v>1049.9000000000001</v>
      </c>
      <c r="C1057" s="43">
        <v>0.06</v>
      </c>
      <c r="D1057" s="45">
        <v>45962</v>
      </c>
      <c r="E1057" s="45">
        <v>45991.999305555553</v>
      </c>
      <c r="F1057" s="42" t="s">
        <v>625</v>
      </c>
    </row>
    <row r="1058" spans="1:6" x14ac:dyDescent="0.35">
      <c r="A1058" s="42" t="s">
        <v>504</v>
      </c>
      <c r="B1058" s="42">
        <v>1149.9000000000001</v>
      </c>
      <c r="C1058" s="43">
        <v>0.06</v>
      </c>
      <c r="D1058" s="45">
        <v>45962</v>
      </c>
      <c r="E1058" s="45">
        <v>45991.999305555553</v>
      </c>
      <c r="F1058" s="42" t="s">
        <v>625</v>
      </c>
    </row>
    <row r="1059" spans="1:6" x14ac:dyDescent="0.35">
      <c r="A1059" s="42" t="s">
        <v>606</v>
      </c>
      <c r="B1059" s="42">
        <v>1149.9000000000001</v>
      </c>
      <c r="C1059" s="43">
        <v>0.06</v>
      </c>
      <c r="D1059" s="45">
        <v>45962</v>
      </c>
      <c r="E1059" s="45">
        <v>45991.999305555553</v>
      </c>
      <c r="F1059" s="42" t="s">
        <v>625</v>
      </c>
    </row>
    <row r="1060" spans="1:6" x14ac:dyDescent="0.35">
      <c r="A1060" s="42" t="s">
        <v>547</v>
      </c>
      <c r="B1060" s="42">
        <v>199.9</v>
      </c>
      <c r="C1060" s="43">
        <v>0.06</v>
      </c>
      <c r="D1060" s="45">
        <v>45962</v>
      </c>
      <c r="E1060" s="45">
        <v>45991.999305555553</v>
      </c>
      <c r="F1060" s="42" t="s">
        <v>625</v>
      </c>
    </row>
    <row r="1061" spans="1:6" x14ac:dyDescent="0.35">
      <c r="A1061" s="42" t="s">
        <v>629</v>
      </c>
      <c r="B1061" s="42">
        <v>399.9</v>
      </c>
      <c r="C1061" s="43">
        <v>0.06</v>
      </c>
      <c r="D1061" s="45">
        <v>45962</v>
      </c>
      <c r="E1061" s="45">
        <v>45991.999305555553</v>
      </c>
      <c r="F1061" s="42" t="s">
        <v>625</v>
      </c>
    </row>
    <row r="1062" spans="1:6" x14ac:dyDescent="0.35">
      <c r="A1062" s="42" t="s">
        <v>100</v>
      </c>
      <c r="B1062" s="42">
        <v>499.9</v>
      </c>
      <c r="C1062" s="43">
        <v>0.06</v>
      </c>
      <c r="D1062" s="45">
        <v>45962</v>
      </c>
      <c r="E1062" s="45">
        <v>45991.999305555553</v>
      </c>
      <c r="F1062" s="42" t="s">
        <v>625</v>
      </c>
    </row>
    <row r="1063" spans="1:6" x14ac:dyDescent="0.35">
      <c r="A1063" s="42" t="s">
        <v>602</v>
      </c>
      <c r="B1063" s="42">
        <v>499.9</v>
      </c>
      <c r="C1063" s="43">
        <v>0.06</v>
      </c>
      <c r="D1063" s="45">
        <v>45962</v>
      </c>
      <c r="E1063" s="45">
        <v>45991.999305555553</v>
      </c>
      <c r="F1063" s="42" t="s">
        <v>625</v>
      </c>
    </row>
    <row r="1064" spans="1:6" x14ac:dyDescent="0.35">
      <c r="A1064" s="42" t="s">
        <v>630</v>
      </c>
      <c r="B1064" s="42">
        <v>499.9</v>
      </c>
      <c r="C1064" s="43">
        <v>0.06</v>
      </c>
      <c r="D1064" s="45">
        <v>45962</v>
      </c>
      <c r="E1064" s="45">
        <v>45991.999305555553</v>
      </c>
      <c r="F1064" s="42" t="s">
        <v>625</v>
      </c>
    </row>
    <row r="1065" spans="1:6" x14ac:dyDescent="0.35">
      <c r="A1065" s="42" t="s">
        <v>636</v>
      </c>
      <c r="B1065" s="42">
        <v>499.9</v>
      </c>
      <c r="C1065" s="43">
        <v>0.06</v>
      </c>
      <c r="D1065" s="45">
        <v>45962</v>
      </c>
      <c r="E1065" s="45">
        <v>45991.999305555553</v>
      </c>
      <c r="F1065" s="42" t="s">
        <v>625</v>
      </c>
    </row>
    <row r="1066" spans="1:6" x14ac:dyDescent="0.35">
      <c r="A1066" s="42" t="s">
        <v>88</v>
      </c>
      <c r="B1066" s="42">
        <v>1079.9000000000001</v>
      </c>
      <c r="C1066" s="43">
        <v>0.06</v>
      </c>
      <c r="D1066" s="45">
        <v>45962</v>
      </c>
      <c r="E1066" s="45">
        <v>45991.999305555553</v>
      </c>
      <c r="F1066" s="42" t="s">
        <v>625</v>
      </c>
    </row>
    <row r="1067" spans="1:6" x14ac:dyDescent="0.35">
      <c r="A1067" s="42" t="s">
        <v>634</v>
      </c>
      <c r="B1067" s="42">
        <v>1969.9</v>
      </c>
      <c r="C1067" s="43">
        <v>0.06</v>
      </c>
      <c r="D1067" s="45">
        <v>45962</v>
      </c>
      <c r="E1067" s="45">
        <v>45991.999305555553</v>
      </c>
      <c r="F1067" s="42" t="s">
        <v>625</v>
      </c>
    </row>
    <row r="1068" spans="1:6" x14ac:dyDescent="0.35">
      <c r="A1068" s="42" t="s">
        <v>627</v>
      </c>
      <c r="B1068" s="42">
        <v>699.9</v>
      </c>
      <c r="C1068" s="43">
        <v>0.06</v>
      </c>
      <c r="D1068" s="45">
        <v>45962</v>
      </c>
      <c r="E1068" s="45">
        <v>45991.999305555553</v>
      </c>
      <c r="F1068" s="42" t="s">
        <v>625</v>
      </c>
    </row>
    <row r="1069" spans="1:6" x14ac:dyDescent="0.35">
      <c r="A1069" s="42" t="s">
        <v>8</v>
      </c>
      <c r="B1069" s="42">
        <v>339.9</v>
      </c>
      <c r="C1069" s="43">
        <v>0.06</v>
      </c>
      <c r="D1069" s="45">
        <v>45962</v>
      </c>
      <c r="E1069" s="45">
        <v>45991.999305555553</v>
      </c>
      <c r="F1069" s="42" t="s">
        <v>625</v>
      </c>
    </row>
    <row r="1070" spans="1:6" x14ac:dyDescent="0.35">
      <c r="A1070" s="42" t="s">
        <v>460</v>
      </c>
      <c r="B1070" s="42">
        <v>1289.9000000000001</v>
      </c>
      <c r="C1070" s="43">
        <v>0.06</v>
      </c>
      <c r="D1070" s="45">
        <v>45962</v>
      </c>
      <c r="E1070" s="45">
        <v>45991.999305555553</v>
      </c>
      <c r="F1070" s="42" t="s">
        <v>625</v>
      </c>
    </row>
    <row r="1071" spans="1:6" x14ac:dyDescent="0.35">
      <c r="A1071" s="42" t="s">
        <v>45</v>
      </c>
      <c r="B1071" s="42">
        <v>419.9</v>
      </c>
      <c r="C1071" s="43">
        <v>0.06</v>
      </c>
      <c r="D1071" s="45">
        <v>45962</v>
      </c>
      <c r="E1071" s="45">
        <v>45991.999305555553</v>
      </c>
      <c r="F1071" s="42" t="s">
        <v>625</v>
      </c>
    </row>
    <row r="1072" spans="1:6" x14ac:dyDescent="0.35">
      <c r="A1072" s="42" t="s">
        <v>549</v>
      </c>
      <c r="B1072" s="42">
        <v>379.9</v>
      </c>
      <c r="C1072" s="43">
        <v>0.06</v>
      </c>
      <c r="D1072" s="45">
        <v>45962</v>
      </c>
      <c r="E1072" s="45">
        <v>45991.999305555553</v>
      </c>
      <c r="F1072" s="42" t="s">
        <v>625</v>
      </c>
    </row>
    <row r="1073" spans="1:6" x14ac:dyDescent="0.35">
      <c r="A1073" s="42" t="s">
        <v>578</v>
      </c>
      <c r="B1073" s="42">
        <v>419.9</v>
      </c>
      <c r="C1073" s="43">
        <v>0.06</v>
      </c>
      <c r="D1073" s="45">
        <v>45962</v>
      </c>
      <c r="E1073" s="45">
        <v>45991.999305555553</v>
      </c>
      <c r="F1073" s="42" t="s">
        <v>625</v>
      </c>
    </row>
    <row r="1074" spans="1:6" x14ac:dyDescent="0.35">
      <c r="A1074" s="42" t="s">
        <v>632</v>
      </c>
      <c r="B1074" s="42">
        <v>2489.9</v>
      </c>
      <c r="C1074" s="43">
        <v>0.06</v>
      </c>
      <c r="D1074" s="45">
        <v>45962</v>
      </c>
      <c r="E1074" s="45">
        <v>45991.999305555553</v>
      </c>
      <c r="F1074" s="42" t="s">
        <v>625</v>
      </c>
    </row>
    <row r="1075" spans="1:6" x14ac:dyDescent="0.35">
      <c r="A1075" s="42" t="s">
        <v>633</v>
      </c>
      <c r="B1075" s="42">
        <v>529.9</v>
      </c>
      <c r="C1075" s="43">
        <v>0.06</v>
      </c>
      <c r="D1075" s="45">
        <v>45962</v>
      </c>
      <c r="E1075" s="45">
        <v>45991.999305555553</v>
      </c>
      <c r="F1075" s="42" t="s">
        <v>625</v>
      </c>
    </row>
    <row r="1076" spans="1:6" x14ac:dyDescent="0.35">
      <c r="A1076" s="42" t="s">
        <v>11</v>
      </c>
      <c r="B1076" s="42">
        <v>339.9</v>
      </c>
      <c r="C1076" s="43">
        <v>0.06</v>
      </c>
      <c r="D1076" s="45">
        <v>45962</v>
      </c>
      <c r="E1076" s="45">
        <v>45991.999305555553</v>
      </c>
      <c r="F1076" s="42" t="s">
        <v>625</v>
      </c>
    </row>
    <row r="1077" spans="1:6" x14ac:dyDescent="0.35">
      <c r="A1077" s="42" t="s">
        <v>637</v>
      </c>
      <c r="B1077" s="42">
        <v>629.9</v>
      </c>
      <c r="C1077" s="43">
        <v>0.06</v>
      </c>
      <c r="D1077" s="45">
        <v>45962</v>
      </c>
      <c r="E1077" s="45">
        <v>45991.999305555553</v>
      </c>
      <c r="F1077" s="42" t="s">
        <v>625</v>
      </c>
    </row>
    <row r="1078" spans="1:6" x14ac:dyDescent="0.35">
      <c r="A1078" s="42" t="s">
        <v>638</v>
      </c>
      <c r="B1078" s="42">
        <v>229.9</v>
      </c>
      <c r="C1078" s="43">
        <v>0.06</v>
      </c>
      <c r="D1078" s="45">
        <v>45962</v>
      </c>
      <c r="E1078" s="45">
        <v>45991.999305555553</v>
      </c>
      <c r="F1078" s="42" t="s">
        <v>625</v>
      </c>
    </row>
    <row r="1079" spans="1:6" x14ac:dyDescent="0.35">
      <c r="A1079" s="42" t="s">
        <v>640</v>
      </c>
      <c r="B1079" s="42">
        <v>1099.9000000000001</v>
      </c>
      <c r="C1079" s="43">
        <v>0.06</v>
      </c>
      <c r="D1079" s="45">
        <v>45962</v>
      </c>
      <c r="E1079" s="45">
        <v>45991.999305555553</v>
      </c>
      <c r="F1079" s="42" t="s">
        <v>625</v>
      </c>
    </row>
    <row r="1080" spans="1:6" x14ac:dyDescent="0.35">
      <c r="A1080" s="42" t="s">
        <v>37</v>
      </c>
      <c r="B1080" s="42">
        <v>1369.9</v>
      </c>
      <c r="C1080" s="43">
        <v>0.06</v>
      </c>
      <c r="D1080" s="45">
        <v>45962</v>
      </c>
      <c r="E1080" s="45">
        <v>45991.999305555553</v>
      </c>
      <c r="F1080" s="42" t="s">
        <v>625</v>
      </c>
    </row>
    <row r="1081" spans="1:6" x14ac:dyDescent="0.35">
      <c r="A1081" s="42" t="s">
        <v>327</v>
      </c>
      <c r="B1081" s="42">
        <v>2199.9</v>
      </c>
      <c r="C1081" s="43">
        <v>0.06</v>
      </c>
      <c r="D1081" s="45">
        <v>45962</v>
      </c>
      <c r="E1081" s="45">
        <v>45991.999305555553</v>
      </c>
      <c r="F1081" s="42" t="s">
        <v>625</v>
      </c>
    </row>
    <row r="1082" spans="1:6" x14ac:dyDescent="0.35">
      <c r="A1082" s="42" t="s">
        <v>641</v>
      </c>
      <c r="B1082" s="42">
        <v>1659.9</v>
      </c>
      <c r="C1082" s="43">
        <v>0.06</v>
      </c>
      <c r="D1082" s="45">
        <v>45962</v>
      </c>
      <c r="E1082" s="45">
        <v>45991.999305555553</v>
      </c>
      <c r="F1082" s="42" t="s">
        <v>625</v>
      </c>
    </row>
    <row r="1083" spans="1:6" x14ac:dyDescent="0.35">
      <c r="A1083" s="42" t="s">
        <v>401</v>
      </c>
      <c r="B1083" s="42">
        <v>1329.9</v>
      </c>
      <c r="C1083" s="43">
        <v>0.06</v>
      </c>
      <c r="D1083" s="45">
        <v>45962</v>
      </c>
      <c r="E1083" s="45">
        <v>45991.999305555553</v>
      </c>
      <c r="F1083" s="42" t="s">
        <v>625</v>
      </c>
    </row>
    <row r="1084" spans="1:6" x14ac:dyDescent="0.35">
      <c r="A1084" s="42" t="s">
        <v>642</v>
      </c>
      <c r="B1084" s="42">
        <v>1099.9000000000001</v>
      </c>
      <c r="C1084" s="43">
        <v>0.06</v>
      </c>
      <c r="D1084" s="45">
        <v>45962</v>
      </c>
      <c r="E1084" s="45">
        <v>45991.999305555553</v>
      </c>
      <c r="F1084" s="42" t="s">
        <v>625</v>
      </c>
    </row>
    <row r="1085" spans="1:6" x14ac:dyDescent="0.35">
      <c r="A1085" s="42" t="s">
        <v>23</v>
      </c>
      <c r="B1085" s="42">
        <v>419.9</v>
      </c>
      <c r="C1085" s="43">
        <v>0.06</v>
      </c>
      <c r="D1085" s="45">
        <v>45962</v>
      </c>
      <c r="E1085" s="45">
        <v>45991.999305555553</v>
      </c>
      <c r="F1085" s="42" t="s">
        <v>625</v>
      </c>
    </row>
    <row r="1086" spans="1:6" x14ac:dyDescent="0.35">
      <c r="A1086" s="42" t="s">
        <v>631</v>
      </c>
      <c r="B1086" s="42">
        <v>379.9</v>
      </c>
      <c r="C1086" s="43">
        <v>0.08</v>
      </c>
      <c r="D1086" s="45">
        <v>45962</v>
      </c>
      <c r="E1086" s="45">
        <v>45991.999305555553</v>
      </c>
      <c r="F1086" s="42" t="s">
        <v>625</v>
      </c>
    </row>
    <row r="1087" spans="1:6" x14ac:dyDescent="0.35">
      <c r="A1087" s="42" t="s">
        <v>524</v>
      </c>
      <c r="B1087" s="42">
        <v>569.9</v>
      </c>
      <c r="C1087" s="43">
        <v>0.08</v>
      </c>
      <c r="D1087" s="45">
        <v>45962</v>
      </c>
      <c r="E1087" s="45">
        <v>45991.999305555553</v>
      </c>
      <c r="F1087" s="42" t="s">
        <v>625</v>
      </c>
    </row>
    <row r="1088" spans="1:6" x14ac:dyDescent="0.35">
      <c r="A1088" s="42" t="s">
        <v>616</v>
      </c>
      <c r="B1088" s="42">
        <v>569.9</v>
      </c>
      <c r="C1088" s="43">
        <v>0.08</v>
      </c>
      <c r="D1088" s="45">
        <v>45962</v>
      </c>
      <c r="E1088" s="45">
        <v>45991.999305555553</v>
      </c>
      <c r="F1088" s="42" t="s">
        <v>625</v>
      </c>
    </row>
    <row r="1089" spans="1:6" x14ac:dyDescent="0.35">
      <c r="A1089" s="42" t="s">
        <v>626</v>
      </c>
      <c r="B1089" s="42">
        <v>659.9</v>
      </c>
      <c r="C1089" s="43">
        <v>0.08</v>
      </c>
      <c r="D1089" s="45">
        <v>45962</v>
      </c>
      <c r="E1089" s="45">
        <v>45991.999305555553</v>
      </c>
      <c r="F1089" s="42" t="s">
        <v>625</v>
      </c>
    </row>
    <row r="1090" spans="1:6" x14ac:dyDescent="0.35">
      <c r="A1090" s="42" t="s">
        <v>635</v>
      </c>
      <c r="B1090" s="42">
        <v>659.9</v>
      </c>
      <c r="C1090" s="43">
        <v>0.08</v>
      </c>
      <c r="D1090" s="45">
        <v>45962</v>
      </c>
      <c r="E1090" s="45">
        <v>45991.999305555553</v>
      </c>
      <c r="F1090" s="42" t="s">
        <v>625</v>
      </c>
    </row>
    <row r="1091" spans="1:6" x14ac:dyDescent="0.35">
      <c r="A1091" s="42" t="s">
        <v>73</v>
      </c>
      <c r="B1091" s="42">
        <v>659.9</v>
      </c>
      <c r="C1091" s="43">
        <v>0.08</v>
      </c>
      <c r="D1091" s="45">
        <v>45962</v>
      </c>
      <c r="E1091" s="45">
        <v>45991.999305555553</v>
      </c>
      <c r="F1091" s="42" t="s">
        <v>625</v>
      </c>
    </row>
    <row r="1092" spans="1:6" x14ac:dyDescent="0.35">
      <c r="A1092" s="42" t="s">
        <v>30</v>
      </c>
      <c r="B1092" s="42">
        <v>759.9</v>
      </c>
      <c r="C1092" s="43">
        <v>0.08</v>
      </c>
      <c r="D1092" s="45">
        <v>45962</v>
      </c>
      <c r="E1092" s="45">
        <v>45991.999305555553</v>
      </c>
      <c r="F1092" s="42" t="s">
        <v>625</v>
      </c>
    </row>
    <row r="1093" spans="1:6" x14ac:dyDescent="0.35">
      <c r="A1093" s="42" t="s">
        <v>35</v>
      </c>
      <c r="B1093" s="42">
        <v>1429.9</v>
      </c>
      <c r="C1093" s="43">
        <v>0.08</v>
      </c>
      <c r="D1093" s="45">
        <v>45962</v>
      </c>
      <c r="E1093" s="45">
        <v>45991.999305555553</v>
      </c>
      <c r="F1093" s="42" t="s">
        <v>625</v>
      </c>
    </row>
    <row r="1094" spans="1:6" x14ac:dyDescent="0.35">
      <c r="A1094" s="42" t="s">
        <v>550</v>
      </c>
      <c r="B1094" s="42">
        <v>689.9</v>
      </c>
      <c r="C1094" s="43">
        <v>0.08</v>
      </c>
      <c r="D1094" s="45">
        <v>45962</v>
      </c>
      <c r="E1094" s="45">
        <v>45991.999305555553</v>
      </c>
      <c r="F1094" s="42" t="s">
        <v>625</v>
      </c>
    </row>
    <row r="1095" spans="1:6" x14ac:dyDescent="0.35">
      <c r="A1095" s="42" t="s">
        <v>628</v>
      </c>
      <c r="B1095" s="42">
        <v>689.9</v>
      </c>
      <c r="C1095" s="43">
        <v>0.08</v>
      </c>
      <c r="D1095" s="45">
        <v>45962</v>
      </c>
      <c r="E1095" s="45">
        <v>45991.999305555553</v>
      </c>
      <c r="F1095" s="42" t="s">
        <v>625</v>
      </c>
    </row>
    <row r="1096" spans="1:6" x14ac:dyDescent="0.35">
      <c r="A1096" s="42" t="s">
        <v>55</v>
      </c>
      <c r="B1096" s="42">
        <v>689.9</v>
      </c>
      <c r="C1096" s="43">
        <v>0.08</v>
      </c>
      <c r="D1096" s="45">
        <v>45962</v>
      </c>
      <c r="E1096" s="45">
        <v>45991.999305555553</v>
      </c>
      <c r="F1096" s="42" t="s">
        <v>625</v>
      </c>
    </row>
    <row r="1097" spans="1:6" x14ac:dyDescent="0.35">
      <c r="A1097" s="42" t="s">
        <v>639</v>
      </c>
      <c r="B1097" s="42">
        <v>1079.9000000000001</v>
      </c>
      <c r="C1097" s="43">
        <v>0.08</v>
      </c>
      <c r="D1097" s="45">
        <v>45962</v>
      </c>
      <c r="E1097" s="45">
        <v>45991.999305555553</v>
      </c>
      <c r="F1097" s="42" t="s">
        <v>625</v>
      </c>
    </row>
    <row r="1098" spans="1:6" x14ac:dyDescent="0.35">
      <c r="A1098" s="42" t="s">
        <v>504</v>
      </c>
      <c r="B1098" s="42">
        <v>1179.9000000000001</v>
      </c>
      <c r="C1098" s="43">
        <v>0.08</v>
      </c>
      <c r="D1098" s="45">
        <v>45962</v>
      </c>
      <c r="E1098" s="45">
        <v>45991.999305555553</v>
      </c>
      <c r="F1098" s="42" t="s">
        <v>625</v>
      </c>
    </row>
    <row r="1099" spans="1:6" x14ac:dyDescent="0.35">
      <c r="A1099" s="42" t="s">
        <v>606</v>
      </c>
      <c r="B1099" s="42">
        <v>1179.9000000000001</v>
      </c>
      <c r="C1099" s="43">
        <v>0.08</v>
      </c>
      <c r="D1099" s="45">
        <v>45962</v>
      </c>
      <c r="E1099" s="45">
        <v>45991.999305555553</v>
      </c>
      <c r="F1099" s="42" t="s">
        <v>625</v>
      </c>
    </row>
    <row r="1100" spans="1:6" x14ac:dyDescent="0.35">
      <c r="A1100" s="42" t="s">
        <v>547</v>
      </c>
      <c r="B1100" s="42">
        <v>219.9</v>
      </c>
      <c r="C1100" s="43">
        <v>0.08</v>
      </c>
      <c r="D1100" s="45">
        <v>45962</v>
      </c>
      <c r="E1100" s="45">
        <v>45991.999305555553</v>
      </c>
      <c r="F1100" s="42" t="s">
        <v>625</v>
      </c>
    </row>
    <row r="1101" spans="1:6" x14ac:dyDescent="0.35">
      <c r="A1101" s="42" t="s">
        <v>629</v>
      </c>
      <c r="B1101" s="42">
        <v>419.9</v>
      </c>
      <c r="C1101" s="43">
        <v>0.08</v>
      </c>
      <c r="D1101" s="45">
        <v>45962</v>
      </c>
      <c r="E1101" s="45">
        <v>45991.999305555553</v>
      </c>
      <c r="F1101" s="42" t="s">
        <v>625</v>
      </c>
    </row>
    <row r="1102" spans="1:6" x14ac:dyDescent="0.35">
      <c r="A1102" s="42" t="s">
        <v>100</v>
      </c>
      <c r="B1102" s="42">
        <v>519.9</v>
      </c>
      <c r="C1102" s="43">
        <v>0.08</v>
      </c>
      <c r="D1102" s="45">
        <v>45962</v>
      </c>
      <c r="E1102" s="45">
        <v>45991.999305555553</v>
      </c>
      <c r="F1102" s="42" t="s">
        <v>625</v>
      </c>
    </row>
    <row r="1103" spans="1:6" x14ac:dyDescent="0.35">
      <c r="A1103" s="42" t="s">
        <v>602</v>
      </c>
      <c r="B1103" s="42">
        <v>519.9</v>
      </c>
      <c r="C1103" s="43">
        <v>0.08</v>
      </c>
      <c r="D1103" s="45">
        <v>45962</v>
      </c>
      <c r="E1103" s="45">
        <v>45991.999305555553</v>
      </c>
      <c r="F1103" s="42" t="s">
        <v>625</v>
      </c>
    </row>
    <row r="1104" spans="1:6" x14ac:dyDescent="0.35">
      <c r="A1104" s="42" t="s">
        <v>630</v>
      </c>
      <c r="B1104" s="42">
        <v>519.9</v>
      </c>
      <c r="C1104" s="43">
        <v>0.08</v>
      </c>
      <c r="D1104" s="45">
        <v>45962</v>
      </c>
      <c r="E1104" s="45">
        <v>45991.999305555553</v>
      </c>
      <c r="F1104" s="42" t="s">
        <v>625</v>
      </c>
    </row>
    <row r="1105" spans="1:6" x14ac:dyDescent="0.35">
      <c r="A1105" s="42" t="s">
        <v>636</v>
      </c>
      <c r="B1105" s="42">
        <v>519.9</v>
      </c>
      <c r="C1105" s="43">
        <v>0.08</v>
      </c>
      <c r="D1105" s="45">
        <v>45962</v>
      </c>
      <c r="E1105" s="45">
        <v>45991.999305555553</v>
      </c>
      <c r="F1105" s="42" t="s">
        <v>625</v>
      </c>
    </row>
    <row r="1106" spans="1:6" x14ac:dyDescent="0.35">
      <c r="A1106" s="42" t="s">
        <v>88</v>
      </c>
      <c r="B1106" s="42">
        <v>1119.9000000000001</v>
      </c>
      <c r="C1106" s="43">
        <v>0.08</v>
      </c>
      <c r="D1106" s="45">
        <v>45962</v>
      </c>
      <c r="E1106" s="45">
        <v>45991.999305555553</v>
      </c>
      <c r="F1106" s="42" t="s">
        <v>625</v>
      </c>
    </row>
    <row r="1107" spans="1:6" x14ac:dyDescent="0.35">
      <c r="A1107" s="42" t="s">
        <v>634</v>
      </c>
      <c r="B1107" s="42">
        <v>2019.9</v>
      </c>
      <c r="C1107" s="43">
        <v>0.08</v>
      </c>
      <c r="D1107" s="45">
        <v>45962</v>
      </c>
      <c r="E1107" s="45">
        <v>45991.999305555553</v>
      </c>
      <c r="F1107" s="42" t="s">
        <v>625</v>
      </c>
    </row>
    <row r="1108" spans="1:6" x14ac:dyDescent="0.35">
      <c r="A1108" s="42" t="s">
        <v>627</v>
      </c>
      <c r="B1108" s="42">
        <v>719.9</v>
      </c>
      <c r="C1108" s="43">
        <v>0.08</v>
      </c>
      <c r="D1108" s="45">
        <v>45962</v>
      </c>
      <c r="E1108" s="45">
        <v>45991.999305555553</v>
      </c>
      <c r="F1108" s="42" t="s">
        <v>625</v>
      </c>
    </row>
    <row r="1109" spans="1:6" x14ac:dyDescent="0.35">
      <c r="A1109" s="42" t="s">
        <v>8</v>
      </c>
      <c r="B1109" s="42">
        <v>349.9</v>
      </c>
      <c r="C1109" s="43">
        <v>0.08</v>
      </c>
      <c r="D1109" s="45">
        <v>45962</v>
      </c>
      <c r="E1109" s="45">
        <v>45991.999305555553</v>
      </c>
      <c r="F1109" s="42" t="s">
        <v>625</v>
      </c>
    </row>
    <row r="1110" spans="1:6" x14ac:dyDescent="0.35">
      <c r="A1110" s="42" t="s">
        <v>460</v>
      </c>
      <c r="B1110" s="42">
        <v>1319.9</v>
      </c>
      <c r="C1110" s="43">
        <v>0.08</v>
      </c>
      <c r="D1110" s="45">
        <v>45962</v>
      </c>
      <c r="E1110" s="45">
        <v>45991.999305555553</v>
      </c>
      <c r="F1110" s="42" t="s">
        <v>625</v>
      </c>
    </row>
    <row r="1111" spans="1:6" x14ac:dyDescent="0.35">
      <c r="A1111" s="42" t="s">
        <v>45</v>
      </c>
      <c r="B1111" s="42">
        <v>429.9</v>
      </c>
      <c r="C1111" s="43">
        <v>0.08</v>
      </c>
      <c r="D1111" s="45">
        <v>45962</v>
      </c>
      <c r="E1111" s="45">
        <v>45991.999305555553</v>
      </c>
      <c r="F1111" s="42" t="s">
        <v>625</v>
      </c>
    </row>
    <row r="1112" spans="1:6" x14ac:dyDescent="0.35">
      <c r="A1112" s="42" t="s">
        <v>549</v>
      </c>
      <c r="B1112" s="42">
        <v>389.9</v>
      </c>
      <c r="C1112" s="43">
        <v>0.08</v>
      </c>
      <c r="D1112" s="45">
        <v>45962</v>
      </c>
      <c r="E1112" s="45">
        <v>45991.999305555553</v>
      </c>
      <c r="F1112" s="42" t="s">
        <v>625</v>
      </c>
    </row>
    <row r="1113" spans="1:6" x14ac:dyDescent="0.35">
      <c r="A1113" s="42" t="s">
        <v>578</v>
      </c>
      <c r="B1113" s="42">
        <v>429.9</v>
      </c>
      <c r="C1113" s="43">
        <v>0.08</v>
      </c>
      <c r="D1113" s="45">
        <v>45962</v>
      </c>
      <c r="E1113" s="45">
        <v>45991.999305555553</v>
      </c>
      <c r="F1113" s="42" t="s">
        <v>625</v>
      </c>
    </row>
    <row r="1114" spans="1:6" x14ac:dyDescent="0.35">
      <c r="A1114" s="42" t="s">
        <v>632</v>
      </c>
      <c r="B1114" s="42">
        <v>2539.9</v>
      </c>
      <c r="C1114" s="43">
        <v>0.08</v>
      </c>
      <c r="D1114" s="45">
        <v>45962</v>
      </c>
      <c r="E1114" s="45">
        <v>45991.999305555553</v>
      </c>
      <c r="F1114" s="42" t="s">
        <v>625</v>
      </c>
    </row>
    <row r="1115" spans="1:6" x14ac:dyDescent="0.35">
      <c r="A1115" s="42" t="s">
        <v>633</v>
      </c>
      <c r="B1115" s="42">
        <v>549.9</v>
      </c>
      <c r="C1115" s="43">
        <v>0.08</v>
      </c>
      <c r="D1115" s="45">
        <v>45962</v>
      </c>
      <c r="E1115" s="45">
        <v>45991.999305555553</v>
      </c>
      <c r="F1115" s="42" t="s">
        <v>625</v>
      </c>
    </row>
    <row r="1116" spans="1:6" x14ac:dyDescent="0.35">
      <c r="A1116" s="42" t="s">
        <v>11</v>
      </c>
      <c r="B1116" s="42">
        <v>349.9</v>
      </c>
      <c r="C1116" s="43">
        <v>0.08</v>
      </c>
      <c r="D1116" s="45">
        <v>45962</v>
      </c>
      <c r="E1116" s="45">
        <v>45991.999305555553</v>
      </c>
      <c r="F1116" s="42" t="s">
        <v>625</v>
      </c>
    </row>
    <row r="1117" spans="1:6" x14ac:dyDescent="0.35">
      <c r="A1117" s="42" t="s">
        <v>637</v>
      </c>
      <c r="B1117" s="42">
        <v>649.9</v>
      </c>
      <c r="C1117" s="43">
        <v>0.08</v>
      </c>
      <c r="D1117" s="45">
        <v>45962</v>
      </c>
      <c r="E1117" s="45">
        <v>45991.999305555553</v>
      </c>
      <c r="F1117" s="42" t="s">
        <v>625</v>
      </c>
    </row>
    <row r="1118" spans="1:6" x14ac:dyDescent="0.35">
      <c r="A1118" s="42" t="s">
        <v>638</v>
      </c>
      <c r="B1118" s="42">
        <v>239.9</v>
      </c>
      <c r="C1118" s="43">
        <v>0.08</v>
      </c>
      <c r="D1118" s="45">
        <v>45962</v>
      </c>
      <c r="E1118" s="45">
        <v>45991.999305555553</v>
      </c>
      <c r="F1118" s="42" t="s">
        <v>625</v>
      </c>
    </row>
    <row r="1119" spans="1:6" x14ac:dyDescent="0.35">
      <c r="A1119" s="42" t="s">
        <v>640</v>
      </c>
      <c r="B1119" s="42">
        <v>1129.9000000000001</v>
      </c>
      <c r="C1119" s="43">
        <v>0.08</v>
      </c>
      <c r="D1119" s="45">
        <v>45962</v>
      </c>
      <c r="E1119" s="45">
        <v>45991.999305555553</v>
      </c>
      <c r="F1119" s="42" t="s">
        <v>625</v>
      </c>
    </row>
    <row r="1120" spans="1:6" x14ac:dyDescent="0.35">
      <c r="A1120" s="42" t="s">
        <v>37</v>
      </c>
      <c r="B1120" s="42">
        <v>1399.9</v>
      </c>
      <c r="C1120" s="43">
        <v>0.08</v>
      </c>
      <c r="D1120" s="45">
        <v>45962</v>
      </c>
      <c r="E1120" s="45">
        <v>45991.999305555553</v>
      </c>
      <c r="F1120" s="42" t="s">
        <v>625</v>
      </c>
    </row>
    <row r="1121" spans="1:6" x14ac:dyDescent="0.35">
      <c r="A1121" s="42" t="s">
        <v>327</v>
      </c>
      <c r="B1121" s="42">
        <v>2249.9</v>
      </c>
      <c r="C1121" s="43">
        <v>0.08</v>
      </c>
      <c r="D1121" s="45">
        <v>45962</v>
      </c>
      <c r="E1121" s="45">
        <v>45991.999305555553</v>
      </c>
      <c r="F1121" s="42" t="s">
        <v>625</v>
      </c>
    </row>
    <row r="1122" spans="1:6" x14ac:dyDescent="0.35">
      <c r="A1122" s="42" t="s">
        <v>641</v>
      </c>
      <c r="B1122" s="42">
        <v>1699.9</v>
      </c>
      <c r="C1122" s="43">
        <v>0.08</v>
      </c>
      <c r="D1122" s="45">
        <v>45962</v>
      </c>
      <c r="E1122" s="45">
        <v>45991.999305555553</v>
      </c>
      <c r="F1122" s="42" t="s">
        <v>625</v>
      </c>
    </row>
    <row r="1123" spans="1:6" x14ac:dyDescent="0.35">
      <c r="A1123" s="42" t="s">
        <v>401</v>
      </c>
      <c r="B1123" s="42">
        <v>1359.9</v>
      </c>
      <c r="C1123" s="43">
        <v>0.08</v>
      </c>
      <c r="D1123" s="45">
        <v>45962</v>
      </c>
      <c r="E1123" s="45">
        <v>45991.999305555553</v>
      </c>
      <c r="F1123" s="42" t="s">
        <v>625</v>
      </c>
    </row>
    <row r="1124" spans="1:6" x14ac:dyDescent="0.35">
      <c r="A1124" s="42" t="s">
        <v>642</v>
      </c>
      <c r="B1124" s="42">
        <v>1129.9000000000001</v>
      </c>
      <c r="C1124" s="43">
        <v>0.08</v>
      </c>
      <c r="D1124" s="45">
        <v>45962</v>
      </c>
      <c r="E1124" s="45">
        <v>45991.999305555553</v>
      </c>
      <c r="F1124" s="42" t="s">
        <v>625</v>
      </c>
    </row>
    <row r="1125" spans="1:6" x14ac:dyDescent="0.35">
      <c r="A1125" s="42" t="s">
        <v>23</v>
      </c>
      <c r="B1125" s="42">
        <v>429.9</v>
      </c>
      <c r="C1125" s="43">
        <v>0.08</v>
      </c>
      <c r="D1125" s="45">
        <v>45962</v>
      </c>
      <c r="E1125" s="45">
        <v>45991.999305555553</v>
      </c>
      <c r="F1125" s="42" t="s">
        <v>625</v>
      </c>
    </row>
    <row r="1126" spans="1:6" x14ac:dyDescent="0.35">
      <c r="A1126" s="42" t="s">
        <v>631</v>
      </c>
      <c r="B1126" s="42">
        <v>389.9</v>
      </c>
      <c r="C1126" s="43">
        <v>0.1</v>
      </c>
      <c r="D1126" s="45">
        <v>45962</v>
      </c>
      <c r="E1126" s="45">
        <v>45991.999305555553</v>
      </c>
      <c r="F1126" s="42" t="s">
        <v>625</v>
      </c>
    </row>
    <row r="1127" spans="1:6" x14ac:dyDescent="0.35">
      <c r="A1127" s="42" t="s">
        <v>524</v>
      </c>
      <c r="B1127" s="42">
        <v>589.9</v>
      </c>
      <c r="C1127" s="43">
        <v>0.1</v>
      </c>
      <c r="D1127" s="45">
        <v>45962</v>
      </c>
      <c r="E1127" s="45">
        <v>45991.999305555553</v>
      </c>
      <c r="F1127" s="42" t="s">
        <v>625</v>
      </c>
    </row>
    <row r="1128" spans="1:6" x14ac:dyDescent="0.35">
      <c r="A1128" s="42" t="s">
        <v>616</v>
      </c>
      <c r="B1128" s="42">
        <v>589.9</v>
      </c>
      <c r="C1128" s="43">
        <v>0.1</v>
      </c>
      <c r="D1128" s="45">
        <v>45962</v>
      </c>
      <c r="E1128" s="45">
        <v>45991.999305555553</v>
      </c>
      <c r="F1128" s="42" t="s">
        <v>625</v>
      </c>
    </row>
    <row r="1129" spans="1:6" x14ac:dyDescent="0.35">
      <c r="A1129" s="42" t="s">
        <v>626</v>
      </c>
      <c r="B1129" s="42">
        <v>679.9</v>
      </c>
      <c r="C1129" s="43">
        <v>0.1</v>
      </c>
      <c r="D1129" s="45">
        <v>45962</v>
      </c>
      <c r="E1129" s="45">
        <v>45991.999305555553</v>
      </c>
      <c r="F1129" s="42" t="s">
        <v>625</v>
      </c>
    </row>
    <row r="1130" spans="1:6" x14ac:dyDescent="0.35">
      <c r="A1130" s="42" t="s">
        <v>635</v>
      </c>
      <c r="B1130" s="42">
        <v>679.9</v>
      </c>
      <c r="C1130" s="43">
        <v>0.1</v>
      </c>
      <c r="D1130" s="45">
        <v>45962</v>
      </c>
      <c r="E1130" s="45">
        <v>45991.999305555553</v>
      </c>
      <c r="F1130" s="42" t="s">
        <v>625</v>
      </c>
    </row>
    <row r="1131" spans="1:6" x14ac:dyDescent="0.35">
      <c r="A1131" s="42" t="s">
        <v>73</v>
      </c>
      <c r="B1131" s="42">
        <v>679.9</v>
      </c>
      <c r="C1131" s="43">
        <v>0.1</v>
      </c>
      <c r="D1131" s="45">
        <v>45962</v>
      </c>
      <c r="E1131" s="45">
        <v>45991.999305555553</v>
      </c>
      <c r="F1131" s="42" t="s">
        <v>625</v>
      </c>
    </row>
    <row r="1132" spans="1:6" x14ac:dyDescent="0.35">
      <c r="A1132" s="42" t="s">
        <v>30</v>
      </c>
      <c r="B1132" s="42">
        <v>779.9</v>
      </c>
      <c r="C1132" s="43">
        <v>0.1</v>
      </c>
      <c r="D1132" s="45">
        <v>45962</v>
      </c>
      <c r="E1132" s="45">
        <v>45991.999305555553</v>
      </c>
      <c r="F1132" s="42" t="s">
        <v>625</v>
      </c>
    </row>
    <row r="1133" spans="1:6" x14ac:dyDescent="0.35">
      <c r="A1133" s="42" t="s">
        <v>35</v>
      </c>
      <c r="B1133" s="42">
        <v>1459.9</v>
      </c>
      <c r="C1133" s="43">
        <v>0.1</v>
      </c>
      <c r="D1133" s="45">
        <v>45962</v>
      </c>
      <c r="E1133" s="45">
        <v>45991.999305555553</v>
      </c>
      <c r="F1133" s="42" t="s">
        <v>625</v>
      </c>
    </row>
    <row r="1134" spans="1:6" x14ac:dyDescent="0.35">
      <c r="A1134" s="42" t="s">
        <v>550</v>
      </c>
      <c r="B1134" s="42">
        <v>719.9</v>
      </c>
      <c r="C1134" s="43">
        <v>0.1</v>
      </c>
      <c r="D1134" s="45">
        <v>45962</v>
      </c>
      <c r="E1134" s="45">
        <v>45991.999305555553</v>
      </c>
      <c r="F1134" s="42" t="s">
        <v>625</v>
      </c>
    </row>
    <row r="1135" spans="1:6" x14ac:dyDescent="0.35">
      <c r="A1135" s="42" t="s">
        <v>628</v>
      </c>
      <c r="B1135" s="42">
        <v>719.9</v>
      </c>
      <c r="C1135" s="43">
        <v>0.1</v>
      </c>
      <c r="D1135" s="45">
        <v>45962</v>
      </c>
      <c r="E1135" s="45">
        <v>45991.999305555553</v>
      </c>
      <c r="F1135" s="42" t="s">
        <v>625</v>
      </c>
    </row>
    <row r="1136" spans="1:6" x14ac:dyDescent="0.35">
      <c r="A1136" s="42" t="s">
        <v>55</v>
      </c>
      <c r="B1136" s="42">
        <v>719.9</v>
      </c>
      <c r="C1136" s="43">
        <v>0.1</v>
      </c>
      <c r="D1136" s="45">
        <v>45962</v>
      </c>
      <c r="E1136" s="45">
        <v>45991.999305555553</v>
      </c>
      <c r="F1136" s="42" t="s">
        <v>625</v>
      </c>
    </row>
    <row r="1137" spans="1:6" x14ac:dyDescent="0.35">
      <c r="A1137" s="42" t="s">
        <v>639</v>
      </c>
      <c r="B1137" s="42">
        <v>1119.9000000000001</v>
      </c>
      <c r="C1137" s="43">
        <v>0.1</v>
      </c>
      <c r="D1137" s="45">
        <v>45962</v>
      </c>
      <c r="E1137" s="45">
        <v>45991.999305555553</v>
      </c>
      <c r="F1137" s="42" t="s">
        <v>625</v>
      </c>
    </row>
    <row r="1138" spans="1:6" x14ac:dyDescent="0.35">
      <c r="A1138" s="42" t="s">
        <v>504</v>
      </c>
      <c r="B1138" s="42">
        <v>1219.9000000000001</v>
      </c>
      <c r="C1138" s="43">
        <v>0.1</v>
      </c>
      <c r="D1138" s="45">
        <v>45962</v>
      </c>
      <c r="E1138" s="45">
        <v>45991.999305555553</v>
      </c>
      <c r="F1138" s="42" t="s">
        <v>625</v>
      </c>
    </row>
    <row r="1139" spans="1:6" x14ac:dyDescent="0.35">
      <c r="A1139" s="42" t="s">
        <v>606</v>
      </c>
      <c r="B1139" s="42">
        <v>1219.9000000000001</v>
      </c>
      <c r="C1139" s="43">
        <v>0.1</v>
      </c>
      <c r="D1139" s="45">
        <v>45962</v>
      </c>
      <c r="E1139" s="45">
        <v>45991.999305555553</v>
      </c>
      <c r="F1139" s="42" t="s">
        <v>625</v>
      </c>
    </row>
    <row r="1140" spans="1:6" x14ac:dyDescent="0.35">
      <c r="A1140" s="42" t="s">
        <v>547</v>
      </c>
      <c r="B1140" s="42">
        <v>229.9</v>
      </c>
      <c r="C1140" s="43">
        <v>0.1</v>
      </c>
      <c r="D1140" s="45">
        <v>45962</v>
      </c>
      <c r="E1140" s="45">
        <v>45991.999305555553</v>
      </c>
      <c r="F1140" s="42" t="s">
        <v>625</v>
      </c>
    </row>
    <row r="1141" spans="1:6" x14ac:dyDescent="0.35">
      <c r="A1141" s="42" t="s">
        <v>629</v>
      </c>
      <c r="B1141" s="42">
        <v>429.9</v>
      </c>
      <c r="C1141" s="43">
        <v>0.1</v>
      </c>
      <c r="D1141" s="45">
        <v>45962</v>
      </c>
      <c r="E1141" s="45">
        <v>45991.999305555553</v>
      </c>
      <c r="F1141" s="42" t="s">
        <v>625</v>
      </c>
    </row>
    <row r="1142" spans="1:6" x14ac:dyDescent="0.35">
      <c r="A1142" s="42" t="s">
        <v>100</v>
      </c>
      <c r="B1142" s="42">
        <v>539.9</v>
      </c>
      <c r="C1142" s="43">
        <v>0.1</v>
      </c>
      <c r="D1142" s="45">
        <v>45962</v>
      </c>
      <c r="E1142" s="45">
        <v>45991.999305555553</v>
      </c>
      <c r="F1142" s="42" t="s">
        <v>625</v>
      </c>
    </row>
    <row r="1143" spans="1:6" x14ac:dyDescent="0.35">
      <c r="A1143" s="42" t="s">
        <v>602</v>
      </c>
      <c r="B1143" s="42">
        <v>539.9</v>
      </c>
      <c r="C1143" s="43">
        <v>0.1</v>
      </c>
      <c r="D1143" s="45">
        <v>45962</v>
      </c>
      <c r="E1143" s="45">
        <v>45991.999305555553</v>
      </c>
      <c r="F1143" s="42" t="s">
        <v>625</v>
      </c>
    </row>
    <row r="1144" spans="1:6" x14ac:dyDescent="0.35">
      <c r="A1144" s="42" t="s">
        <v>630</v>
      </c>
      <c r="B1144" s="42">
        <v>539.9</v>
      </c>
      <c r="C1144" s="43">
        <v>0.1</v>
      </c>
      <c r="D1144" s="45">
        <v>45962</v>
      </c>
      <c r="E1144" s="45">
        <v>45991.999305555553</v>
      </c>
      <c r="F1144" s="42" t="s">
        <v>625</v>
      </c>
    </row>
    <row r="1145" spans="1:6" x14ac:dyDescent="0.35">
      <c r="A1145" s="42" t="s">
        <v>636</v>
      </c>
      <c r="B1145" s="42">
        <v>539.9</v>
      </c>
      <c r="C1145" s="43">
        <v>0.1</v>
      </c>
      <c r="D1145" s="45">
        <v>45962</v>
      </c>
      <c r="E1145" s="45">
        <v>45991.999305555553</v>
      </c>
      <c r="F1145" s="42" t="s">
        <v>625</v>
      </c>
    </row>
    <row r="1146" spans="1:6" x14ac:dyDescent="0.35">
      <c r="A1146" s="42" t="s">
        <v>88</v>
      </c>
      <c r="B1146" s="42">
        <v>1149.9000000000001</v>
      </c>
      <c r="C1146" s="43">
        <v>0.1</v>
      </c>
      <c r="D1146" s="45">
        <v>45962</v>
      </c>
      <c r="E1146" s="45">
        <v>45991.999305555553</v>
      </c>
      <c r="F1146" s="42" t="s">
        <v>625</v>
      </c>
    </row>
    <row r="1147" spans="1:6" x14ac:dyDescent="0.35">
      <c r="A1147" s="42" t="s">
        <v>634</v>
      </c>
      <c r="B1147" s="42">
        <v>2069.9</v>
      </c>
      <c r="C1147" s="43">
        <v>0.1</v>
      </c>
      <c r="D1147" s="45">
        <v>45962</v>
      </c>
      <c r="E1147" s="45">
        <v>45991.999305555553</v>
      </c>
      <c r="F1147" s="42" t="s">
        <v>625</v>
      </c>
    </row>
    <row r="1148" spans="1:6" x14ac:dyDescent="0.35">
      <c r="A1148" s="42" t="s">
        <v>627</v>
      </c>
      <c r="B1148" s="42">
        <v>739.9</v>
      </c>
      <c r="C1148" s="43">
        <v>0.1</v>
      </c>
      <c r="D1148" s="45">
        <v>45962</v>
      </c>
      <c r="E1148" s="45">
        <v>45991.999305555553</v>
      </c>
      <c r="F1148" s="42" t="s">
        <v>625</v>
      </c>
    </row>
    <row r="1149" spans="1:6" x14ac:dyDescent="0.35">
      <c r="A1149" s="42" t="s">
        <v>8</v>
      </c>
      <c r="B1149" s="42">
        <v>359.9</v>
      </c>
      <c r="C1149" s="43">
        <v>0.1</v>
      </c>
      <c r="D1149" s="45">
        <v>45962</v>
      </c>
      <c r="E1149" s="45">
        <v>45991.999305555553</v>
      </c>
      <c r="F1149" s="42" t="s">
        <v>625</v>
      </c>
    </row>
    <row r="1150" spans="1:6" x14ac:dyDescent="0.35">
      <c r="A1150" s="42" t="s">
        <v>460</v>
      </c>
      <c r="B1150" s="42">
        <v>1349.9</v>
      </c>
      <c r="C1150" s="43">
        <v>0.1</v>
      </c>
      <c r="D1150" s="45">
        <v>45962</v>
      </c>
      <c r="E1150" s="45">
        <v>45991.999305555553</v>
      </c>
      <c r="F1150" s="42" t="s">
        <v>625</v>
      </c>
    </row>
    <row r="1151" spans="1:6" x14ac:dyDescent="0.35">
      <c r="A1151" s="42" t="s">
        <v>45</v>
      </c>
      <c r="B1151" s="42">
        <v>439.9</v>
      </c>
      <c r="C1151" s="43">
        <v>0.1</v>
      </c>
      <c r="D1151" s="45">
        <v>45962</v>
      </c>
      <c r="E1151" s="45">
        <v>45991.999305555553</v>
      </c>
      <c r="F1151" s="42" t="s">
        <v>625</v>
      </c>
    </row>
    <row r="1152" spans="1:6" x14ac:dyDescent="0.35">
      <c r="A1152" s="42" t="s">
        <v>549</v>
      </c>
      <c r="B1152" s="42">
        <v>399.9</v>
      </c>
      <c r="C1152" s="43">
        <v>0.1</v>
      </c>
      <c r="D1152" s="45">
        <v>45962</v>
      </c>
      <c r="E1152" s="45">
        <v>45991.999305555553</v>
      </c>
      <c r="F1152" s="42" t="s">
        <v>625</v>
      </c>
    </row>
    <row r="1153" spans="1:6" x14ac:dyDescent="0.35">
      <c r="A1153" s="42" t="s">
        <v>578</v>
      </c>
      <c r="B1153" s="42">
        <v>439.9</v>
      </c>
      <c r="C1153" s="43">
        <v>0.1</v>
      </c>
      <c r="D1153" s="45">
        <v>45962</v>
      </c>
      <c r="E1153" s="45">
        <v>45991.999305555553</v>
      </c>
      <c r="F1153" s="42" t="s">
        <v>625</v>
      </c>
    </row>
    <row r="1154" spans="1:6" x14ac:dyDescent="0.35">
      <c r="A1154" s="42" t="s">
        <v>632</v>
      </c>
      <c r="B1154" s="42">
        <v>2599.9</v>
      </c>
      <c r="C1154" s="43">
        <v>0.1</v>
      </c>
      <c r="D1154" s="45">
        <v>45962</v>
      </c>
      <c r="E1154" s="45">
        <v>45991.999305555553</v>
      </c>
      <c r="F1154" s="42" t="s">
        <v>625</v>
      </c>
    </row>
    <row r="1155" spans="1:6" x14ac:dyDescent="0.35">
      <c r="A1155" s="42" t="s">
        <v>633</v>
      </c>
      <c r="B1155" s="42">
        <v>569.9</v>
      </c>
      <c r="C1155" s="43">
        <v>0.1</v>
      </c>
      <c r="D1155" s="45">
        <v>45962</v>
      </c>
      <c r="E1155" s="45">
        <v>45991.999305555553</v>
      </c>
      <c r="F1155" s="42" t="s">
        <v>625</v>
      </c>
    </row>
    <row r="1156" spans="1:6" x14ac:dyDescent="0.35">
      <c r="A1156" s="42" t="s">
        <v>11</v>
      </c>
      <c r="B1156" s="42">
        <v>359.9</v>
      </c>
      <c r="C1156" s="43">
        <v>0.1</v>
      </c>
      <c r="D1156" s="45">
        <v>45962</v>
      </c>
      <c r="E1156" s="45">
        <v>45991.999305555553</v>
      </c>
      <c r="F1156" s="42" t="s">
        <v>625</v>
      </c>
    </row>
    <row r="1157" spans="1:6" x14ac:dyDescent="0.35">
      <c r="A1157" s="42" t="s">
        <v>637</v>
      </c>
      <c r="B1157" s="42">
        <v>669.9</v>
      </c>
      <c r="C1157" s="43">
        <v>0.1</v>
      </c>
      <c r="D1157" s="45">
        <v>45962</v>
      </c>
      <c r="E1157" s="45">
        <v>45991.999305555553</v>
      </c>
      <c r="F1157" s="42" t="s">
        <v>625</v>
      </c>
    </row>
    <row r="1158" spans="1:6" x14ac:dyDescent="0.35">
      <c r="A1158" s="42" t="s">
        <v>638</v>
      </c>
      <c r="B1158" s="42">
        <v>249.9</v>
      </c>
      <c r="C1158" s="43">
        <v>0.1</v>
      </c>
      <c r="D1158" s="45">
        <v>45962</v>
      </c>
      <c r="E1158" s="45">
        <v>45991.999305555553</v>
      </c>
      <c r="F1158" s="42" t="s">
        <v>625</v>
      </c>
    </row>
    <row r="1159" spans="1:6" x14ac:dyDescent="0.35">
      <c r="A1159" s="42" t="s">
        <v>640</v>
      </c>
      <c r="B1159" s="42">
        <v>1159.9000000000001</v>
      </c>
      <c r="C1159" s="43">
        <v>0.1</v>
      </c>
      <c r="D1159" s="45">
        <v>45962</v>
      </c>
      <c r="E1159" s="45">
        <v>45991.999305555553</v>
      </c>
      <c r="F1159" s="42" t="s">
        <v>625</v>
      </c>
    </row>
    <row r="1160" spans="1:6" x14ac:dyDescent="0.35">
      <c r="A1160" s="42" t="s">
        <v>37</v>
      </c>
      <c r="B1160" s="42">
        <v>1429.9</v>
      </c>
      <c r="C1160" s="43">
        <v>0.1</v>
      </c>
      <c r="D1160" s="45">
        <v>45962</v>
      </c>
      <c r="E1160" s="45">
        <v>45991.999305555553</v>
      </c>
      <c r="F1160" s="42" t="s">
        <v>625</v>
      </c>
    </row>
    <row r="1161" spans="1:6" x14ac:dyDescent="0.35">
      <c r="A1161" s="42" t="s">
        <v>327</v>
      </c>
      <c r="B1161" s="42">
        <v>2299.9</v>
      </c>
      <c r="C1161" s="43">
        <v>0.1</v>
      </c>
      <c r="D1161" s="45">
        <v>45962</v>
      </c>
      <c r="E1161" s="45">
        <v>45991.999305555553</v>
      </c>
      <c r="F1161" s="42" t="s">
        <v>625</v>
      </c>
    </row>
    <row r="1162" spans="1:6" x14ac:dyDescent="0.35">
      <c r="A1162" s="42" t="s">
        <v>641</v>
      </c>
      <c r="B1162" s="42">
        <v>1739.9</v>
      </c>
      <c r="C1162" s="43">
        <v>0.1</v>
      </c>
      <c r="D1162" s="45">
        <v>45962</v>
      </c>
      <c r="E1162" s="45">
        <v>45991.999305555553</v>
      </c>
      <c r="F1162" s="42" t="s">
        <v>625</v>
      </c>
    </row>
    <row r="1163" spans="1:6" x14ac:dyDescent="0.35">
      <c r="A1163" s="42" t="s">
        <v>401</v>
      </c>
      <c r="B1163" s="42">
        <v>1389.9</v>
      </c>
      <c r="C1163" s="43">
        <v>0.1</v>
      </c>
      <c r="D1163" s="45">
        <v>45962</v>
      </c>
      <c r="E1163" s="45">
        <v>45991.999305555553</v>
      </c>
      <c r="F1163" s="42" t="s">
        <v>625</v>
      </c>
    </row>
    <row r="1164" spans="1:6" x14ac:dyDescent="0.35">
      <c r="A1164" s="42" t="s">
        <v>642</v>
      </c>
      <c r="B1164" s="42">
        <v>1159.9000000000001</v>
      </c>
      <c r="C1164" s="43">
        <v>0.1</v>
      </c>
      <c r="D1164" s="45">
        <v>45962</v>
      </c>
      <c r="E1164" s="45">
        <v>45991.999305555553</v>
      </c>
      <c r="F1164" s="42" t="s">
        <v>625</v>
      </c>
    </row>
    <row r="1165" spans="1:6" x14ac:dyDescent="0.35">
      <c r="A1165" s="42" t="s">
        <v>23</v>
      </c>
      <c r="B1165" s="42">
        <v>439.9</v>
      </c>
      <c r="C1165" s="43">
        <v>0.1</v>
      </c>
      <c r="D1165" s="45">
        <v>45962</v>
      </c>
      <c r="E1165" s="45">
        <v>45991.999305555553</v>
      </c>
      <c r="F1165" s="42" t="s">
        <v>625</v>
      </c>
    </row>
    <row r="1166" spans="1:6" x14ac:dyDescent="0.35">
      <c r="A1166" s="42" t="s">
        <v>631</v>
      </c>
      <c r="B1166" s="42">
        <v>419.9</v>
      </c>
      <c r="C1166" s="43">
        <v>0.13</v>
      </c>
      <c r="D1166" s="45">
        <v>45962</v>
      </c>
      <c r="E1166" s="45">
        <v>45991.999305555553</v>
      </c>
      <c r="F1166" s="42" t="s">
        <v>625</v>
      </c>
    </row>
    <row r="1167" spans="1:6" x14ac:dyDescent="0.35">
      <c r="A1167" s="42" t="s">
        <v>524</v>
      </c>
      <c r="B1167" s="42">
        <v>619.9</v>
      </c>
      <c r="C1167" s="43">
        <v>0.13</v>
      </c>
      <c r="D1167" s="45">
        <v>45962</v>
      </c>
      <c r="E1167" s="45">
        <v>45991.999305555553</v>
      </c>
      <c r="F1167" s="42" t="s">
        <v>625</v>
      </c>
    </row>
    <row r="1168" spans="1:6" x14ac:dyDescent="0.35">
      <c r="A1168" s="42" t="s">
        <v>616</v>
      </c>
      <c r="B1168" s="42">
        <v>619.9</v>
      </c>
      <c r="C1168" s="43">
        <v>0.13</v>
      </c>
      <c r="D1168" s="45">
        <v>45962</v>
      </c>
      <c r="E1168" s="45">
        <v>45991.999305555553</v>
      </c>
      <c r="F1168" s="42" t="s">
        <v>625</v>
      </c>
    </row>
    <row r="1169" spans="1:6" x14ac:dyDescent="0.35">
      <c r="A1169" s="42" t="s">
        <v>626</v>
      </c>
      <c r="B1169" s="42">
        <v>719.9</v>
      </c>
      <c r="C1169" s="43">
        <v>0.13</v>
      </c>
      <c r="D1169" s="45">
        <v>45962</v>
      </c>
      <c r="E1169" s="45">
        <v>45991.999305555553</v>
      </c>
      <c r="F1169" s="42" t="s">
        <v>625</v>
      </c>
    </row>
    <row r="1170" spans="1:6" x14ac:dyDescent="0.35">
      <c r="A1170" s="42" t="s">
        <v>635</v>
      </c>
      <c r="B1170" s="42">
        <v>719.9</v>
      </c>
      <c r="C1170" s="43">
        <v>0.13</v>
      </c>
      <c r="D1170" s="45">
        <v>45962</v>
      </c>
      <c r="E1170" s="45">
        <v>45991.999305555553</v>
      </c>
      <c r="F1170" s="42" t="s">
        <v>625</v>
      </c>
    </row>
    <row r="1171" spans="1:6" x14ac:dyDescent="0.35">
      <c r="A1171" s="42" t="s">
        <v>73</v>
      </c>
      <c r="B1171" s="42">
        <v>719.9</v>
      </c>
      <c r="C1171" s="43">
        <v>0.13</v>
      </c>
      <c r="D1171" s="45">
        <v>45962</v>
      </c>
      <c r="E1171" s="45">
        <v>45991.999305555553</v>
      </c>
      <c r="F1171" s="42" t="s">
        <v>625</v>
      </c>
    </row>
    <row r="1172" spans="1:6" x14ac:dyDescent="0.35">
      <c r="A1172" s="42" t="s">
        <v>30</v>
      </c>
      <c r="B1172" s="42">
        <v>819.9</v>
      </c>
      <c r="C1172" s="43">
        <v>0.13</v>
      </c>
      <c r="D1172" s="45">
        <v>45962</v>
      </c>
      <c r="E1172" s="45">
        <v>45991.999305555553</v>
      </c>
      <c r="F1172" s="42" t="s">
        <v>625</v>
      </c>
    </row>
    <row r="1173" spans="1:6" x14ac:dyDescent="0.35">
      <c r="A1173" s="42" t="s">
        <v>35</v>
      </c>
      <c r="B1173" s="42">
        <v>1519.9</v>
      </c>
      <c r="C1173" s="43">
        <v>0.13</v>
      </c>
      <c r="D1173" s="45">
        <v>45962</v>
      </c>
      <c r="E1173" s="45">
        <v>45991.999305555553</v>
      </c>
      <c r="F1173" s="42" t="s">
        <v>625</v>
      </c>
    </row>
    <row r="1174" spans="1:6" x14ac:dyDescent="0.35">
      <c r="A1174" s="42" t="s">
        <v>550</v>
      </c>
      <c r="B1174" s="42">
        <v>749.9</v>
      </c>
      <c r="C1174" s="43">
        <v>0.13</v>
      </c>
      <c r="D1174" s="45">
        <v>45962</v>
      </c>
      <c r="E1174" s="45">
        <v>45991.999305555553</v>
      </c>
      <c r="F1174" s="42" t="s">
        <v>625</v>
      </c>
    </row>
    <row r="1175" spans="1:6" x14ac:dyDescent="0.35">
      <c r="A1175" s="42" t="s">
        <v>628</v>
      </c>
      <c r="B1175" s="42">
        <v>749.9</v>
      </c>
      <c r="C1175" s="43">
        <v>0.13</v>
      </c>
      <c r="D1175" s="45">
        <v>45962</v>
      </c>
      <c r="E1175" s="45">
        <v>45991.999305555553</v>
      </c>
      <c r="F1175" s="42" t="s">
        <v>625</v>
      </c>
    </row>
    <row r="1176" spans="1:6" x14ac:dyDescent="0.35">
      <c r="A1176" s="42" t="s">
        <v>55</v>
      </c>
      <c r="B1176" s="42">
        <v>749.9</v>
      </c>
      <c r="C1176" s="43">
        <v>0.13</v>
      </c>
      <c r="D1176" s="45">
        <v>45962</v>
      </c>
      <c r="E1176" s="45">
        <v>45991.999305555553</v>
      </c>
      <c r="F1176" s="42" t="s">
        <v>625</v>
      </c>
    </row>
    <row r="1177" spans="1:6" x14ac:dyDescent="0.35">
      <c r="A1177" s="42" t="s">
        <v>639</v>
      </c>
      <c r="B1177" s="42">
        <v>1159.9000000000001</v>
      </c>
      <c r="C1177" s="43">
        <v>0.13</v>
      </c>
      <c r="D1177" s="45">
        <v>45962</v>
      </c>
      <c r="E1177" s="45">
        <v>45991.999305555553</v>
      </c>
      <c r="F1177" s="42" t="s">
        <v>625</v>
      </c>
    </row>
    <row r="1178" spans="1:6" x14ac:dyDescent="0.35">
      <c r="A1178" s="42" t="s">
        <v>504</v>
      </c>
      <c r="B1178" s="42">
        <v>1259.9000000000001</v>
      </c>
      <c r="C1178" s="43">
        <v>0.13</v>
      </c>
      <c r="D1178" s="45">
        <v>45962</v>
      </c>
      <c r="E1178" s="45">
        <v>45991.999305555553</v>
      </c>
      <c r="F1178" s="42" t="s">
        <v>625</v>
      </c>
    </row>
    <row r="1179" spans="1:6" x14ac:dyDescent="0.35">
      <c r="A1179" s="42" t="s">
        <v>606</v>
      </c>
      <c r="B1179" s="42">
        <v>1259.9000000000001</v>
      </c>
      <c r="C1179" s="43">
        <v>0.13</v>
      </c>
      <c r="D1179" s="45">
        <v>45962</v>
      </c>
      <c r="E1179" s="45">
        <v>45991.999305555553</v>
      </c>
      <c r="F1179" s="42" t="s">
        <v>625</v>
      </c>
    </row>
    <row r="1180" spans="1:6" x14ac:dyDescent="0.35">
      <c r="A1180" s="42" t="s">
        <v>547</v>
      </c>
      <c r="B1180" s="42">
        <v>239.9</v>
      </c>
      <c r="C1180" s="43">
        <v>0.13</v>
      </c>
      <c r="D1180" s="45">
        <v>45962</v>
      </c>
      <c r="E1180" s="45">
        <v>45991.999305555553</v>
      </c>
      <c r="F1180" s="42" t="s">
        <v>625</v>
      </c>
    </row>
    <row r="1181" spans="1:6" x14ac:dyDescent="0.35">
      <c r="A1181" s="42" t="s">
        <v>629</v>
      </c>
      <c r="B1181" s="42">
        <v>449.9</v>
      </c>
      <c r="C1181" s="43">
        <v>0.13</v>
      </c>
      <c r="D1181" s="45">
        <v>45962</v>
      </c>
      <c r="E1181" s="45">
        <v>45991.999305555553</v>
      </c>
      <c r="F1181" s="42" t="s">
        <v>625</v>
      </c>
    </row>
    <row r="1182" spans="1:6" x14ac:dyDescent="0.35">
      <c r="A1182" s="42" t="s">
        <v>100</v>
      </c>
      <c r="B1182" s="42">
        <v>559.9</v>
      </c>
      <c r="C1182" s="43">
        <v>0.13</v>
      </c>
      <c r="D1182" s="45">
        <v>45962</v>
      </c>
      <c r="E1182" s="45">
        <v>45991.999305555553</v>
      </c>
      <c r="F1182" s="42" t="s">
        <v>625</v>
      </c>
    </row>
    <row r="1183" spans="1:6" x14ac:dyDescent="0.35">
      <c r="A1183" s="42" t="s">
        <v>602</v>
      </c>
      <c r="B1183" s="42">
        <v>559.9</v>
      </c>
      <c r="C1183" s="43">
        <v>0.13</v>
      </c>
      <c r="D1183" s="45">
        <v>45962</v>
      </c>
      <c r="E1183" s="45">
        <v>45991.999305555553</v>
      </c>
      <c r="F1183" s="42" t="s">
        <v>625</v>
      </c>
    </row>
    <row r="1184" spans="1:6" x14ac:dyDescent="0.35">
      <c r="A1184" s="42" t="s">
        <v>630</v>
      </c>
      <c r="B1184" s="42">
        <v>559.9</v>
      </c>
      <c r="C1184" s="43">
        <v>0.13</v>
      </c>
      <c r="D1184" s="45">
        <v>45962</v>
      </c>
      <c r="E1184" s="45">
        <v>45991.999305555553</v>
      </c>
      <c r="F1184" s="42" t="s">
        <v>625</v>
      </c>
    </row>
    <row r="1185" spans="1:6" x14ac:dyDescent="0.35">
      <c r="A1185" s="42" t="s">
        <v>636</v>
      </c>
      <c r="B1185" s="42">
        <v>559.9</v>
      </c>
      <c r="C1185" s="43">
        <v>0.13</v>
      </c>
      <c r="D1185" s="45">
        <v>45962</v>
      </c>
      <c r="E1185" s="45">
        <v>45991.999305555553</v>
      </c>
      <c r="F1185" s="42" t="s">
        <v>625</v>
      </c>
    </row>
    <row r="1186" spans="1:6" x14ac:dyDescent="0.35">
      <c r="A1186" s="42" t="s">
        <v>88</v>
      </c>
      <c r="B1186" s="42">
        <v>1189.9000000000001</v>
      </c>
      <c r="C1186" s="43">
        <v>0.13</v>
      </c>
      <c r="D1186" s="45">
        <v>45962</v>
      </c>
      <c r="E1186" s="45">
        <v>45991.999305555553</v>
      </c>
      <c r="F1186" s="42" t="s">
        <v>625</v>
      </c>
    </row>
    <row r="1187" spans="1:6" x14ac:dyDescent="0.35">
      <c r="A1187" s="42" t="s">
        <v>634</v>
      </c>
      <c r="B1187" s="42">
        <v>2139.9</v>
      </c>
      <c r="C1187" s="43">
        <v>0.13</v>
      </c>
      <c r="D1187" s="45">
        <v>45962</v>
      </c>
      <c r="E1187" s="45">
        <v>45991.999305555553</v>
      </c>
      <c r="F1187" s="42" t="s">
        <v>625</v>
      </c>
    </row>
    <row r="1188" spans="1:6" x14ac:dyDescent="0.35">
      <c r="A1188" s="42" t="s">
        <v>627</v>
      </c>
      <c r="B1188" s="42">
        <v>769.9</v>
      </c>
      <c r="C1188" s="43">
        <v>0.13</v>
      </c>
      <c r="D1188" s="45">
        <v>45962</v>
      </c>
      <c r="E1188" s="45">
        <v>45991.999305555553</v>
      </c>
      <c r="F1188" s="42" t="s">
        <v>625</v>
      </c>
    </row>
    <row r="1189" spans="1:6" x14ac:dyDescent="0.35">
      <c r="A1189" s="42" t="s">
        <v>8</v>
      </c>
      <c r="B1189" s="42">
        <v>379.9</v>
      </c>
      <c r="C1189" s="43">
        <v>0.13</v>
      </c>
      <c r="D1189" s="45">
        <v>45962</v>
      </c>
      <c r="E1189" s="45">
        <v>45991.999305555553</v>
      </c>
      <c r="F1189" s="42" t="s">
        <v>625</v>
      </c>
    </row>
    <row r="1190" spans="1:6" x14ac:dyDescent="0.35">
      <c r="A1190" s="42" t="s">
        <v>460</v>
      </c>
      <c r="B1190" s="42">
        <v>1399.9</v>
      </c>
      <c r="C1190" s="43">
        <v>0.13</v>
      </c>
      <c r="D1190" s="45">
        <v>45962</v>
      </c>
      <c r="E1190" s="45">
        <v>45991.999305555553</v>
      </c>
      <c r="F1190" s="42" t="s">
        <v>625</v>
      </c>
    </row>
    <row r="1191" spans="1:6" x14ac:dyDescent="0.35">
      <c r="A1191" s="42" t="s">
        <v>45</v>
      </c>
      <c r="B1191" s="42">
        <v>459.9</v>
      </c>
      <c r="C1191" s="43">
        <v>0.13</v>
      </c>
      <c r="D1191" s="45">
        <v>45962</v>
      </c>
      <c r="E1191" s="45">
        <v>45991.999305555553</v>
      </c>
      <c r="F1191" s="42" t="s">
        <v>625</v>
      </c>
    </row>
    <row r="1192" spans="1:6" x14ac:dyDescent="0.35">
      <c r="A1192" s="42" t="s">
        <v>549</v>
      </c>
      <c r="B1192" s="42">
        <v>419.9</v>
      </c>
      <c r="C1192" s="43">
        <v>0.13</v>
      </c>
      <c r="D1192" s="45">
        <v>45962</v>
      </c>
      <c r="E1192" s="45">
        <v>45991.999305555553</v>
      </c>
      <c r="F1192" s="42" t="s">
        <v>625</v>
      </c>
    </row>
    <row r="1193" spans="1:6" x14ac:dyDescent="0.35">
      <c r="A1193" s="42" t="s">
        <v>578</v>
      </c>
      <c r="B1193" s="42">
        <v>459.9</v>
      </c>
      <c r="C1193" s="43">
        <v>0.13</v>
      </c>
      <c r="D1193" s="45">
        <v>45962</v>
      </c>
      <c r="E1193" s="45">
        <v>45991.999305555553</v>
      </c>
      <c r="F1193" s="42" t="s">
        <v>625</v>
      </c>
    </row>
    <row r="1194" spans="1:6" x14ac:dyDescent="0.35">
      <c r="A1194" s="42" t="s">
        <v>632</v>
      </c>
      <c r="B1194" s="42">
        <v>2679.9</v>
      </c>
      <c r="C1194" s="43">
        <v>0.13</v>
      </c>
      <c r="D1194" s="45">
        <v>45962</v>
      </c>
      <c r="E1194" s="45">
        <v>45991.999305555553</v>
      </c>
      <c r="F1194" s="42" t="s">
        <v>625</v>
      </c>
    </row>
    <row r="1195" spans="1:6" x14ac:dyDescent="0.35">
      <c r="A1195" s="42" t="s">
        <v>633</v>
      </c>
      <c r="B1195" s="42">
        <v>589.9</v>
      </c>
      <c r="C1195" s="43">
        <v>0.13</v>
      </c>
      <c r="D1195" s="45">
        <v>45962</v>
      </c>
      <c r="E1195" s="45">
        <v>45991.999305555553</v>
      </c>
      <c r="F1195" s="42" t="s">
        <v>625</v>
      </c>
    </row>
    <row r="1196" spans="1:6" x14ac:dyDescent="0.35">
      <c r="A1196" s="42" t="s">
        <v>11</v>
      </c>
      <c r="B1196" s="42">
        <v>379.9</v>
      </c>
      <c r="C1196" s="43">
        <v>0.13</v>
      </c>
      <c r="D1196" s="45">
        <v>45962</v>
      </c>
      <c r="E1196" s="45">
        <v>45991.999305555553</v>
      </c>
      <c r="F1196" s="42" t="s">
        <v>625</v>
      </c>
    </row>
    <row r="1197" spans="1:6" x14ac:dyDescent="0.35">
      <c r="A1197" s="42" t="s">
        <v>637</v>
      </c>
      <c r="B1197" s="42">
        <v>689.9</v>
      </c>
      <c r="C1197" s="43">
        <v>0.13</v>
      </c>
      <c r="D1197" s="45">
        <v>45962</v>
      </c>
      <c r="E1197" s="45">
        <v>45991.999305555553</v>
      </c>
      <c r="F1197" s="42" t="s">
        <v>625</v>
      </c>
    </row>
    <row r="1198" spans="1:6" x14ac:dyDescent="0.35">
      <c r="A1198" s="42" t="s">
        <v>638</v>
      </c>
      <c r="B1198" s="42">
        <v>259.89999999999998</v>
      </c>
      <c r="C1198" s="43">
        <v>0.13</v>
      </c>
      <c r="D1198" s="45">
        <v>45962</v>
      </c>
      <c r="E1198" s="45">
        <v>45991.999305555553</v>
      </c>
      <c r="F1198" s="42" t="s">
        <v>625</v>
      </c>
    </row>
    <row r="1199" spans="1:6" x14ac:dyDescent="0.35">
      <c r="A1199" s="42" t="s">
        <v>640</v>
      </c>
      <c r="B1199" s="42">
        <v>1199.9000000000001</v>
      </c>
      <c r="C1199" s="43">
        <v>0.13</v>
      </c>
      <c r="D1199" s="45">
        <v>45962</v>
      </c>
      <c r="E1199" s="45">
        <v>45991.999305555553</v>
      </c>
      <c r="F1199" s="42" t="s">
        <v>625</v>
      </c>
    </row>
    <row r="1200" spans="1:6" x14ac:dyDescent="0.35">
      <c r="A1200" s="42" t="s">
        <v>37</v>
      </c>
      <c r="B1200" s="42">
        <v>1479.9</v>
      </c>
      <c r="C1200" s="43">
        <v>0.13</v>
      </c>
      <c r="D1200" s="45">
        <v>45962</v>
      </c>
      <c r="E1200" s="45">
        <v>45991.999305555553</v>
      </c>
      <c r="F1200" s="42" t="s">
        <v>625</v>
      </c>
    </row>
    <row r="1201" spans="1:6" x14ac:dyDescent="0.35">
      <c r="A1201" s="42" t="s">
        <v>327</v>
      </c>
      <c r="B1201" s="42">
        <v>2369.9</v>
      </c>
      <c r="C1201" s="43">
        <v>0.13</v>
      </c>
      <c r="D1201" s="45">
        <v>45962</v>
      </c>
      <c r="E1201" s="45">
        <v>45991.999305555553</v>
      </c>
      <c r="F1201" s="42" t="s">
        <v>625</v>
      </c>
    </row>
    <row r="1202" spans="1:6" x14ac:dyDescent="0.35">
      <c r="A1202" s="42" t="s">
        <v>641</v>
      </c>
      <c r="B1202" s="42">
        <v>1799.9</v>
      </c>
      <c r="C1202" s="43">
        <v>0.13</v>
      </c>
      <c r="D1202" s="45">
        <v>45962</v>
      </c>
      <c r="E1202" s="45">
        <v>45991.999305555553</v>
      </c>
      <c r="F1202" s="42" t="s">
        <v>625</v>
      </c>
    </row>
    <row r="1203" spans="1:6" x14ac:dyDescent="0.35">
      <c r="A1203" s="42" t="s">
        <v>401</v>
      </c>
      <c r="B1203" s="42">
        <v>1439.9</v>
      </c>
      <c r="C1203" s="43">
        <v>0.13</v>
      </c>
      <c r="D1203" s="45">
        <v>45962</v>
      </c>
      <c r="E1203" s="45">
        <v>45991.999305555553</v>
      </c>
      <c r="F1203" s="42" t="s">
        <v>625</v>
      </c>
    </row>
    <row r="1204" spans="1:6" x14ac:dyDescent="0.35">
      <c r="A1204" s="42" t="s">
        <v>642</v>
      </c>
      <c r="B1204" s="42">
        <v>1199.9000000000001</v>
      </c>
      <c r="C1204" s="43">
        <v>0.13</v>
      </c>
      <c r="D1204" s="45">
        <v>45962</v>
      </c>
      <c r="E1204" s="45">
        <v>45991.999305555553</v>
      </c>
      <c r="F1204" s="42" t="s">
        <v>625</v>
      </c>
    </row>
    <row r="1205" spans="1:6" x14ac:dyDescent="0.35">
      <c r="A1205" s="42" t="s">
        <v>23</v>
      </c>
      <c r="B1205" s="42">
        <v>459.9</v>
      </c>
      <c r="C1205" s="43">
        <v>0.13</v>
      </c>
      <c r="D1205" s="45">
        <v>45962</v>
      </c>
      <c r="E1205" s="45">
        <v>45991.999305555553</v>
      </c>
      <c r="F1205" s="42" t="s">
        <v>625</v>
      </c>
    </row>
    <row r="1206" spans="1:6" x14ac:dyDescent="0.35">
      <c r="A1206" s="42" t="s">
        <v>631</v>
      </c>
      <c r="B1206" s="42">
        <v>429.9</v>
      </c>
      <c r="C1206" s="43">
        <v>0.15</v>
      </c>
      <c r="D1206" s="45">
        <v>45962</v>
      </c>
      <c r="E1206" s="45">
        <v>45991.999305555553</v>
      </c>
      <c r="F1206" s="42" t="s">
        <v>625</v>
      </c>
    </row>
    <row r="1207" spans="1:6" x14ac:dyDescent="0.35">
      <c r="A1207" s="42" t="s">
        <v>524</v>
      </c>
      <c r="B1207" s="42">
        <v>639.9</v>
      </c>
      <c r="C1207" s="43">
        <v>0.15</v>
      </c>
      <c r="D1207" s="45">
        <v>45962</v>
      </c>
      <c r="E1207" s="45">
        <v>45991.999305555553</v>
      </c>
      <c r="F1207" s="42" t="s">
        <v>625</v>
      </c>
    </row>
    <row r="1208" spans="1:6" x14ac:dyDescent="0.35">
      <c r="A1208" s="42" t="s">
        <v>616</v>
      </c>
      <c r="B1208" s="42">
        <v>639.9</v>
      </c>
      <c r="C1208" s="43">
        <v>0.15</v>
      </c>
      <c r="D1208" s="45">
        <v>45962</v>
      </c>
      <c r="E1208" s="45">
        <v>45991.999305555553</v>
      </c>
      <c r="F1208" s="42" t="s">
        <v>625</v>
      </c>
    </row>
    <row r="1209" spans="1:6" x14ac:dyDescent="0.35">
      <c r="A1209" s="42" t="s">
        <v>626</v>
      </c>
      <c r="B1209" s="42">
        <v>739.9</v>
      </c>
      <c r="C1209" s="43">
        <v>0.15</v>
      </c>
      <c r="D1209" s="45">
        <v>45962</v>
      </c>
      <c r="E1209" s="45">
        <v>45991.999305555553</v>
      </c>
      <c r="F1209" s="42" t="s">
        <v>625</v>
      </c>
    </row>
    <row r="1210" spans="1:6" x14ac:dyDescent="0.35">
      <c r="A1210" s="42" t="s">
        <v>635</v>
      </c>
      <c r="B1210" s="42">
        <v>739.9</v>
      </c>
      <c r="C1210" s="43">
        <v>0.15</v>
      </c>
      <c r="D1210" s="45">
        <v>45962</v>
      </c>
      <c r="E1210" s="45">
        <v>45991.999305555553</v>
      </c>
      <c r="F1210" s="42" t="s">
        <v>625</v>
      </c>
    </row>
    <row r="1211" spans="1:6" x14ac:dyDescent="0.35">
      <c r="A1211" s="42" t="s">
        <v>73</v>
      </c>
      <c r="B1211" s="42">
        <v>739.9</v>
      </c>
      <c r="C1211" s="43">
        <v>0.15</v>
      </c>
      <c r="D1211" s="45">
        <v>45962</v>
      </c>
      <c r="E1211" s="45">
        <v>45991.999305555553</v>
      </c>
      <c r="F1211" s="42" t="s">
        <v>625</v>
      </c>
    </row>
    <row r="1212" spans="1:6" x14ac:dyDescent="0.35">
      <c r="A1212" s="42" t="s">
        <v>30</v>
      </c>
      <c r="B1212" s="42">
        <v>839.9</v>
      </c>
      <c r="C1212" s="43">
        <v>0.15</v>
      </c>
      <c r="D1212" s="45">
        <v>45962</v>
      </c>
      <c r="E1212" s="45">
        <v>45991.999305555553</v>
      </c>
      <c r="F1212" s="42" t="s">
        <v>625</v>
      </c>
    </row>
    <row r="1213" spans="1:6" x14ac:dyDescent="0.35">
      <c r="A1213" s="42" t="s">
        <v>35</v>
      </c>
      <c r="B1213" s="42">
        <v>1559.9</v>
      </c>
      <c r="C1213" s="43">
        <v>0.15</v>
      </c>
      <c r="D1213" s="45">
        <v>45962</v>
      </c>
      <c r="E1213" s="45">
        <v>45991.999305555553</v>
      </c>
      <c r="F1213" s="42" t="s">
        <v>625</v>
      </c>
    </row>
    <row r="1214" spans="1:6" x14ac:dyDescent="0.35">
      <c r="A1214" s="42" t="s">
        <v>550</v>
      </c>
      <c r="B1214" s="42">
        <v>769.9</v>
      </c>
      <c r="C1214" s="43">
        <v>0.15</v>
      </c>
      <c r="D1214" s="45">
        <v>45962</v>
      </c>
      <c r="E1214" s="45">
        <v>45991.999305555553</v>
      </c>
      <c r="F1214" s="42" t="s">
        <v>625</v>
      </c>
    </row>
    <row r="1215" spans="1:6" x14ac:dyDescent="0.35">
      <c r="A1215" s="42" t="s">
        <v>628</v>
      </c>
      <c r="B1215" s="42">
        <v>769.9</v>
      </c>
      <c r="C1215" s="43">
        <v>0.15</v>
      </c>
      <c r="D1215" s="45">
        <v>45962</v>
      </c>
      <c r="E1215" s="45">
        <v>45991.999305555553</v>
      </c>
      <c r="F1215" s="42" t="s">
        <v>625</v>
      </c>
    </row>
    <row r="1216" spans="1:6" x14ac:dyDescent="0.35">
      <c r="A1216" s="42" t="s">
        <v>55</v>
      </c>
      <c r="B1216" s="42">
        <v>769.9</v>
      </c>
      <c r="C1216" s="43">
        <v>0.15</v>
      </c>
      <c r="D1216" s="45">
        <v>45962</v>
      </c>
      <c r="E1216" s="45">
        <v>45991.999305555553</v>
      </c>
      <c r="F1216" s="42" t="s">
        <v>625</v>
      </c>
    </row>
    <row r="1217" spans="1:6" x14ac:dyDescent="0.35">
      <c r="A1217" s="42" t="s">
        <v>639</v>
      </c>
      <c r="B1217" s="42">
        <v>1189.9000000000001</v>
      </c>
      <c r="C1217" s="43">
        <v>0.15</v>
      </c>
      <c r="D1217" s="45">
        <v>45962</v>
      </c>
      <c r="E1217" s="45">
        <v>45991.999305555553</v>
      </c>
      <c r="F1217" s="42" t="s">
        <v>625</v>
      </c>
    </row>
    <row r="1218" spans="1:6" x14ac:dyDescent="0.35">
      <c r="A1218" s="42" t="s">
        <v>504</v>
      </c>
      <c r="B1218" s="42">
        <v>1289.9000000000001</v>
      </c>
      <c r="C1218" s="43">
        <v>0.15</v>
      </c>
      <c r="D1218" s="45">
        <v>45962</v>
      </c>
      <c r="E1218" s="45">
        <v>45991.999305555553</v>
      </c>
      <c r="F1218" s="42" t="s">
        <v>625</v>
      </c>
    </row>
    <row r="1219" spans="1:6" x14ac:dyDescent="0.35">
      <c r="A1219" s="42" t="s">
        <v>606</v>
      </c>
      <c r="B1219" s="42">
        <v>1289.9000000000001</v>
      </c>
      <c r="C1219" s="43">
        <v>0.15</v>
      </c>
      <c r="D1219" s="45">
        <v>45962</v>
      </c>
      <c r="E1219" s="45">
        <v>45991.999305555553</v>
      </c>
      <c r="F1219" s="42" t="s">
        <v>625</v>
      </c>
    </row>
    <row r="1220" spans="1:6" x14ac:dyDescent="0.35">
      <c r="A1220" s="42" t="s">
        <v>547</v>
      </c>
      <c r="B1220" s="42">
        <v>249.9</v>
      </c>
      <c r="C1220" s="43">
        <v>0.15</v>
      </c>
      <c r="D1220" s="45">
        <v>45962</v>
      </c>
      <c r="E1220" s="45">
        <v>45991.999305555553</v>
      </c>
      <c r="F1220" s="42" t="s">
        <v>625</v>
      </c>
    </row>
    <row r="1221" spans="1:6" x14ac:dyDescent="0.35">
      <c r="A1221" s="42" t="s">
        <v>629</v>
      </c>
      <c r="B1221" s="42">
        <v>459.9</v>
      </c>
      <c r="C1221" s="43">
        <v>0.15</v>
      </c>
      <c r="D1221" s="45">
        <v>45962</v>
      </c>
      <c r="E1221" s="45">
        <v>45991.999305555553</v>
      </c>
      <c r="F1221" s="42" t="s">
        <v>625</v>
      </c>
    </row>
    <row r="1222" spans="1:6" x14ac:dyDescent="0.35">
      <c r="A1222" s="42" t="s">
        <v>100</v>
      </c>
      <c r="B1222" s="42">
        <v>579.9</v>
      </c>
      <c r="C1222" s="43">
        <v>0.15</v>
      </c>
      <c r="D1222" s="45">
        <v>45962</v>
      </c>
      <c r="E1222" s="45">
        <v>45991.999305555553</v>
      </c>
      <c r="F1222" s="42" t="s">
        <v>625</v>
      </c>
    </row>
    <row r="1223" spans="1:6" x14ac:dyDescent="0.35">
      <c r="A1223" s="42" t="s">
        <v>602</v>
      </c>
      <c r="B1223" s="42">
        <v>579.9</v>
      </c>
      <c r="C1223" s="43">
        <v>0.15</v>
      </c>
      <c r="D1223" s="45">
        <v>45962</v>
      </c>
      <c r="E1223" s="45">
        <v>45991.999305555553</v>
      </c>
      <c r="F1223" s="42" t="s">
        <v>625</v>
      </c>
    </row>
    <row r="1224" spans="1:6" x14ac:dyDescent="0.35">
      <c r="A1224" s="42" t="s">
        <v>630</v>
      </c>
      <c r="B1224" s="42">
        <v>579.9</v>
      </c>
      <c r="C1224" s="43">
        <v>0.15</v>
      </c>
      <c r="D1224" s="45">
        <v>45962</v>
      </c>
      <c r="E1224" s="45">
        <v>45991.999305555553</v>
      </c>
      <c r="F1224" s="42" t="s">
        <v>625</v>
      </c>
    </row>
    <row r="1225" spans="1:6" x14ac:dyDescent="0.35">
      <c r="A1225" s="42" t="s">
        <v>636</v>
      </c>
      <c r="B1225" s="42">
        <v>579.9</v>
      </c>
      <c r="C1225" s="43">
        <v>0.15</v>
      </c>
      <c r="D1225" s="45">
        <v>45962</v>
      </c>
      <c r="E1225" s="45">
        <v>45991.999305555553</v>
      </c>
      <c r="F1225" s="42" t="s">
        <v>625</v>
      </c>
    </row>
    <row r="1226" spans="1:6" x14ac:dyDescent="0.35">
      <c r="A1226" s="42" t="s">
        <v>88</v>
      </c>
      <c r="B1226" s="42">
        <v>1219.9000000000001</v>
      </c>
      <c r="C1226" s="43">
        <v>0.15</v>
      </c>
      <c r="D1226" s="45">
        <v>45962</v>
      </c>
      <c r="E1226" s="45">
        <v>45991.999305555553</v>
      </c>
      <c r="F1226" s="42" t="s">
        <v>625</v>
      </c>
    </row>
    <row r="1227" spans="1:6" x14ac:dyDescent="0.35">
      <c r="A1227" s="42" t="s">
        <v>634</v>
      </c>
      <c r="B1227" s="42">
        <v>2189.9</v>
      </c>
      <c r="C1227" s="43">
        <v>0.15</v>
      </c>
      <c r="D1227" s="45">
        <v>45962</v>
      </c>
      <c r="E1227" s="45">
        <v>45991.999305555553</v>
      </c>
      <c r="F1227" s="42" t="s">
        <v>625</v>
      </c>
    </row>
    <row r="1228" spans="1:6" x14ac:dyDescent="0.35">
      <c r="A1228" s="42" t="s">
        <v>627</v>
      </c>
      <c r="B1228" s="42">
        <v>789.9</v>
      </c>
      <c r="C1228" s="43">
        <v>0.15</v>
      </c>
      <c r="D1228" s="45">
        <v>45962</v>
      </c>
      <c r="E1228" s="45">
        <v>45991.999305555553</v>
      </c>
      <c r="F1228" s="42" t="s">
        <v>625</v>
      </c>
    </row>
    <row r="1229" spans="1:6" x14ac:dyDescent="0.35">
      <c r="A1229" s="42" t="s">
        <v>8</v>
      </c>
      <c r="B1229" s="42">
        <v>389.9</v>
      </c>
      <c r="C1229" s="43">
        <v>0.15</v>
      </c>
      <c r="D1229" s="45">
        <v>45962</v>
      </c>
      <c r="E1229" s="45">
        <v>45991.999305555553</v>
      </c>
      <c r="F1229" s="42" t="s">
        <v>625</v>
      </c>
    </row>
    <row r="1230" spans="1:6" x14ac:dyDescent="0.35">
      <c r="A1230" s="42" t="s">
        <v>460</v>
      </c>
      <c r="B1230" s="42">
        <v>1429.9</v>
      </c>
      <c r="C1230" s="43">
        <v>0.15</v>
      </c>
      <c r="D1230" s="45">
        <v>45962</v>
      </c>
      <c r="E1230" s="45">
        <v>45991.999305555553</v>
      </c>
      <c r="F1230" s="42" t="s">
        <v>625</v>
      </c>
    </row>
    <row r="1231" spans="1:6" x14ac:dyDescent="0.35">
      <c r="A1231" s="42" t="s">
        <v>45</v>
      </c>
      <c r="B1231" s="42">
        <v>469.9</v>
      </c>
      <c r="C1231" s="43">
        <v>0.15</v>
      </c>
      <c r="D1231" s="45">
        <v>45962</v>
      </c>
      <c r="E1231" s="45">
        <v>45991.999305555553</v>
      </c>
      <c r="F1231" s="42" t="s">
        <v>625</v>
      </c>
    </row>
    <row r="1232" spans="1:6" x14ac:dyDescent="0.35">
      <c r="A1232" s="42" t="s">
        <v>549</v>
      </c>
      <c r="B1232" s="42">
        <v>429.9</v>
      </c>
      <c r="C1232" s="43">
        <v>0.15</v>
      </c>
      <c r="D1232" s="45">
        <v>45962</v>
      </c>
      <c r="E1232" s="45">
        <v>45991.999305555553</v>
      </c>
      <c r="F1232" s="42" t="s">
        <v>625</v>
      </c>
    </row>
    <row r="1233" spans="1:6" x14ac:dyDescent="0.35">
      <c r="A1233" s="42" t="s">
        <v>578</v>
      </c>
      <c r="B1233" s="42">
        <v>469.9</v>
      </c>
      <c r="C1233" s="43">
        <v>0.15</v>
      </c>
      <c r="D1233" s="45">
        <v>45962</v>
      </c>
      <c r="E1233" s="45">
        <v>45991.999305555553</v>
      </c>
      <c r="F1233" s="42" t="s">
        <v>625</v>
      </c>
    </row>
    <row r="1234" spans="1:6" x14ac:dyDescent="0.35">
      <c r="A1234" s="42" t="s">
        <v>632</v>
      </c>
      <c r="B1234" s="42">
        <v>2739.9</v>
      </c>
      <c r="C1234" s="43">
        <v>0.15</v>
      </c>
      <c r="D1234" s="45">
        <v>45962</v>
      </c>
      <c r="E1234" s="45">
        <v>45991.999305555553</v>
      </c>
      <c r="F1234" s="42" t="s">
        <v>625</v>
      </c>
    </row>
    <row r="1235" spans="1:6" x14ac:dyDescent="0.35">
      <c r="A1235" s="42" t="s">
        <v>633</v>
      </c>
      <c r="B1235" s="42">
        <v>619.9</v>
      </c>
      <c r="C1235" s="43">
        <v>0.15</v>
      </c>
      <c r="D1235" s="45">
        <v>45962</v>
      </c>
      <c r="E1235" s="45">
        <v>45991.999305555553</v>
      </c>
      <c r="F1235" s="42" t="s">
        <v>625</v>
      </c>
    </row>
    <row r="1236" spans="1:6" x14ac:dyDescent="0.35">
      <c r="A1236" s="42" t="s">
        <v>11</v>
      </c>
      <c r="B1236" s="42">
        <v>389.9</v>
      </c>
      <c r="C1236" s="43">
        <v>0.15</v>
      </c>
      <c r="D1236" s="45">
        <v>45962</v>
      </c>
      <c r="E1236" s="45">
        <v>45991.999305555553</v>
      </c>
      <c r="F1236" s="42" t="s">
        <v>625</v>
      </c>
    </row>
    <row r="1237" spans="1:6" x14ac:dyDescent="0.35">
      <c r="A1237" s="42" t="s">
        <v>637</v>
      </c>
      <c r="B1237" s="42">
        <v>719.9</v>
      </c>
      <c r="C1237" s="43">
        <v>0.15</v>
      </c>
      <c r="D1237" s="45">
        <v>45962</v>
      </c>
      <c r="E1237" s="45">
        <v>45991.999305555553</v>
      </c>
      <c r="F1237" s="42" t="s">
        <v>625</v>
      </c>
    </row>
    <row r="1238" spans="1:6" x14ac:dyDescent="0.35">
      <c r="A1238" s="42" t="s">
        <v>638</v>
      </c>
      <c r="B1238" s="42">
        <v>269.89999999999998</v>
      </c>
      <c r="C1238" s="43">
        <v>0.15</v>
      </c>
      <c r="D1238" s="45">
        <v>45962</v>
      </c>
      <c r="E1238" s="45">
        <v>45991.999305555553</v>
      </c>
      <c r="F1238" s="42" t="s">
        <v>625</v>
      </c>
    </row>
    <row r="1239" spans="1:6" x14ac:dyDescent="0.35">
      <c r="A1239" s="42" t="s">
        <v>640</v>
      </c>
      <c r="B1239" s="42">
        <v>1229.9000000000001</v>
      </c>
      <c r="C1239" s="43">
        <v>0.15</v>
      </c>
      <c r="D1239" s="45">
        <v>45962</v>
      </c>
      <c r="E1239" s="45">
        <v>45991.999305555553</v>
      </c>
      <c r="F1239" s="42" t="s">
        <v>625</v>
      </c>
    </row>
    <row r="1240" spans="1:6" x14ac:dyDescent="0.35">
      <c r="A1240" s="42" t="s">
        <v>37</v>
      </c>
      <c r="B1240" s="42">
        <v>1519.9</v>
      </c>
      <c r="C1240" s="43">
        <v>0.15</v>
      </c>
      <c r="D1240" s="45">
        <v>45962</v>
      </c>
      <c r="E1240" s="45">
        <v>45991.999305555553</v>
      </c>
      <c r="F1240" s="42" t="s">
        <v>625</v>
      </c>
    </row>
    <row r="1241" spans="1:6" x14ac:dyDescent="0.35">
      <c r="A1241" s="42" t="s">
        <v>327</v>
      </c>
      <c r="B1241" s="42">
        <v>2419.9</v>
      </c>
      <c r="C1241" s="43">
        <v>0.15</v>
      </c>
      <c r="D1241" s="45">
        <v>45962</v>
      </c>
      <c r="E1241" s="45">
        <v>45991.999305555553</v>
      </c>
      <c r="F1241" s="42" t="s">
        <v>625</v>
      </c>
    </row>
    <row r="1242" spans="1:6" x14ac:dyDescent="0.35">
      <c r="A1242" s="42" t="s">
        <v>641</v>
      </c>
      <c r="B1242" s="42">
        <v>1839.9</v>
      </c>
      <c r="C1242" s="43">
        <v>0.15</v>
      </c>
      <c r="D1242" s="45">
        <v>45962</v>
      </c>
      <c r="E1242" s="45">
        <v>45991.999305555553</v>
      </c>
      <c r="F1242" s="42" t="s">
        <v>625</v>
      </c>
    </row>
    <row r="1243" spans="1:6" x14ac:dyDescent="0.35">
      <c r="A1243" s="42" t="s">
        <v>401</v>
      </c>
      <c r="B1243" s="42">
        <v>1469.9</v>
      </c>
      <c r="C1243" s="43">
        <v>0.15</v>
      </c>
      <c r="D1243" s="45">
        <v>45962</v>
      </c>
      <c r="E1243" s="45">
        <v>45991.999305555553</v>
      </c>
      <c r="F1243" s="42" t="s">
        <v>625</v>
      </c>
    </row>
    <row r="1244" spans="1:6" x14ac:dyDescent="0.35">
      <c r="A1244" s="42" t="s">
        <v>642</v>
      </c>
      <c r="B1244" s="42">
        <v>1229.9000000000001</v>
      </c>
      <c r="C1244" s="43">
        <v>0.15</v>
      </c>
      <c r="D1244" s="45">
        <v>45962</v>
      </c>
      <c r="E1244" s="45">
        <v>45991.999305555553</v>
      </c>
      <c r="F1244" s="42" t="s">
        <v>625</v>
      </c>
    </row>
    <row r="1245" spans="1:6" x14ac:dyDescent="0.35">
      <c r="A1245" s="42" t="s">
        <v>23</v>
      </c>
      <c r="B1245" s="42">
        <v>469.9</v>
      </c>
      <c r="C1245" s="43">
        <v>0.15</v>
      </c>
      <c r="D1245" s="45">
        <v>45962</v>
      </c>
      <c r="E1245" s="45">
        <v>45991.999305555553</v>
      </c>
      <c r="F1245" s="42" t="s">
        <v>625</v>
      </c>
    </row>
    <row r="1246" spans="1:6" x14ac:dyDescent="0.35">
      <c r="A1246" s="42" t="s">
        <v>631</v>
      </c>
      <c r="B1246" s="42">
        <v>439.9</v>
      </c>
      <c r="C1246" s="43">
        <v>0.17</v>
      </c>
      <c r="D1246" s="45">
        <v>45962</v>
      </c>
      <c r="E1246" s="45">
        <v>45991.999305555553</v>
      </c>
      <c r="F1246" s="42" t="s">
        <v>625</v>
      </c>
    </row>
    <row r="1247" spans="1:6" x14ac:dyDescent="0.35">
      <c r="A1247" s="42" t="s">
        <v>524</v>
      </c>
      <c r="B1247" s="42">
        <v>659.9</v>
      </c>
      <c r="C1247" s="43">
        <v>0.17</v>
      </c>
      <c r="D1247" s="45">
        <v>45962</v>
      </c>
      <c r="E1247" s="45">
        <v>45991.999305555553</v>
      </c>
      <c r="F1247" s="42" t="s">
        <v>625</v>
      </c>
    </row>
    <row r="1248" spans="1:6" x14ac:dyDescent="0.35">
      <c r="A1248" s="42" t="s">
        <v>616</v>
      </c>
      <c r="B1248" s="42">
        <v>659.9</v>
      </c>
      <c r="C1248" s="43">
        <v>0.17</v>
      </c>
      <c r="D1248" s="45">
        <v>45962</v>
      </c>
      <c r="E1248" s="45">
        <v>45991.999305555553</v>
      </c>
      <c r="F1248" s="42" t="s">
        <v>625</v>
      </c>
    </row>
    <row r="1249" spans="1:6" x14ac:dyDescent="0.35">
      <c r="A1249" s="42" t="s">
        <v>626</v>
      </c>
      <c r="B1249" s="42">
        <v>759.9</v>
      </c>
      <c r="C1249" s="43">
        <v>0.17</v>
      </c>
      <c r="D1249" s="45">
        <v>45962</v>
      </c>
      <c r="E1249" s="45">
        <v>45991.999305555553</v>
      </c>
      <c r="F1249" s="42" t="s">
        <v>625</v>
      </c>
    </row>
    <row r="1250" spans="1:6" x14ac:dyDescent="0.35">
      <c r="A1250" s="42" t="s">
        <v>635</v>
      </c>
      <c r="B1250" s="42">
        <v>759.9</v>
      </c>
      <c r="C1250" s="43">
        <v>0.17</v>
      </c>
      <c r="D1250" s="45">
        <v>45962</v>
      </c>
      <c r="E1250" s="45">
        <v>45991.999305555553</v>
      </c>
      <c r="F1250" s="42" t="s">
        <v>625</v>
      </c>
    </row>
    <row r="1251" spans="1:6" x14ac:dyDescent="0.35">
      <c r="A1251" s="42" t="s">
        <v>73</v>
      </c>
      <c r="B1251" s="42">
        <v>759.9</v>
      </c>
      <c r="C1251" s="43">
        <v>0.17</v>
      </c>
      <c r="D1251" s="45">
        <v>45962</v>
      </c>
      <c r="E1251" s="45">
        <v>45991.999305555553</v>
      </c>
      <c r="F1251" s="42" t="s">
        <v>625</v>
      </c>
    </row>
    <row r="1252" spans="1:6" x14ac:dyDescent="0.35">
      <c r="A1252" s="42" t="s">
        <v>30</v>
      </c>
      <c r="B1252" s="42">
        <v>859.9</v>
      </c>
      <c r="C1252" s="43">
        <v>0.17</v>
      </c>
      <c r="D1252" s="45">
        <v>45962</v>
      </c>
      <c r="E1252" s="45">
        <v>45991.999305555553</v>
      </c>
      <c r="F1252" s="42" t="s">
        <v>625</v>
      </c>
    </row>
    <row r="1253" spans="1:6" x14ac:dyDescent="0.35">
      <c r="A1253" s="42" t="s">
        <v>35</v>
      </c>
      <c r="B1253" s="42">
        <v>1599.9</v>
      </c>
      <c r="C1253" s="43">
        <v>0.17</v>
      </c>
      <c r="D1253" s="45">
        <v>45962</v>
      </c>
      <c r="E1253" s="45">
        <v>45991.999305555553</v>
      </c>
      <c r="F1253" s="42" t="s">
        <v>625</v>
      </c>
    </row>
    <row r="1254" spans="1:6" x14ac:dyDescent="0.35">
      <c r="A1254" s="42" t="s">
        <v>550</v>
      </c>
      <c r="B1254" s="42">
        <v>789.9</v>
      </c>
      <c r="C1254" s="43">
        <v>0.17</v>
      </c>
      <c r="D1254" s="45">
        <v>45962</v>
      </c>
      <c r="E1254" s="45">
        <v>45991.999305555553</v>
      </c>
      <c r="F1254" s="42" t="s">
        <v>625</v>
      </c>
    </row>
    <row r="1255" spans="1:6" x14ac:dyDescent="0.35">
      <c r="A1255" s="42" t="s">
        <v>628</v>
      </c>
      <c r="B1255" s="42">
        <v>789.9</v>
      </c>
      <c r="C1255" s="43">
        <v>0.17</v>
      </c>
      <c r="D1255" s="45">
        <v>45962</v>
      </c>
      <c r="E1255" s="45">
        <v>45991.999305555553</v>
      </c>
      <c r="F1255" s="42" t="s">
        <v>625</v>
      </c>
    </row>
    <row r="1256" spans="1:6" x14ac:dyDescent="0.35">
      <c r="A1256" s="42" t="s">
        <v>55</v>
      </c>
      <c r="B1256" s="42">
        <v>789.9</v>
      </c>
      <c r="C1256" s="43">
        <v>0.17</v>
      </c>
      <c r="D1256" s="45">
        <v>45962</v>
      </c>
      <c r="E1256" s="45">
        <v>45991.999305555553</v>
      </c>
      <c r="F1256" s="42" t="s">
        <v>625</v>
      </c>
    </row>
    <row r="1257" spans="1:6" x14ac:dyDescent="0.35">
      <c r="A1257" s="42" t="s">
        <v>639</v>
      </c>
      <c r="B1257" s="42">
        <v>1219.9000000000001</v>
      </c>
      <c r="C1257" s="43">
        <v>0.17</v>
      </c>
      <c r="D1257" s="45">
        <v>45962</v>
      </c>
      <c r="E1257" s="45">
        <v>45991.999305555553</v>
      </c>
      <c r="F1257" s="42" t="s">
        <v>625</v>
      </c>
    </row>
    <row r="1258" spans="1:6" x14ac:dyDescent="0.35">
      <c r="A1258" s="42" t="s">
        <v>504</v>
      </c>
      <c r="B1258" s="42">
        <v>1319.9</v>
      </c>
      <c r="C1258" s="43">
        <v>0.17</v>
      </c>
      <c r="D1258" s="45">
        <v>45962</v>
      </c>
      <c r="E1258" s="45">
        <v>45991.999305555553</v>
      </c>
      <c r="F1258" s="42" t="s">
        <v>625</v>
      </c>
    </row>
    <row r="1259" spans="1:6" x14ac:dyDescent="0.35">
      <c r="A1259" s="42" t="s">
        <v>606</v>
      </c>
      <c r="B1259" s="42">
        <v>1319.9</v>
      </c>
      <c r="C1259" s="43">
        <v>0.17</v>
      </c>
      <c r="D1259" s="45">
        <v>45962</v>
      </c>
      <c r="E1259" s="45">
        <v>45991.999305555553</v>
      </c>
      <c r="F1259" s="42" t="s">
        <v>625</v>
      </c>
    </row>
    <row r="1260" spans="1:6" x14ac:dyDescent="0.35">
      <c r="A1260" s="42" t="s">
        <v>547</v>
      </c>
      <c r="B1260" s="42">
        <v>259.89999999999998</v>
      </c>
      <c r="C1260" s="43">
        <v>0.17</v>
      </c>
      <c r="D1260" s="45">
        <v>45962</v>
      </c>
      <c r="E1260" s="45">
        <v>45991.999305555553</v>
      </c>
      <c r="F1260" s="42" t="s">
        <v>625</v>
      </c>
    </row>
    <row r="1261" spans="1:6" x14ac:dyDescent="0.35">
      <c r="A1261" s="42" t="s">
        <v>629</v>
      </c>
      <c r="B1261" s="42">
        <v>469.9</v>
      </c>
      <c r="C1261" s="43">
        <v>0.17</v>
      </c>
      <c r="D1261" s="45">
        <v>45962</v>
      </c>
      <c r="E1261" s="45">
        <v>45991.999305555553</v>
      </c>
      <c r="F1261" s="42" t="s">
        <v>625</v>
      </c>
    </row>
    <row r="1262" spans="1:6" x14ac:dyDescent="0.35">
      <c r="A1262" s="42" t="s">
        <v>100</v>
      </c>
      <c r="B1262" s="42">
        <v>599.9</v>
      </c>
      <c r="C1262" s="43">
        <v>0.17</v>
      </c>
      <c r="D1262" s="45">
        <v>45962</v>
      </c>
      <c r="E1262" s="45">
        <v>45991.999305555553</v>
      </c>
      <c r="F1262" s="42" t="s">
        <v>625</v>
      </c>
    </row>
    <row r="1263" spans="1:6" x14ac:dyDescent="0.35">
      <c r="A1263" s="42" t="s">
        <v>602</v>
      </c>
      <c r="B1263" s="42">
        <v>599.9</v>
      </c>
      <c r="C1263" s="43">
        <v>0.17</v>
      </c>
      <c r="D1263" s="45">
        <v>45962</v>
      </c>
      <c r="E1263" s="45">
        <v>45991.999305555553</v>
      </c>
      <c r="F1263" s="42" t="s">
        <v>625</v>
      </c>
    </row>
    <row r="1264" spans="1:6" x14ac:dyDescent="0.35">
      <c r="A1264" s="42" t="s">
        <v>630</v>
      </c>
      <c r="B1264" s="42">
        <v>599.9</v>
      </c>
      <c r="C1264" s="43">
        <v>0.17</v>
      </c>
      <c r="D1264" s="45">
        <v>45962</v>
      </c>
      <c r="E1264" s="45">
        <v>45991.999305555553</v>
      </c>
      <c r="F1264" s="42" t="s">
        <v>625</v>
      </c>
    </row>
    <row r="1265" spans="1:6" x14ac:dyDescent="0.35">
      <c r="A1265" s="42" t="s">
        <v>636</v>
      </c>
      <c r="B1265" s="42">
        <v>599.9</v>
      </c>
      <c r="C1265" s="43">
        <v>0.17</v>
      </c>
      <c r="D1265" s="45">
        <v>45962</v>
      </c>
      <c r="E1265" s="45">
        <v>45991.999305555553</v>
      </c>
      <c r="F1265" s="42" t="s">
        <v>625</v>
      </c>
    </row>
    <row r="1266" spans="1:6" x14ac:dyDescent="0.35">
      <c r="A1266" s="42" t="s">
        <v>88</v>
      </c>
      <c r="B1266" s="42">
        <v>1249.9000000000001</v>
      </c>
      <c r="C1266" s="43">
        <v>0.17</v>
      </c>
      <c r="D1266" s="45">
        <v>45962</v>
      </c>
      <c r="E1266" s="45">
        <v>45991.999305555553</v>
      </c>
      <c r="F1266" s="42" t="s">
        <v>625</v>
      </c>
    </row>
    <row r="1267" spans="1:6" x14ac:dyDescent="0.35">
      <c r="A1267" s="42" t="s">
        <v>634</v>
      </c>
      <c r="B1267" s="42">
        <v>2239.9</v>
      </c>
      <c r="C1267" s="43">
        <v>0.17</v>
      </c>
      <c r="D1267" s="45">
        <v>45962</v>
      </c>
      <c r="E1267" s="45">
        <v>45991.999305555553</v>
      </c>
      <c r="F1267" s="42" t="s">
        <v>625</v>
      </c>
    </row>
    <row r="1268" spans="1:6" x14ac:dyDescent="0.35">
      <c r="A1268" s="42" t="s">
        <v>627</v>
      </c>
      <c r="B1268" s="42">
        <v>819.9</v>
      </c>
      <c r="C1268" s="43">
        <v>0.17</v>
      </c>
      <c r="D1268" s="45">
        <v>45962</v>
      </c>
      <c r="E1268" s="45">
        <v>45991.999305555553</v>
      </c>
      <c r="F1268" s="42" t="s">
        <v>625</v>
      </c>
    </row>
    <row r="1269" spans="1:6" x14ac:dyDescent="0.35">
      <c r="A1269" s="42" t="s">
        <v>8</v>
      </c>
      <c r="B1269" s="42">
        <v>399.9</v>
      </c>
      <c r="C1269" s="43">
        <v>0.17</v>
      </c>
      <c r="D1269" s="45">
        <v>45962</v>
      </c>
      <c r="E1269" s="45">
        <v>45991.999305555553</v>
      </c>
      <c r="F1269" s="42" t="s">
        <v>625</v>
      </c>
    </row>
    <row r="1270" spans="1:6" x14ac:dyDescent="0.35">
      <c r="A1270" s="42" t="s">
        <v>460</v>
      </c>
      <c r="B1270" s="42">
        <v>1459.9</v>
      </c>
      <c r="C1270" s="43">
        <v>0.17</v>
      </c>
      <c r="D1270" s="45">
        <v>45962</v>
      </c>
      <c r="E1270" s="45">
        <v>45991.999305555553</v>
      </c>
      <c r="F1270" s="42" t="s">
        <v>625</v>
      </c>
    </row>
    <row r="1271" spans="1:6" x14ac:dyDescent="0.35">
      <c r="A1271" s="42" t="s">
        <v>45</v>
      </c>
      <c r="B1271" s="42">
        <v>479.9</v>
      </c>
      <c r="C1271" s="43">
        <v>0.17</v>
      </c>
      <c r="D1271" s="45">
        <v>45962</v>
      </c>
      <c r="E1271" s="45">
        <v>45991.999305555553</v>
      </c>
      <c r="F1271" s="42" t="s">
        <v>625</v>
      </c>
    </row>
    <row r="1272" spans="1:6" x14ac:dyDescent="0.35">
      <c r="A1272" s="42" t="s">
        <v>549</v>
      </c>
      <c r="B1272" s="42">
        <v>439.9</v>
      </c>
      <c r="C1272" s="43">
        <v>0.17</v>
      </c>
      <c r="D1272" s="45">
        <v>45962</v>
      </c>
      <c r="E1272" s="45">
        <v>45991.999305555553</v>
      </c>
      <c r="F1272" s="42" t="s">
        <v>625</v>
      </c>
    </row>
    <row r="1273" spans="1:6" x14ac:dyDescent="0.35">
      <c r="A1273" s="42" t="s">
        <v>578</v>
      </c>
      <c r="B1273" s="42">
        <v>479.9</v>
      </c>
      <c r="C1273" s="43">
        <v>0.17</v>
      </c>
      <c r="D1273" s="45">
        <v>45962</v>
      </c>
      <c r="E1273" s="45">
        <v>45991.999305555553</v>
      </c>
      <c r="F1273" s="42" t="s">
        <v>625</v>
      </c>
    </row>
    <row r="1274" spans="1:6" x14ac:dyDescent="0.35">
      <c r="A1274" s="42" t="s">
        <v>632</v>
      </c>
      <c r="B1274" s="42">
        <v>2799.9</v>
      </c>
      <c r="C1274" s="43">
        <v>0.17</v>
      </c>
      <c r="D1274" s="45">
        <v>45962</v>
      </c>
      <c r="E1274" s="45">
        <v>45991.999305555553</v>
      </c>
      <c r="F1274" s="42" t="s">
        <v>625</v>
      </c>
    </row>
    <row r="1275" spans="1:6" x14ac:dyDescent="0.35">
      <c r="A1275" s="42" t="s">
        <v>633</v>
      </c>
      <c r="B1275" s="42">
        <v>639.9</v>
      </c>
      <c r="C1275" s="43">
        <v>0.17</v>
      </c>
      <c r="D1275" s="45">
        <v>45962</v>
      </c>
      <c r="E1275" s="45">
        <v>45991.999305555553</v>
      </c>
      <c r="F1275" s="42" t="s">
        <v>625</v>
      </c>
    </row>
    <row r="1276" spans="1:6" x14ac:dyDescent="0.35">
      <c r="A1276" s="42" t="s">
        <v>11</v>
      </c>
      <c r="B1276" s="42">
        <v>399.9</v>
      </c>
      <c r="C1276" s="43">
        <v>0.17</v>
      </c>
      <c r="D1276" s="45">
        <v>45962</v>
      </c>
      <c r="E1276" s="45">
        <v>45991.999305555553</v>
      </c>
      <c r="F1276" s="42" t="s">
        <v>625</v>
      </c>
    </row>
    <row r="1277" spans="1:6" x14ac:dyDescent="0.35">
      <c r="A1277" s="42" t="s">
        <v>637</v>
      </c>
      <c r="B1277" s="42">
        <v>739.9</v>
      </c>
      <c r="C1277" s="43">
        <v>0.17</v>
      </c>
      <c r="D1277" s="45">
        <v>45962</v>
      </c>
      <c r="E1277" s="45">
        <v>45991.999305555553</v>
      </c>
      <c r="F1277" s="42" t="s">
        <v>625</v>
      </c>
    </row>
    <row r="1278" spans="1:6" x14ac:dyDescent="0.35">
      <c r="A1278" s="42" t="s">
        <v>638</v>
      </c>
      <c r="B1278" s="42">
        <v>279.89999999999998</v>
      </c>
      <c r="C1278" s="43">
        <v>0.17</v>
      </c>
      <c r="D1278" s="45">
        <v>45962</v>
      </c>
      <c r="E1278" s="45">
        <v>45991.999305555553</v>
      </c>
      <c r="F1278" s="42" t="s">
        <v>625</v>
      </c>
    </row>
    <row r="1279" spans="1:6" x14ac:dyDescent="0.35">
      <c r="A1279" s="42" t="s">
        <v>640</v>
      </c>
      <c r="B1279" s="42">
        <v>1259.9000000000001</v>
      </c>
      <c r="C1279" s="43">
        <v>0.17</v>
      </c>
      <c r="D1279" s="45">
        <v>45962</v>
      </c>
      <c r="E1279" s="45">
        <v>45991.999305555553</v>
      </c>
      <c r="F1279" s="42" t="s">
        <v>625</v>
      </c>
    </row>
    <row r="1280" spans="1:6" x14ac:dyDescent="0.35">
      <c r="A1280" s="42" t="s">
        <v>37</v>
      </c>
      <c r="B1280" s="42">
        <v>1559.9</v>
      </c>
      <c r="C1280" s="43">
        <v>0.17</v>
      </c>
      <c r="D1280" s="45">
        <v>45962</v>
      </c>
      <c r="E1280" s="45">
        <v>45991.999305555553</v>
      </c>
      <c r="F1280" s="42" t="s">
        <v>625</v>
      </c>
    </row>
    <row r="1281" spans="1:6" x14ac:dyDescent="0.35">
      <c r="A1281" s="42" t="s">
        <v>327</v>
      </c>
      <c r="B1281" s="42">
        <v>2469.9</v>
      </c>
      <c r="C1281" s="43">
        <v>0.17</v>
      </c>
      <c r="D1281" s="45">
        <v>45962</v>
      </c>
      <c r="E1281" s="45">
        <v>45991.999305555553</v>
      </c>
      <c r="F1281" s="42" t="s">
        <v>625</v>
      </c>
    </row>
    <row r="1282" spans="1:6" x14ac:dyDescent="0.35">
      <c r="A1282" s="42" t="s">
        <v>641</v>
      </c>
      <c r="B1282" s="42">
        <v>1879.9</v>
      </c>
      <c r="C1282" s="43">
        <v>0.17</v>
      </c>
      <c r="D1282" s="45">
        <v>45962</v>
      </c>
      <c r="E1282" s="45">
        <v>45991.999305555553</v>
      </c>
      <c r="F1282" s="42" t="s">
        <v>625</v>
      </c>
    </row>
    <row r="1283" spans="1:6" x14ac:dyDescent="0.35">
      <c r="A1283" s="42" t="s">
        <v>401</v>
      </c>
      <c r="B1283" s="42">
        <v>1499.9</v>
      </c>
      <c r="C1283" s="43">
        <v>0.17</v>
      </c>
      <c r="D1283" s="45">
        <v>45962</v>
      </c>
      <c r="E1283" s="45">
        <v>45991.999305555553</v>
      </c>
      <c r="F1283" s="42" t="s">
        <v>625</v>
      </c>
    </row>
    <row r="1284" spans="1:6" x14ac:dyDescent="0.35">
      <c r="A1284" s="42" t="s">
        <v>642</v>
      </c>
      <c r="B1284" s="42">
        <v>1259.9000000000001</v>
      </c>
      <c r="C1284" s="43">
        <v>0.17</v>
      </c>
      <c r="D1284" s="45">
        <v>45962</v>
      </c>
      <c r="E1284" s="45">
        <v>45991.999305555553</v>
      </c>
      <c r="F1284" s="42" t="s">
        <v>625</v>
      </c>
    </row>
    <row r="1285" spans="1:6" x14ac:dyDescent="0.35">
      <c r="A1285" s="42" t="s">
        <v>23</v>
      </c>
      <c r="B1285" s="42">
        <v>479.9</v>
      </c>
      <c r="C1285" s="43">
        <v>0.17</v>
      </c>
      <c r="D1285" s="45">
        <v>45962</v>
      </c>
      <c r="E1285" s="45">
        <v>45991.999305555553</v>
      </c>
      <c r="F1285" s="42" t="s">
        <v>625</v>
      </c>
    </row>
    <row r="1286" spans="1:6" x14ac:dyDescent="0.35">
      <c r="A1286" s="42" t="s">
        <v>646</v>
      </c>
      <c r="B1286" s="42">
        <v>459.88</v>
      </c>
      <c r="C1286" s="43">
        <v>0.06</v>
      </c>
      <c r="D1286" s="45">
        <v>45962</v>
      </c>
      <c r="E1286" s="45">
        <v>45991.999305555553</v>
      </c>
      <c r="F1286" s="42" t="s">
        <v>644</v>
      </c>
    </row>
    <row r="1287" spans="1:6" x14ac:dyDescent="0.35">
      <c r="A1287" s="42" t="s">
        <v>37</v>
      </c>
      <c r="B1287" s="42">
        <v>1369.88</v>
      </c>
      <c r="C1287" s="43">
        <v>0.06</v>
      </c>
      <c r="D1287" s="45">
        <v>45962</v>
      </c>
      <c r="E1287" s="45">
        <v>45991.999305555553</v>
      </c>
      <c r="F1287" s="42" t="s">
        <v>644</v>
      </c>
    </row>
    <row r="1288" spans="1:6" x14ac:dyDescent="0.35">
      <c r="A1288" s="42" t="s">
        <v>647</v>
      </c>
      <c r="B1288" s="42">
        <v>1539.88</v>
      </c>
      <c r="C1288" s="43">
        <v>0.06</v>
      </c>
      <c r="D1288" s="45">
        <v>45962</v>
      </c>
      <c r="E1288" s="45">
        <v>45991.999305555553</v>
      </c>
      <c r="F1288" s="42" t="s">
        <v>644</v>
      </c>
    </row>
    <row r="1289" spans="1:6" x14ac:dyDescent="0.35">
      <c r="A1289" s="42" t="s">
        <v>661</v>
      </c>
      <c r="B1289" s="42">
        <v>2359.88</v>
      </c>
      <c r="C1289" s="43">
        <v>0.06</v>
      </c>
      <c r="D1289" s="45">
        <v>45962</v>
      </c>
      <c r="E1289" s="45">
        <v>45991.999305555553</v>
      </c>
      <c r="F1289" s="42" t="s">
        <v>644</v>
      </c>
    </row>
    <row r="1290" spans="1:6" x14ac:dyDescent="0.35">
      <c r="A1290" s="42" t="s">
        <v>654</v>
      </c>
      <c r="B1290" s="42">
        <v>549.88</v>
      </c>
      <c r="C1290" s="43">
        <v>0.06</v>
      </c>
      <c r="D1290" s="45">
        <v>45962</v>
      </c>
      <c r="E1290" s="45">
        <v>45991.999305555553</v>
      </c>
      <c r="F1290" s="42" t="s">
        <v>644</v>
      </c>
    </row>
    <row r="1291" spans="1:6" x14ac:dyDescent="0.35">
      <c r="A1291" s="42" t="s">
        <v>613</v>
      </c>
      <c r="B1291" s="42">
        <v>639.88</v>
      </c>
      <c r="C1291" s="43">
        <v>0.06</v>
      </c>
      <c r="D1291" s="45">
        <v>45962</v>
      </c>
      <c r="E1291" s="45">
        <v>45991.999305555553</v>
      </c>
      <c r="F1291" s="42" t="s">
        <v>644</v>
      </c>
    </row>
    <row r="1292" spans="1:6" x14ac:dyDescent="0.35">
      <c r="A1292" s="42" t="s">
        <v>283</v>
      </c>
      <c r="B1292" s="42">
        <v>739.88</v>
      </c>
      <c r="C1292" s="43">
        <v>0.06</v>
      </c>
      <c r="D1292" s="45">
        <v>45962</v>
      </c>
      <c r="E1292" s="45">
        <v>45991.999305555553</v>
      </c>
      <c r="F1292" s="42" t="s">
        <v>644</v>
      </c>
    </row>
    <row r="1293" spans="1:6" x14ac:dyDescent="0.35">
      <c r="A1293" s="42" t="s">
        <v>675</v>
      </c>
      <c r="B1293" s="42">
        <v>739.88</v>
      </c>
      <c r="C1293" s="43">
        <v>0.06</v>
      </c>
      <c r="D1293" s="45">
        <v>45962</v>
      </c>
      <c r="E1293" s="45">
        <v>45991.999305555553</v>
      </c>
      <c r="F1293" s="42" t="s">
        <v>644</v>
      </c>
    </row>
    <row r="1294" spans="1:6" x14ac:dyDescent="0.35">
      <c r="A1294" s="42" t="s">
        <v>609</v>
      </c>
      <c r="B1294" s="42">
        <v>1569.88</v>
      </c>
      <c r="C1294" s="43">
        <v>0.06</v>
      </c>
      <c r="D1294" s="45">
        <v>45962</v>
      </c>
      <c r="E1294" s="45">
        <v>45991.999305555553</v>
      </c>
      <c r="F1294" s="42" t="s">
        <v>644</v>
      </c>
    </row>
    <row r="1295" spans="1:6" x14ac:dyDescent="0.35">
      <c r="A1295" s="42" t="s">
        <v>594</v>
      </c>
      <c r="B1295" s="42">
        <v>1569.88</v>
      </c>
      <c r="C1295" s="43">
        <v>0.06</v>
      </c>
      <c r="D1295" s="45">
        <v>45962</v>
      </c>
      <c r="E1295" s="45">
        <v>45991.999305555553</v>
      </c>
      <c r="F1295" s="42" t="s">
        <v>644</v>
      </c>
    </row>
    <row r="1296" spans="1:6" x14ac:dyDescent="0.35">
      <c r="A1296" s="42" t="s">
        <v>55</v>
      </c>
      <c r="B1296" s="42">
        <v>669.88</v>
      </c>
      <c r="C1296" s="43">
        <v>0.06</v>
      </c>
      <c r="D1296" s="45">
        <v>45962</v>
      </c>
      <c r="E1296" s="45">
        <v>45991.999305555553</v>
      </c>
      <c r="F1296" s="42" t="s">
        <v>644</v>
      </c>
    </row>
    <row r="1297" spans="1:6" x14ac:dyDescent="0.35">
      <c r="A1297" s="42" t="s">
        <v>608</v>
      </c>
      <c r="B1297" s="42">
        <v>1149.8800000000001</v>
      </c>
      <c r="C1297" s="43">
        <v>0.06</v>
      </c>
      <c r="D1297" s="45">
        <v>45962</v>
      </c>
      <c r="E1297" s="45">
        <v>45991.999305555553</v>
      </c>
      <c r="F1297" s="42" t="s">
        <v>644</v>
      </c>
    </row>
    <row r="1298" spans="1:6" x14ac:dyDescent="0.35">
      <c r="A1298" s="42" t="s">
        <v>667</v>
      </c>
      <c r="B1298" s="42">
        <v>1149.8800000000001</v>
      </c>
      <c r="C1298" s="43">
        <v>0.06</v>
      </c>
      <c r="D1298" s="45">
        <v>45962</v>
      </c>
      <c r="E1298" s="45">
        <v>45991.999305555553</v>
      </c>
      <c r="F1298" s="42" t="s">
        <v>644</v>
      </c>
    </row>
    <row r="1299" spans="1:6" x14ac:dyDescent="0.35">
      <c r="A1299" s="42" t="s">
        <v>61</v>
      </c>
      <c r="B1299" s="42">
        <v>1149.8800000000001</v>
      </c>
      <c r="C1299" s="43">
        <v>0.06</v>
      </c>
      <c r="D1299" s="45">
        <v>45962</v>
      </c>
      <c r="E1299" s="45">
        <v>45991.999305555553</v>
      </c>
      <c r="F1299" s="42" t="s">
        <v>644</v>
      </c>
    </row>
    <row r="1300" spans="1:6" x14ac:dyDescent="0.35">
      <c r="A1300" s="42" t="s">
        <v>270</v>
      </c>
      <c r="B1300" s="42">
        <v>1149.8800000000001</v>
      </c>
      <c r="C1300" s="43">
        <v>0.06</v>
      </c>
      <c r="D1300" s="45">
        <v>45962</v>
      </c>
      <c r="E1300" s="45">
        <v>45991.999305555553</v>
      </c>
      <c r="F1300" s="42" t="s">
        <v>644</v>
      </c>
    </row>
    <row r="1301" spans="1:6" x14ac:dyDescent="0.35">
      <c r="A1301" s="42" t="s">
        <v>671</v>
      </c>
      <c r="B1301" s="42">
        <v>1249.8800000000001</v>
      </c>
      <c r="C1301" s="43">
        <v>0.06</v>
      </c>
      <c r="D1301" s="45">
        <v>45962</v>
      </c>
      <c r="E1301" s="45">
        <v>45991.999305555553</v>
      </c>
      <c r="F1301" s="42" t="s">
        <v>644</v>
      </c>
    </row>
    <row r="1302" spans="1:6" x14ac:dyDescent="0.35">
      <c r="A1302" s="42" t="s">
        <v>407</v>
      </c>
      <c r="B1302" s="42">
        <v>1829.88</v>
      </c>
      <c r="C1302" s="43">
        <v>0.06</v>
      </c>
      <c r="D1302" s="45">
        <v>45962</v>
      </c>
      <c r="E1302" s="45">
        <v>45991.999305555553</v>
      </c>
      <c r="F1302" s="42" t="s">
        <v>644</v>
      </c>
    </row>
    <row r="1303" spans="1:6" x14ac:dyDescent="0.35">
      <c r="A1303" s="42" t="s">
        <v>670</v>
      </c>
      <c r="B1303" s="42">
        <v>1829.88</v>
      </c>
      <c r="C1303" s="43">
        <v>0.06</v>
      </c>
      <c r="D1303" s="45">
        <v>45962</v>
      </c>
      <c r="E1303" s="45">
        <v>45991.999305555553</v>
      </c>
      <c r="F1303" s="42" t="s">
        <v>644</v>
      </c>
    </row>
    <row r="1304" spans="1:6" x14ac:dyDescent="0.35">
      <c r="A1304" s="42" t="s">
        <v>615</v>
      </c>
      <c r="B1304" s="42">
        <v>499.88</v>
      </c>
      <c r="C1304" s="43">
        <v>0.06</v>
      </c>
      <c r="D1304" s="45">
        <v>45962</v>
      </c>
      <c r="E1304" s="45">
        <v>45991.999305555553</v>
      </c>
      <c r="F1304" s="42" t="s">
        <v>644</v>
      </c>
    </row>
    <row r="1305" spans="1:6" x14ac:dyDescent="0.35">
      <c r="A1305" s="42" t="s">
        <v>602</v>
      </c>
      <c r="B1305" s="42">
        <v>499.88</v>
      </c>
      <c r="C1305" s="43">
        <v>0.06</v>
      </c>
      <c r="D1305" s="45">
        <v>45962</v>
      </c>
      <c r="E1305" s="45">
        <v>45991.999305555553</v>
      </c>
      <c r="F1305" s="42" t="s">
        <v>644</v>
      </c>
    </row>
    <row r="1306" spans="1:6" x14ac:dyDescent="0.35">
      <c r="A1306" s="42" t="s">
        <v>589</v>
      </c>
      <c r="B1306" s="42">
        <v>589.88</v>
      </c>
      <c r="C1306" s="43">
        <v>0.06</v>
      </c>
      <c r="D1306" s="45">
        <v>45962</v>
      </c>
      <c r="E1306" s="45">
        <v>45991.999305555553</v>
      </c>
      <c r="F1306" s="42" t="s">
        <v>644</v>
      </c>
    </row>
    <row r="1307" spans="1:6" x14ac:dyDescent="0.35">
      <c r="A1307" s="42" t="s">
        <v>605</v>
      </c>
      <c r="B1307" s="42">
        <v>589.88</v>
      </c>
      <c r="C1307" s="43">
        <v>0.06</v>
      </c>
      <c r="D1307" s="45">
        <v>45962</v>
      </c>
      <c r="E1307" s="45">
        <v>45991.999305555553</v>
      </c>
      <c r="F1307" s="42" t="s">
        <v>644</v>
      </c>
    </row>
    <row r="1308" spans="1:6" x14ac:dyDescent="0.35">
      <c r="A1308" s="42" t="s">
        <v>523</v>
      </c>
      <c r="B1308" s="42">
        <v>789.88</v>
      </c>
      <c r="C1308" s="43">
        <v>0.06</v>
      </c>
      <c r="D1308" s="45">
        <v>45962</v>
      </c>
      <c r="E1308" s="45">
        <v>45991.999305555553</v>
      </c>
      <c r="F1308" s="42" t="s">
        <v>644</v>
      </c>
    </row>
    <row r="1309" spans="1:6" x14ac:dyDescent="0.35">
      <c r="A1309" s="42" t="s">
        <v>650</v>
      </c>
      <c r="B1309" s="42">
        <v>1079.8800000000001</v>
      </c>
      <c r="C1309" s="43">
        <v>0.06</v>
      </c>
      <c r="D1309" s="45">
        <v>45962</v>
      </c>
      <c r="E1309" s="45">
        <v>45991.999305555553</v>
      </c>
      <c r="F1309" s="42" t="s">
        <v>644</v>
      </c>
    </row>
    <row r="1310" spans="1:6" x14ac:dyDescent="0.35">
      <c r="A1310" s="42" t="s">
        <v>674</v>
      </c>
      <c r="B1310" s="42">
        <v>1079.8800000000001</v>
      </c>
      <c r="C1310" s="43">
        <v>0.06</v>
      </c>
      <c r="D1310" s="45">
        <v>45962</v>
      </c>
      <c r="E1310" s="45">
        <v>45991.999305555553</v>
      </c>
      <c r="F1310" s="42" t="s">
        <v>644</v>
      </c>
    </row>
    <row r="1311" spans="1:6" x14ac:dyDescent="0.35">
      <c r="A1311" s="42" t="s">
        <v>267</v>
      </c>
      <c r="B1311" s="42">
        <v>1079.8800000000001</v>
      </c>
      <c r="C1311" s="43">
        <v>0.06</v>
      </c>
      <c r="D1311" s="45">
        <v>45962</v>
      </c>
      <c r="E1311" s="45">
        <v>45991.999305555553</v>
      </c>
      <c r="F1311" s="42" t="s">
        <v>644</v>
      </c>
    </row>
    <row r="1312" spans="1:6" x14ac:dyDescent="0.35">
      <c r="A1312" s="42" t="s">
        <v>488</v>
      </c>
      <c r="B1312" s="42">
        <v>1279.8800000000001</v>
      </c>
      <c r="C1312" s="43">
        <v>0.06</v>
      </c>
      <c r="D1312" s="45">
        <v>45962</v>
      </c>
      <c r="E1312" s="45">
        <v>45991.999305555553</v>
      </c>
      <c r="F1312" s="42" t="s">
        <v>644</v>
      </c>
    </row>
    <row r="1313" spans="1:6" x14ac:dyDescent="0.35">
      <c r="A1313" s="42" t="s">
        <v>104</v>
      </c>
      <c r="B1313" s="42">
        <v>1279.8800000000001</v>
      </c>
      <c r="C1313" s="43">
        <v>0.06</v>
      </c>
      <c r="D1313" s="45">
        <v>45962</v>
      </c>
      <c r="E1313" s="45">
        <v>45991.999305555553</v>
      </c>
      <c r="F1313" s="42" t="s">
        <v>644</v>
      </c>
    </row>
    <row r="1314" spans="1:6" x14ac:dyDescent="0.35">
      <c r="A1314" s="42" t="s">
        <v>669</v>
      </c>
      <c r="B1314" s="42">
        <v>2159.88</v>
      </c>
      <c r="C1314" s="43">
        <v>0.06</v>
      </c>
      <c r="D1314" s="45">
        <v>45962</v>
      </c>
      <c r="E1314" s="45">
        <v>45991.999305555553</v>
      </c>
      <c r="F1314" s="42" t="s">
        <v>644</v>
      </c>
    </row>
    <row r="1315" spans="1:6" x14ac:dyDescent="0.35">
      <c r="A1315" s="42" t="s">
        <v>643</v>
      </c>
      <c r="B1315" s="42">
        <v>1899.88</v>
      </c>
      <c r="C1315" s="43">
        <v>0.06</v>
      </c>
      <c r="D1315" s="45">
        <v>45962</v>
      </c>
      <c r="E1315" s="45">
        <v>45991.999305555553</v>
      </c>
      <c r="F1315" s="42" t="s">
        <v>644</v>
      </c>
    </row>
    <row r="1316" spans="1:6" x14ac:dyDescent="0.35">
      <c r="A1316" s="42" t="s">
        <v>645</v>
      </c>
      <c r="B1316" s="42">
        <v>1549.88</v>
      </c>
      <c r="C1316" s="43">
        <v>0.06</v>
      </c>
      <c r="D1316" s="45">
        <v>45962</v>
      </c>
      <c r="E1316" s="45">
        <v>45991.999305555553</v>
      </c>
      <c r="F1316" s="42" t="s">
        <v>644</v>
      </c>
    </row>
    <row r="1317" spans="1:6" x14ac:dyDescent="0.35">
      <c r="A1317" s="42" t="s">
        <v>648</v>
      </c>
      <c r="B1317" s="42">
        <v>2249.88</v>
      </c>
      <c r="C1317" s="43">
        <v>0.06</v>
      </c>
      <c r="D1317" s="45">
        <v>45962</v>
      </c>
      <c r="E1317" s="45">
        <v>45991.999305555553</v>
      </c>
      <c r="F1317" s="42" t="s">
        <v>644</v>
      </c>
    </row>
    <row r="1318" spans="1:6" x14ac:dyDescent="0.35">
      <c r="A1318" s="42" t="s">
        <v>649</v>
      </c>
      <c r="B1318" s="42">
        <v>3159.88</v>
      </c>
      <c r="C1318" s="43">
        <v>0.06</v>
      </c>
      <c r="D1318" s="45">
        <v>45962</v>
      </c>
      <c r="E1318" s="45">
        <v>45991.999305555553</v>
      </c>
      <c r="F1318" s="42" t="s">
        <v>644</v>
      </c>
    </row>
    <row r="1319" spans="1:6" x14ac:dyDescent="0.35">
      <c r="A1319" s="42" t="s">
        <v>651</v>
      </c>
      <c r="B1319" s="42">
        <v>1419.88</v>
      </c>
      <c r="C1319" s="43">
        <v>0.06</v>
      </c>
      <c r="D1319" s="45">
        <v>45962</v>
      </c>
      <c r="E1319" s="45">
        <v>45991.999305555553</v>
      </c>
      <c r="F1319" s="42" t="s">
        <v>644</v>
      </c>
    </row>
    <row r="1320" spans="1:6" x14ac:dyDescent="0.35">
      <c r="A1320" s="42" t="s">
        <v>652</v>
      </c>
      <c r="B1320" s="42">
        <v>1039.8800000000001</v>
      </c>
      <c r="C1320" s="43">
        <v>0.06</v>
      </c>
      <c r="D1320" s="45">
        <v>45962</v>
      </c>
      <c r="E1320" s="45">
        <v>45991.999305555553</v>
      </c>
      <c r="F1320" s="42" t="s">
        <v>644</v>
      </c>
    </row>
    <row r="1321" spans="1:6" x14ac:dyDescent="0.35">
      <c r="A1321" s="42" t="s">
        <v>653</v>
      </c>
      <c r="B1321" s="42">
        <v>2489.88</v>
      </c>
      <c r="C1321" s="43">
        <v>0.06</v>
      </c>
      <c r="D1321" s="45">
        <v>45962</v>
      </c>
      <c r="E1321" s="45">
        <v>45991.999305555553</v>
      </c>
      <c r="F1321" s="42" t="s">
        <v>644</v>
      </c>
    </row>
    <row r="1322" spans="1:6" x14ac:dyDescent="0.35">
      <c r="A1322" s="42" t="s">
        <v>655</v>
      </c>
      <c r="B1322" s="42">
        <v>2299.88</v>
      </c>
      <c r="C1322" s="43">
        <v>0.06</v>
      </c>
      <c r="D1322" s="45">
        <v>45962</v>
      </c>
      <c r="E1322" s="45">
        <v>45991.999305555553</v>
      </c>
      <c r="F1322" s="42" t="s">
        <v>644</v>
      </c>
    </row>
    <row r="1323" spans="1:6" x14ac:dyDescent="0.35">
      <c r="A1323" s="42" t="s">
        <v>656</v>
      </c>
      <c r="B1323" s="42">
        <v>999.88</v>
      </c>
      <c r="C1323" s="43">
        <v>0.06</v>
      </c>
      <c r="D1323" s="45">
        <v>45962</v>
      </c>
      <c r="E1323" s="45">
        <v>45991.999305555553</v>
      </c>
      <c r="F1323" s="42" t="s">
        <v>644</v>
      </c>
    </row>
    <row r="1324" spans="1:6" x14ac:dyDescent="0.35">
      <c r="A1324" s="42" t="s">
        <v>657</v>
      </c>
      <c r="B1324" s="42">
        <v>619.88</v>
      </c>
      <c r="C1324" s="43">
        <v>0.06</v>
      </c>
      <c r="D1324" s="45">
        <v>45962</v>
      </c>
      <c r="E1324" s="45">
        <v>45991.999305555553</v>
      </c>
      <c r="F1324" s="42" t="s">
        <v>644</v>
      </c>
    </row>
    <row r="1325" spans="1:6" x14ac:dyDescent="0.35">
      <c r="A1325" s="42" t="s">
        <v>658</v>
      </c>
      <c r="B1325" s="42">
        <v>1469.88</v>
      </c>
      <c r="C1325" s="43">
        <v>0.06</v>
      </c>
      <c r="D1325" s="45">
        <v>45962</v>
      </c>
      <c r="E1325" s="45">
        <v>45991.999305555553</v>
      </c>
      <c r="F1325" s="42" t="s">
        <v>644</v>
      </c>
    </row>
    <row r="1326" spans="1:6" x14ac:dyDescent="0.35">
      <c r="A1326" s="42" t="s">
        <v>659</v>
      </c>
      <c r="B1326" s="42">
        <v>1469.88</v>
      </c>
      <c r="C1326" s="43">
        <v>0.06</v>
      </c>
      <c r="D1326" s="45">
        <v>45962</v>
      </c>
      <c r="E1326" s="45">
        <v>45991.999305555553</v>
      </c>
      <c r="F1326" s="42" t="s">
        <v>644</v>
      </c>
    </row>
    <row r="1327" spans="1:6" x14ac:dyDescent="0.35">
      <c r="A1327" s="42" t="s">
        <v>660</v>
      </c>
      <c r="B1327" s="42">
        <v>1129.8800000000001</v>
      </c>
      <c r="C1327" s="43">
        <v>0.06</v>
      </c>
      <c r="D1327" s="45">
        <v>45962</v>
      </c>
      <c r="E1327" s="45">
        <v>45991.999305555553</v>
      </c>
      <c r="F1327" s="42" t="s">
        <v>644</v>
      </c>
    </row>
    <row r="1328" spans="1:6" x14ac:dyDescent="0.35">
      <c r="A1328" s="42" t="s">
        <v>464</v>
      </c>
      <c r="B1328" s="42">
        <v>1289.8800000000001</v>
      </c>
      <c r="C1328" s="43">
        <v>0.06</v>
      </c>
      <c r="D1328" s="45">
        <v>45962</v>
      </c>
      <c r="E1328" s="45">
        <v>45991.999305555553</v>
      </c>
      <c r="F1328" s="42" t="s">
        <v>644</v>
      </c>
    </row>
    <row r="1329" spans="1:6" x14ac:dyDescent="0.35">
      <c r="A1329" s="42" t="s">
        <v>460</v>
      </c>
      <c r="B1329" s="42">
        <v>1289.8800000000001</v>
      </c>
      <c r="C1329" s="43">
        <v>0.06</v>
      </c>
      <c r="D1329" s="45">
        <v>45962</v>
      </c>
      <c r="E1329" s="45">
        <v>45991.999305555553</v>
      </c>
      <c r="F1329" s="42" t="s">
        <v>644</v>
      </c>
    </row>
    <row r="1330" spans="1:6" x14ac:dyDescent="0.35">
      <c r="A1330" s="42" t="s">
        <v>662</v>
      </c>
      <c r="B1330" s="42">
        <v>1889.88</v>
      </c>
      <c r="C1330" s="43">
        <v>0.06</v>
      </c>
      <c r="D1330" s="45">
        <v>45962</v>
      </c>
      <c r="E1330" s="45">
        <v>45991.999305555553</v>
      </c>
      <c r="F1330" s="42" t="s">
        <v>644</v>
      </c>
    </row>
    <row r="1331" spans="1:6" x14ac:dyDescent="0.35">
      <c r="A1331" s="42" t="s">
        <v>607</v>
      </c>
      <c r="B1331" s="42">
        <v>2489.88</v>
      </c>
      <c r="C1331" s="43">
        <v>0.06</v>
      </c>
      <c r="D1331" s="45">
        <v>45962</v>
      </c>
      <c r="E1331" s="45">
        <v>45991.999305555553</v>
      </c>
      <c r="F1331" s="42" t="s">
        <v>644</v>
      </c>
    </row>
    <row r="1332" spans="1:6" x14ac:dyDescent="0.35">
      <c r="A1332" s="42" t="s">
        <v>663</v>
      </c>
      <c r="B1332" s="42">
        <v>1659.88</v>
      </c>
      <c r="C1332" s="43">
        <v>0.06</v>
      </c>
      <c r="D1332" s="45">
        <v>45962</v>
      </c>
      <c r="E1332" s="45">
        <v>45991.999305555553</v>
      </c>
      <c r="F1332" s="42" t="s">
        <v>644</v>
      </c>
    </row>
    <row r="1333" spans="1:6" x14ac:dyDescent="0.35">
      <c r="A1333" s="42" t="s">
        <v>664</v>
      </c>
      <c r="B1333" s="42">
        <v>3319.88</v>
      </c>
      <c r="C1333" s="43">
        <v>0.06</v>
      </c>
      <c r="D1333" s="45">
        <v>45962</v>
      </c>
      <c r="E1333" s="45">
        <v>45991.999305555553</v>
      </c>
      <c r="F1333" s="42" t="s">
        <v>644</v>
      </c>
    </row>
    <row r="1334" spans="1:6" x14ac:dyDescent="0.35">
      <c r="A1334" s="42" t="s">
        <v>665</v>
      </c>
      <c r="B1334" s="42">
        <v>2349.88</v>
      </c>
      <c r="C1334" s="43">
        <v>0.06</v>
      </c>
      <c r="D1334" s="45">
        <v>45962</v>
      </c>
      <c r="E1334" s="45">
        <v>45991.999305555553</v>
      </c>
      <c r="F1334" s="42" t="s">
        <v>644</v>
      </c>
    </row>
    <row r="1335" spans="1:6" x14ac:dyDescent="0.35">
      <c r="A1335" s="42" t="s">
        <v>666</v>
      </c>
      <c r="B1335" s="42">
        <v>999.88</v>
      </c>
      <c r="C1335" s="43">
        <v>0.06</v>
      </c>
      <c r="D1335" s="45">
        <v>45962</v>
      </c>
      <c r="E1335" s="45">
        <v>45991.999305555553</v>
      </c>
      <c r="F1335" s="42" t="s">
        <v>644</v>
      </c>
    </row>
    <row r="1336" spans="1:6" x14ac:dyDescent="0.35">
      <c r="A1336" s="42" t="s">
        <v>611</v>
      </c>
      <c r="B1336" s="42">
        <v>1389.88</v>
      </c>
      <c r="C1336" s="43">
        <v>0.06</v>
      </c>
      <c r="D1336" s="45">
        <v>45962</v>
      </c>
      <c r="E1336" s="45">
        <v>45991.999305555553</v>
      </c>
      <c r="F1336" s="42" t="s">
        <v>644</v>
      </c>
    </row>
    <row r="1337" spans="1:6" x14ac:dyDescent="0.35">
      <c r="A1337" s="42" t="s">
        <v>75</v>
      </c>
      <c r="B1337" s="42">
        <v>419.88</v>
      </c>
      <c r="C1337" s="43">
        <v>0.06</v>
      </c>
      <c r="D1337" s="45">
        <v>45962</v>
      </c>
      <c r="E1337" s="45">
        <v>45991.999305555553</v>
      </c>
      <c r="F1337" s="42" t="s">
        <v>644</v>
      </c>
    </row>
    <row r="1338" spans="1:6" x14ac:dyDescent="0.35">
      <c r="A1338" s="42" t="s">
        <v>564</v>
      </c>
      <c r="B1338" s="42">
        <v>419.88</v>
      </c>
      <c r="C1338" s="43">
        <v>0.06</v>
      </c>
      <c r="D1338" s="45">
        <v>45962</v>
      </c>
      <c r="E1338" s="45">
        <v>45991.999305555553</v>
      </c>
      <c r="F1338" s="42" t="s">
        <v>644</v>
      </c>
    </row>
    <row r="1339" spans="1:6" x14ac:dyDescent="0.35">
      <c r="A1339" s="42" t="s">
        <v>668</v>
      </c>
      <c r="B1339" s="42">
        <v>2489.88</v>
      </c>
      <c r="C1339" s="43">
        <v>0.06</v>
      </c>
      <c r="D1339" s="45">
        <v>45962</v>
      </c>
      <c r="E1339" s="45">
        <v>45991.999305555553</v>
      </c>
      <c r="F1339" s="42" t="s">
        <v>644</v>
      </c>
    </row>
    <row r="1340" spans="1:6" x14ac:dyDescent="0.35">
      <c r="A1340" s="42" t="s">
        <v>672</v>
      </c>
      <c r="B1340" s="42">
        <v>1199.8800000000001</v>
      </c>
      <c r="C1340" s="43">
        <v>0.06</v>
      </c>
      <c r="D1340" s="45">
        <v>45962</v>
      </c>
      <c r="E1340" s="45">
        <v>45991.999305555553</v>
      </c>
      <c r="F1340" s="42" t="s">
        <v>644</v>
      </c>
    </row>
    <row r="1341" spans="1:6" x14ac:dyDescent="0.35">
      <c r="A1341" s="42" t="s">
        <v>673</v>
      </c>
      <c r="B1341" s="42">
        <v>1169.8800000000001</v>
      </c>
      <c r="C1341" s="43">
        <v>0.06</v>
      </c>
      <c r="D1341" s="45">
        <v>45962</v>
      </c>
      <c r="E1341" s="45">
        <v>45991.999305555553</v>
      </c>
      <c r="F1341" s="42" t="s">
        <v>644</v>
      </c>
    </row>
    <row r="1342" spans="1:6" x14ac:dyDescent="0.35">
      <c r="A1342" s="42" t="s">
        <v>612</v>
      </c>
      <c r="B1342" s="42">
        <v>899.88</v>
      </c>
      <c r="C1342" s="43">
        <v>0.06</v>
      </c>
      <c r="D1342" s="45">
        <v>45962</v>
      </c>
      <c r="E1342" s="45">
        <v>45991.999305555553</v>
      </c>
      <c r="F1342" s="42" t="s">
        <v>644</v>
      </c>
    </row>
    <row r="1343" spans="1:6" x14ac:dyDescent="0.35">
      <c r="A1343" s="42" t="s">
        <v>604</v>
      </c>
      <c r="B1343" s="42">
        <v>829.88</v>
      </c>
      <c r="C1343" s="43">
        <v>0.06</v>
      </c>
      <c r="D1343" s="45">
        <v>45962</v>
      </c>
      <c r="E1343" s="45">
        <v>45991.999305555553</v>
      </c>
      <c r="F1343" s="42" t="s">
        <v>644</v>
      </c>
    </row>
    <row r="1344" spans="1:6" x14ac:dyDescent="0.35">
      <c r="A1344" s="42" t="s">
        <v>23</v>
      </c>
      <c r="B1344" s="42">
        <v>419.88</v>
      </c>
      <c r="C1344" s="43">
        <v>0.06</v>
      </c>
      <c r="D1344" s="45">
        <v>45962</v>
      </c>
      <c r="E1344" s="45">
        <v>45991.999305555553</v>
      </c>
      <c r="F1344" s="42" t="s">
        <v>644</v>
      </c>
    </row>
    <row r="1345" spans="1:6" x14ac:dyDescent="0.35">
      <c r="A1345" s="42" t="s">
        <v>316</v>
      </c>
      <c r="B1345" s="42">
        <v>1659.88</v>
      </c>
      <c r="C1345" s="43">
        <v>0.06</v>
      </c>
      <c r="D1345" s="45">
        <v>45962</v>
      </c>
      <c r="E1345" s="45">
        <v>45991.999305555553</v>
      </c>
      <c r="F1345" s="42" t="s">
        <v>644</v>
      </c>
    </row>
    <row r="1346" spans="1:6" x14ac:dyDescent="0.35">
      <c r="A1346" s="42" t="s">
        <v>610</v>
      </c>
      <c r="B1346" s="42">
        <v>1699.88</v>
      </c>
      <c r="C1346" s="43">
        <v>0.06</v>
      </c>
      <c r="D1346" s="45">
        <v>45962</v>
      </c>
      <c r="E1346" s="45">
        <v>45991.999305555553</v>
      </c>
      <c r="F1346" s="42" t="s">
        <v>644</v>
      </c>
    </row>
    <row r="1347" spans="1:6" x14ac:dyDescent="0.35">
      <c r="A1347" s="42" t="s">
        <v>33</v>
      </c>
      <c r="B1347" s="42">
        <v>879.88</v>
      </c>
      <c r="C1347" s="43">
        <v>0.06</v>
      </c>
      <c r="D1347" s="45">
        <v>45962</v>
      </c>
      <c r="E1347" s="45">
        <v>45991.999305555553</v>
      </c>
      <c r="F1347" s="42" t="s">
        <v>644</v>
      </c>
    </row>
    <row r="1348" spans="1:6" x14ac:dyDescent="0.35">
      <c r="A1348" s="42" t="s">
        <v>646</v>
      </c>
      <c r="B1348" s="42">
        <v>469.88</v>
      </c>
      <c r="C1348" s="43">
        <v>0.08</v>
      </c>
      <c r="D1348" s="45">
        <v>45962</v>
      </c>
      <c r="E1348" s="45">
        <v>45991.999305555553</v>
      </c>
      <c r="F1348" s="42" t="s">
        <v>644</v>
      </c>
    </row>
    <row r="1349" spans="1:6" x14ac:dyDescent="0.35">
      <c r="A1349" s="42" t="s">
        <v>37</v>
      </c>
      <c r="B1349" s="42">
        <v>1399.88</v>
      </c>
      <c r="C1349" s="43">
        <v>0.08</v>
      </c>
      <c r="D1349" s="45">
        <v>45962</v>
      </c>
      <c r="E1349" s="45">
        <v>45991.999305555553</v>
      </c>
      <c r="F1349" s="42" t="s">
        <v>644</v>
      </c>
    </row>
    <row r="1350" spans="1:6" x14ac:dyDescent="0.35">
      <c r="A1350" s="42" t="s">
        <v>647</v>
      </c>
      <c r="B1350" s="42">
        <v>1579.88</v>
      </c>
      <c r="C1350" s="43">
        <v>0.08</v>
      </c>
      <c r="D1350" s="45">
        <v>45962</v>
      </c>
      <c r="E1350" s="45">
        <v>45991.999305555553</v>
      </c>
      <c r="F1350" s="42" t="s">
        <v>644</v>
      </c>
    </row>
    <row r="1351" spans="1:6" x14ac:dyDescent="0.35">
      <c r="A1351" s="42" t="s">
        <v>661</v>
      </c>
      <c r="B1351" s="42">
        <v>2419.88</v>
      </c>
      <c r="C1351" s="43">
        <v>0.08</v>
      </c>
      <c r="D1351" s="45">
        <v>45962</v>
      </c>
      <c r="E1351" s="45">
        <v>45991.999305555553</v>
      </c>
      <c r="F1351" s="42" t="s">
        <v>644</v>
      </c>
    </row>
    <row r="1352" spans="1:6" x14ac:dyDescent="0.35">
      <c r="A1352" s="42" t="s">
        <v>654</v>
      </c>
      <c r="B1352" s="42">
        <v>569.88</v>
      </c>
      <c r="C1352" s="43">
        <v>0.08</v>
      </c>
      <c r="D1352" s="45">
        <v>45962</v>
      </c>
      <c r="E1352" s="45">
        <v>45991.999305555553</v>
      </c>
      <c r="F1352" s="42" t="s">
        <v>644</v>
      </c>
    </row>
    <row r="1353" spans="1:6" x14ac:dyDescent="0.35">
      <c r="A1353" s="42" t="s">
        <v>613</v>
      </c>
      <c r="B1353" s="42">
        <v>659.88</v>
      </c>
      <c r="C1353" s="43">
        <v>0.08</v>
      </c>
      <c r="D1353" s="45">
        <v>45962</v>
      </c>
      <c r="E1353" s="45">
        <v>45991.999305555553</v>
      </c>
      <c r="F1353" s="42" t="s">
        <v>644</v>
      </c>
    </row>
    <row r="1354" spans="1:6" x14ac:dyDescent="0.35">
      <c r="A1354" s="42" t="s">
        <v>283</v>
      </c>
      <c r="B1354" s="42">
        <v>759.88</v>
      </c>
      <c r="C1354" s="43">
        <v>0.08</v>
      </c>
      <c r="D1354" s="45">
        <v>45962</v>
      </c>
      <c r="E1354" s="45">
        <v>45991.999305555553</v>
      </c>
      <c r="F1354" s="42" t="s">
        <v>644</v>
      </c>
    </row>
    <row r="1355" spans="1:6" x14ac:dyDescent="0.35">
      <c r="A1355" s="42" t="s">
        <v>675</v>
      </c>
      <c r="B1355" s="42">
        <v>759.88</v>
      </c>
      <c r="C1355" s="43">
        <v>0.08</v>
      </c>
      <c r="D1355" s="45">
        <v>45962</v>
      </c>
      <c r="E1355" s="45">
        <v>45991.999305555553</v>
      </c>
      <c r="F1355" s="42" t="s">
        <v>644</v>
      </c>
    </row>
    <row r="1356" spans="1:6" x14ac:dyDescent="0.35">
      <c r="A1356" s="42" t="s">
        <v>609</v>
      </c>
      <c r="B1356" s="42">
        <v>1619.88</v>
      </c>
      <c r="C1356" s="43">
        <v>0.08</v>
      </c>
      <c r="D1356" s="45">
        <v>45962</v>
      </c>
      <c r="E1356" s="45">
        <v>45991.999305555553</v>
      </c>
      <c r="F1356" s="42" t="s">
        <v>644</v>
      </c>
    </row>
    <row r="1357" spans="1:6" x14ac:dyDescent="0.35">
      <c r="A1357" s="42" t="s">
        <v>594</v>
      </c>
      <c r="B1357" s="42">
        <v>1619.88</v>
      </c>
      <c r="C1357" s="43">
        <v>0.08</v>
      </c>
      <c r="D1357" s="45">
        <v>45962</v>
      </c>
      <c r="E1357" s="45">
        <v>45991.999305555553</v>
      </c>
      <c r="F1357" s="42" t="s">
        <v>644</v>
      </c>
    </row>
    <row r="1358" spans="1:6" x14ac:dyDescent="0.35">
      <c r="A1358" s="42" t="s">
        <v>55</v>
      </c>
      <c r="B1358" s="42">
        <v>689.88</v>
      </c>
      <c r="C1358" s="43">
        <v>0.08</v>
      </c>
      <c r="D1358" s="45">
        <v>45962</v>
      </c>
      <c r="E1358" s="45">
        <v>45991.999305555553</v>
      </c>
      <c r="F1358" s="42" t="s">
        <v>644</v>
      </c>
    </row>
    <row r="1359" spans="1:6" x14ac:dyDescent="0.35">
      <c r="A1359" s="42" t="s">
        <v>608</v>
      </c>
      <c r="B1359" s="42">
        <v>1179.8800000000001</v>
      </c>
      <c r="C1359" s="43">
        <v>0.08</v>
      </c>
      <c r="D1359" s="45">
        <v>45962</v>
      </c>
      <c r="E1359" s="45">
        <v>45991.999305555553</v>
      </c>
      <c r="F1359" s="42" t="s">
        <v>644</v>
      </c>
    </row>
    <row r="1360" spans="1:6" x14ac:dyDescent="0.35">
      <c r="A1360" s="42" t="s">
        <v>667</v>
      </c>
      <c r="B1360" s="42">
        <v>1179.8800000000001</v>
      </c>
      <c r="C1360" s="43">
        <v>0.08</v>
      </c>
      <c r="D1360" s="45">
        <v>45962</v>
      </c>
      <c r="E1360" s="45">
        <v>45991.999305555553</v>
      </c>
      <c r="F1360" s="42" t="s">
        <v>644</v>
      </c>
    </row>
    <row r="1361" spans="1:6" x14ac:dyDescent="0.35">
      <c r="A1361" s="42" t="s">
        <v>61</v>
      </c>
      <c r="B1361" s="42">
        <v>1179.8800000000001</v>
      </c>
      <c r="C1361" s="43">
        <v>0.08</v>
      </c>
      <c r="D1361" s="45">
        <v>45962</v>
      </c>
      <c r="E1361" s="45">
        <v>45991.999305555553</v>
      </c>
      <c r="F1361" s="42" t="s">
        <v>644</v>
      </c>
    </row>
    <row r="1362" spans="1:6" x14ac:dyDescent="0.35">
      <c r="A1362" s="42" t="s">
        <v>270</v>
      </c>
      <c r="B1362" s="42">
        <v>1179.8800000000001</v>
      </c>
      <c r="C1362" s="43">
        <v>0.08</v>
      </c>
      <c r="D1362" s="45">
        <v>45962</v>
      </c>
      <c r="E1362" s="45">
        <v>45991.999305555553</v>
      </c>
      <c r="F1362" s="42" t="s">
        <v>644</v>
      </c>
    </row>
    <row r="1363" spans="1:6" x14ac:dyDescent="0.35">
      <c r="A1363" s="42" t="s">
        <v>671</v>
      </c>
      <c r="B1363" s="42">
        <v>1279.8800000000001</v>
      </c>
      <c r="C1363" s="43">
        <v>0.08</v>
      </c>
      <c r="D1363" s="45">
        <v>45962</v>
      </c>
      <c r="E1363" s="45">
        <v>45991.999305555553</v>
      </c>
      <c r="F1363" s="42" t="s">
        <v>644</v>
      </c>
    </row>
    <row r="1364" spans="1:6" x14ac:dyDescent="0.35">
      <c r="A1364" s="42" t="s">
        <v>407</v>
      </c>
      <c r="B1364" s="42">
        <v>1869.88</v>
      </c>
      <c r="C1364" s="43">
        <v>0.08</v>
      </c>
      <c r="D1364" s="45">
        <v>45962</v>
      </c>
      <c r="E1364" s="45">
        <v>45991.999305555553</v>
      </c>
      <c r="F1364" s="42" t="s">
        <v>644</v>
      </c>
    </row>
    <row r="1365" spans="1:6" x14ac:dyDescent="0.35">
      <c r="A1365" s="42" t="s">
        <v>670</v>
      </c>
      <c r="B1365" s="42">
        <v>1869.88</v>
      </c>
      <c r="C1365" s="43">
        <v>0.08</v>
      </c>
      <c r="D1365" s="45">
        <v>45962</v>
      </c>
      <c r="E1365" s="45">
        <v>45991.999305555553</v>
      </c>
      <c r="F1365" s="42" t="s">
        <v>644</v>
      </c>
    </row>
    <row r="1366" spans="1:6" x14ac:dyDescent="0.35">
      <c r="A1366" s="42" t="s">
        <v>615</v>
      </c>
      <c r="B1366" s="42">
        <v>519.88</v>
      </c>
      <c r="C1366" s="43">
        <v>0.08</v>
      </c>
      <c r="D1366" s="45">
        <v>45962</v>
      </c>
      <c r="E1366" s="45">
        <v>45991.999305555553</v>
      </c>
      <c r="F1366" s="42" t="s">
        <v>644</v>
      </c>
    </row>
    <row r="1367" spans="1:6" x14ac:dyDescent="0.35">
      <c r="A1367" s="42" t="s">
        <v>602</v>
      </c>
      <c r="B1367" s="42">
        <v>519.88</v>
      </c>
      <c r="C1367" s="43">
        <v>0.08</v>
      </c>
      <c r="D1367" s="45">
        <v>45962</v>
      </c>
      <c r="E1367" s="45">
        <v>45991.999305555553</v>
      </c>
      <c r="F1367" s="42" t="s">
        <v>644</v>
      </c>
    </row>
    <row r="1368" spans="1:6" x14ac:dyDescent="0.35">
      <c r="A1368" s="42" t="s">
        <v>589</v>
      </c>
      <c r="B1368" s="42">
        <v>619.88</v>
      </c>
      <c r="C1368" s="43">
        <v>0.08</v>
      </c>
      <c r="D1368" s="45">
        <v>45962</v>
      </c>
      <c r="E1368" s="45">
        <v>45991.999305555553</v>
      </c>
      <c r="F1368" s="42" t="s">
        <v>644</v>
      </c>
    </row>
    <row r="1369" spans="1:6" x14ac:dyDescent="0.35">
      <c r="A1369" s="42" t="s">
        <v>605</v>
      </c>
      <c r="B1369" s="42">
        <v>619.88</v>
      </c>
      <c r="C1369" s="43">
        <v>0.08</v>
      </c>
      <c r="D1369" s="45">
        <v>45962</v>
      </c>
      <c r="E1369" s="45">
        <v>45991.999305555553</v>
      </c>
      <c r="F1369" s="42" t="s">
        <v>644</v>
      </c>
    </row>
    <row r="1370" spans="1:6" x14ac:dyDescent="0.35">
      <c r="A1370" s="42" t="s">
        <v>523</v>
      </c>
      <c r="B1370" s="42">
        <v>819.88</v>
      </c>
      <c r="C1370" s="43">
        <v>0.08</v>
      </c>
      <c r="D1370" s="45">
        <v>45962</v>
      </c>
      <c r="E1370" s="45">
        <v>45991.999305555553</v>
      </c>
      <c r="F1370" s="42" t="s">
        <v>644</v>
      </c>
    </row>
    <row r="1371" spans="1:6" x14ac:dyDescent="0.35">
      <c r="A1371" s="42" t="s">
        <v>650</v>
      </c>
      <c r="B1371" s="42">
        <v>1119.8800000000001</v>
      </c>
      <c r="C1371" s="43">
        <v>0.08</v>
      </c>
      <c r="D1371" s="45">
        <v>45962</v>
      </c>
      <c r="E1371" s="45">
        <v>45991.999305555553</v>
      </c>
      <c r="F1371" s="42" t="s">
        <v>644</v>
      </c>
    </row>
    <row r="1372" spans="1:6" x14ac:dyDescent="0.35">
      <c r="A1372" s="42" t="s">
        <v>674</v>
      </c>
      <c r="B1372" s="42">
        <v>1119.8800000000001</v>
      </c>
      <c r="C1372" s="43">
        <v>0.08</v>
      </c>
      <c r="D1372" s="45">
        <v>45962</v>
      </c>
      <c r="E1372" s="45">
        <v>45991.999305555553</v>
      </c>
      <c r="F1372" s="42" t="s">
        <v>644</v>
      </c>
    </row>
    <row r="1373" spans="1:6" x14ac:dyDescent="0.35">
      <c r="A1373" s="42" t="s">
        <v>267</v>
      </c>
      <c r="B1373" s="42">
        <v>1119.8800000000001</v>
      </c>
      <c r="C1373" s="43">
        <v>0.08</v>
      </c>
      <c r="D1373" s="45">
        <v>45962</v>
      </c>
      <c r="E1373" s="45">
        <v>45991.999305555553</v>
      </c>
      <c r="F1373" s="42" t="s">
        <v>644</v>
      </c>
    </row>
    <row r="1374" spans="1:6" x14ac:dyDescent="0.35">
      <c r="A1374" s="42" t="s">
        <v>488</v>
      </c>
      <c r="B1374" s="42">
        <v>1319.88</v>
      </c>
      <c r="C1374" s="43">
        <v>0.08</v>
      </c>
      <c r="D1374" s="45">
        <v>45962</v>
      </c>
      <c r="E1374" s="45">
        <v>45991.999305555553</v>
      </c>
      <c r="F1374" s="42" t="s">
        <v>644</v>
      </c>
    </row>
    <row r="1375" spans="1:6" x14ac:dyDescent="0.35">
      <c r="A1375" s="42" t="s">
        <v>104</v>
      </c>
      <c r="B1375" s="42">
        <v>1319.88</v>
      </c>
      <c r="C1375" s="43">
        <v>0.08</v>
      </c>
      <c r="D1375" s="45">
        <v>45962</v>
      </c>
      <c r="E1375" s="45">
        <v>45991.999305555553</v>
      </c>
      <c r="F1375" s="42" t="s">
        <v>644</v>
      </c>
    </row>
    <row r="1376" spans="1:6" x14ac:dyDescent="0.35">
      <c r="A1376" s="42" t="s">
        <v>669</v>
      </c>
      <c r="B1376" s="42">
        <v>2219.88</v>
      </c>
      <c r="C1376" s="43">
        <v>0.08</v>
      </c>
      <c r="D1376" s="45">
        <v>45962</v>
      </c>
      <c r="E1376" s="45">
        <v>45991.999305555553</v>
      </c>
      <c r="F1376" s="42" t="s">
        <v>644</v>
      </c>
    </row>
    <row r="1377" spans="1:6" x14ac:dyDescent="0.35">
      <c r="A1377" s="42" t="s">
        <v>643</v>
      </c>
      <c r="B1377" s="42">
        <v>1939.88</v>
      </c>
      <c r="C1377" s="43">
        <v>0.08</v>
      </c>
      <c r="D1377" s="45">
        <v>45962</v>
      </c>
      <c r="E1377" s="45">
        <v>45991.999305555553</v>
      </c>
      <c r="F1377" s="42" t="s">
        <v>644</v>
      </c>
    </row>
    <row r="1378" spans="1:6" x14ac:dyDescent="0.35">
      <c r="A1378" s="42" t="s">
        <v>645</v>
      </c>
      <c r="B1378" s="42">
        <v>1589.88</v>
      </c>
      <c r="C1378" s="43">
        <v>0.08</v>
      </c>
      <c r="D1378" s="45">
        <v>45962</v>
      </c>
      <c r="E1378" s="45">
        <v>45991.999305555553</v>
      </c>
      <c r="F1378" s="42" t="s">
        <v>644</v>
      </c>
    </row>
    <row r="1379" spans="1:6" x14ac:dyDescent="0.35">
      <c r="A1379" s="42" t="s">
        <v>648</v>
      </c>
      <c r="B1379" s="42">
        <v>2299.88</v>
      </c>
      <c r="C1379" s="43">
        <v>0.08</v>
      </c>
      <c r="D1379" s="45">
        <v>45962</v>
      </c>
      <c r="E1379" s="45">
        <v>45991.999305555553</v>
      </c>
      <c r="F1379" s="42" t="s">
        <v>644</v>
      </c>
    </row>
    <row r="1380" spans="1:6" x14ac:dyDescent="0.35">
      <c r="A1380" s="42" t="s">
        <v>649</v>
      </c>
      <c r="B1380" s="42">
        <v>3229.88</v>
      </c>
      <c r="C1380" s="43">
        <v>0.08</v>
      </c>
      <c r="D1380" s="45">
        <v>45962</v>
      </c>
      <c r="E1380" s="45">
        <v>45991.999305555553</v>
      </c>
      <c r="F1380" s="42" t="s">
        <v>644</v>
      </c>
    </row>
    <row r="1381" spans="1:6" x14ac:dyDescent="0.35">
      <c r="A1381" s="42" t="s">
        <v>651</v>
      </c>
      <c r="B1381" s="42">
        <v>1449.88</v>
      </c>
      <c r="C1381" s="43">
        <v>0.08</v>
      </c>
      <c r="D1381" s="45">
        <v>45962</v>
      </c>
      <c r="E1381" s="45">
        <v>45991.999305555553</v>
      </c>
      <c r="F1381" s="42" t="s">
        <v>644</v>
      </c>
    </row>
    <row r="1382" spans="1:6" x14ac:dyDescent="0.35">
      <c r="A1382" s="42" t="s">
        <v>652</v>
      </c>
      <c r="B1382" s="42">
        <v>1069.8800000000001</v>
      </c>
      <c r="C1382" s="43">
        <v>0.08</v>
      </c>
      <c r="D1382" s="45">
        <v>45962</v>
      </c>
      <c r="E1382" s="45">
        <v>45991.999305555553</v>
      </c>
      <c r="F1382" s="42" t="s">
        <v>644</v>
      </c>
    </row>
    <row r="1383" spans="1:6" x14ac:dyDescent="0.35">
      <c r="A1383" s="42" t="s">
        <v>653</v>
      </c>
      <c r="B1383" s="42">
        <v>2539.88</v>
      </c>
      <c r="C1383" s="43">
        <v>0.08</v>
      </c>
      <c r="D1383" s="45">
        <v>45962</v>
      </c>
      <c r="E1383" s="45">
        <v>45991.999305555553</v>
      </c>
      <c r="F1383" s="42" t="s">
        <v>644</v>
      </c>
    </row>
    <row r="1384" spans="1:6" x14ac:dyDescent="0.35">
      <c r="A1384" s="42" t="s">
        <v>655</v>
      </c>
      <c r="B1384" s="42">
        <v>2349.88</v>
      </c>
      <c r="C1384" s="43">
        <v>0.08</v>
      </c>
      <c r="D1384" s="45">
        <v>45962</v>
      </c>
      <c r="E1384" s="45">
        <v>45991.999305555553</v>
      </c>
      <c r="F1384" s="42" t="s">
        <v>644</v>
      </c>
    </row>
    <row r="1385" spans="1:6" x14ac:dyDescent="0.35">
      <c r="A1385" s="42" t="s">
        <v>656</v>
      </c>
      <c r="B1385" s="42">
        <v>1019.88</v>
      </c>
      <c r="C1385" s="43">
        <v>0.08</v>
      </c>
      <c r="D1385" s="45">
        <v>45962</v>
      </c>
      <c r="E1385" s="45">
        <v>45991.999305555553</v>
      </c>
      <c r="F1385" s="42" t="s">
        <v>644</v>
      </c>
    </row>
    <row r="1386" spans="1:6" x14ac:dyDescent="0.35">
      <c r="A1386" s="42" t="s">
        <v>657</v>
      </c>
      <c r="B1386" s="42">
        <v>639.88</v>
      </c>
      <c r="C1386" s="43">
        <v>0.08</v>
      </c>
      <c r="D1386" s="45">
        <v>45962</v>
      </c>
      <c r="E1386" s="45">
        <v>45991.999305555553</v>
      </c>
      <c r="F1386" s="42" t="s">
        <v>644</v>
      </c>
    </row>
    <row r="1387" spans="1:6" x14ac:dyDescent="0.35">
      <c r="A1387" s="42" t="s">
        <v>658</v>
      </c>
      <c r="B1387" s="42">
        <v>1499.88</v>
      </c>
      <c r="C1387" s="43">
        <v>0.08</v>
      </c>
      <c r="D1387" s="45">
        <v>45962</v>
      </c>
      <c r="E1387" s="45">
        <v>45991.999305555553</v>
      </c>
      <c r="F1387" s="42" t="s">
        <v>644</v>
      </c>
    </row>
    <row r="1388" spans="1:6" x14ac:dyDescent="0.35">
      <c r="A1388" s="42" t="s">
        <v>659</v>
      </c>
      <c r="B1388" s="42">
        <v>1499.88</v>
      </c>
      <c r="C1388" s="43">
        <v>0.08</v>
      </c>
      <c r="D1388" s="45">
        <v>45962</v>
      </c>
      <c r="E1388" s="45">
        <v>45991.999305555553</v>
      </c>
      <c r="F1388" s="42" t="s">
        <v>644</v>
      </c>
    </row>
    <row r="1389" spans="1:6" x14ac:dyDescent="0.35">
      <c r="A1389" s="42" t="s">
        <v>660</v>
      </c>
      <c r="B1389" s="42">
        <v>1159.8800000000001</v>
      </c>
      <c r="C1389" s="43">
        <v>0.08</v>
      </c>
      <c r="D1389" s="45">
        <v>45962</v>
      </c>
      <c r="E1389" s="45">
        <v>45991.999305555553</v>
      </c>
      <c r="F1389" s="42" t="s">
        <v>644</v>
      </c>
    </row>
    <row r="1390" spans="1:6" x14ac:dyDescent="0.35">
      <c r="A1390" s="42" t="s">
        <v>464</v>
      </c>
      <c r="B1390" s="42">
        <v>1319.88</v>
      </c>
      <c r="C1390" s="43">
        <v>0.08</v>
      </c>
      <c r="D1390" s="45">
        <v>45962</v>
      </c>
      <c r="E1390" s="45">
        <v>45991.999305555553</v>
      </c>
      <c r="F1390" s="42" t="s">
        <v>644</v>
      </c>
    </row>
    <row r="1391" spans="1:6" x14ac:dyDescent="0.35">
      <c r="A1391" s="42" t="s">
        <v>460</v>
      </c>
      <c r="B1391" s="42">
        <v>1319.88</v>
      </c>
      <c r="C1391" s="43">
        <v>0.08</v>
      </c>
      <c r="D1391" s="45">
        <v>45962</v>
      </c>
      <c r="E1391" s="45">
        <v>45991.999305555553</v>
      </c>
      <c r="F1391" s="42" t="s">
        <v>644</v>
      </c>
    </row>
    <row r="1392" spans="1:6" x14ac:dyDescent="0.35">
      <c r="A1392" s="42" t="s">
        <v>662</v>
      </c>
      <c r="B1392" s="42">
        <v>1929.88</v>
      </c>
      <c r="C1392" s="43">
        <v>0.08</v>
      </c>
      <c r="D1392" s="45">
        <v>45962</v>
      </c>
      <c r="E1392" s="45">
        <v>45991.999305555553</v>
      </c>
      <c r="F1392" s="42" t="s">
        <v>644</v>
      </c>
    </row>
    <row r="1393" spans="1:6" x14ac:dyDescent="0.35">
      <c r="A1393" s="42" t="s">
        <v>607</v>
      </c>
      <c r="B1393" s="42">
        <v>2539.88</v>
      </c>
      <c r="C1393" s="43">
        <v>0.08</v>
      </c>
      <c r="D1393" s="45">
        <v>45962</v>
      </c>
      <c r="E1393" s="45">
        <v>45991.999305555553</v>
      </c>
      <c r="F1393" s="42" t="s">
        <v>644</v>
      </c>
    </row>
    <row r="1394" spans="1:6" x14ac:dyDescent="0.35">
      <c r="A1394" s="42" t="s">
        <v>663</v>
      </c>
      <c r="B1394" s="42">
        <v>1699.88</v>
      </c>
      <c r="C1394" s="43">
        <v>0.08</v>
      </c>
      <c r="D1394" s="45">
        <v>45962</v>
      </c>
      <c r="E1394" s="45">
        <v>45991.999305555553</v>
      </c>
      <c r="F1394" s="42" t="s">
        <v>644</v>
      </c>
    </row>
    <row r="1395" spans="1:6" x14ac:dyDescent="0.35">
      <c r="A1395" s="42" t="s">
        <v>664</v>
      </c>
      <c r="B1395" s="42">
        <v>3389.88</v>
      </c>
      <c r="C1395" s="43">
        <v>0.08</v>
      </c>
      <c r="D1395" s="45">
        <v>45962</v>
      </c>
      <c r="E1395" s="45">
        <v>45991.999305555553</v>
      </c>
      <c r="F1395" s="42" t="s">
        <v>644</v>
      </c>
    </row>
    <row r="1396" spans="1:6" x14ac:dyDescent="0.35">
      <c r="A1396" s="42" t="s">
        <v>665</v>
      </c>
      <c r="B1396" s="42">
        <v>2399.88</v>
      </c>
      <c r="C1396" s="43">
        <v>0.08</v>
      </c>
      <c r="D1396" s="45">
        <v>45962</v>
      </c>
      <c r="E1396" s="45">
        <v>45991.999305555553</v>
      </c>
      <c r="F1396" s="42" t="s">
        <v>644</v>
      </c>
    </row>
    <row r="1397" spans="1:6" x14ac:dyDescent="0.35">
      <c r="A1397" s="42" t="s">
        <v>666</v>
      </c>
      <c r="B1397" s="42">
        <v>1019.88</v>
      </c>
      <c r="C1397" s="43">
        <v>0.08</v>
      </c>
      <c r="D1397" s="45">
        <v>45962</v>
      </c>
      <c r="E1397" s="45">
        <v>45991.999305555553</v>
      </c>
      <c r="F1397" s="42" t="s">
        <v>644</v>
      </c>
    </row>
    <row r="1398" spans="1:6" x14ac:dyDescent="0.35">
      <c r="A1398" s="42" t="s">
        <v>611</v>
      </c>
      <c r="B1398" s="42">
        <v>1419.88</v>
      </c>
      <c r="C1398" s="43">
        <v>0.08</v>
      </c>
      <c r="D1398" s="45">
        <v>45962</v>
      </c>
      <c r="E1398" s="45">
        <v>45991.999305555553</v>
      </c>
      <c r="F1398" s="42" t="s">
        <v>644</v>
      </c>
    </row>
    <row r="1399" spans="1:6" x14ac:dyDescent="0.35">
      <c r="A1399" s="42" t="s">
        <v>75</v>
      </c>
      <c r="B1399" s="42">
        <v>429.88</v>
      </c>
      <c r="C1399" s="43">
        <v>0.08</v>
      </c>
      <c r="D1399" s="45">
        <v>45962</v>
      </c>
      <c r="E1399" s="45">
        <v>45991.999305555553</v>
      </c>
      <c r="F1399" s="42" t="s">
        <v>644</v>
      </c>
    </row>
    <row r="1400" spans="1:6" x14ac:dyDescent="0.35">
      <c r="A1400" s="42" t="s">
        <v>564</v>
      </c>
      <c r="B1400" s="42">
        <v>429.88</v>
      </c>
      <c r="C1400" s="43">
        <v>0.08</v>
      </c>
      <c r="D1400" s="45">
        <v>45962</v>
      </c>
      <c r="E1400" s="45">
        <v>45991.999305555553</v>
      </c>
      <c r="F1400" s="42" t="s">
        <v>644</v>
      </c>
    </row>
    <row r="1401" spans="1:6" x14ac:dyDescent="0.35">
      <c r="A1401" s="42" t="s">
        <v>668</v>
      </c>
      <c r="B1401" s="42">
        <v>2539.88</v>
      </c>
      <c r="C1401" s="43">
        <v>0.08</v>
      </c>
      <c r="D1401" s="45">
        <v>45962</v>
      </c>
      <c r="E1401" s="45">
        <v>45991.999305555553</v>
      </c>
      <c r="F1401" s="42" t="s">
        <v>644</v>
      </c>
    </row>
    <row r="1402" spans="1:6" x14ac:dyDescent="0.35">
      <c r="A1402" s="42" t="s">
        <v>672</v>
      </c>
      <c r="B1402" s="42">
        <v>1229.8800000000001</v>
      </c>
      <c r="C1402" s="43">
        <v>0.08</v>
      </c>
      <c r="D1402" s="45">
        <v>45962</v>
      </c>
      <c r="E1402" s="45">
        <v>45991.999305555553</v>
      </c>
      <c r="F1402" s="42" t="s">
        <v>644</v>
      </c>
    </row>
    <row r="1403" spans="1:6" x14ac:dyDescent="0.35">
      <c r="A1403" s="42" t="s">
        <v>673</v>
      </c>
      <c r="B1403" s="42">
        <v>1199.8800000000001</v>
      </c>
      <c r="C1403" s="43">
        <v>0.08</v>
      </c>
      <c r="D1403" s="45">
        <v>45962</v>
      </c>
      <c r="E1403" s="45">
        <v>45991.999305555553</v>
      </c>
      <c r="F1403" s="42" t="s">
        <v>644</v>
      </c>
    </row>
    <row r="1404" spans="1:6" x14ac:dyDescent="0.35">
      <c r="A1404" s="42" t="s">
        <v>612</v>
      </c>
      <c r="B1404" s="42">
        <v>919.88</v>
      </c>
      <c r="C1404" s="43">
        <v>0.08</v>
      </c>
      <c r="D1404" s="45">
        <v>45962</v>
      </c>
      <c r="E1404" s="45">
        <v>45991.999305555553</v>
      </c>
      <c r="F1404" s="42" t="s">
        <v>644</v>
      </c>
    </row>
    <row r="1405" spans="1:6" x14ac:dyDescent="0.35">
      <c r="A1405" s="42" t="s">
        <v>604</v>
      </c>
      <c r="B1405" s="42">
        <v>849.88</v>
      </c>
      <c r="C1405" s="43">
        <v>0.08</v>
      </c>
      <c r="D1405" s="45">
        <v>45962</v>
      </c>
      <c r="E1405" s="45">
        <v>45991.999305555553</v>
      </c>
      <c r="F1405" s="42" t="s">
        <v>644</v>
      </c>
    </row>
    <row r="1406" spans="1:6" x14ac:dyDescent="0.35">
      <c r="A1406" s="42" t="s">
        <v>23</v>
      </c>
      <c r="B1406" s="42">
        <v>429.88</v>
      </c>
      <c r="C1406" s="43">
        <v>0.08</v>
      </c>
      <c r="D1406" s="45">
        <v>45962</v>
      </c>
      <c r="E1406" s="45">
        <v>45991.999305555553</v>
      </c>
      <c r="F1406" s="42" t="s">
        <v>644</v>
      </c>
    </row>
    <row r="1407" spans="1:6" x14ac:dyDescent="0.35">
      <c r="A1407" s="42" t="s">
        <v>316</v>
      </c>
      <c r="B1407" s="42">
        <v>1699.88</v>
      </c>
      <c r="C1407" s="43">
        <v>0.08</v>
      </c>
      <c r="D1407" s="45">
        <v>45962</v>
      </c>
      <c r="E1407" s="45">
        <v>45991.999305555553</v>
      </c>
      <c r="F1407" s="42" t="s">
        <v>644</v>
      </c>
    </row>
    <row r="1408" spans="1:6" x14ac:dyDescent="0.35">
      <c r="A1408" s="42" t="s">
        <v>610</v>
      </c>
      <c r="B1408" s="42">
        <v>1739.88</v>
      </c>
      <c r="C1408" s="43">
        <v>0.08</v>
      </c>
      <c r="D1408" s="45">
        <v>45962</v>
      </c>
      <c r="E1408" s="45">
        <v>45991.999305555553</v>
      </c>
      <c r="F1408" s="42" t="s">
        <v>644</v>
      </c>
    </row>
    <row r="1409" spans="1:6" x14ac:dyDescent="0.35">
      <c r="A1409" s="42" t="s">
        <v>33</v>
      </c>
      <c r="B1409" s="42">
        <v>899.88</v>
      </c>
      <c r="C1409" s="43">
        <v>0.08</v>
      </c>
      <c r="D1409" s="45">
        <v>45962</v>
      </c>
      <c r="E1409" s="45">
        <v>45991.999305555553</v>
      </c>
      <c r="F1409" s="42" t="s">
        <v>644</v>
      </c>
    </row>
    <row r="1410" spans="1:6" x14ac:dyDescent="0.35">
      <c r="A1410" s="42" t="s">
        <v>646</v>
      </c>
      <c r="B1410" s="42">
        <v>479.88</v>
      </c>
      <c r="C1410" s="43">
        <v>0.1</v>
      </c>
      <c r="D1410" s="45">
        <v>45962</v>
      </c>
      <c r="E1410" s="45">
        <v>45991.999305555553</v>
      </c>
      <c r="F1410" s="42" t="s">
        <v>644</v>
      </c>
    </row>
    <row r="1411" spans="1:6" x14ac:dyDescent="0.35">
      <c r="A1411" s="42" t="s">
        <v>37</v>
      </c>
      <c r="B1411" s="42">
        <v>1429.88</v>
      </c>
      <c r="C1411" s="43">
        <v>0.1</v>
      </c>
      <c r="D1411" s="45">
        <v>45962</v>
      </c>
      <c r="E1411" s="45">
        <v>45991.999305555553</v>
      </c>
      <c r="F1411" s="42" t="s">
        <v>644</v>
      </c>
    </row>
    <row r="1412" spans="1:6" x14ac:dyDescent="0.35">
      <c r="A1412" s="42" t="s">
        <v>647</v>
      </c>
      <c r="B1412" s="42">
        <v>1619.88</v>
      </c>
      <c r="C1412" s="43">
        <v>0.1</v>
      </c>
      <c r="D1412" s="45">
        <v>45962</v>
      </c>
      <c r="E1412" s="45">
        <v>45991.999305555553</v>
      </c>
      <c r="F1412" s="42" t="s">
        <v>644</v>
      </c>
    </row>
    <row r="1413" spans="1:6" x14ac:dyDescent="0.35">
      <c r="A1413" s="42" t="s">
        <v>661</v>
      </c>
      <c r="B1413" s="42">
        <v>2469.88</v>
      </c>
      <c r="C1413" s="43">
        <v>0.1</v>
      </c>
      <c r="D1413" s="45">
        <v>45962</v>
      </c>
      <c r="E1413" s="45">
        <v>45991.999305555553</v>
      </c>
      <c r="F1413" s="42" t="s">
        <v>644</v>
      </c>
    </row>
    <row r="1414" spans="1:6" x14ac:dyDescent="0.35">
      <c r="A1414" s="42" t="s">
        <v>654</v>
      </c>
      <c r="B1414" s="42">
        <v>589.88</v>
      </c>
      <c r="C1414" s="43">
        <v>0.1</v>
      </c>
      <c r="D1414" s="45">
        <v>45962</v>
      </c>
      <c r="E1414" s="45">
        <v>45991.999305555553</v>
      </c>
      <c r="F1414" s="42" t="s">
        <v>644</v>
      </c>
    </row>
    <row r="1415" spans="1:6" x14ac:dyDescent="0.35">
      <c r="A1415" s="42" t="s">
        <v>613</v>
      </c>
      <c r="B1415" s="42">
        <v>679.88</v>
      </c>
      <c r="C1415" s="43">
        <v>0.1</v>
      </c>
      <c r="D1415" s="45">
        <v>45962</v>
      </c>
      <c r="E1415" s="45">
        <v>45991.999305555553</v>
      </c>
      <c r="F1415" s="42" t="s">
        <v>644</v>
      </c>
    </row>
    <row r="1416" spans="1:6" x14ac:dyDescent="0.35">
      <c r="A1416" s="42" t="s">
        <v>283</v>
      </c>
      <c r="B1416" s="42">
        <v>779.88</v>
      </c>
      <c r="C1416" s="43">
        <v>0.1</v>
      </c>
      <c r="D1416" s="45">
        <v>45962</v>
      </c>
      <c r="E1416" s="45">
        <v>45991.999305555553</v>
      </c>
      <c r="F1416" s="42" t="s">
        <v>644</v>
      </c>
    </row>
    <row r="1417" spans="1:6" x14ac:dyDescent="0.35">
      <c r="A1417" s="42" t="s">
        <v>675</v>
      </c>
      <c r="B1417" s="42">
        <v>779.88</v>
      </c>
      <c r="C1417" s="43">
        <v>0.1</v>
      </c>
      <c r="D1417" s="45">
        <v>45962</v>
      </c>
      <c r="E1417" s="45">
        <v>45991.999305555553</v>
      </c>
      <c r="F1417" s="42" t="s">
        <v>644</v>
      </c>
    </row>
    <row r="1418" spans="1:6" x14ac:dyDescent="0.35">
      <c r="A1418" s="42" t="s">
        <v>609</v>
      </c>
      <c r="B1418" s="42">
        <v>1659.88</v>
      </c>
      <c r="C1418" s="43">
        <v>0.1</v>
      </c>
      <c r="D1418" s="45">
        <v>45962</v>
      </c>
      <c r="E1418" s="45">
        <v>45991.999305555553</v>
      </c>
      <c r="F1418" s="42" t="s">
        <v>644</v>
      </c>
    </row>
    <row r="1419" spans="1:6" x14ac:dyDescent="0.35">
      <c r="A1419" s="42" t="s">
        <v>594</v>
      </c>
      <c r="B1419" s="42">
        <v>1659.88</v>
      </c>
      <c r="C1419" s="43">
        <v>0.1</v>
      </c>
      <c r="D1419" s="45">
        <v>45962</v>
      </c>
      <c r="E1419" s="45">
        <v>45991.999305555553</v>
      </c>
      <c r="F1419" s="42" t="s">
        <v>644</v>
      </c>
    </row>
    <row r="1420" spans="1:6" x14ac:dyDescent="0.35">
      <c r="A1420" s="42" t="s">
        <v>55</v>
      </c>
      <c r="B1420" s="42">
        <v>719.88</v>
      </c>
      <c r="C1420" s="43">
        <v>0.1</v>
      </c>
      <c r="D1420" s="45">
        <v>45962</v>
      </c>
      <c r="E1420" s="45">
        <v>45991.999305555553</v>
      </c>
      <c r="F1420" s="42" t="s">
        <v>644</v>
      </c>
    </row>
    <row r="1421" spans="1:6" x14ac:dyDescent="0.35">
      <c r="A1421" s="42" t="s">
        <v>608</v>
      </c>
      <c r="B1421" s="42">
        <v>1219.8800000000001</v>
      </c>
      <c r="C1421" s="43">
        <v>0.1</v>
      </c>
      <c r="D1421" s="45">
        <v>45962</v>
      </c>
      <c r="E1421" s="45">
        <v>45991.999305555553</v>
      </c>
      <c r="F1421" s="42" t="s">
        <v>644</v>
      </c>
    </row>
    <row r="1422" spans="1:6" x14ac:dyDescent="0.35">
      <c r="A1422" s="42" t="s">
        <v>667</v>
      </c>
      <c r="B1422" s="42">
        <v>1219.8800000000001</v>
      </c>
      <c r="C1422" s="43">
        <v>0.1</v>
      </c>
      <c r="D1422" s="45">
        <v>45962</v>
      </c>
      <c r="E1422" s="45">
        <v>45991.999305555553</v>
      </c>
      <c r="F1422" s="42" t="s">
        <v>644</v>
      </c>
    </row>
    <row r="1423" spans="1:6" x14ac:dyDescent="0.35">
      <c r="A1423" s="42" t="s">
        <v>61</v>
      </c>
      <c r="B1423" s="42">
        <v>1219.8800000000001</v>
      </c>
      <c r="C1423" s="43">
        <v>0.1</v>
      </c>
      <c r="D1423" s="45">
        <v>45962</v>
      </c>
      <c r="E1423" s="45">
        <v>45991.999305555553</v>
      </c>
      <c r="F1423" s="42" t="s">
        <v>644</v>
      </c>
    </row>
    <row r="1424" spans="1:6" x14ac:dyDescent="0.35">
      <c r="A1424" s="42" t="s">
        <v>270</v>
      </c>
      <c r="B1424" s="42">
        <v>1219.8800000000001</v>
      </c>
      <c r="C1424" s="43">
        <v>0.1</v>
      </c>
      <c r="D1424" s="45">
        <v>45962</v>
      </c>
      <c r="E1424" s="45">
        <v>45991.999305555553</v>
      </c>
      <c r="F1424" s="42" t="s">
        <v>644</v>
      </c>
    </row>
    <row r="1425" spans="1:6" x14ac:dyDescent="0.35">
      <c r="A1425" s="42" t="s">
        <v>671</v>
      </c>
      <c r="B1425" s="42">
        <v>1319.88</v>
      </c>
      <c r="C1425" s="43">
        <v>0.1</v>
      </c>
      <c r="D1425" s="45">
        <v>45962</v>
      </c>
      <c r="E1425" s="45">
        <v>45991.999305555553</v>
      </c>
      <c r="F1425" s="42" t="s">
        <v>644</v>
      </c>
    </row>
    <row r="1426" spans="1:6" x14ac:dyDescent="0.35">
      <c r="A1426" s="42" t="s">
        <v>407</v>
      </c>
      <c r="B1426" s="42">
        <v>1919.88</v>
      </c>
      <c r="C1426" s="43">
        <v>0.1</v>
      </c>
      <c r="D1426" s="45">
        <v>45962</v>
      </c>
      <c r="E1426" s="45">
        <v>45991.999305555553</v>
      </c>
      <c r="F1426" s="42" t="s">
        <v>644</v>
      </c>
    </row>
    <row r="1427" spans="1:6" x14ac:dyDescent="0.35">
      <c r="A1427" s="42" t="s">
        <v>670</v>
      </c>
      <c r="B1427" s="42">
        <v>1919.88</v>
      </c>
      <c r="C1427" s="43">
        <v>0.1</v>
      </c>
      <c r="D1427" s="45">
        <v>45962</v>
      </c>
      <c r="E1427" s="45">
        <v>45991.999305555553</v>
      </c>
      <c r="F1427" s="42" t="s">
        <v>644</v>
      </c>
    </row>
    <row r="1428" spans="1:6" x14ac:dyDescent="0.35">
      <c r="A1428" s="42" t="s">
        <v>615</v>
      </c>
      <c r="B1428" s="42">
        <v>539.88</v>
      </c>
      <c r="C1428" s="43">
        <v>0.1</v>
      </c>
      <c r="D1428" s="45">
        <v>45962</v>
      </c>
      <c r="E1428" s="45">
        <v>45991.999305555553</v>
      </c>
      <c r="F1428" s="42" t="s">
        <v>644</v>
      </c>
    </row>
    <row r="1429" spans="1:6" x14ac:dyDescent="0.35">
      <c r="A1429" s="42" t="s">
        <v>602</v>
      </c>
      <c r="B1429" s="42">
        <v>539.88</v>
      </c>
      <c r="C1429" s="43">
        <v>0.1</v>
      </c>
      <c r="D1429" s="45">
        <v>45962</v>
      </c>
      <c r="E1429" s="45">
        <v>45991.999305555553</v>
      </c>
      <c r="F1429" s="42" t="s">
        <v>644</v>
      </c>
    </row>
    <row r="1430" spans="1:6" x14ac:dyDescent="0.35">
      <c r="A1430" s="42" t="s">
        <v>589</v>
      </c>
      <c r="B1430" s="42">
        <v>639.88</v>
      </c>
      <c r="C1430" s="43">
        <v>0.1</v>
      </c>
      <c r="D1430" s="45">
        <v>45962</v>
      </c>
      <c r="E1430" s="45">
        <v>45991.999305555553</v>
      </c>
      <c r="F1430" s="42" t="s">
        <v>644</v>
      </c>
    </row>
    <row r="1431" spans="1:6" x14ac:dyDescent="0.35">
      <c r="A1431" s="42" t="s">
        <v>605</v>
      </c>
      <c r="B1431" s="42">
        <v>639.88</v>
      </c>
      <c r="C1431" s="43">
        <v>0.1</v>
      </c>
      <c r="D1431" s="45">
        <v>45962</v>
      </c>
      <c r="E1431" s="45">
        <v>45991.999305555553</v>
      </c>
      <c r="F1431" s="42" t="s">
        <v>644</v>
      </c>
    </row>
    <row r="1432" spans="1:6" x14ac:dyDescent="0.35">
      <c r="A1432" s="42" t="s">
        <v>523</v>
      </c>
      <c r="B1432" s="42">
        <v>839.88</v>
      </c>
      <c r="C1432" s="43">
        <v>0.1</v>
      </c>
      <c r="D1432" s="45">
        <v>45962</v>
      </c>
      <c r="E1432" s="45">
        <v>45991.999305555553</v>
      </c>
      <c r="F1432" s="42" t="s">
        <v>644</v>
      </c>
    </row>
    <row r="1433" spans="1:6" x14ac:dyDescent="0.35">
      <c r="A1433" s="42" t="s">
        <v>650</v>
      </c>
      <c r="B1433" s="42">
        <v>1149.8800000000001</v>
      </c>
      <c r="C1433" s="43">
        <v>0.1</v>
      </c>
      <c r="D1433" s="45">
        <v>45962</v>
      </c>
      <c r="E1433" s="45">
        <v>45991.999305555553</v>
      </c>
      <c r="F1433" s="42" t="s">
        <v>644</v>
      </c>
    </row>
    <row r="1434" spans="1:6" x14ac:dyDescent="0.35">
      <c r="A1434" s="42" t="s">
        <v>674</v>
      </c>
      <c r="B1434" s="42">
        <v>1149.8800000000001</v>
      </c>
      <c r="C1434" s="43">
        <v>0.1</v>
      </c>
      <c r="D1434" s="45">
        <v>45962</v>
      </c>
      <c r="E1434" s="45">
        <v>45991.999305555553</v>
      </c>
      <c r="F1434" s="42" t="s">
        <v>644</v>
      </c>
    </row>
    <row r="1435" spans="1:6" x14ac:dyDescent="0.35">
      <c r="A1435" s="42" t="s">
        <v>267</v>
      </c>
      <c r="B1435" s="42">
        <v>1149.8800000000001</v>
      </c>
      <c r="C1435" s="43">
        <v>0.1</v>
      </c>
      <c r="D1435" s="45">
        <v>45962</v>
      </c>
      <c r="E1435" s="45">
        <v>45991.999305555553</v>
      </c>
      <c r="F1435" s="42" t="s">
        <v>644</v>
      </c>
    </row>
    <row r="1436" spans="1:6" x14ac:dyDescent="0.35">
      <c r="A1436" s="42" t="s">
        <v>488</v>
      </c>
      <c r="B1436" s="42">
        <v>1349.88</v>
      </c>
      <c r="C1436" s="43">
        <v>0.1</v>
      </c>
      <c r="D1436" s="45">
        <v>45962</v>
      </c>
      <c r="E1436" s="45">
        <v>45991.999305555553</v>
      </c>
      <c r="F1436" s="42" t="s">
        <v>644</v>
      </c>
    </row>
    <row r="1437" spans="1:6" x14ac:dyDescent="0.35">
      <c r="A1437" s="42" t="s">
        <v>104</v>
      </c>
      <c r="B1437" s="42">
        <v>1349.88</v>
      </c>
      <c r="C1437" s="43">
        <v>0.1</v>
      </c>
      <c r="D1437" s="45">
        <v>45962</v>
      </c>
      <c r="E1437" s="45">
        <v>45991.999305555553</v>
      </c>
      <c r="F1437" s="42" t="s">
        <v>644</v>
      </c>
    </row>
    <row r="1438" spans="1:6" x14ac:dyDescent="0.35">
      <c r="A1438" s="42" t="s">
        <v>669</v>
      </c>
      <c r="B1438" s="42">
        <v>2269.88</v>
      </c>
      <c r="C1438" s="43">
        <v>0.1</v>
      </c>
      <c r="D1438" s="45">
        <v>45962</v>
      </c>
      <c r="E1438" s="45">
        <v>45991.999305555553</v>
      </c>
      <c r="F1438" s="42" t="s">
        <v>644</v>
      </c>
    </row>
    <row r="1439" spans="1:6" x14ac:dyDescent="0.35">
      <c r="A1439" s="42" t="s">
        <v>643</v>
      </c>
      <c r="B1439" s="42">
        <v>1979.88</v>
      </c>
      <c r="C1439" s="43">
        <v>0.1</v>
      </c>
      <c r="D1439" s="45">
        <v>45962</v>
      </c>
      <c r="E1439" s="45">
        <v>45991.999305555553</v>
      </c>
      <c r="F1439" s="42" t="s">
        <v>644</v>
      </c>
    </row>
    <row r="1440" spans="1:6" x14ac:dyDescent="0.35">
      <c r="A1440" s="42" t="s">
        <v>645</v>
      </c>
      <c r="B1440" s="42">
        <v>1629.88</v>
      </c>
      <c r="C1440" s="43">
        <v>0.1</v>
      </c>
      <c r="D1440" s="45">
        <v>45962</v>
      </c>
      <c r="E1440" s="45">
        <v>45991.999305555553</v>
      </c>
      <c r="F1440" s="42" t="s">
        <v>644</v>
      </c>
    </row>
    <row r="1441" spans="1:6" x14ac:dyDescent="0.35">
      <c r="A1441" s="42" t="s">
        <v>648</v>
      </c>
      <c r="B1441" s="42">
        <v>2349.88</v>
      </c>
      <c r="C1441" s="43">
        <v>0.1</v>
      </c>
      <c r="D1441" s="45">
        <v>45962</v>
      </c>
      <c r="E1441" s="45">
        <v>45991.999305555553</v>
      </c>
      <c r="F1441" s="42" t="s">
        <v>644</v>
      </c>
    </row>
    <row r="1442" spans="1:6" x14ac:dyDescent="0.35">
      <c r="A1442" s="42" t="s">
        <v>649</v>
      </c>
      <c r="B1442" s="42">
        <v>3299.88</v>
      </c>
      <c r="C1442" s="43">
        <v>0.1</v>
      </c>
      <c r="D1442" s="45">
        <v>45962</v>
      </c>
      <c r="E1442" s="45">
        <v>45991.999305555553</v>
      </c>
      <c r="F1442" s="42" t="s">
        <v>644</v>
      </c>
    </row>
    <row r="1443" spans="1:6" x14ac:dyDescent="0.35">
      <c r="A1443" s="42" t="s">
        <v>651</v>
      </c>
      <c r="B1443" s="42">
        <v>1479.88</v>
      </c>
      <c r="C1443" s="43">
        <v>0.1</v>
      </c>
      <c r="D1443" s="45">
        <v>45962</v>
      </c>
      <c r="E1443" s="45">
        <v>45991.999305555553</v>
      </c>
      <c r="F1443" s="42" t="s">
        <v>644</v>
      </c>
    </row>
    <row r="1444" spans="1:6" x14ac:dyDescent="0.35">
      <c r="A1444" s="42" t="s">
        <v>652</v>
      </c>
      <c r="B1444" s="42">
        <v>1099.8800000000001</v>
      </c>
      <c r="C1444" s="43">
        <v>0.1</v>
      </c>
      <c r="D1444" s="45">
        <v>45962</v>
      </c>
      <c r="E1444" s="45">
        <v>45991.999305555553</v>
      </c>
      <c r="F1444" s="42" t="s">
        <v>644</v>
      </c>
    </row>
    <row r="1445" spans="1:6" x14ac:dyDescent="0.35">
      <c r="A1445" s="42" t="s">
        <v>653</v>
      </c>
      <c r="B1445" s="42">
        <v>2599.88</v>
      </c>
      <c r="C1445" s="43">
        <v>0.1</v>
      </c>
      <c r="D1445" s="45">
        <v>45962</v>
      </c>
      <c r="E1445" s="45">
        <v>45991.999305555553</v>
      </c>
      <c r="F1445" s="42" t="s">
        <v>644</v>
      </c>
    </row>
    <row r="1446" spans="1:6" x14ac:dyDescent="0.35">
      <c r="A1446" s="42" t="s">
        <v>655</v>
      </c>
      <c r="B1446" s="42">
        <v>2399.88</v>
      </c>
      <c r="C1446" s="43">
        <v>0.1</v>
      </c>
      <c r="D1446" s="45">
        <v>45962</v>
      </c>
      <c r="E1446" s="45">
        <v>45991.999305555553</v>
      </c>
      <c r="F1446" s="42" t="s">
        <v>644</v>
      </c>
    </row>
    <row r="1447" spans="1:6" x14ac:dyDescent="0.35">
      <c r="A1447" s="42" t="s">
        <v>656</v>
      </c>
      <c r="B1447" s="42">
        <v>1049.8800000000001</v>
      </c>
      <c r="C1447" s="43">
        <v>0.1</v>
      </c>
      <c r="D1447" s="45">
        <v>45962</v>
      </c>
      <c r="E1447" s="45">
        <v>45991.999305555553</v>
      </c>
      <c r="F1447" s="42" t="s">
        <v>644</v>
      </c>
    </row>
    <row r="1448" spans="1:6" x14ac:dyDescent="0.35">
      <c r="A1448" s="42" t="s">
        <v>657</v>
      </c>
      <c r="B1448" s="42">
        <v>659.88</v>
      </c>
      <c r="C1448" s="43">
        <v>0.1</v>
      </c>
      <c r="D1448" s="45">
        <v>45962</v>
      </c>
      <c r="E1448" s="45">
        <v>45991.999305555553</v>
      </c>
      <c r="F1448" s="42" t="s">
        <v>644</v>
      </c>
    </row>
    <row r="1449" spans="1:6" x14ac:dyDescent="0.35">
      <c r="A1449" s="42" t="s">
        <v>658</v>
      </c>
      <c r="B1449" s="42">
        <v>1529.88</v>
      </c>
      <c r="C1449" s="43">
        <v>0.1</v>
      </c>
      <c r="D1449" s="45">
        <v>45962</v>
      </c>
      <c r="E1449" s="45">
        <v>45991.999305555553</v>
      </c>
      <c r="F1449" s="42" t="s">
        <v>644</v>
      </c>
    </row>
    <row r="1450" spans="1:6" x14ac:dyDescent="0.35">
      <c r="A1450" s="42" t="s">
        <v>659</v>
      </c>
      <c r="B1450" s="42">
        <v>1529.88</v>
      </c>
      <c r="C1450" s="43">
        <v>0.1</v>
      </c>
      <c r="D1450" s="45">
        <v>45962</v>
      </c>
      <c r="E1450" s="45">
        <v>45991.999305555553</v>
      </c>
      <c r="F1450" s="42" t="s">
        <v>644</v>
      </c>
    </row>
    <row r="1451" spans="1:6" x14ac:dyDescent="0.35">
      <c r="A1451" s="42" t="s">
        <v>660</v>
      </c>
      <c r="B1451" s="42">
        <v>1189.8800000000001</v>
      </c>
      <c r="C1451" s="43">
        <v>0.1</v>
      </c>
      <c r="D1451" s="45">
        <v>45962</v>
      </c>
      <c r="E1451" s="45">
        <v>45991.999305555553</v>
      </c>
      <c r="F1451" s="42" t="s">
        <v>644</v>
      </c>
    </row>
    <row r="1452" spans="1:6" x14ac:dyDescent="0.35">
      <c r="A1452" s="42" t="s">
        <v>464</v>
      </c>
      <c r="B1452" s="42">
        <v>1349.88</v>
      </c>
      <c r="C1452" s="43">
        <v>0.1</v>
      </c>
      <c r="D1452" s="45">
        <v>45962</v>
      </c>
      <c r="E1452" s="45">
        <v>45991.999305555553</v>
      </c>
      <c r="F1452" s="42" t="s">
        <v>644</v>
      </c>
    </row>
    <row r="1453" spans="1:6" x14ac:dyDescent="0.35">
      <c r="A1453" s="42" t="s">
        <v>460</v>
      </c>
      <c r="B1453" s="42">
        <v>1349.88</v>
      </c>
      <c r="C1453" s="43">
        <v>0.1</v>
      </c>
      <c r="D1453" s="45">
        <v>45962</v>
      </c>
      <c r="E1453" s="45">
        <v>45991.999305555553</v>
      </c>
      <c r="F1453" s="42" t="s">
        <v>644</v>
      </c>
    </row>
    <row r="1454" spans="1:6" x14ac:dyDescent="0.35">
      <c r="A1454" s="42" t="s">
        <v>662</v>
      </c>
      <c r="B1454" s="42">
        <v>1969.88</v>
      </c>
      <c r="C1454" s="43">
        <v>0.1</v>
      </c>
      <c r="D1454" s="45">
        <v>45962</v>
      </c>
      <c r="E1454" s="45">
        <v>45991.999305555553</v>
      </c>
      <c r="F1454" s="42" t="s">
        <v>644</v>
      </c>
    </row>
    <row r="1455" spans="1:6" x14ac:dyDescent="0.35">
      <c r="A1455" s="42" t="s">
        <v>607</v>
      </c>
      <c r="B1455" s="42">
        <v>2599.88</v>
      </c>
      <c r="C1455" s="43">
        <v>0.1</v>
      </c>
      <c r="D1455" s="45">
        <v>45962</v>
      </c>
      <c r="E1455" s="45">
        <v>45991.999305555553</v>
      </c>
      <c r="F1455" s="42" t="s">
        <v>644</v>
      </c>
    </row>
    <row r="1456" spans="1:6" x14ac:dyDescent="0.35">
      <c r="A1456" s="42" t="s">
        <v>663</v>
      </c>
      <c r="B1456" s="42">
        <v>1739.88</v>
      </c>
      <c r="C1456" s="43">
        <v>0.1</v>
      </c>
      <c r="D1456" s="45">
        <v>45962</v>
      </c>
      <c r="E1456" s="45">
        <v>45991.999305555553</v>
      </c>
      <c r="F1456" s="42" t="s">
        <v>644</v>
      </c>
    </row>
    <row r="1457" spans="1:6" x14ac:dyDescent="0.35">
      <c r="A1457" s="42" t="s">
        <v>664</v>
      </c>
      <c r="B1457" s="42">
        <v>3459.88</v>
      </c>
      <c r="C1457" s="43">
        <v>0.1</v>
      </c>
      <c r="D1457" s="45">
        <v>45962</v>
      </c>
      <c r="E1457" s="45">
        <v>45991.999305555553</v>
      </c>
      <c r="F1457" s="42" t="s">
        <v>644</v>
      </c>
    </row>
    <row r="1458" spans="1:6" x14ac:dyDescent="0.35">
      <c r="A1458" s="42" t="s">
        <v>665</v>
      </c>
      <c r="B1458" s="42">
        <v>2449.88</v>
      </c>
      <c r="C1458" s="43">
        <v>0.1</v>
      </c>
      <c r="D1458" s="45">
        <v>45962</v>
      </c>
      <c r="E1458" s="45">
        <v>45991.999305555553</v>
      </c>
      <c r="F1458" s="42" t="s">
        <v>644</v>
      </c>
    </row>
    <row r="1459" spans="1:6" x14ac:dyDescent="0.35">
      <c r="A1459" s="42" t="s">
        <v>666</v>
      </c>
      <c r="B1459" s="42">
        <v>1049.8800000000001</v>
      </c>
      <c r="C1459" s="43">
        <v>0.1</v>
      </c>
      <c r="D1459" s="45">
        <v>45962</v>
      </c>
      <c r="E1459" s="45">
        <v>45991.999305555553</v>
      </c>
      <c r="F1459" s="42" t="s">
        <v>644</v>
      </c>
    </row>
    <row r="1460" spans="1:6" x14ac:dyDescent="0.35">
      <c r="A1460" s="42" t="s">
        <v>611</v>
      </c>
      <c r="B1460" s="42">
        <v>1449.88</v>
      </c>
      <c r="C1460" s="43">
        <v>0.1</v>
      </c>
      <c r="D1460" s="45">
        <v>45962</v>
      </c>
      <c r="E1460" s="45">
        <v>45991.999305555553</v>
      </c>
      <c r="F1460" s="42" t="s">
        <v>644</v>
      </c>
    </row>
    <row r="1461" spans="1:6" x14ac:dyDescent="0.35">
      <c r="A1461" s="42" t="s">
        <v>75</v>
      </c>
      <c r="B1461" s="42">
        <v>439.88</v>
      </c>
      <c r="C1461" s="43">
        <v>0.1</v>
      </c>
      <c r="D1461" s="45">
        <v>45962</v>
      </c>
      <c r="E1461" s="45">
        <v>45991.999305555553</v>
      </c>
      <c r="F1461" s="42" t="s">
        <v>644</v>
      </c>
    </row>
    <row r="1462" spans="1:6" x14ac:dyDescent="0.35">
      <c r="A1462" s="42" t="s">
        <v>564</v>
      </c>
      <c r="B1462" s="42">
        <v>439.88</v>
      </c>
      <c r="C1462" s="43">
        <v>0.1</v>
      </c>
      <c r="D1462" s="45">
        <v>45962</v>
      </c>
      <c r="E1462" s="45">
        <v>45991.999305555553</v>
      </c>
      <c r="F1462" s="42" t="s">
        <v>644</v>
      </c>
    </row>
    <row r="1463" spans="1:6" x14ac:dyDescent="0.35">
      <c r="A1463" s="42" t="s">
        <v>668</v>
      </c>
      <c r="B1463" s="42">
        <v>2599.88</v>
      </c>
      <c r="C1463" s="43">
        <v>0.1</v>
      </c>
      <c r="D1463" s="45">
        <v>45962</v>
      </c>
      <c r="E1463" s="45">
        <v>45991.999305555553</v>
      </c>
      <c r="F1463" s="42" t="s">
        <v>644</v>
      </c>
    </row>
    <row r="1464" spans="1:6" x14ac:dyDescent="0.35">
      <c r="A1464" s="42" t="s">
        <v>672</v>
      </c>
      <c r="B1464" s="42">
        <v>1259.8800000000001</v>
      </c>
      <c r="C1464" s="43">
        <v>0.1</v>
      </c>
      <c r="D1464" s="45">
        <v>45962</v>
      </c>
      <c r="E1464" s="45">
        <v>45991.999305555553</v>
      </c>
      <c r="F1464" s="42" t="s">
        <v>644</v>
      </c>
    </row>
    <row r="1465" spans="1:6" x14ac:dyDescent="0.35">
      <c r="A1465" s="42" t="s">
        <v>673</v>
      </c>
      <c r="B1465" s="42">
        <v>1229.8800000000001</v>
      </c>
      <c r="C1465" s="43">
        <v>0.1</v>
      </c>
      <c r="D1465" s="45">
        <v>45962</v>
      </c>
      <c r="E1465" s="45">
        <v>45991.999305555553</v>
      </c>
      <c r="F1465" s="42" t="s">
        <v>644</v>
      </c>
    </row>
    <row r="1466" spans="1:6" x14ac:dyDescent="0.35">
      <c r="A1466" s="42" t="s">
        <v>612</v>
      </c>
      <c r="B1466" s="42">
        <v>939.88</v>
      </c>
      <c r="C1466" s="43">
        <v>0.1</v>
      </c>
      <c r="D1466" s="45">
        <v>45962</v>
      </c>
      <c r="E1466" s="45">
        <v>45991.999305555553</v>
      </c>
      <c r="F1466" s="42" t="s">
        <v>644</v>
      </c>
    </row>
    <row r="1467" spans="1:6" x14ac:dyDescent="0.35">
      <c r="A1467" s="42" t="s">
        <v>604</v>
      </c>
      <c r="B1467" s="42">
        <v>869.88</v>
      </c>
      <c r="C1467" s="43">
        <v>0.1</v>
      </c>
      <c r="D1467" s="45">
        <v>45962</v>
      </c>
      <c r="E1467" s="45">
        <v>45991.999305555553</v>
      </c>
      <c r="F1467" s="42" t="s">
        <v>644</v>
      </c>
    </row>
    <row r="1468" spans="1:6" x14ac:dyDescent="0.35">
      <c r="A1468" s="42" t="s">
        <v>23</v>
      </c>
      <c r="B1468" s="42">
        <v>439.88</v>
      </c>
      <c r="C1468" s="43">
        <v>0.1</v>
      </c>
      <c r="D1468" s="45">
        <v>45962</v>
      </c>
      <c r="E1468" s="45">
        <v>45991.999305555553</v>
      </c>
      <c r="F1468" s="42" t="s">
        <v>644</v>
      </c>
    </row>
    <row r="1469" spans="1:6" x14ac:dyDescent="0.35">
      <c r="A1469" s="42" t="s">
        <v>316</v>
      </c>
      <c r="B1469" s="42">
        <v>1739.88</v>
      </c>
      <c r="C1469" s="43">
        <v>0.1</v>
      </c>
      <c r="D1469" s="45">
        <v>45962</v>
      </c>
      <c r="E1469" s="45">
        <v>45991.999305555553</v>
      </c>
      <c r="F1469" s="42" t="s">
        <v>644</v>
      </c>
    </row>
    <row r="1470" spans="1:6" x14ac:dyDescent="0.35">
      <c r="A1470" s="42" t="s">
        <v>610</v>
      </c>
      <c r="B1470" s="42">
        <v>1779.88</v>
      </c>
      <c r="C1470" s="43">
        <v>0.1</v>
      </c>
      <c r="D1470" s="45">
        <v>45962</v>
      </c>
      <c r="E1470" s="45">
        <v>45991.999305555553</v>
      </c>
      <c r="F1470" s="42" t="s">
        <v>644</v>
      </c>
    </row>
    <row r="1471" spans="1:6" x14ac:dyDescent="0.35">
      <c r="A1471" s="42" t="s">
        <v>33</v>
      </c>
      <c r="B1471" s="42">
        <v>919.88</v>
      </c>
      <c r="C1471" s="43">
        <v>0.1</v>
      </c>
      <c r="D1471" s="45">
        <v>45962</v>
      </c>
      <c r="E1471" s="45">
        <v>45991.999305555553</v>
      </c>
      <c r="F1471" s="42" t="s">
        <v>644</v>
      </c>
    </row>
    <row r="1472" spans="1:6" x14ac:dyDescent="0.35">
      <c r="A1472" s="42" t="s">
        <v>646</v>
      </c>
      <c r="B1472" s="42">
        <v>499.88</v>
      </c>
      <c r="C1472" s="43">
        <v>0.13</v>
      </c>
      <c r="D1472" s="45">
        <v>45962</v>
      </c>
      <c r="E1472" s="45">
        <v>45991.999305555553</v>
      </c>
      <c r="F1472" s="42" t="s">
        <v>644</v>
      </c>
    </row>
    <row r="1473" spans="1:6" x14ac:dyDescent="0.35">
      <c r="A1473" s="42" t="s">
        <v>37</v>
      </c>
      <c r="B1473" s="42">
        <v>1479.88</v>
      </c>
      <c r="C1473" s="43">
        <v>0.13</v>
      </c>
      <c r="D1473" s="45">
        <v>45962</v>
      </c>
      <c r="E1473" s="45">
        <v>45991.999305555553</v>
      </c>
      <c r="F1473" s="42" t="s">
        <v>644</v>
      </c>
    </row>
    <row r="1474" spans="1:6" x14ac:dyDescent="0.35">
      <c r="A1474" s="42" t="s">
        <v>647</v>
      </c>
      <c r="B1474" s="42">
        <v>1669.88</v>
      </c>
      <c r="C1474" s="43">
        <v>0.13</v>
      </c>
      <c r="D1474" s="45">
        <v>45962</v>
      </c>
      <c r="E1474" s="45">
        <v>45991.999305555553</v>
      </c>
      <c r="F1474" s="42" t="s">
        <v>644</v>
      </c>
    </row>
    <row r="1475" spans="1:6" x14ac:dyDescent="0.35">
      <c r="A1475" s="42" t="s">
        <v>661</v>
      </c>
      <c r="B1475" s="42">
        <v>2549.88</v>
      </c>
      <c r="C1475" s="43">
        <v>0.13</v>
      </c>
      <c r="D1475" s="45">
        <v>45962</v>
      </c>
      <c r="E1475" s="45">
        <v>45991.999305555553</v>
      </c>
      <c r="F1475" s="42" t="s">
        <v>644</v>
      </c>
    </row>
    <row r="1476" spans="1:6" x14ac:dyDescent="0.35">
      <c r="A1476" s="42" t="s">
        <v>654</v>
      </c>
      <c r="B1476" s="42">
        <v>619.88</v>
      </c>
      <c r="C1476" s="43">
        <v>0.13</v>
      </c>
      <c r="D1476" s="45">
        <v>45962</v>
      </c>
      <c r="E1476" s="45">
        <v>45991.999305555553</v>
      </c>
      <c r="F1476" s="42" t="s">
        <v>644</v>
      </c>
    </row>
    <row r="1477" spans="1:6" x14ac:dyDescent="0.35">
      <c r="A1477" s="42" t="s">
        <v>613</v>
      </c>
      <c r="B1477" s="42">
        <v>719.88</v>
      </c>
      <c r="C1477" s="43">
        <v>0.13</v>
      </c>
      <c r="D1477" s="45">
        <v>45962</v>
      </c>
      <c r="E1477" s="45">
        <v>45991.999305555553</v>
      </c>
      <c r="F1477" s="42" t="s">
        <v>644</v>
      </c>
    </row>
    <row r="1478" spans="1:6" x14ac:dyDescent="0.35">
      <c r="A1478" s="42" t="s">
        <v>283</v>
      </c>
      <c r="B1478" s="42">
        <v>819.88</v>
      </c>
      <c r="C1478" s="43">
        <v>0.13</v>
      </c>
      <c r="D1478" s="45">
        <v>45962</v>
      </c>
      <c r="E1478" s="45">
        <v>45991.999305555553</v>
      </c>
      <c r="F1478" s="42" t="s">
        <v>644</v>
      </c>
    </row>
    <row r="1479" spans="1:6" x14ac:dyDescent="0.35">
      <c r="A1479" s="42" t="s">
        <v>675</v>
      </c>
      <c r="B1479" s="42">
        <v>819.88</v>
      </c>
      <c r="C1479" s="43">
        <v>0.13</v>
      </c>
      <c r="D1479" s="45">
        <v>45962</v>
      </c>
      <c r="E1479" s="45">
        <v>45991.999305555553</v>
      </c>
      <c r="F1479" s="42" t="s">
        <v>644</v>
      </c>
    </row>
    <row r="1480" spans="1:6" x14ac:dyDescent="0.35">
      <c r="A1480" s="42" t="s">
        <v>609</v>
      </c>
      <c r="B1480" s="42">
        <v>1719.88</v>
      </c>
      <c r="C1480" s="43">
        <v>0.13</v>
      </c>
      <c r="D1480" s="45">
        <v>45962</v>
      </c>
      <c r="E1480" s="45">
        <v>45991.999305555553</v>
      </c>
      <c r="F1480" s="42" t="s">
        <v>644</v>
      </c>
    </row>
    <row r="1481" spans="1:6" x14ac:dyDescent="0.35">
      <c r="A1481" s="42" t="s">
        <v>594</v>
      </c>
      <c r="B1481" s="42">
        <v>1719.88</v>
      </c>
      <c r="C1481" s="43">
        <v>0.13</v>
      </c>
      <c r="D1481" s="45">
        <v>45962</v>
      </c>
      <c r="E1481" s="45">
        <v>45991.999305555553</v>
      </c>
      <c r="F1481" s="42" t="s">
        <v>644</v>
      </c>
    </row>
    <row r="1482" spans="1:6" x14ac:dyDescent="0.35">
      <c r="A1482" s="42" t="s">
        <v>55</v>
      </c>
      <c r="B1482" s="42">
        <v>749.88</v>
      </c>
      <c r="C1482" s="43">
        <v>0.13</v>
      </c>
      <c r="D1482" s="45">
        <v>45962</v>
      </c>
      <c r="E1482" s="45">
        <v>45991.999305555553</v>
      </c>
      <c r="F1482" s="42" t="s">
        <v>644</v>
      </c>
    </row>
    <row r="1483" spans="1:6" x14ac:dyDescent="0.35">
      <c r="A1483" s="42" t="s">
        <v>608</v>
      </c>
      <c r="B1483" s="42">
        <v>1259.8800000000001</v>
      </c>
      <c r="C1483" s="43">
        <v>0.13</v>
      </c>
      <c r="D1483" s="45">
        <v>45962</v>
      </c>
      <c r="E1483" s="45">
        <v>45991.999305555553</v>
      </c>
      <c r="F1483" s="42" t="s">
        <v>644</v>
      </c>
    </row>
    <row r="1484" spans="1:6" x14ac:dyDescent="0.35">
      <c r="A1484" s="42" t="s">
        <v>667</v>
      </c>
      <c r="B1484" s="42">
        <v>1259.8800000000001</v>
      </c>
      <c r="C1484" s="43">
        <v>0.13</v>
      </c>
      <c r="D1484" s="45">
        <v>45962</v>
      </c>
      <c r="E1484" s="45">
        <v>45991.999305555553</v>
      </c>
      <c r="F1484" s="42" t="s">
        <v>644</v>
      </c>
    </row>
    <row r="1485" spans="1:6" x14ac:dyDescent="0.35">
      <c r="A1485" s="42" t="s">
        <v>61</v>
      </c>
      <c r="B1485" s="42">
        <v>1259.8800000000001</v>
      </c>
      <c r="C1485" s="43">
        <v>0.13</v>
      </c>
      <c r="D1485" s="45">
        <v>45962</v>
      </c>
      <c r="E1485" s="45">
        <v>45991.999305555553</v>
      </c>
      <c r="F1485" s="42" t="s">
        <v>644</v>
      </c>
    </row>
    <row r="1486" spans="1:6" x14ac:dyDescent="0.35">
      <c r="A1486" s="42" t="s">
        <v>270</v>
      </c>
      <c r="B1486" s="42">
        <v>1259.8800000000001</v>
      </c>
      <c r="C1486" s="43">
        <v>0.13</v>
      </c>
      <c r="D1486" s="45">
        <v>45962</v>
      </c>
      <c r="E1486" s="45">
        <v>45991.999305555553</v>
      </c>
      <c r="F1486" s="42" t="s">
        <v>644</v>
      </c>
    </row>
    <row r="1487" spans="1:6" x14ac:dyDescent="0.35">
      <c r="A1487" s="42" t="s">
        <v>671</v>
      </c>
      <c r="B1487" s="42">
        <v>1359.88</v>
      </c>
      <c r="C1487" s="43">
        <v>0.13</v>
      </c>
      <c r="D1487" s="45">
        <v>45962</v>
      </c>
      <c r="E1487" s="45">
        <v>45991.999305555553</v>
      </c>
      <c r="F1487" s="42" t="s">
        <v>644</v>
      </c>
    </row>
    <row r="1488" spans="1:6" x14ac:dyDescent="0.35">
      <c r="A1488" s="42" t="s">
        <v>407</v>
      </c>
      <c r="B1488" s="42">
        <v>1979.88</v>
      </c>
      <c r="C1488" s="43">
        <v>0.13</v>
      </c>
      <c r="D1488" s="45">
        <v>45962</v>
      </c>
      <c r="E1488" s="45">
        <v>45991.999305555553</v>
      </c>
      <c r="F1488" s="42" t="s">
        <v>644</v>
      </c>
    </row>
    <row r="1489" spans="1:6" x14ac:dyDescent="0.35">
      <c r="A1489" s="42" t="s">
        <v>670</v>
      </c>
      <c r="B1489" s="42">
        <v>1979.88</v>
      </c>
      <c r="C1489" s="43">
        <v>0.13</v>
      </c>
      <c r="D1489" s="45">
        <v>45962</v>
      </c>
      <c r="E1489" s="45">
        <v>45991.999305555553</v>
      </c>
      <c r="F1489" s="42" t="s">
        <v>644</v>
      </c>
    </row>
    <row r="1490" spans="1:6" x14ac:dyDescent="0.35">
      <c r="A1490" s="42" t="s">
        <v>615</v>
      </c>
      <c r="B1490" s="42">
        <v>559.88</v>
      </c>
      <c r="C1490" s="43">
        <v>0.13</v>
      </c>
      <c r="D1490" s="45">
        <v>45962</v>
      </c>
      <c r="E1490" s="45">
        <v>45991.999305555553</v>
      </c>
      <c r="F1490" s="42" t="s">
        <v>644</v>
      </c>
    </row>
    <row r="1491" spans="1:6" x14ac:dyDescent="0.35">
      <c r="A1491" s="42" t="s">
        <v>602</v>
      </c>
      <c r="B1491" s="42">
        <v>559.88</v>
      </c>
      <c r="C1491" s="43">
        <v>0.13</v>
      </c>
      <c r="D1491" s="45">
        <v>45962</v>
      </c>
      <c r="E1491" s="45">
        <v>45991.999305555553</v>
      </c>
      <c r="F1491" s="42" t="s">
        <v>644</v>
      </c>
    </row>
    <row r="1492" spans="1:6" x14ac:dyDescent="0.35">
      <c r="A1492" s="42" t="s">
        <v>589</v>
      </c>
      <c r="B1492" s="42">
        <v>659.88</v>
      </c>
      <c r="C1492" s="43">
        <v>0.13</v>
      </c>
      <c r="D1492" s="45">
        <v>45962</v>
      </c>
      <c r="E1492" s="45">
        <v>45991.999305555553</v>
      </c>
      <c r="F1492" s="42" t="s">
        <v>644</v>
      </c>
    </row>
    <row r="1493" spans="1:6" x14ac:dyDescent="0.35">
      <c r="A1493" s="42" t="s">
        <v>605</v>
      </c>
      <c r="B1493" s="42">
        <v>659.88</v>
      </c>
      <c r="C1493" s="43">
        <v>0.13</v>
      </c>
      <c r="D1493" s="45">
        <v>45962</v>
      </c>
      <c r="E1493" s="45">
        <v>45991.999305555553</v>
      </c>
      <c r="F1493" s="42" t="s">
        <v>644</v>
      </c>
    </row>
    <row r="1494" spans="1:6" x14ac:dyDescent="0.35">
      <c r="A1494" s="42" t="s">
        <v>523</v>
      </c>
      <c r="B1494" s="42">
        <v>869.88</v>
      </c>
      <c r="C1494" s="43">
        <v>0.13</v>
      </c>
      <c r="D1494" s="45">
        <v>45962</v>
      </c>
      <c r="E1494" s="45">
        <v>45991.999305555553</v>
      </c>
      <c r="F1494" s="42" t="s">
        <v>644</v>
      </c>
    </row>
    <row r="1495" spans="1:6" x14ac:dyDescent="0.35">
      <c r="A1495" s="42" t="s">
        <v>650</v>
      </c>
      <c r="B1495" s="42">
        <v>1189.8800000000001</v>
      </c>
      <c r="C1495" s="43">
        <v>0.13</v>
      </c>
      <c r="D1495" s="45">
        <v>45962</v>
      </c>
      <c r="E1495" s="45">
        <v>45991.999305555553</v>
      </c>
      <c r="F1495" s="42" t="s">
        <v>644</v>
      </c>
    </row>
    <row r="1496" spans="1:6" x14ac:dyDescent="0.35">
      <c r="A1496" s="42" t="s">
        <v>674</v>
      </c>
      <c r="B1496" s="42">
        <v>1189.8800000000001</v>
      </c>
      <c r="C1496" s="43">
        <v>0.13</v>
      </c>
      <c r="D1496" s="45">
        <v>45962</v>
      </c>
      <c r="E1496" s="45">
        <v>45991.999305555553</v>
      </c>
      <c r="F1496" s="42" t="s">
        <v>644</v>
      </c>
    </row>
    <row r="1497" spans="1:6" x14ac:dyDescent="0.35">
      <c r="A1497" s="42" t="s">
        <v>267</v>
      </c>
      <c r="B1497" s="42">
        <v>1189.8800000000001</v>
      </c>
      <c r="C1497" s="43">
        <v>0.13</v>
      </c>
      <c r="D1497" s="45">
        <v>45962</v>
      </c>
      <c r="E1497" s="45">
        <v>45991.999305555553</v>
      </c>
      <c r="F1497" s="42" t="s">
        <v>644</v>
      </c>
    </row>
    <row r="1498" spans="1:6" x14ac:dyDescent="0.35">
      <c r="A1498" s="42" t="s">
        <v>488</v>
      </c>
      <c r="B1498" s="42">
        <v>1399.88</v>
      </c>
      <c r="C1498" s="43">
        <v>0.13</v>
      </c>
      <c r="D1498" s="45">
        <v>45962</v>
      </c>
      <c r="E1498" s="45">
        <v>45991.999305555553</v>
      </c>
      <c r="F1498" s="42" t="s">
        <v>644</v>
      </c>
    </row>
    <row r="1499" spans="1:6" x14ac:dyDescent="0.35">
      <c r="A1499" s="42" t="s">
        <v>104</v>
      </c>
      <c r="B1499" s="42">
        <v>1399.88</v>
      </c>
      <c r="C1499" s="43">
        <v>0.13</v>
      </c>
      <c r="D1499" s="45">
        <v>45962</v>
      </c>
      <c r="E1499" s="45">
        <v>45991.999305555553</v>
      </c>
      <c r="F1499" s="42" t="s">
        <v>644</v>
      </c>
    </row>
    <row r="1500" spans="1:6" x14ac:dyDescent="0.35">
      <c r="A1500" s="42" t="s">
        <v>669</v>
      </c>
      <c r="B1500" s="42">
        <v>2339.88</v>
      </c>
      <c r="C1500" s="43">
        <v>0.13</v>
      </c>
      <c r="D1500" s="45">
        <v>45962</v>
      </c>
      <c r="E1500" s="45">
        <v>45991.999305555553</v>
      </c>
      <c r="F1500" s="42" t="s">
        <v>644</v>
      </c>
    </row>
    <row r="1501" spans="1:6" x14ac:dyDescent="0.35">
      <c r="A1501" s="42" t="s">
        <v>643</v>
      </c>
      <c r="B1501" s="42">
        <v>2039.88</v>
      </c>
      <c r="C1501" s="43">
        <v>0.13</v>
      </c>
      <c r="D1501" s="45">
        <v>45962</v>
      </c>
      <c r="E1501" s="45">
        <v>45991.999305555553</v>
      </c>
      <c r="F1501" s="42" t="s">
        <v>644</v>
      </c>
    </row>
    <row r="1502" spans="1:6" x14ac:dyDescent="0.35">
      <c r="A1502" s="42" t="s">
        <v>645</v>
      </c>
      <c r="B1502" s="42">
        <v>1679.88</v>
      </c>
      <c r="C1502" s="43">
        <v>0.13</v>
      </c>
      <c r="D1502" s="45">
        <v>45962</v>
      </c>
      <c r="E1502" s="45">
        <v>45991.999305555553</v>
      </c>
      <c r="F1502" s="42" t="s">
        <v>644</v>
      </c>
    </row>
    <row r="1503" spans="1:6" x14ac:dyDescent="0.35">
      <c r="A1503" s="42" t="s">
        <v>648</v>
      </c>
      <c r="B1503" s="42">
        <v>2429.88</v>
      </c>
      <c r="C1503" s="43">
        <v>0.13</v>
      </c>
      <c r="D1503" s="45">
        <v>45962</v>
      </c>
      <c r="E1503" s="45">
        <v>45991.999305555553</v>
      </c>
      <c r="F1503" s="42" t="s">
        <v>644</v>
      </c>
    </row>
    <row r="1504" spans="1:6" x14ac:dyDescent="0.35">
      <c r="A1504" s="42" t="s">
        <v>649</v>
      </c>
      <c r="B1504" s="42">
        <v>3399.88</v>
      </c>
      <c r="C1504" s="43">
        <v>0.13</v>
      </c>
      <c r="D1504" s="45">
        <v>45962</v>
      </c>
      <c r="E1504" s="45">
        <v>45991.999305555553</v>
      </c>
      <c r="F1504" s="42" t="s">
        <v>644</v>
      </c>
    </row>
    <row r="1505" spans="1:6" x14ac:dyDescent="0.35">
      <c r="A1505" s="42" t="s">
        <v>651</v>
      </c>
      <c r="B1505" s="42">
        <v>1529.88</v>
      </c>
      <c r="C1505" s="43">
        <v>0.13</v>
      </c>
      <c r="D1505" s="45">
        <v>45962</v>
      </c>
      <c r="E1505" s="45">
        <v>45991.999305555553</v>
      </c>
      <c r="F1505" s="42" t="s">
        <v>644</v>
      </c>
    </row>
    <row r="1506" spans="1:6" x14ac:dyDescent="0.35">
      <c r="A1506" s="42" t="s">
        <v>652</v>
      </c>
      <c r="B1506" s="42">
        <v>1139.8800000000001</v>
      </c>
      <c r="C1506" s="43">
        <v>0.13</v>
      </c>
      <c r="D1506" s="45">
        <v>45962</v>
      </c>
      <c r="E1506" s="45">
        <v>45991.999305555553</v>
      </c>
      <c r="F1506" s="42" t="s">
        <v>644</v>
      </c>
    </row>
    <row r="1507" spans="1:6" x14ac:dyDescent="0.35">
      <c r="A1507" s="42" t="s">
        <v>653</v>
      </c>
      <c r="B1507" s="42">
        <v>2679.88</v>
      </c>
      <c r="C1507" s="43">
        <v>0.13</v>
      </c>
      <c r="D1507" s="45">
        <v>45962</v>
      </c>
      <c r="E1507" s="45">
        <v>45991.999305555553</v>
      </c>
      <c r="F1507" s="42" t="s">
        <v>644</v>
      </c>
    </row>
    <row r="1508" spans="1:6" x14ac:dyDescent="0.35">
      <c r="A1508" s="42" t="s">
        <v>655</v>
      </c>
      <c r="B1508" s="42">
        <v>2479.88</v>
      </c>
      <c r="C1508" s="43">
        <v>0.13</v>
      </c>
      <c r="D1508" s="45">
        <v>45962</v>
      </c>
      <c r="E1508" s="45">
        <v>45991.999305555553</v>
      </c>
      <c r="F1508" s="42" t="s">
        <v>644</v>
      </c>
    </row>
    <row r="1509" spans="1:6" x14ac:dyDescent="0.35">
      <c r="A1509" s="42" t="s">
        <v>656</v>
      </c>
      <c r="B1509" s="42">
        <v>1089.8800000000001</v>
      </c>
      <c r="C1509" s="43">
        <v>0.13</v>
      </c>
      <c r="D1509" s="45">
        <v>45962</v>
      </c>
      <c r="E1509" s="45">
        <v>45991.999305555553</v>
      </c>
      <c r="F1509" s="42" t="s">
        <v>644</v>
      </c>
    </row>
    <row r="1510" spans="1:6" x14ac:dyDescent="0.35">
      <c r="A1510" s="42" t="s">
        <v>657</v>
      </c>
      <c r="B1510" s="42">
        <v>679.88</v>
      </c>
      <c r="C1510" s="43">
        <v>0.13</v>
      </c>
      <c r="D1510" s="45">
        <v>45962</v>
      </c>
      <c r="E1510" s="45">
        <v>45991.999305555553</v>
      </c>
      <c r="F1510" s="42" t="s">
        <v>644</v>
      </c>
    </row>
    <row r="1511" spans="1:6" x14ac:dyDescent="0.35">
      <c r="A1511" s="42" t="s">
        <v>658</v>
      </c>
      <c r="B1511" s="42">
        <v>1579.88</v>
      </c>
      <c r="C1511" s="43">
        <v>0.13</v>
      </c>
      <c r="D1511" s="45">
        <v>45962</v>
      </c>
      <c r="E1511" s="45">
        <v>45991.999305555553</v>
      </c>
      <c r="F1511" s="42" t="s">
        <v>644</v>
      </c>
    </row>
    <row r="1512" spans="1:6" x14ac:dyDescent="0.35">
      <c r="A1512" s="42" t="s">
        <v>659</v>
      </c>
      <c r="B1512" s="42">
        <v>1579.88</v>
      </c>
      <c r="C1512" s="43">
        <v>0.13</v>
      </c>
      <c r="D1512" s="45">
        <v>45962</v>
      </c>
      <c r="E1512" s="45">
        <v>45991.999305555553</v>
      </c>
      <c r="F1512" s="42" t="s">
        <v>644</v>
      </c>
    </row>
    <row r="1513" spans="1:6" x14ac:dyDescent="0.35">
      <c r="A1513" s="42" t="s">
        <v>660</v>
      </c>
      <c r="B1513" s="42">
        <v>1229.8800000000001</v>
      </c>
      <c r="C1513" s="43">
        <v>0.13</v>
      </c>
      <c r="D1513" s="45">
        <v>45962</v>
      </c>
      <c r="E1513" s="45">
        <v>45991.999305555553</v>
      </c>
      <c r="F1513" s="42" t="s">
        <v>644</v>
      </c>
    </row>
    <row r="1514" spans="1:6" x14ac:dyDescent="0.35">
      <c r="A1514" s="42" t="s">
        <v>464</v>
      </c>
      <c r="B1514" s="42">
        <v>1399.88</v>
      </c>
      <c r="C1514" s="43">
        <v>0.13</v>
      </c>
      <c r="D1514" s="45">
        <v>45962</v>
      </c>
      <c r="E1514" s="45">
        <v>45991.999305555553</v>
      </c>
      <c r="F1514" s="42" t="s">
        <v>644</v>
      </c>
    </row>
    <row r="1515" spans="1:6" x14ac:dyDescent="0.35">
      <c r="A1515" s="42" t="s">
        <v>460</v>
      </c>
      <c r="B1515" s="42">
        <v>1399.88</v>
      </c>
      <c r="C1515" s="43">
        <v>0.13</v>
      </c>
      <c r="D1515" s="45">
        <v>45962</v>
      </c>
      <c r="E1515" s="45">
        <v>45991.999305555553</v>
      </c>
      <c r="F1515" s="42" t="s">
        <v>644</v>
      </c>
    </row>
    <row r="1516" spans="1:6" x14ac:dyDescent="0.35">
      <c r="A1516" s="42" t="s">
        <v>662</v>
      </c>
      <c r="B1516" s="42">
        <v>2029.88</v>
      </c>
      <c r="C1516" s="43">
        <v>0.13</v>
      </c>
      <c r="D1516" s="45">
        <v>45962</v>
      </c>
      <c r="E1516" s="45">
        <v>45991.999305555553</v>
      </c>
      <c r="F1516" s="42" t="s">
        <v>644</v>
      </c>
    </row>
    <row r="1517" spans="1:6" x14ac:dyDescent="0.35">
      <c r="A1517" s="42" t="s">
        <v>607</v>
      </c>
      <c r="B1517" s="42">
        <v>2679.88</v>
      </c>
      <c r="C1517" s="43">
        <v>0.13</v>
      </c>
      <c r="D1517" s="45">
        <v>45962</v>
      </c>
      <c r="E1517" s="45">
        <v>45991.999305555553</v>
      </c>
      <c r="F1517" s="42" t="s">
        <v>644</v>
      </c>
    </row>
    <row r="1518" spans="1:6" x14ac:dyDescent="0.35">
      <c r="A1518" s="42" t="s">
        <v>663</v>
      </c>
      <c r="B1518" s="42">
        <v>1799.88</v>
      </c>
      <c r="C1518" s="43">
        <v>0.13</v>
      </c>
      <c r="D1518" s="45">
        <v>45962</v>
      </c>
      <c r="E1518" s="45">
        <v>45991.999305555553</v>
      </c>
      <c r="F1518" s="42" t="s">
        <v>644</v>
      </c>
    </row>
    <row r="1519" spans="1:6" x14ac:dyDescent="0.35">
      <c r="A1519" s="42" t="s">
        <v>664</v>
      </c>
      <c r="B1519" s="42">
        <v>3569.88</v>
      </c>
      <c r="C1519" s="43">
        <v>0.13</v>
      </c>
      <c r="D1519" s="45">
        <v>45962</v>
      </c>
      <c r="E1519" s="45">
        <v>45991.999305555553</v>
      </c>
      <c r="F1519" s="42" t="s">
        <v>644</v>
      </c>
    </row>
    <row r="1520" spans="1:6" x14ac:dyDescent="0.35">
      <c r="A1520" s="42" t="s">
        <v>665</v>
      </c>
      <c r="B1520" s="42">
        <v>2529.88</v>
      </c>
      <c r="C1520" s="43">
        <v>0.13</v>
      </c>
      <c r="D1520" s="45">
        <v>45962</v>
      </c>
      <c r="E1520" s="45">
        <v>45991.999305555553</v>
      </c>
      <c r="F1520" s="42" t="s">
        <v>644</v>
      </c>
    </row>
    <row r="1521" spans="1:6" x14ac:dyDescent="0.35">
      <c r="A1521" s="42" t="s">
        <v>666</v>
      </c>
      <c r="B1521" s="42">
        <v>1089.8800000000001</v>
      </c>
      <c r="C1521" s="43">
        <v>0.13</v>
      </c>
      <c r="D1521" s="45">
        <v>45962</v>
      </c>
      <c r="E1521" s="45">
        <v>45991.999305555553</v>
      </c>
      <c r="F1521" s="42" t="s">
        <v>644</v>
      </c>
    </row>
    <row r="1522" spans="1:6" x14ac:dyDescent="0.35">
      <c r="A1522" s="42" t="s">
        <v>611</v>
      </c>
      <c r="B1522" s="42">
        <v>1499.88</v>
      </c>
      <c r="C1522" s="43">
        <v>0.13</v>
      </c>
      <c r="D1522" s="45">
        <v>45962</v>
      </c>
      <c r="E1522" s="45">
        <v>45991.999305555553</v>
      </c>
      <c r="F1522" s="42" t="s">
        <v>644</v>
      </c>
    </row>
    <row r="1523" spans="1:6" x14ac:dyDescent="0.35">
      <c r="A1523" s="42" t="s">
        <v>75</v>
      </c>
      <c r="B1523" s="42">
        <v>459.88</v>
      </c>
      <c r="C1523" s="43">
        <v>0.13</v>
      </c>
      <c r="D1523" s="45">
        <v>45962</v>
      </c>
      <c r="E1523" s="45">
        <v>45991.999305555553</v>
      </c>
      <c r="F1523" s="42" t="s">
        <v>644</v>
      </c>
    </row>
    <row r="1524" spans="1:6" x14ac:dyDescent="0.35">
      <c r="A1524" s="42" t="s">
        <v>564</v>
      </c>
      <c r="B1524" s="42">
        <v>459.88</v>
      </c>
      <c r="C1524" s="43">
        <v>0.13</v>
      </c>
      <c r="D1524" s="45">
        <v>45962</v>
      </c>
      <c r="E1524" s="45">
        <v>45991.999305555553</v>
      </c>
      <c r="F1524" s="42" t="s">
        <v>644</v>
      </c>
    </row>
    <row r="1525" spans="1:6" x14ac:dyDescent="0.35">
      <c r="A1525" s="42" t="s">
        <v>668</v>
      </c>
      <c r="B1525" s="42">
        <v>2679.88</v>
      </c>
      <c r="C1525" s="43">
        <v>0.13</v>
      </c>
      <c r="D1525" s="45">
        <v>45962</v>
      </c>
      <c r="E1525" s="45">
        <v>45991.999305555553</v>
      </c>
      <c r="F1525" s="42" t="s">
        <v>644</v>
      </c>
    </row>
    <row r="1526" spans="1:6" x14ac:dyDescent="0.35">
      <c r="A1526" s="42" t="s">
        <v>672</v>
      </c>
      <c r="B1526" s="42">
        <v>1299.8800000000001</v>
      </c>
      <c r="C1526" s="43">
        <v>0.13</v>
      </c>
      <c r="D1526" s="45">
        <v>45962</v>
      </c>
      <c r="E1526" s="45">
        <v>45991.999305555553</v>
      </c>
      <c r="F1526" s="42" t="s">
        <v>644</v>
      </c>
    </row>
    <row r="1527" spans="1:6" x14ac:dyDescent="0.35">
      <c r="A1527" s="42" t="s">
        <v>673</v>
      </c>
      <c r="B1527" s="42">
        <v>1269.8800000000001</v>
      </c>
      <c r="C1527" s="43">
        <v>0.13</v>
      </c>
      <c r="D1527" s="45">
        <v>45962</v>
      </c>
      <c r="E1527" s="45">
        <v>45991.999305555553</v>
      </c>
      <c r="F1527" s="42" t="s">
        <v>644</v>
      </c>
    </row>
    <row r="1528" spans="1:6" x14ac:dyDescent="0.35">
      <c r="A1528" s="42" t="s">
        <v>612</v>
      </c>
      <c r="B1528" s="42">
        <v>969.88</v>
      </c>
      <c r="C1528" s="43">
        <v>0.13</v>
      </c>
      <c r="D1528" s="45">
        <v>45962</v>
      </c>
      <c r="E1528" s="45">
        <v>45991.999305555553</v>
      </c>
      <c r="F1528" s="42" t="s">
        <v>644</v>
      </c>
    </row>
    <row r="1529" spans="1:6" x14ac:dyDescent="0.35">
      <c r="A1529" s="42" t="s">
        <v>604</v>
      </c>
      <c r="B1529" s="42">
        <v>899.88</v>
      </c>
      <c r="C1529" s="43">
        <v>0.13</v>
      </c>
      <c r="D1529" s="45">
        <v>45962</v>
      </c>
      <c r="E1529" s="45">
        <v>45991.999305555553</v>
      </c>
      <c r="F1529" s="42" t="s">
        <v>644</v>
      </c>
    </row>
    <row r="1530" spans="1:6" x14ac:dyDescent="0.35">
      <c r="A1530" s="42" t="s">
        <v>23</v>
      </c>
      <c r="B1530" s="42">
        <v>459.88</v>
      </c>
      <c r="C1530" s="43">
        <v>0.13</v>
      </c>
      <c r="D1530" s="45">
        <v>45962</v>
      </c>
      <c r="E1530" s="45">
        <v>45991.999305555553</v>
      </c>
      <c r="F1530" s="42" t="s">
        <v>644</v>
      </c>
    </row>
    <row r="1531" spans="1:6" x14ac:dyDescent="0.35">
      <c r="A1531" s="42" t="s">
        <v>316</v>
      </c>
      <c r="B1531" s="42">
        <v>1799.88</v>
      </c>
      <c r="C1531" s="43">
        <v>0.13</v>
      </c>
      <c r="D1531" s="45">
        <v>45962</v>
      </c>
      <c r="E1531" s="45">
        <v>45991.999305555553</v>
      </c>
      <c r="F1531" s="42" t="s">
        <v>644</v>
      </c>
    </row>
    <row r="1532" spans="1:6" x14ac:dyDescent="0.35">
      <c r="A1532" s="42" t="s">
        <v>610</v>
      </c>
      <c r="B1532" s="42">
        <v>1839.88</v>
      </c>
      <c r="C1532" s="43">
        <v>0.13</v>
      </c>
      <c r="D1532" s="45">
        <v>45962</v>
      </c>
      <c r="E1532" s="45">
        <v>45991.999305555553</v>
      </c>
      <c r="F1532" s="42" t="s">
        <v>644</v>
      </c>
    </row>
    <row r="1533" spans="1:6" x14ac:dyDescent="0.35">
      <c r="A1533" s="42" t="s">
        <v>33</v>
      </c>
      <c r="B1533" s="42">
        <v>949.88</v>
      </c>
      <c r="C1533" s="43">
        <v>0.13</v>
      </c>
      <c r="D1533" s="45">
        <v>45962</v>
      </c>
      <c r="E1533" s="45">
        <v>45991.999305555553</v>
      </c>
      <c r="F1533" s="42" t="s">
        <v>644</v>
      </c>
    </row>
    <row r="1534" spans="1:6" x14ac:dyDescent="0.35">
      <c r="A1534" s="42" t="s">
        <v>646</v>
      </c>
      <c r="B1534" s="42">
        <v>519.88</v>
      </c>
      <c r="C1534" s="43">
        <v>0.15</v>
      </c>
      <c r="D1534" s="45">
        <v>45962</v>
      </c>
      <c r="E1534" s="45">
        <v>45991.999305555553</v>
      </c>
      <c r="F1534" s="42" t="s">
        <v>644</v>
      </c>
    </row>
    <row r="1535" spans="1:6" x14ac:dyDescent="0.35">
      <c r="A1535" s="42" t="s">
        <v>37</v>
      </c>
      <c r="B1535" s="42">
        <v>1519.88</v>
      </c>
      <c r="C1535" s="43">
        <v>0.15</v>
      </c>
      <c r="D1535" s="45">
        <v>45962</v>
      </c>
      <c r="E1535" s="45">
        <v>45991.999305555553</v>
      </c>
      <c r="F1535" s="42" t="s">
        <v>644</v>
      </c>
    </row>
    <row r="1536" spans="1:6" x14ac:dyDescent="0.35">
      <c r="A1536" s="42" t="s">
        <v>647</v>
      </c>
      <c r="B1536" s="42">
        <v>1719.88</v>
      </c>
      <c r="C1536" s="43">
        <v>0.15</v>
      </c>
      <c r="D1536" s="45">
        <v>45962</v>
      </c>
      <c r="E1536" s="45">
        <v>45991.999305555553</v>
      </c>
      <c r="F1536" s="42" t="s">
        <v>644</v>
      </c>
    </row>
    <row r="1537" spans="1:6" x14ac:dyDescent="0.35">
      <c r="A1537" s="42" t="s">
        <v>661</v>
      </c>
      <c r="B1537" s="42">
        <v>2619.88</v>
      </c>
      <c r="C1537" s="43">
        <v>0.15</v>
      </c>
      <c r="D1537" s="45">
        <v>45962</v>
      </c>
      <c r="E1537" s="45">
        <v>45991.999305555553</v>
      </c>
      <c r="F1537" s="42" t="s">
        <v>644</v>
      </c>
    </row>
    <row r="1538" spans="1:6" x14ac:dyDescent="0.35">
      <c r="A1538" s="42" t="s">
        <v>654</v>
      </c>
      <c r="B1538" s="42">
        <v>639.88</v>
      </c>
      <c r="C1538" s="43">
        <v>0.15</v>
      </c>
      <c r="D1538" s="45">
        <v>45962</v>
      </c>
      <c r="E1538" s="45">
        <v>45991.999305555553</v>
      </c>
      <c r="F1538" s="42" t="s">
        <v>644</v>
      </c>
    </row>
    <row r="1539" spans="1:6" x14ac:dyDescent="0.35">
      <c r="A1539" s="42" t="s">
        <v>613</v>
      </c>
      <c r="B1539" s="42">
        <v>739.88</v>
      </c>
      <c r="C1539" s="43">
        <v>0.15</v>
      </c>
      <c r="D1539" s="45">
        <v>45962</v>
      </c>
      <c r="E1539" s="45">
        <v>45991.999305555553</v>
      </c>
      <c r="F1539" s="42" t="s">
        <v>644</v>
      </c>
    </row>
    <row r="1540" spans="1:6" x14ac:dyDescent="0.35">
      <c r="A1540" s="42" t="s">
        <v>283</v>
      </c>
      <c r="B1540" s="42">
        <v>839.88</v>
      </c>
      <c r="C1540" s="43">
        <v>0.15</v>
      </c>
      <c r="D1540" s="45">
        <v>45962</v>
      </c>
      <c r="E1540" s="45">
        <v>45991.999305555553</v>
      </c>
      <c r="F1540" s="42" t="s">
        <v>644</v>
      </c>
    </row>
    <row r="1541" spans="1:6" x14ac:dyDescent="0.35">
      <c r="A1541" s="42" t="s">
        <v>675</v>
      </c>
      <c r="B1541" s="42">
        <v>839.88</v>
      </c>
      <c r="C1541" s="43">
        <v>0.15</v>
      </c>
      <c r="D1541" s="45">
        <v>45962</v>
      </c>
      <c r="E1541" s="45">
        <v>45991.999305555553</v>
      </c>
      <c r="F1541" s="42" t="s">
        <v>644</v>
      </c>
    </row>
    <row r="1542" spans="1:6" x14ac:dyDescent="0.35">
      <c r="A1542" s="42" t="s">
        <v>609</v>
      </c>
      <c r="B1542" s="42">
        <v>1759.88</v>
      </c>
      <c r="C1542" s="43">
        <v>0.15</v>
      </c>
      <c r="D1542" s="45">
        <v>45962</v>
      </c>
      <c r="E1542" s="45">
        <v>45991.999305555553</v>
      </c>
      <c r="F1542" s="42" t="s">
        <v>644</v>
      </c>
    </row>
    <row r="1543" spans="1:6" x14ac:dyDescent="0.35">
      <c r="A1543" s="42" t="s">
        <v>594</v>
      </c>
      <c r="B1543" s="42">
        <v>1759.88</v>
      </c>
      <c r="C1543" s="43">
        <v>0.15</v>
      </c>
      <c r="D1543" s="45">
        <v>45962</v>
      </c>
      <c r="E1543" s="45">
        <v>45991.999305555553</v>
      </c>
      <c r="F1543" s="42" t="s">
        <v>644</v>
      </c>
    </row>
    <row r="1544" spans="1:6" x14ac:dyDescent="0.35">
      <c r="A1544" s="42" t="s">
        <v>55</v>
      </c>
      <c r="B1544" s="42">
        <v>769.88</v>
      </c>
      <c r="C1544" s="43">
        <v>0.15</v>
      </c>
      <c r="D1544" s="45">
        <v>45962</v>
      </c>
      <c r="E1544" s="45">
        <v>45991.999305555553</v>
      </c>
      <c r="F1544" s="42" t="s">
        <v>644</v>
      </c>
    </row>
    <row r="1545" spans="1:6" x14ac:dyDescent="0.35">
      <c r="A1545" s="42" t="s">
        <v>608</v>
      </c>
      <c r="B1545" s="42">
        <v>1289.8800000000001</v>
      </c>
      <c r="C1545" s="43">
        <v>0.15</v>
      </c>
      <c r="D1545" s="45">
        <v>45962</v>
      </c>
      <c r="E1545" s="45">
        <v>45991.999305555553</v>
      </c>
      <c r="F1545" s="42" t="s">
        <v>644</v>
      </c>
    </row>
    <row r="1546" spans="1:6" x14ac:dyDescent="0.35">
      <c r="A1546" s="42" t="s">
        <v>667</v>
      </c>
      <c r="B1546" s="42">
        <v>1289.8800000000001</v>
      </c>
      <c r="C1546" s="43">
        <v>0.15</v>
      </c>
      <c r="D1546" s="45">
        <v>45962</v>
      </c>
      <c r="E1546" s="45">
        <v>45991.999305555553</v>
      </c>
      <c r="F1546" s="42" t="s">
        <v>644</v>
      </c>
    </row>
    <row r="1547" spans="1:6" x14ac:dyDescent="0.35">
      <c r="A1547" s="42" t="s">
        <v>61</v>
      </c>
      <c r="B1547" s="42">
        <v>1289.8800000000001</v>
      </c>
      <c r="C1547" s="43">
        <v>0.15</v>
      </c>
      <c r="D1547" s="45">
        <v>45962</v>
      </c>
      <c r="E1547" s="45">
        <v>45991.999305555553</v>
      </c>
      <c r="F1547" s="42" t="s">
        <v>644</v>
      </c>
    </row>
    <row r="1548" spans="1:6" x14ac:dyDescent="0.35">
      <c r="A1548" s="42" t="s">
        <v>270</v>
      </c>
      <c r="B1548" s="42">
        <v>1289.8800000000001</v>
      </c>
      <c r="C1548" s="43">
        <v>0.15</v>
      </c>
      <c r="D1548" s="45">
        <v>45962</v>
      </c>
      <c r="E1548" s="45">
        <v>45991.999305555553</v>
      </c>
      <c r="F1548" s="42" t="s">
        <v>644</v>
      </c>
    </row>
    <row r="1549" spans="1:6" x14ac:dyDescent="0.35">
      <c r="A1549" s="42" t="s">
        <v>671</v>
      </c>
      <c r="B1549" s="42">
        <v>1389.88</v>
      </c>
      <c r="C1549" s="43">
        <v>0.15</v>
      </c>
      <c r="D1549" s="45">
        <v>45962</v>
      </c>
      <c r="E1549" s="45">
        <v>45991.999305555553</v>
      </c>
      <c r="F1549" s="42" t="s">
        <v>644</v>
      </c>
    </row>
    <row r="1550" spans="1:6" x14ac:dyDescent="0.35">
      <c r="A1550" s="42" t="s">
        <v>407</v>
      </c>
      <c r="B1550" s="42">
        <v>2019.88</v>
      </c>
      <c r="C1550" s="43">
        <v>0.15</v>
      </c>
      <c r="D1550" s="45">
        <v>45962</v>
      </c>
      <c r="E1550" s="45">
        <v>45991.999305555553</v>
      </c>
      <c r="F1550" s="42" t="s">
        <v>644</v>
      </c>
    </row>
    <row r="1551" spans="1:6" x14ac:dyDescent="0.35">
      <c r="A1551" s="42" t="s">
        <v>670</v>
      </c>
      <c r="B1551" s="42">
        <v>2019.88</v>
      </c>
      <c r="C1551" s="43">
        <v>0.15</v>
      </c>
      <c r="D1551" s="45">
        <v>45962</v>
      </c>
      <c r="E1551" s="45">
        <v>45991.999305555553</v>
      </c>
      <c r="F1551" s="42" t="s">
        <v>644</v>
      </c>
    </row>
    <row r="1552" spans="1:6" x14ac:dyDescent="0.35">
      <c r="A1552" s="42" t="s">
        <v>615</v>
      </c>
      <c r="B1552" s="42">
        <v>579.88</v>
      </c>
      <c r="C1552" s="43">
        <v>0.15</v>
      </c>
      <c r="D1552" s="45">
        <v>45962</v>
      </c>
      <c r="E1552" s="45">
        <v>45991.999305555553</v>
      </c>
      <c r="F1552" s="42" t="s">
        <v>644</v>
      </c>
    </row>
    <row r="1553" spans="1:6" x14ac:dyDescent="0.35">
      <c r="A1553" s="42" t="s">
        <v>602</v>
      </c>
      <c r="B1553" s="42">
        <v>579.88</v>
      </c>
      <c r="C1553" s="43">
        <v>0.15</v>
      </c>
      <c r="D1553" s="45">
        <v>45962</v>
      </c>
      <c r="E1553" s="45">
        <v>45991.999305555553</v>
      </c>
      <c r="F1553" s="42" t="s">
        <v>644</v>
      </c>
    </row>
    <row r="1554" spans="1:6" x14ac:dyDescent="0.35">
      <c r="A1554" s="42" t="s">
        <v>589</v>
      </c>
      <c r="B1554" s="42">
        <v>679.88</v>
      </c>
      <c r="C1554" s="43">
        <v>0.15</v>
      </c>
      <c r="D1554" s="45">
        <v>45962</v>
      </c>
      <c r="E1554" s="45">
        <v>45991.999305555553</v>
      </c>
      <c r="F1554" s="42" t="s">
        <v>644</v>
      </c>
    </row>
    <row r="1555" spans="1:6" x14ac:dyDescent="0.35">
      <c r="A1555" s="42" t="s">
        <v>605</v>
      </c>
      <c r="B1555" s="42">
        <v>679.88</v>
      </c>
      <c r="C1555" s="43">
        <v>0.15</v>
      </c>
      <c r="D1555" s="45">
        <v>45962</v>
      </c>
      <c r="E1555" s="45">
        <v>45991.999305555553</v>
      </c>
      <c r="F1555" s="42" t="s">
        <v>644</v>
      </c>
    </row>
    <row r="1556" spans="1:6" x14ac:dyDescent="0.35">
      <c r="A1556" s="42" t="s">
        <v>523</v>
      </c>
      <c r="B1556" s="42">
        <v>889.88</v>
      </c>
      <c r="C1556" s="43">
        <v>0.15</v>
      </c>
      <c r="D1556" s="45">
        <v>45962</v>
      </c>
      <c r="E1556" s="45">
        <v>45991.999305555553</v>
      </c>
      <c r="F1556" s="42" t="s">
        <v>644</v>
      </c>
    </row>
    <row r="1557" spans="1:6" x14ac:dyDescent="0.35">
      <c r="A1557" s="42" t="s">
        <v>650</v>
      </c>
      <c r="B1557" s="42">
        <v>1219.8800000000001</v>
      </c>
      <c r="C1557" s="43">
        <v>0.15</v>
      </c>
      <c r="D1557" s="45">
        <v>45962</v>
      </c>
      <c r="E1557" s="45">
        <v>45991.999305555553</v>
      </c>
      <c r="F1557" s="42" t="s">
        <v>644</v>
      </c>
    </row>
    <row r="1558" spans="1:6" x14ac:dyDescent="0.35">
      <c r="A1558" s="42" t="s">
        <v>674</v>
      </c>
      <c r="B1558" s="42">
        <v>1219.8800000000001</v>
      </c>
      <c r="C1558" s="43">
        <v>0.15</v>
      </c>
      <c r="D1558" s="45">
        <v>45962</v>
      </c>
      <c r="E1558" s="45">
        <v>45991.999305555553</v>
      </c>
      <c r="F1558" s="42" t="s">
        <v>644</v>
      </c>
    </row>
    <row r="1559" spans="1:6" x14ac:dyDescent="0.35">
      <c r="A1559" s="42" t="s">
        <v>267</v>
      </c>
      <c r="B1559" s="42">
        <v>1219.8800000000001</v>
      </c>
      <c r="C1559" s="43">
        <v>0.15</v>
      </c>
      <c r="D1559" s="45">
        <v>45962</v>
      </c>
      <c r="E1559" s="45">
        <v>45991.999305555553</v>
      </c>
      <c r="F1559" s="42" t="s">
        <v>644</v>
      </c>
    </row>
    <row r="1560" spans="1:6" x14ac:dyDescent="0.35">
      <c r="A1560" s="42" t="s">
        <v>488</v>
      </c>
      <c r="B1560" s="42">
        <v>1429.88</v>
      </c>
      <c r="C1560" s="43">
        <v>0.15</v>
      </c>
      <c r="D1560" s="45">
        <v>45962</v>
      </c>
      <c r="E1560" s="45">
        <v>45991.999305555553</v>
      </c>
      <c r="F1560" s="42" t="s">
        <v>644</v>
      </c>
    </row>
    <row r="1561" spans="1:6" x14ac:dyDescent="0.35">
      <c r="A1561" s="42" t="s">
        <v>104</v>
      </c>
      <c r="B1561" s="42">
        <v>1429.88</v>
      </c>
      <c r="C1561" s="43">
        <v>0.15</v>
      </c>
      <c r="D1561" s="45">
        <v>45962</v>
      </c>
      <c r="E1561" s="45">
        <v>45991.999305555553</v>
      </c>
      <c r="F1561" s="42" t="s">
        <v>644</v>
      </c>
    </row>
    <row r="1562" spans="1:6" x14ac:dyDescent="0.35">
      <c r="A1562" s="42" t="s">
        <v>669</v>
      </c>
      <c r="B1562" s="42">
        <v>2389.88</v>
      </c>
      <c r="C1562" s="43">
        <v>0.15</v>
      </c>
      <c r="D1562" s="45">
        <v>45962</v>
      </c>
      <c r="E1562" s="45">
        <v>45991.999305555553</v>
      </c>
      <c r="F1562" s="42" t="s">
        <v>644</v>
      </c>
    </row>
    <row r="1563" spans="1:6" x14ac:dyDescent="0.35">
      <c r="A1563" s="42" t="s">
        <v>643</v>
      </c>
      <c r="B1563" s="42">
        <v>2089.88</v>
      </c>
      <c r="C1563" s="43">
        <v>0.15</v>
      </c>
      <c r="D1563" s="45">
        <v>45962</v>
      </c>
      <c r="E1563" s="45">
        <v>45991.999305555553</v>
      </c>
      <c r="F1563" s="42" t="s">
        <v>644</v>
      </c>
    </row>
    <row r="1564" spans="1:6" x14ac:dyDescent="0.35">
      <c r="A1564" s="42" t="s">
        <v>645</v>
      </c>
      <c r="B1564" s="42">
        <v>1719.88</v>
      </c>
      <c r="C1564" s="43">
        <v>0.15</v>
      </c>
      <c r="D1564" s="45">
        <v>45962</v>
      </c>
      <c r="E1564" s="45">
        <v>45991.999305555553</v>
      </c>
      <c r="F1564" s="42" t="s">
        <v>644</v>
      </c>
    </row>
    <row r="1565" spans="1:6" x14ac:dyDescent="0.35">
      <c r="A1565" s="42" t="s">
        <v>648</v>
      </c>
      <c r="B1565" s="42">
        <v>2479.88</v>
      </c>
      <c r="C1565" s="43">
        <v>0.15</v>
      </c>
      <c r="D1565" s="45">
        <v>45962</v>
      </c>
      <c r="E1565" s="45">
        <v>45991.999305555553</v>
      </c>
      <c r="F1565" s="42" t="s">
        <v>644</v>
      </c>
    </row>
    <row r="1566" spans="1:6" x14ac:dyDescent="0.35">
      <c r="A1566" s="42" t="s">
        <v>649</v>
      </c>
      <c r="B1566" s="42">
        <v>3469.88</v>
      </c>
      <c r="C1566" s="43">
        <v>0.15</v>
      </c>
      <c r="D1566" s="45">
        <v>45962</v>
      </c>
      <c r="E1566" s="45">
        <v>45991.999305555553</v>
      </c>
      <c r="F1566" s="42" t="s">
        <v>644</v>
      </c>
    </row>
    <row r="1567" spans="1:6" x14ac:dyDescent="0.35">
      <c r="A1567" s="42" t="s">
        <v>651</v>
      </c>
      <c r="B1567" s="42">
        <v>1569.88</v>
      </c>
      <c r="C1567" s="43">
        <v>0.15</v>
      </c>
      <c r="D1567" s="45">
        <v>45962</v>
      </c>
      <c r="E1567" s="45">
        <v>45991.999305555553</v>
      </c>
      <c r="F1567" s="42" t="s">
        <v>644</v>
      </c>
    </row>
    <row r="1568" spans="1:6" x14ac:dyDescent="0.35">
      <c r="A1568" s="42" t="s">
        <v>652</v>
      </c>
      <c r="B1568" s="42">
        <v>1169.8800000000001</v>
      </c>
      <c r="C1568" s="43">
        <v>0.15</v>
      </c>
      <c r="D1568" s="45">
        <v>45962</v>
      </c>
      <c r="E1568" s="45">
        <v>45991.999305555553</v>
      </c>
      <c r="F1568" s="42" t="s">
        <v>644</v>
      </c>
    </row>
    <row r="1569" spans="1:6" x14ac:dyDescent="0.35">
      <c r="A1569" s="42" t="s">
        <v>653</v>
      </c>
      <c r="B1569" s="42">
        <v>2739.88</v>
      </c>
      <c r="C1569" s="43">
        <v>0.15</v>
      </c>
      <c r="D1569" s="45">
        <v>45962</v>
      </c>
      <c r="E1569" s="45">
        <v>45991.999305555553</v>
      </c>
      <c r="F1569" s="42" t="s">
        <v>644</v>
      </c>
    </row>
    <row r="1570" spans="1:6" x14ac:dyDescent="0.35">
      <c r="A1570" s="42" t="s">
        <v>655</v>
      </c>
      <c r="B1570" s="42">
        <v>2529.88</v>
      </c>
      <c r="C1570" s="43">
        <v>0.15</v>
      </c>
      <c r="D1570" s="45">
        <v>45962</v>
      </c>
      <c r="E1570" s="45">
        <v>45991.999305555553</v>
      </c>
      <c r="F1570" s="42" t="s">
        <v>644</v>
      </c>
    </row>
    <row r="1571" spans="1:6" x14ac:dyDescent="0.35">
      <c r="A1571" s="42" t="s">
        <v>656</v>
      </c>
      <c r="B1571" s="42">
        <v>1119.8800000000001</v>
      </c>
      <c r="C1571" s="43">
        <v>0.15</v>
      </c>
      <c r="D1571" s="45">
        <v>45962</v>
      </c>
      <c r="E1571" s="45">
        <v>45991.999305555553</v>
      </c>
      <c r="F1571" s="42" t="s">
        <v>644</v>
      </c>
    </row>
    <row r="1572" spans="1:6" x14ac:dyDescent="0.35">
      <c r="A1572" s="42" t="s">
        <v>657</v>
      </c>
      <c r="B1572" s="42">
        <v>699.88</v>
      </c>
      <c r="C1572" s="43">
        <v>0.15</v>
      </c>
      <c r="D1572" s="45">
        <v>45962</v>
      </c>
      <c r="E1572" s="45">
        <v>45991.999305555553</v>
      </c>
      <c r="F1572" s="42" t="s">
        <v>644</v>
      </c>
    </row>
    <row r="1573" spans="1:6" x14ac:dyDescent="0.35">
      <c r="A1573" s="42" t="s">
        <v>658</v>
      </c>
      <c r="B1573" s="42">
        <v>1619.88</v>
      </c>
      <c r="C1573" s="43">
        <v>0.15</v>
      </c>
      <c r="D1573" s="45">
        <v>45962</v>
      </c>
      <c r="E1573" s="45">
        <v>45991.999305555553</v>
      </c>
      <c r="F1573" s="42" t="s">
        <v>644</v>
      </c>
    </row>
    <row r="1574" spans="1:6" x14ac:dyDescent="0.35">
      <c r="A1574" s="42" t="s">
        <v>659</v>
      </c>
      <c r="B1574" s="42">
        <v>1619.88</v>
      </c>
      <c r="C1574" s="43">
        <v>0.15</v>
      </c>
      <c r="D1574" s="45">
        <v>45962</v>
      </c>
      <c r="E1574" s="45">
        <v>45991.999305555553</v>
      </c>
      <c r="F1574" s="42" t="s">
        <v>644</v>
      </c>
    </row>
    <row r="1575" spans="1:6" x14ac:dyDescent="0.35">
      <c r="A1575" s="42" t="s">
        <v>660</v>
      </c>
      <c r="B1575" s="42">
        <v>1259.8800000000001</v>
      </c>
      <c r="C1575" s="43">
        <v>0.15</v>
      </c>
      <c r="D1575" s="45">
        <v>45962</v>
      </c>
      <c r="E1575" s="45">
        <v>45991.999305555553</v>
      </c>
      <c r="F1575" s="42" t="s">
        <v>644</v>
      </c>
    </row>
    <row r="1576" spans="1:6" x14ac:dyDescent="0.35">
      <c r="A1576" s="42" t="s">
        <v>464</v>
      </c>
      <c r="B1576" s="42">
        <v>1429.88</v>
      </c>
      <c r="C1576" s="43">
        <v>0.15</v>
      </c>
      <c r="D1576" s="45">
        <v>45962</v>
      </c>
      <c r="E1576" s="45">
        <v>45991.999305555553</v>
      </c>
      <c r="F1576" s="42" t="s">
        <v>644</v>
      </c>
    </row>
    <row r="1577" spans="1:6" x14ac:dyDescent="0.35">
      <c r="A1577" s="42" t="s">
        <v>460</v>
      </c>
      <c r="B1577" s="42">
        <v>1429.88</v>
      </c>
      <c r="C1577" s="43">
        <v>0.15</v>
      </c>
      <c r="D1577" s="45">
        <v>45962</v>
      </c>
      <c r="E1577" s="45">
        <v>45991.999305555553</v>
      </c>
      <c r="F1577" s="42" t="s">
        <v>644</v>
      </c>
    </row>
    <row r="1578" spans="1:6" x14ac:dyDescent="0.35">
      <c r="A1578" s="42" t="s">
        <v>662</v>
      </c>
      <c r="B1578" s="42">
        <v>2079.88</v>
      </c>
      <c r="C1578" s="43">
        <v>0.15</v>
      </c>
      <c r="D1578" s="45">
        <v>45962</v>
      </c>
      <c r="E1578" s="45">
        <v>45991.999305555553</v>
      </c>
      <c r="F1578" s="42" t="s">
        <v>644</v>
      </c>
    </row>
    <row r="1579" spans="1:6" x14ac:dyDescent="0.35">
      <c r="A1579" s="42" t="s">
        <v>607</v>
      </c>
      <c r="B1579" s="42">
        <v>2739.88</v>
      </c>
      <c r="C1579" s="43">
        <v>0.15</v>
      </c>
      <c r="D1579" s="45">
        <v>45962</v>
      </c>
      <c r="E1579" s="45">
        <v>45991.999305555553</v>
      </c>
      <c r="F1579" s="42" t="s">
        <v>644</v>
      </c>
    </row>
    <row r="1580" spans="1:6" x14ac:dyDescent="0.35">
      <c r="A1580" s="42" t="s">
        <v>663</v>
      </c>
      <c r="B1580" s="42">
        <v>1839.88</v>
      </c>
      <c r="C1580" s="43">
        <v>0.15</v>
      </c>
      <c r="D1580" s="45">
        <v>45962</v>
      </c>
      <c r="E1580" s="45">
        <v>45991.999305555553</v>
      </c>
      <c r="F1580" s="42" t="s">
        <v>644</v>
      </c>
    </row>
    <row r="1581" spans="1:6" x14ac:dyDescent="0.35">
      <c r="A1581" s="42" t="s">
        <v>664</v>
      </c>
      <c r="B1581" s="42">
        <v>3649.88</v>
      </c>
      <c r="C1581" s="43">
        <v>0.15</v>
      </c>
      <c r="D1581" s="45">
        <v>45962</v>
      </c>
      <c r="E1581" s="45">
        <v>45991.999305555553</v>
      </c>
      <c r="F1581" s="42" t="s">
        <v>644</v>
      </c>
    </row>
    <row r="1582" spans="1:6" x14ac:dyDescent="0.35">
      <c r="A1582" s="42" t="s">
        <v>665</v>
      </c>
      <c r="B1582" s="42">
        <v>2589.88</v>
      </c>
      <c r="C1582" s="43">
        <v>0.15</v>
      </c>
      <c r="D1582" s="45">
        <v>45962</v>
      </c>
      <c r="E1582" s="45">
        <v>45991.999305555553</v>
      </c>
      <c r="F1582" s="42" t="s">
        <v>644</v>
      </c>
    </row>
    <row r="1583" spans="1:6" x14ac:dyDescent="0.35">
      <c r="A1583" s="42" t="s">
        <v>666</v>
      </c>
      <c r="B1583" s="42">
        <v>1119.8800000000001</v>
      </c>
      <c r="C1583" s="43">
        <v>0.15</v>
      </c>
      <c r="D1583" s="45">
        <v>45962</v>
      </c>
      <c r="E1583" s="45">
        <v>45991.999305555553</v>
      </c>
      <c r="F1583" s="42" t="s">
        <v>644</v>
      </c>
    </row>
    <row r="1584" spans="1:6" x14ac:dyDescent="0.35">
      <c r="A1584" s="42" t="s">
        <v>611</v>
      </c>
      <c r="B1584" s="42">
        <v>1529.88</v>
      </c>
      <c r="C1584" s="43">
        <v>0.15</v>
      </c>
      <c r="D1584" s="45">
        <v>45962</v>
      </c>
      <c r="E1584" s="45">
        <v>45991.999305555553</v>
      </c>
      <c r="F1584" s="42" t="s">
        <v>644</v>
      </c>
    </row>
    <row r="1585" spans="1:6" x14ac:dyDescent="0.35">
      <c r="A1585" s="42" t="s">
        <v>75</v>
      </c>
      <c r="B1585" s="42">
        <v>469.88</v>
      </c>
      <c r="C1585" s="43">
        <v>0.15</v>
      </c>
      <c r="D1585" s="45">
        <v>45962</v>
      </c>
      <c r="E1585" s="45">
        <v>45991.999305555553</v>
      </c>
      <c r="F1585" s="42" t="s">
        <v>644</v>
      </c>
    </row>
    <row r="1586" spans="1:6" x14ac:dyDescent="0.35">
      <c r="A1586" s="42" t="s">
        <v>564</v>
      </c>
      <c r="B1586" s="42">
        <v>469.88</v>
      </c>
      <c r="C1586" s="43">
        <v>0.15</v>
      </c>
      <c r="D1586" s="45">
        <v>45962</v>
      </c>
      <c r="E1586" s="45">
        <v>45991.999305555553</v>
      </c>
      <c r="F1586" s="42" t="s">
        <v>644</v>
      </c>
    </row>
    <row r="1587" spans="1:6" x14ac:dyDescent="0.35">
      <c r="A1587" s="42" t="s">
        <v>668</v>
      </c>
      <c r="B1587" s="42">
        <v>2739.88</v>
      </c>
      <c r="C1587" s="43">
        <v>0.15</v>
      </c>
      <c r="D1587" s="45">
        <v>45962</v>
      </c>
      <c r="E1587" s="45">
        <v>45991.999305555553</v>
      </c>
      <c r="F1587" s="42" t="s">
        <v>644</v>
      </c>
    </row>
    <row r="1588" spans="1:6" x14ac:dyDescent="0.35">
      <c r="A1588" s="42" t="s">
        <v>672</v>
      </c>
      <c r="B1588" s="42">
        <v>1329.88</v>
      </c>
      <c r="C1588" s="43">
        <v>0.15</v>
      </c>
      <c r="D1588" s="45">
        <v>45962</v>
      </c>
      <c r="E1588" s="45">
        <v>45991.999305555553</v>
      </c>
      <c r="F1588" s="42" t="s">
        <v>644</v>
      </c>
    </row>
    <row r="1589" spans="1:6" x14ac:dyDescent="0.35">
      <c r="A1589" s="42" t="s">
        <v>673</v>
      </c>
      <c r="B1589" s="42">
        <v>1299.8800000000001</v>
      </c>
      <c r="C1589" s="43">
        <v>0.15</v>
      </c>
      <c r="D1589" s="45">
        <v>45962</v>
      </c>
      <c r="E1589" s="45">
        <v>45991.999305555553</v>
      </c>
      <c r="F1589" s="42" t="s">
        <v>644</v>
      </c>
    </row>
    <row r="1590" spans="1:6" x14ac:dyDescent="0.35">
      <c r="A1590" s="42" t="s">
        <v>612</v>
      </c>
      <c r="B1590" s="42">
        <v>989.88</v>
      </c>
      <c r="C1590" s="43">
        <v>0.15</v>
      </c>
      <c r="D1590" s="45">
        <v>45962</v>
      </c>
      <c r="E1590" s="45">
        <v>45991.999305555553</v>
      </c>
      <c r="F1590" s="42" t="s">
        <v>644</v>
      </c>
    </row>
    <row r="1591" spans="1:6" x14ac:dyDescent="0.35">
      <c r="A1591" s="42" t="s">
        <v>604</v>
      </c>
      <c r="B1591" s="42">
        <v>919.88</v>
      </c>
      <c r="C1591" s="43">
        <v>0.15</v>
      </c>
      <c r="D1591" s="45">
        <v>45962</v>
      </c>
      <c r="E1591" s="45">
        <v>45991.999305555553</v>
      </c>
      <c r="F1591" s="42" t="s">
        <v>644</v>
      </c>
    </row>
    <row r="1592" spans="1:6" x14ac:dyDescent="0.35">
      <c r="A1592" s="42" t="s">
        <v>23</v>
      </c>
      <c r="B1592" s="42">
        <v>469.88</v>
      </c>
      <c r="C1592" s="43">
        <v>0.15</v>
      </c>
      <c r="D1592" s="45">
        <v>45962</v>
      </c>
      <c r="E1592" s="45">
        <v>45991.999305555553</v>
      </c>
      <c r="F1592" s="42" t="s">
        <v>644</v>
      </c>
    </row>
    <row r="1593" spans="1:6" x14ac:dyDescent="0.35">
      <c r="A1593" s="42" t="s">
        <v>316</v>
      </c>
      <c r="B1593" s="42">
        <v>1839.88</v>
      </c>
      <c r="C1593" s="43">
        <v>0.15</v>
      </c>
      <c r="D1593" s="45">
        <v>45962</v>
      </c>
      <c r="E1593" s="45">
        <v>45991.999305555553</v>
      </c>
      <c r="F1593" s="42" t="s">
        <v>644</v>
      </c>
    </row>
    <row r="1594" spans="1:6" x14ac:dyDescent="0.35">
      <c r="A1594" s="42" t="s">
        <v>610</v>
      </c>
      <c r="B1594" s="42">
        <v>1879.88</v>
      </c>
      <c r="C1594" s="43">
        <v>0.15</v>
      </c>
      <c r="D1594" s="45">
        <v>45962</v>
      </c>
      <c r="E1594" s="45">
        <v>45991.999305555553</v>
      </c>
      <c r="F1594" s="42" t="s">
        <v>644</v>
      </c>
    </row>
    <row r="1595" spans="1:6" x14ac:dyDescent="0.35">
      <c r="A1595" s="42" t="s">
        <v>33</v>
      </c>
      <c r="B1595" s="42">
        <v>969.88</v>
      </c>
      <c r="C1595" s="43">
        <v>0.15</v>
      </c>
      <c r="D1595" s="45">
        <v>45962</v>
      </c>
      <c r="E1595" s="45">
        <v>45991.999305555553</v>
      </c>
      <c r="F1595" s="42" t="s">
        <v>644</v>
      </c>
    </row>
    <row r="1596" spans="1:6" x14ac:dyDescent="0.35">
      <c r="A1596" s="42" t="s">
        <v>646</v>
      </c>
      <c r="B1596" s="42">
        <v>539.88</v>
      </c>
      <c r="C1596" s="43">
        <v>0.17</v>
      </c>
      <c r="D1596" s="45">
        <v>45962</v>
      </c>
      <c r="E1596" s="45">
        <v>45991.999305555553</v>
      </c>
      <c r="F1596" s="42" t="s">
        <v>644</v>
      </c>
    </row>
    <row r="1597" spans="1:6" x14ac:dyDescent="0.35">
      <c r="A1597" s="42" t="s">
        <v>37</v>
      </c>
      <c r="B1597" s="42">
        <v>1559.88</v>
      </c>
      <c r="C1597" s="43">
        <v>0.17</v>
      </c>
      <c r="D1597" s="45">
        <v>45962</v>
      </c>
      <c r="E1597" s="45">
        <v>45991.999305555553</v>
      </c>
      <c r="F1597" s="42" t="s">
        <v>644</v>
      </c>
    </row>
    <row r="1598" spans="1:6" x14ac:dyDescent="0.35">
      <c r="A1598" s="42" t="s">
        <v>647</v>
      </c>
      <c r="B1598" s="42">
        <v>1759.88</v>
      </c>
      <c r="C1598" s="43">
        <v>0.17</v>
      </c>
      <c r="D1598" s="45">
        <v>45962</v>
      </c>
      <c r="E1598" s="45">
        <v>45991.999305555553</v>
      </c>
      <c r="F1598" s="42" t="s">
        <v>644</v>
      </c>
    </row>
    <row r="1599" spans="1:6" x14ac:dyDescent="0.35">
      <c r="A1599" s="42" t="s">
        <v>661</v>
      </c>
      <c r="B1599" s="42">
        <v>2679.88</v>
      </c>
      <c r="C1599" s="43">
        <v>0.17</v>
      </c>
      <c r="D1599" s="45">
        <v>45962</v>
      </c>
      <c r="E1599" s="45">
        <v>45991.999305555553</v>
      </c>
      <c r="F1599" s="42" t="s">
        <v>644</v>
      </c>
    </row>
    <row r="1600" spans="1:6" x14ac:dyDescent="0.35">
      <c r="A1600" s="42" t="s">
        <v>654</v>
      </c>
      <c r="B1600" s="42">
        <v>659.88</v>
      </c>
      <c r="C1600" s="43">
        <v>0.17</v>
      </c>
      <c r="D1600" s="45">
        <v>45962</v>
      </c>
      <c r="E1600" s="45">
        <v>45991.999305555553</v>
      </c>
      <c r="F1600" s="42" t="s">
        <v>644</v>
      </c>
    </row>
    <row r="1601" spans="1:6" x14ac:dyDescent="0.35">
      <c r="A1601" s="42" t="s">
        <v>613</v>
      </c>
      <c r="B1601" s="42">
        <v>759.88</v>
      </c>
      <c r="C1601" s="43">
        <v>0.17</v>
      </c>
      <c r="D1601" s="45">
        <v>45962</v>
      </c>
      <c r="E1601" s="45">
        <v>45991.999305555553</v>
      </c>
      <c r="F1601" s="42" t="s">
        <v>644</v>
      </c>
    </row>
    <row r="1602" spans="1:6" x14ac:dyDescent="0.35">
      <c r="A1602" s="42" t="s">
        <v>283</v>
      </c>
      <c r="B1602" s="42">
        <v>859.88</v>
      </c>
      <c r="C1602" s="43">
        <v>0.17</v>
      </c>
      <c r="D1602" s="45">
        <v>45962</v>
      </c>
      <c r="E1602" s="45">
        <v>45991.999305555553</v>
      </c>
      <c r="F1602" s="42" t="s">
        <v>644</v>
      </c>
    </row>
    <row r="1603" spans="1:6" x14ac:dyDescent="0.35">
      <c r="A1603" s="42" t="s">
        <v>675</v>
      </c>
      <c r="B1603" s="42">
        <v>859.88</v>
      </c>
      <c r="C1603" s="43">
        <v>0.17</v>
      </c>
      <c r="D1603" s="45">
        <v>45962</v>
      </c>
      <c r="E1603" s="45">
        <v>45991.999305555553</v>
      </c>
      <c r="F1603" s="42" t="s">
        <v>644</v>
      </c>
    </row>
    <row r="1604" spans="1:6" x14ac:dyDescent="0.35">
      <c r="A1604" s="42" t="s">
        <v>609</v>
      </c>
      <c r="B1604" s="42">
        <v>1799.88</v>
      </c>
      <c r="C1604" s="43">
        <v>0.17</v>
      </c>
      <c r="D1604" s="45">
        <v>45962</v>
      </c>
      <c r="E1604" s="45">
        <v>45991.999305555553</v>
      </c>
      <c r="F1604" s="42" t="s">
        <v>644</v>
      </c>
    </row>
    <row r="1605" spans="1:6" x14ac:dyDescent="0.35">
      <c r="A1605" s="42" t="s">
        <v>594</v>
      </c>
      <c r="B1605" s="42">
        <v>1799.88</v>
      </c>
      <c r="C1605" s="43">
        <v>0.17</v>
      </c>
      <c r="D1605" s="45">
        <v>45962</v>
      </c>
      <c r="E1605" s="45">
        <v>45991.999305555553</v>
      </c>
      <c r="F1605" s="42" t="s">
        <v>644</v>
      </c>
    </row>
    <row r="1606" spans="1:6" x14ac:dyDescent="0.35">
      <c r="A1606" s="42" t="s">
        <v>55</v>
      </c>
      <c r="B1606" s="42">
        <v>789.88</v>
      </c>
      <c r="C1606" s="43">
        <v>0.17</v>
      </c>
      <c r="D1606" s="45">
        <v>45962</v>
      </c>
      <c r="E1606" s="45">
        <v>45991.999305555553</v>
      </c>
      <c r="F1606" s="42" t="s">
        <v>644</v>
      </c>
    </row>
    <row r="1607" spans="1:6" x14ac:dyDescent="0.35">
      <c r="A1607" s="42" t="s">
        <v>608</v>
      </c>
      <c r="B1607" s="42">
        <v>1319.88</v>
      </c>
      <c r="C1607" s="43">
        <v>0.17</v>
      </c>
      <c r="D1607" s="45">
        <v>45962</v>
      </c>
      <c r="E1607" s="45">
        <v>45991.999305555553</v>
      </c>
      <c r="F1607" s="42" t="s">
        <v>644</v>
      </c>
    </row>
    <row r="1608" spans="1:6" x14ac:dyDescent="0.35">
      <c r="A1608" s="42" t="s">
        <v>667</v>
      </c>
      <c r="B1608" s="42">
        <v>1319.88</v>
      </c>
      <c r="C1608" s="43">
        <v>0.17</v>
      </c>
      <c r="D1608" s="45">
        <v>45962</v>
      </c>
      <c r="E1608" s="45">
        <v>45991.999305555553</v>
      </c>
      <c r="F1608" s="42" t="s">
        <v>644</v>
      </c>
    </row>
    <row r="1609" spans="1:6" x14ac:dyDescent="0.35">
      <c r="A1609" s="42" t="s">
        <v>61</v>
      </c>
      <c r="B1609" s="42">
        <v>1319.88</v>
      </c>
      <c r="C1609" s="43">
        <v>0.17</v>
      </c>
      <c r="D1609" s="45">
        <v>45962</v>
      </c>
      <c r="E1609" s="45">
        <v>45991.999305555553</v>
      </c>
      <c r="F1609" s="42" t="s">
        <v>644</v>
      </c>
    </row>
    <row r="1610" spans="1:6" x14ac:dyDescent="0.35">
      <c r="A1610" s="42" t="s">
        <v>270</v>
      </c>
      <c r="B1610" s="42">
        <v>1319.88</v>
      </c>
      <c r="C1610" s="43">
        <v>0.17</v>
      </c>
      <c r="D1610" s="45">
        <v>45962</v>
      </c>
      <c r="E1610" s="45">
        <v>45991.999305555553</v>
      </c>
      <c r="F1610" s="42" t="s">
        <v>644</v>
      </c>
    </row>
    <row r="1611" spans="1:6" x14ac:dyDescent="0.35">
      <c r="A1611" s="42" t="s">
        <v>671</v>
      </c>
      <c r="B1611" s="42">
        <v>1419.88</v>
      </c>
      <c r="C1611" s="43">
        <v>0.17</v>
      </c>
      <c r="D1611" s="45">
        <v>45962</v>
      </c>
      <c r="E1611" s="45">
        <v>45991.999305555553</v>
      </c>
      <c r="F1611" s="42" t="s">
        <v>644</v>
      </c>
    </row>
    <row r="1612" spans="1:6" x14ac:dyDescent="0.35">
      <c r="A1612" s="42" t="s">
        <v>407</v>
      </c>
      <c r="B1612" s="42">
        <v>2069.88</v>
      </c>
      <c r="C1612" s="43">
        <v>0.17</v>
      </c>
      <c r="D1612" s="45">
        <v>45962</v>
      </c>
      <c r="E1612" s="45">
        <v>45991.999305555553</v>
      </c>
      <c r="F1612" s="42" t="s">
        <v>644</v>
      </c>
    </row>
    <row r="1613" spans="1:6" x14ac:dyDescent="0.35">
      <c r="A1613" s="42" t="s">
        <v>670</v>
      </c>
      <c r="B1613" s="42">
        <v>2069.88</v>
      </c>
      <c r="C1613" s="43">
        <v>0.17</v>
      </c>
      <c r="D1613" s="45">
        <v>45962</v>
      </c>
      <c r="E1613" s="45">
        <v>45991.999305555553</v>
      </c>
      <c r="F1613" s="42" t="s">
        <v>644</v>
      </c>
    </row>
    <row r="1614" spans="1:6" x14ac:dyDescent="0.35">
      <c r="A1614" s="42" t="s">
        <v>615</v>
      </c>
      <c r="B1614" s="42">
        <v>599.88</v>
      </c>
      <c r="C1614" s="43">
        <v>0.17</v>
      </c>
      <c r="D1614" s="45">
        <v>45962</v>
      </c>
      <c r="E1614" s="45">
        <v>45991.999305555553</v>
      </c>
      <c r="F1614" s="42" t="s">
        <v>644</v>
      </c>
    </row>
    <row r="1615" spans="1:6" x14ac:dyDescent="0.35">
      <c r="A1615" s="42" t="s">
        <v>602</v>
      </c>
      <c r="B1615" s="42">
        <v>599.88</v>
      </c>
      <c r="C1615" s="43">
        <v>0.17</v>
      </c>
      <c r="D1615" s="45">
        <v>45962</v>
      </c>
      <c r="E1615" s="45">
        <v>45991.999305555553</v>
      </c>
      <c r="F1615" s="42" t="s">
        <v>644</v>
      </c>
    </row>
    <row r="1616" spans="1:6" x14ac:dyDescent="0.35">
      <c r="A1616" s="42" t="s">
        <v>589</v>
      </c>
      <c r="B1616" s="42">
        <v>699.88</v>
      </c>
      <c r="C1616" s="43">
        <v>0.17</v>
      </c>
      <c r="D1616" s="45">
        <v>45962</v>
      </c>
      <c r="E1616" s="45">
        <v>45991.999305555553</v>
      </c>
      <c r="F1616" s="42" t="s">
        <v>644</v>
      </c>
    </row>
    <row r="1617" spans="1:6" x14ac:dyDescent="0.35">
      <c r="A1617" s="42" t="s">
        <v>605</v>
      </c>
      <c r="B1617" s="42">
        <v>699.88</v>
      </c>
      <c r="C1617" s="43">
        <v>0.17</v>
      </c>
      <c r="D1617" s="45">
        <v>45962</v>
      </c>
      <c r="E1617" s="45">
        <v>45991.999305555553</v>
      </c>
      <c r="F1617" s="42" t="s">
        <v>644</v>
      </c>
    </row>
    <row r="1618" spans="1:6" x14ac:dyDescent="0.35">
      <c r="A1618" s="42" t="s">
        <v>523</v>
      </c>
      <c r="B1618" s="42">
        <v>919.88</v>
      </c>
      <c r="C1618" s="43">
        <v>0.17</v>
      </c>
      <c r="D1618" s="45">
        <v>45962</v>
      </c>
      <c r="E1618" s="45">
        <v>45991.999305555553</v>
      </c>
      <c r="F1618" s="42" t="s">
        <v>644</v>
      </c>
    </row>
    <row r="1619" spans="1:6" x14ac:dyDescent="0.35">
      <c r="A1619" s="42" t="s">
        <v>650</v>
      </c>
      <c r="B1619" s="42">
        <v>1249.8800000000001</v>
      </c>
      <c r="C1619" s="43">
        <v>0.17</v>
      </c>
      <c r="D1619" s="45">
        <v>45962</v>
      </c>
      <c r="E1619" s="45">
        <v>45991.999305555553</v>
      </c>
      <c r="F1619" s="42" t="s">
        <v>644</v>
      </c>
    </row>
    <row r="1620" spans="1:6" x14ac:dyDescent="0.35">
      <c r="A1620" s="42" t="s">
        <v>674</v>
      </c>
      <c r="B1620" s="42">
        <v>1249.8800000000001</v>
      </c>
      <c r="C1620" s="43">
        <v>0.17</v>
      </c>
      <c r="D1620" s="45">
        <v>45962</v>
      </c>
      <c r="E1620" s="45">
        <v>45991.999305555553</v>
      </c>
      <c r="F1620" s="42" t="s">
        <v>644</v>
      </c>
    </row>
    <row r="1621" spans="1:6" x14ac:dyDescent="0.35">
      <c r="A1621" s="42" t="s">
        <v>267</v>
      </c>
      <c r="B1621" s="42">
        <v>1249.8800000000001</v>
      </c>
      <c r="C1621" s="43">
        <v>0.17</v>
      </c>
      <c r="D1621" s="45">
        <v>45962</v>
      </c>
      <c r="E1621" s="45">
        <v>45991.999305555553</v>
      </c>
      <c r="F1621" s="42" t="s">
        <v>644</v>
      </c>
    </row>
    <row r="1622" spans="1:6" x14ac:dyDescent="0.35">
      <c r="A1622" s="42" t="s">
        <v>488</v>
      </c>
      <c r="B1622" s="42">
        <v>1459.88</v>
      </c>
      <c r="C1622" s="43">
        <v>0.17</v>
      </c>
      <c r="D1622" s="45">
        <v>45962</v>
      </c>
      <c r="E1622" s="45">
        <v>45991.999305555553</v>
      </c>
      <c r="F1622" s="42" t="s">
        <v>644</v>
      </c>
    </row>
    <row r="1623" spans="1:6" x14ac:dyDescent="0.35">
      <c r="A1623" s="42" t="s">
        <v>104</v>
      </c>
      <c r="B1623" s="42">
        <v>1459.88</v>
      </c>
      <c r="C1623" s="43">
        <v>0.17</v>
      </c>
      <c r="D1623" s="45">
        <v>45962</v>
      </c>
      <c r="E1623" s="45">
        <v>45991.999305555553</v>
      </c>
      <c r="F1623" s="42" t="s">
        <v>644</v>
      </c>
    </row>
    <row r="1624" spans="1:6" x14ac:dyDescent="0.35">
      <c r="A1624" s="42" t="s">
        <v>669</v>
      </c>
      <c r="B1624" s="42">
        <v>2439.88</v>
      </c>
      <c r="C1624" s="43">
        <v>0.17</v>
      </c>
      <c r="D1624" s="45">
        <v>45962</v>
      </c>
      <c r="E1624" s="45">
        <v>45991.999305555553</v>
      </c>
      <c r="F1624" s="42" t="s">
        <v>644</v>
      </c>
    </row>
    <row r="1625" spans="1:6" x14ac:dyDescent="0.35">
      <c r="A1625" s="42" t="s">
        <v>643</v>
      </c>
      <c r="B1625" s="42">
        <v>2139.88</v>
      </c>
      <c r="C1625" s="43">
        <v>0.17</v>
      </c>
      <c r="D1625" s="45">
        <v>45962</v>
      </c>
      <c r="E1625" s="45">
        <v>45991.999305555553</v>
      </c>
      <c r="F1625" s="42" t="s">
        <v>644</v>
      </c>
    </row>
    <row r="1626" spans="1:6" x14ac:dyDescent="0.35">
      <c r="A1626" s="42" t="s">
        <v>645</v>
      </c>
      <c r="B1626" s="42">
        <v>1759.88</v>
      </c>
      <c r="C1626" s="43">
        <v>0.17</v>
      </c>
      <c r="D1626" s="45">
        <v>45962</v>
      </c>
      <c r="E1626" s="45">
        <v>45991.999305555553</v>
      </c>
      <c r="F1626" s="42" t="s">
        <v>644</v>
      </c>
    </row>
    <row r="1627" spans="1:6" x14ac:dyDescent="0.35">
      <c r="A1627" s="42" t="s">
        <v>648</v>
      </c>
      <c r="B1627" s="42">
        <v>2529.88</v>
      </c>
      <c r="C1627" s="43">
        <v>0.17</v>
      </c>
      <c r="D1627" s="45">
        <v>45962</v>
      </c>
      <c r="E1627" s="45">
        <v>45991.999305555553</v>
      </c>
      <c r="F1627" s="42" t="s">
        <v>644</v>
      </c>
    </row>
    <row r="1628" spans="1:6" x14ac:dyDescent="0.35">
      <c r="A1628" s="42" t="s">
        <v>649</v>
      </c>
      <c r="B1628" s="42">
        <v>3539.88</v>
      </c>
      <c r="C1628" s="43">
        <v>0.17</v>
      </c>
      <c r="D1628" s="45">
        <v>45962</v>
      </c>
      <c r="E1628" s="45">
        <v>45991.999305555553</v>
      </c>
      <c r="F1628" s="42" t="s">
        <v>644</v>
      </c>
    </row>
    <row r="1629" spans="1:6" x14ac:dyDescent="0.35">
      <c r="A1629" s="42" t="s">
        <v>651</v>
      </c>
      <c r="B1629" s="42">
        <v>1619.88</v>
      </c>
      <c r="C1629" s="43">
        <v>0.17</v>
      </c>
      <c r="D1629" s="45">
        <v>45962</v>
      </c>
      <c r="E1629" s="45">
        <v>45991.999305555553</v>
      </c>
      <c r="F1629" s="42" t="s">
        <v>644</v>
      </c>
    </row>
    <row r="1630" spans="1:6" x14ac:dyDescent="0.35">
      <c r="A1630" s="42" t="s">
        <v>652</v>
      </c>
      <c r="B1630" s="42">
        <v>1199.8800000000001</v>
      </c>
      <c r="C1630" s="43">
        <v>0.17</v>
      </c>
      <c r="D1630" s="45">
        <v>45962</v>
      </c>
      <c r="E1630" s="45">
        <v>45991.999305555553</v>
      </c>
      <c r="F1630" s="42" t="s">
        <v>644</v>
      </c>
    </row>
    <row r="1631" spans="1:6" x14ac:dyDescent="0.35">
      <c r="A1631" s="42" t="s">
        <v>653</v>
      </c>
      <c r="B1631" s="42">
        <v>2799.88</v>
      </c>
      <c r="C1631" s="43">
        <v>0.17</v>
      </c>
      <c r="D1631" s="45">
        <v>45962</v>
      </c>
      <c r="E1631" s="45">
        <v>45991.999305555553</v>
      </c>
      <c r="F1631" s="42" t="s">
        <v>644</v>
      </c>
    </row>
    <row r="1632" spans="1:6" x14ac:dyDescent="0.35">
      <c r="A1632" s="42" t="s">
        <v>655</v>
      </c>
      <c r="B1632" s="42">
        <v>2589.88</v>
      </c>
      <c r="C1632" s="43">
        <v>0.17</v>
      </c>
      <c r="D1632" s="45">
        <v>45962</v>
      </c>
      <c r="E1632" s="45">
        <v>45991.999305555553</v>
      </c>
      <c r="F1632" s="42" t="s">
        <v>644</v>
      </c>
    </row>
    <row r="1633" spans="1:6" x14ac:dyDescent="0.35">
      <c r="A1633" s="42" t="s">
        <v>656</v>
      </c>
      <c r="B1633" s="42">
        <v>1149.8800000000001</v>
      </c>
      <c r="C1633" s="43">
        <v>0.17</v>
      </c>
      <c r="D1633" s="45">
        <v>45962</v>
      </c>
      <c r="E1633" s="45">
        <v>45991.999305555553</v>
      </c>
      <c r="F1633" s="42" t="s">
        <v>644</v>
      </c>
    </row>
    <row r="1634" spans="1:6" x14ac:dyDescent="0.35">
      <c r="A1634" s="42" t="s">
        <v>657</v>
      </c>
      <c r="B1634" s="42">
        <v>719.88</v>
      </c>
      <c r="C1634" s="43">
        <v>0.17</v>
      </c>
      <c r="D1634" s="45">
        <v>45962</v>
      </c>
      <c r="E1634" s="45">
        <v>45991.999305555553</v>
      </c>
      <c r="F1634" s="42" t="s">
        <v>644</v>
      </c>
    </row>
    <row r="1635" spans="1:6" x14ac:dyDescent="0.35">
      <c r="A1635" s="42" t="s">
        <v>658</v>
      </c>
      <c r="B1635" s="42">
        <v>1659.88</v>
      </c>
      <c r="C1635" s="43">
        <v>0.17</v>
      </c>
      <c r="D1635" s="45">
        <v>45962</v>
      </c>
      <c r="E1635" s="45">
        <v>45991.999305555553</v>
      </c>
      <c r="F1635" s="42" t="s">
        <v>644</v>
      </c>
    </row>
    <row r="1636" spans="1:6" x14ac:dyDescent="0.35">
      <c r="A1636" s="42" t="s">
        <v>659</v>
      </c>
      <c r="B1636" s="42">
        <v>1659.88</v>
      </c>
      <c r="C1636" s="43">
        <v>0.17</v>
      </c>
      <c r="D1636" s="45">
        <v>45962</v>
      </c>
      <c r="E1636" s="45">
        <v>45991.999305555553</v>
      </c>
      <c r="F1636" s="42" t="s">
        <v>644</v>
      </c>
    </row>
    <row r="1637" spans="1:6" x14ac:dyDescent="0.35">
      <c r="A1637" s="42" t="s">
        <v>660</v>
      </c>
      <c r="B1637" s="42">
        <v>1289.8800000000001</v>
      </c>
      <c r="C1637" s="43">
        <v>0.17</v>
      </c>
      <c r="D1637" s="45">
        <v>45962</v>
      </c>
      <c r="E1637" s="45">
        <v>45991.999305555553</v>
      </c>
      <c r="F1637" s="42" t="s">
        <v>644</v>
      </c>
    </row>
    <row r="1638" spans="1:6" x14ac:dyDescent="0.35">
      <c r="A1638" s="42" t="s">
        <v>464</v>
      </c>
      <c r="B1638" s="42">
        <v>1459.88</v>
      </c>
      <c r="C1638" s="43">
        <v>0.17</v>
      </c>
      <c r="D1638" s="45">
        <v>45962</v>
      </c>
      <c r="E1638" s="45">
        <v>45991.999305555553</v>
      </c>
      <c r="F1638" s="42" t="s">
        <v>644</v>
      </c>
    </row>
    <row r="1639" spans="1:6" x14ac:dyDescent="0.35">
      <c r="A1639" s="42" t="s">
        <v>460</v>
      </c>
      <c r="B1639" s="42">
        <v>1459.88</v>
      </c>
      <c r="C1639" s="43">
        <v>0.17</v>
      </c>
      <c r="D1639" s="45">
        <v>45962</v>
      </c>
      <c r="E1639" s="45">
        <v>45991.999305555553</v>
      </c>
      <c r="F1639" s="42" t="s">
        <v>644</v>
      </c>
    </row>
    <row r="1640" spans="1:6" x14ac:dyDescent="0.35">
      <c r="A1640" s="42" t="s">
        <v>662</v>
      </c>
      <c r="B1640" s="42">
        <v>2129.88</v>
      </c>
      <c r="C1640" s="43">
        <v>0.17</v>
      </c>
      <c r="D1640" s="45">
        <v>45962</v>
      </c>
      <c r="E1640" s="45">
        <v>45991.999305555553</v>
      </c>
      <c r="F1640" s="42" t="s">
        <v>644</v>
      </c>
    </row>
    <row r="1641" spans="1:6" x14ac:dyDescent="0.35">
      <c r="A1641" s="42" t="s">
        <v>607</v>
      </c>
      <c r="B1641" s="42">
        <v>2799.88</v>
      </c>
      <c r="C1641" s="43">
        <v>0.17</v>
      </c>
      <c r="D1641" s="45">
        <v>45962</v>
      </c>
      <c r="E1641" s="45">
        <v>45991.999305555553</v>
      </c>
      <c r="F1641" s="42" t="s">
        <v>644</v>
      </c>
    </row>
    <row r="1642" spans="1:6" x14ac:dyDescent="0.35">
      <c r="A1642" s="42" t="s">
        <v>663</v>
      </c>
      <c r="B1642" s="42">
        <v>1879.88</v>
      </c>
      <c r="C1642" s="43">
        <v>0.17</v>
      </c>
      <c r="D1642" s="45">
        <v>45962</v>
      </c>
      <c r="E1642" s="45">
        <v>45991.999305555553</v>
      </c>
      <c r="F1642" s="42" t="s">
        <v>644</v>
      </c>
    </row>
    <row r="1643" spans="1:6" x14ac:dyDescent="0.35">
      <c r="A1643" s="42" t="s">
        <v>664</v>
      </c>
      <c r="B1643" s="42">
        <v>3729.88</v>
      </c>
      <c r="C1643" s="43">
        <v>0.17</v>
      </c>
      <c r="D1643" s="45">
        <v>45962</v>
      </c>
      <c r="E1643" s="45">
        <v>45991.999305555553</v>
      </c>
      <c r="F1643" s="42" t="s">
        <v>644</v>
      </c>
    </row>
    <row r="1644" spans="1:6" x14ac:dyDescent="0.35">
      <c r="A1644" s="42" t="s">
        <v>665</v>
      </c>
      <c r="B1644" s="42">
        <v>2649.88</v>
      </c>
      <c r="C1644" s="43">
        <v>0.17</v>
      </c>
      <c r="D1644" s="45">
        <v>45962</v>
      </c>
      <c r="E1644" s="45">
        <v>45991.999305555553</v>
      </c>
      <c r="F1644" s="42" t="s">
        <v>644</v>
      </c>
    </row>
    <row r="1645" spans="1:6" x14ac:dyDescent="0.35">
      <c r="A1645" s="42" t="s">
        <v>666</v>
      </c>
      <c r="B1645" s="42">
        <v>1149.8800000000001</v>
      </c>
      <c r="C1645" s="43">
        <v>0.17</v>
      </c>
      <c r="D1645" s="45">
        <v>45962</v>
      </c>
      <c r="E1645" s="45">
        <v>45991.999305555553</v>
      </c>
      <c r="F1645" s="42" t="s">
        <v>644</v>
      </c>
    </row>
    <row r="1646" spans="1:6" x14ac:dyDescent="0.35">
      <c r="A1646" s="42" t="s">
        <v>611</v>
      </c>
      <c r="B1646" s="42">
        <v>1569.88</v>
      </c>
      <c r="C1646" s="43">
        <v>0.17</v>
      </c>
      <c r="D1646" s="45">
        <v>45962</v>
      </c>
      <c r="E1646" s="45">
        <v>45991.999305555553</v>
      </c>
      <c r="F1646" s="42" t="s">
        <v>644</v>
      </c>
    </row>
    <row r="1647" spans="1:6" x14ac:dyDescent="0.35">
      <c r="A1647" s="42" t="s">
        <v>75</v>
      </c>
      <c r="B1647" s="42">
        <v>479.88</v>
      </c>
      <c r="C1647" s="43">
        <v>0.17</v>
      </c>
      <c r="D1647" s="45">
        <v>45962</v>
      </c>
      <c r="E1647" s="45">
        <v>45991.999305555553</v>
      </c>
      <c r="F1647" s="42" t="s">
        <v>644</v>
      </c>
    </row>
    <row r="1648" spans="1:6" x14ac:dyDescent="0.35">
      <c r="A1648" s="42" t="s">
        <v>564</v>
      </c>
      <c r="B1648" s="42">
        <v>479.88</v>
      </c>
      <c r="C1648" s="43">
        <v>0.17</v>
      </c>
      <c r="D1648" s="45">
        <v>45962</v>
      </c>
      <c r="E1648" s="45">
        <v>45991.999305555553</v>
      </c>
      <c r="F1648" s="42" t="s">
        <v>644</v>
      </c>
    </row>
    <row r="1649" spans="1:6" x14ac:dyDescent="0.35">
      <c r="A1649" s="42" t="s">
        <v>668</v>
      </c>
      <c r="B1649" s="42">
        <v>2799.88</v>
      </c>
      <c r="C1649" s="43">
        <v>0.17</v>
      </c>
      <c r="D1649" s="45">
        <v>45962</v>
      </c>
      <c r="E1649" s="45">
        <v>45991.999305555553</v>
      </c>
      <c r="F1649" s="42" t="s">
        <v>644</v>
      </c>
    </row>
    <row r="1650" spans="1:6" x14ac:dyDescent="0.35">
      <c r="A1650" s="42" t="s">
        <v>672</v>
      </c>
      <c r="B1650" s="42">
        <v>1359.88</v>
      </c>
      <c r="C1650" s="43">
        <v>0.17</v>
      </c>
      <c r="D1650" s="45">
        <v>45962</v>
      </c>
      <c r="E1650" s="45">
        <v>45991.999305555553</v>
      </c>
      <c r="F1650" s="42" t="s">
        <v>644</v>
      </c>
    </row>
    <row r="1651" spans="1:6" x14ac:dyDescent="0.35">
      <c r="A1651" s="42" t="s">
        <v>673</v>
      </c>
      <c r="B1651" s="42">
        <v>1329.88</v>
      </c>
      <c r="C1651" s="43">
        <v>0.17</v>
      </c>
      <c r="D1651" s="45">
        <v>45962</v>
      </c>
      <c r="E1651" s="45">
        <v>45991.999305555553</v>
      </c>
      <c r="F1651" s="42" t="s">
        <v>644</v>
      </c>
    </row>
    <row r="1652" spans="1:6" x14ac:dyDescent="0.35">
      <c r="A1652" s="42" t="s">
        <v>612</v>
      </c>
      <c r="B1652" s="42">
        <v>1019.88</v>
      </c>
      <c r="C1652" s="43">
        <v>0.17</v>
      </c>
      <c r="D1652" s="45">
        <v>45962</v>
      </c>
      <c r="E1652" s="45">
        <v>45991.999305555553</v>
      </c>
      <c r="F1652" s="42" t="s">
        <v>644</v>
      </c>
    </row>
    <row r="1653" spans="1:6" x14ac:dyDescent="0.35">
      <c r="A1653" s="42" t="s">
        <v>604</v>
      </c>
      <c r="B1653" s="42">
        <v>939.88</v>
      </c>
      <c r="C1653" s="43">
        <v>0.17</v>
      </c>
      <c r="D1653" s="45">
        <v>45962</v>
      </c>
      <c r="E1653" s="45">
        <v>45991.999305555553</v>
      </c>
      <c r="F1653" s="42" t="s">
        <v>644</v>
      </c>
    </row>
    <row r="1654" spans="1:6" x14ac:dyDescent="0.35">
      <c r="A1654" s="42" t="s">
        <v>23</v>
      </c>
      <c r="B1654" s="42">
        <v>479.88</v>
      </c>
      <c r="C1654" s="43">
        <v>0.17</v>
      </c>
      <c r="D1654" s="45">
        <v>45962</v>
      </c>
      <c r="E1654" s="45">
        <v>45991.999305555553</v>
      </c>
      <c r="F1654" s="42" t="s">
        <v>644</v>
      </c>
    </row>
    <row r="1655" spans="1:6" x14ac:dyDescent="0.35">
      <c r="A1655" s="42" t="s">
        <v>316</v>
      </c>
      <c r="B1655" s="42">
        <v>1879.88</v>
      </c>
      <c r="C1655" s="43">
        <v>0.17</v>
      </c>
      <c r="D1655" s="45">
        <v>45962</v>
      </c>
      <c r="E1655" s="45">
        <v>45991.999305555553</v>
      </c>
      <c r="F1655" s="42" t="s">
        <v>644</v>
      </c>
    </row>
    <row r="1656" spans="1:6" x14ac:dyDescent="0.35">
      <c r="A1656" s="42" t="s">
        <v>610</v>
      </c>
      <c r="B1656" s="42">
        <v>1919.88</v>
      </c>
      <c r="C1656" s="43">
        <v>0.17</v>
      </c>
      <c r="D1656" s="45">
        <v>45962</v>
      </c>
      <c r="E1656" s="45">
        <v>45991.999305555553</v>
      </c>
      <c r="F1656" s="42" t="s">
        <v>644</v>
      </c>
    </row>
    <row r="1657" spans="1:6" x14ac:dyDescent="0.35">
      <c r="A1657" s="42" t="s">
        <v>33</v>
      </c>
      <c r="B1657" s="42">
        <v>989.88</v>
      </c>
      <c r="C1657" s="43">
        <v>0.17</v>
      </c>
      <c r="D1657" s="45">
        <v>45962</v>
      </c>
      <c r="E1657" s="45">
        <v>45991.999305555553</v>
      </c>
      <c r="F1657" s="42" t="s">
        <v>644</v>
      </c>
    </row>
    <row r="1658" spans="1:6" x14ac:dyDescent="0.35">
      <c r="A1658" s="42" t="s">
        <v>523</v>
      </c>
      <c r="B1658" s="42">
        <v>789.95</v>
      </c>
      <c r="C1658" s="43">
        <v>0.06</v>
      </c>
      <c r="D1658" s="45">
        <v>45962</v>
      </c>
      <c r="E1658" s="45">
        <v>45991.999305555553</v>
      </c>
      <c r="F1658" s="42" t="s">
        <v>274</v>
      </c>
    </row>
    <row r="1659" spans="1:6" x14ac:dyDescent="0.35">
      <c r="A1659" s="42" t="s">
        <v>470</v>
      </c>
      <c r="B1659" s="42">
        <v>799.95</v>
      </c>
      <c r="C1659" s="43">
        <v>0.06</v>
      </c>
      <c r="D1659" s="45">
        <v>45962</v>
      </c>
      <c r="E1659" s="45">
        <v>45991.999305555553</v>
      </c>
      <c r="F1659" s="42" t="s">
        <v>274</v>
      </c>
    </row>
    <row r="1660" spans="1:6" x14ac:dyDescent="0.35">
      <c r="A1660" s="42" t="s">
        <v>402</v>
      </c>
      <c r="B1660" s="42">
        <v>889.95</v>
      </c>
      <c r="C1660" s="43">
        <v>0.06</v>
      </c>
      <c r="D1660" s="45">
        <v>45962</v>
      </c>
      <c r="E1660" s="45">
        <v>45991.999305555553</v>
      </c>
      <c r="F1660" s="42" t="s">
        <v>274</v>
      </c>
    </row>
    <row r="1661" spans="1:6" x14ac:dyDescent="0.35">
      <c r="A1661" s="42" t="s">
        <v>678</v>
      </c>
      <c r="B1661" s="42">
        <v>899.95</v>
      </c>
      <c r="C1661" s="43">
        <v>0.06</v>
      </c>
      <c r="D1661" s="45">
        <v>45962</v>
      </c>
      <c r="E1661" s="45">
        <v>45991.999305555553</v>
      </c>
      <c r="F1661" s="42" t="s">
        <v>274</v>
      </c>
    </row>
    <row r="1662" spans="1:6" x14ac:dyDescent="0.35">
      <c r="A1662" s="42" t="s">
        <v>697</v>
      </c>
      <c r="B1662" s="42">
        <v>919.95</v>
      </c>
      <c r="C1662" s="43">
        <v>0.06</v>
      </c>
      <c r="D1662" s="45">
        <v>45962</v>
      </c>
      <c r="E1662" s="45">
        <v>45991.999305555553</v>
      </c>
      <c r="F1662" s="42" t="s">
        <v>274</v>
      </c>
    </row>
    <row r="1663" spans="1:6" x14ac:dyDescent="0.35">
      <c r="A1663" s="42" t="s">
        <v>37</v>
      </c>
      <c r="B1663" s="42">
        <v>1369.95</v>
      </c>
      <c r="C1663" s="43">
        <v>0.06</v>
      </c>
      <c r="D1663" s="45">
        <v>45962</v>
      </c>
      <c r="E1663" s="45">
        <v>45991.999305555553</v>
      </c>
      <c r="F1663" s="42" t="s">
        <v>274</v>
      </c>
    </row>
    <row r="1664" spans="1:6" x14ac:dyDescent="0.35">
      <c r="A1664" s="42" t="s">
        <v>452</v>
      </c>
      <c r="B1664" s="42">
        <v>1369.95</v>
      </c>
      <c r="C1664" s="43">
        <v>0.06</v>
      </c>
      <c r="D1664" s="45">
        <v>45962</v>
      </c>
      <c r="E1664" s="45">
        <v>45991.999305555553</v>
      </c>
      <c r="F1664" s="42" t="s">
        <v>274</v>
      </c>
    </row>
    <row r="1665" spans="1:6" x14ac:dyDescent="0.35">
      <c r="A1665" s="42" t="s">
        <v>692</v>
      </c>
      <c r="B1665" s="42">
        <v>1369.95</v>
      </c>
      <c r="C1665" s="43">
        <v>0.06</v>
      </c>
      <c r="D1665" s="45">
        <v>45962</v>
      </c>
      <c r="E1665" s="45">
        <v>45991.999305555553</v>
      </c>
      <c r="F1665" s="42" t="s">
        <v>274</v>
      </c>
    </row>
    <row r="1666" spans="1:6" x14ac:dyDescent="0.35">
      <c r="A1666" s="42" t="s">
        <v>698</v>
      </c>
      <c r="B1666" s="42">
        <v>1369.95</v>
      </c>
      <c r="C1666" s="43">
        <v>0.06</v>
      </c>
      <c r="D1666" s="45">
        <v>45962</v>
      </c>
      <c r="E1666" s="45">
        <v>45991.999305555553</v>
      </c>
      <c r="F1666" s="42" t="s">
        <v>274</v>
      </c>
    </row>
    <row r="1667" spans="1:6" x14ac:dyDescent="0.35">
      <c r="A1667" s="42" t="s">
        <v>49</v>
      </c>
      <c r="B1667" s="42">
        <v>1539.95</v>
      </c>
      <c r="C1667" s="43">
        <v>0.06</v>
      </c>
      <c r="D1667" s="45">
        <v>45962</v>
      </c>
      <c r="E1667" s="45">
        <v>45991.999305555553</v>
      </c>
      <c r="F1667" s="42" t="s">
        <v>274</v>
      </c>
    </row>
    <row r="1668" spans="1:6" x14ac:dyDescent="0.35">
      <c r="A1668" s="42" t="s">
        <v>680</v>
      </c>
      <c r="B1668" s="42">
        <v>279.95</v>
      </c>
      <c r="C1668" s="43">
        <v>0.06</v>
      </c>
      <c r="D1668" s="45">
        <v>45962</v>
      </c>
      <c r="E1668" s="45">
        <v>45991.999305555553</v>
      </c>
      <c r="F1668" s="42" t="s">
        <v>274</v>
      </c>
    </row>
    <row r="1669" spans="1:6" x14ac:dyDescent="0.35">
      <c r="A1669" s="42" t="s">
        <v>14</v>
      </c>
      <c r="B1669" s="42">
        <v>369.95</v>
      </c>
      <c r="C1669" s="43">
        <v>0.06</v>
      </c>
      <c r="D1669" s="45">
        <v>45962</v>
      </c>
      <c r="E1669" s="45">
        <v>45991.999305555553</v>
      </c>
      <c r="F1669" s="42" t="s">
        <v>274</v>
      </c>
    </row>
    <row r="1670" spans="1:6" x14ac:dyDescent="0.35">
      <c r="A1670" s="42" t="s">
        <v>12</v>
      </c>
      <c r="B1670" s="42">
        <v>369.95</v>
      </c>
      <c r="C1670" s="43">
        <v>0.06</v>
      </c>
      <c r="D1670" s="45">
        <v>45962</v>
      </c>
      <c r="E1670" s="45">
        <v>45991.999305555553</v>
      </c>
      <c r="F1670" s="42" t="s">
        <v>274</v>
      </c>
    </row>
    <row r="1671" spans="1:6" x14ac:dyDescent="0.35">
      <c r="A1671" s="42" t="s">
        <v>279</v>
      </c>
      <c r="B1671" s="42">
        <v>549.95000000000005</v>
      </c>
      <c r="C1671" s="43">
        <v>0.06</v>
      </c>
      <c r="D1671" s="45">
        <v>45962</v>
      </c>
      <c r="E1671" s="45">
        <v>45991.999305555553</v>
      </c>
      <c r="F1671" s="42" t="s">
        <v>274</v>
      </c>
    </row>
    <row r="1672" spans="1:6" x14ac:dyDescent="0.35">
      <c r="A1672" s="42" t="s">
        <v>25</v>
      </c>
      <c r="B1672" s="42">
        <v>549.95000000000005</v>
      </c>
      <c r="C1672" s="43">
        <v>0.06</v>
      </c>
      <c r="D1672" s="45">
        <v>45962</v>
      </c>
      <c r="E1672" s="45">
        <v>45991.999305555553</v>
      </c>
      <c r="F1672" s="42" t="s">
        <v>274</v>
      </c>
    </row>
    <row r="1673" spans="1:6" x14ac:dyDescent="0.35">
      <c r="A1673" s="42" t="s">
        <v>27</v>
      </c>
      <c r="B1673" s="42">
        <v>639.95000000000005</v>
      </c>
      <c r="C1673" s="43">
        <v>0.06</v>
      </c>
      <c r="D1673" s="45">
        <v>45962</v>
      </c>
      <c r="E1673" s="45">
        <v>45991.999305555553</v>
      </c>
      <c r="F1673" s="42" t="s">
        <v>274</v>
      </c>
    </row>
    <row r="1674" spans="1:6" x14ac:dyDescent="0.35">
      <c r="A1674" s="42" t="s">
        <v>73</v>
      </c>
      <c r="B1674" s="42">
        <v>639.95000000000005</v>
      </c>
      <c r="C1674" s="43">
        <v>0.06</v>
      </c>
      <c r="D1674" s="45">
        <v>45962</v>
      </c>
      <c r="E1674" s="45">
        <v>45991.999305555553</v>
      </c>
      <c r="F1674" s="42" t="s">
        <v>274</v>
      </c>
    </row>
    <row r="1675" spans="1:6" x14ac:dyDescent="0.35">
      <c r="A1675" s="42" t="s">
        <v>481</v>
      </c>
      <c r="B1675" s="42">
        <v>739.95</v>
      </c>
      <c r="C1675" s="43">
        <v>0.06</v>
      </c>
      <c r="D1675" s="45">
        <v>45962</v>
      </c>
      <c r="E1675" s="45">
        <v>45991.999305555553</v>
      </c>
      <c r="F1675" s="42" t="s">
        <v>274</v>
      </c>
    </row>
    <row r="1676" spans="1:6" x14ac:dyDescent="0.35">
      <c r="A1676" s="42" t="s">
        <v>31</v>
      </c>
      <c r="B1676" s="42">
        <v>739.95</v>
      </c>
      <c r="C1676" s="43">
        <v>0.06</v>
      </c>
      <c r="D1676" s="45">
        <v>45962</v>
      </c>
      <c r="E1676" s="45">
        <v>45991.999305555553</v>
      </c>
      <c r="F1676" s="42" t="s">
        <v>274</v>
      </c>
    </row>
    <row r="1677" spans="1:6" x14ac:dyDescent="0.35">
      <c r="A1677" s="42" t="s">
        <v>283</v>
      </c>
      <c r="B1677" s="42">
        <v>739.95</v>
      </c>
      <c r="C1677" s="43">
        <v>0.06</v>
      </c>
      <c r="D1677" s="45">
        <v>45962</v>
      </c>
      <c r="E1677" s="45">
        <v>45991.999305555553</v>
      </c>
      <c r="F1677" s="42" t="s">
        <v>274</v>
      </c>
    </row>
    <row r="1678" spans="1:6" x14ac:dyDescent="0.35">
      <c r="A1678" s="42" t="s">
        <v>40</v>
      </c>
      <c r="B1678" s="42">
        <v>739.95</v>
      </c>
      <c r="C1678" s="43">
        <v>0.06</v>
      </c>
      <c r="D1678" s="45">
        <v>45962</v>
      </c>
      <c r="E1678" s="45">
        <v>45991.999305555553</v>
      </c>
      <c r="F1678" s="42" t="s">
        <v>274</v>
      </c>
    </row>
    <row r="1679" spans="1:6" x14ac:dyDescent="0.35">
      <c r="A1679" s="42" t="s">
        <v>683</v>
      </c>
      <c r="B1679" s="42">
        <v>739.95</v>
      </c>
      <c r="C1679" s="43">
        <v>0.06</v>
      </c>
      <c r="D1679" s="45">
        <v>45962</v>
      </c>
      <c r="E1679" s="45">
        <v>45991.999305555553</v>
      </c>
      <c r="F1679" s="42" t="s">
        <v>274</v>
      </c>
    </row>
    <row r="1680" spans="1:6" x14ac:dyDescent="0.35">
      <c r="A1680" s="42" t="s">
        <v>694</v>
      </c>
      <c r="B1680" s="42">
        <v>739.95</v>
      </c>
      <c r="C1680" s="43">
        <v>0.06</v>
      </c>
      <c r="D1680" s="45">
        <v>45962</v>
      </c>
      <c r="E1680" s="45">
        <v>45991.999305555553</v>
      </c>
      <c r="F1680" s="42" t="s">
        <v>274</v>
      </c>
    </row>
    <row r="1681" spans="1:6" x14ac:dyDescent="0.35">
      <c r="A1681" s="42" t="s">
        <v>451</v>
      </c>
      <c r="B1681" s="42">
        <v>1299.95</v>
      </c>
      <c r="C1681" s="43">
        <v>0.06</v>
      </c>
      <c r="D1681" s="45">
        <v>45962</v>
      </c>
      <c r="E1681" s="45">
        <v>45991.999305555553</v>
      </c>
      <c r="F1681" s="42" t="s">
        <v>274</v>
      </c>
    </row>
    <row r="1682" spans="1:6" x14ac:dyDescent="0.35">
      <c r="A1682" s="42" t="s">
        <v>684</v>
      </c>
      <c r="B1682" s="42">
        <v>1299.95</v>
      </c>
      <c r="C1682" s="43">
        <v>0.06</v>
      </c>
      <c r="D1682" s="45">
        <v>45962</v>
      </c>
      <c r="E1682" s="45">
        <v>45991.999305555553</v>
      </c>
      <c r="F1682" s="42" t="s">
        <v>274</v>
      </c>
    </row>
    <row r="1683" spans="1:6" x14ac:dyDescent="0.35">
      <c r="A1683" s="42" t="s">
        <v>35</v>
      </c>
      <c r="B1683" s="42">
        <v>1399.95</v>
      </c>
      <c r="C1683" s="43">
        <v>0.06</v>
      </c>
      <c r="D1683" s="45">
        <v>45962</v>
      </c>
      <c r="E1683" s="45">
        <v>45991.999305555553</v>
      </c>
      <c r="F1683" s="42" t="s">
        <v>274</v>
      </c>
    </row>
    <row r="1684" spans="1:6" x14ac:dyDescent="0.35">
      <c r="A1684" s="42" t="s">
        <v>594</v>
      </c>
      <c r="B1684" s="42">
        <v>1569.95</v>
      </c>
      <c r="C1684" s="43">
        <v>0.06</v>
      </c>
      <c r="D1684" s="45">
        <v>45962</v>
      </c>
      <c r="E1684" s="45">
        <v>45991.999305555553</v>
      </c>
      <c r="F1684" s="42" t="s">
        <v>274</v>
      </c>
    </row>
    <row r="1685" spans="1:6" x14ac:dyDescent="0.35">
      <c r="A1685" s="42" t="s">
        <v>473</v>
      </c>
      <c r="B1685" s="42">
        <v>1569.95</v>
      </c>
      <c r="C1685" s="43">
        <v>0.06</v>
      </c>
      <c r="D1685" s="45">
        <v>45962</v>
      </c>
      <c r="E1685" s="45">
        <v>45991.999305555553</v>
      </c>
      <c r="F1685" s="42" t="s">
        <v>274</v>
      </c>
    </row>
    <row r="1686" spans="1:6" x14ac:dyDescent="0.35">
      <c r="A1686" s="42" t="s">
        <v>454</v>
      </c>
      <c r="B1686" s="42">
        <v>1569.95</v>
      </c>
      <c r="C1686" s="43">
        <v>0.06</v>
      </c>
      <c r="D1686" s="45">
        <v>45962</v>
      </c>
      <c r="E1686" s="45">
        <v>45991.999305555553</v>
      </c>
      <c r="F1686" s="42" t="s">
        <v>274</v>
      </c>
    </row>
    <row r="1687" spans="1:6" x14ac:dyDescent="0.35">
      <c r="A1687" s="42" t="s">
        <v>695</v>
      </c>
      <c r="B1687" s="42">
        <v>1569.95</v>
      </c>
      <c r="C1687" s="43">
        <v>0.06</v>
      </c>
      <c r="D1687" s="45">
        <v>45962</v>
      </c>
      <c r="E1687" s="45">
        <v>45991.999305555553</v>
      </c>
      <c r="F1687" s="42" t="s">
        <v>274</v>
      </c>
    </row>
    <row r="1688" spans="1:6" x14ac:dyDescent="0.35">
      <c r="A1688" s="42" t="s">
        <v>468</v>
      </c>
      <c r="B1688" s="42">
        <v>1579.95</v>
      </c>
      <c r="C1688" s="43">
        <v>0.06</v>
      </c>
      <c r="D1688" s="45">
        <v>45962</v>
      </c>
      <c r="E1688" s="45">
        <v>45991.999305555553</v>
      </c>
      <c r="F1688" s="42" t="s">
        <v>274</v>
      </c>
    </row>
    <row r="1689" spans="1:6" x14ac:dyDescent="0.35">
      <c r="A1689" s="42" t="s">
        <v>15</v>
      </c>
      <c r="B1689" s="42">
        <v>389.95</v>
      </c>
      <c r="C1689" s="43">
        <v>0.06</v>
      </c>
      <c r="D1689" s="45">
        <v>45962</v>
      </c>
      <c r="E1689" s="45">
        <v>45991.999305555553</v>
      </c>
      <c r="F1689" s="42" t="s">
        <v>274</v>
      </c>
    </row>
    <row r="1690" spans="1:6" x14ac:dyDescent="0.35">
      <c r="A1690" s="42" t="s">
        <v>16</v>
      </c>
      <c r="B1690" s="42">
        <v>389.95</v>
      </c>
      <c r="C1690" s="43">
        <v>0.06</v>
      </c>
      <c r="D1690" s="45">
        <v>45962</v>
      </c>
      <c r="E1690" s="45">
        <v>45991.999305555553</v>
      </c>
      <c r="F1690" s="42" t="s">
        <v>274</v>
      </c>
    </row>
    <row r="1691" spans="1:6" x14ac:dyDescent="0.35">
      <c r="A1691" s="42" t="s">
        <v>548</v>
      </c>
      <c r="B1691" s="42">
        <v>389.95</v>
      </c>
      <c r="C1691" s="43">
        <v>0.06</v>
      </c>
      <c r="D1691" s="45">
        <v>45962</v>
      </c>
      <c r="E1691" s="45">
        <v>45991.999305555553</v>
      </c>
      <c r="F1691" s="42" t="s">
        <v>274</v>
      </c>
    </row>
    <row r="1692" spans="1:6" x14ac:dyDescent="0.35">
      <c r="A1692" s="42" t="s">
        <v>477</v>
      </c>
      <c r="B1692" s="42">
        <v>669.95</v>
      </c>
      <c r="C1692" s="43">
        <v>0.06</v>
      </c>
      <c r="D1692" s="45">
        <v>45962</v>
      </c>
      <c r="E1692" s="45">
        <v>45991.999305555553</v>
      </c>
      <c r="F1692" s="42" t="s">
        <v>274</v>
      </c>
    </row>
    <row r="1693" spans="1:6" x14ac:dyDescent="0.35">
      <c r="A1693" s="42" t="s">
        <v>55</v>
      </c>
      <c r="B1693" s="42">
        <v>669.95</v>
      </c>
      <c r="C1693" s="43">
        <v>0.06</v>
      </c>
      <c r="D1693" s="45">
        <v>45962</v>
      </c>
      <c r="E1693" s="45">
        <v>45991.999305555553</v>
      </c>
      <c r="F1693" s="42" t="s">
        <v>274</v>
      </c>
    </row>
    <row r="1694" spans="1:6" x14ac:dyDescent="0.35">
      <c r="A1694" s="42" t="s">
        <v>679</v>
      </c>
      <c r="B1694" s="42">
        <v>969.95</v>
      </c>
      <c r="C1694" s="43">
        <v>0.06</v>
      </c>
      <c r="D1694" s="45">
        <v>45962</v>
      </c>
      <c r="E1694" s="45">
        <v>45991.999305555553</v>
      </c>
      <c r="F1694" s="42" t="s">
        <v>274</v>
      </c>
    </row>
    <row r="1695" spans="1:6" x14ac:dyDescent="0.35">
      <c r="A1695" s="42" t="s">
        <v>61</v>
      </c>
      <c r="B1695" s="42">
        <v>1149.95</v>
      </c>
      <c r="C1695" s="43">
        <v>0.06</v>
      </c>
      <c r="D1695" s="45">
        <v>45962</v>
      </c>
      <c r="E1695" s="45">
        <v>45991.999305555553</v>
      </c>
      <c r="F1695" s="42" t="s">
        <v>274</v>
      </c>
    </row>
    <row r="1696" spans="1:6" x14ac:dyDescent="0.35">
      <c r="A1696" s="42" t="s">
        <v>270</v>
      </c>
      <c r="B1696" s="42">
        <v>1149.95</v>
      </c>
      <c r="C1696" s="43">
        <v>0.06</v>
      </c>
      <c r="D1696" s="45">
        <v>45962</v>
      </c>
      <c r="E1696" s="45">
        <v>45991.999305555553</v>
      </c>
      <c r="F1696" s="42" t="s">
        <v>274</v>
      </c>
    </row>
    <row r="1697" spans="1:6" x14ac:dyDescent="0.35">
      <c r="A1697" s="42" t="s">
        <v>99</v>
      </c>
      <c r="B1697" s="42">
        <v>1249.95</v>
      </c>
      <c r="C1697" s="43">
        <v>0.06</v>
      </c>
      <c r="D1697" s="45">
        <v>45962</v>
      </c>
      <c r="E1697" s="45">
        <v>45991.999305555553</v>
      </c>
      <c r="F1697" s="42" t="s">
        <v>274</v>
      </c>
    </row>
    <row r="1698" spans="1:6" x14ac:dyDescent="0.35">
      <c r="A1698" s="42" t="s">
        <v>691</v>
      </c>
      <c r="B1698" s="42">
        <v>1249.95</v>
      </c>
      <c r="C1698" s="43">
        <v>0.06</v>
      </c>
      <c r="D1698" s="45">
        <v>45962</v>
      </c>
      <c r="E1698" s="45">
        <v>45991.999305555553</v>
      </c>
      <c r="F1698" s="42" t="s">
        <v>274</v>
      </c>
    </row>
    <row r="1699" spans="1:6" x14ac:dyDescent="0.35">
      <c r="A1699" s="42" t="s">
        <v>696</v>
      </c>
      <c r="B1699" s="42">
        <v>1829.95</v>
      </c>
      <c r="C1699" s="43">
        <v>0.06</v>
      </c>
      <c r="D1699" s="45">
        <v>45962</v>
      </c>
      <c r="E1699" s="45">
        <v>45991.999305555553</v>
      </c>
      <c r="F1699" s="42" t="s">
        <v>274</v>
      </c>
    </row>
    <row r="1700" spans="1:6" x14ac:dyDescent="0.35">
      <c r="A1700" s="42" t="s">
        <v>534</v>
      </c>
      <c r="B1700" s="42">
        <v>299.95</v>
      </c>
      <c r="C1700" s="43">
        <v>0.06</v>
      </c>
      <c r="D1700" s="45">
        <v>45962</v>
      </c>
      <c r="E1700" s="45">
        <v>45991.999305555553</v>
      </c>
      <c r="F1700" s="42" t="s">
        <v>274</v>
      </c>
    </row>
    <row r="1701" spans="1:6" x14ac:dyDescent="0.35">
      <c r="A1701" s="42" t="s">
        <v>677</v>
      </c>
      <c r="B1701" s="42">
        <v>499.95</v>
      </c>
      <c r="C1701" s="43">
        <v>0.06</v>
      </c>
      <c r="D1701" s="45">
        <v>45962</v>
      </c>
      <c r="E1701" s="45">
        <v>45991.999305555553</v>
      </c>
      <c r="F1701" s="42" t="s">
        <v>274</v>
      </c>
    </row>
    <row r="1702" spans="1:6" x14ac:dyDescent="0.35">
      <c r="A1702" s="42" t="s">
        <v>71</v>
      </c>
      <c r="B1702" s="42">
        <v>499.95</v>
      </c>
      <c r="C1702" s="43">
        <v>0.06</v>
      </c>
      <c r="D1702" s="45">
        <v>45962</v>
      </c>
      <c r="E1702" s="45">
        <v>45991.999305555553</v>
      </c>
      <c r="F1702" s="42" t="s">
        <v>274</v>
      </c>
    </row>
    <row r="1703" spans="1:6" x14ac:dyDescent="0.35">
      <c r="A1703" s="42" t="s">
        <v>19</v>
      </c>
      <c r="B1703" s="42">
        <v>499.95</v>
      </c>
      <c r="C1703" s="43">
        <v>0.06</v>
      </c>
      <c r="D1703" s="45">
        <v>45962</v>
      </c>
      <c r="E1703" s="45">
        <v>45991.999305555553</v>
      </c>
      <c r="F1703" s="42" t="s">
        <v>274</v>
      </c>
    </row>
    <row r="1704" spans="1:6" x14ac:dyDescent="0.35">
      <c r="A1704" s="42" t="s">
        <v>21</v>
      </c>
      <c r="B1704" s="42">
        <v>499.95</v>
      </c>
      <c r="C1704" s="43">
        <v>0.06</v>
      </c>
      <c r="D1704" s="45">
        <v>45962</v>
      </c>
      <c r="E1704" s="45">
        <v>45991.999305555553</v>
      </c>
      <c r="F1704" s="42" t="s">
        <v>274</v>
      </c>
    </row>
    <row r="1705" spans="1:6" x14ac:dyDescent="0.35">
      <c r="A1705" s="42" t="s">
        <v>448</v>
      </c>
      <c r="B1705" s="42">
        <v>589.95000000000005</v>
      </c>
      <c r="C1705" s="43">
        <v>0.06</v>
      </c>
      <c r="D1705" s="45">
        <v>45962</v>
      </c>
      <c r="E1705" s="45">
        <v>45991.999305555553</v>
      </c>
      <c r="F1705" s="42" t="s">
        <v>274</v>
      </c>
    </row>
    <row r="1706" spans="1:6" x14ac:dyDescent="0.35">
      <c r="A1706" s="42" t="s">
        <v>457</v>
      </c>
      <c r="B1706" s="42">
        <v>1079.95</v>
      </c>
      <c r="C1706" s="43">
        <v>0.06</v>
      </c>
      <c r="D1706" s="45">
        <v>45962</v>
      </c>
      <c r="E1706" s="45">
        <v>45991.999305555553</v>
      </c>
      <c r="F1706" s="42" t="s">
        <v>274</v>
      </c>
    </row>
    <row r="1707" spans="1:6" x14ac:dyDescent="0.35">
      <c r="A1707" s="42" t="s">
        <v>403</v>
      </c>
      <c r="B1707" s="42">
        <v>1079.95</v>
      </c>
      <c r="C1707" s="43">
        <v>0.06</v>
      </c>
      <c r="D1707" s="45">
        <v>45962</v>
      </c>
      <c r="E1707" s="45">
        <v>45991.999305555553</v>
      </c>
      <c r="F1707" s="42" t="s">
        <v>274</v>
      </c>
    </row>
    <row r="1708" spans="1:6" x14ac:dyDescent="0.35">
      <c r="A1708" s="42" t="s">
        <v>472</v>
      </c>
      <c r="B1708" s="42">
        <v>1079.95</v>
      </c>
      <c r="C1708" s="43">
        <v>0.06</v>
      </c>
      <c r="D1708" s="45">
        <v>45962</v>
      </c>
      <c r="E1708" s="45">
        <v>45991.999305555553</v>
      </c>
      <c r="F1708" s="42" t="s">
        <v>274</v>
      </c>
    </row>
    <row r="1709" spans="1:6" x14ac:dyDescent="0.35">
      <c r="A1709" s="42" t="s">
        <v>104</v>
      </c>
      <c r="B1709" s="42">
        <v>1279.95</v>
      </c>
      <c r="C1709" s="43">
        <v>0.06</v>
      </c>
      <c r="D1709" s="45">
        <v>45962</v>
      </c>
      <c r="E1709" s="45">
        <v>45991.999305555553</v>
      </c>
      <c r="F1709" s="42" t="s">
        <v>274</v>
      </c>
    </row>
    <row r="1710" spans="1:6" x14ac:dyDescent="0.35">
      <c r="A1710" s="42" t="s">
        <v>63</v>
      </c>
      <c r="B1710" s="42">
        <v>1379.95</v>
      </c>
      <c r="C1710" s="43">
        <v>0.06</v>
      </c>
      <c r="D1710" s="45">
        <v>45962</v>
      </c>
      <c r="E1710" s="45">
        <v>45991.999305555553</v>
      </c>
      <c r="F1710" s="42" t="s">
        <v>274</v>
      </c>
    </row>
    <row r="1711" spans="1:6" x14ac:dyDescent="0.35">
      <c r="A1711" s="42" t="s">
        <v>687</v>
      </c>
      <c r="B1711" s="42">
        <v>1379.95</v>
      </c>
      <c r="C1711" s="43">
        <v>0.06</v>
      </c>
      <c r="D1711" s="45">
        <v>45962</v>
      </c>
      <c r="E1711" s="45">
        <v>45991.999305555553</v>
      </c>
      <c r="F1711" s="42" t="s">
        <v>274</v>
      </c>
    </row>
    <row r="1712" spans="1:6" x14ac:dyDescent="0.35">
      <c r="A1712" s="42" t="s">
        <v>676</v>
      </c>
      <c r="B1712" s="42">
        <v>629.95000000000005</v>
      </c>
      <c r="C1712" s="43">
        <v>0.06</v>
      </c>
      <c r="D1712" s="45">
        <v>45962</v>
      </c>
      <c r="E1712" s="45">
        <v>45991.999305555553</v>
      </c>
      <c r="F1712" s="42" t="s">
        <v>274</v>
      </c>
    </row>
    <row r="1713" spans="1:6" x14ac:dyDescent="0.35">
      <c r="A1713" s="42" t="s">
        <v>482</v>
      </c>
      <c r="B1713" s="42">
        <v>829.95</v>
      </c>
      <c r="C1713" s="43">
        <v>0.06</v>
      </c>
      <c r="D1713" s="45">
        <v>45962</v>
      </c>
      <c r="E1713" s="45">
        <v>45991.999305555553</v>
      </c>
      <c r="F1713" s="42" t="s">
        <v>274</v>
      </c>
    </row>
    <row r="1714" spans="1:6" x14ac:dyDescent="0.35">
      <c r="A1714" s="42" t="s">
        <v>108</v>
      </c>
      <c r="B1714" s="42">
        <v>999.95</v>
      </c>
      <c r="C1714" s="43">
        <v>0.06</v>
      </c>
      <c r="D1714" s="45">
        <v>45962</v>
      </c>
      <c r="E1714" s="45">
        <v>45991.999305555553</v>
      </c>
      <c r="F1714" s="42" t="s">
        <v>274</v>
      </c>
    </row>
    <row r="1715" spans="1:6" x14ac:dyDescent="0.35">
      <c r="A1715" s="42" t="s">
        <v>408</v>
      </c>
      <c r="B1715" s="42">
        <v>999.95</v>
      </c>
      <c r="C1715" s="43">
        <v>0.06</v>
      </c>
      <c r="D1715" s="45">
        <v>45962</v>
      </c>
      <c r="E1715" s="45">
        <v>45991.999305555553</v>
      </c>
      <c r="F1715" s="42" t="s">
        <v>274</v>
      </c>
    </row>
    <row r="1716" spans="1:6" x14ac:dyDescent="0.35">
      <c r="A1716" s="42" t="s">
        <v>90</v>
      </c>
      <c r="B1716" s="42">
        <v>629.95000000000005</v>
      </c>
      <c r="C1716" s="43">
        <v>0.06</v>
      </c>
      <c r="D1716" s="45">
        <v>45962</v>
      </c>
      <c r="E1716" s="45">
        <v>45991.999305555553</v>
      </c>
      <c r="F1716" s="42" t="s">
        <v>274</v>
      </c>
    </row>
    <row r="1717" spans="1:6" x14ac:dyDescent="0.35">
      <c r="A1717" s="42" t="s">
        <v>42</v>
      </c>
      <c r="B1717" s="42">
        <v>829.95</v>
      </c>
      <c r="C1717" s="43">
        <v>0.06</v>
      </c>
      <c r="D1717" s="45">
        <v>45962</v>
      </c>
      <c r="E1717" s="45">
        <v>45991.999305555553</v>
      </c>
      <c r="F1717" s="42" t="s">
        <v>274</v>
      </c>
    </row>
    <row r="1718" spans="1:6" x14ac:dyDescent="0.35">
      <c r="A1718" s="42" t="s">
        <v>460</v>
      </c>
      <c r="B1718" s="42">
        <v>1289.95</v>
      </c>
      <c r="C1718" s="43">
        <v>0.06</v>
      </c>
      <c r="D1718" s="45">
        <v>45962</v>
      </c>
      <c r="E1718" s="45">
        <v>45991.999305555553</v>
      </c>
      <c r="F1718" s="42" t="s">
        <v>274</v>
      </c>
    </row>
    <row r="1719" spans="1:6" x14ac:dyDescent="0.35">
      <c r="A1719" s="42" t="s">
        <v>464</v>
      </c>
      <c r="B1719" s="42">
        <v>1289.95</v>
      </c>
      <c r="C1719" s="43">
        <v>0.06</v>
      </c>
      <c r="D1719" s="45">
        <v>45962</v>
      </c>
      <c r="E1719" s="45">
        <v>45991.999305555553</v>
      </c>
      <c r="F1719" s="42" t="s">
        <v>274</v>
      </c>
    </row>
    <row r="1720" spans="1:6" x14ac:dyDescent="0.35">
      <c r="A1720" s="42" t="s">
        <v>9</v>
      </c>
      <c r="B1720" s="42">
        <v>339.95</v>
      </c>
      <c r="C1720" s="43">
        <v>0.06</v>
      </c>
      <c r="D1720" s="45">
        <v>45962</v>
      </c>
      <c r="E1720" s="45">
        <v>45991.999305555553</v>
      </c>
      <c r="F1720" s="42" t="s">
        <v>274</v>
      </c>
    </row>
    <row r="1721" spans="1:6" x14ac:dyDescent="0.35">
      <c r="A1721" s="42" t="s">
        <v>471</v>
      </c>
      <c r="B1721" s="42">
        <v>1169.95</v>
      </c>
      <c r="C1721" s="43">
        <v>0.06</v>
      </c>
      <c r="D1721" s="45">
        <v>45962</v>
      </c>
      <c r="E1721" s="45">
        <v>45991.999305555553</v>
      </c>
      <c r="F1721" s="42" t="s">
        <v>274</v>
      </c>
    </row>
    <row r="1722" spans="1:6" x14ac:dyDescent="0.35">
      <c r="A1722" s="42" t="s">
        <v>8</v>
      </c>
      <c r="B1722" s="42">
        <v>339.95</v>
      </c>
      <c r="C1722" s="43">
        <v>0.06</v>
      </c>
      <c r="D1722" s="45">
        <v>45962</v>
      </c>
      <c r="E1722" s="45">
        <v>45991.999305555553</v>
      </c>
      <c r="F1722" s="42" t="s">
        <v>274</v>
      </c>
    </row>
    <row r="1723" spans="1:6" x14ac:dyDescent="0.35">
      <c r="A1723" s="42" t="s">
        <v>681</v>
      </c>
      <c r="B1723" s="42">
        <v>539.95000000000005</v>
      </c>
      <c r="C1723" s="43">
        <v>0.06</v>
      </c>
      <c r="D1723" s="45">
        <v>45962</v>
      </c>
      <c r="E1723" s="45">
        <v>45991.999305555553</v>
      </c>
      <c r="F1723" s="42" t="s">
        <v>274</v>
      </c>
    </row>
    <row r="1724" spans="1:6" x14ac:dyDescent="0.35">
      <c r="A1724" s="42" t="s">
        <v>67</v>
      </c>
      <c r="B1724" s="42">
        <v>339.95</v>
      </c>
      <c r="C1724" s="43">
        <v>0.06</v>
      </c>
      <c r="D1724" s="45">
        <v>45962</v>
      </c>
      <c r="E1724" s="45">
        <v>45991.999305555553</v>
      </c>
      <c r="F1724" s="42" t="s">
        <v>274</v>
      </c>
    </row>
    <row r="1725" spans="1:6" x14ac:dyDescent="0.35">
      <c r="A1725" s="42" t="s">
        <v>564</v>
      </c>
      <c r="B1725" s="42">
        <v>419.95</v>
      </c>
      <c r="C1725" s="43">
        <v>0.06</v>
      </c>
      <c r="D1725" s="45">
        <v>45962</v>
      </c>
      <c r="E1725" s="45">
        <v>45991.999305555553</v>
      </c>
      <c r="F1725" s="42" t="s">
        <v>274</v>
      </c>
    </row>
    <row r="1726" spans="1:6" x14ac:dyDescent="0.35">
      <c r="A1726" s="42" t="s">
        <v>458</v>
      </c>
      <c r="B1726" s="42">
        <v>829.95</v>
      </c>
      <c r="C1726" s="43">
        <v>0.06</v>
      </c>
      <c r="D1726" s="45">
        <v>45962</v>
      </c>
      <c r="E1726" s="45">
        <v>45991.999305555553</v>
      </c>
      <c r="F1726" s="42" t="s">
        <v>274</v>
      </c>
    </row>
    <row r="1727" spans="1:6" x14ac:dyDescent="0.35">
      <c r="A1727" s="42" t="s">
        <v>23</v>
      </c>
      <c r="B1727" s="42">
        <v>419.95</v>
      </c>
      <c r="C1727" s="43">
        <v>0.06</v>
      </c>
      <c r="D1727" s="45">
        <v>45962</v>
      </c>
      <c r="E1727" s="45">
        <v>45991.999305555553</v>
      </c>
      <c r="F1727" s="42" t="s">
        <v>274</v>
      </c>
    </row>
    <row r="1728" spans="1:6" x14ac:dyDescent="0.35">
      <c r="A1728" s="42" t="s">
        <v>682</v>
      </c>
      <c r="B1728" s="42">
        <v>959.95</v>
      </c>
      <c r="C1728" s="43">
        <v>0.06</v>
      </c>
      <c r="D1728" s="45">
        <v>45962</v>
      </c>
      <c r="E1728" s="45">
        <v>45991.999305555553</v>
      </c>
      <c r="F1728" s="42" t="s">
        <v>274</v>
      </c>
    </row>
    <row r="1729" spans="1:6" x14ac:dyDescent="0.35">
      <c r="A1729" s="42" t="s">
        <v>33</v>
      </c>
      <c r="B1729" s="42">
        <v>879.95</v>
      </c>
      <c r="C1729" s="43">
        <v>0.06</v>
      </c>
      <c r="D1729" s="45">
        <v>45962</v>
      </c>
      <c r="E1729" s="45">
        <v>45991.999305555553</v>
      </c>
      <c r="F1729" s="42" t="s">
        <v>274</v>
      </c>
    </row>
    <row r="1730" spans="1:6" x14ac:dyDescent="0.35">
      <c r="A1730" s="42" t="s">
        <v>269</v>
      </c>
      <c r="B1730" s="42">
        <v>1439.95</v>
      </c>
      <c r="C1730" s="43">
        <v>0.06</v>
      </c>
      <c r="D1730" s="45">
        <v>45962</v>
      </c>
      <c r="E1730" s="45">
        <v>45991.999305555553</v>
      </c>
      <c r="F1730" s="42" t="s">
        <v>274</v>
      </c>
    </row>
    <row r="1731" spans="1:6" x14ac:dyDescent="0.35">
      <c r="A1731" s="42" t="s">
        <v>449</v>
      </c>
      <c r="B1731" s="42">
        <v>999.95</v>
      </c>
      <c r="C1731" s="43">
        <v>0.06</v>
      </c>
      <c r="D1731" s="45">
        <v>45962</v>
      </c>
      <c r="E1731" s="45">
        <v>45991.999305555553</v>
      </c>
      <c r="F1731" s="42" t="s">
        <v>274</v>
      </c>
    </row>
    <row r="1732" spans="1:6" x14ac:dyDescent="0.35">
      <c r="A1732" s="42" t="s">
        <v>167</v>
      </c>
      <c r="B1732" s="42">
        <v>999.95</v>
      </c>
      <c r="C1732" s="43">
        <v>0.06</v>
      </c>
      <c r="D1732" s="45">
        <v>45962</v>
      </c>
      <c r="E1732" s="45">
        <v>45991.999305555553</v>
      </c>
      <c r="F1732" s="42" t="s">
        <v>274</v>
      </c>
    </row>
    <row r="1733" spans="1:6" x14ac:dyDescent="0.35">
      <c r="A1733" s="42" t="s">
        <v>164</v>
      </c>
      <c r="B1733" s="42">
        <v>879.95</v>
      </c>
      <c r="C1733" s="43">
        <v>0.06</v>
      </c>
      <c r="D1733" s="45">
        <v>45962</v>
      </c>
      <c r="E1733" s="45">
        <v>45991.999305555553</v>
      </c>
      <c r="F1733" s="42" t="s">
        <v>274</v>
      </c>
    </row>
    <row r="1734" spans="1:6" x14ac:dyDescent="0.35">
      <c r="A1734" s="42" t="s">
        <v>465</v>
      </c>
      <c r="B1734" s="42">
        <v>1329.95</v>
      </c>
      <c r="C1734" s="43">
        <v>0.06</v>
      </c>
      <c r="D1734" s="45">
        <v>45962</v>
      </c>
      <c r="E1734" s="45">
        <v>45991.999305555553</v>
      </c>
      <c r="F1734" s="42" t="s">
        <v>274</v>
      </c>
    </row>
    <row r="1735" spans="1:6" x14ac:dyDescent="0.35">
      <c r="A1735" s="42" t="s">
        <v>401</v>
      </c>
      <c r="B1735" s="42">
        <v>1329.95</v>
      </c>
      <c r="C1735" s="43">
        <v>0.06</v>
      </c>
      <c r="D1735" s="45">
        <v>45962</v>
      </c>
      <c r="E1735" s="45">
        <v>45991.999305555553</v>
      </c>
      <c r="F1735" s="42" t="s">
        <v>274</v>
      </c>
    </row>
    <row r="1736" spans="1:6" x14ac:dyDescent="0.35">
      <c r="A1736" s="42" t="s">
        <v>129</v>
      </c>
      <c r="B1736" s="42">
        <v>1659.95</v>
      </c>
      <c r="C1736" s="43">
        <v>0.06</v>
      </c>
      <c r="D1736" s="45">
        <v>45962</v>
      </c>
      <c r="E1736" s="45">
        <v>45991.999305555553</v>
      </c>
      <c r="F1736" s="42" t="s">
        <v>274</v>
      </c>
    </row>
    <row r="1737" spans="1:6" x14ac:dyDescent="0.35">
      <c r="A1737" s="42" t="s">
        <v>685</v>
      </c>
      <c r="B1737" s="42">
        <v>1659.95</v>
      </c>
      <c r="C1737" s="43">
        <v>0.06</v>
      </c>
      <c r="D1737" s="45">
        <v>45962</v>
      </c>
      <c r="E1737" s="45">
        <v>45991.999305555553</v>
      </c>
      <c r="F1737" s="42" t="s">
        <v>274</v>
      </c>
    </row>
    <row r="1738" spans="1:6" x14ac:dyDescent="0.35">
      <c r="A1738" s="42" t="s">
        <v>450</v>
      </c>
      <c r="B1738" s="42">
        <v>1169.95</v>
      </c>
      <c r="C1738" s="43">
        <v>0.06</v>
      </c>
      <c r="D1738" s="45">
        <v>45962</v>
      </c>
      <c r="E1738" s="45">
        <v>45991.999305555553</v>
      </c>
      <c r="F1738" s="42" t="s">
        <v>274</v>
      </c>
    </row>
    <row r="1739" spans="1:6" x14ac:dyDescent="0.35">
      <c r="A1739" s="42" t="s">
        <v>686</v>
      </c>
      <c r="B1739" s="42">
        <v>629.95000000000005</v>
      </c>
      <c r="C1739" s="43">
        <v>0.06</v>
      </c>
      <c r="D1739" s="45">
        <v>45962</v>
      </c>
      <c r="E1739" s="45">
        <v>45991.999305555553</v>
      </c>
      <c r="F1739" s="42" t="s">
        <v>274</v>
      </c>
    </row>
    <row r="1740" spans="1:6" x14ac:dyDescent="0.35">
      <c r="A1740" s="42" t="s">
        <v>453</v>
      </c>
      <c r="B1740" s="42">
        <v>1329.95</v>
      </c>
      <c r="C1740" s="43">
        <v>0.06</v>
      </c>
      <c r="D1740" s="45">
        <v>45962</v>
      </c>
      <c r="E1740" s="45">
        <v>45991.999305555553</v>
      </c>
      <c r="F1740" s="42" t="s">
        <v>274</v>
      </c>
    </row>
    <row r="1741" spans="1:6" x14ac:dyDescent="0.35">
      <c r="A1741" s="42" t="s">
        <v>466</v>
      </c>
      <c r="B1741" s="42">
        <v>1199.95</v>
      </c>
      <c r="C1741" s="43">
        <v>0.06</v>
      </c>
      <c r="D1741" s="45">
        <v>45962</v>
      </c>
      <c r="E1741" s="45">
        <v>45991.999305555553</v>
      </c>
      <c r="F1741" s="42" t="s">
        <v>274</v>
      </c>
    </row>
    <row r="1742" spans="1:6" x14ac:dyDescent="0.35">
      <c r="A1742" s="42" t="s">
        <v>467</v>
      </c>
      <c r="B1742" s="42">
        <v>1169.95</v>
      </c>
      <c r="C1742" s="43">
        <v>0.06</v>
      </c>
      <c r="D1742" s="45">
        <v>45962</v>
      </c>
      <c r="E1742" s="45">
        <v>45991.999305555553</v>
      </c>
      <c r="F1742" s="42" t="s">
        <v>274</v>
      </c>
    </row>
    <row r="1743" spans="1:6" x14ac:dyDescent="0.35">
      <c r="A1743" s="42" t="s">
        <v>688</v>
      </c>
      <c r="B1743" s="42">
        <v>1199.95</v>
      </c>
      <c r="C1743" s="43">
        <v>0.06</v>
      </c>
      <c r="D1743" s="45">
        <v>45962</v>
      </c>
      <c r="E1743" s="45">
        <v>45991.999305555553</v>
      </c>
      <c r="F1743" s="42" t="s">
        <v>274</v>
      </c>
    </row>
    <row r="1744" spans="1:6" x14ac:dyDescent="0.35">
      <c r="A1744" s="42" t="s">
        <v>689</v>
      </c>
      <c r="B1744" s="42">
        <v>829.95</v>
      </c>
      <c r="C1744" s="43">
        <v>0.06</v>
      </c>
      <c r="D1744" s="45">
        <v>45962</v>
      </c>
      <c r="E1744" s="45">
        <v>45991.999305555553</v>
      </c>
      <c r="F1744" s="42" t="s">
        <v>274</v>
      </c>
    </row>
    <row r="1745" spans="1:6" x14ac:dyDescent="0.35">
      <c r="A1745" s="42" t="s">
        <v>690</v>
      </c>
      <c r="B1745" s="42">
        <v>1199.95</v>
      </c>
      <c r="C1745" s="43">
        <v>0.06</v>
      </c>
      <c r="D1745" s="45">
        <v>45962</v>
      </c>
      <c r="E1745" s="45">
        <v>45991.999305555553</v>
      </c>
      <c r="F1745" s="42" t="s">
        <v>274</v>
      </c>
    </row>
    <row r="1746" spans="1:6" x14ac:dyDescent="0.35">
      <c r="A1746" s="42" t="s">
        <v>693</v>
      </c>
      <c r="B1746" s="42">
        <v>2299.9499999999998</v>
      </c>
      <c r="C1746" s="43">
        <v>0.06</v>
      </c>
      <c r="D1746" s="45">
        <v>45962</v>
      </c>
      <c r="E1746" s="45">
        <v>45991.999305555553</v>
      </c>
      <c r="F1746" s="42" t="s">
        <v>274</v>
      </c>
    </row>
    <row r="1747" spans="1:6" x14ac:dyDescent="0.35">
      <c r="A1747" s="42" t="s">
        <v>462</v>
      </c>
      <c r="B1747" s="42">
        <v>2399.9499999999998</v>
      </c>
      <c r="C1747" s="43">
        <v>0.06</v>
      </c>
      <c r="D1747" s="45">
        <v>45962</v>
      </c>
      <c r="E1747" s="45">
        <v>45991.999305555553</v>
      </c>
      <c r="F1747" s="42" t="s">
        <v>274</v>
      </c>
    </row>
    <row r="1748" spans="1:6" x14ac:dyDescent="0.35">
      <c r="A1748" s="42" t="s">
        <v>474</v>
      </c>
      <c r="B1748" s="42">
        <v>2399.9499999999998</v>
      </c>
      <c r="C1748" s="43">
        <v>0.06</v>
      </c>
      <c r="D1748" s="45">
        <v>45962</v>
      </c>
      <c r="E1748" s="45">
        <v>45991.999305555553</v>
      </c>
      <c r="F1748" s="42" t="s">
        <v>274</v>
      </c>
    </row>
    <row r="1749" spans="1:6" x14ac:dyDescent="0.35">
      <c r="A1749" s="42" t="s">
        <v>461</v>
      </c>
      <c r="B1749" s="42">
        <v>1289.95</v>
      </c>
      <c r="C1749" s="43">
        <v>0.06</v>
      </c>
      <c r="D1749" s="45">
        <v>45962</v>
      </c>
      <c r="E1749" s="45">
        <v>45991.999305555553</v>
      </c>
      <c r="F1749" s="42" t="s">
        <v>274</v>
      </c>
    </row>
    <row r="1750" spans="1:6" x14ac:dyDescent="0.35">
      <c r="A1750" s="42" t="s">
        <v>455</v>
      </c>
      <c r="B1750" s="42">
        <v>1899.95</v>
      </c>
      <c r="C1750" s="43">
        <v>0.06</v>
      </c>
      <c r="D1750" s="45">
        <v>45962</v>
      </c>
      <c r="E1750" s="45">
        <v>45991.999305555553</v>
      </c>
      <c r="F1750" s="42" t="s">
        <v>274</v>
      </c>
    </row>
    <row r="1751" spans="1:6" x14ac:dyDescent="0.35">
      <c r="A1751" s="42" t="s">
        <v>463</v>
      </c>
      <c r="B1751" s="42">
        <v>2249.9499999999998</v>
      </c>
      <c r="C1751" s="43">
        <v>0.06</v>
      </c>
      <c r="D1751" s="45">
        <v>45962</v>
      </c>
      <c r="E1751" s="45">
        <v>45991.999305555553</v>
      </c>
      <c r="F1751" s="42" t="s">
        <v>274</v>
      </c>
    </row>
    <row r="1752" spans="1:6" x14ac:dyDescent="0.35">
      <c r="A1752" s="42" t="s">
        <v>456</v>
      </c>
      <c r="B1752" s="42">
        <v>2299.9499999999998</v>
      </c>
      <c r="C1752" s="43">
        <v>0.06</v>
      </c>
      <c r="D1752" s="45">
        <v>45962</v>
      </c>
      <c r="E1752" s="45">
        <v>45991.999305555553</v>
      </c>
      <c r="F1752" s="42" t="s">
        <v>274</v>
      </c>
    </row>
    <row r="1753" spans="1:6" x14ac:dyDescent="0.35">
      <c r="A1753" s="42" t="s">
        <v>469</v>
      </c>
      <c r="B1753" s="42">
        <v>2299.9499999999998</v>
      </c>
      <c r="C1753" s="43">
        <v>0.06</v>
      </c>
      <c r="D1753" s="45">
        <v>45962</v>
      </c>
      <c r="E1753" s="45">
        <v>45991.999305555553</v>
      </c>
      <c r="F1753" s="42" t="s">
        <v>274</v>
      </c>
    </row>
    <row r="1754" spans="1:6" x14ac:dyDescent="0.35">
      <c r="A1754" s="42" t="s">
        <v>523</v>
      </c>
      <c r="B1754" s="42">
        <v>819.95</v>
      </c>
      <c r="C1754" s="43">
        <v>0.08</v>
      </c>
      <c r="D1754" s="45">
        <v>45962</v>
      </c>
      <c r="E1754" s="45">
        <v>45991.999305555553</v>
      </c>
      <c r="F1754" s="42" t="s">
        <v>274</v>
      </c>
    </row>
    <row r="1755" spans="1:6" x14ac:dyDescent="0.35">
      <c r="A1755" s="42" t="s">
        <v>470</v>
      </c>
      <c r="B1755" s="42">
        <v>819.95</v>
      </c>
      <c r="C1755" s="43">
        <v>0.08</v>
      </c>
      <c r="D1755" s="45">
        <v>45962</v>
      </c>
      <c r="E1755" s="45">
        <v>45991.999305555553</v>
      </c>
      <c r="F1755" s="42" t="s">
        <v>274</v>
      </c>
    </row>
    <row r="1756" spans="1:6" x14ac:dyDescent="0.35">
      <c r="A1756" s="42" t="s">
        <v>402</v>
      </c>
      <c r="B1756" s="42">
        <v>919.95</v>
      </c>
      <c r="C1756" s="43">
        <v>0.08</v>
      </c>
      <c r="D1756" s="45">
        <v>45962</v>
      </c>
      <c r="E1756" s="45">
        <v>45991.999305555553</v>
      </c>
      <c r="F1756" s="42" t="s">
        <v>274</v>
      </c>
    </row>
    <row r="1757" spans="1:6" x14ac:dyDescent="0.35">
      <c r="A1757" s="42" t="s">
        <v>678</v>
      </c>
      <c r="B1757" s="42">
        <v>919.95</v>
      </c>
      <c r="C1757" s="43">
        <v>0.08</v>
      </c>
      <c r="D1757" s="45">
        <v>45962</v>
      </c>
      <c r="E1757" s="45">
        <v>45991.999305555553</v>
      </c>
      <c r="F1757" s="42" t="s">
        <v>274</v>
      </c>
    </row>
    <row r="1758" spans="1:6" x14ac:dyDescent="0.35">
      <c r="A1758" s="42" t="s">
        <v>697</v>
      </c>
      <c r="B1758" s="42">
        <v>939.95</v>
      </c>
      <c r="C1758" s="43">
        <v>0.08</v>
      </c>
      <c r="D1758" s="45">
        <v>45962</v>
      </c>
      <c r="E1758" s="45">
        <v>45991.999305555553</v>
      </c>
      <c r="F1758" s="42" t="s">
        <v>274</v>
      </c>
    </row>
    <row r="1759" spans="1:6" x14ac:dyDescent="0.35">
      <c r="A1759" s="42" t="s">
        <v>37</v>
      </c>
      <c r="B1759" s="42">
        <v>1399.95</v>
      </c>
      <c r="C1759" s="43">
        <v>0.08</v>
      </c>
      <c r="D1759" s="45">
        <v>45962</v>
      </c>
      <c r="E1759" s="45">
        <v>45991.999305555553</v>
      </c>
      <c r="F1759" s="42" t="s">
        <v>274</v>
      </c>
    </row>
    <row r="1760" spans="1:6" x14ac:dyDescent="0.35">
      <c r="A1760" s="42" t="s">
        <v>452</v>
      </c>
      <c r="B1760" s="42">
        <v>1399.95</v>
      </c>
      <c r="C1760" s="43">
        <v>0.08</v>
      </c>
      <c r="D1760" s="45">
        <v>45962</v>
      </c>
      <c r="E1760" s="45">
        <v>45991.999305555553</v>
      </c>
      <c r="F1760" s="42" t="s">
        <v>274</v>
      </c>
    </row>
    <row r="1761" spans="1:6" x14ac:dyDescent="0.35">
      <c r="A1761" s="42" t="s">
        <v>692</v>
      </c>
      <c r="B1761" s="42">
        <v>1399.95</v>
      </c>
      <c r="C1761" s="43">
        <v>0.08</v>
      </c>
      <c r="D1761" s="45">
        <v>45962</v>
      </c>
      <c r="E1761" s="45">
        <v>45991.999305555553</v>
      </c>
      <c r="F1761" s="42" t="s">
        <v>274</v>
      </c>
    </row>
    <row r="1762" spans="1:6" x14ac:dyDescent="0.35">
      <c r="A1762" s="42" t="s">
        <v>698</v>
      </c>
      <c r="B1762" s="42">
        <v>1399.95</v>
      </c>
      <c r="C1762" s="43">
        <v>0.08</v>
      </c>
      <c r="D1762" s="45">
        <v>45962</v>
      </c>
      <c r="E1762" s="45">
        <v>45991.999305555553</v>
      </c>
      <c r="F1762" s="42" t="s">
        <v>274</v>
      </c>
    </row>
    <row r="1763" spans="1:6" x14ac:dyDescent="0.35">
      <c r="A1763" s="42" t="s">
        <v>49</v>
      </c>
      <c r="B1763" s="42">
        <v>1579.95</v>
      </c>
      <c r="C1763" s="43">
        <v>0.08</v>
      </c>
      <c r="D1763" s="45">
        <v>45962</v>
      </c>
      <c r="E1763" s="45">
        <v>45991.999305555553</v>
      </c>
      <c r="F1763" s="42" t="s">
        <v>274</v>
      </c>
    </row>
    <row r="1764" spans="1:6" x14ac:dyDescent="0.35">
      <c r="A1764" s="42" t="s">
        <v>680</v>
      </c>
      <c r="B1764" s="42">
        <v>289.95</v>
      </c>
      <c r="C1764" s="43">
        <v>0.08</v>
      </c>
      <c r="D1764" s="45">
        <v>45962</v>
      </c>
      <c r="E1764" s="45">
        <v>45991.999305555553</v>
      </c>
      <c r="F1764" s="42" t="s">
        <v>274</v>
      </c>
    </row>
    <row r="1765" spans="1:6" x14ac:dyDescent="0.35">
      <c r="A1765" s="42" t="s">
        <v>14</v>
      </c>
      <c r="B1765" s="42">
        <v>379.95</v>
      </c>
      <c r="C1765" s="43">
        <v>0.08</v>
      </c>
      <c r="D1765" s="45">
        <v>45962</v>
      </c>
      <c r="E1765" s="45">
        <v>45991.999305555553</v>
      </c>
      <c r="F1765" s="42" t="s">
        <v>274</v>
      </c>
    </row>
    <row r="1766" spans="1:6" x14ac:dyDescent="0.35">
      <c r="A1766" s="42" t="s">
        <v>12</v>
      </c>
      <c r="B1766" s="42">
        <v>379.95</v>
      </c>
      <c r="C1766" s="43">
        <v>0.08</v>
      </c>
      <c r="D1766" s="45">
        <v>45962</v>
      </c>
      <c r="E1766" s="45">
        <v>45991.999305555553</v>
      </c>
      <c r="F1766" s="42" t="s">
        <v>274</v>
      </c>
    </row>
    <row r="1767" spans="1:6" x14ac:dyDescent="0.35">
      <c r="A1767" s="42" t="s">
        <v>279</v>
      </c>
      <c r="B1767" s="42">
        <v>569.95000000000005</v>
      </c>
      <c r="C1767" s="43">
        <v>0.08</v>
      </c>
      <c r="D1767" s="45">
        <v>45962</v>
      </c>
      <c r="E1767" s="45">
        <v>45991.999305555553</v>
      </c>
      <c r="F1767" s="42" t="s">
        <v>274</v>
      </c>
    </row>
    <row r="1768" spans="1:6" x14ac:dyDescent="0.35">
      <c r="A1768" s="42" t="s">
        <v>25</v>
      </c>
      <c r="B1768" s="42">
        <v>569.95000000000005</v>
      </c>
      <c r="C1768" s="43">
        <v>0.08</v>
      </c>
      <c r="D1768" s="45">
        <v>45962</v>
      </c>
      <c r="E1768" s="45">
        <v>45991.999305555553</v>
      </c>
      <c r="F1768" s="42" t="s">
        <v>274</v>
      </c>
    </row>
    <row r="1769" spans="1:6" x14ac:dyDescent="0.35">
      <c r="A1769" s="42" t="s">
        <v>27</v>
      </c>
      <c r="B1769" s="42">
        <v>659.95</v>
      </c>
      <c r="C1769" s="43">
        <v>0.08</v>
      </c>
      <c r="D1769" s="45">
        <v>45962</v>
      </c>
      <c r="E1769" s="45">
        <v>45991.999305555553</v>
      </c>
      <c r="F1769" s="42" t="s">
        <v>274</v>
      </c>
    </row>
    <row r="1770" spans="1:6" x14ac:dyDescent="0.35">
      <c r="A1770" s="42" t="s">
        <v>73</v>
      </c>
      <c r="B1770" s="42">
        <v>659.95</v>
      </c>
      <c r="C1770" s="43">
        <v>0.08</v>
      </c>
      <c r="D1770" s="45">
        <v>45962</v>
      </c>
      <c r="E1770" s="45">
        <v>45991.999305555553</v>
      </c>
      <c r="F1770" s="42" t="s">
        <v>274</v>
      </c>
    </row>
    <row r="1771" spans="1:6" x14ac:dyDescent="0.35">
      <c r="A1771" s="42" t="s">
        <v>481</v>
      </c>
      <c r="B1771" s="42">
        <v>759.95</v>
      </c>
      <c r="C1771" s="43">
        <v>0.08</v>
      </c>
      <c r="D1771" s="45">
        <v>45962</v>
      </c>
      <c r="E1771" s="45">
        <v>45991.999305555553</v>
      </c>
      <c r="F1771" s="42" t="s">
        <v>274</v>
      </c>
    </row>
    <row r="1772" spans="1:6" x14ac:dyDescent="0.35">
      <c r="A1772" s="42" t="s">
        <v>31</v>
      </c>
      <c r="B1772" s="42">
        <v>759.95</v>
      </c>
      <c r="C1772" s="43">
        <v>0.08</v>
      </c>
      <c r="D1772" s="45">
        <v>45962</v>
      </c>
      <c r="E1772" s="45">
        <v>45991.999305555553</v>
      </c>
      <c r="F1772" s="42" t="s">
        <v>274</v>
      </c>
    </row>
    <row r="1773" spans="1:6" x14ac:dyDescent="0.35">
      <c r="A1773" s="42" t="s">
        <v>283</v>
      </c>
      <c r="B1773" s="42">
        <v>759.95</v>
      </c>
      <c r="C1773" s="43">
        <v>0.08</v>
      </c>
      <c r="D1773" s="45">
        <v>45962</v>
      </c>
      <c r="E1773" s="45">
        <v>45991.999305555553</v>
      </c>
      <c r="F1773" s="42" t="s">
        <v>274</v>
      </c>
    </row>
    <row r="1774" spans="1:6" x14ac:dyDescent="0.35">
      <c r="A1774" s="42" t="s">
        <v>40</v>
      </c>
      <c r="B1774" s="42">
        <v>759.95</v>
      </c>
      <c r="C1774" s="43">
        <v>0.08</v>
      </c>
      <c r="D1774" s="45">
        <v>45962</v>
      </c>
      <c r="E1774" s="45">
        <v>45991.999305555553</v>
      </c>
      <c r="F1774" s="42" t="s">
        <v>274</v>
      </c>
    </row>
    <row r="1775" spans="1:6" x14ac:dyDescent="0.35">
      <c r="A1775" s="42" t="s">
        <v>683</v>
      </c>
      <c r="B1775" s="42">
        <v>759.95</v>
      </c>
      <c r="C1775" s="43">
        <v>0.08</v>
      </c>
      <c r="D1775" s="45">
        <v>45962</v>
      </c>
      <c r="E1775" s="45">
        <v>45991.999305555553</v>
      </c>
      <c r="F1775" s="42" t="s">
        <v>274</v>
      </c>
    </row>
    <row r="1776" spans="1:6" x14ac:dyDescent="0.35">
      <c r="A1776" s="42" t="s">
        <v>694</v>
      </c>
      <c r="B1776" s="42">
        <v>759.95</v>
      </c>
      <c r="C1776" s="43">
        <v>0.08</v>
      </c>
      <c r="D1776" s="45">
        <v>45962</v>
      </c>
      <c r="E1776" s="45">
        <v>45991.999305555553</v>
      </c>
      <c r="F1776" s="42" t="s">
        <v>274</v>
      </c>
    </row>
    <row r="1777" spans="1:6" x14ac:dyDescent="0.35">
      <c r="A1777" s="42" t="s">
        <v>451</v>
      </c>
      <c r="B1777" s="42">
        <v>1329.95</v>
      </c>
      <c r="C1777" s="43">
        <v>0.08</v>
      </c>
      <c r="D1777" s="45">
        <v>45962</v>
      </c>
      <c r="E1777" s="45">
        <v>45991.999305555553</v>
      </c>
      <c r="F1777" s="42" t="s">
        <v>274</v>
      </c>
    </row>
    <row r="1778" spans="1:6" x14ac:dyDescent="0.35">
      <c r="A1778" s="42" t="s">
        <v>684</v>
      </c>
      <c r="B1778" s="42">
        <v>1329.95</v>
      </c>
      <c r="C1778" s="43">
        <v>0.08</v>
      </c>
      <c r="D1778" s="45">
        <v>45962</v>
      </c>
      <c r="E1778" s="45">
        <v>45991.999305555553</v>
      </c>
      <c r="F1778" s="42" t="s">
        <v>274</v>
      </c>
    </row>
    <row r="1779" spans="1:6" x14ac:dyDescent="0.35">
      <c r="A1779" s="42" t="s">
        <v>35</v>
      </c>
      <c r="B1779" s="42">
        <v>1429.95</v>
      </c>
      <c r="C1779" s="43">
        <v>0.08</v>
      </c>
      <c r="D1779" s="45">
        <v>45962</v>
      </c>
      <c r="E1779" s="45">
        <v>45991.999305555553</v>
      </c>
      <c r="F1779" s="42" t="s">
        <v>274</v>
      </c>
    </row>
    <row r="1780" spans="1:6" x14ac:dyDescent="0.35">
      <c r="A1780" s="42" t="s">
        <v>594</v>
      </c>
      <c r="B1780" s="42">
        <v>1619.95</v>
      </c>
      <c r="C1780" s="43">
        <v>0.08</v>
      </c>
      <c r="D1780" s="45">
        <v>45962</v>
      </c>
      <c r="E1780" s="45">
        <v>45991.999305555553</v>
      </c>
      <c r="F1780" s="42" t="s">
        <v>274</v>
      </c>
    </row>
    <row r="1781" spans="1:6" x14ac:dyDescent="0.35">
      <c r="A1781" s="42" t="s">
        <v>473</v>
      </c>
      <c r="B1781" s="42">
        <v>1619.95</v>
      </c>
      <c r="C1781" s="43">
        <v>0.08</v>
      </c>
      <c r="D1781" s="45">
        <v>45962</v>
      </c>
      <c r="E1781" s="45">
        <v>45991.999305555553</v>
      </c>
      <c r="F1781" s="42" t="s">
        <v>274</v>
      </c>
    </row>
    <row r="1782" spans="1:6" x14ac:dyDescent="0.35">
      <c r="A1782" s="42" t="s">
        <v>454</v>
      </c>
      <c r="B1782" s="42">
        <v>1619.95</v>
      </c>
      <c r="C1782" s="43">
        <v>0.08</v>
      </c>
      <c r="D1782" s="45">
        <v>45962</v>
      </c>
      <c r="E1782" s="45">
        <v>45991.999305555553</v>
      </c>
      <c r="F1782" s="42" t="s">
        <v>274</v>
      </c>
    </row>
    <row r="1783" spans="1:6" x14ac:dyDescent="0.35">
      <c r="A1783" s="42" t="s">
        <v>695</v>
      </c>
      <c r="B1783" s="42">
        <v>1619.95</v>
      </c>
      <c r="C1783" s="43">
        <v>0.08</v>
      </c>
      <c r="D1783" s="45">
        <v>45962</v>
      </c>
      <c r="E1783" s="45">
        <v>45991.999305555553</v>
      </c>
      <c r="F1783" s="42" t="s">
        <v>274</v>
      </c>
    </row>
    <row r="1784" spans="1:6" x14ac:dyDescent="0.35">
      <c r="A1784" s="42" t="s">
        <v>468</v>
      </c>
      <c r="B1784" s="42">
        <v>1619.95</v>
      </c>
      <c r="C1784" s="43">
        <v>0.08</v>
      </c>
      <c r="D1784" s="45">
        <v>45962</v>
      </c>
      <c r="E1784" s="45">
        <v>45991.999305555553</v>
      </c>
      <c r="F1784" s="42" t="s">
        <v>274</v>
      </c>
    </row>
    <row r="1785" spans="1:6" x14ac:dyDescent="0.35">
      <c r="A1785" s="42" t="s">
        <v>15</v>
      </c>
      <c r="B1785" s="42">
        <v>399.95</v>
      </c>
      <c r="C1785" s="43">
        <v>0.08</v>
      </c>
      <c r="D1785" s="45">
        <v>45962</v>
      </c>
      <c r="E1785" s="45">
        <v>45991.999305555553</v>
      </c>
      <c r="F1785" s="42" t="s">
        <v>274</v>
      </c>
    </row>
    <row r="1786" spans="1:6" x14ac:dyDescent="0.35">
      <c r="A1786" s="42" t="s">
        <v>16</v>
      </c>
      <c r="B1786" s="42">
        <v>399.95</v>
      </c>
      <c r="C1786" s="43">
        <v>0.08</v>
      </c>
      <c r="D1786" s="45">
        <v>45962</v>
      </c>
      <c r="E1786" s="45">
        <v>45991.999305555553</v>
      </c>
      <c r="F1786" s="42" t="s">
        <v>274</v>
      </c>
    </row>
    <row r="1787" spans="1:6" x14ac:dyDescent="0.35">
      <c r="A1787" s="42" t="s">
        <v>548</v>
      </c>
      <c r="B1787" s="42">
        <v>399.95</v>
      </c>
      <c r="C1787" s="43">
        <v>0.08</v>
      </c>
      <c r="D1787" s="45">
        <v>45962</v>
      </c>
      <c r="E1787" s="45">
        <v>45991.999305555553</v>
      </c>
      <c r="F1787" s="42" t="s">
        <v>274</v>
      </c>
    </row>
    <row r="1788" spans="1:6" x14ac:dyDescent="0.35">
      <c r="A1788" s="42" t="s">
        <v>477</v>
      </c>
      <c r="B1788" s="42">
        <v>689.95</v>
      </c>
      <c r="C1788" s="43">
        <v>0.08</v>
      </c>
      <c r="D1788" s="45">
        <v>45962</v>
      </c>
      <c r="E1788" s="45">
        <v>45991.999305555553</v>
      </c>
      <c r="F1788" s="42" t="s">
        <v>274</v>
      </c>
    </row>
    <row r="1789" spans="1:6" x14ac:dyDescent="0.35">
      <c r="A1789" s="42" t="s">
        <v>55</v>
      </c>
      <c r="B1789" s="42">
        <v>689.95</v>
      </c>
      <c r="C1789" s="43">
        <v>0.08</v>
      </c>
      <c r="D1789" s="45">
        <v>45962</v>
      </c>
      <c r="E1789" s="45">
        <v>45991.999305555553</v>
      </c>
      <c r="F1789" s="42" t="s">
        <v>274</v>
      </c>
    </row>
    <row r="1790" spans="1:6" x14ac:dyDescent="0.35">
      <c r="A1790" s="42" t="s">
        <v>679</v>
      </c>
      <c r="B1790" s="42">
        <v>989.95</v>
      </c>
      <c r="C1790" s="43">
        <v>0.08</v>
      </c>
      <c r="D1790" s="45">
        <v>45962</v>
      </c>
      <c r="E1790" s="45">
        <v>45991.999305555553</v>
      </c>
      <c r="F1790" s="42" t="s">
        <v>274</v>
      </c>
    </row>
    <row r="1791" spans="1:6" x14ac:dyDescent="0.35">
      <c r="A1791" s="42" t="s">
        <v>61</v>
      </c>
      <c r="B1791" s="42">
        <v>1179.95</v>
      </c>
      <c r="C1791" s="43">
        <v>0.08</v>
      </c>
      <c r="D1791" s="45">
        <v>45962</v>
      </c>
      <c r="E1791" s="45">
        <v>45991.999305555553</v>
      </c>
      <c r="F1791" s="42" t="s">
        <v>274</v>
      </c>
    </row>
    <row r="1792" spans="1:6" x14ac:dyDescent="0.35">
      <c r="A1792" s="42" t="s">
        <v>270</v>
      </c>
      <c r="B1792" s="42">
        <v>1179.95</v>
      </c>
      <c r="C1792" s="43">
        <v>0.08</v>
      </c>
      <c r="D1792" s="45">
        <v>45962</v>
      </c>
      <c r="E1792" s="45">
        <v>45991.999305555553</v>
      </c>
      <c r="F1792" s="42" t="s">
        <v>274</v>
      </c>
    </row>
    <row r="1793" spans="1:6" x14ac:dyDescent="0.35">
      <c r="A1793" s="42" t="s">
        <v>99</v>
      </c>
      <c r="B1793" s="42">
        <v>1279.95</v>
      </c>
      <c r="C1793" s="43">
        <v>0.08</v>
      </c>
      <c r="D1793" s="45">
        <v>45962</v>
      </c>
      <c r="E1793" s="45">
        <v>45991.999305555553</v>
      </c>
      <c r="F1793" s="42" t="s">
        <v>274</v>
      </c>
    </row>
    <row r="1794" spans="1:6" x14ac:dyDescent="0.35">
      <c r="A1794" s="42" t="s">
        <v>691</v>
      </c>
      <c r="B1794" s="42">
        <v>1279.95</v>
      </c>
      <c r="C1794" s="43">
        <v>0.08</v>
      </c>
      <c r="D1794" s="45">
        <v>45962</v>
      </c>
      <c r="E1794" s="45">
        <v>45991.999305555553</v>
      </c>
      <c r="F1794" s="42" t="s">
        <v>274</v>
      </c>
    </row>
    <row r="1795" spans="1:6" x14ac:dyDescent="0.35">
      <c r="A1795" s="42" t="s">
        <v>696</v>
      </c>
      <c r="B1795" s="42">
        <v>1869.95</v>
      </c>
      <c r="C1795" s="43">
        <v>0.08</v>
      </c>
      <c r="D1795" s="45">
        <v>45962</v>
      </c>
      <c r="E1795" s="45">
        <v>45991.999305555553</v>
      </c>
      <c r="F1795" s="42" t="s">
        <v>274</v>
      </c>
    </row>
    <row r="1796" spans="1:6" x14ac:dyDescent="0.35">
      <c r="A1796" s="42" t="s">
        <v>534</v>
      </c>
      <c r="B1796" s="42">
        <v>319.95</v>
      </c>
      <c r="C1796" s="43">
        <v>0.08</v>
      </c>
      <c r="D1796" s="45">
        <v>45962</v>
      </c>
      <c r="E1796" s="45">
        <v>45991.999305555553</v>
      </c>
      <c r="F1796" s="42" t="s">
        <v>274</v>
      </c>
    </row>
    <row r="1797" spans="1:6" x14ac:dyDescent="0.35">
      <c r="A1797" s="42" t="s">
        <v>677</v>
      </c>
      <c r="B1797" s="42">
        <v>519.95000000000005</v>
      </c>
      <c r="C1797" s="43">
        <v>0.08</v>
      </c>
      <c r="D1797" s="45">
        <v>45962</v>
      </c>
      <c r="E1797" s="45">
        <v>45991.999305555553</v>
      </c>
      <c r="F1797" s="42" t="s">
        <v>274</v>
      </c>
    </row>
    <row r="1798" spans="1:6" x14ac:dyDescent="0.35">
      <c r="A1798" s="42" t="s">
        <v>71</v>
      </c>
      <c r="B1798" s="42">
        <v>519.95000000000005</v>
      </c>
      <c r="C1798" s="43">
        <v>0.08</v>
      </c>
      <c r="D1798" s="45">
        <v>45962</v>
      </c>
      <c r="E1798" s="45">
        <v>45991.999305555553</v>
      </c>
      <c r="F1798" s="42" t="s">
        <v>274</v>
      </c>
    </row>
    <row r="1799" spans="1:6" x14ac:dyDescent="0.35">
      <c r="A1799" s="42" t="s">
        <v>19</v>
      </c>
      <c r="B1799" s="42">
        <v>519.95000000000005</v>
      </c>
      <c r="C1799" s="43">
        <v>0.08</v>
      </c>
      <c r="D1799" s="45">
        <v>45962</v>
      </c>
      <c r="E1799" s="45">
        <v>45991.999305555553</v>
      </c>
      <c r="F1799" s="42" t="s">
        <v>274</v>
      </c>
    </row>
    <row r="1800" spans="1:6" x14ac:dyDescent="0.35">
      <c r="A1800" s="42" t="s">
        <v>21</v>
      </c>
      <c r="B1800" s="42">
        <v>519.95000000000005</v>
      </c>
      <c r="C1800" s="43">
        <v>0.08</v>
      </c>
      <c r="D1800" s="45">
        <v>45962</v>
      </c>
      <c r="E1800" s="45">
        <v>45991.999305555553</v>
      </c>
      <c r="F1800" s="42" t="s">
        <v>274</v>
      </c>
    </row>
    <row r="1801" spans="1:6" x14ac:dyDescent="0.35">
      <c r="A1801" s="42" t="s">
        <v>448</v>
      </c>
      <c r="B1801" s="42">
        <v>619.95000000000005</v>
      </c>
      <c r="C1801" s="43">
        <v>0.08</v>
      </c>
      <c r="D1801" s="45">
        <v>45962</v>
      </c>
      <c r="E1801" s="45">
        <v>45991.999305555553</v>
      </c>
      <c r="F1801" s="42" t="s">
        <v>274</v>
      </c>
    </row>
    <row r="1802" spans="1:6" x14ac:dyDescent="0.35">
      <c r="A1802" s="42" t="s">
        <v>457</v>
      </c>
      <c r="B1802" s="42">
        <v>1119.95</v>
      </c>
      <c r="C1802" s="43">
        <v>0.08</v>
      </c>
      <c r="D1802" s="45">
        <v>45962</v>
      </c>
      <c r="E1802" s="45">
        <v>45991.999305555553</v>
      </c>
      <c r="F1802" s="42" t="s">
        <v>274</v>
      </c>
    </row>
    <row r="1803" spans="1:6" x14ac:dyDescent="0.35">
      <c r="A1803" s="42" t="s">
        <v>403</v>
      </c>
      <c r="B1803" s="42">
        <v>1119.95</v>
      </c>
      <c r="C1803" s="43">
        <v>0.08</v>
      </c>
      <c r="D1803" s="45">
        <v>45962</v>
      </c>
      <c r="E1803" s="45">
        <v>45991.999305555553</v>
      </c>
      <c r="F1803" s="42" t="s">
        <v>274</v>
      </c>
    </row>
    <row r="1804" spans="1:6" x14ac:dyDescent="0.35">
      <c r="A1804" s="42" t="s">
        <v>472</v>
      </c>
      <c r="B1804" s="42">
        <v>1119.95</v>
      </c>
      <c r="C1804" s="43">
        <v>0.08</v>
      </c>
      <c r="D1804" s="45">
        <v>45962</v>
      </c>
      <c r="E1804" s="45">
        <v>45991.999305555553</v>
      </c>
      <c r="F1804" s="42" t="s">
        <v>274</v>
      </c>
    </row>
    <row r="1805" spans="1:6" x14ac:dyDescent="0.35">
      <c r="A1805" s="42" t="s">
        <v>104</v>
      </c>
      <c r="B1805" s="42">
        <v>1319.95</v>
      </c>
      <c r="C1805" s="43">
        <v>0.08</v>
      </c>
      <c r="D1805" s="45">
        <v>45962</v>
      </c>
      <c r="E1805" s="45">
        <v>45991.999305555553</v>
      </c>
      <c r="F1805" s="42" t="s">
        <v>274</v>
      </c>
    </row>
    <row r="1806" spans="1:6" x14ac:dyDescent="0.35">
      <c r="A1806" s="42" t="s">
        <v>63</v>
      </c>
      <c r="B1806" s="42">
        <v>1419.95</v>
      </c>
      <c r="C1806" s="43">
        <v>0.08</v>
      </c>
      <c r="D1806" s="45">
        <v>45962</v>
      </c>
      <c r="E1806" s="45">
        <v>45991.999305555553</v>
      </c>
      <c r="F1806" s="42" t="s">
        <v>274</v>
      </c>
    </row>
    <row r="1807" spans="1:6" x14ac:dyDescent="0.35">
      <c r="A1807" s="42" t="s">
        <v>687</v>
      </c>
      <c r="B1807" s="42">
        <v>1419.95</v>
      </c>
      <c r="C1807" s="43">
        <v>0.08</v>
      </c>
      <c r="D1807" s="45">
        <v>45962</v>
      </c>
      <c r="E1807" s="45">
        <v>45991.999305555553</v>
      </c>
      <c r="F1807" s="42" t="s">
        <v>274</v>
      </c>
    </row>
    <row r="1808" spans="1:6" x14ac:dyDescent="0.35">
      <c r="A1808" s="42" t="s">
        <v>676</v>
      </c>
      <c r="B1808" s="42">
        <v>649.95000000000005</v>
      </c>
      <c r="C1808" s="43">
        <v>0.08</v>
      </c>
      <c r="D1808" s="45">
        <v>45962</v>
      </c>
      <c r="E1808" s="45">
        <v>45991.999305555553</v>
      </c>
      <c r="F1808" s="42" t="s">
        <v>274</v>
      </c>
    </row>
    <row r="1809" spans="1:6" x14ac:dyDescent="0.35">
      <c r="A1809" s="42" t="s">
        <v>482</v>
      </c>
      <c r="B1809" s="42">
        <v>849.95</v>
      </c>
      <c r="C1809" s="43">
        <v>0.08</v>
      </c>
      <c r="D1809" s="45">
        <v>45962</v>
      </c>
      <c r="E1809" s="45">
        <v>45991.999305555553</v>
      </c>
      <c r="F1809" s="42" t="s">
        <v>274</v>
      </c>
    </row>
    <row r="1810" spans="1:6" x14ac:dyDescent="0.35">
      <c r="A1810" s="42" t="s">
        <v>108</v>
      </c>
      <c r="B1810" s="42">
        <v>1019.95</v>
      </c>
      <c r="C1810" s="43">
        <v>0.08</v>
      </c>
      <c r="D1810" s="45">
        <v>45962</v>
      </c>
      <c r="E1810" s="45">
        <v>45991.999305555553</v>
      </c>
      <c r="F1810" s="42" t="s">
        <v>274</v>
      </c>
    </row>
    <row r="1811" spans="1:6" x14ac:dyDescent="0.35">
      <c r="A1811" s="42" t="s">
        <v>408</v>
      </c>
      <c r="B1811" s="42">
        <v>1019.95</v>
      </c>
      <c r="C1811" s="43">
        <v>0.08</v>
      </c>
      <c r="D1811" s="45">
        <v>45962</v>
      </c>
      <c r="E1811" s="45">
        <v>45991.999305555553</v>
      </c>
      <c r="F1811" s="42" t="s">
        <v>274</v>
      </c>
    </row>
    <row r="1812" spans="1:6" x14ac:dyDescent="0.35">
      <c r="A1812" s="42" t="s">
        <v>90</v>
      </c>
      <c r="B1812" s="42">
        <v>649.95000000000005</v>
      </c>
      <c r="C1812" s="43">
        <v>0.08</v>
      </c>
      <c r="D1812" s="45">
        <v>45962</v>
      </c>
      <c r="E1812" s="45">
        <v>45991.999305555553</v>
      </c>
      <c r="F1812" s="42" t="s">
        <v>274</v>
      </c>
    </row>
    <row r="1813" spans="1:6" x14ac:dyDescent="0.35">
      <c r="A1813" s="42" t="s">
        <v>42</v>
      </c>
      <c r="B1813" s="42">
        <v>849.95</v>
      </c>
      <c r="C1813" s="43">
        <v>0.08</v>
      </c>
      <c r="D1813" s="45">
        <v>45962</v>
      </c>
      <c r="E1813" s="45">
        <v>45991.999305555553</v>
      </c>
      <c r="F1813" s="42" t="s">
        <v>274</v>
      </c>
    </row>
    <row r="1814" spans="1:6" x14ac:dyDescent="0.35">
      <c r="A1814" s="42" t="s">
        <v>460</v>
      </c>
      <c r="B1814" s="42">
        <v>1319.95</v>
      </c>
      <c r="C1814" s="43">
        <v>0.08</v>
      </c>
      <c r="D1814" s="45">
        <v>45962</v>
      </c>
      <c r="E1814" s="45">
        <v>45991.999305555553</v>
      </c>
      <c r="F1814" s="42" t="s">
        <v>274</v>
      </c>
    </row>
    <row r="1815" spans="1:6" x14ac:dyDescent="0.35">
      <c r="A1815" s="42" t="s">
        <v>464</v>
      </c>
      <c r="B1815" s="42">
        <v>1319.95</v>
      </c>
      <c r="C1815" s="43">
        <v>0.08</v>
      </c>
      <c r="D1815" s="45">
        <v>45962</v>
      </c>
      <c r="E1815" s="45">
        <v>45991.999305555553</v>
      </c>
      <c r="F1815" s="42" t="s">
        <v>274</v>
      </c>
    </row>
    <row r="1816" spans="1:6" x14ac:dyDescent="0.35">
      <c r="A1816" s="42" t="s">
        <v>9</v>
      </c>
      <c r="B1816" s="42">
        <v>349.95</v>
      </c>
      <c r="C1816" s="43">
        <v>0.08</v>
      </c>
      <c r="D1816" s="45">
        <v>45962</v>
      </c>
      <c r="E1816" s="45">
        <v>45991.999305555553</v>
      </c>
      <c r="F1816" s="42" t="s">
        <v>274</v>
      </c>
    </row>
    <row r="1817" spans="1:6" x14ac:dyDescent="0.35">
      <c r="A1817" s="42" t="s">
        <v>471</v>
      </c>
      <c r="B1817" s="42">
        <v>1199.95</v>
      </c>
      <c r="C1817" s="43">
        <v>0.08</v>
      </c>
      <c r="D1817" s="45">
        <v>45962</v>
      </c>
      <c r="E1817" s="45">
        <v>45991.999305555553</v>
      </c>
      <c r="F1817" s="42" t="s">
        <v>274</v>
      </c>
    </row>
    <row r="1818" spans="1:6" x14ac:dyDescent="0.35">
      <c r="A1818" s="42" t="s">
        <v>8</v>
      </c>
      <c r="B1818" s="42">
        <v>349.95</v>
      </c>
      <c r="C1818" s="43">
        <v>0.08</v>
      </c>
      <c r="D1818" s="45">
        <v>45962</v>
      </c>
      <c r="E1818" s="45">
        <v>45991.999305555553</v>
      </c>
      <c r="F1818" s="42" t="s">
        <v>274</v>
      </c>
    </row>
    <row r="1819" spans="1:6" x14ac:dyDescent="0.35">
      <c r="A1819" s="42" t="s">
        <v>681</v>
      </c>
      <c r="B1819" s="42">
        <v>559.95000000000005</v>
      </c>
      <c r="C1819" s="43">
        <v>0.08</v>
      </c>
      <c r="D1819" s="45">
        <v>45962</v>
      </c>
      <c r="E1819" s="45">
        <v>45991.999305555553</v>
      </c>
      <c r="F1819" s="42" t="s">
        <v>274</v>
      </c>
    </row>
    <row r="1820" spans="1:6" x14ac:dyDescent="0.35">
      <c r="A1820" s="42" t="s">
        <v>67</v>
      </c>
      <c r="B1820" s="42">
        <v>349.95</v>
      </c>
      <c r="C1820" s="43">
        <v>0.08</v>
      </c>
      <c r="D1820" s="45">
        <v>45962</v>
      </c>
      <c r="E1820" s="45">
        <v>45991.999305555553</v>
      </c>
      <c r="F1820" s="42" t="s">
        <v>274</v>
      </c>
    </row>
    <row r="1821" spans="1:6" x14ac:dyDescent="0.35">
      <c r="A1821" s="42" t="s">
        <v>564</v>
      </c>
      <c r="B1821" s="42">
        <v>429.95</v>
      </c>
      <c r="C1821" s="43">
        <v>0.08</v>
      </c>
      <c r="D1821" s="45">
        <v>45962</v>
      </c>
      <c r="E1821" s="45">
        <v>45991.999305555553</v>
      </c>
      <c r="F1821" s="42" t="s">
        <v>274</v>
      </c>
    </row>
    <row r="1822" spans="1:6" x14ac:dyDescent="0.35">
      <c r="A1822" s="42" t="s">
        <v>458</v>
      </c>
      <c r="B1822" s="42">
        <v>849.95</v>
      </c>
      <c r="C1822" s="43">
        <v>0.08</v>
      </c>
      <c r="D1822" s="45">
        <v>45962</v>
      </c>
      <c r="E1822" s="45">
        <v>45991.999305555553</v>
      </c>
      <c r="F1822" s="42" t="s">
        <v>274</v>
      </c>
    </row>
    <row r="1823" spans="1:6" x14ac:dyDescent="0.35">
      <c r="A1823" s="42" t="s">
        <v>23</v>
      </c>
      <c r="B1823" s="42">
        <v>429.95</v>
      </c>
      <c r="C1823" s="43">
        <v>0.08</v>
      </c>
      <c r="D1823" s="45">
        <v>45962</v>
      </c>
      <c r="E1823" s="45">
        <v>45991.999305555553</v>
      </c>
      <c r="F1823" s="42" t="s">
        <v>274</v>
      </c>
    </row>
    <row r="1824" spans="1:6" x14ac:dyDescent="0.35">
      <c r="A1824" s="42" t="s">
        <v>682</v>
      </c>
      <c r="B1824" s="42">
        <v>979.95</v>
      </c>
      <c r="C1824" s="43">
        <v>0.08</v>
      </c>
      <c r="D1824" s="45">
        <v>45962</v>
      </c>
      <c r="E1824" s="45">
        <v>45991.999305555553</v>
      </c>
      <c r="F1824" s="42" t="s">
        <v>274</v>
      </c>
    </row>
    <row r="1825" spans="1:6" x14ac:dyDescent="0.35">
      <c r="A1825" s="42" t="s">
        <v>33</v>
      </c>
      <c r="B1825" s="42">
        <v>899.95</v>
      </c>
      <c r="C1825" s="43">
        <v>0.08</v>
      </c>
      <c r="D1825" s="45">
        <v>45962</v>
      </c>
      <c r="E1825" s="45">
        <v>45991.999305555553</v>
      </c>
      <c r="F1825" s="42" t="s">
        <v>274</v>
      </c>
    </row>
    <row r="1826" spans="1:6" x14ac:dyDescent="0.35">
      <c r="A1826" s="42" t="s">
        <v>269</v>
      </c>
      <c r="B1826" s="42">
        <v>1469.95</v>
      </c>
      <c r="C1826" s="43">
        <v>0.08</v>
      </c>
      <c r="D1826" s="45">
        <v>45962</v>
      </c>
      <c r="E1826" s="45">
        <v>45991.999305555553</v>
      </c>
      <c r="F1826" s="42" t="s">
        <v>274</v>
      </c>
    </row>
    <row r="1827" spans="1:6" x14ac:dyDescent="0.35">
      <c r="A1827" s="42" t="s">
        <v>449</v>
      </c>
      <c r="B1827" s="42">
        <v>1019.95</v>
      </c>
      <c r="C1827" s="43">
        <v>0.08</v>
      </c>
      <c r="D1827" s="45">
        <v>45962</v>
      </c>
      <c r="E1827" s="45">
        <v>45991.999305555553</v>
      </c>
      <c r="F1827" s="42" t="s">
        <v>274</v>
      </c>
    </row>
    <row r="1828" spans="1:6" x14ac:dyDescent="0.35">
      <c r="A1828" s="42" t="s">
        <v>167</v>
      </c>
      <c r="B1828" s="42">
        <v>1019.95</v>
      </c>
      <c r="C1828" s="43">
        <v>0.08</v>
      </c>
      <c r="D1828" s="45">
        <v>45962</v>
      </c>
      <c r="E1828" s="45">
        <v>45991.999305555553</v>
      </c>
      <c r="F1828" s="42" t="s">
        <v>274</v>
      </c>
    </row>
    <row r="1829" spans="1:6" x14ac:dyDescent="0.35">
      <c r="A1829" s="42" t="s">
        <v>164</v>
      </c>
      <c r="B1829" s="42">
        <v>899.95</v>
      </c>
      <c r="C1829" s="43">
        <v>0.08</v>
      </c>
      <c r="D1829" s="45">
        <v>45962</v>
      </c>
      <c r="E1829" s="45">
        <v>45991.999305555553</v>
      </c>
      <c r="F1829" s="42" t="s">
        <v>274</v>
      </c>
    </row>
    <row r="1830" spans="1:6" x14ac:dyDescent="0.35">
      <c r="A1830" s="42" t="s">
        <v>465</v>
      </c>
      <c r="B1830" s="42">
        <v>1359.95</v>
      </c>
      <c r="C1830" s="43">
        <v>0.08</v>
      </c>
      <c r="D1830" s="45">
        <v>45962</v>
      </c>
      <c r="E1830" s="45">
        <v>45991.999305555553</v>
      </c>
      <c r="F1830" s="42" t="s">
        <v>274</v>
      </c>
    </row>
    <row r="1831" spans="1:6" x14ac:dyDescent="0.35">
      <c r="A1831" s="42" t="s">
        <v>401</v>
      </c>
      <c r="B1831" s="42">
        <v>1359.95</v>
      </c>
      <c r="C1831" s="43">
        <v>0.08</v>
      </c>
      <c r="D1831" s="45">
        <v>45962</v>
      </c>
      <c r="E1831" s="45">
        <v>45991.999305555553</v>
      </c>
      <c r="F1831" s="42" t="s">
        <v>274</v>
      </c>
    </row>
    <row r="1832" spans="1:6" x14ac:dyDescent="0.35">
      <c r="A1832" s="42" t="s">
        <v>129</v>
      </c>
      <c r="B1832" s="42">
        <v>1699.95</v>
      </c>
      <c r="C1832" s="43">
        <v>0.08</v>
      </c>
      <c r="D1832" s="45">
        <v>45962</v>
      </c>
      <c r="E1832" s="45">
        <v>45991.999305555553</v>
      </c>
      <c r="F1832" s="42" t="s">
        <v>274</v>
      </c>
    </row>
    <row r="1833" spans="1:6" x14ac:dyDescent="0.35">
      <c r="A1833" s="42" t="s">
        <v>685</v>
      </c>
      <c r="B1833" s="42">
        <v>1699.95</v>
      </c>
      <c r="C1833" s="43">
        <v>0.08</v>
      </c>
      <c r="D1833" s="45">
        <v>45962</v>
      </c>
      <c r="E1833" s="45">
        <v>45991.999305555553</v>
      </c>
      <c r="F1833" s="42" t="s">
        <v>274</v>
      </c>
    </row>
    <row r="1834" spans="1:6" x14ac:dyDescent="0.35">
      <c r="A1834" s="42" t="s">
        <v>450</v>
      </c>
      <c r="B1834" s="42">
        <v>1199.95</v>
      </c>
      <c r="C1834" s="43">
        <v>0.08</v>
      </c>
      <c r="D1834" s="45">
        <v>45962</v>
      </c>
      <c r="E1834" s="45">
        <v>45991.999305555553</v>
      </c>
      <c r="F1834" s="42" t="s">
        <v>274</v>
      </c>
    </row>
    <row r="1835" spans="1:6" x14ac:dyDescent="0.35">
      <c r="A1835" s="42" t="s">
        <v>686</v>
      </c>
      <c r="B1835" s="42">
        <v>649.95000000000005</v>
      </c>
      <c r="C1835" s="43">
        <v>0.08</v>
      </c>
      <c r="D1835" s="45">
        <v>45962</v>
      </c>
      <c r="E1835" s="45">
        <v>45991.999305555553</v>
      </c>
      <c r="F1835" s="42" t="s">
        <v>274</v>
      </c>
    </row>
    <row r="1836" spans="1:6" x14ac:dyDescent="0.35">
      <c r="A1836" s="42" t="s">
        <v>453</v>
      </c>
      <c r="B1836" s="42">
        <v>1359.95</v>
      </c>
      <c r="C1836" s="43">
        <v>0.08</v>
      </c>
      <c r="D1836" s="45">
        <v>45962</v>
      </c>
      <c r="E1836" s="45">
        <v>45991.999305555553</v>
      </c>
      <c r="F1836" s="42" t="s">
        <v>274</v>
      </c>
    </row>
    <row r="1837" spans="1:6" x14ac:dyDescent="0.35">
      <c r="A1837" s="42" t="s">
        <v>466</v>
      </c>
      <c r="B1837" s="42">
        <v>1229.95</v>
      </c>
      <c r="C1837" s="43">
        <v>0.08</v>
      </c>
      <c r="D1837" s="45">
        <v>45962</v>
      </c>
      <c r="E1837" s="45">
        <v>45991.999305555553</v>
      </c>
      <c r="F1837" s="42" t="s">
        <v>274</v>
      </c>
    </row>
    <row r="1838" spans="1:6" x14ac:dyDescent="0.35">
      <c r="A1838" s="42" t="s">
        <v>467</v>
      </c>
      <c r="B1838" s="42">
        <v>1199.95</v>
      </c>
      <c r="C1838" s="43">
        <v>0.08</v>
      </c>
      <c r="D1838" s="45">
        <v>45962</v>
      </c>
      <c r="E1838" s="45">
        <v>45991.999305555553</v>
      </c>
      <c r="F1838" s="42" t="s">
        <v>274</v>
      </c>
    </row>
    <row r="1839" spans="1:6" x14ac:dyDescent="0.35">
      <c r="A1839" s="42" t="s">
        <v>688</v>
      </c>
      <c r="B1839" s="42">
        <v>1229.95</v>
      </c>
      <c r="C1839" s="43">
        <v>0.08</v>
      </c>
      <c r="D1839" s="45">
        <v>45962</v>
      </c>
      <c r="E1839" s="45">
        <v>45991.999305555553</v>
      </c>
      <c r="F1839" s="42" t="s">
        <v>274</v>
      </c>
    </row>
    <row r="1840" spans="1:6" x14ac:dyDescent="0.35">
      <c r="A1840" s="42" t="s">
        <v>689</v>
      </c>
      <c r="B1840" s="42">
        <v>849.95</v>
      </c>
      <c r="C1840" s="43">
        <v>0.08</v>
      </c>
      <c r="D1840" s="45">
        <v>45962</v>
      </c>
      <c r="E1840" s="45">
        <v>45991.999305555553</v>
      </c>
      <c r="F1840" s="42" t="s">
        <v>274</v>
      </c>
    </row>
    <row r="1841" spans="1:6" x14ac:dyDescent="0.35">
      <c r="A1841" s="42" t="s">
        <v>690</v>
      </c>
      <c r="B1841" s="42">
        <v>1229.95</v>
      </c>
      <c r="C1841" s="43">
        <v>0.08</v>
      </c>
      <c r="D1841" s="45">
        <v>45962</v>
      </c>
      <c r="E1841" s="45">
        <v>45991.999305555553</v>
      </c>
      <c r="F1841" s="42" t="s">
        <v>274</v>
      </c>
    </row>
    <row r="1842" spans="1:6" x14ac:dyDescent="0.35">
      <c r="A1842" s="42" t="s">
        <v>693</v>
      </c>
      <c r="B1842" s="42">
        <v>2349.9499999999998</v>
      </c>
      <c r="C1842" s="43">
        <v>0.08</v>
      </c>
      <c r="D1842" s="45">
        <v>45962</v>
      </c>
      <c r="E1842" s="45">
        <v>45991.999305555553</v>
      </c>
      <c r="F1842" s="42" t="s">
        <v>274</v>
      </c>
    </row>
    <row r="1843" spans="1:6" x14ac:dyDescent="0.35">
      <c r="A1843" s="42" t="s">
        <v>462</v>
      </c>
      <c r="B1843" s="42">
        <v>2449.9499999999998</v>
      </c>
      <c r="C1843" s="43">
        <v>0.08</v>
      </c>
      <c r="D1843" s="45">
        <v>45962</v>
      </c>
      <c r="E1843" s="45">
        <v>45991.999305555553</v>
      </c>
      <c r="F1843" s="42" t="s">
        <v>274</v>
      </c>
    </row>
    <row r="1844" spans="1:6" x14ac:dyDescent="0.35">
      <c r="A1844" s="42" t="s">
        <v>474</v>
      </c>
      <c r="B1844" s="42">
        <v>2449.9499999999998</v>
      </c>
      <c r="C1844" s="43">
        <v>0.08</v>
      </c>
      <c r="D1844" s="45">
        <v>45962</v>
      </c>
      <c r="E1844" s="45">
        <v>45991.999305555553</v>
      </c>
      <c r="F1844" s="42" t="s">
        <v>274</v>
      </c>
    </row>
    <row r="1845" spans="1:6" x14ac:dyDescent="0.35">
      <c r="A1845" s="42" t="s">
        <v>461</v>
      </c>
      <c r="B1845" s="42">
        <v>1319.95</v>
      </c>
      <c r="C1845" s="43">
        <v>0.08</v>
      </c>
      <c r="D1845" s="45">
        <v>45962</v>
      </c>
      <c r="E1845" s="45">
        <v>45991.999305555553</v>
      </c>
      <c r="F1845" s="42" t="s">
        <v>274</v>
      </c>
    </row>
    <row r="1846" spans="1:6" x14ac:dyDescent="0.35">
      <c r="A1846" s="42" t="s">
        <v>455</v>
      </c>
      <c r="B1846" s="42">
        <v>1939.95</v>
      </c>
      <c r="C1846" s="43">
        <v>0.08</v>
      </c>
      <c r="D1846" s="45">
        <v>45962</v>
      </c>
      <c r="E1846" s="45">
        <v>45991.999305555553</v>
      </c>
      <c r="F1846" s="42" t="s">
        <v>274</v>
      </c>
    </row>
    <row r="1847" spans="1:6" x14ac:dyDescent="0.35">
      <c r="A1847" s="42" t="s">
        <v>463</v>
      </c>
      <c r="B1847" s="42">
        <v>2299.9499999999998</v>
      </c>
      <c r="C1847" s="43">
        <v>0.08</v>
      </c>
      <c r="D1847" s="45">
        <v>45962</v>
      </c>
      <c r="E1847" s="45">
        <v>45991.999305555553</v>
      </c>
      <c r="F1847" s="42" t="s">
        <v>274</v>
      </c>
    </row>
    <row r="1848" spans="1:6" x14ac:dyDescent="0.35">
      <c r="A1848" s="42" t="s">
        <v>456</v>
      </c>
      <c r="B1848" s="42">
        <v>2349.9499999999998</v>
      </c>
      <c r="C1848" s="43">
        <v>0.08</v>
      </c>
      <c r="D1848" s="45">
        <v>45962</v>
      </c>
      <c r="E1848" s="45">
        <v>45991.999305555553</v>
      </c>
      <c r="F1848" s="42" t="s">
        <v>274</v>
      </c>
    </row>
    <row r="1849" spans="1:6" x14ac:dyDescent="0.35">
      <c r="A1849" s="42" t="s">
        <v>469</v>
      </c>
      <c r="B1849" s="42">
        <v>2349.9499999999998</v>
      </c>
      <c r="C1849" s="43">
        <v>0.08</v>
      </c>
      <c r="D1849" s="45">
        <v>45962</v>
      </c>
      <c r="E1849" s="45">
        <v>45991.999305555553</v>
      </c>
      <c r="F1849" s="42" t="s">
        <v>274</v>
      </c>
    </row>
    <row r="1850" spans="1:6" x14ac:dyDescent="0.35">
      <c r="A1850" s="42" t="s">
        <v>523</v>
      </c>
      <c r="B1850" s="42">
        <v>839.95</v>
      </c>
      <c r="C1850" s="43">
        <v>0.1</v>
      </c>
      <c r="D1850" s="45">
        <v>45962</v>
      </c>
      <c r="E1850" s="45">
        <v>45991.999305555553</v>
      </c>
      <c r="F1850" s="42" t="s">
        <v>274</v>
      </c>
    </row>
    <row r="1851" spans="1:6" x14ac:dyDescent="0.35">
      <c r="A1851" s="42" t="s">
        <v>470</v>
      </c>
      <c r="B1851" s="42">
        <v>839.95</v>
      </c>
      <c r="C1851" s="43">
        <v>0.1</v>
      </c>
      <c r="D1851" s="45">
        <v>45962</v>
      </c>
      <c r="E1851" s="45">
        <v>45991.999305555553</v>
      </c>
      <c r="F1851" s="42" t="s">
        <v>274</v>
      </c>
    </row>
    <row r="1852" spans="1:6" x14ac:dyDescent="0.35">
      <c r="A1852" s="42" t="s">
        <v>402</v>
      </c>
      <c r="B1852" s="42">
        <v>939.95</v>
      </c>
      <c r="C1852" s="43">
        <v>0.1</v>
      </c>
      <c r="D1852" s="45">
        <v>45962</v>
      </c>
      <c r="E1852" s="45">
        <v>45991.999305555553</v>
      </c>
      <c r="F1852" s="42" t="s">
        <v>274</v>
      </c>
    </row>
    <row r="1853" spans="1:6" x14ac:dyDescent="0.35">
      <c r="A1853" s="42" t="s">
        <v>678</v>
      </c>
      <c r="B1853" s="42">
        <v>939.95</v>
      </c>
      <c r="C1853" s="43">
        <v>0.1</v>
      </c>
      <c r="D1853" s="45">
        <v>45962</v>
      </c>
      <c r="E1853" s="45">
        <v>45991.999305555553</v>
      </c>
      <c r="F1853" s="42" t="s">
        <v>274</v>
      </c>
    </row>
    <row r="1854" spans="1:6" x14ac:dyDescent="0.35">
      <c r="A1854" s="42" t="s">
        <v>697</v>
      </c>
      <c r="B1854" s="42">
        <v>959.95</v>
      </c>
      <c r="C1854" s="43">
        <v>0.1</v>
      </c>
      <c r="D1854" s="45">
        <v>45962</v>
      </c>
      <c r="E1854" s="45">
        <v>45991.999305555553</v>
      </c>
      <c r="F1854" s="42" t="s">
        <v>274</v>
      </c>
    </row>
    <row r="1855" spans="1:6" x14ac:dyDescent="0.35">
      <c r="A1855" s="42" t="s">
        <v>37</v>
      </c>
      <c r="B1855" s="42">
        <v>1429.95</v>
      </c>
      <c r="C1855" s="43">
        <v>0.1</v>
      </c>
      <c r="D1855" s="45">
        <v>45962</v>
      </c>
      <c r="E1855" s="45">
        <v>45991.999305555553</v>
      </c>
      <c r="F1855" s="42" t="s">
        <v>274</v>
      </c>
    </row>
    <row r="1856" spans="1:6" x14ac:dyDescent="0.35">
      <c r="A1856" s="42" t="s">
        <v>452</v>
      </c>
      <c r="B1856" s="42">
        <v>1429.95</v>
      </c>
      <c r="C1856" s="43">
        <v>0.1</v>
      </c>
      <c r="D1856" s="45">
        <v>45962</v>
      </c>
      <c r="E1856" s="45">
        <v>45991.999305555553</v>
      </c>
      <c r="F1856" s="42" t="s">
        <v>274</v>
      </c>
    </row>
    <row r="1857" spans="1:6" x14ac:dyDescent="0.35">
      <c r="A1857" s="42" t="s">
        <v>692</v>
      </c>
      <c r="B1857" s="42">
        <v>1429.95</v>
      </c>
      <c r="C1857" s="43">
        <v>0.1</v>
      </c>
      <c r="D1857" s="45">
        <v>45962</v>
      </c>
      <c r="E1857" s="45">
        <v>45991.999305555553</v>
      </c>
      <c r="F1857" s="42" t="s">
        <v>274</v>
      </c>
    </row>
    <row r="1858" spans="1:6" x14ac:dyDescent="0.35">
      <c r="A1858" s="42" t="s">
        <v>698</v>
      </c>
      <c r="B1858" s="42">
        <v>1429.95</v>
      </c>
      <c r="C1858" s="43">
        <v>0.1</v>
      </c>
      <c r="D1858" s="45">
        <v>45962</v>
      </c>
      <c r="E1858" s="45">
        <v>45991.999305555553</v>
      </c>
      <c r="F1858" s="42" t="s">
        <v>274</v>
      </c>
    </row>
    <row r="1859" spans="1:6" x14ac:dyDescent="0.35">
      <c r="A1859" s="42" t="s">
        <v>49</v>
      </c>
      <c r="B1859" s="42">
        <v>1619.95</v>
      </c>
      <c r="C1859" s="43">
        <v>0.1</v>
      </c>
      <c r="D1859" s="45">
        <v>45962</v>
      </c>
      <c r="E1859" s="45">
        <v>45991.999305555553</v>
      </c>
      <c r="F1859" s="42" t="s">
        <v>274</v>
      </c>
    </row>
    <row r="1860" spans="1:6" x14ac:dyDescent="0.35">
      <c r="A1860" s="42" t="s">
        <v>680</v>
      </c>
      <c r="B1860" s="42">
        <v>299.95</v>
      </c>
      <c r="C1860" s="43">
        <v>0.1</v>
      </c>
      <c r="D1860" s="45">
        <v>45962</v>
      </c>
      <c r="E1860" s="45">
        <v>45991.999305555553</v>
      </c>
      <c r="F1860" s="42" t="s">
        <v>274</v>
      </c>
    </row>
    <row r="1861" spans="1:6" x14ac:dyDescent="0.35">
      <c r="A1861" s="42" t="s">
        <v>14</v>
      </c>
      <c r="B1861" s="42">
        <v>389.95</v>
      </c>
      <c r="C1861" s="43">
        <v>0.1</v>
      </c>
      <c r="D1861" s="45">
        <v>45962</v>
      </c>
      <c r="E1861" s="45">
        <v>45991.999305555553</v>
      </c>
      <c r="F1861" s="42" t="s">
        <v>274</v>
      </c>
    </row>
    <row r="1862" spans="1:6" x14ac:dyDescent="0.35">
      <c r="A1862" s="42" t="s">
        <v>12</v>
      </c>
      <c r="B1862" s="42">
        <v>389.95</v>
      </c>
      <c r="C1862" s="43">
        <v>0.1</v>
      </c>
      <c r="D1862" s="45">
        <v>45962</v>
      </c>
      <c r="E1862" s="45">
        <v>45991.999305555553</v>
      </c>
      <c r="F1862" s="42" t="s">
        <v>274</v>
      </c>
    </row>
    <row r="1863" spans="1:6" x14ac:dyDescent="0.35">
      <c r="A1863" s="42" t="s">
        <v>279</v>
      </c>
      <c r="B1863" s="42">
        <v>589.95000000000005</v>
      </c>
      <c r="C1863" s="43">
        <v>0.1</v>
      </c>
      <c r="D1863" s="45">
        <v>45962</v>
      </c>
      <c r="E1863" s="45">
        <v>45991.999305555553</v>
      </c>
      <c r="F1863" s="42" t="s">
        <v>274</v>
      </c>
    </row>
    <row r="1864" spans="1:6" x14ac:dyDescent="0.35">
      <c r="A1864" s="42" t="s">
        <v>25</v>
      </c>
      <c r="B1864" s="42">
        <v>589.95000000000005</v>
      </c>
      <c r="C1864" s="43">
        <v>0.1</v>
      </c>
      <c r="D1864" s="45">
        <v>45962</v>
      </c>
      <c r="E1864" s="45">
        <v>45991.999305555553</v>
      </c>
      <c r="F1864" s="42" t="s">
        <v>274</v>
      </c>
    </row>
    <row r="1865" spans="1:6" x14ac:dyDescent="0.35">
      <c r="A1865" s="42" t="s">
        <v>27</v>
      </c>
      <c r="B1865" s="42">
        <v>679.95</v>
      </c>
      <c r="C1865" s="43">
        <v>0.1</v>
      </c>
      <c r="D1865" s="45">
        <v>45962</v>
      </c>
      <c r="E1865" s="45">
        <v>45991.999305555553</v>
      </c>
      <c r="F1865" s="42" t="s">
        <v>274</v>
      </c>
    </row>
    <row r="1866" spans="1:6" x14ac:dyDescent="0.35">
      <c r="A1866" s="42" t="s">
        <v>73</v>
      </c>
      <c r="B1866" s="42">
        <v>679.95</v>
      </c>
      <c r="C1866" s="43">
        <v>0.1</v>
      </c>
      <c r="D1866" s="45">
        <v>45962</v>
      </c>
      <c r="E1866" s="45">
        <v>45991.999305555553</v>
      </c>
      <c r="F1866" s="42" t="s">
        <v>274</v>
      </c>
    </row>
    <row r="1867" spans="1:6" x14ac:dyDescent="0.35">
      <c r="A1867" s="42" t="s">
        <v>481</v>
      </c>
      <c r="B1867" s="42">
        <v>779.95</v>
      </c>
      <c r="C1867" s="43">
        <v>0.1</v>
      </c>
      <c r="D1867" s="45">
        <v>45962</v>
      </c>
      <c r="E1867" s="45">
        <v>45991.999305555553</v>
      </c>
      <c r="F1867" s="42" t="s">
        <v>274</v>
      </c>
    </row>
    <row r="1868" spans="1:6" x14ac:dyDescent="0.35">
      <c r="A1868" s="42" t="s">
        <v>31</v>
      </c>
      <c r="B1868" s="42">
        <v>779.95</v>
      </c>
      <c r="C1868" s="43">
        <v>0.1</v>
      </c>
      <c r="D1868" s="45">
        <v>45962</v>
      </c>
      <c r="E1868" s="45">
        <v>45991.999305555553</v>
      </c>
      <c r="F1868" s="42" t="s">
        <v>274</v>
      </c>
    </row>
    <row r="1869" spans="1:6" x14ac:dyDescent="0.35">
      <c r="A1869" s="42" t="s">
        <v>283</v>
      </c>
      <c r="B1869" s="42">
        <v>779.95</v>
      </c>
      <c r="C1869" s="43">
        <v>0.1</v>
      </c>
      <c r="D1869" s="45">
        <v>45962</v>
      </c>
      <c r="E1869" s="45">
        <v>45991.999305555553</v>
      </c>
      <c r="F1869" s="42" t="s">
        <v>274</v>
      </c>
    </row>
    <row r="1870" spans="1:6" x14ac:dyDescent="0.35">
      <c r="A1870" s="42" t="s">
        <v>40</v>
      </c>
      <c r="B1870" s="42">
        <v>779.95</v>
      </c>
      <c r="C1870" s="43">
        <v>0.1</v>
      </c>
      <c r="D1870" s="45">
        <v>45962</v>
      </c>
      <c r="E1870" s="45">
        <v>45991.999305555553</v>
      </c>
      <c r="F1870" s="42" t="s">
        <v>274</v>
      </c>
    </row>
    <row r="1871" spans="1:6" x14ac:dyDescent="0.35">
      <c r="A1871" s="42" t="s">
        <v>683</v>
      </c>
      <c r="B1871" s="42">
        <v>779.95</v>
      </c>
      <c r="C1871" s="43">
        <v>0.1</v>
      </c>
      <c r="D1871" s="45">
        <v>45962</v>
      </c>
      <c r="E1871" s="45">
        <v>45991.999305555553</v>
      </c>
      <c r="F1871" s="42" t="s">
        <v>274</v>
      </c>
    </row>
    <row r="1872" spans="1:6" x14ac:dyDescent="0.35">
      <c r="A1872" s="42" t="s">
        <v>694</v>
      </c>
      <c r="B1872" s="42">
        <v>779.95</v>
      </c>
      <c r="C1872" s="43">
        <v>0.1</v>
      </c>
      <c r="D1872" s="45">
        <v>45962</v>
      </c>
      <c r="E1872" s="45">
        <v>45991.999305555553</v>
      </c>
      <c r="F1872" s="42" t="s">
        <v>274</v>
      </c>
    </row>
    <row r="1873" spans="1:6" x14ac:dyDescent="0.35">
      <c r="A1873" s="42" t="s">
        <v>451</v>
      </c>
      <c r="B1873" s="42">
        <v>1359.95</v>
      </c>
      <c r="C1873" s="43">
        <v>0.1</v>
      </c>
      <c r="D1873" s="45">
        <v>45962</v>
      </c>
      <c r="E1873" s="45">
        <v>45991.999305555553</v>
      </c>
      <c r="F1873" s="42" t="s">
        <v>274</v>
      </c>
    </row>
    <row r="1874" spans="1:6" x14ac:dyDescent="0.35">
      <c r="A1874" s="42" t="s">
        <v>684</v>
      </c>
      <c r="B1874" s="42">
        <v>1359.95</v>
      </c>
      <c r="C1874" s="43">
        <v>0.1</v>
      </c>
      <c r="D1874" s="45">
        <v>45962</v>
      </c>
      <c r="E1874" s="45">
        <v>45991.999305555553</v>
      </c>
      <c r="F1874" s="42" t="s">
        <v>274</v>
      </c>
    </row>
    <row r="1875" spans="1:6" x14ac:dyDescent="0.35">
      <c r="A1875" s="42" t="s">
        <v>35</v>
      </c>
      <c r="B1875" s="42">
        <v>1459.95</v>
      </c>
      <c r="C1875" s="43">
        <v>0.1</v>
      </c>
      <c r="D1875" s="45">
        <v>45962</v>
      </c>
      <c r="E1875" s="45">
        <v>45991.999305555553</v>
      </c>
      <c r="F1875" s="42" t="s">
        <v>274</v>
      </c>
    </row>
    <row r="1876" spans="1:6" x14ac:dyDescent="0.35">
      <c r="A1876" s="42" t="s">
        <v>594</v>
      </c>
      <c r="B1876" s="42">
        <v>1659.95</v>
      </c>
      <c r="C1876" s="43">
        <v>0.1</v>
      </c>
      <c r="D1876" s="45">
        <v>45962</v>
      </c>
      <c r="E1876" s="45">
        <v>45991.999305555553</v>
      </c>
      <c r="F1876" s="42" t="s">
        <v>274</v>
      </c>
    </row>
    <row r="1877" spans="1:6" x14ac:dyDescent="0.35">
      <c r="A1877" s="42" t="s">
        <v>473</v>
      </c>
      <c r="B1877" s="42">
        <v>1659.95</v>
      </c>
      <c r="C1877" s="43">
        <v>0.1</v>
      </c>
      <c r="D1877" s="45">
        <v>45962</v>
      </c>
      <c r="E1877" s="45">
        <v>45991.999305555553</v>
      </c>
      <c r="F1877" s="42" t="s">
        <v>274</v>
      </c>
    </row>
    <row r="1878" spans="1:6" x14ac:dyDescent="0.35">
      <c r="A1878" s="42" t="s">
        <v>454</v>
      </c>
      <c r="B1878" s="42">
        <v>1659.95</v>
      </c>
      <c r="C1878" s="43">
        <v>0.1</v>
      </c>
      <c r="D1878" s="45">
        <v>45962</v>
      </c>
      <c r="E1878" s="45">
        <v>45991.999305555553</v>
      </c>
      <c r="F1878" s="42" t="s">
        <v>274</v>
      </c>
    </row>
    <row r="1879" spans="1:6" x14ac:dyDescent="0.35">
      <c r="A1879" s="42" t="s">
        <v>695</v>
      </c>
      <c r="B1879" s="42">
        <v>1659.95</v>
      </c>
      <c r="C1879" s="43">
        <v>0.1</v>
      </c>
      <c r="D1879" s="45">
        <v>45962</v>
      </c>
      <c r="E1879" s="45">
        <v>45991.999305555553</v>
      </c>
      <c r="F1879" s="42" t="s">
        <v>274</v>
      </c>
    </row>
    <row r="1880" spans="1:6" x14ac:dyDescent="0.35">
      <c r="A1880" s="42" t="s">
        <v>468</v>
      </c>
      <c r="B1880" s="42">
        <v>1659.95</v>
      </c>
      <c r="C1880" s="43">
        <v>0.1</v>
      </c>
      <c r="D1880" s="45">
        <v>45962</v>
      </c>
      <c r="E1880" s="45">
        <v>45991.999305555553</v>
      </c>
      <c r="F1880" s="42" t="s">
        <v>274</v>
      </c>
    </row>
    <row r="1881" spans="1:6" x14ac:dyDescent="0.35">
      <c r="A1881" s="42" t="s">
        <v>15</v>
      </c>
      <c r="B1881" s="42">
        <v>419.95</v>
      </c>
      <c r="C1881" s="43">
        <v>0.1</v>
      </c>
      <c r="D1881" s="45">
        <v>45962</v>
      </c>
      <c r="E1881" s="45">
        <v>45991.999305555553</v>
      </c>
      <c r="F1881" s="42" t="s">
        <v>274</v>
      </c>
    </row>
    <row r="1882" spans="1:6" x14ac:dyDescent="0.35">
      <c r="A1882" s="42" t="s">
        <v>16</v>
      </c>
      <c r="B1882" s="42">
        <v>419.95</v>
      </c>
      <c r="C1882" s="43">
        <v>0.1</v>
      </c>
      <c r="D1882" s="45">
        <v>45962</v>
      </c>
      <c r="E1882" s="45">
        <v>45991.999305555553</v>
      </c>
      <c r="F1882" s="42" t="s">
        <v>274</v>
      </c>
    </row>
    <row r="1883" spans="1:6" x14ac:dyDescent="0.35">
      <c r="A1883" s="42" t="s">
        <v>548</v>
      </c>
      <c r="B1883" s="42">
        <v>419.95</v>
      </c>
      <c r="C1883" s="43">
        <v>0.1</v>
      </c>
      <c r="D1883" s="45">
        <v>45962</v>
      </c>
      <c r="E1883" s="45">
        <v>45991.999305555553</v>
      </c>
      <c r="F1883" s="42" t="s">
        <v>274</v>
      </c>
    </row>
    <row r="1884" spans="1:6" x14ac:dyDescent="0.35">
      <c r="A1884" s="42" t="s">
        <v>477</v>
      </c>
      <c r="B1884" s="42">
        <v>719.95</v>
      </c>
      <c r="C1884" s="43">
        <v>0.1</v>
      </c>
      <c r="D1884" s="45">
        <v>45962</v>
      </c>
      <c r="E1884" s="45">
        <v>45991.999305555553</v>
      </c>
      <c r="F1884" s="42" t="s">
        <v>274</v>
      </c>
    </row>
    <row r="1885" spans="1:6" x14ac:dyDescent="0.35">
      <c r="A1885" s="42" t="s">
        <v>55</v>
      </c>
      <c r="B1885" s="42">
        <v>719.95</v>
      </c>
      <c r="C1885" s="43">
        <v>0.1</v>
      </c>
      <c r="D1885" s="45">
        <v>45962</v>
      </c>
      <c r="E1885" s="45">
        <v>45991.999305555553</v>
      </c>
      <c r="F1885" s="42" t="s">
        <v>274</v>
      </c>
    </row>
    <row r="1886" spans="1:6" x14ac:dyDescent="0.35">
      <c r="A1886" s="42" t="s">
        <v>679</v>
      </c>
      <c r="B1886" s="42">
        <v>1019.95</v>
      </c>
      <c r="C1886" s="43">
        <v>0.1</v>
      </c>
      <c r="D1886" s="45">
        <v>45962</v>
      </c>
      <c r="E1886" s="45">
        <v>45991.999305555553</v>
      </c>
      <c r="F1886" s="42" t="s">
        <v>274</v>
      </c>
    </row>
    <row r="1887" spans="1:6" x14ac:dyDescent="0.35">
      <c r="A1887" s="42" t="s">
        <v>61</v>
      </c>
      <c r="B1887" s="42">
        <v>1219.95</v>
      </c>
      <c r="C1887" s="43">
        <v>0.1</v>
      </c>
      <c r="D1887" s="45">
        <v>45962</v>
      </c>
      <c r="E1887" s="45">
        <v>45991.999305555553</v>
      </c>
      <c r="F1887" s="42" t="s">
        <v>274</v>
      </c>
    </row>
    <row r="1888" spans="1:6" x14ac:dyDescent="0.35">
      <c r="A1888" s="42" t="s">
        <v>270</v>
      </c>
      <c r="B1888" s="42">
        <v>1219.95</v>
      </c>
      <c r="C1888" s="43">
        <v>0.1</v>
      </c>
      <c r="D1888" s="45">
        <v>45962</v>
      </c>
      <c r="E1888" s="45">
        <v>45991.999305555553</v>
      </c>
      <c r="F1888" s="42" t="s">
        <v>274</v>
      </c>
    </row>
    <row r="1889" spans="1:6" x14ac:dyDescent="0.35">
      <c r="A1889" s="42" t="s">
        <v>99</v>
      </c>
      <c r="B1889" s="42">
        <v>1319.95</v>
      </c>
      <c r="C1889" s="43">
        <v>0.1</v>
      </c>
      <c r="D1889" s="45">
        <v>45962</v>
      </c>
      <c r="E1889" s="45">
        <v>45991.999305555553</v>
      </c>
      <c r="F1889" s="42" t="s">
        <v>274</v>
      </c>
    </row>
    <row r="1890" spans="1:6" x14ac:dyDescent="0.35">
      <c r="A1890" s="42" t="s">
        <v>691</v>
      </c>
      <c r="B1890" s="42">
        <v>1319.95</v>
      </c>
      <c r="C1890" s="43">
        <v>0.1</v>
      </c>
      <c r="D1890" s="45">
        <v>45962</v>
      </c>
      <c r="E1890" s="45">
        <v>45991.999305555553</v>
      </c>
      <c r="F1890" s="42" t="s">
        <v>274</v>
      </c>
    </row>
    <row r="1891" spans="1:6" x14ac:dyDescent="0.35">
      <c r="A1891" s="42" t="s">
        <v>696</v>
      </c>
      <c r="B1891" s="42">
        <v>1919.95</v>
      </c>
      <c r="C1891" s="43">
        <v>0.1</v>
      </c>
      <c r="D1891" s="45">
        <v>45962</v>
      </c>
      <c r="E1891" s="45">
        <v>45991.999305555553</v>
      </c>
      <c r="F1891" s="42" t="s">
        <v>274</v>
      </c>
    </row>
    <row r="1892" spans="1:6" x14ac:dyDescent="0.35">
      <c r="A1892" s="42" t="s">
        <v>534</v>
      </c>
      <c r="B1892" s="42">
        <v>329.95</v>
      </c>
      <c r="C1892" s="43">
        <v>0.1</v>
      </c>
      <c r="D1892" s="45">
        <v>45962</v>
      </c>
      <c r="E1892" s="45">
        <v>45991.999305555553</v>
      </c>
      <c r="F1892" s="42" t="s">
        <v>274</v>
      </c>
    </row>
    <row r="1893" spans="1:6" x14ac:dyDescent="0.35">
      <c r="A1893" s="42" t="s">
        <v>677</v>
      </c>
      <c r="B1893" s="42">
        <v>539.95000000000005</v>
      </c>
      <c r="C1893" s="43">
        <v>0.1</v>
      </c>
      <c r="D1893" s="45">
        <v>45962</v>
      </c>
      <c r="E1893" s="45">
        <v>45991.999305555553</v>
      </c>
      <c r="F1893" s="42" t="s">
        <v>274</v>
      </c>
    </row>
    <row r="1894" spans="1:6" x14ac:dyDescent="0.35">
      <c r="A1894" s="42" t="s">
        <v>71</v>
      </c>
      <c r="B1894" s="42">
        <v>539.95000000000005</v>
      </c>
      <c r="C1894" s="43">
        <v>0.1</v>
      </c>
      <c r="D1894" s="45">
        <v>45962</v>
      </c>
      <c r="E1894" s="45">
        <v>45991.999305555553</v>
      </c>
      <c r="F1894" s="42" t="s">
        <v>274</v>
      </c>
    </row>
    <row r="1895" spans="1:6" x14ac:dyDescent="0.35">
      <c r="A1895" s="42" t="s">
        <v>19</v>
      </c>
      <c r="B1895" s="42">
        <v>539.95000000000005</v>
      </c>
      <c r="C1895" s="43">
        <v>0.1</v>
      </c>
      <c r="D1895" s="45">
        <v>45962</v>
      </c>
      <c r="E1895" s="45">
        <v>45991.999305555553</v>
      </c>
      <c r="F1895" s="42" t="s">
        <v>274</v>
      </c>
    </row>
    <row r="1896" spans="1:6" x14ac:dyDescent="0.35">
      <c r="A1896" s="42" t="s">
        <v>21</v>
      </c>
      <c r="B1896" s="42">
        <v>539.95000000000005</v>
      </c>
      <c r="C1896" s="43">
        <v>0.1</v>
      </c>
      <c r="D1896" s="45">
        <v>45962</v>
      </c>
      <c r="E1896" s="45">
        <v>45991.999305555553</v>
      </c>
      <c r="F1896" s="42" t="s">
        <v>274</v>
      </c>
    </row>
    <row r="1897" spans="1:6" x14ac:dyDescent="0.35">
      <c r="A1897" s="42" t="s">
        <v>448</v>
      </c>
      <c r="B1897" s="42">
        <v>639.95000000000005</v>
      </c>
      <c r="C1897" s="43">
        <v>0.1</v>
      </c>
      <c r="D1897" s="45">
        <v>45962</v>
      </c>
      <c r="E1897" s="45">
        <v>45991.999305555553</v>
      </c>
      <c r="F1897" s="42" t="s">
        <v>274</v>
      </c>
    </row>
    <row r="1898" spans="1:6" x14ac:dyDescent="0.35">
      <c r="A1898" s="42" t="s">
        <v>457</v>
      </c>
      <c r="B1898" s="42">
        <v>1149.95</v>
      </c>
      <c r="C1898" s="43">
        <v>0.1</v>
      </c>
      <c r="D1898" s="45">
        <v>45962</v>
      </c>
      <c r="E1898" s="45">
        <v>45991.999305555553</v>
      </c>
      <c r="F1898" s="42" t="s">
        <v>274</v>
      </c>
    </row>
    <row r="1899" spans="1:6" x14ac:dyDescent="0.35">
      <c r="A1899" s="42" t="s">
        <v>403</v>
      </c>
      <c r="B1899" s="42">
        <v>1149.95</v>
      </c>
      <c r="C1899" s="43">
        <v>0.1</v>
      </c>
      <c r="D1899" s="45">
        <v>45962</v>
      </c>
      <c r="E1899" s="45">
        <v>45991.999305555553</v>
      </c>
      <c r="F1899" s="42" t="s">
        <v>274</v>
      </c>
    </row>
    <row r="1900" spans="1:6" x14ac:dyDescent="0.35">
      <c r="A1900" s="42" t="s">
        <v>472</v>
      </c>
      <c r="B1900" s="42">
        <v>1149.95</v>
      </c>
      <c r="C1900" s="43">
        <v>0.1</v>
      </c>
      <c r="D1900" s="45">
        <v>45962</v>
      </c>
      <c r="E1900" s="45">
        <v>45991.999305555553</v>
      </c>
      <c r="F1900" s="42" t="s">
        <v>274</v>
      </c>
    </row>
    <row r="1901" spans="1:6" x14ac:dyDescent="0.35">
      <c r="A1901" s="42" t="s">
        <v>104</v>
      </c>
      <c r="B1901" s="42">
        <v>1349.95</v>
      </c>
      <c r="C1901" s="43">
        <v>0.1</v>
      </c>
      <c r="D1901" s="45">
        <v>45962</v>
      </c>
      <c r="E1901" s="45">
        <v>45991.999305555553</v>
      </c>
      <c r="F1901" s="42" t="s">
        <v>274</v>
      </c>
    </row>
    <row r="1902" spans="1:6" x14ac:dyDescent="0.35">
      <c r="A1902" s="42" t="s">
        <v>63</v>
      </c>
      <c r="B1902" s="42">
        <v>1449.95</v>
      </c>
      <c r="C1902" s="43">
        <v>0.1</v>
      </c>
      <c r="D1902" s="45">
        <v>45962</v>
      </c>
      <c r="E1902" s="45">
        <v>45991.999305555553</v>
      </c>
      <c r="F1902" s="42" t="s">
        <v>274</v>
      </c>
    </row>
    <row r="1903" spans="1:6" x14ac:dyDescent="0.35">
      <c r="A1903" s="42" t="s">
        <v>687</v>
      </c>
      <c r="B1903" s="42">
        <v>1449.95</v>
      </c>
      <c r="C1903" s="43">
        <v>0.1</v>
      </c>
      <c r="D1903" s="45">
        <v>45962</v>
      </c>
      <c r="E1903" s="45">
        <v>45991.999305555553</v>
      </c>
      <c r="F1903" s="42" t="s">
        <v>274</v>
      </c>
    </row>
    <row r="1904" spans="1:6" x14ac:dyDescent="0.35">
      <c r="A1904" s="42" t="s">
        <v>676</v>
      </c>
      <c r="B1904" s="42">
        <v>669.95</v>
      </c>
      <c r="C1904" s="43">
        <v>0.1</v>
      </c>
      <c r="D1904" s="45">
        <v>45962</v>
      </c>
      <c r="E1904" s="45">
        <v>45991.999305555553</v>
      </c>
      <c r="F1904" s="42" t="s">
        <v>274</v>
      </c>
    </row>
    <row r="1905" spans="1:6" x14ac:dyDescent="0.35">
      <c r="A1905" s="42" t="s">
        <v>482</v>
      </c>
      <c r="B1905" s="42">
        <v>869.95</v>
      </c>
      <c r="C1905" s="43">
        <v>0.1</v>
      </c>
      <c r="D1905" s="45">
        <v>45962</v>
      </c>
      <c r="E1905" s="45">
        <v>45991.999305555553</v>
      </c>
      <c r="F1905" s="42" t="s">
        <v>274</v>
      </c>
    </row>
    <row r="1906" spans="1:6" x14ac:dyDescent="0.35">
      <c r="A1906" s="42" t="s">
        <v>108</v>
      </c>
      <c r="B1906" s="42">
        <v>1049.95</v>
      </c>
      <c r="C1906" s="43">
        <v>0.1</v>
      </c>
      <c r="D1906" s="45">
        <v>45962</v>
      </c>
      <c r="E1906" s="45">
        <v>45991.999305555553</v>
      </c>
      <c r="F1906" s="42" t="s">
        <v>274</v>
      </c>
    </row>
    <row r="1907" spans="1:6" x14ac:dyDescent="0.35">
      <c r="A1907" s="42" t="s">
        <v>408</v>
      </c>
      <c r="B1907" s="42">
        <v>1049.95</v>
      </c>
      <c r="C1907" s="43">
        <v>0.1</v>
      </c>
      <c r="D1907" s="45">
        <v>45962</v>
      </c>
      <c r="E1907" s="45">
        <v>45991.999305555553</v>
      </c>
      <c r="F1907" s="42" t="s">
        <v>274</v>
      </c>
    </row>
    <row r="1908" spans="1:6" x14ac:dyDescent="0.35">
      <c r="A1908" s="42" t="s">
        <v>90</v>
      </c>
      <c r="B1908" s="42">
        <v>669.95</v>
      </c>
      <c r="C1908" s="43">
        <v>0.1</v>
      </c>
      <c r="D1908" s="45">
        <v>45962</v>
      </c>
      <c r="E1908" s="45">
        <v>45991.999305555553</v>
      </c>
      <c r="F1908" s="42" t="s">
        <v>274</v>
      </c>
    </row>
    <row r="1909" spans="1:6" x14ac:dyDescent="0.35">
      <c r="A1909" s="42" t="s">
        <v>42</v>
      </c>
      <c r="B1909" s="42">
        <v>869.95</v>
      </c>
      <c r="C1909" s="43">
        <v>0.1</v>
      </c>
      <c r="D1909" s="45">
        <v>45962</v>
      </c>
      <c r="E1909" s="45">
        <v>45991.999305555553</v>
      </c>
      <c r="F1909" s="42" t="s">
        <v>274</v>
      </c>
    </row>
    <row r="1910" spans="1:6" x14ac:dyDescent="0.35">
      <c r="A1910" s="42" t="s">
        <v>460</v>
      </c>
      <c r="B1910" s="42">
        <v>1349.95</v>
      </c>
      <c r="C1910" s="43">
        <v>0.1</v>
      </c>
      <c r="D1910" s="45">
        <v>45962</v>
      </c>
      <c r="E1910" s="45">
        <v>45991.999305555553</v>
      </c>
      <c r="F1910" s="42" t="s">
        <v>274</v>
      </c>
    </row>
    <row r="1911" spans="1:6" x14ac:dyDescent="0.35">
      <c r="A1911" s="42" t="s">
        <v>464</v>
      </c>
      <c r="B1911" s="42">
        <v>1349.95</v>
      </c>
      <c r="C1911" s="43">
        <v>0.1</v>
      </c>
      <c r="D1911" s="45">
        <v>45962</v>
      </c>
      <c r="E1911" s="45">
        <v>45991.999305555553</v>
      </c>
      <c r="F1911" s="42" t="s">
        <v>274</v>
      </c>
    </row>
    <row r="1912" spans="1:6" x14ac:dyDescent="0.35">
      <c r="A1912" s="42" t="s">
        <v>9</v>
      </c>
      <c r="B1912" s="42">
        <v>359.95</v>
      </c>
      <c r="C1912" s="43">
        <v>0.1</v>
      </c>
      <c r="D1912" s="45">
        <v>45962</v>
      </c>
      <c r="E1912" s="45">
        <v>45991.999305555553</v>
      </c>
      <c r="F1912" s="42" t="s">
        <v>274</v>
      </c>
    </row>
    <row r="1913" spans="1:6" x14ac:dyDescent="0.35">
      <c r="A1913" s="42" t="s">
        <v>471</v>
      </c>
      <c r="B1913" s="42">
        <v>1229.95</v>
      </c>
      <c r="C1913" s="43">
        <v>0.1</v>
      </c>
      <c r="D1913" s="45">
        <v>45962</v>
      </c>
      <c r="E1913" s="45">
        <v>45991.999305555553</v>
      </c>
      <c r="F1913" s="42" t="s">
        <v>274</v>
      </c>
    </row>
    <row r="1914" spans="1:6" x14ac:dyDescent="0.35">
      <c r="A1914" s="42" t="s">
        <v>8</v>
      </c>
      <c r="B1914" s="42">
        <v>359.95</v>
      </c>
      <c r="C1914" s="43">
        <v>0.1</v>
      </c>
      <c r="D1914" s="45">
        <v>45962</v>
      </c>
      <c r="E1914" s="45">
        <v>45991.999305555553</v>
      </c>
      <c r="F1914" s="42" t="s">
        <v>274</v>
      </c>
    </row>
    <row r="1915" spans="1:6" x14ac:dyDescent="0.35">
      <c r="A1915" s="42" t="s">
        <v>681</v>
      </c>
      <c r="B1915" s="42">
        <v>579.95000000000005</v>
      </c>
      <c r="C1915" s="43">
        <v>0.1</v>
      </c>
      <c r="D1915" s="45">
        <v>45962</v>
      </c>
      <c r="E1915" s="45">
        <v>45991.999305555553</v>
      </c>
      <c r="F1915" s="42" t="s">
        <v>274</v>
      </c>
    </row>
    <row r="1916" spans="1:6" x14ac:dyDescent="0.35">
      <c r="A1916" s="42" t="s">
        <v>67</v>
      </c>
      <c r="B1916" s="42">
        <v>359.95</v>
      </c>
      <c r="C1916" s="43">
        <v>0.1</v>
      </c>
      <c r="D1916" s="45">
        <v>45962</v>
      </c>
      <c r="E1916" s="45">
        <v>45991.999305555553</v>
      </c>
      <c r="F1916" s="42" t="s">
        <v>274</v>
      </c>
    </row>
    <row r="1917" spans="1:6" x14ac:dyDescent="0.35">
      <c r="A1917" s="42" t="s">
        <v>564</v>
      </c>
      <c r="B1917" s="42">
        <v>439.95</v>
      </c>
      <c r="C1917" s="43">
        <v>0.1</v>
      </c>
      <c r="D1917" s="45">
        <v>45962</v>
      </c>
      <c r="E1917" s="45">
        <v>45991.999305555553</v>
      </c>
      <c r="F1917" s="42" t="s">
        <v>274</v>
      </c>
    </row>
    <row r="1918" spans="1:6" x14ac:dyDescent="0.35">
      <c r="A1918" s="42" t="s">
        <v>458</v>
      </c>
      <c r="B1918" s="42">
        <v>869.95</v>
      </c>
      <c r="C1918" s="43">
        <v>0.1</v>
      </c>
      <c r="D1918" s="45">
        <v>45962</v>
      </c>
      <c r="E1918" s="45">
        <v>45991.999305555553</v>
      </c>
      <c r="F1918" s="42" t="s">
        <v>274</v>
      </c>
    </row>
    <row r="1919" spans="1:6" x14ac:dyDescent="0.35">
      <c r="A1919" s="42" t="s">
        <v>23</v>
      </c>
      <c r="B1919" s="42">
        <v>439.95</v>
      </c>
      <c r="C1919" s="43">
        <v>0.1</v>
      </c>
      <c r="D1919" s="45">
        <v>45962</v>
      </c>
      <c r="E1919" s="45">
        <v>45991.999305555553</v>
      </c>
      <c r="F1919" s="42" t="s">
        <v>274</v>
      </c>
    </row>
    <row r="1920" spans="1:6" x14ac:dyDescent="0.35">
      <c r="A1920" s="42" t="s">
        <v>682</v>
      </c>
      <c r="B1920" s="42">
        <v>999.95</v>
      </c>
      <c r="C1920" s="43">
        <v>0.1</v>
      </c>
      <c r="D1920" s="45">
        <v>45962</v>
      </c>
      <c r="E1920" s="45">
        <v>45991.999305555553</v>
      </c>
      <c r="F1920" s="42" t="s">
        <v>274</v>
      </c>
    </row>
    <row r="1921" spans="1:6" x14ac:dyDescent="0.35">
      <c r="A1921" s="42" t="s">
        <v>33</v>
      </c>
      <c r="B1921" s="42">
        <v>919.95</v>
      </c>
      <c r="C1921" s="43">
        <v>0.1</v>
      </c>
      <c r="D1921" s="45">
        <v>45962</v>
      </c>
      <c r="E1921" s="45">
        <v>45991.999305555553</v>
      </c>
      <c r="F1921" s="42" t="s">
        <v>274</v>
      </c>
    </row>
    <row r="1922" spans="1:6" x14ac:dyDescent="0.35">
      <c r="A1922" s="42" t="s">
        <v>269</v>
      </c>
      <c r="B1922" s="42">
        <v>1499.95</v>
      </c>
      <c r="C1922" s="43">
        <v>0.1</v>
      </c>
      <c r="D1922" s="45">
        <v>45962</v>
      </c>
      <c r="E1922" s="45">
        <v>45991.999305555553</v>
      </c>
      <c r="F1922" s="42" t="s">
        <v>274</v>
      </c>
    </row>
    <row r="1923" spans="1:6" x14ac:dyDescent="0.35">
      <c r="A1923" s="42" t="s">
        <v>449</v>
      </c>
      <c r="B1923" s="42">
        <v>1049.95</v>
      </c>
      <c r="C1923" s="43">
        <v>0.1</v>
      </c>
      <c r="D1923" s="45">
        <v>45962</v>
      </c>
      <c r="E1923" s="45">
        <v>45991.999305555553</v>
      </c>
      <c r="F1923" s="42" t="s">
        <v>274</v>
      </c>
    </row>
    <row r="1924" spans="1:6" x14ac:dyDescent="0.35">
      <c r="A1924" s="42" t="s">
        <v>167</v>
      </c>
      <c r="B1924" s="42">
        <v>1049.95</v>
      </c>
      <c r="C1924" s="43">
        <v>0.1</v>
      </c>
      <c r="D1924" s="45">
        <v>45962</v>
      </c>
      <c r="E1924" s="45">
        <v>45991.999305555553</v>
      </c>
      <c r="F1924" s="42" t="s">
        <v>274</v>
      </c>
    </row>
    <row r="1925" spans="1:6" x14ac:dyDescent="0.35">
      <c r="A1925" s="42" t="s">
        <v>164</v>
      </c>
      <c r="B1925" s="42">
        <v>919.95</v>
      </c>
      <c r="C1925" s="43">
        <v>0.1</v>
      </c>
      <c r="D1925" s="45">
        <v>45962</v>
      </c>
      <c r="E1925" s="45">
        <v>45991.999305555553</v>
      </c>
      <c r="F1925" s="42" t="s">
        <v>274</v>
      </c>
    </row>
    <row r="1926" spans="1:6" x14ac:dyDescent="0.35">
      <c r="A1926" s="42" t="s">
        <v>465</v>
      </c>
      <c r="B1926" s="42">
        <v>1389.95</v>
      </c>
      <c r="C1926" s="43">
        <v>0.1</v>
      </c>
      <c r="D1926" s="45">
        <v>45962</v>
      </c>
      <c r="E1926" s="45">
        <v>45991.999305555553</v>
      </c>
      <c r="F1926" s="42" t="s">
        <v>274</v>
      </c>
    </row>
    <row r="1927" spans="1:6" x14ac:dyDescent="0.35">
      <c r="A1927" s="42" t="s">
        <v>401</v>
      </c>
      <c r="B1927" s="42">
        <v>1389.95</v>
      </c>
      <c r="C1927" s="43">
        <v>0.1</v>
      </c>
      <c r="D1927" s="45">
        <v>45962</v>
      </c>
      <c r="E1927" s="45">
        <v>45991.999305555553</v>
      </c>
      <c r="F1927" s="42" t="s">
        <v>274</v>
      </c>
    </row>
    <row r="1928" spans="1:6" x14ac:dyDescent="0.35">
      <c r="A1928" s="42" t="s">
        <v>129</v>
      </c>
      <c r="B1928" s="42">
        <v>1739.95</v>
      </c>
      <c r="C1928" s="43">
        <v>0.1</v>
      </c>
      <c r="D1928" s="45">
        <v>45962</v>
      </c>
      <c r="E1928" s="45">
        <v>45991.999305555553</v>
      </c>
      <c r="F1928" s="42" t="s">
        <v>274</v>
      </c>
    </row>
    <row r="1929" spans="1:6" x14ac:dyDescent="0.35">
      <c r="A1929" s="42" t="s">
        <v>685</v>
      </c>
      <c r="B1929" s="42">
        <v>1739.95</v>
      </c>
      <c r="C1929" s="43">
        <v>0.1</v>
      </c>
      <c r="D1929" s="45">
        <v>45962</v>
      </c>
      <c r="E1929" s="45">
        <v>45991.999305555553</v>
      </c>
      <c r="F1929" s="42" t="s">
        <v>274</v>
      </c>
    </row>
    <row r="1930" spans="1:6" x14ac:dyDescent="0.35">
      <c r="A1930" s="42" t="s">
        <v>450</v>
      </c>
      <c r="B1930" s="42">
        <v>1229.95</v>
      </c>
      <c r="C1930" s="43">
        <v>0.1</v>
      </c>
      <c r="D1930" s="45">
        <v>45962</v>
      </c>
      <c r="E1930" s="45">
        <v>45991.999305555553</v>
      </c>
      <c r="F1930" s="42" t="s">
        <v>274</v>
      </c>
    </row>
    <row r="1931" spans="1:6" x14ac:dyDescent="0.35">
      <c r="A1931" s="42" t="s">
        <v>686</v>
      </c>
      <c r="B1931" s="42">
        <v>669.95</v>
      </c>
      <c r="C1931" s="43">
        <v>0.1</v>
      </c>
      <c r="D1931" s="45">
        <v>45962</v>
      </c>
      <c r="E1931" s="45">
        <v>45991.999305555553</v>
      </c>
      <c r="F1931" s="42" t="s">
        <v>274</v>
      </c>
    </row>
    <row r="1932" spans="1:6" x14ac:dyDescent="0.35">
      <c r="A1932" s="42" t="s">
        <v>453</v>
      </c>
      <c r="B1932" s="42">
        <v>1389.95</v>
      </c>
      <c r="C1932" s="43">
        <v>0.1</v>
      </c>
      <c r="D1932" s="45">
        <v>45962</v>
      </c>
      <c r="E1932" s="45">
        <v>45991.999305555553</v>
      </c>
      <c r="F1932" s="42" t="s">
        <v>274</v>
      </c>
    </row>
    <row r="1933" spans="1:6" x14ac:dyDescent="0.35">
      <c r="A1933" s="42" t="s">
        <v>466</v>
      </c>
      <c r="B1933" s="42">
        <v>1259.95</v>
      </c>
      <c r="C1933" s="43">
        <v>0.1</v>
      </c>
      <c r="D1933" s="45">
        <v>45962</v>
      </c>
      <c r="E1933" s="45">
        <v>45991.999305555553</v>
      </c>
      <c r="F1933" s="42" t="s">
        <v>274</v>
      </c>
    </row>
    <row r="1934" spans="1:6" x14ac:dyDescent="0.35">
      <c r="A1934" s="42" t="s">
        <v>467</v>
      </c>
      <c r="B1934" s="42">
        <v>1229.95</v>
      </c>
      <c r="C1934" s="43">
        <v>0.1</v>
      </c>
      <c r="D1934" s="45">
        <v>45962</v>
      </c>
      <c r="E1934" s="45">
        <v>45991.999305555553</v>
      </c>
      <c r="F1934" s="42" t="s">
        <v>274</v>
      </c>
    </row>
    <row r="1935" spans="1:6" x14ac:dyDescent="0.35">
      <c r="A1935" s="42" t="s">
        <v>688</v>
      </c>
      <c r="B1935" s="42">
        <v>1259.95</v>
      </c>
      <c r="C1935" s="43">
        <v>0.1</v>
      </c>
      <c r="D1935" s="45">
        <v>45962</v>
      </c>
      <c r="E1935" s="45">
        <v>45991.999305555553</v>
      </c>
      <c r="F1935" s="42" t="s">
        <v>274</v>
      </c>
    </row>
    <row r="1936" spans="1:6" x14ac:dyDescent="0.35">
      <c r="A1936" s="42" t="s">
        <v>689</v>
      </c>
      <c r="B1936" s="42">
        <v>869.95</v>
      </c>
      <c r="C1936" s="43">
        <v>0.1</v>
      </c>
      <c r="D1936" s="45">
        <v>45962</v>
      </c>
      <c r="E1936" s="45">
        <v>45991.999305555553</v>
      </c>
      <c r="F1936" s="42" t="s">
        <v>274</v>
      </c>
    </row>
    <row r="1937" spans="1:6" x14ac:dyDescent="0.35">
      <c r="A1937" s="42" t="s">
        <v>690</v>
      </c>
      <c r="B1937" s="42">
        <v>1259.95</v>
      </c>
      <c r="C1937" s="43">
        <v>0.1</v>
      </c>
      <c r="D1937" s="45">
        <v>45962</v>
      </c>
      <c r="E1937" s="45">
        <v>45991.999305555553</v>
      </c>
      <c r="F1937" s="42" t="s">
        <v>274</v>
      </c>
    </row>
    <row r="1938" spans="1:6" x14ac:dyDescent="0.35">
      <c r="A1938" s="42" t="s">
        <v>693</v>
      </c>
      <c r="B1938" s="42">
        <v>2399.9499999999998</v>
      </c>
      <c r="C1938" s="43">
        <v>0.1</v>
      </c>
      <c r="D1938" s="45">
        <v>45962</v>
      </c>
      <c r="E1938" s="45">
        <v>45991.999305555553</v>
      </c>
      <c r="F1938" s="42" t="s">
        <v>274</v>
      </c>
    </row>
    <row r="1939" spans="1:6" x14ac:dyDescent="0.35">
      <c r="A1939" s="42" t="s">
        <v>462</v>
      </c>
      <c r="B1939" s="42">
        <v>2499.9499999999998</v>
      </c>
      <c r="C1939" s="43">
        <v>0.1</v>
      </c>
      <c r="D1939" s="45">
        <v>45962</v>
      </c>
      <c r="E1939" s="45">
        <v>45991.999305555553</v>
      </c>
      <c r="F1939" s="42" t="s">
        <v>274</v>
      </c>
    </row>
    <row r="1940" spans="1:6" x14ac:dyDescent="0.35">
      <c r="A1940" s="42" t="s">
        <v>474</v>
      </c>
      <c r="B1940" s="42">
        <v>2499.9499999999998</v>
      </c>
      <c r="C1940" s="43">
        <v>0.1</v>
      </c>
      <c r="D1940" s="45">
        <v>45962</v>
      </c>
      <c r="E1940" s="45">
        <v>45991.999305555553</v>
      </c>
      <c r="F1940" s="42" t="s">
        <v>274</v>
      </c>
    </row>
    <row r="1941" spans="1:6" x14ac:dyDescent="0.35">
      <c r="A1941" s="42" t="s">
        <v>461</v>
      </c>
      <c r="B1941" s="42">
        <v>1349.95</v>
      </c>
      <c r="C1941" s="43">
        <v>0.1</v>
      </c>
      <c r="D1941" s="45">
        <v>45962</v>
      </c>
      <c r="E1941" s="45">
        <v>45991.999305555553</v>
      </c>
      <c r="F1941" s="42" t="s">
        <v>274</v>
      </c>
    </row>
    <row r="1942" spans="1:6" x14ac:dyDescent="0.35">
      <c r="A1942" s="42" t="s">
        <v>455</v>
      </c>
      <c r="B1942" s="42">
        <v>1979.95</v>
      </c>
      <c r="C1942" s="43">
        <v>0.1</v>
      </c>
      <c r="D1942" s="45">
        <v>45962</v>
      </c>
      <c r="E1942" s="45">
        <v>45991.999305555553</v>
      </c>
      <c r="F1942" s="42" t="s">
        <v>274</v>
      </c>
    </row>
    <row r="1943" spans="1:6" x14ac:dyDescent="0.35">
      <c r="A1943" s="42" t="s">
        <v>463</v>
      </c>
      <c r="B1943" s="42">
        <v>2349.9499999999998</v>
      </c>
      <c r="C1943" s="43">
        <v>0.1</v>
      </c>
      <c r="D1943" s="45">
        <v>45962</v>
      </c>
      <c r="E1943" s="45">
        <v>45991.999305555553</v>
      </c>
      <c r="F1943" s="42" t="s">
        <v>274</v>
      </c>
    </row>
    <row r="1944" spans="1:6" x14ac:dyDescent="0.35">
      <c r="A1944" s="42" t="s">
        <v>456</v>
      </c>
      <c r="B1944" s="42">
        <v>2399.9499999999998</v>
      </c>
      <c r="C1944" s="43">
        <v>0.1</v>
      </c>
      <c r="D1944" s="45">
        <v>45962</v>
      </c>
      <c r="E1944" s="45">
        <v>45991.999305555553</v>
      </c>
      <c r="F1944" s="42" t="s">
        <v>274</v>
      </c>
    </row>
    <row r="1945" spans="1:6" x14ac:dyDescent="0.35">
      <c r="A1945" s="42" t="s">
        <v>469</v>
      </c>
      <c r="B1945" s="42">
        <v>2399.9499999999998</v>
      </c>
      <c r="C1945" s="43">
        <v>0.1</v>
      </c>
      <c r="D1945" s="45">
        <v>45962</v>
      </c>
      <c r="E1945" s="45">
        <v>45991.999305555553</v>
      </c>
      <c r="F1945" s="42" t="s">
        <v>274</v>
      </c>
    </row>
    <row r="1946" spans="1:6" x14ac:dyDescent="0.35">
      <c r="A1946" s="42" t="s">
        <v>523</v>
      </c>
      <c r="B1946" s="42">
        <v>869.95</v>
      </c>
      <c r="C1946" s="43">
        <v>0.13</v>
      </c>
      <c r="D1946" s="45">
        <v>45962</v>
      </c>
      <c r="E1946" s="45">
        <v>45991.999305555553</v>
      </c>
      <c r="F1946" s="42" t="s">
        <v>274</v>
      </c>
    </row>
    <row r="1947" spans="1:6" x14ac:dyDescent="0.35">
      <c r="A1947" s="42" t="s">
        <v>470</v>
      </c>
      <c r="B1947" s="42">
        <v>869.95</v>
      </c>
      <c r="C1947" s="43">
        <v>0.13</v>
      </c>
      <c r="D1947" s="45">
        <v>45962</v>
      </c>
      <c r="E1947" s="45">
        <v>45991.999305555553</v>
      </c>
      <c r="F1947" s="42" t="s">
        <v>274</v>
      </c>
    </row>
    <row r="1948" spans="1:6" x14ac:dyDescent="0.35">
      <c r="A1948" s="42" t="s">
        <v>402</v>
      </c>
      <c r="B1948" s="42">
        <v>969.95</v>
      </c>
      <c r="C1948" s="43">
        <v>0.13</v>
      </c>
      <c r="D1948" s="45">
        <v>45962</v>
      </c>
      <c r="E1948" s="45">
        <v>45991.999305555553</v>
      </c>
      <c r="F1948" s="42" t="s">
        <v>274</v>
      </c>
    </row>
    <row r="1949" spans="1:6" x14ac:dyDescent="0.35">
      <c r="A1949" s="42" t="s">
        <v>678</v>
      </c>
      <c r="B1949" s="42">
        <v>969.95</v>
      </c>
      <c r="C1949" s="43">
        <v>0.13</v>
      </c>
      <c r="D1949" s="45">
        <v>45962</v>
      </c>
      <c r="E1949" s="45">
        <v>45991.999305555553</v>
      </c>
      <c r="F1949" s="42" t="s">
        <v>274</v>
      </c>
    </row>
    <row r="1950" spans="1:6" x14ac:dyDescent="0.35">
      <c r="A1950" s="42" t="s">
        <v>697</v>
      </c>
      <c r="B1950" s="42">
        <v>989.95</v>
      </c>
      <c r="C1950" s="43">
        <v>0.13</v>
      </c>
      <c r="D1950" s="45">
        <v>45962</v>
      </c>
      <c r="E1950" s="45">
        <v>45991.999305555553</v>
      </c>
      <c r="F1950" s="42" t="s">
        <v>274</v>
      </c>
    </row>
    <row r="1951" spans="1:6" x14ac:dyDescent="0.35">
      <c r="A1951" s="42" t="s">
        <v>37</v>
      </c>
      <c r="B1951" s="42">
        <v>1479.95</v>
      </c>
      <c r="C1951" s="43">
        <v>0.13</v>
      </c>
      <c r="D1951" s="45">
        <v>45962</v>
      </c>
      <c r="E1951" s="45">
        <v>45991.999305555553</v>
      </c>
      <c r="F1951" s="42" t="s">
        <v>274</v>
      </c>
    </row>
    <row r="1952" spans="1:6" x14ac:dyDescent="0.35">
      <c r="A1952" s="42" t="s">
        <v>452</v>
      </c>
      <c r="B1952" s="42">
        <v>1479.95</v>
      </c>
      <c r="C1952" s="43">
        <v>0.13</v>
      </c>
      <c r="D1952" s="45">
        <v>45962</v>
      </c>
      <c r="E1952" s="45">
        <v>45991.999305555553</v>
      </c>
      <c r="F1952" s="42" t="s">
        <v>274</v>
      </c>
    </row>
    <row r="1953" spans="1:6" x14ac:dyDescent="0.35">
      <c r="A1953" s="42" t="s">
        <v>692</v>
      </c>
      <c r="B1953" s="42">
        <v>1479.95</v>
      </c>
      <c r="C1953" s="43">
        <v>0.13</v>
      </c>
      <c r="D1953" s="45">
        <v>45962</v>
      </c>
      <c r="E1953" s="45">
        <v>45991.999305555553</v>
      </c>
      <c r="F1953" s="42" t="s">
        <v>274</v>
      </c>
    </row>
    <row r="1954" spans="1:6" x14ac:dyDescent="0.35">
      <c r="A1954" s="42" t="s">
        <v>698</v>
      </c>
      <c r="B1954" s="42">
        <v>1479.95</v>
      </c>
      <c r="C1954" s="43">
        <v>0.13</v>
      </c>
      <c r="D1954" s="45">
        <v>45962</v>
      </c>
      <c r="E1954" s="45">
        <v>45991.999305555553</v>
      </c>
      <c r="F1954" s="42" t="s">
        <v>274</v>
      </c>
    </row>
    <row r="1955" spans="1:6" x14ac:dyDescent="0.35">
      <c r="A1955" s="42" t="s">
        <v>49</v>
      </c>
      <c r="B1955" s="42">
        <v>1669.95</v>
      </c>
      <c r="C1955" s="43">
        <v>0.13</v>
      </c>
      <c r="D1955" s="45">
        <v>45962</v>
      </c>
      <c r="E1955" s="45">
        <v>45991.999305555553</v>
      </c>
      <c r="F1955" s="42" t="s">
        <v>274</v>
      </c>
    </row>
    <row r="1956" spans="1:6" x14ac:dyDescent="0.35">
      <c r="A1956" s="42" t="s">
        <v>680</v>
      </c>
      <c r="B1956" s="42">
        <v>319.95</v>
      </c>
      <c r="C1956" s="43">
        <v>0.13</v>
      </c>
      <c r="D1956" s="45">
        <v>45962</v>
      </c>
      <c r="E1956" s="45">
        <v>45991.999305555553</v>
      </c>
      <c r="F1956" s="42" t="s">
        <v>274</v>
      </c>
    </row>
    <row r="1957" spans="1:6" x14ac:dyDescent="0.35">
      <c r="A1957" s="42" t="s">
        <v>14</v>
      </c>
      <c r="B1957" s="42">
        <v>419.95</v>
      </c>
      <c r="C1957" s="43">
        <v>0.13</v>
      </c>
      <c r="D1957" s="45">
        <v>45962</v>
      </c>
      <c r="E1957" s="45">
        <v>45991.999305555553</v>
      </c>
      <c r="F1957" s="42" t="s">
        <v>274</v>
      </c>
    </row>
    <row r="1958" spans="1:6" x14ac:dyDescent="0.35">
      <c r="A1958" s="42" t="s">
        <v>12</v>
      </c>
      <c r="B1958" s="42">
        <v>419.95</v>
      </c>
      <c r="C1958" s="43">
        <v>0.13</v>
      </c>
      <c r="D1958" s="45">
        <v>45962</v>
      </c>
      <c r="E1958" s="45">
        <v>45991.999305555553</v>
      </c>
      <c r="F1958" s="42" t="s">
        <v>274</v>
      </c>
    </row>
    <row r="1959" spans="1:6" x14ac:dyDescent="0.35">
      <c r="A1959" s="42" t="s">
        <v>279</v>
      </c>
      <c r="B1959" s="42">
        <v>619.95000000000005</v>
      </c>
      <c r="C1959" s="43">
        <v>0.13</v>
      </c>
      <c r="D1959" s="45">
        <v>45962</v>
      </c>
      <c r="E1959" s="45">
        <v>45991.999305555553</v>
      </c>
      <c r="F1959" s="42" t="s">
        <v>274</v>
      </c>
    </row>
    <row r="1960" spans="1:6" x14ac:dyDescent="0.35">
      <c r="A1960" s="42" t="s">
        <v>25</v>
      </c>
      <c r="B1960" s="42">
        <v>619.95000000000005</v>
      </c>
      <c r="C1960" s="43">
        <v>0.13</v>
      </c>
      <c r="D1960" s="45">
        <v>45962</v>
      </c>
      <c r="E1960" s="45">
        <v>45991.999305555553</v>
      </c>
      <c r="F1960" s="42" t="s">
        <v>274</v>
      </c>
    </row>
    <row r="1961" spans="1:6" x14ac:dyDescent="0.35">
      <c r="A1961" s="42" t="s">
        <v>27</v>
      </c>
      <c r="B1961" s="42">
        <v>719.95</v>
      </c>
      <c r="C1961" s="43">
        <v>0.13</v>
      </c>
      <c r="D1961" s="45">
        <v>45962</v>
      </c>
      <c r="E1961" s="45">
        <v>45991.999305555553</v>
      </c>
      <c r="F1961" s="42" t="s">
        <v>274</v>
      </c>
    </row>
    <row r="1962" spans="1:6" x14ac:dyDescent="0.35">
      <c r="A1962" s="42" t="s">
        <v>73</v>
      </c>
      <c r="B1962" s="42">
        <v>719.95</v>
      </c>
      <c r="C1962" s="43">
        <v>0.13</v>
      </c>
      <c r="D1962" s="45">
        <v>45962</v>
      </c>
      <c r="E1962" s="45">
        <v>45991.999305555553</v>
      </c>
      <c r="F1962" s="42" t="s">
        <v>274</v>
      </c>
    </row>
    <row r="1963" spans="1:6" x14ac:dyDescent="0.35">
      <c r="A1963" s="42" t="s">
        <v>481</v>
      </c>
      <c r="B1963" s="42">
        <v>819.95</v>
      </c>
      <c r="C1963" s="43">
        <v>0.13</v>
      </c>
      <c r="D1963" s="45">
        <v>45962</v>
      </c>
      <c r="E1963" s="45">
        <v>45991.999305555553</v>
      </c>
      <c r="F1963" s="42" t="s">
        <v>274</v>
      </c>
    </row>
    <row r="1964" spans="1:6" x14ac:dyDescent="0.35">
      <c r="A1964" s="42" t="s">
        <v>31</v>
      </c>
      <c r="B1964" s="42">
        <v>819.95</v>
      </c>
      <c r="C1964" s="43">
        <v>0.13</v>
      </c>
      <c r="D1964" s="45">
        <v>45962</v>
      </c>
      <c r="E1964" s="45">
        <v>45991.999305555553</v>
      </c>
      <c r="F1964" s="42" t="s">
        <v>274</v>
      </c>
    </row>
    <row r="1965" spans="1:6" x14ac:dyDescent="0.35">
      <c r="A1965" s="42" t="s">
        <v>283</v>
      </c>
      <c r="B1965" s="42">
        <v>819.95</v>
      </c>
      <c r="C1965" s="43">
        <v>0.13</v>
      </c>
      <c r="D1965" s="45">
        <v>45962</v>
      </c>
      <c r="E1965" s="45">
        <v>45991.999305555553</v>
      </c>
      <c r="F1965" s="42" t="s">
        <v>274</v>
      </c>
    </row>
    <row r="1966" spans="1:6" x14ac:dyDescent="0.35">
      <c r="A1966" s="42" t="s">
        <v>40</v>
      </c>
      <c r="B1966" s="42">
        <v>819.95</v>
      </c>
      <c r="C1966" s="43">
        <v>0.13</v>
      </c>
      <c r="D1966" s="45">
        <v>45962</v>
      </c>
      <c r="E1966" s="45">
        <v>45991.999305555553</v>
      </c>
      <c r="F1966" s="42" t="s">
        <v>274</v>
      </c>
    </row>
    <row r="1967" spans="1:6" x14ac:dyDescent="0.35">
      <c r="A1967" s="42" t="s">
        <v>683</v>
      </c>
      <c r="B1967" s="42">
        <v>819.95</v>
      </c>
      <c r="C1967" s="43">
        <v>0.13</v>
      </c>
      <c r="D1967" s="45">
        <v>45962</v>
      </c>
      <c r="E1967" s="45">
        <v>45991.999305555553</v>
      </c>
      <c r="F1967" s="42" t="s">
        <v>274</v>
      </c>
    </row>
    <row r="1968" spans="1:6" x14ac:dyDescent="0.35">
      <c r="A1968" s="42" t="s">
        <v>694</v>
      </c>
      <c r="B1968" s="42">
        <v>819.95</v>
      </c>
      <c r="C1968" s="43">
        <v>0.13</v>
      </c>
      <c r="D1968" s="45">
        <v>45962</v>
      </c>
      <c r="E1968" s="45">
        <v>45991.999305555553</v>
      </c>
      <c r="F1968" s="42" t="s">
        <v>274</v>
      </c>
    </row>
    <row r="1969" spans="1:6" x14ac:dyDescent="0.35">
      <c r="A1969" s="42" t="s">
        <v>451</v>
      </c>
      <c r="B1969" s="42">
        <v>1419.95</v>
      </c>
      <c r="C1969" s="43">
        <v>0.13</v>
      </c>
      <c r="D1969" s="45">
        <v>45962</v>
      </c>
      <c r="E1969" s="45">
        <v>45991.999305555553</v>
      </c>
      <c r="F1969" s="42" t="s">
        <v>274</v>
      </c>
    </row>
    <row r="1970" spans="1:6" x14ac:dyDescent="0.35">
      <c r="A1970" s="42" t="s">
        <v>684</v>
      </c>
      <c r="B1970" s="42">
        <v>1419.95</v>
      </c>
      <c r="C1970" s="43">
        <v>0.13</v>
      </c>
      <c r="D1970" s="45">
        <v>45962</v>
      </c>
      <c r="E1970" s="45">
        <v>45991.999305555553</v>
      </c>
      <c r="F1970" s="42" t="s">
        <v>274</v>
      </c>
    </row>
    <row r="1971" spans="1:6" x14ac:dyDescent="0.35">
      <c r="A1971" s="42" t="s">
        <v>35</v>
      </c>
      <c r="B1971" s="42">
        <v>1519.95</v>
      </c>
      <c r="C1971" s="43">
        <v>0.13</v>
      </c>
      <c r="D1971" s="45">
        <v>45962</v>
      </c>
      <c r="E1971" s="45">
        <v>45991.999305555553</v>
      </c>
      <c r="F1971" s="42" t="s">
        <v>274</v>
      </c>
    </row>
    <row r="1972" spans="1:6" x14ac:dyDescent="0.35">
      <c r="A1972" s="42" t="s">
        <v>594</v>
      </c>
      <c r="B1972" s="42">
        <v>1719.95</v>
      </c>
      <c r="C1972" s="43">
        <v>0.13</v>
      </c>
      <c r="D1972" s="45">
        <v>45962</v>
      </c>
      <c r="E1972" s="45">
        <v>45991.999305555553</v>
      </c>
      <c r="F1972" s="42" t="s">
        <v>274</v>
      </c>
    </row>
    <row r="1973" spans="1:6" x14ac:dyDescent="0.35">
      <c r="A1973" s="42" t="s">
        <v>473</v>
      </c>
      <c r="B1973" s="42">
        <v>1719.95</v>
      </c>
      <c r="C1973" s="43">
        <v>0.13</v>
      </c>
      <c r="D1973" s="45">
        <v>45962</v>
      </c>
      <c r="E1973" s="45">
        <v>45991.999305555553</v>
      </c>
      <c r="F1973" s="42" t="s">
        <v>274</v>
      </c>
    </row>
    <row r="1974" spans="1:6" x14ac:dyDescent="0.35">
      <c r="A1974" s="42" t="s">
        <v>454</v>
      </c>
      <c r="B1974" s="42">
        <v>1719.95</v>
      </c>
      <c r="C1974" s="43">
        <v>0.13</v>
      </c>
      <c r="D1974" s="45">
        <v>45962</v>
      </c>
      <c r="E1974" s="45">
        <v>45991.999305555553</v>
      </c>
      <c r="F1974" s="42" t="s">
        <v>274</v>
      </c>
    </row>
    <row r="1975" spans="1:6" x14ac:dyDescent="0.35">
      <c r="A1975" s="42" t="s">
        <v>695</v>
      </c>
      <c r="B1975" s="42">
        <v>1719.95</v>
      </c>
      <c r="C1975" s="43">
        <v>0.13</v>
      </c>
      <c r="D1975" s="45">
        <v>45962</v>
      </c>
      <c r="E1975" s="45">
        <v>45991.999305555553</v>
      </c>
      <c r="F1975" s="42" t="s">
        <v>274</v>
      </c>
    </row>
    <row r="1976" spans="1:6" x14ac:dyDescent="0.35">
      <c r="A1976" s="42" t="s">
        <v>468</v>
      </c>
      <c r="B1976" s="42">
        <v>1719.95</v>
      </c>
      <c r="C1976" s="43">
        <v>0.13</v>
      </c>
      <c r="D1976" s="45">
        <v>45962</v>
      </c>
      <c r="E1976" s="45">
        <v>45991.999305555553</v>
      </c>
      <c r="F1976" s="42" t="s">
        <v>274</v>
      </c>
    </row>
    <row r="1977" spans="1:6" x14ac:dyDescent="0.35">
      <c r="A1977" s="42" t="s">
        <v>15</v>
      </c>
      <c r="B1977" s="42">
        <v>439.95</v>
      </c>
      <c r="C1977" s="43">
        <v>0.13</v>
      </c>
      <c r="D1977" s="45">
        <v>45962</v>
      </c>
      <c r="E1977" s="45">
        <v>45991.999305555553</v>
      </c>
      <c r="F1977" s="42" t="s">
        <v>274</v>
      </c>
    </row>
    <row r="1978" spans="1:6" x14ac:dyDescent="0.35">
      <c r="A1978" s="42" t="s">
        <v>16</v>
      </c>
      <c r="B1978" s="42">
        <v>439.95</v>
      </c>
      <c r="C1978" s="43">
        <v>0.13</v>
      </c>
      <c r="D1978" s="45">
        <v>45962</v>
      </c>
      <c r="E1978" s="45">
        <v>45991.999305555553</v>
      </c>
      <c r="F1978" s="42" t="s">
        <v>274</v>
      </c>
    </row>
    <row r="1979" spans="1:6" x14ac:dyDescent="0.35">
      <c r="A1979" s="42" t="s">
        <v>548</v>
      </c>
      <c r="B1979" s="42">
        <v>439.95</v>
      </c>
      <c r="C1979" s="43">
        <v>0.13</v>
      </c>
      <c r="D1979" s="45">
        <v>45962</v>
      </c>
      <c r="E1979" s="45">
        <v>45991.999305555553</v>
      </c>
      <c r="F1979" s="42" t="s">
        <v>274</v>
      </c>
    </row>
    <row r="1980" spans="1:6" x14ac:dyDescent="0.35">
      <c r="A1980" s="42" t="s">
        <v>477</v>
      </c>
      <c r="B1980" s="42">
        <v>749.95</v>
      </c>
      <c r="C1980" s="43">
        <v>0.13</v>
      </c>
      <c r="D1980" s="45">
        <v>45962</v>
      </c>
      <c r="E1980" s="45">
        <v>45991.999305555553</v>
      </c>
      <c r="F1980" s="42" t="s">
        <v>274</v>
      </c>
    </row>
    <row r="1981" spans="1:6" x14ac:dyDescent="0.35">
      <c r="A1981" s="42" t="s">
        <v>55</v>
      </c>
      <c r="B1981" s="42">
        <v>749.95</v>
      </c>
      <c r="C1981" s="43">
        <v>0.13</v>
      </c>
      <c r="D1981" s="45">
        <v>45962</v>
      </c>
      <c r="E1981" s="45">
        <v>45991.999305555553</v>
      </c>
      <c r="F1981" s="42" t="s">
        <v>274</v>
      </c>
    </row>
    <row r="1982" spans="1:6" x14ac:dyDescent="0.35">
      <c r="A1982" s="42" t="s">
        <v>679</v>
      </c>
      <c r="B1982" s="42">
        <v>1059.95</v>
      </c>
      <c r="C1982" s="43">
        <v>0.13</v>
      </c>
      <c r="D1982" s="45">
        <v>45962</v>
      </c>
      <c r="E1982" s="45">
        <v>45991.999305555553</v>
      </c>
      <c r="F1982" s="42" t="s">
        <v>274</v>
      </c>
    </row>
    <row r="1983" spans="1:6" x14ac:dyDescent="0.35">
      <c r="A1983" s="42" t="s">
        <v>61</v>
      </c>
      <c r="B1983" s="42">
        <v>1259.95</v>
      </c>
      <c r="C1983" s="43">
        <v>0.13</v>
      </c>
      <c r="D1983" s="45">
        <v>45962</v>
      </c>
      <c r="E1983" s="45">
        <v>45991.999305555553</v>
      </c>
      <c r="F1983" s="42" t="s">
        <v>274</v>
      </c>
    </row>
    <row r="1984" spans="1:6" x14ac:dyDescent="0.35">
      <c r="A1984" s="42" t="s">
        <v>270</v>
      </c>
      <c r="B1984" s="42">
        <v>1259.95</v>
      </c>
      <c r="C1984" s="43">
        <v>0.13</v>
      </c>
      <c r="D1984" s="45">
        <v>45962</v>
      </c>
      <c r="E1984" s="45">
        <v>45991.999305555553</v>
      </c>
      <c r="F1984" s="42" t="s">
        <v>274</v>
      </c>
    </row>
    <row r="1985" spans="1:6" x14ac:dyDescent="0.35">
      <c r="A1985" s="42" t="s">
        <v>99</v>
      </c>
      <c r="B1985" s="42">
        <v>1359.95</v>
      </c>
      <c r="C1985" s="43">
        <v>0.13</v>
      </c>
      <c r="D1985" s="45">
        <v>45962</v>
      </c>
      <c r="E1985" s="45">
        <v>45991.999305555553</v>
      </c>
      <c r="F1985" s="42" t="s">
        <v>274</v>
      </c>
    </row>
    <row r="1986" spans="1:6" x14ac:dyDescent="0.35">
      <c r="A1986" s="42" t="s">
        <v>691</v>
      </c>
      <c r="B1986" s="42">
        <v>1359.95</v>
      </c>
      <c r="C1986" s="43">
        <v>0.13</v>
      </c>
      <c r="D1986" s="45">
        <v>45962</v>
      </c>
      <c r="E1986" s="45">
        <v>45991.999305555553</v>
      </c>
      <c r="F1986" s="42" t="s">
        <v>274</v>
      </c>
    </row>
    <row r="1987" spans="1:6" x14ac:dyDescent="0.35">
      <c r="A1987" s="42" t="s">
        <v>696</v>
      </c>
      <c r="B1987" s="42">
        <v>1979.95</v>
      </c>
      <c r="C1987" s="43">
        <v>0.13</v>
      </c>
      <c r="D1987" s="45">
        <v>45962</v>
      </c>
      <c r="E1987" s="45">
        <v>45991.999305555553</v>
      </c>
      <c r="F1987" s="42" t="s">
        <v>274</v>
      </c>
    </row>
    <row r="1988" spans="1:6" x14ac:dyDescent="0.35">
      <c r="A1988" s="42" t="s">
        <v>534</v>
      </c>
      <c r="B1988" s="42">
        <v>339.95</v>
      </c>
      <c r="C1988" s="43">
        <v>0.13</v>
      </c>
      <c r="D1988" s="45">
        <v>45962</v>
      </c>
      <c r="E1988" s="45">
        <v>45991.999305555553</v>
      </c>
      <c r="F1988" s="42" t="s">
        <v>274</v>
      </c>
    </row>
    <row r="1989" spans="1:6" x14ac:dyDescent="0.35">
      <c r="A1989" s="42" t="s">
        <v>677</v>
      </c>
      <c r="B1989" s="42">
        <v>559.95000000000005</v>
      </c>
      <c r="C1989" s="43">
        <v>0.13</v>
      </c>
      <c r="D1989" s="45">
        <v>45962</v>
      </c>
      <c r="E1989" s="45">
        <v>45991.999305555553</v>
      </c>
      <c r="F1989" s="42" t="s">
        <v>274</v>
      </c>
    </row>
    <row r="1990" spans="1:6" x14ac:dyDescent="0.35">
      <c r="A1990" s="42" t="s">
        <v>71</v>
      </c>
      <c r="B1990" s="42">
        <v>559.95000000000005</v>
      </c>
      <c r="C1990" s="43">
        <v>0.13</v>
      </c>
      <c r="D1990" s="45">
        <v>45962</v>
      </c>
      <c r="E1990" s="45">
        <v>45991.999305555553</v>
      </c>
      <c r="F1990" s="42" t="s">
        <v>274</v>
      </c>
    </row>
    <row r="1991" spans="1:6" x14ac:dyDescent="0.35">
      <c r="A1991" s="42" t="s">
        <v>19</v>
      </c>
      <c r="B1991" s="42">
        <v>559.95000000000005</v>
      </c>
      <c r="C1991" s="43">
        <v>0.13</v>
      </c>
      <c r="D1991" s="45">
        <v>45962</v>
      </c>
      <c r="E1991" s="45">
        <v>45991.999305555553</v>
      </c>
      <c r="F1991" s="42" t="s">
        <v>274</v>
      </c>
    </row>
    <row r="1992" spans="1:6" x14ac:dyDescent="0.35">
      <c r="A1992" s="42" t="s">
        <v>21</v>
      </c>
      <c r="B1992" s="42">
        <v>559.95000000000005</v>
      </c>
      <c r="C1992" s="43">
        <v>0.13</v>
      </c>
      <c r="D1992" s="45">
        <v>45962</v>
      </c>
      <c r="E1992" s="45">
        <v>45991.999305555553</v>
      </c>
      <c r="F1992" s="42" t="s">
        <v>274</v>
      </c>
    </row>
    <row r="1993" spans="1:6" x14ac:dyDescent="0.35">
      <c r="A1993" s="42" t="s">
        <v>448</v>
      </c>
      <c r="B1993" s="42">
        <v>659.95</v>
      </c>
      <c r="C1993" s="43">
        <v>0.13</v>
      </c>
      <c r="D1993" s="45">
        <v>45962</v>
      </c>
      <c r="E1993" s="45">
        <v>45991.999305555553</v>
      </c>
      <c r="F1993" s="42" t="s">
        <v>274</v>
      </c>
    </row>
    <row r="1994" spans="1:6" x14ac:dyDescent="0.35">
      <c r="A1994" s="42" t="s">
        <v>457</v>
      </c>
      <c r="B1994" s="42">
        <v>1189.95</v>
      </c>
      <c r="C1994" s="43">
        <v>0.13</v>
      </c>
      <c r="D1994" s="45">
        <v>45962</v>
      </c>
      <c r="E1994" s="45">
        <v>45991.999305555553</v>
      </c>
      <c r="F1994" s="42" t="s">
        <v>274</v>
      </c>
    </row>
    <row r="1995" spans="1:6" x14ac:dyDescent="0.35">
      <c r="A1995" s="42" t="s">
        <v>403</v>
      </c>
      <c r="B1995" s="42">
        <v>1189.95</v>
      </c>
      <c r="C1995" s="43">
        <v>0.13</v>
      </c>
      <c r="D1995" s="45">
        <v>45962</v>
      </c>
      <c r="E1995" s="45">
        <v>45991.999305555553</v>
      </c>
      <c r="F1995" s="42" t="s">
        <v>274</v>
      </c>
    </row>
    <row r="1996" spans="1:6" x14ac:dyDescent="0.35">
      <c r="A1996" s="42" t="s">
        <v>472</v>
      </c>
      <c r="B1996" s="42">
        <v>1189.95</v>
      </c>
      <c r="C1996" s="43">
        <v>0.13</v>
      </c>
      <c r="D1996" s="45">
        <v>45962</v>
      </c>
      <c r="E1996" s="45">
        <v>45991.999305555553</v>
      </c>
      <c r="F1996" s="42" t="s">
        <v>274</v>
      </c>
    </row>
    <row r="1997" spans="1:6" x14ac:dyDescent="0.35">
      <c r="A1997" s="42" t="s">
        <v>104</v>
      </c>
      <c r="B1997" s="42">
        <v>1399.95</v>
      </c>
      <c r="C1997" s="43">
        <v>0.13</v>
      </c>
      <c r="D1997" s="45">
        <v>45962</v>
      </c>
      <c r="E1997" s="45">
        <v>45991.999305555553</v>
      </c>
      <c r="F1997" s="42" t="s">
        <v>274</v>
      </c>
    </row>
    <row r="1998" spans="1:6" x14ac:dyDescent="0.35">
      <c r="A1998" s="42" t="s">
        <v>63</v>
      </c>
      <c r="B1998" s="42">
        <v>1499.95</v>
      </c>
      <c r="C1998" s="43">
        <v>0.13</v>
      </c>
      <c r="D1998" s="45">
        <v>45962</v>
      </c>
      <c r="E1998" s="45">
        <v>45991.999305555553</v>
      </c>
      <c r="F1998" s="42" t="s">
        <v>274</v>
      </c>
    </row>
    <row r="1999" spans="1:6" x14ac:dyDescent="0.35">
      <c r="A1999" s="42" t="s">
        <v>687</v>
      </c>
      <c r="B1999" s="42">
        <v>1499.95</v>
      </c>
      <c r="C1999" s="43">
        <v>0.13</v>
      </c>
      <c r="D1999" s="45">
        <v>45962</v>
      </c>
      <c r="E1999" s="45">
        <v>45991.999305555553</v>
      </c>
      <c r="F1999" s="42" t="s">
        <v>274</v>
      </c>
    </row>
    <row r="2000" spans="1:6" x14ac:dyDescent="0.35">
      <c r="A2000" s="42" t="s">
        <v>676</v>
      </c>
      <c r="B2000" s="42">
        <v>699.95</v>
      </c>
      <c r="C2000" s="43">
        <v>0.13</v>
      </c>
      <c r="D2000" s="45">
        <v>45962</v>
      </c>
      <c r="E2000" s="45">
        <v>45991.999305555553</v>
      </c>
      <c r="F2000" s="42" t="s">
        <v>274</v>
      </c>
    </row>
    <row r="2001" spans="1:6" x14ac:dyDescent="0.35">
      <c r="A2001" s="42" t="s">
        <v>482</v>
      </c>
      <c r="B2001" s="42">
        <v>899.95</v>
      </c>
      <c r="C2001" s="43">
        <v>0.13</v>
      </c>
      <c r="D2001" s="45">
        <v>45962</v>
      </c>
      <c r="E2001" s="45">
        <v>45991.999305555553</v>
      </c>
      <c r="F2001" s="42" t="s">
        <v>274</v>
      </c>
    </row>
    <row r="2002" spans="1:6" x14ac:dyDescent="0.35">
      <c r="A2002" s="42" t="s">
        <v>108</v>
      </c>
      <c r="B2002" s="42">
        <v>1089.95</v>
      </c>
      <c r="C2002" s="43">
        <v>0.13</v>
      </c>
      <c r="D2002" s="45">
        <v>45962</v>
      </c>
      <c r="E2002" s="45">
        <v>45991.999305555553</v>
      </c>
      <c r="F2002" s="42" t="s">
        <v>274</v>
      </c>
    </row>
    <row r="2003" spans="1:6" x14ac:dyDescent="0.35">
      <c r="A2003" s="42" t="s">
        <v>408</v>
      </c>
      <c r="B2003" s="42">
        <v>1089.95</v>
      </c>
      <c r="C2003" s="43">
        <v>0.13</v>
      </c>
      <c r="D2003" s="45">
        <v>45962</v>
      </c>
      <c r="E2003" s="45">
        <v>45991.999305555553</v>
      </c>
      <c r="F2003" s="42" t="s">
        <v>274</v>
      </c>
    </row>
    <row r="2004" spans="1:6" x14ac:dyDescent="0.35">
      <c r="A2004" s="42" t="s">
        <v>90</v>
      </c>
      <c r="B2004" s="42">
        <v>699.95</v>
      </c>
      <c r="C2004" s="43">
        <v>0.13</v>
      </c>
      <c r="D2004" s="45">
        <v>45962</v>
      </c>
      <c r="E2004" s="45">
        <v>45991.999305555553</v>
      </c>
      <c r="F2004" s="42" t="s">
        <v>274</v>
      </c>
    </row>
    <row r="2005" spans="1:6" x14ac:dyDescent="0.35">
      <c r="A2005" s="42" t="s">
        <v>42</v>
      </c>
      <c r="B2005" s="42">
        <v>899.95</v>
      </c>
      <c r="C2005" s="43">
        <v>0.13</v>
      </c>
      <c r="D2005" s="45">
        <v>45962</v>
      </c>
      <c r="E2005" s="45">
        <v>45991.999305555553</v>
      </c>
      <c r="F2005" s="42" t="s">
        <v>274</v>
      </c>
    </row>
    <row r="2006" spans="1:6" x14ac:dyDescent="0.35">
      <c r="A2006" s="42" t="s">
        <v>460</v>
      </c>
      <c r="B2006" s="42">
        <v>1399.95</v>
      </c>
      <c r="C2006" s="43">
        <v>0.13</v>
      </c>
      <c r="D2006" s="45">
        <v>45962</v>
      </c>
      <c r="E2006" s="45">
        <v>45991.999305555553</v>
      </c>
      <c r="F2006" s="42" t="s">
        <v>274</v>
      </c>
    </row>
    <row r="2007" spans="1:6" x14ac:dyDescent="0.35">
      <c r="A2007" s="42" t="s">
        <v>464</v>
      </c>
      <c r="B2007" s="42">
        <v>1399.95</v>
      </c>
      <c r="C2007" s="43">
        <v>0.13</v>
      </c>
      <c r="D2007" s="45">
        <v>45962</v>
      </c>
      <c r="E2007" s="45">
        <v>45991.999305555553</v>
      </c>
      <c r="F2007" s="42" t="s">
        <v>274</v>
      </c>
    </row>
    <row r="2008" spans="1:6" x14ac:dyDescent="0.35">
      <c r="A2008" s="42" t="s">
        <v>9</v>
      </c>
      <c r="B2008" s="42">
        <v>379.95</v>
      </c>
      <c r="C2008" s="43">
        <v>0.13</v>
      </c>
      <c r="D2008" s="45">
        <v>45962</v>
      </c>
      <c r="E2008" s="45">
        <v>45991.999305555553</v>
      </c>
      <c r="F2008" s="42" t="s">
        <v>274</v>
      </c>
    </row>
    <row r="2009" spans="1:6" x14ac:dyDescent="0.35">
      <c r="A2009" s="42" t="s">
        <v>471</v>
      </c>
      <c r="B2009" s="42">
        <v>1269.95</v>
      </c>
      <c r="C2009" s="43">
        <v>0.13</v>
      </c>
      <c r="D2009" s="45">
        <v>45962</v>
      </c>
      <c r="E2009" s="45">
        <v>45991.999305555553</v>
      </c>
      <c r="F2009" s="42" t="s">
        <v>274</v>
      </c>
    </row>
    <row r="2010" spans="1:6" x14ac:dyDescent="0.35">
      <c r="A2010" s="42" t="s">
        <v>8</v>
      </c>
      <c r="B2010" s="42">
        <v>379.95</v>
      </c>
      <c r="C2010" s="43">
        <v>0.13</v>
      </c>
      <c r="D2010" s="45">
        <v>45962</v>
      </c>
      <c r="E2010" s="45">
        <v>45991.999305555553</v>
      </c>
      <c r="F2010" s="42" t="s">
        <v>274</v>
      </c>
    </row>
    <row r="2011" spans="1:6" x14ac:dyDescent="0.35">
      <c r="A2011" s="42" t="s">
        <v>681</v>
      </c>
      <c r="B2011" s="42">
        <v>599.95000000000005</v>
      </c>
      <c r="C2011" s="43">
        <v>0.13</v>
      </c>
      <c r="D2011" s="45">
        <v>45962</v>
      </c>
      <c r="E2011" s="45">
        <v>45991.999305555553</v>
      </c>
      <c r="F2011" s="42" t="s">
        <v>274</v>
      </c>
    </row>
    <row r="2012" spans="1:6" x14ac:dyDescent="0.35">
      <c r="A2012" s="42" t="s">
        <v>67</v>
      </c>
      <c r="B2012" s="42">
        <v>379.95</v>
      </c>
      <c r="C2012" s="43">
        <v>0.13</v>
      </c>
      <c r="D2012" s="45">
        <v>45962</v>
      </c>
      <c r="E2012" s="45">
        <v>45991.999305555553</v>
      </c>
      <c r="F2012" s="42" t="s">
        <v>274</v>
      </c>
    </row>
    <row r="2013" spans="1:6" x14ac:dyDescent="0.35">
      <c r="A2013" s="42" t="s">
        <v>564</v>
      </c>
      <c r="B2013" s="42">
        <v>459.95</v>
      </c>
      <c r="C2013" s="43">
        <v>0.13</v>
      </c>
      <c r="D2013" s="45">
        <v>45962</v>
      </c>
      <c r="E2013" s="45">
        <v>45991.999305555553</v>
      </c>
      <c r="F2013" s="42" t="s">
        <v>274</v>
      </c>
    </row>
    <row r="2014" spans="1:6" x14ac:dyDescent="0.35">
      <c r="A2014" s="42" t="s">
        <v>458</v>
      </c>
      <c r="B2014" s="42">
        <v>899.95</v>
      </c>
      <c r="C2014" s="43">
        <v>0.13</v>
      </c>
      <c r="D2014" s="45">
        <v>45962</v>
      </c>
      <c r="E2014" s="45">
        <v>45991.999305555553</v>
      </c>
      <c r="F2014" s="42" t="s">
        <v>274</v>
      </c>
    </row>
    <row r="2015" spans="1:6" x14ac:dyDescent="0.35">
      <c r="A2015" s="42" t="s">
        <v>23</v>
      </c>
      <c r="B2015" s="42">
        <v>459.95</v>
      </c>
      <c r="C2015" s="43">
        <v>0.13</v>
      </c>
      <c r="D2015" s="45">
        <v>45962</v>
      </c>
      <c r="E2015" s="45">
        <v>45991.999305555553</v>
      </c>
      <c r="F2015" s="42" t="s">
        <v>274</v>
      </c>
    </row>
    <row r="2016" spans="1:6" x14ac:dyDescent="0.35">
      <c r="A2016" s="42" t="s">
        <v>682</v>
      </c>
      <c r="B2016" s="42">
        <v>1029.95</v>
      </c>
      <c r="C2016" s="43">
        <v>0.13</v>
      </c>
      <c r="D2016" s="45">
        <v>45962</v>
      </c>
      <c r="E2016" s="45">
        <v>45991.999305555553</v>
      </c>
      <c r="F2016" s="42" t="s">
        <v>274</v>
      </c>
    </row>
    <row r="2017" spans="1:6" x14ac:dyDescent="0.35">
      <c r="A2017" s="42" t="s">
        <v>33</v>
      </c>
      <c r="B2017" s="42">
        <v>949.95</v>
      </c>
      <c r="C2017" s="43">
        <v>0.13</v>
      </c>
      <c r="D2017" s="45">
        <v>45962</v>
      </c>
      <c r="E2017" s="45">
        <v>45991.999305555553</v>
      </c>
      <c r="F2017" s="42" t="s">
        <v>274</v>
      </c>
    </row>
    <row r="2018" spans="1:6" x14ac:dyDescent="0.35">
      <c r="A2018" s="42" t="s">
        <v>269</v>
      </c>
      <c r="B2018" s="42">
        <v>1549.95</v>
      </c>
      <c r="C2018" s="43">
        <v>0.13</v>
      </c>
      <c r="D2018" s="45">
        <v>45962</v>
      </c>
      <c r="E2018" s="45">
        <v>45991.999305555553</v>
      </c>
      <c r="F2018" s="42" t="s">
        <v>274</v>
      </c>
    </row>
    <row r="2019" spans="1:6" x14ac:dyDescent="0.35">
      <c r="A2019" s="42" t="s">
        <v>449</v>
      </c>
      <c r="B2019" s="42">
        <v>1089.95</v>
      </c>
      <c r="C2019" s="43">
        <v>0.13</v>
      </c>
      <c r="D2019" s="45">
        <v>45962</v>
      </c>
      <c r="E2019" s="45">
        <v>45991.999305555553</v>
      </c>
      <c r="F2019" s="42" t="s">
        <v>274</v>
      </c>
    </row>
    <row r="2020" spans="1:6" x14ac:dyDescent="0.35">
      <c r="A2020" s="42" t="s">
        <v>167</v>
      </c>
      <c r="B2020" s="42">
        <v>1089.95</v>
      </c>
      <c r="C2020" s="43">
        <v>0.13</v>
      </c>
      <c r="D2020" s="45">
        <v>45962</v>
      </c>
      <c r="E2020" s="45">
        <v>45991.999305555553</v>
      </c>
      <c r="F2020" s="42" t="s">
        <v>274</v>
      </c>
    </row>
    <row r="2021" spans="1:6" x14ac:dyDescent="0.35">
      <c r="A2021" s="42" t="s">
        <v>164</v>
      </c>
      <c r="B2021" s="42">
        <v>949.95</v>
      </c>
      <c r="C2021" s="43">
        <v>0.13</v>
      </c>
      <c r="D2021" s="45">
        <v>45962</v>
      </c>
      <c r="E2021" s="45">
        <v>45991.999305555553</v>
      </c>
      <c r="F2021" s="42" t="s">
        <v>274</v>
      </c>
    </row>
    <row r="2022" spans="1:6" x14ac:dyDescent="0.35">
      <c r="A2022" s="42" t="s">
        <v>465</v>
      </c>
      <c r="B2022" s="42">
        <v>1439.95</v>
      </c>
      <c r="C2022" s="43">
        <v>0.13</v>
      </c>
      <c r="D2022" s="45">
        <v>45962</v>
      </c>
      <c r="E2022" s="45">
        <v>45991.999305555553</v>
      </c>
      <c r="F2022" s="42" t="s">
        <v>274</v>
      </c>
    </row>
    <row r="2023" spans="1:6" x14ac:dyDescent="0.35">
      <c r="A2023" s="42" t="s">
        <v>401</v>
      </c>
      <c r="B2023" s="42">
        <v>1439.95</v>
      </c>
      <c r="C2023" s="43">
        <v>0.13</v>
      </c>
      <c r="D2023" s="45">
        <v>45962</v>
      </c>
      <c r="E2023" s="45">
        <v>45991.999305555553</v>
      </c>
      <c r="F2023" s="42" t="s">
        <v>274</v>
      </c>
    </row>
    <row r="2024" spans="1:6" x14ac:dyDescent="0.35">
      <c r="A2024" s="42" t="s">
        <v>129</v>
      </c>
      <c r="B2024" s="42">
        <v>1799.95</v>
      </c>
      <c r="C2024" s="43">
        <v>0.13</v>
      </c>
      <c r="D2024" s="45">
        <v>45962</v>
      </c>
      <c r="E2024" s="45">
        <v>45991.999305555553</v>
      </c>
      <c r="F2024" s="42" t="s">
        <v>274</v>
      </c>
    </row>
    <row r="2025" spans="1:6" x14ac:dyDescent="0.35">
      <c r="A2025" s="42" t="s">
        <v>685</v>
      </c>
      <c r="B2025" s="42">
        <v>1799.95</v>
      </c>
      <c r="C2025" s="43">
        <v>0.13</v>
      </c>
      <c r="D2025" s="45">
        <v>45962</v>
      </c>
      <c r="E2025" s="45">
        <v>45991.999305555553</v>
      </c>
      <c r="F2025" s="42" t="s">
        <v>274</v>
      </c>
    </row>
    <row r="2026" spans="1:6" x14ac:dyDescent="0.35">
      <c r="A2026" s="42" t="s">
        <v>450</v>
      </c>
      <c r="B2026" s="42">
        <v>1269.95</v>
      </c>
      <c r="C2026" s="43">
        <v>0.13</v>
      </c>
      <c r="D2026" s="45">
        <v>45962</v>
      </c>
      <c r="E2026" s="45">
        <v>45991.999305555553</v>
      </c>
      <c r="F2026" s="42" t="s">
        <v>274</v>
      </c>
    </row>
    <row r="2027" spans="1:6" x14ac:dyDescent="0.35">
      <c r="A2027" s="42" t="s">
        <v>686</v>
      </c>
      <c r="B2027" s="42">
        <v>699.95</v>
      </c>
      <c r="C2027" s="43">
        <v>0.13</v>
      </c>
      <c r="D2027" s="45">
        <v>45962</v>
      </c>
      <c r="E2027" s="45">
        <v>45991.999305555553</v>
      </c>
      <c r="F2027" s="42" t="s">
        <v>274</v>
      </c>
    </row>
    <row r="2028" spans="1:6" x14ac:dyDescent="0.35">
      <c r="A2028" s="42" t="s">
        <v>453</v>
      </c>
      <c r="B2028" s="42">
        <v>1439.95</v>
      </c>
      <c r="C2028" s="43">
        <v>0.13</v>
      </c>
      <c r="D2028" s="45">
        <v>45962</v>
      </c>
      <c r="E2028" s="45">
        <v>45991.999305555553</v>
      </c>
      <c r="F2028" s="42" t="s">
        <v>274</v>
      </c>
    </row>
    <row r="2029" spans="1:6" x14ac:dyDescent="0.35">
      <c r="A2029" s="42" t="s">
        <v>466</v>
      </c>
      <c r="B2029" s="42">
        <v>1299.95</v>
      </c>
      <c r="C2029" s="43">
        <v>0.13</v>
      </c>
      <c r="D2029" s="45">
        <v>45962</v>
      </c>
      <c r="E2029" s="45">
        <v>45991.999305555553</v>
      </c>
      <c r="F2029" s="42" t="s">
        <v>274</v>
      </c>
    </row>
    <row r="2030" spans="1:6" x14ac:dyDescent="0.35">
      <c r="A2030" s="42" t="s">
        <v>467</v>
      </c>
      <c r="B2030" s="42">
        <v>1269.95</v>
      </c>
      <c r="C2030" s="43">
        <v>0.13</v>
      </c>
      <c r="D2030" s="45">
        <v>45962</v>
      </c>
      <c r="E2030" s="45">
        <v>45991.999305555553</v>
      </c>
      <c r="F2030" s="42" t="s">
        <v>274</v>
      </c>
    </row>
    <row r="2031" spans="1:6" x14ac:dyDescent="0.35">
      <c r="A2031" s="42" t="s">
        <v>688</v>
      </c>
      <c r="B2031" s="42">
        <v>1299.95</v>
      </c>
      <c r="C2031" s="43">
        <v>0.13</v>
      </c>
      <c r="D2031" s="45">
        <v>45962</v>
      </c>
      <c r="E2031" s="45">
        <v>45991.999305555553</v>
      </c>
      <c r="F2031" s="42" t="s">
        <v>274</v>
      </c>
    </row>
    <row r="2032" spans="1:6" x14ac:dyDescent="0.35">
      <c r="A2032" s="42" t="s">
        <v>689</v>
      </c>
      <c r="B2032" s="42">
        <v>899.95</v>
      </c>
      <c r="C2032" s="43">
        <v>0.13</v>
      </c>
      <c r="D2032" s="45">
        <v>45962</v>
      </c>
      <c r="E2032" s="45">
        <v>45991.999305555553</v>
      </c>
      <c r="F2032" s="42" t="s">
        <v>274</v>
      </c>
    </row>
    <row r="2033" spans="1:6" x14ac:dyDescent="0.35">
      <c r="A2033" s="42" t="s">
        <v>690</v>
      </c>
      <c r="B2033" s="42">
        <v>1299.95</v>
      </c>
      <c r="C2033" s="43">
        <v>0.13</v>
      </c>
      <c r="D2033" s="45">
        <v>45962</v>
      </c>
      <c r="E2033" s="45">
        <v>45991.999305555553</v>
      </c>
      <c r="F2033" s="42" t="s">
        <v>274</v>
      </c>
    </row>
    <row r="2034" spans="1:6" x14ac:dyDescent="0.35">
      <c r="A2034" s="42" t="s">
        <v>693</v>
      </c>
      <c r="B2034" s="42">
        <v>2479.9499999999998</v>
      </c>
      <c r="C2034" s="43">
        <v>0.13</v>
      </c>
      <c r="D2034" s="45">
        <v>45962</v>
      </c>
      <c r="E2034" s="45">
        <v>45991.999305555553</v>
      </c>
      <c r="F2034" s="42" t="s">
        <v>274</v>
      </c>
    </row>
    <row r="2035" spans="1:6" x14ac:dyDescent="0.35">
      <c r="A2035" s="42" t="s">
        <v>462</v>
      </c>
      <c r="B2035" s="42">
        <v>2579.9499999999998</v>
      </c>
      <c r="C2035" s="43">
        <v>0.13</v>
      </c>
      <c r="D2035" s="45">
        <v>45962</v>
      </c>
      <c r="E2035" s="45">
        <v>45991.999305555553</v>
      </c>
      <c r="F2035" s="42" t="s">
        <v>274</v>
      </c>
    </row>
    <row r="2036" spans="1:6" x14ac:dyDescent="0.35">
      <c r="A2036" s="42" t="s">
        <v>474</v>
      </c>
      <c r="B2036" s="42">
        <v>2579.9499999999998</v>
      </c>
      <c r="C2036" s="43">
        <v>0.13</v>
      </c>
      <c r="D2036" s="45">
        <v>45962</v>
      </c>
      <c r="E2036" s="45">
        <v>45991.999305555553</v>
      </c>
      <c r="F2036" s="42" t="s">
        <v>274</v>
      </c>
    </row>
    <row r="2037" spans="1:6" x14ac:dyDescent="0.35">
      <c r="A2037" s="42" t="s">
        <v>461</v>
      </c>
      <c r="B2037" s="42">
        <v>1399.95</v>
      </c>
      <c r="C2037" s="43">
        <v>0.13</v>
      </c>
      <c r="D2037" s="45">
        <v>45962</v>
      </c>
      <c r="E2037" s="45">
        <v>45991.999305555553</v>
      </c>
      <c r="F2037" s="42" t="s">
        <v>274</v>
      </c>
    </row>
    <row r="2038" spans="1:6" x14ac:dyDescent="0.35">
      <c r="A2038" s="42" t="s">
        <v>455</v>
      </c>
      <c r="B2038" s="42">
        <v>2039.95</v>
      </c>
      <c r="C2038" s="43">
        <v>0.13</v>
      </c>
      <c r="D2038" s="45">
        <v>45962</v>
      </c>
      <c r="E2038" s="45">
        <v>45991.999305555553</v>
      </c>
      <c r="F2038" s="42" t="s">
        <v>274</v>
      </c>
    </row>
    <row r="2039" spans="1:6" x14ac:dyDescent="0.35">
      <c r="A2039" s="42" t="s">
        <v>463</v>
      </c>
      <c r="B2039" s="42">
        <v>2429.9499999999998</v>
      </c>
      <c r="C2039" s="43">
        <v>0.13</v>
      </c>
      <c r="D2039" s="45">
        <v>45962</v>
      </c>
      <c r="E2039" s="45">
        <v>45991.999305555553</v>
      </c>
      <c r="F2039" s="42" t="s">
        <v>274</v>
      </c>
    </row>
    <row r="2040" spans="1:6" x14ac:dyDescent="0.35">
      <c r="A2040" s="42" t="s">
        <v>456</v>
      </c>
      <c r="B2040" s="42">
        <v>2479.9499999999998</v>
      </c>
      <c r="C2040" s="43">
        <v>0.13</v>
      </c>
      <c r="D2040" s="45">
        <v>45962</v>
      </c>
      <c r="E2040" s="45">
        <v>45991.999305555553</v>
      </c>
      <c r="F2040" s="42" t="s">
        <v>274</v>
      </c>
    </row>
    <row r="2041" spans="1:6" x14ac:dyDescent="0.35">
      <c r="A2041" s="42" t="s">
        <v>469</v>
      </c>
      <c r="B2041" s="42">
        <v>2479.9499999999998</v>
      </c>
      <c r="C2041" s="43">
        <v>0.13</v>
      </c>
      <c r="D2041" s="45">
        <v>45962</v>
      </c>
      <c r="E2041" s="45">
        <v>45991.999305555553</v>
      </c>
      <c r="F2041" s="42" t="s">
        <v>274</v>
      </c>
    </row>
    <row r="2042" spans="1:6" x14ac:dyDescent="0.35">
      <c r="A2042" s="42" t="s">
        <v>523</v>
      </c>
      <c r="B2042" s="42">
        <v>889.95</v>
      </c>
      <c r="C2042" s="43">
        <v>0.15</v>
      </c>
      <c r="D2042" s="45">
        <v>45962</v>
      </c>
      <c r="E2042" s="45">
        <v>45991.999305555553</v>
      </c>
      <c r="F2042" s="42" t="s">
        <v>274</v>
      </c>
    </row>
    <row r="2043" spans="1:6" x14ac:dyDescent="0.35">
      <c r="A2043" s="42" t="s">
        <v>470</v>
      </c>
      <c r="B2043" s="42">
        <v>889.95</v>
      </c>
      <c r="C2043" s="43">
        <v>0.15</v>
      </c>
      <c r="D2043" s="45">
        <v>45962</v>
      </c>
      <c r="E2043" s="45">
        <v>45991.999305555553</v>
      </c>
      <c r="F2043" s="42" t="s">
        <v>274</v>
      </c>
    </row>
    <row r="2044" spans="1:6" x14ac:dyDescent="0.35">
      <c r="A2044" s="42" t="s">
        <v>402</v>
      </c>
      <c r="B2044" s="42">
        <v>989.95</v>
      </c>
      <c r="C2044" s="43">
        <v>0.15</v>
      </c>
      <c r="D2044" s="45">
        <v>45962</v>
      </c>
      <c r="E2044" s="45">
        <v>45991.999305555553</v>
      </c>
      <c r="F2044" s="42" t="s">
        <v>274</v>
      </c>
    </row>
    <row r="2045" spans="1:6" x14ac:dyDescent="0.35">
      <c r="A2045" s="42" t="s">
        <v>678</v>
      </c>
      <c r="B2045" s="42">
        <v>989.95</v>
      </c>
      <c r="C2045" s="43">
        <v>0.15</v>
      </c>
      <c r="D2045" s="45">
        <v>45962</v>
      </c>
      <c r="E2045" s="45">
        <v>45991.999305555553</v>
      </c>
      <c r="F2045" s="42" t="s">
        <v>274</v>
      </c>
    </row>
    <row r="2046" spans="1:6" x14ac:dyDescent="0.35">
      <c r="A2046" s="42" t="s">
        <v>697</v>
      </c>
      <c r="B2046" s="42">
        <v>1019.95</v>
      </c>
      <c r="C2046" s="43">
        <v>0.15</v>
      </c>
      <c r="D2046" s="45">
        <v>45962</v>
      </c>
      <c r="E2046" s="45">
        <v>45991.999305555553</v>
      </c>
      <c r="F2046" s="42" t="s">
        <v>274</v>
      </c>
    </row>
    <row r="2047" spans="1:6" x14ac:dyDescent="0.35">
      <c r="A2047" s="42" t="s">
        <v>37</v>
      </c>
      <c r="B2047" s="42">
        <v>1519.95</v>
      </c>
      <c r="C2047" s="43">
        <v>0.15</v>
      </c>
      <c r="D2047" s="45">
        <v>45962</v>
      </c>
      <c r="E2047" s="45">
        <v>45991.999305555553</v>
      </c>
      <c r="F2047" s="42" t="s">
        <v>274</v>
      </c>
    </row>
    <row r="2048" spans="1:6" x14ac:dyDescent="0.35">
      <c r="A2048" s="42" t="s">
        <v>452</v>
      </c>
      <c r="B2048" s="42">
        <v>1519.95</v>
      </c>
      <c r="C2048" s="43">
        <v>0.15</v>
      </c>
      <c r="D2048" s="45">
        <v>45962</v>
      </c>
      <c r="E2048" s="45">
        <v>45991.999305555553</v>
      </c>
      <c r="F2048" s="42" t="s">
        <v>274</v>
      </c>
    </row>
    <row r="2049" spans="1:6" x14ac:dyDescent="0.35">
      <c r="A2049" s="42" t="s">
        <v>692</v>
      </c>
      <c r="B2049" s="42">
        <v>1519.95</v>
      </c>
      <c r="C2049" s="43">
        <v>0.15</v>
      </c>
      <c r="D2049" s="45">
        <v>45962</v>
      </c>
      <c r="E2049" s="45">
        <v>45991.999305555553</v>
      </c>
      <c r="F2049" s="42" t="s">
        <v>274</v>
      </c>
    </row>
    <row r="2050" spans="1:6" x14ac:dyDescent="0.35">
      <c r="A2050" s="42" t="s">
        <v>698</v>
      </c>
      <c r="B2050" s="42">
        <v>1519.95</v>
      </c>
      <c r="C2050" s="43">
        <v>0.15</v>
      </c>
      <c r="D2050" s="45">
        <v>45962</v>
      </c>
      <c r="E2050" s="45">
        <v>45991.999305555553</v>
      </c>
      <c r="F2050" s="42" t="s">
        <v>274</v>
      </c>
    </row>
    <row r="2051" spans="1:6" x14ac:dyDescent="0.35">
      <c r="A2051" s="42" t="s">
        <v>49</v>
      </c>
      <c r="B2051" s="42">
        <v>1719.95</v>
      </c>
      <c r="C2051" s="43">
        <v>0.15</v>
      </c>
      <c r="D2051" s="45">
        <v>45962</v>
      </c>
      <c r="E2051" s="45">
        <v>45991.999305555553</v>
      </c>
      <c r="F2051" s="42" t="s">
        <v>274</v>
      </c>
    </row>
    <row r="2052" spans="1:6" x14ac:dyDescent="0.35">
      <c r="A2052" s="42" t="s">
        <v>680</v>
      </c>
      <c r="B2052" s="42">
        <v>329.95</v>
      </c>
      <c r="C2052" s="43">
        <v>0.15</v>
      </c>
      <c r="D2052" s="45">
        <v>45962</v>
      </c>
      <c r="E2052" s="45">
        <v>45991.999305555553</v>
      </c>
      <c r="F2052" s="42" t="s">
        <v>274</v>
      </c>
    </row>
    <row r="2053" spans="1:6" x14ac:dyDescent="0.35">
      <c r="A2053" s="42" t="s">
        <v>14</v>
      </c>
      <c r="B2053" s="42">
        <v>429.95</v>
      </c>
      <c r="C2053" s="43">
        <v>0.15</v>
      </c>
      <c r="D2053" s="45">
        <v>45962</v>
      </c>
      <c r="E2053" s="45">
        <v>45991.999305555553</v>
      </c>
      <c r="F2053" s="42" t="s">
        <v>274</v>
      </c>
    </row>
    <row r="2054" spans="1:6" x14ac:dyDescent="0.35">
      <c r="A2054" s="42" t="s">
        <v>12</v>
      </c>
      <c r="B2054" s="42">
        <v>429.95</v>
      </c>
      <c r="C2054" s="43">
        <v>0.15</v>
      </c>
      <c r="D2054" s="45">
        <v>45962</v>
      </c>
      <c r="E2054" s="45">
        <v>45991.999305555553</v>
      </c>
      <c r="F2054" s="42" t="s">
        <v>274</v>
      </c>
    </row>
    <row r="2055" spans="1:6" x14ac:dyDescent="0.35">
      <c r="A2055" s="42" t="s">
        <v>279</v>
      </c>
      <c r="B2055" s="42">
        <v>639.95000000000005</v>
      </c>
      <c r="C2055" s="43">
        <v>0.15</v>
      </c>
      <c r="D2055" s="45">
        <v>45962</v>
      </c>
      <c r="E2055" s="45">
        <v>45991.999305555553</v>
      </c>
      <c r="F2055" s="42" t="s">
        <v>274</v>
      </c>
    </row>
    <row r="2056" spans="1:6" x14ac:dyDescent="0.35">
      <c r="A2056" s="42" t="s">
        <v>25</v>
      </c>
      <c r="B2056" s="42">
        <v>639.95000000000005</v>
      </c>
      <c r="C2056" s="43">
        <v>0.15</v>
      </c>
      <c r="D2056" s="45">
        <v>45962</v>
      </c>
      <c r="E2056" s="45">
        <v>45991.999305555553</v>
      </c>
      <c r="F2056" s="42" t="s">
        <v>274</v>
      </c>
    </row>
    <row r="2057" spans="1:6" x14ac:dyDescent="0.35">
      <c r="A2057" s="42" t="s">
        <v>27</v>
      </c>
      <c r="B2057" s="42">
        <v>739.95</v>
      </c>
      <c r="C2057" s="43">
        <v>0.15</v>
      </c>
      <c r="D2057" s="45">
        <v>45962</v>
      </c>
      <c r="E2057" s="45">
        <v>45991.999305555553</v>
      </c>
      <c r="F2057" s="42" t="s">
        <v>274</v>
      </c>
    </row>
    <row r="2058" spans="1:6" x14ac:dyDescent="0.35">
      <c r="A2058" s="42" t="s">
        <v>73</v>
      </c>
      <c r="B2058" s="42">
        <v>739.95</v>
      </c>
      <c r="C2058" s="43">
        <v>0.15</v>
      </c>
      <c r="D2058" s="45">
        <v>45962</v>
      </c>
      <c r="E2058" s="45">
        <v>45991.999305555553</v>
      </c>
      <c r="F2058" s="42" t="s">
        <v>274</v>
      </c>
    </row>
    <row r="2059" spans="1:6" x14ac:dyDescent="0.35">
      <c r="A2059" s="42" t="s">
        <v>481</v>
      </c>
      <c r="B2059" s="42">
        <v>839.95</v>
      </c>
      <c r="C2059" s="43">
        <v>0.15</v>
      </c>
      <c r="D2059" s="45">
        <v>45962</v>
      </c>
      <c r="E2059" s="45">
        <v>45991.999305555553</v>
      </c>
      <c r="F2059" s="42" t="s">
        <v>274</v>
      </c>
    </row>
    <row r="2060" spans="1:6" x14ac:dyDescent="0.35">
      <c r="A2060" s="42" t="s">
        <v>31</v>
      </c>
      <c r="B2060" s="42">
        <v>839.95</v>
      </c>
      <c r="C2060" s="43">
        <v>0.15</v>
      </c>
      <c r="D2060" s="45">
        <v>45962</v>
      </c>
      <c r="E2060" s="45">
        <v>45991.999305555553</v>
      </c>
      <c r="F2060" s="42" t="s">
        <v>274</v>
      </c>
    </row>
    <row r="2061" spans="1:6" x14ac:dyDescent="0.35">
      <c r="A2061" s="42" t="s">
        <v>283</v>
      </c>
      <c r="B2061" s="42">
        <v>839.95</v>
      </c>
      <c r="C2061" s="43">
        <v>0.15</v>
      </c>
      <c r="D2061" s="45">
        <v>45962</v>
      </c>
      <c r="E2061" s="45">
        <v>45991.999305555553</v>
      </c>
      <c r="F2061" s="42" t="s">
        <v>274</v>
      </c>
    </row>
    <row r="2062" spans="1:6" x14ac:dyDescent="0.35">
      <c r="A2062" s="42" t="s">
        <v>40</v>
      </c>
      <c r="B2062" s="42">
        <v>839.95</v>
      </c>
      <c r="C2062" s="43">
        <v>0.15</v>
      </c>
      <c r="D2062" s="45">
        <v>45962</v>
      </c>
      <c r="E2062" s="45">
        <v>45991.999305555553</v>
      </c>
      <c r="F2062" s="42" t="s">
        <v>274</v>
      </c>
    </row>
    <row r="2063" spans="1:6" x14ac:dyDescent="0.35">
      <c r="A2063" s="42" t="s">
        <v>683</v>
      </c>
      <c r="B2063" s="42">
        <v>839.95</v>
      </c>
      <c r="C2063" s="43">
        <v>0.15</v>
      </c>
      <c r="D2063" s="45">
        <v>45962</v>
      </c>
      <c r="E2063" s="45">
        <v>45991.999305555553</v>
      </c>
      <c r="F2063" s="42" t="s">
        <v>274</v>
      </c>
    </row>
    <row r="2064" spans="1:6" x14ac:dyDescent="0.35">
      <c r="A2064" s="42" t="s">
        <v>694</v>
      </c>
      <c r="B2064" s="42">
        <v>839.95</v>
      </c>
      <c r="C2064" s="43">
        <v>0.15</v>
      </c>
      <c r="D2064" s="45">
        <v>45962</v>
      </c>
      <c r="E2064" s="45">
        <v>45991.999305555553</v>
      </c>
      <c r="F2064" s="42" t="s">
        <v>274</v>
      </c>
    </row>
    <row r="2065" spans="1:6" x14ac:dyDescent="0.35">
      <c r="A2065" s="42" t="s">
        <v>451</v>
      </c>
      <c r="B2065" s="42">
        <v>1449.95</v>
      </c>
      <c r="C2065" s="43">
        <v>0.15</v>
      </c>
      <c r="D2065" s="45">
        <v>45962</v>
      </c>
      <c r="E2065" s="45">
        <v>45991.999305555553</v>
      </c>
      <c r="F2065" s="42" t="s">
        <v>274</v>
      </c>
    </row>
    <row r="2066" spans="1:6" x14ac:dyDescent="0.35">
      <c r="A2066" s="42" t="s">
        <v>684</v>
      </c>
      <c r="B2066" s="42">
        <v>1449.95</v>
      </c>
      <c r="C2066" s="43">
        <v>0.15</v>
      </c>
      <c r="D2066" s="45">
        <v>45962</v>
      </c>
      <c r="E2066" s="45">
        <v>45991.999305555553</v>
      </c>
      <c r="F2066" s="42" t="s">
        <v>274</v>
      </c>
    </row>
    <row r="2067" spans="1:6" x14ac:dyDescent="0.35">
      <c r="A2067" s="42" t="s">
        <v>35</v>
      </c>
      <c r="B2067" s="42">
        <v>1559.95</v>
      </c>
      <c r="C2067" s="43">
        <v>0.15</v>
      </c>
      <c r="D2067" s="45">
        <v>45962</v>
      </c>
      <c r="E2067" s="45">
        <v>45991.999305555553</v>
      </c>
      <c r="F2067" s="42" t="s">
        <v>274</v>
      </c>
    </row>
    <row r="2068" spans="1:6" x14ac:dyDescent="0.35">
      <c r="A2068" s="42" t="s">
        <v>594</v>
      </c>
      <c r="B2068" s="42">
        <v>1759.95</v>
      </c>
      <c r="C2068" s="43">
        <v>0.15</v>
      </c>
      <c r="D2068" s="45">
        <v>45962</v>
      </c>
      <c r="E2068" s="45">
        <v>45991.999305555553</v>
      </c>
      <c r="F2068" s="42" t="s">
        <v>274</v>
      </c>
    </row>
    <row r="2069" spans="1:6" x14ac:dyDescent="0.35">
      <c r="A2069" s="42" t="s">
        <v>473</v>
      </c>
      <c r="B2069" s="42">
        <v>1759.95</v>
      </c>
      <c r="C2069" s="43">
        <v>0.15</v>
      </c>
      <c r="D2069" s="45">
        <v>45962</v>
      </c>
      <c r="E2069" s="45">
        <v>45991.999305555553</v>
      </c>
      <c r="F2069" s="42" t="s">
        <v>274</v>
      </c>
    </row>
    <row r="2070" spans="1:6" x14ac:dyDescent="0.35">
      <c r="A2070" s="42" t="s">
        <v>454</v>
      </c>
      <c r="B2070" s="42">
        <v>1759.95</v>
      </c>
      <c r="C2070" s="43">
        <v>0.15</v>
      </c>
      <c r="D2070" s="45">
        <v>45962</v>
      </c>
      <c r="E2070" s="45">
        <v>45991.999305555553</v>
      </c>
      <c r="F2070" s="42" t="s">
        <v>274</v>
      </c>
    </row>
    <row r="2071" spans="1:6" x14ac:dyDescent="0.35">
      <c r="A2071" s="42" t="s">
        <v>695</v>
      </c>
      <c r="B2071" s="42">
        <v>1759.95</v>
      </c>
      <c r="C2071" s="43">
        <v>0.15</v>
      </c>
      <c r="D2071" s="45">
        <v>45962</v>
      </c>
      <c r="E2071" s="45">
        <v>45991.999305555553</v>
      </c>
      <c r="F2071" s="42" t="s">
        <v>274</v>
      </c>
    </row>
    <row r="2072" spans="1:6" x14ac:dyDescent="0.35">
      <c r="A2072" s="42" t="s">
        <v>468</v>
      </c>
      <c r="B2072" s="42">
        <v>1759.95</v>
      </c>
      <c r="C2072" s="43">
        <v>0.15</v>
      </c>
      <c r="D2072" s="45">
        <v>45962</v>
      </c>
      <c r="E2072" s="45">
        <v>45991.999305555553</v>
      </c>
      <c r="F2072" s="42" t="s">
        <v>274</v>
      </c>
    </row>
    <row r="2073" spans="1:6" x14ac:dyDescent="0.35">
      <c r="A2073" s="42" t="s">
        <v>15</v>
      </c>
      <c r="B2073" s="42">
        <v>449.95</v>
      </c>
      <c r="C2073" s="43">
        <v>0.15</v>
      </c>
      <c r="D2073" s="45">
        <v>45962</v>
      </c>
      <c r="E2073" s="45">
        <v>45991.999305555553</v>
      </c>
      <c r="F2073" s="42" t="s">
        <v>274</v>
      </c>
    </row>
    <row r="2074" spans="1:6" x14ac:dyDescent="0.35">
      <c r="A2074" s="42" t="s">
        <v>16</v>
      </c>
      <c r="B2074" s="42">
        <v>449.95</v>
      </c>
      <c r="C2074" s="43">
        <v>0.15</v>
      </c>
      <c r="D2074" s="45">
        <v>45962</v>
      </c>
      <c r="E2074" s="45">
        <v>45991.999305555553</v>
      </c>
      <c r="F2074" s="42" t="s">
        <v>274</v>
      </c>
    </row>
    <row r="2075" spans="1:6" x14ac:dyDescent="0.35">
      <c r="A2075" s="42" t="s">
        <v>548</v>
      </c>
      <c r="B2075" s="42">
        <v>449.95</v>
      </c>
      <c r="C2075" s="43">
        <v>0.15</v>
      </c>
      <c r="D2075" s="45">
        <v>45962</v>
      </c>
      <c r="E2075" s="45">
        <v>45991.999305555553</v>
      </c>
      <c r="F2075" s="42" t="s">
        <v>274</v>
      </c>
    </row>
    <row r="2076" spans="1:6" x14ac:dyDescent="0.35">
      <c r="A2076" s="42" t="s">
        <v>477</v>
      </c>
      <c r="B2076" s="42">
        <v>769.95</v>
      </c>
      <c r="C2076" s="43">
        <v>0.15</v>
      </c>
      <c r="D2076" s="45">
        <v>45962</v>
      </c>
      <c r="E2076" s="45">
        <v>45991.999305555553</v>
      </c>
      <c r="F2076" s="42" t="s">
        <v>274</v>
      </c>
    </row>
    <row r="2077" spans="1:6" x14ac:dyDescent="0.35">
      <c r="A2077" s="42" t="s">
        <v>55</v>
      </c>
      <c r="B2077" s="42">
        <v>769.95</v>
      </c>
      <c r="C2077" s="43">
        <v>0.15</v>
      </c>
      <c r="D2077" s="45">
        <v>45962</v>
      </c>
      <c r="E2077" s="45">
        <v>45991.999305555553</v>
      </c>
      <c r="F2077" s="42" t="s">
        <v>274</v>
      </c>
    </row>
    <row r="2078" spans="1:6" x14ac:dyDescent="0.35">
      <c r="A2078" s="42" t="s">
        <v>679</v>
      </c>
      <c r="B2078" s="42">
        <v>1089.95</v>
      </c>
      <c r="C2078" s="43">
        <v>0.15</v>
      </c>
      <c r="D2078" s="45">
        <v>45962</v>
      </c>
      <c r="E2078" s="45">
        <v>45991.999305555553</v>
      </c>
      <c r="F2078" s="42" t="s">
        <v>274</v>
      </c>
    </row>
    <row r="2079" spans="1:6" x14ac:dyDescent="0.35">
      <c r="A2079" s="42" t="s">
        <v>61</v>
      </c>
      <c r="B2079" s="42">
        <v>1289.95</v>
      </c>
      <c r="C2079" s="43">
        <v>0.15</v>
      </c>
      <c r="D2079" s="45">
        <v>45962</v>
      </c>
      <c r="E2079" s="45">
        <v>45991.999305555553</v>
      </c>
      <c r="F2079" s="42" t="s">
        <v>274</v>
      </c>
    </row>
    <row r="2080" spans="1:6" x14ac:dyDescent="0.35">
      <c r="A2080" s="42" t="s">
        <v>270</v>
      </c>
      <c r="B2080" s="42">
        <v>1289.95</v>
      </c>
      <c r="C2080" s="43">
        <v>0.15</v>
      </c>
      <c r="D2080" s="45">
        <v>45962</v>
      </c>
      <c r="E2080" s="45">
        <v>45991.999305555553</v>
      </c>
      <c r="F2080" s="42" t="s">
        <v>274</v>
      </c>
    </row>
    <row r="2081" spans="1:6" x14ac:dyDescent="0.35">
      <c r="A2081" s="42" t="s">
        <v>99</v>
      </c>
      <c r="B2081" s="42">
        <v>1389.95</v>
      </c>
      <c r="C2081" s="43">
        <v>0.15</v>
      </c>
      <c r="D2081" s="45">
        <v>45962</v>
      </c>
      <c r="E2081" s="45">
        <v>45991.999305555553</v>
      </c>
      <c r="F2081" s="42" t="s">
        <v>274</v>
      </c>
    </row>
    <row r="2082" spans="1:6" x14ac:dyDescent="0.35">
      <c r="A2082" s="42" t="s">
        <v>691</v>
      </c>
      <c r="B2082" s="42">
        <v>1389.95</v>
      </c>
      <c r="C2082" s="43">
        <v>0.15</v>
      </c>
      <c r="D2082" s="45">
        <v>45962</v>
      </c>
      <c r="E2082" s="45">
        <v>45991.999305555553</v>
      </c>
      <c r="F2082" s="42" t="s">
        <v>274</v>
      </c>
    </row>
    <row r="2083" spans="1:6" x14ac:dyDescent="0.35">
      <c r="A2083" s="42" t="s">
        <v>696</v>
      </c>
      <c r="B2083" s="42">
        <v>2019.95</v>
      </c>
      <c r="C2083" s="43">
        <v>0.15</v>
      </c>
      <c r="D2083" s="45">
        <v>45962</v>
      </c>
      <c r="E2083" s="45">
        <v>45991.999305555553</v>
      </c>
      <c r="F2083" s="42" t="s">
        <v>274</v>
      </c>
    </row>
    <row r="2084" spans="1:6" x14ac:dyDescent="0.35">
      <c r="A2084" s="42" t="s">
        <v>534</v>
      </c>
      <c r="B2084" s="42">
        <v>349.95</v>
      </c>
      <c r="C2084" s="43">
        <v>0.15</v>
      </c>
      <c r="D2084" s="45">
        <v>45962</v>
      </c>
      <c r="E2084" s="45">
        <v>45991.999305555553</v>
      </c>
      <c r="F2084" s="42" t="s">
        <v>274</v>
      </c>
    </row>
    <row r="2085" spans="1:6" x14ac:dyDescent="0.35">
      <c r="A2085" s="42" t="s">
        <v>677</v>
      </c>
      <c r="B2085" s="42">
        <v>579.95000000000005</v>
      </c>
      <c r="C2085" s="43">
        <v>0.15</v>
      </c>
      <c r="D2085" s="45">
        <v>45962</v>
      </c>
      <c r="E2085" s="45">
        <v>45991.999305555553</v>
      </c>
      <c r="F2085" s="42" t="s">
        <v>274</v>
      </c>
    </row>
    <row r="2086" spans="1:6" x14ac:dyDescent="0.35">
      <c r="A2086" s="42" t="s">
        <v>71</v>
      </c>
      <c r="B2086" s="42">
        <v>579.95000000000005</v>
      </c>
      <c r="C2086" s="43">
        <v>0.15</v>
      </c>
      <c r="D2086" s="45">
        <v>45962</v>
      </c>
      <c r="E2086" s="45">
        <v>45991.999305555553</v>
      </c>
      <c r="F2086" s="42" t="s">
        <v>274</v>
      </c>
    </row>
    <row r="2087" spans="1:6" x14ac:dyDescent="0.35">
      <c r="A2087" s="42" t="s">
        <v>19</v>
      </c>
      <c r="B2087" s="42">
        <v>579.95000000000005</v>
      </c>
      <c r="C2087" s="43">
        <v>0.15</v>
      </c>
      <c r="D2087" s="45">
        <v>45962</v>
      </c>
      <c r="E2087" s="45">
        <v>45991.999305555553</v>
      </c>
      <c r="F2087" s="42" t="s">
        <v>274</v>
      </c>
    </row>
    <row r="2088" spans="1:6" x14ac:dyDescent="0.35">
      <c r="A2088" s="42" t="s">
        <v>21</v>
      </c>
      <c r="B2088" s="42">
        <v>579.95000000000005</v>
      </c>
      <c r="C2088" s="43">
        <v>0.15</v>
      </c>
      <c r="D2088" s="45">
        <v>45962</v>
      </c>
      <c r="E2088" s="45">
        <v>45991.999305555553</v>
      </c>
      <c r="F2088" s="42" t="s">
        <v>274</v>
      </c>
    </row>
    <row r="2089" spans="1:6" x14ac:dyDescent="0.35">
      <c r="A2089" s="42" t="s">
        <v>448</v>
      </c>
      <c r="B2089" s="42">
        <v>679.95</v>
      </c>
      <c r="C2089" s="43">
        <v>0.15</v>
      </c>
      <c r="D2089" s="45">
        <v>45962</v>
      </c>
      <c r="E2089" s="45">
        <v>45991.999305555553</v>
      </c>
      <c r="F2089" s="42" t="s">
        <v>274</v>
      </c>
    </row>
    <row r="2090" spans="1:6" x14ac:dyDescent="0.35">
      <c r="A2090" s="42" t="s">
        <v>457</v>
      </c>
      <c r="B2090" s="42">
        <v>1219.95</v>
      </c>
      <c r="C2090" s="43">
        <v>0.15</v>
      </c>
      <c r="D2090" s="45">
        <v>45962</v>
      </c>
      <c r="E2090" s="45">
        <v>45991.999305555553</v>
      </c>
      <c r="F2090" s="42" t="s">
        <v>274</v>
      </c>
    </row>
    <row r="2091" spans="1:6" x14ac:dyDescent="0.35">
      <c r="A2091" s="42" t="s">
        <v>403</v>
      </c>
      <c r="B2091" s="42">
        <v>1219.95</v>
      </c>
      <c r="C2091" s="43">
        <v>0.15</v>
      </c>
      <c r="D2091" s="45">
        <v>45962</v>
      </c>
      <c r="E2091" s="45">
        <v>45991.999305555553</v>
      </c>
      <c r="F2091" s="42" t="s">
        <v>274</v>
      </c>
    </row>
    <row r="2092" spans="1:6" x14ac:dyDescent="0.35">
      <c r="A2092" s="42" t="s">
        <v>472</v>
      </c>
      <c r="B2092" s="42">
        <v>1219.95</v>
      </c>
      <c r="C2092" s="43">
        <v>0.15</v>
      </c>
      <c r="D2092" s="45">
        <v>45962</v>
      </c>
      <c r="E2092" s="45">
        <v>45991.999305555553</v>
      </c>
      <c r="F2092" s="42" t="s">
        <v>274</v>
      </c>
    </row>
    <row r="2093" spans="1:6" x14ac:dyDescent="0.35">
      <c r="A2093" s="42" t="s">
        <v>104</v>
      </c>
      <c r="B2093" s="42">
        <v>1429.95</v>
      </c>
      <c r="C2093" s="43">
        <v>0.15</v>
      </c>
      <c r="D2093" s="45">
        <v>45962</v>
      </c>
      <c r="E2093" s="45">
        <v>45991.999305555553</v>
      </c>
      <c r="F2093" s="42" t="s">
        <v>274</v>
      </c>
    </row>
    <row r="2094" spans="1:6" x14ac:dyDescent="0.35">
      <c r="A2094" s="42" t="s">
        <v>63</v>
      </c>
      <c r="B2094" s="42">
        <v>1529.95</v>
      </c>
      <c r="C2094" s="43">
        <v>0.15</v>
      </c>
      <c r="D2094" s="45">
        <v>45962</v>
      </c>
      <c r="E2094" s="45">
        <v>45991.999305555553</v>
      </c>
      <c r="F2094" s="42" t="s">
        <v>274</v>
      </c>
    </row>
    <row r="2095" spans="1:6" x14ac:dyDescent="0.35">
      <c r="A2095" s="42" t="s">
        <v>687</v>
      </c>
      <c r="B2095" s="42">
        <v>1529.95</v>
      </c>
      <c r="C2095" s="43">
        <v>0.15</v>
      </c>
      <c r="D2095" s="45">
        <v>45962</v>
      </c>
      <c r="E2095" s="45">
        <v>45991.999305555553</v>
      </c>
      <c r="F2095" s="42" t="s">
        <v>274</v>
      </c>
    </row>
    <row r="2096" spans="1:6" x14ac:dyDescent="0.35">
      <c r="A2096" s="42" t="s">
        <v>676</v>
      </c>
      <c r="B2096" s="42">
        <v>719.95</v>
      </c>
      <c r="C2096" s="43">
        <v>0.15</v>
      </c>
      <c r="D2096" s="45">
        <v>45962</v>
      </c>
      <c r="E2096" s="45">
        <v>45991.999305555553</v>
      </c>
      <c r="F2096" s="42" t="s">
        <v>274</v>
      </c>
    </row>
    <row r="2097" spans="1:6" x14ac:dyDescent="0.35">
      <c r="A2097" s="42" t="s">
        <v>482</v>
      </c>
      <c r="B2097" s="42">
        <v>919.95</v>
      </c>
      <c r="C2097" s="43">
        <v>0.15</v>
      </c>
      <c r="D2097" s="45">
        <v>45962</v>
      </c>
      <c r="E2097" s="45">
        <v>45991.999305555553</v>
      </c>
      <c r="F2097" s="42" t="s">
        <v>274</v>
      </c>
    </row>
    <row r="2098" spans="1:6" x14ac:dyDescent="0.35">
      <c r="A2098" s="42" t="s">
        <v>108</v>
      </c>
      <c r="B2098" s="42">
        <v>1119.95</v>
      </c>
      <c r="C2098" s="43">
        <v>0.15</v>
      </c>
      <c r="D2098" s="45">
        <v>45962</v>
      </c>
      <c r="E2098" s="45">
        <v>45991.999305555553</v>
      </c>
      <c r="F2098" s="42" t="s">
        <v>274</v>
      </c>
    </row>
    <row r="2099" spans="1:6" x14ac:dyDescent="0.35">
      <c r="A2099" s="42" t="s">
        <v>408</v>
      </c>
      <c r="B2099" s="42">
        <v>1119.95</v>
      </c>
      <c r="C2099" s="43">
        <v>0.15</v>
      </c>
      <c r="D2099" s="45">
        <v>45962</v>
      </c>
      <c r="E2099" s="45">
        <v>45991.999305555553</v>
      </c>
      <c r="F2099" s="42" t="s">
        <v>274</v>
      </c>
    </row>
    <row r="2100" spans="1:6" x14ac:dyDescent="0.35">
      <c r="A2100" s="42" t="s">
        <v>90</v>
      </c>
      <c r="B2100" s="42">
        <v>719.95</v>
      </c>
      <c r="C2100" s="43">
        <v>0.15</v>
      </c>
      <c r="D2100" s="45">
        <v>45962</v>
      </c>
      <c r="E2100" s="45">
        <v>45991.999305555553</v>
      </c>
      <c r="F2100" s="42" t="s">
        <v>274</v>
      </c>
    </row>
    <row r="2101" spans="1:6" x14ac:dyDescent="0.35">
      <c r="A2101" s="42" t="s">
        <v>42</v>
      </c>
      <c r="B2101" s="42">
        <v>919.95</v>
      </c>
      <c r="C2101" s="43">
        <v>0.15</v>
      </c>
      <c r="D2101" s="45">
        <v>45962</v>
      </c>
      <c r="E2101" s="45">
        <v>45991.999305555553</v>
      </c>
      <c r="F2101" s="42" t="s">
        <v>274</v>
      </c>
    </row>
    <row r="2102" spans="1:6" x14ac:dyDescent="0.35">
      <c r="A2102" s="42" t="s">
        <v>460</v>
      </c>
      <c r="B2102" s="42">
        <v>1429.95</v>
      </c>
      <c r="C2102" s="43">
        <v>0.15</v>
      </c>
      <c r="D2102" s="45">
        <v>45962</v>
      </c>
      <c r="E2102" s="45">
        <v>45991.999305555553</v>
      </c>
      <c r="F2102" s="42" t="s">
        <v>274</v>
      </c>
    </row>
    <row r="2103" spans="1:6" x14ac:dyDescent="0.35">
      <c r="A2103" s="42" t="s">
        <v>464</v>
      </c>
      <c r="B2103" s="42">
        <v>1429.95</v>
      </c>
      <c r="C2103" s="43">
        <v>0.15</v>
      </c>
      <c r="D2103" s="45">
        <v>45962</v>
      </c>
      <c r="E2103" s="45">
        <v>45991.999305555553</v>
      </c>
      <c r="F2103" s="42" t="s">
        <v>274</v>
      </c>
    </row>
    <row r="2104" spans="1:6" x14ac:dyDescent="0.35">
      <c r="A2104" s="42" t="s">
        <v>9</v>
      </c>
      <c r="B2104" s="42">
        <v>389.95</v>
      </c>
      <c r="C2104" s="43">
        <v>0.15</v>
      </c>
      <c r="D2104" s="45">
        <v>45962</v>
      </c>
      <c r="E2104" s="45">
        <v>45991.999305555553</v>
      </c>
      <c r="F2104" s="42" t="s">
        <v>274</v>
      </c>
    </row>
    <row r="2105" spans="1:6" x14ac:dyDescent="0.35">
      <c r="A2105" s="42" t="s">
        <v>471</v>
      </c>
      <c r="B2105" s="42">
        <v>1299.95</v>
      </c>
      <c r="C2105" s="43">
        <v>0.15</v>
      </c>
      <c r="D2105" s="45">
        <v>45962</v>
      </c>
      <c r="E2105" s="45">
        <v>45991.999305555553</v>
      </c>
      <c r="F2105" s="42" t="s">
        <v>274</v>
      </c>
    </row>
    <row r="2106" spans="1:6" x14ac:dyDescent="0.35">
      <c r="A2106" s="42" t="s">
        <v>8</v>
      </c>
      <c r="B2106" s="42">
        <v>389.95</v>
      </c>
      <c r="C2106" s="43">
        <v>0.15</v>
      </c>
      <c r="D2106" s="45">
        <v>45962</v>
      </c>
      <c r="E2106" s="45">
        <v>45991.999305555553</v>
      </c>
      <c r="F2106" s="42" t="s">
        <v>274</v>
      </c>
    </row>
    <row r="2107" spans="1:6" x14ac:dyDescent="0.35">
      <c r="A2107" s="42" t="s">
        <v>681</v>
      </c>
      <c r="B2107" s="42">
        <v>619.95000000000005</v>
      </c>
      <c r="C2107" s="43">
        <v>0.15</v>
      </c>
      <c r="D2107" s="45">
        <v>45962</v>
      </c>
      <c r="E2107" s="45">
        <v>45991.999305555553</v>
      </c>
      <c r="F2107" s="42" t="s">
        <v>274</v>
      </c>
    </row>
    <row r="2108" spans="1:6" x14ac:dyDescent="0.35">
      <c r="A2108" s="42" t="s">
        <v>67</v>
      </c>
      <c r="B2108" s="42">
        <v>389.95</v>
      </c>
      <c r="C2108" s="43">
        <v>0.15</v>
      </c>
      <c r="D2108" s="45">
        <v>45962</v>
      </c>
      <c r="E2108" s="45">
        <v>45991.999305555553</v>
      </c>
      <c r="F2108" s="42" t="s">
        <v>274</v>
      </c>
    </row>
    <row r="2109" spans="1:6" x14ac:dyDescent="0.35">
      <c r="A2109" s="42" t="s">
        <v>564</v>
      </c>
      <c r="B2109" s="42">
        <v>469.95</v>
      </c>
      <c r="C2109" s="43">
        <v>0.15</v>
      </c>
      <c r="D2109" s="45">
        <v>45962</v>
      </c>
      <c r="E2109" s="45">
        <v>45991.999305555553</v>
      </c>
      <c r="F2109" s="42" t="s">
        <v>274</v>
      </c>
    </row>
    <row r="2110" spans="1:6" x14ac:dyDescent="0.35">
      <c r="A2110" s="42" t="s">
        <v>458</v>
      </c>
      <c r="B2110" s="42">
        <v>919.95</v>
      </c>
      <c r="C2110" s="43">
        <v>0.15</v>
      </c>
      <c r="D2110" s="45">
        <v>45962</v>
      </c>
      <c r="E2110" s="45">
        <v>45991.999305555553</v>
      </c>
      <c r="F2110" s="42" t="s">
        <v>274</v>
      </c>
    </row>
    <row r="2111" spans="1:6" x14ac:dyDescent="0.35">
      <c r="A2111" s="42" t="s">
        <v>23</v>
      </c>
      <c r="B2111" s="42">
        <v>469.95</v>
      </c>
      <c r="C2111" s="43">
        <v>0.15</v>
      </c>
      <c r="D2111" s="45">
        <v>45962</v>
      </c>
      <c r="E2111" s="45">
        <v>45991.999305555553</v>
      </c>
      <c r="F2111" s="42" t="s">
        <v>274</v>
      </c>
    </row>
    <row r="2112" spans="1:6" x14ac:dyDescent="0.35">
      <c r="A2112" s="42" t="s">
        <v>682</v>
      </c>
      <c r="B2112" s="42">
        <v>1059.95</v>
      </c>
      <c r="C2112" s="43">
        <v>0.15</v>
      </c>
      <c r="D2112" s="45">
        <v>45962</v>
      </c>
      <c r="E2112" s="45">
        <v>45991.999305555553</v>
      </c>
      <c r="F2112" s="42" t="s">
        <v>274</v>
      </c>
    </row>
    <row r="2113" spans="1:6" x14ac:dyDescent="0.35">
      <c r="A2113" s="42" t="s">
        <v>33</v>
      </c>
      <c r="B2113" s="42">
        <v>969.95</v>
      </c>
      <c r="C2113" s="43">
        <v>0.15</v>
      </c>
      <c r="D2113" s="45">
        <v>45962</v>
      </c>
      <c r="E2113" s="45">
        <v>45991.999305555553</v>
      </c>
      <c r="F2113" s="42" t="s">
        <v>274</v>
      </c>
    </row>
    <row r="2114" spans="1:6" x14ac:dyDescent="0.35">
      <c r="A2114" s="42" t="s">
        <v>269</v>
      </c>
      <c r="B2114" s="42">
        <v>1589.95</v>
      </c>
      <c r="C2114" s="43">
        <v>0.15</v>
      </c>
      <c r="D2114" s="45">
        <v>45962</v>
      </c>
      <c r="E2114" s="45">
        <v>45991.999305555553</v>
      </c>
      <c r="F2114" s="42" t="s">
        <v>274</v>
      </c>
    </row>
    <row r="2115" spans="1:6" x14ac:dyDescent="0.35">
      <c r="A2115" s="42" t="s">
        <v>449</v>
      </c>
      <c r="B2115" s="42">
        <v>1119.95</v>
      </c>
      <c r="C2115" s="43">
        <v>0.15</v>
      </c>
      <c r="D2115" s="45">
        <v>45962</v>
      </c>
      <c r="E2115" s="45">
        <v>45991.999305555553</v>
      </c>
      <c r="F2115" s="42" t="s">
        <v>274</v>
      </c>
    </row>
    <row r="2116" spans="1:6" x14ac:dyDescent="0.35">
      <c r="A2116" s="42" t="s">
        <v>167</v>
      </c>
      <c r="B2116" s="42">
        <v>1119.95</v>
      </c>
      <c r="C2116" s="43">
        <v>0.15</v>
      </c>
      <c r="D2116" s="45">
        <v>45962</v>
      </c>
      <c r="E2116" s="45">
        <v>45991.999305555553</v>
      </c>
      <c r="F2116" s="42" t="s">
        <v>274</v>
      </c>
    </row>
    <row r="2117" spans="1:6" x14ac:dyDescent="0.35">
      <c r="A2117" s="42" t="s">
        <v>164</v>
      </c>
      <c r="B2117" s="42">
        <v>969.95</v>
      </c>
      <c r="C2117" s="43">
        <v>0.15</v>
      </c>
      <c r="D2117" s="45">
        <v>45962</v>
      </c>
      <c r="E2117" s="45">
        <v>45991.999305555553</v>
      </c>
      <c r="F2117" s="42" t="s">
        <v>274</v>
      </c>
    </row>
    <row r="2118" spans="1:6" x14ac:dyDescent="0.35">
      <c r="A2118" s="42" t="s">
        <v>465</v>
      </c>
      <c r="B2118" s="42">
        <v>1469.95</v>
      </c>
      <c r="C2118" s="43">
        <v>0.15</v>
      </c>
      <c r="D2118" s="45">
        <v>45962</v>
      </c>
      <c r="E2118" s="45">
        <v>45991.999305555553</v>
      </c>
      <c r="F2118" s="42" t="s">
        <v>274</v>
      </c>
    </row>
    <row r="2119" spans="1:6" x14ac:dyDescent="0.35">
      <c r="A2119" s="42" t="s">
        <v>401</v>
      </c>
      <c r="B2119" s="42">
        <v>1469.95</v>
      </c>
      <c r="C2119" s="43">
        <v>0.15</v>
      </c>
      <c r="D2119" s="45">
        <v>45962</v>
      </c>
      <c r="E2119" s="45">
        <v>45991.999305555553</v>
      </c>
      <c r="F2119" s="42" t="s">
        <v>274</v>
      </c>
    </row>
    <row r="2120" spans="1:6" x14ac:dyDescent="0.35">
      <c r="A2120" s="42" t="s">
        <v>129</v>
      </c>
      <c r="B2120" s="42">
        <v>1839.95</v>
      </c>
      <c r="C2120" s="43">
        <v>0.15</v>
      </c>
      <c r="D2120" s="45">
        <v>45962</v>
      </c>
      <c r="E2120" s="45">
        <v>45991.999305555553</v>
      </c>
      <c r="F2120" s="42" t="s">
        <v>274</v>
      </c>
    </row>
    <row r="2121" spans="1:6" x14ac:dyDescent="0.35">
      <c r="A2121" s="42" t="s">
        <v>685</v>
      </c>
      <c r="B2121" s="42">
        <v>1839.95</v>
      </c>
      <c r="C2121" s="43">
        <v>0.15</v>
      </c>
      <c r="D2121" s="45">
        <v>45962</v>
      </c>
      <c r="E2121" s="45">
        <v>45991.999305555553</v>
      </c>
      <c r="F2121" s="42" t="s">
        <v>274</v>
      </c>
    </row>
    <row r="2122" spans="1:6" x14ac:dyDescent="0.35">
      <c r="A2122" s="42" t="s">
        <v>450</v>
      </c>
      <c r="B2122" s="42">
        <v>1299.95</v>
      </c>
      <c r="C2122" s="43">
        <v>0.15</v>
      </c>
      <c r="D2122" s="45">
        <v>45962</v>
      </c>
      <c r="E2122" s="45">
        <v>45991.999305555553</v>
      </c>
      <c r="F2122" s="42" t="s">
        <v>274</v>
      </c>
    </row>
    <row r="2123" spans="1:6" x14ac:dyDescent="0.35">
      <c r="A2123" s="42" t="s">
        <v>686</v>
      </c>
      <c r="B2123" s="42">
        <v>719.95</v>
      </c>
      <c r="C2123" s="43">
        <v>0.15</v>
      </c>
      <c r="D2123" s="45">
        <v>45962</v>
      </c>
      <c r="E2123" s="45">
        <v>45991.999305555553</v>
      </c>
      <c r="F2123" s="42" t="s">
        <v>274</v>
      </c>
    </row>
    <row r="2124" spans="1:6" x14ac:dyDescent="0.35">
      <c r="A2124" s="42" t="s">
        <v>453</v>
      </c>
      <c r="B2124" s="42">
        <v>1469.95</v>
      </c>
      <c r="C2124" s="43">
        <v>0.15</v>
      </c>
      <c r="D2124" s="45">
        <v>45962</v>
      </c>
      <c r="E2124" s="45">
        <v>45991.999305555553</v>
      </c>
      <c r="F2124" s="42" t="s">
        <v>274</v>
      </c>
    </row>
    <row r="2125" spans="1:6" x14ac:dyDescent="0.35">
      <c r="A2125" s="42" t="s">
        <v>466</v>
      </c>
      <c r="B2125" s="42">
        <v>1329.95</v>
      </c>
      <c r="C2125" s="43">
        <v>0.15</v>
      </c>
      <c r="D2125" s="45">
        <v>45962</v>
      </c>
      <c r="E2125" s="45">
        <v>45991.999305555553</v>
      </c>
      <c r="F2125" s="42" t="s">
        <v>274</v>
      </c>
    </row>
    <row r="2126" spans="1:6" x14ac:dyDescent="0.35">
      <c r="A2126" s="42" t="s">
        <v>467</v>
      </c>
      <c r="B2126" s="42">
        <v>1299.95</v>
      </c>
      <c r="C2126" s="43">
        <v>0.15</v>
      </c>
      <c r="D2126" s="45">
        <v>45962</v>
      </c>
      <c r="E2126" s="45">
        <v>45991.999305555553</v>
      </c>
      <c r="F2126" s="42" t="s">
        <v>274</v>
      </c>
    </row>
    <row r="2127" spans="1:6" x14ac:dyDescent="0.35">
      <c r="A2127" s="42" t="s">
        <v>688</v>
      </c>
      <c r="B2127" s="42">
        <v>1329.95</v>
      </c>
      <c r="C2127" s="43">
        <v>0.15</v>
      </c>
      <c r="D2127" s="45">
        <v>45962</v>
      </c>
      <c r="E2127" s="45">
        <v>45991.999305555553</v>
      </c>
      <c r="F2127" s="42" t="s">
        <v>274</v>
      </c>
    </row>
    <row r="2128" spans="1:6" x14ac:dyDescent="0.35">
      <c r="A2128" s="42" t="s">
        <v>689</v>
      </c>
      <c r="B2128" s="42">
        <v>919.95</v>
      </c>
      <c r="C2128" s="43">
        <v>0.15</v>
      </c>
      <c r="D2128" s="45">
        <v>45962</v>
      </c>
      <c r="E2128" s="45">
        <v>45991.999305555553</v>
      </c>
      <c r="F2128" s="42" t="s">
        <v>274</v>
      </c>
    </row>
    <row r="2129" spans="1:6" x14ac:dyDescent="0.35">
      <c r="A2129" s="42" t="s">
        <v>690</v>
      </c>
      <c r="B2129" s="42">
        <v>1329.95</v>
      </c>
      <c r="C2129" s="43">
        <v>0.15</v>
      </c>
      <c r="D2129" s="45">
        <v>45962</v>
      </c>
      <c r="E2129" s="45">
        <v>45991.999305555553</v>
      </c>
      <c r="F2129" s="42" t="s">
        <v>274</v>
      </c>
    </row>
    <row r="2130" spans="1:6" x14ac:dyDescent="0.35">
      <c r="A2130" s="42" t="s">
        <v>693</v>
      </c>
      <c r="B2130" s="42">
        <v>2529.9499999999998</v>
      </c>
      <c r="C2130" s="43">
        <v>0.15</v>
      </c>
      <c r="D2130" s="45">
        <v>45962</v>
      </c>
      <c r="E2130" s="45">
        <v>45991.999305555553</v>
      </c>
      <c r="F2130" s="42" t="s">
        <v>274</v>
      </c>
    </row>
    <row r="2131" spans="1:6" x14ac:dyDescent="0.35">
      <c r="A2131" s="42" t="s">
        <v>462</v>
      </c>
      <c r="B2131" s="42">
        <v>2639.95</v>
      </c>
      <c r="C2131" s="43">
        <v>0.15</v>
      </c>
      <c r="D2131" s="45">
        <v>45962</v>
      </c>
      <c r="E2131" s="45">
        <v>45991.999305555553</v>
      </c>
      <c r="F2131" s="42" t="s">
        <v>274</v>
      </c>
    </row>
    <row r="2132" spans="1:6" x14ac:dyDescent="0.35">
      <c r="A2132" s="42" t="s">
        <v>474</v>
      </c>
      <c r="B2132" s="42">
        <v>2639.95</v>
      </c>
      <c r="C2132" s="43">
        <v>0.15</v>
      </c>
      <c r="D2132" s="45">
        <v>45962</v>
      </c>
      <c r="E2132" s="45">
        <v>45991.999305555553</v>
      </c>
      <c r="F2132" s="42" t="s">
        <v>274</v>
      </c>
    </row>
    <row r="2133" spans="1:6" x14ac:dyDescent="0.35">
      <c r="A2133" s="42" t="s">
        <v>461</v>
      </c>
      <c r="B2133" s="42">
        <v>1429.95</v>
      </c>
      <c r="C2133" s="43">
        <v>0.15</v>
      </c>
      <c r="D2133" s="45">
        <v>45962</v>
      </c>
      <c r="E2133" s="45">
        <v>45991.999305555553</v>
      </c>
      <c r="F2133" s="42" t="s">
        <v>274</v>
      </c>
    </row>
    <row r="2134" spans="1:6" x14ac:dyDescent="0.35">
      <c r="A2134" s="42" t="s">
        <v>455</v>
      </c>
      <c r="B2134" s="42">
        <v>2089.9499999999998</v>
      </c>
      <c r="C2134" s="43">
        <v>0.15</v>
      </c>
      <c r="D2134" s="45">
        <v>45962</v>
      </c>
      <c r="E2134" s="45">
        <v>45991.999305555553</v>
      </c>
      <c r="F2134" s="42" t="s">
        <v>274</v>
      </c>
    </row>
    <row r="2135" spans="1:6" x14ac:dyDescent="0.35">
      <c r="A2135" s="42" t="s">
        <v>463</v>
      </c>
      <c r="B2135" s="42">
        <v>2479.9499999999998</v>
      </c>
      <c r="C2135" s="43">
        <v>0.15</v>
      </c>
      <c r="D2135" s="45">
        <v>45962</v>
      </c>
      <c r="E2135" s="45">
        <v>45991.999305555553</v>
      </c>
      <c r="F2135" s="42" t="s">
        <v>274</v>
      </c>
    </row>
    <row r="2136" spans="1:6" x14ac:dyDescent="0.35">
      <c r="A2136" s="42" t="s">
        <v>456</v>
      </c>
      <c r="B2136" s="42">
        <v>2529.9499999999998</v>
      </c>
      <c r="C2136" s="43">
        <v>0.15</v>
      </c>
      <c r="D2136" s="45">
        <v>45962</v>
      </c>
      <c r="E2136" s="45">
        <v>45991.999305555553</v>
      </c>
      <c r="F2136" s="42" t="s">
        <v>274</v>
      </c>
    </row>
    <row r="2137" spans="1:6" x14ac:dyDescent="0.35">
      <c r="A2137" s="42" t="s">
        <v>469</v>
      </c>
      <c r="B2137" s="42">
        <v>2529.9499999999998</v>
      </c>
      <c r="C2137" s="43">
        <v>0.15</v>
      </c>
      <c r="D2137" s="45">
        <v>45962</v>
      </c>
      <c r="E2137" s="45">
        <v>45991.999305555553</v>
      </c>
      <c r="F2137" s="42" t="s">
        <v>274</v>
      </c>
    </row>
    <row r="2138" spans="1:6" x14ac:dyDescent="0.35">
      <c r="A2138" s="42" t="s">
        <v>523</v>
      </c>
      <c r="B2138" s="42">
        <v>919.95</v>
      </c>
      <c r="C2138" s="43">
        <v>0.17</v>
      </c>
      <c r="D2138" s="45">
        <v>45962</v>
      </c>
      <c r="E2138" s="45">
        <v>45991.999305555553</v>
      </c>
      <c r="F2138" s="42" t="s">
        <v>274</v>
      </c>
    </row>
    <row r="2139" spans="1:6" x14ac:dyDescent="0.35">
      <c r="A2139" s="42" t="s">
        <v>470</v>
      </c>
      <c r="B2139" s="42">
        <v>919.95</v>
      </c>
      <c r="C2139" s="43">
        <v>0.17</v>
      </c>
      <c r="D2139" s="45">
        <v>45962</v>
      </c>
      <c r="E2139" s="45">
        <v>45991.999305555553</v>
      </c>
      <c r="F2139" s="42" t="s">
        <v>274</v>
      </c>
    </row>
    <row r="2140" spans="1:6" x14ac:dyDescent="0.35">
      <c r="A2140" s="42" t="s">
        <v>402</v>
      </c>
      <c r="B2140" s="42">
        <v>1019.95</v>
      </c>
      <c r="C2140" s="43">
        <v>0.17</v>
      </c>
      <c r="D2140" s="45">
        <v>45962</v>
      </c>
      <c r="E2140" s="45">
        <v>45991.999305555553</v>
      </c>
      <c r="F2140" s="42" t="s">
        <v>274</v>
      </c>
    </row>
    <row r="2141" spans="1:6" x14ac:dyDescent="0.35">
      <c r="A2141" s="42" t="s">
        <v>678</v>
      </c>
      <c r="B2141" s="42">
        <v>1019.95</v>
      </c>
      <c r="C2141" s="43">
        <v>0.17</v>
      </c>
      <c r="D2141" s="45">
        <v>45962</v>
      </c>
      <c r="E2141" s="45">
        <v>45991.999305555553</v>
      </c>
      <c r="F2141" s="42" t="s">
        <v>274</v>
      </c>
    </row>
    <row r="2142" spans="1:6" x14ac:dyDescent="0.35">
      <c r="A2142" s="42" t="s">
        <v>697</v>
      </c>
      <c r="B2142" s="42">
        <v>1049.95</v>
      </c>
      <c r="C2142" s="43">
        <v>0.17</v>
      </c>
      <c r="D2142" s="45">
        <v>45962</v>
      </c>
      <c r="E2142" s="45">
        <v>45991.999305555553</v>
      </c>
      <c r="F2142" s="42" t="s">
        <v>274</v>
      </c>
    </row>
    <row r="2143" spans="1:6" x14ac:dyDescent="0.35">
      <c r="A2143" s="42" t="s">
        <v>37</v>
      </c>
      <c r="B2143" s="42">
        <v>1559.95</v>
      </c>
      <c r="C2143" s="43">
        <v>0.17</v>
      </c>
      <c r="D2143" s="45">
        <v>45962</v>
      </c>
      <c r="E2143" s="45">
        <v>45991.999305555553</v>
      </c>
      <c r="F2143" s="42" t="s">
        <v>274</v>
      </c>
    </row>
    <row r="2144" spans="1:6" x14ac:dyDescent="0.35">
      <c r="A2144" s="42" t="s">
        <v>452</v>
      </c>
      <c r="B2144" s="42">
        <v>1559.95</v>
      </c>
      <c r="C2144" s="43">
        <v>0.17</v>
      </c>
      <c r="D2144" s="45">
        <v>45962</v>
      </c>
      <c r="E2144" s="45">
        <v>45991.999305555553</v>
      </c>
      <c r="F2144" s="42" t="s">
        <v>274</v>
      </c>
    </row>
    <row r="2145" spans="1:6" x14ac:dyDescent="0.35">
      <c r="A2145" s="42" t="s">
        <v>692</v>
      </c>
      <c r="B2145" s="42">
        <v>1559.95</v>
      </c>
      <c r="C2145" s="43">
        <v>0.17</v>
      </c>
      <c r="D2145" s="45">
        <v>45962</v>
      </c>
      <c r="E2145" s="45">
        <v>45991.999305555553</v>
      </c>
      <c r="F2145" s="42" t="s">
        <v>274</v>
      </c>
    </row>
    <row r="2146" spans="1:6" x14ac:dyDescent="0.35">
      <c r="A2146" s="42" t="s">
        <v>698</v>
      </c>
      <c r="B2146" s="42">
        <v>1559.95</v>
      </c>
      <c r="C2146" s="43">
        <v>0.17</v>
      </c>
      <c r="D2146" s="45">
        <v>45962</v>
      </c>
      <c r="E2146" s="45">
        <v>45991.999305555553</v>
      </c>
      <c r="F2146" s="42" t="s">
        <v>274</v>
      </c>
    </row>
    <row r="2147" spans="1:6" x14ac:dyDescent="0.35">
      <c r="A2147" s="42" t="s">
        <v>49</v>
      </c>
      <c r="B2147" s="42">
        <v>1759.95</v>
      </c>
      <c r="C2147" s="43">
        <v>0.17</v>
      </c>
      <c r="D2147" s="45">
        <v>45962</v>
      </c>
      <c r="E2147" s="45">
        <v>45991.999305555553</v>
      </c>
      <c r="F2147" s="42" t="s">
        <v>274</v>
      </c>
    </row>
    <row r="2148" spans="1:6" x14ac:dyDescent="0.35">
      <c r="A2148" s="42" t="s">
        <v>680</v>
      </c>
      <c r="B2148" s="42">
        <v>339.95</v>
      </c>
      <c r="C2148" s="43">
        <v>0.17</v>
      </c>
      <c r="D2148" s="45">
        <v>45962</v>
      </c>
      <c r="E2148" s="45">
        <v>45991.999305555553</v>
      </c>
      <c r="F2148" s="42" t="s">
        <v>274</v>
      </c>
    </row>
    <row r="2149" spans="1:6" x14ac:dyDescent="0.35">
      <c r="A2149" s="42" t="s">
        <v>14</v>
      </c>
      <c r="B2149" s="42">
        <v>439.95</v>
      </c>
      <c r="C2149" s="43">
        <v>0.17</v>
      </c>
      <c r="D2149" s="45">
        <v>45962</v>
      </c>
      <c r="E2149" s="45">
        <v>45991.999305555553</v>
      </c>
      <c r="F2149" s="42" t="s">
        <v>274</v>
      </c>
    </row>
    <row r="2150" spans="1:6" x14ac:dyDescent="0.35">
      <c r="A2150" s="42" t="s">
        <v>12</v>
      </c>
      <c r="B2150" s="42">
        <v>439.95</v>
      </c>
      <c r="C2150" s="43">
        <v>0.17</v>
      </c>
      <c r="D2150" s="45">
        <v>45962</v>
      </c>
      <c r="E2150" s="45">
        <v>45991.999305555553</v>
      </c>
      <c r="F2150" s="42" t="s">
        <v>274</v>
      </c>
    </row>
    <row r="2151" spans="1:6" x14ac:dyDescent="0.35">
      <c r="A2151" s="42" t="s">
        <v>279</v>
      </c>
      <c r="B2151" s="42">
        <v>659.95</v>
      </c>
      <c r="C2151" s="43">
        <v>0.17</v>
      </c>
      <c r="D2151" s="45">
        <v>45962</v>
      </c>
      <c r="E2151" s="45">
        <v>45991.999305555553</v>
      </c>
      <c r="F2151" s="42" t="s">
        <v>274</v>
      </c>
    </row>
    <row r="2152" spans="1:6" x14ac:dyDescent="0.35">
      <c r="A2152" s="42" t="s">
        <v>25</v>
      </c>
      <c r="B2152" s="42">
        <v>659.95</v>
      </c>
      <c r="C2152" s="43">
        <v>0.17</v>
      </c>
      <c r="D2152" s="45">
        <v>45962</v>
      </c>
      <c r="E2152" s="45">
        <v>45991.999305555553</v>
      </c>
      <c r="F2152" s="42" t="s">
        <v>274</v>
      </c>
    </row>
    <row r="2153" spans="1:6" x14ac:dyDescent="0.35">
      <c r="A2153" s="42" t="s">
        <v>27</v>
      </c>
      <c r="B2153" s="42">
        <v>759.95</v>
      </c>
      <c r="C2153" s="43">
        <v>0.17</v>
      </c>
      <c r="D2153" s="45">
        <v>45962</v>
      </c>
      <c r="E2153" s="45">
        <v>45991.999305555553</v>
      </c>
      <c r="F2153" s="42" t="s">
        <v>274</v>
      </c>
    </row>
    <row r="2154" spans="1:6" x14ac:dyDescent="0.35">
      <c r="A2154" s="42" t="s">
        <v>73</v>
      </c>
      <c r="B2154" s="42">
        <v>759.95</v>
      </c>
      <c r="C2154" s="43">
        <v>0.17</v>
      </c>
      <c r="D2154" s="45">
        <v>45962</v>
      </c>
      <c r="E2154" s="45">
        <v>45991.999305555553</v>
      </c>
      <c r="F2154" s="42" t="s">
        <v>274</v>
      </c>
    </row>
    <row r="2155" spans="1:6" x14ac:dyDescent="0.35">
      <c r="A2155" s="42" t="s">
        <v>481</v>
      </c>
      <c r="B2155" s="42">
        <v>859.95</v>
      </c>
      <c r="C2155" s="43">
        <v>0.17</v>
      </c>
      <c r="D2155" s="45">
        <v>45962</v>
      </c>
      <c r="E2155" s="45">
        <v>45991.999305555553</v>
      </c>
      <c r="F2155" s="42" t="s">
        <v>274</v>
      </c>
    </row>
    <row r="2156" spans="1:6" x14ac:dyDescent="0.35">
      <c r="A2156" s="42" t="s">
        <v>31</v>
      </c>
      <c r="B2156" s="42">
        <v>859.95</v>
      </c>
      <c r="C2156" s="43">
        <v>0.17</v>
      </c>
      <c r="D2156" s="45">
        <v>45962</v>
      </c>
      <c r="E2156" s="45">
        <v>45991.999305555553</v>
      </c>
      <c r="F2156" s="42" t="s">
        <v>274</v>
      </c>
    </row>
    <row r="2157" spans="1:6" x14ac:dyDescent="0.35">
      <c r="A2157" s="42" t="s">
        <v>283</v>
      </c>
      <c r="B2157" s="42">
        <v>859.95</v>
      </c>
      <c r="C2157" s="43">
        <v>0.17</v>
      </c>
      <c r="D2157" s="45">
        <v>45962</v>
      </c>
      <c r="E2157" s="45">
        <v>45991.999305555553</v>
      </c>
      <c r="F2157" s="42" t="s">
        <v>274</v>
      </c>
    </row>
    <row r="2158" spans="1:6" x14ac:dyDescent="0.35">
      <c r="A2158" s="42" t="s">
        <v>40</v>
      </c>
      <c r="B2158" s="42">
        <v>859.95</v>
      </c>
      <c r="C2158" s="43">
        <v>0.17</v>
      </c>
      <c r="D2158" s="45">
        <v>45962</v>
      </c>
      <c r="E2158" s="45">
        <v>45991.999305555553</v>
      </c>
      <c r="F2158" s="42" t="s">
        <v>274</v>
      </c>
    </row>
    <row r="2159" spans="1:6" x14ac:dyDescent="0.35">
      <c r="A2159" s="42" t="s">
        <v>683</v>
      </c>
      <c r="B2159" s="42">
        <v>859.95</v>
      </c>
      <c r="C2159" s="43">
        <v>0.17</v>
      </c>
      <c r="D2159" s="45">
        <v>45962</v>
      </c>
      <c r="E2159" s="45">
        <v>45991.999305555553</v>
      </c>
      <c r="F2159" s="42" t="s">
        <v>274</v>
      </c>
    </row>
    <row r="2160" spans="1:6" x14ac:dyDescent="0.35">
      <c r="A2160" s="42" t="s">
        <v>694</v>
      </c>
      <c r="B2160" s="42">
        <v>859.95</v>
      </c>
      <c r="C2160" s="43">
        <v>0.17</v>
      </c>
      <c r="D2160" s="45">
        <v>45962</v>
      </c>
      <c r="E2160" s="45">
        <v>45991.999305555553</v>
      </c>
      <c r="F2160" s="42" t="s">
        <v>274</v>
      </c>
    </row>
    <row r="2161" spans="1:6" x14ac:dyDescent="0.35">
      <c r="A2161" s="42" t="s">
        <v>451</v>
      </c>
      <c r="B2161" s="42">
        <v>1479.95</v>
      </c>
      <c r="C2161" s="43">
        <v>0.17</v>
      </c>
      <c r="D2161" s="45">
        <v>45962</v>
      </c>
      <c r="E2161" s="45">
        <v>45991.999305555553</v>
      </c>
      <c r="F2161" s="42" t="s">
        <v>274</v>
      </c>
    </row>
    <row r="2162" spans="1:6" x14ac:dyDescent="0.35">
      <c r="A2162" s="42" t="s">
        <v>684</v>
      </c>
      <c r="B2162" s="42">
        <v>1479.95</v>
      </c>
      <c r="C2162" s="43">
        <v>0.17</v>
      </c>
      <c r="D2162" s="45">
        <v>45962</v>
      </c>
      <c r="E2162" s="45">
        <v>45991.999305555553</v>
      </c>
      <c r="F2162" s="42" t="s">
        <v>274</v>
      </c>
    </row>
    <row r="2163" spans="1:6" x14ac:dyDescent="0.35">
      <c r="A2163" s="42" t="s">
        <v>35</v>
      </c>
      <c r="B2163" s="42">
        <v>1599.95</v>
      </c>
      <c r="C2163" s="43">
        <v>0.17</v>
      </c>
      <c r="D2163" s="45">
        <v>45962</v>
      </c>
      <c r="E2163" s="45">
        <v>45991.999305555553</v>
      </c>
      <c r="F2163" s="42" t="s">
        <v>274</v>
      </c>
    </row>
    <row r="2164" spans="1:6" x14ac:dyDescent="0.35">
      <c r="A2164" s="42" t="s">
        <v>594</v>
      </c>
      <c r="B2164" s="42">
        <v>1799.95</v>
      </c>
      <c r="C2164" s="43">
        <v>0.17</v>
      </c>
      <c r="D2164" s="45">
        <v>45962</v>
      </c>
      <c r="E2164" s="45">
        <v>45991.999305555553</v>
      </c>
      <c r="F2164" s="42" t="s">
        <v>274</v>
      </c>
    </row>
    <row r="2165" spans="1:6" x14ac:dyDescent="0.35">
      <c r="A2165" s="42" t="s">
        <v>473</v>
      </c>
      <c r="B2165" s="42">
        <v>1799.95</v>
      </c>
      <c r="C2165" s="43">
        <v>0.17</v>
      </c>
      <c r="D2165" s="45">
        <v>45962</v>
      </c>
      <c r="E2165" s="45">
        <v>45991.999305555553</v>
      </c>
      <c r="F2165" s="42" t="s">
        <v>274</v>
      </c>
    </row>
    <row r="2166" spans="1:6" x14ac:dyDescent="0.35">
      <c r="A2166" s="42" t="s">
        <v>454</v>
      </c>
      <c r="B2166" s="42">
        <v>1799.95</v>
      </c>
      <c r="C2166" s="43">
        <v>0.17</v>
      </c>
      <c r="D2166" s="45">
        <v>45962</v>
      </c>
      <c r="E2166" s="45">
        <v>45991.999305555553</v>
      </c>
      <c r="F2166" s="42" t="s">
        <v>274</v>
      </c>
    </row>
    <row r="2167" spans="1:6" x14ac:dyDescent="0.35">
      <c r="A2167" s="42" t="s">
        <v>695</v>
      </c>
      <c r="B2167" s="42">
        <v>1799.95</v>
      </c>
      <c r="C2167" s="43">
        <v>0.17</v>
      </c>
      <c r="D2167" s="45">
        <v>45962</v>
      </c>
      <c r="E2167" s="45">
        <v>45991.999305555553</v>
      </c>
      <c r="F2167" s="42" t="s">
        <v>274</v>
      </c>
    </row>
    <row r="2168" spans="1:6" x14ac:dyDescent="0.35">
      <c r="A2168" s="42" t="s">
        <v>468</v>
      </c>
      <c r="B2168" s="42">
        <v>1799.95</v>
      </c>
      <c r="C2168" s="43">
        <v>0.17</v>
      </c>
      <c r="D2168" s="45">
        <v>45962</v>
      </c>
      <c r="E2168" s="45">
        <v>45991.999305555553</v>
      </c>
      <c r="F2168" s="42" t="s">
        <v>274</v>
      </c>
    </row>
    <row r="2169" spans="1:6" x14ac:dyDescent="0.35">
      <c r="A2169" s="42" t="s">
        <v>15</v>
      </c>
      <c r="B2169" s="42">
        <v>459.95</v>
      </c>
      <c r="C2169" s="43">
        <v>0.17</v>
      </c>
      <c r="D2169" s="45">
        <v>45962</v>
      </c>
      <c r="E2169" s="45">
        <v>45991.999305555553</v>
      </c>
      <c r="F2169" s="42" t="s">
        <v>274</v>
      </c>
    </row>
    <row r="2170" spans="1:6" x14ac:dyDescent="0.35">
      <c r="A2170" s="42" t="s">
        <v>16</v>
      </c>
      <c r="B2170" s="42">
        <v>459.95</v>
      </c>
      <c r="C2170" s="43">
        <v>0.17</v>
      </c>
      <c r="D2170" s="45">
        <v>45962</v>
      </c>
      <c r="E2170" s="45">
        <v>45991.999305555553</v>
      </c>
      <c r="F2170" s="42" t="s">
        <v>274</v>
      </c>
    </row>
    <row r="2171" spans="1:6" x14ac:dyDescent="0.35">
      <c r="A2171" s="42" t="s">
        <v>548</v>
      </c>
      <c r="B2171" s="42">
        <v>459.95</v>
      </c>
      <c r="C2171" s="43">
        <v>0.17</v>
      </c>
      <c r="D2171" s="45">
        <v>45962</v>
      </c>
      <c r="E2171" s="45">
        <v>45991.999305555553</v>
      </c>
      <c r="F2171" s="42" t="s">
        <v>274</v>
      </c>
    </row>
    <row r="2172" spans="1:6" x14ac:dyDescent="0.35">
      <c r="A2172" s="42" t="s">
        <v>477</v>
      </c>
      <c r="B2172" s="42">
        <v>789.95</v>
      </c>
      <c r="C2172" s="43">
        <v>0.17</v>
      </c>
      <c r="D2172" s="45">
        <v>45962</v>
      </c>
      <c r="E2172" s="45">
        <v>45991.999305555553</v>
      </c>
      <c r="F2172" s="42" t="s">
        <v>274</v>
      </c>
    </row>
    <row r="2173" spans="1:6" x14ac:dyDescent="0.35">
      <c r="A2173" s="42" t="s">
        <v>55</v>
      </c>
      <c r="B2173" s="42">
        <v>789.95</v>
      </c>
      <c r="C2173" s="43">
        <v>0.17</v>
      </c>
      <c r="D2173" s="45">
        <v>45962</v>
      </c>
      <c r="E2173" s="45">
        <v>45991.999305555553</v>
      </c>
      <c r="F2173" s="42" t="s">
        <v>274</v>
      </c>
    </row>
    <row r="2174" spans="1:6" x14ac:dyDescent="0.35">
      <c r="A2174" s="42" t="s">
        <v>679</v>
      </c>
      <c r="B2174" s="42">
        <v>1119.95</v>
      </c>
      <c r="C2174" s="43">
        <v>0.17</v>
      </c>
      <c r="D2174" s="45">
        <v>45962</v>
      </c>
      <c r="E2174" s="45">
        <v>45991.999305555553</v>
      </c>
      <c r="F2174" s="42" t="s">
        <v>274</v>
      </c>
    </row>
    <row r="2175" spans="1:6" x14ac:dyDescent="0.35">
      <c r="A2175" s="42" t="s">
        <v>61</v>
      </c>
      <c r="B2175" s="42">
        <v>1319.95</v>
      </c>
      <c r="C2175" s="43">
        <v>0.17</v>
      </c>
      <c r="D2175" s="45">
        <v>45962</v>
      </c>
      <c r="E2175" s="45">
        <v>45991.999305555553</v>
      </c>
      <c r="F2175" s="42" t="s">
        <v>274</v>
      </c>
    </row>
    <row r="2176" spans="1:6" x14ac:dyDescent="0.35">
      <c r="A2176" s="42" t="s">
        <v>270</v>
      </c>
      <c r="B2176" s="42">
        <v>1319.95</v>
      </c>
      <c r="C2176" s="43">
        <v>0.17</v>
      </c>
      <c r="D2176" s="45">
        <v>45962</v>
      </c>
      <c r="E2176" s="45">
        <v>45991.999305555553</v>
      </c>
      <c r="F2176" s="42" t="s">
        <v>274</v>
      </c>
    </row>
    <row r="2177" spans="1:6" x14ac:dyDescent="0.35">
      <c r="A2177" s="42" t="s">
        <v>99</v>
      </c>
      <c r="B2177" s="42">
        <v>1419.95</v>
      </c>
      <c r="C2177" s="43">
        <v>0.17</v>
      </c>
      <c r="D2177" s="45">
        <v>45962</v>
      </c>
      <c r="E2177" s="45">
        <v>45991.999305555553</v>
      </c>
      <c r="F2177" s="42" t="s">
        <v>274</v>
      </c>
    </row>
    <row r="2178" spans="1:6" x14ac:dyDescent="0.35">
      <c r="A2178" s="42" t="s">
        <v>691</v>
      </c>
      <c r="B2178" s="42">
        <v>1419.95</v>
      </c>
      <c r="C2178" s="43">
        <v>0.17</v>
      </c>
      <c r="D2178" s="45">
        <v>45962</v>
      </c>
      <c r="E2178" s="45">
        <v>45991.999305555553</v>
      </c>
      <c r="F2178" s="42" t="s">
        <v>274</v>
      </c>
    </row>
    <row r="2179" spans="1:6" x14ac:dyDescent="0.35">
      <c r="A2179" s="42" t="s">
        <v>696</v>
      </c>
      <c r="B2179" s="42">
        <v>2069.9499999999998</v>
      </c>
      <c r="C2179" s="43">
        <v>0.17</v>
      </c>
      <c r="D2179" s="45">
        <v>45962</v>
      </c>
      <c r="E2179" s="45">
        <v>45991.999305555553</v>
      </c>
      <c r="F2179" s="42" t="s">
        <v>274</v>
      </c>
    </row>
    <row r="2180" spans="1:6" x14ac:dyDescent="0.35">
      <c r="A2180" s="42" t="s">
        <v>534</v>
      </c>
      <c r="B2180" s="42">
        <v>359.95</v>
      </c>
      <c r="C2180" s="43">
        <v>0.17</v>
      </c>
      <c r="D2180" s="45">
        <v>45962</v>
      </c>
      <c r="E2180" s="45">
        <v>45991.999305555553</v>
      </c>
      <c r="F2180" s="42" t="s">
        <v>274</v>
      </c>
    </row>
    <row r="2181" spans="1:6" x14ac:dyDescent="0.35">
      <c r="A2181" s="42" t="s">
        <v>677</v>
      </c>
      <c r="B2181" s="42">
        <v>599.95000000000005</v>
      </c>
      <c r="C2181" s="43">
        <v>0.17</v>
      </c>
      <c r="D2181" s="45">
        <v>45962</v>
      </c>
      <c r="E2181" s="45">
        <v>45991.999305555553</v>
      </c>
      <c r="F2181" s="42" t="s">
        <v>274</v>
      </c>
    </row>
    <row r="2182" spans="1:6" x14ac:dyDescent="0.35">
      <c r="A2182" s="42" t="s">
        <v>71</v>
      </c>
      <c r="B2182" s="42">
        <v>599.95000000000005</v>
      </c>
      <c r="C2182" s="43">
        <v>0.17</v>
      </c>
      <c r="D2182" s="45">
        <v>45962</v>
      </c>
      <c r="E2182" s="45">
        <v>45991.999305555553</v>
      </c>
      <c r="F2182" s="42" t="s">
        <v>274</v>
      </c>
    </row>
    <row r="2183" spans="1:6" x14ac:dyDescent="0.35">
      <c r="A2183" s="42" t="s">
        <v>19</v>
      </c>
      <c r="B2183" s="42">
        <v>599.95000000000005</v>
      </c>
      <c r="C2183" s="43">
        <v>0.17</v>
      </c>
      <c r="D2183" s="45">
        <v>45962</v>
      </c>
      <c r="E2183" s="45">
        <v>45991.999305555553</v>
      </c>
      <c r="F2183" s="42" t="s">
        <v>274</v>
      </c>
    </row>
    <row r="2184" spans="1:6" x14ac:dyDescent="0.35">
      <c r="A2184" s="42" t="s">
        <v>21</v>
      </c>
      <c r="B2184" s="42">
        <v>599.95000000000005</v>
      </c>
      <c r="C2184" s="43">
        <v>0.17</v>
      </c>
      <c r="D2184" s="45">
        <v>45962</v>
      </c>
      <c r="E2184" s="45">
        <v>45991.999305555553</v>
      </c>
      <c r="F2184" s="42" t="s">
        <v>274</v>
      </c>
    </row>
    <row r="2185" spans="1:6" x14ac:dyDescent="0.35">
      <c r="A2185" s="42" t="s">
        <v>448</v>
      </c>
      <c r="B2185" s="42">
        <v>699.95</v>
      </c>
      <c r="C2185" s="43">
        <v>0.17</v>
      </c>
      <c r="D2185" s="45">
        <v>45962</v>
      </c>
      <c r="E2185" s="45">
        <v>45991.999305555553</v>
      </c>
      <c r="F2185" s="42" t="s">
        <v>274</v>
      </c>
    </row>
    <row r="2186" spans="1:6" x14ac:dyDescent="0.35">
      <c r="A2186" s="42" t="s">
        <v>457</v>
      </c>
      <c r="B2186" s="42">
        <v>1249.95</v>
      </c>
      <c r="C2186" s="43">
        <v>0.17</v>
      </c>
      <c r="D2186" s="45">
        <v>45962</v>
      </c>
      <c r="E2186" s="45">
        <v>45991.999305555553</v>
      </c>
      <c r="F2186" s="42" t="s">
        <v>274</v>
      </c>
    </row>
    <row r="2187" spans="1:6" x14ac:dyDescent="0.35">
      <c r="A2187" s="42" t="s">
        <v>403</v>
      </c>
      <c r="B2187" s="42">
        <v>1249.95</v>
      </c>
      <c r="C2187" s="43">
        <v>0.17</v>
      </c>
      <c r="D2187" s="45">
        <v>45962</v>
      </c>
      <c r="E2187" s="45">
        <v>45991.999305555553</v>
      </c>
      <c r="F2187" s="42" t="s">
        <v>274</v>
      </c>
    </row>
    <row r="2188" spans="1:6" x14ac:dyDescent="0.35">
      <c r="A2188" s="42" t="s">
        <v>472</v>
      </c>
      <c r="B2188" s="42">
        <v>1249.95</v>
      </c>
      <c r="C2188" s="43">
        <v>0.17</v>
      </c>
      <c r="D2188" s="45">
        <v>45962</v>
      </c>
      <c r="E2188" s="45">
        <v>45991.999305555553</v>
      </c>
      <c r="F2188" s="42" t="s">
        <v>274</v>
      </c>
    </row>
    <row r="2189" spans="1:6" x14ac:dyDescent="0.35">
      <c r="A2189" s="42" t="s">
        <v>104</v>
      </c>
      <c r="B2189" s="42">
        <v>1459.95</v>
      </c>
      <c r="C2189" s="43">
        <v>0.17</v>
      </c>
      <c r="D2189" s="45">
        <v>45962</v>
      </c>
      <c r="E2189" s="45">
        <v>45991.999305555553</v>
      </c>
      <c r="F2189" s="42" t="s">
        <v>274</v>
      </c>
    </row>
    <row r="2190" spans="1:6" x14ac:dyDescent="0.35">
      <c r="A2190" s="42" t="s">
        <v>63</v>
      </c>
      <c r="B2190" s="42">
        <v>1569.95</v>
      </c>
      <c r="C2190" s="43">
        <v>0.17</v>
      </c>
      <c r="D2190" s="45">
        <v>45962</v>
      </c>
      <c r="E2190" s="45">
        <v>45991.999305555553</v>
      </c>
      <c r="F2190" s="42" t="s">
        <v>274</v>
      </c>
    </row>
    <row r="2191" spans="1:6" x14ac:dyDescent="0.35">
      <c r="A2191" s="42" t="s">
        <v>687</v>
      </c>
      <c r="B2191" s="42">
        <v>1569.95</v>
      </c>
      <c r="C2191" s="43">
        <v>0.17</v>
      </c>
      <c r="D2191" s="45">
        <v>45962</v>
      </c>
      <c r="E2191" s="45">
        <v>45991.999305555553</v>
      </c>
      <c r="F2191" s="42" t="s">
        <v>274</v>
      </c>
    </row>
    <row r="2192" spans="1:6" x14ac:dyDescent="0.35">
      <c r="A2192" s="42" t="s">
        <v>676</v>
      </c>
      <c r="B2192" s="42">
        <v>739.95</v>
      </c>
      <c r="C2192" s="43">
        <v>0.17</v>
      </c>
      <c r="D2192" s="45">
        <v>45962</v>
      </c>
      <c r="E2192" s="45">
        <v>45991.999305555553</v>
      </c>
      <c r="F2192" s="42" t="s">
        <v>274</v>
      </c>
    </row>
    <row r="2193" spans="1:6" x14ac:dyDescent="0.35">
      <c r="A2193" s="42" t="s">
        <v>482</v>
      </c>
      <c r="B2193" s="42">
        <v>939.95</v>
      </c>
      <c r="C2193" s="43">
        <v>0.17</v>
      </c>
      <c r="D2193" s="45">
        <v>45962</v>
      </c>
      <c r="E2193" s="45">
        <v>45991.999305555553</v>
      </c>
      <c r="F2193" s="42" t="s">
        <v>274</v>
      </c>
    </row>
    <row r="2194" spans="1:6" x14ac:dyDescent="0.35">
      <c r="A2194" s="42" t="s">
        <v>108</v>
      </c>
      <c r="B2194" s="42">
        <v>1149.95</v>
      </c>
      <c r="C2194" s="43">
        <v>0.17</v>
      </c>
      <c r="D2194" s="45">
        <v>45962</v>
      </c>
      <c r="E2194" s="45">
        <v>45991.999305555553</v>
      </c>
      <c r="F2194" s="42" t="s">
        <v>274</v>
      </c>
    </row>
    <row r="2195" spans="1:6" x14ac:dyDescent="0.35">
      <c r="A2195" s="42" t="s">
        <v>408</v>
      </c>
      <c r="B2195" s="42">
        <v>1149.95</v>
      </c>
      <c r="C2195" s="43">
        <v>0.17</v>
      </c>
      <c r="D2195" s="45">
        <v>45962</v>
      </c>
      <c r="E2195" s="45">
        <v>45991.999305555553</v>
      </c>
      <c r="F2195" s="42" t="s">
        <v>274</v>
      </c>
    </row>
    <row r="2196" spans="1:6" x14ac:dyDescent="0.35">
      <c r="A2196" s="42" t="s">
        <v>90</v>
      </c>
      <c r="B2196" s="42">
        <v>739.95</v>
      </c>
      <c r="C2196" s="43">
        <v>0.17</v>
      </c>
      <c r="D2196" s="45">
        <v>45962</v>
      </c>
      <c r="E2196" s="45">
        <v>45991.999305555553</v>
      </c>
      <c r="F2196" s="42" t="s">
        <v>274</v>
      </c>
    </row>
    <row r="2197" spans="1:6" x14ac:dyDescent="0.35">
      <c r="A2197" s="42" t="s">
        <v>42</v>
      </c>
      <c r="B2197" s="42">
        <v>939.95</v>
      </c>
      <c r="C2197" s="43">
        <v>0.17</v>
      </c>
      <c r="D2197" s="45">
        <v>45962</v>
      </c>
      <c r="E2197" s="45">
        <v>45991.999305555553</v>
      </c>
      <c r="F2197" s="42" t="s">
        <v>274</v>
      </c>
    </row>
    <row r="2198" spans="1:6" x14ac:dyDescent="0.35">
      <c r="A2198" s="42" t="s">
        <v>460</v>
      </c>
      <c r="B2198" s="42">
        <v>1459.95</v>
      </c>
      <c r="C2198" s="43">
        <v>0.17</v>
      </c>
      <c r="D2198" s="45">
        <v>45962</v>
      </c>
      <c r="E2198" s="45">
        <v>45991.999305555553</v>
      </c>
      <c r="F2198" s="42" t="s">
        <v>274</v>
      </c>
    </row>
    <row r="2199" spans="1:6" x14ac:dyDescent="0.35">
      <c r="A2199" s="42" t="s">
        <v>464</v>
      </c>
      <c r="B2199" s="42">
        <v>1459.95</v>
      </c>
      <c r="C2199" s="43">
        <v>0.17</v>
      </c>
      <c r="D2199" s="45">
        <v>45962</v>
      </c>
      <c r="E2199" s="45">
        <v>45991.999305555553</v>
      </c>
      <c r="F2199" s="42" t="s">
        <v>274</v>
      </c>
    </row>
    <row r="2200" spans="1:6" x14ac:dyDescent="0.35">
      <c r="A2200" s="42" t="s">
        <v>9</v>
      </c>
      <c r="B2200" s="42">
        <v>399.95</v>
      </c>
      <c r="C2200" s="43">
        <v>0.17</v>
      </c>
      <c r="D2200" s="45">
        <v>45962</v>
      </c>
      <c r="E2200" s="45">
        <v>45991.999305555553</v>
      </c>
      <c r="F2200" s="42" t="s">
        <v>274</v>
      </c>
    </row>
    <row r="2201" spans="1:6" x14ac:dyDescent="0.35">
      <c r="A2201" s="42" t="s">
        <v>471</v>
      </c>
      <c r="B2201" s="42">
        <v>1329.95</v>
      </c>
      <c r="C2201" s="43">
        <v>0.17</v>
      </c>
      <c r="D2201" s="45">
        <v>45962</v>
      </c>
      <c r="E2201" s="45">
        <v>45991.999305555553</v>
      </c>
      <c r="F2201" s="42" t="s">
        <v>274</v>
      </c>
    </row>
    <row r="2202" spans="1:6" x14ac:dyDescent="0.35">
      <c r="A2202" s="42" t="s">
        <v>8</v>
      </c>
      <c r="B2202" s="42">
        <v>399.95</v>
      </c>
      <c r="C2202" s="43">
        <v>0.17</v>
      </c>
      <c r="D2202" s="45">
        <v>45962</v>
      </c>
      <c r="E2202" s="45">
        <v>45991.999305555553</v>
      </c>
      <c r="F2202" s="42" t="s">
        <v>274</v>
      </c>
    </row>
    <row r="2203" spans="1:6" x14ac:dyDescent="0.35">
      <c r="A2203" s="42" t="s">
        <v>681</v>
      </c>
      <c r="B2203" s="42">
        <v>639.95000000000005</v>
      </c>
      <c r="C2203" s="43">
        <v>0.17</v>
      </c>
      <c r="D2203" s="45">
        <v>45962</v>
      </c>
      <c r="E2203" s="45">
        <v>45991.999305555553</v>
      </c>
      <c r="F2203" s="42" t="s">
        <v>274</v>
      </c>
    </row>
    <row r="2204" spans="1:6" x14ac:dyDescent="0.35">
      <c r="A2204" s="42" t="s">
        <v>67</v>
      </c>
      <c r="B2204" s="42">
        <v>399.95</v>
      </c>
      <c r="C2204" s="43">
        <v>0.17</v>
      </c>
      <c r="D2204" s="45">
        <v>45962</v>
      </c>
      <c r="E2204" s="45">
        <v>45991.999305555553</v>
      </c>
      <c r="F2204" s="42" t="s">
        <v>274</v>
      </c>
    </row>
    <row r="2205" spans="1:6" x14ac:dyDescent="0.35">
      <c r="A2205" s="42" t="s">
        <v>564</v>
      </c>
      <c r="B2205" s="42">
        <v>479.95</v>
      </c>
      <c r="C2205" s="43">
        <v>0.17</v>
      </c>
      <c r="D2205" s="45">
        <v>45962</v>
      </c>
      <c r="E2205" s="45">
        <v>45991.999305555553</v>
      </c>
      <c r="F2205" s="42" t="s">
        <v>274</v>
      </c>
    </row>
    <row r="2206" spans="1:6" x14ac:dyDescent="0.35">
      <c r="A2206" s="42" t="s">
        <v>458</v>
      </c>
      <c r="B2206" s="42">
        <v>939.95</v>
      </c>
      <c r="C2206" s="43">
        <v>0.17</v>
      </c>
      <c r="D2206" s="45">
        <v>45962</v>
      </c>
      <c r="E2206" s="45">
        <v>45991.999305555553</v>
      </c>
      <c r="F2206" s="42" t="s">
        <v>274</v>
      </c>
    </row>
    <row r="2207" spans="1:6" x14ac:dyDescent="0.35">
      <c r="A2207" s="42" t="s">
        <v>23</v>
      </c>
      <c r="B2207" s="42">
        <v>479.95</v>
      </c>
      <c r="C2207" s="43">
        <v>0.17</v>
      </c>
      <c r="D2207" s="45">
        <v>45962</v>
      </c>
      <c r="E2207" s="45">
        <v>45991.999305555553</v>
      </c>
      <c r="F2207" s="42" t="s">
        <v>274</v>
      </c>
    </row>
    <row r="2208" spans="1:6" x14ac:dyDescent="0.35">
      <c r="A2208" s="42" t="s">
        <v>682</v>
      </c>
      <c r="B2208" s="42">
        <v>1089.95</v>
      </c>
      <c r="C2208" s="43">
        <v>0.17</v>
      </c>
      <c r="D2208" s="45">
        <v>45962</v>
      </c>
      <c r="E2208" s="45">
        <v>45991.999305555553</v>
      </c>
      <c r="F2208" s="42" t="s">
        <v>274</v>
      </c>
    </row>
    <row r="2209" spans="1:6" x14ac:dyDescent="0.35">
      <c r="A2209" s="42" t="s">
        <v>33</v>
      </c>
      <c r="B2209" s="42">
        <v>989.95</v>
      </c>
      <c r="C2209" s="43">
        <v>0.17</v>
      </c>
      <c r="D2209" s="45">
        <v>45962</v>
      </c>
      <c r="E2209" s="45">
        <v>45991.999305555553</v>
      </c>
      <c r="F2209" s="42" t="s">
        <v>274</v>
      </c>
    </row>
    <row r="2210" spans="1:6" x14ac:dyDescent="0.35">
      <c r="A2210" s="42" t="s">
        <v>269</v>
      </c>
      <c r="B2210" s="42">
        <v>1629.95</v>
      </c>
      <c r="C2210" s="43">
        <v>0.17</v>
      </c>
      <c r="D2210" s="45">
        <v>45962</v>
      </c>
      <c r="E2210" s="45">
        <v>45991.999305555553</v>
      </c>
      <c r="F2210" s="42" t="s">
        <v>274</v>
      </c>
    </row>
    <row r="2211" spans="1:6" x14ac:dyDescent="0.35">
      <c r="A2211" s="42" t="s">
        <v>449</v>
      </c>
      <c r="B2211" s="42">
        <v>1149.95</v>
      </c>
      <c r="C2211" s="43">
        <v>0.17</v>
      </c>
      <c r="D2211" s="45">
        <v>45962</v>
      </c>
      <c r="E2211" s="45">
        <v>45991.999305555553</v>
      </c>
      <c r="F2211" s="42" t="s">
        <v>274</v>
      </c>
    </row>
    <row r="2212" spans="1:6" x14ac:dyDescent="0.35">
      <c r="A2212" s="42" t="s">
        <v>167</v>
      </c>
      <c r="B2212" s="42">
        <v>1149.95</v>
      </c>
      <c r="C2212" s="43">
        <v>0.17</v>
      </c>
      <c r="D2212" s="45">
        <v>45962</v>
      </c>
      <c r="E2212" s="45">
        <v>45991.999305555553</v>
      </c>
      <c r="F2212" s="42" t="s">
        <v>274</v>
      </c>
    </row>
    <row r="2213" spans="1:6" x14ac:dyDescent="0.35">
      <c r="A2213" s="42" t="s">
        <v>164</v>
      </c>
      <c r="B2213" s="42">
        <v>989.95</v>
      </c>
      <c r="C2213" s="43">
        <v>0.17</v>
      </c>
      <c r="D2213" s="45">
        <v>45962</v>
      </c>
      <c r="E2213" s="45">
        <v>45991.999305555553</v>
      </c>
      <c r="F2213" s="42" t="s">
        <v>274</v>
      </c>
    </row>
    <row r="2214" spans="1:6" x14ac:dyDescent="0.35">
      <c r="A2214" s="42" t="s">
        <v>465</v>
      </c>
      <c r="B2214" s="42">
        <v>1499.95</v>
      </c>
      <c r="C2214" s="43">
        <v>0.17</v>
      </c>
      <c r="D2214" s="45">
        <v>45962</v>
      </c>
      <c r="E2214" s="45">
        <v>45991.999305555553</v>
      </c>
      <c r="F2214" s="42" t="s">
        <v>274</v>
      </c>
    </row>
    <row r="2215" spans="1:6" x14ac:dyDescent="0.35">
      <c r="A2215" s="42" t="s">
        <v>401</v>
      </c>
      <c r="B2215" s="42">
        <v>1499.95</v>
      </c>
      <c r="C2215" s="43">
        <v>0.17</v>
      </c>
      <c r="D2215" s="45">
        <v>45962</v>
      </c>
      <c r="E2215" s="45">
        <v>45991.999305555553</v>
      </c>
      <c r="F2215" s="42" t="s">
        <v>274</v>
      </c>
    </row>
    <row r="2216" spans="1:6" x14ac:dyDescent="0.35">
      <c r="A2216" s="42" t="s">
        <v>129</v>
      </c>
      <c r="B2216" s="42">
        <v>1879.95</v>
      </c>
      <c r="C2216" s="43">
        <v>0.17</v>
      </c>
      <c r="D2216" s="45">
        <v>45962</v>
      </c>
      <c r="E2216" s="45">
        <v>45991.999305555553</v>
      </c>
      <c r="F2216" s="42" t="s">
        <v>274</v>
      </c>
    </row>
    <row r="2217" spans="1:6" x14ac:dyDescent="0.35">
      <c r="A2217" s="42" t="s">
        <v>685</v>
      </c>
      <c r="B2217" s="42">
        <v>1879.95</v>
      </c>
      <c r="C2217" s="43">
        <v>0.17</v>
      </c>
      <c r="D2217" s="45">
        <v>45962</v>
      </c>
      <c r="E2217" s="45">
        <v>45991.999305555553</v>
      </c>
      <c r="F2217" s="42" t="s">
        <v>274</v>
      </c>
    </row>
    <row r="2218" spans="1:6" x14ac:dyDescent="0.35">
      <c r="A2218" s="42" t="s">
        <v>450</v>
      </c>
      <c r="B2218" s="42">
        <v>1329.95</v>
      </c>
      <c r="C2218" s="43">
        <v>0.17</v>
      </c>
      <c r="D2218" s="45">
        <v>45962</v>
      </c>
      <c r="E2218" s="45">
        <v>45991.999305555553</v>
      </c>
      <c r="F2218" s="42" t="s">
        <v>274</v>
      </c>
    </row>
    <row r="2219" spans="1:6" x14ac:dyDescent="0.35">
      <c r="A2219" s="42" t="s">
        <v>686</v>
      </c>
      <c r="B2219" s="42">
        <v>739.95</v>
      </c>
      <c r="C2219" s="43">
        <v>0.17</v>
      </c>
      <c r="D2219" s="45">
        <v>45962</v>
      </c>
      <c r="E2219" s="45">
        <v>45991.999305555553</v>
      </c>
      <c r="F2219" s="42" t="s">
        <v>274</v>
      </c>
    </row>
    <row r="2220" spans="1:6" x14ac:dyDescent="0.35">
      <c r="A2220" s="42" t="s">
        <v>453</v>
      </c>
      <c r="B2220" s="42">
        <v>1499.95</v>
      </c>
      <c r="C2220" s="43">
        <v>0.17</v>
      </c>
      <c r="D2220" s="45">
        <v>45962</v>
      </c>
      <c r="E2220" s="45">
        <v>45991.999305555553</v>
      </c>
      <c r="F2220" s="42" t="s">
        <v>274</v>
      </c>
    </row>
    <row r="2221" spans="1:6" x14ac:dyDescent="0.35">
      <c r="A2221" s="42" t="s">
        <v>466</v>
      </c>
      <c r="B2221" s="42">
        <v>1359.95</v>
      </c>
      <c r="C2221" s="43">
        <v>0.17</v>
      </c>
      <c r="D2221" s="45">
        <v>45962</v>
      </c>
      <c r="E2221" s="45">
        <v>45991.999305555553</v>
      </c>
      <c r="F2221" s="42" t="s">
        <v>274</v>
      </c>
    </row>
    <row r="2222" spans="1:6" x14ac:dyDescent="0.35">
      <c r="A2222" s="42" t="s">
        <v>467</v>
      </c>
      <c r="B2222" s="42">
        <v>1329.95</v>
      </c>
      <c r="C2222" s="43">
        <v>0.17</v>
      </c>
      <c r="D2222" s="45">
        <v>45962</v>
      </c>
      <c r="E2222" s="45">
        <v>45991.999305555553</v>
      </c>
      <c r="F2222" s="42" t="s">
        <v>274</v>
      </c>
    </row>
    <row r="2223" spans="1:6" x14ac:dyDescent="0.35">
      <c r="A2223" s="42" t="s">
        <v>688</v>
      </c>
      <c r="B2223" s="42">
        <v>1359.95</v>
      </c>
      <c r="C2223" s="43">
        <v>0.17</v>
      </c>
      <c r="D2223" s="45">
        <v>45962</v>
      </c>
      <c r="E2223" s="45">
        <v>45991.999305555553</v>
      </c>
      <c r="F2223" s="42" t="s">
        <v>274</v>
      </c>
    </row>
    <row r="2224" spans="1:6" x14ac:dyDescent="0.35">
      <c r="A2224" s="42" t="s">
        <v>689</v>
      </c>
      <c r="B2224" s="42">
        <v>939.95</v>
      </c>
      <c r="C2224" s="43">
        <v>0.17</v>
      </c>
      <c r="D2224" s="45">
        <v>45962</v>
      </c>
      <c r="E2224" s="45">
        <v>45991.999305555553</v>
      </c>
      <c r="F2224" s="42" t="s">
        <v>274</v>
      </c>
    </row>
    <row r="2225" spans="1:6" x14ac:dyDescent="0.35">
      <c r="A2225" s="42" t="s">
        <v>690</v>
      </c>
      <c r="B2225" s="42">
        <v>1359.95</v>
      </c>
      <c r="C2225" s="43">
        <v>0.17</v>
      </c>
      <c r="D2225" s="45">
        <v>45962</v>
      </c>
      <c r="E2225" s="45">
        <v>45991.999305555553</v>
      </c>
      <c r="F2225" s="42" t="s">
        <v>274</v>
      </c>
    </row>
    <row r="2226" spans="1:6" x14ac:dyDescent="0.35">
      <c r="A2226" s="42" t="s">
        <v>693</v>
      </c>
      <c r="B2226" s="42">
        <v>2589.9499999999998</v>
      </c>
      <c r="C2226" s="43">
        <v>0.17</v>
      </c>
      <c r="D2226" s="45">
        <v>45962</v>
      </c>
      <c r="E2226" s="45">
        <v>45991.999305555553</v>
      </c>
      <c r="F2226" s="42" t="s">
        <v>274</v>
      </c>
    </row>
    <row r="2227" spans="1:6" x14ac:dyDescent="0.35">
      <c r="A2227" s="42" t="s">
        <v>462</v>
      </c>
      <c r="B2227" s="42">
        <v>2699.95</v>
      </c>
      <c r="C2227" s="43">
        <v>0.17</v>
      </c>
      <c r="D2227" s="45">
        <v>45962</v>
      </c>
      <c r="E2227" s="45">
        <v>45991.999305555553</v>
      </c>
      <c r="F2227" s="42" t="s">
        <v>274</v>
      </c>
    </row>
    <row r="2228" spans="1:6" x14ac:dyDescent="0.35">
      <c r="A2228" s="42" t="s">
        <v>474</v>
      </c>
      <c r="B2228" s="42">
        <v>2699.95</v>
      </c>
      <c r="C2228" s="43">
        <v>0.17</v>
      </c>
      <c r="D2228" s="45">
        <v>45962</v>
      </c>
      <c r="E2228" s="45">
        <v>45991.999305555553</v>
      </c>
      <c r="F2228" s="42" t="s">
        <v>274</v>
      </c>
    </row>
    <row r="2229" spans="1:6" x14ac:dyDescent="0.35">
      <c r="A2229" s="42" t="s">
        <v>461</v>
      </c>
      <c r="B2229" s="42">
        <v>1459.95</v>
      </c>
      <c r="C2229" s="43">
        <v>0.17</v>
      </c>
      <c r="D2229" s="45">
        <v>45962</v>
      </c>
      <c r="E2229" s="45">
        <v>45991.999305555553</v>
      </c>
      <c r="F2229" s="42" t="s">
        <v>274</v>
      </c>
    </row>
    <row r="2230" spans="1:6" x14ac:dyDescent="0.35">
      <c r="A2230" s="42" t="s">
        <v>455</v>
      </c>
      <c r="B2230" s="42">
        <v>2139.9499999999998</v>
      </c>
      <c r="C2230" s="43">
        <v>0.17</v>
      </c>
      <c r="D2230" s="45">
        <v>45962</v>
      </c>
      <c r="E2230" s="45">
        <v>45991.999305555553</v>
      </c>
      <c r="F2230" s="42" t="s">
        <v>274</v>
      </c>
    </row>
    <row r="2231" spans="1:6" x14ac:dyDescent="0.35">
      <c r="A2231" s="42" t="s">
        <v>463</v>
      </c>
      <c r="B2231" s="42">
        <v>2529.9499999999998</v>
      </c>
      <c r="C2231" s="43">
        <v>0.17</v>
      </c>
      <c r="D2231" s="45">
        <v>45962</v>
      </c>
      <c r="E2231" s="45">
        <v>45991.999305555553</v>
      </c>
      <c r="F2231" s="42" t="s">
        <v>274</v>
      </c>
    </row>
    <row r="2232" spans="1:6" x14ac:dyDescent="0.35">
      <c r="A2232" s="42" t="s">
        <v>456</v>
      </c>
      <c r="B2232" s="42">
        <v>2589.9499999999998</v>
      </c>
      <c r="C2232" s="43">
        <v>0.17</v>
      </c>
      <c r="D2232" s="45">
        <v>45962</v>
      </c>
      <c r="E2232" s="45">
        <v>45991.999305555553</v>
      </c>
      <c r="F2232" s="42" t="s">
        <v>274</v>
      </c>
    </row>
    <row r="2233" spans="1:6" x14ac:dyDescent="0.35">
      <c r="A2233" s="42" t="s">
        <v>469</v>
      </c>
      <c r="B2233" s="42">
        <v>2589.9499999999998</v>
      </c>
      <c r="C2233" s="43">
        <v>0.17</v>
      </c>
      <c r="D2233" s="45">
        <v>45962</v>
      </c>
      <c r="E2233" s="45">
        <v>45991.999305555553</v>
      </c>
      <c r="F2233" s="42" t="s">
        <v>274</v>
      </c>
    </row>
    <row r="2234" spans="1:6" x14ac:dyDescent="0.35">
      <c r="A2234" s="42" t="s">
        <v>567</v>
      </c>
      <c r="B2234" s="42">
        <v>159.91999999999999</v>
      </c>
      <c r="C2234" s="43">
        <v>0.06</v>
      </c>
      <c r="D2234" s="45">
        <v>45962</v>
      </c>
      <c r="E2234" s="45">
        <v>45991.999305555553</v>
      </c>
      <c r="F2234" s="42" t="s">
        <v>475</v>
      </c>
    </row>
    <row r="2235" spans="1:6" x14ac:dyDescent="0.35">
      <c r="A2235" s="42" t="s">
        <v>476</v>
      </c>
      <c r="B2235" s="42">
        <v>689.92</v>
      </c>
      <c r="C2235" s="43">
        <v>0.06</v>
      </c>
      <c r="D2235" s="45">
        <v>45962</v>
      </c>
      <c r="E2235" s="45">
        <v>45991.999305555553</v>
      </c>
      <c r="F2235" s="42" t="s">
        <v>475</v>
      </c>
    </row>
    <row r="2236" spans="1:6" x14ac:dyDescent="0.35">
      <c r="A2236" s="42" t="s">
        <v>882</v>
      </c>
      <c r="B2236" s="42">
        <v>699.92</v>
      </c>
      <c r="C2236" s="43">
        <v>0.06</v>
      </c>
      <c r="D2236" s="45">
        <v>45962</v>
      </c>
      <c r="E2236" s="45">
        <v>45991.999305555553</v>
      </c>
      <c r="F2236" s="42" t="s">
        <v>475</v>
      </c>
    </row>
    <row r="2237" spans="1:6" x14ac:dyDescent="0.35">
      <c r="A2237" s="42" t="s">
        <v>883</v>
      </c>
      <c r="B2237" s="42">
        <v>699.92</v>
      </c>
      <c r="C2237" s="43">
        <v>0.06</v>
      </c>
      <c r="D2237" s="45">
        <v>45962</v>
      </c>
      <c r="E2237" s="45">
        <v>45991.999305555553</v>
      </c>
      <c r="F2237" s="42" t="s">
        <v>475</v>
      </c>
    </row>
    <row r="2238" spans="1:6" x14ac:dyDescent="0.35">
      <c r="A2238" s="42" t="s">
        <v>884</v>
      </c>
      <c r="B2238" s="42">
        <v>699.92</v>
      </c>
      <c r="C2238" s="43">
        <v>0.06</v>
      </c>
      <c r="D2238" s="45">
        <v>45962</v>
      </c>
      <c r="E2238" s="45">
        <v>45991.999305555553</v>
      </c>
      <c r="F2238" s="42" t="s">
        <v>475</v>
      </c>
    </row>
    <row r="2239" spans="1:6" x14ac:dyDescent="0.35">
      <c r="A2239" s="42" t="s">
        <v>885</v>
      </c>
      <c r="B2239" s="42">
        <v>699.92</v>
      </c>
      <c r="C2239" s="43">
        <v>0.06</v>
      </c>
      <c r="D2239" s="45">
        <v>45962</v>
      </c>
      <c r="E2239" s="45">
        <v>45991.999305555553</v>
      </c>
      <c r="F2239" s="42" t="s">
        <v>475</v>
      </c>
    </row>
    <row r="2240" spans="1:6" x14ac:dyDescent="0.35">
      <c r="A2240" s="42" t="s">
        <v>499</v>
      </c>
      <c r="B2240" s="42">
        <v>789.92</v>
      </c>
      <c r="C2240" s="43">
        <v>0.06</v>
      </c>
      <c r="D2240" s="45">
        <v>45962</v>
      </c>
      <c r="E2240" s="45">
        <v>45991.999305555553</v>
      </c>
      <c r="F2240" s="42" t="s">
        <v>475</v>
      </c>
    </row>
    <row r="2241" spans="1:6" x14ac:dyDescent="0.35">
      <c r="A2241" s="42" t="s">
        <v>46</v>
      </c>
      <c r="B2241" s="42">
        <v>789.92</v>
      </c>
      <c r="C2241" s="43">
        <v>0.06</v>
      </c>
      <c r="D2241" s="45">
        <v>45962</v>
      </c>
      <c r="E2241" s="45">
        <v>45991.999305555553</v>
      </c>
      <c r="F2241" s="42" t="s">
        <v>475</v>
      </c>
    </row>
    <row r="2242" spans="1:6" x14ac:dyDescent="0.35">
      <c r="A2242" s="42" t="s">
        <v>47</v>
      </c>
      <c r="B2242" s="42">
        <v>789.92</v>
      </c>
      <c r="C2242" s="43">
        <v>0.06</v>
      </c>
      <c r="D2242" s="45">
        <v>45962</v>
      </c>
      <c r="E2242" s="45">
        <v>45991.999305555553</v>
      </c>
      <c r="F2242" s="42" t="s">
        <v>475</v>
      </c>
    </row>
    <row r="2243" spans="1:6" x14ac:dyDescent="0.35">
      <c r="A2243" s="42" t="s">
        <v>523</v>
      </c>
      <c r="B2243" s="42">
        <v>789.92</v>
      </c>
      <c r="C2243" s="43">
        <v>0.06</v>
      </c>
      <c r="D2243" s="45">
        <v>45962</v>
      </c>
      <c r="E2243" s="45">
        <v>45991.999305555553</v>
      </c>
      <c r="F2243" s="42" t="s">
        <v>475</v>
      </c>
    </row>
    <row r="2244" spans="1:6" x14ac:dyDescent="0.35">
      <c r="A2244" s="42" t="s">
        <v>718</v>
      </c>
      <c r="B2244" s="42">
        <v>789.92</v>
      </c>
      <c r="C2244" s="43">
        <v>0.06</v>
      </c>
      <c r="D2244" s="45">
        <v>45962</v>
      </c>
      <c r="E2244" s="45">
        <v>45991.999305555553</v>
      </c>
      <c r="F2244" s="42" t="s">
        <v>475</v>
      </c>
    </row>
    <row r="2245" spans="1:6" x14ac:dyDescent="0.35">
      <c r="A2245" s="42" t="s">
        <v>719</v>
      </c>
      <c r="B2245" s="42">
        <v>789.92</v>
      </c>
      <c r="C2245" s="43">
        <v>0.06</v>
      </c>
      <c r="D2245" s="45">
        <v>45962</v>
      </c>
      <c r="E2245" s="45">
        <v>45991.999305555553</v>
      </c>
      <c r="F2245" s="42" t="s">
        <v>475</v>
      </c>
    </row>
    <row r="2246" spans="1:6" x14ac:dyDescent="0.35">
      <c r="A2246" s="42" t="s">
        <v>720</v>
      </c>
      <c r="B2246" s="42">
        <v>789.92</v>
      </c>
      <c r="C2246" s="43">
        <v>0.06</v>
      </c>
      <c r="D2246" s="45">
        <v>45962</v>
      </c>
      <c r="E2246" s="45">
        <v>45991.999305555553</v>
      </c>
      <c r="F2246" s="42" t="s">
        <v>475</v>
      </c>
    </row>
    <row r="2247" spans="1:6" x14ac:dyDescent="0.35">
      <c r="A2247" s="42" t="s">
        <v>815</v>
      </c>
      <c r="B2247" s="42">
        <v>789.92</v>
      </c>
      <c r="C2247" s="43">
        <v>0.06</v>
      </c>
      <c r="D2247" s="45">
        <v>45962</v>
      </c>
      <c r="E2247" s="45">
        <v>45991.999305555553</v>
      </c>
      <c r="F2247" s="42" t="s">
        <v>475</v>
      </c>
    </row>
    <row r="2248" spans="1:6" x14ac:dyDescent="0.35">
      <c r="A2248" s="42" t="s">
        <v>816</v>
      </c>
      <c r="B2248" s="42">
        <v>789.92</v>
      </c>
      <c r="C2248" s="43">
        <v>0.06</v>
      </c>
      <c r="D2248" s="45">
        <v>45962</v>
      </c>
      <c r="E2248" s="45">
        <v>45991.999305555553</v>
      </c>
      <c r="F2248" s="42" t="s">
        <v>475</v>
      </c>
    </row>
    <row r="2249" spans="1:6" x14ac:dyDescent="0.35">
      <c r="A2249" s="42" t="s">
        <v>817</v>
      </c>
      <c r="B2249" s="42">
        <v>789.92</v>
      </c>
      <c r="C2249" s="43">
        <v>0.06</v>
      </c>
      <c r="D2249" s="45">
        <v>45962</v>
      </c>
      <c r="E2249" s="45">
        <v>45991.999305555553</v>
      </c>
      <c r="F2249" s="42" t="s">
        <v>475</v>
      </c>
    </row>
    <row r="2250" spans="1:6" x14ac:dyDescent="0.35">
      <c r="A2250" s="42" t="s">
        <v>721</v>
      </c>
      <c r="B2250" s="42">
        <v>799.92</v>
      </c>
      <c r="C2250" s="43">
        <v>0.06</v>
      </c>
      <c r="D2250" s="45">
        <v>45962</v>
      </c>
      <c r="E2250" s="45">
        <v>45991.999305555553</v>
      </c>
      <c r="F2250" s="42" t="s">
        <v>475</v>
      </c>
    </row>
    <row r="2251" spans="1:6" x14ac:dyDescent="0.35">
      <c r="A2251" s="42" t="s">
        <v>483</v>
      </c>
      <c r="B2251" s="42">
        <v>889.92</v>
      </c>
      <c r="C2251" s="43">
        <v>0.06</v>
      </c>
      <c r="D2251" s="45">
        <v>45962</v>
      </c>
      <c r="E2251" s="45">
        <v>45991.999305555553</v>
      </c>
      <c r="F2251" s="42" t="s">
        <v>475</v>
      </c>
    </row>
    <row r="2252" spans="1:6" x14ac:dyDescent="0.35">
      <c r="A2252" s="42" t="s">
        <v>745</v>
      </c>
      <c r="B2252" s="42">
        <v>899.92</v>
      </c>
      <c r="C2252" s="43">
        <v>0.06</v>
      </c>
      <c r="D2252" s="45">
        <v>45962</v>
      </c>
      <c r="E2252" s="45">
        <v>45991.999305555553</v>
      </c>
      <c r="F2252" s="42" t="s">
        <v>475</v>
      </c>
    </row>
    <row r="2253" spans="1:6" x14ac:dyDescent="0.35">
      <c r="A2253" s="42" t="s">
        <v>746</v>
      </c>
      <c r="B2253" s="42">
        <v>899.92</v>
      </c>
      <c r="C2253" s="43">
        <v>0.06</v>
      </c>
      <c r="D2253" s="45">
        <v>45962</v>
      </c>
      <c r="E2253" s="45">
        <v>45991.999305555553</v>
      </c>
      <c r="F2253" s="42" t="s">
        <v>475</v>
      </c>
    </row>
    <row r="2254" spans="1:6" x14ac:dyDescent="0.35">
      <c r="A2254" s="42" t="s">
        <v>747</v>
      </c>
      <c r="B2254" s="42">
        <v>899.92</v>
      </c>
      <c r="C2254" s="43">
        <v>0.06</v>
      </c>
      <c r="D2254" s="45">
        <v>45962</v>
      </c>
      <c r="E2254" s="45">
        <v>45991.999305555553</v>
      </c>
      <c r="F2254" s="42" t="s">
        <v>475</v>
      </c>
    </row>
    <row r="2255" spans="1:6" x14ac:dyDescent="0.35">
      <c r="A2255" s="42" t="s">
        <v>748</v>
      </c>
      <c r="B2255" s="42">
        <v>899.92</v>
      </c>
      <c r="C2255" s="43">
        <v>0.06</v>
      </c>
      <c r="D2255" s="45">
        <v>45962</v>
      </c>
      <c r="E2255" s="45">
        <v>45991.999305555553</v>
      </c>
      <c r="F2255" s="42" t="s">
        <v>475</v>
      </c>
    </row>
    <row r="2256" spans="1:6" x14ac:dyDescent="0.35">
      <c r="A2256" s="42" t="s">
        <v>651</v>
      </c>
      <c r="B2256" s="42">
        <v>1419.92</v>
      </c>
      <c r="C2256" s="43">
        <v>0.06</v>
      </c>
      <c r="D2256" s="45">
        <v>45962</v>
      </c>
      <c r="E2256" s="45">
        <v>45991.999305555553</v>
      </c>
      <c r="F2256" s="42" t="s">
        <v>475</v>
      </c>
    </row>
    <row r="2257" spans="1:6" x14ac:dyDescent="0.35">
      <c r="A2257" s="42" t="s">
        <v>774</v>
      </c>
      <c r="B2257" s="42">
        <v>1419.92</v>
      </c>
      <c r="C2257" s="43">
        <v>0.06</v>
      </c>
      <c r="D2257" s="45">
        <v>45962</v>
      </c>
      <c r="E2257" s="45">
        <v>45991.999305555553</v>
      </c>
      <c r="F2257" s="42" t="s">
        <v>475</v>
      </c>
    </row>
    <row r="2258" spans="1:6" x14ac:dyDescent="0.35">
      <c r="A2258" s="42" t="s">
        <v>775</v>
      </c>
      <c r="B2258" s="42">
        <v>1419.92</v>
      </c>
      <c r="C2258" s="43">
        <v>0.06</v>
      </c>
      <c r="D2258" s="45">
        <v>45962</v>
      </c>
      <c r="E2258" s="45">
        <v>45991.999305555553</v>
      </c>
      <c r="F2258" s="42" t="s">
        <v>475</v>
      </c>
    </row>
    <row r="2259" spans="1:6" x14ac:dyDescent="0.35">
      <c r="A2259" s="42" t="s">
        <v>776</v>
      </c>
      <c r="B2259" s="42">
        <v>1419.92</v>
      </c>
      <c r="C2259" s="43">
        <v>0.06</v>
      </c>
      <c r="D2259" s="45">
        <v>45962</v>
      </c>
      <c r="E2259" s="45">
        <v>45991.999305555553</v>
      </c>
      <c r="F2259" s="42" t="s">
        <v>475</v>
      </c>
    </row>
    <row r="2260" spans="1:6" x14ac:dyDescent="0.35">
      <c r="A2260" s="42" t="s">
        <v>777</v>
      </c>
      <c r="B2260" s="42">
        <v>1419.92</v>
      </c>
      <c r="C2260" s="43">
        <v>0.06</v>
      </c>
      <c r="D2260" s="45">
        <v>45962</v>
      </c>
      <c r="E2260" s="45">
        <v>45991.999305555553</v>
      </c>
      <c r="F2260" s="42" t="s">
        <v>475</v>
      </c>
    </row>
    <row r="2261" spans="1:6" x14ac:dyDescent="0.35">
      <c r="A2261" s="42" t="s">
        <v>778</v>
      </c>
      <c r="B2261" s="42">
        <v>1419.92</v>
      </c>
      <c r="C2261" s="43">
        <v>0.06</v>
      </c>
      <c r="D2261" s="45">
        <v>45962</v>
      </c>
      <c r="E2261" s="45">
        <v>45991.999305555553</v>
      </c>
      <c r="F2261" s="42" t="s">
        <v>475</v>
      </c>
    </row>
    <row r="2262" spans="1:6" x14ac:dyDescent="0.35">
      <c r="A2262" s="42" t="s">
        <v>779</v>
      </c>
      <c r="B2262" s="42">
        <v>1419.92</v>
      </c>
      <c r="C2262" s="43">
        <v>0.06</v>
      </c>
      <c r="D2262" s="45">
        <v>45962</v>
      </c>
      <c r="E2262" s="45">
        <v>45991.999305555553</v>
      </c>
      <c r="F2262" s="42" t="s">
        <v>475</v>
      </c>
    </row>
    <row r="2263" spans="1:6" x14ac:dyDescent="0.35">
      <c r="A2263" s="42" t="s">
        <v>511</v>
      </c>
      <c r="B2263" s="42">
        <v>3489.92</v>
      </c>
      <c r="C2263" s="43">
        <v>0.06</v>
      </c>
      <c r="D2263" s="45">
        <v>45962</v>
      </c>
      <c r="E2263" s="45">
        <v>45991.999305555553</v>
      </c>
      <c r="F2263" s="42" t="s">
        <v>475</v>
      </c>
    </row>
    <row r="2264" spans="1:6" x14ac:dyDescent="0.35">
      <c r="A2264" s="42" t="s">
        <v>571</v>
      </c>
      <c r="B2264" s="42">
        <v>269.92</v>
      </c>
      <c r="C2264" s="43">
        <v>0.06</v>
      </c>
      <c r="D2264" s="45">
        <v>45962</v>
      </c>
      <c r="E2264" s="45">
        <v>45991.999305555553</v>
      </c>
      <c r="F2264" s="42" t="s">
        <v>475</v>
      </c>
    </row>
    <row r="2265" spans="1:6" x14ac:dyDescent="0.35">
      <c r="A2265" s="42" t="s">
        <v>581</v>
      </c>
      <c r="B2265" s="42">
        <v>459.92</v>
      </c>
      <c r="C2265" s="43">
        <v>0.06</v>
      </c>
      <c r="D2265" s="45">
        <v>45962</v>
      </c>
      <c r="E2265" s="45">
        <v>45991.999305555553</v>
      </c>
      <c r="F2265" s="42" t="s">
        <v>475</v>
      </c>
    </row>
    <row r="2266" spans="1:6" x14ac:dyDescent="0.35">
      <c r="A2266" s="42" t="s">
        <v>579</v>
      </c>
      <c r="B2266" s="42">
        <v>459.92</v>
      </c>
      <c r="C2266" s="43">
        <v>0.06</v>
      </c>
      <c r="D2266" s="45">
        <v>45962</v>
      </c>
      <c r="E2266" s="45">
        <v>45991.999305555553</v>
      </c>
      <c r="F2266" s="42" t="s">
        <v>475</v>
      </c>
    </row>
    <row r="2267" spans="1:6" x14ac:dyDescent="0.35">
      <c r="A2267" s="42" t="s">
        <v>646</v>
      </c>
      <c r="B2267" s="42">
        <v>459.92</v>
      </c>
      <c r="C2267" s="43">
        <v>0.06</v>
      </c>
      <c r="D2267" s="45">
        <v>45962</v>
      </c>
      <c r="E2267" s="45">
        <v>45991.999305555553</v>
      </c>
      <c r="F2267" s="42" t="s">
        <v>475</v>
      </c>
    </row>
    <row r="2268" spans="1:6" x14ac:dyDescent="0.35">
      <c r="A2268" s="42" t="s">
        <v>496</v>
      </c>
      <c r="B2268" s="42">
        <v>529.91999999999996</v>
      </c>
      <c r="C2268" s="43">
        <v>0.06</v>
      </c>
      <c r="D2268" s="45">
        <v>45962</v>
      </c>
      <c r="E2268" s="45">
        <v>45991.999305555553</v>
      </c>
      <c r="F2268" s="42" t="s">
        <v>475</v>
      </c>
    </row>
    <row r="2269" spans="1:6" x14ac:dyDescent="0.35">
      <c r="A2269" s="42" t="s">
        <v>585</v>
      </c>
      <c r="B2269" s="42">
        <v>529.91999999999996</v>
      </c>
      <c r="C2269" s="43">
        <v>0.06</v>
      </c>
      <c r="D2269" s="45">
        <v>45962</v>
      </c>
      <c r="E2269" s="45">
        <v>45991.999305555553</v>
      </c>
      <c r="F2269" s="42" t="s">
        <v>475</v>
      </c>
    </row>
    <row r="2270" spans="1:6" x14ac:dyDescent="0.35">
      <c r="A2270" s="42" t="s">
        <v>586</v>
      </c>
      <c r="B2270" s="42">
        <v>529.91999999999996</v>
      </c>
      <c r="C2270" s="43">
        <v>0.06</v>
      </c>
      <c r="D2270" s="45">
        <v>45962</v>
      </c>
      <c r="E2270" s="45">
        <v>45991.999305555553</v>
      </c>
      <c r="F2270" s="42" t="s">
        <v>475</v>
      </c>
    </row>
    <row r="2271" spans="1:6" x14ac:dyDescent="0.35">
      <c r="A2271" s="42" t="s">
        <v>282</v>
      </c>
      <c r="B2271" s="42">
        <v>529.91999999999996</v>
      </c>
      <c r="C2271" s="43">
        <v>0.06</v>
      </c>
      <c r="D2271" s="45">
        <v>45962</v>
      </c>
      <c r="E2271" s="45">
        <v>45991.999305555553</v>
      </c>
      <c r="F2271" s="42" t="s">
        <v>475</v>
      </c>
    </row>
    <row r="2272" spans="1:6" x14ac:dyDescent="0.35">
      <c r="A2272" s="42" t="s">
        <v>591</v>
      </c>
      <c r="B2272" s="42">
        <v>719.92</v>
      </c>
      <c r="C2272" s="43">
        <v>0.06</v>
      </c>
      <c r="D2272" s="45">
        <v>45962</v>
      </c>
      <c r="E2272" s="45">
        <v>45991.999305555553</v>
      </c>
      <c r="F2272" s="42" t="s">
        <v>475</v>
      </c>
    </row>
    <row r="2273" spans="1:6" x14ac:dyDescent="0.35">
      <c r="A2273" s="42" t="s">
        <v>102</v>
      </c>
      <c r="B2273" s="42">
        <v>919.92</v>
      </c>
      <c r="C2273" s="43">
        <v>0.06</v>
      </c>
      <c r="D2273" s="45">
        <v>45962</v>
      </c>
      <c r="E2273" s="45">
        <v>45991.999305555553</v>
      </c>
      <c r="F2273" s="42" t="s">
        <v>475</v>
      </c>
    </row>
    <row r="2274" spans="1:6" x14ac:dyDescent="0.35">
      <c r="A2274" s="42" t="s">
        <v>484</v>
      </c>
      <c r="B2274" s="42">
        <v>919.92</v>
      </c>
      <c r="C2274" s="43">
        <v>0.06</v>
      </c>
      <c r="D2274" s="45">
        <v>45962</v>
      </c>
      <c r="E2274" s="45">
        <v>45991.999305555553</v>
      </c>
      <c r="F2274" s="42" t="s">
        <v>475</v>
      </c>
    </row>
    <row r="2275" spans="1:6" x14ac:dyDescent="0.35">
      <c r="A2275" s="42" t="s">
        <v>618</v>
      </c>
      <c r="B2275" s="42">
        <v>919.92</v>
      </c>
      <c r="C2275" s="43">
        <v>0.06</v>
      </c>
      <c r="D2275" s="45">
        <v>45962</v>
      </c>
      <c r="E2275" s="45">
        <v>45991.999305555553</v>
      </c>
      <c r="F2275" s="42" t="s">
        <v>475</v>
      </c>
    </row>
    <row r="2276" spans="1:6" x14ac:dyDescent="0.35">
      <c r="A2276" s="42" t="s">
        <v>452</v>
      </c>
      <c r="B2276" s="42">
        <v>1369.92</v>
      </c>
      <c r="C2276" s="43">
        <v>0.06</v>
      </c>
      <c r="D2276" s="45">
        <v>45962</v>
      </c>
      <c r="E2276" s="45">
        <v>45991.999305555553</v>
      </c>
      <c r="F2276" s="42" t="s">
        <v>475</v>
      </c>
    </row>
    <row r="2277" spans="1:6" x14ac:dyDescent="0.35">
      <c r="A2277" s="42" t="s">
        <v>37</v>
      </c>
      <c r="B2277" s="42">
        <v>1369.92</v>
      </c>
      <c r="C2277" s="43">
        <v>0.06</v>
      </c>
      <c r="D2277" s="45">
        <v>45962</v>
      </c>
      <c r="E2277" s="45">
        <v>45991.999305555553</v>
      </c>
      <c r="F2277" s="42" t="s">
        <v>475</v>
      </c>
    </row>
    <row r="2278" spans="1:6" x14ac:dyDescent="0.35">
      <c r="A2278" s="42" t="s">
        <v>489</v>
      </c>
      <c r="B2278" s="42">
        <v>1369.92</v>
      </c>
      <c r="C2278" s="43">
        <v>0.06</v>
      </c>
      <c r="D2278" s="45">
        <v>45962</v>
      </c>
      <c r="E2278" s="45">
        <v>45991.999305555553</v>
      </c>
      <c r="F2278" s="42" t="s">
        <v>475</v>
      </c>
    </row>
    <row r="2279" spans="1:6" x14ac:dyDescent="0.35">
      <c r="A2279" s="42" t="s">
        <v>49</v>
      </c>
      <c r="B2279" s="42">
        <v>1539.92</v>
      </c>
      <c r="C2279" s="43">
        <v>0.06</v>
      </c>
      <c r="D2279" s="45">
        <v>45962</v>
      </c>
      <c r="E2279" s="45">
        <v>45991.999305555553</v>
      </c>
      <c r="F2279" s="42" t="s">
        <v>475</v>
      </c>
    </row>
    <row r="2280" spans="1:6" x14ac:dyDescent="0.35">
      <c r="A2280" s="42" t="s">
        <v>281</v>
      </c>
      <c r="B2280" s="42">
        <v>1539.92</v>
      </c>
      <c r="C2280" s="43">
        <v>0.06</v>
      </c>
      <c r="D2280" s="45">
        <v>45962</v>
      </c>
      <c r="E2280" s="45">
        <v>45991.999305555553</v>
      </c>
      <c r="F2280" s="42" t="s">
        <v>475</v>
      </c>
    </row>
    <row r="2281" spans="1:6" x14ac:dyDescent="0.35">
      <c r="A2281" s="42" t="s">
        <v>647</v>
      </c>
      <c r="B2281" s="42">
        <v>1539.92</v>
      </c>
      <c r="C2281" s="43">
        <v>0.06</v>
      </c>
      <c r="D2281" s="45">
        <v>45962</v>
      </c>
      <c r="E2281" s="45">
        <v>45991.999305555553</v>
      </c>
      <c r="F2281" s="42" t="s">
        <v>475</v>
      </c>
    </row>
    <row r="2282" spans="1:6" x14ac:dyDescent="0.35">
      <c r="A2282" s="42" t="s">
        <v>661</v>
      </c>
      <c r="B2282" s="42">
        <v>2359.92</v>
      </c>
      <c r="C2282" s="43">
        <v>0.06</v>
      </c>
      <c r="D2282" s="45">
        <v>45962</v>
      </c>
      <c r="E2282" s="45">
        <v>45991.999305555553</v>
      </c>
      <c r="F2282" s="42" t="s">
        <v>475</v>
      </c>
    </row>
    <row r="2283" spans="1:6" x14ac:dyDescent="0.35">
      <c r="A2283" s="42" t="s">
        <v>405</v>
      </c>
      <c r="B2283" s="42">
        <v>2369.92</v>
      </c>
      <c r="C2283" s="43">
        <v>0.06</v>
      </c>
      <c r="D2283" s="45">
        <v>45962</v>
      </c>
      <c r="E2283" s="45">
        <v>45991.999305555553</v>
      </c>
      <c r="F2283" s="42" t="s">
        <v>475</v>
      </c>
    </row>
    <row r="2284" spans="1:6" x14ac:dyDescent="0.35">
      <c r="A2284" s="42" t="s">
        <v>573</v>
      </c>
      <c r="B2284" s="42">
        <v>279.92</v>
      </c>
      <c r="C2284" s="43">
        <v>0.06</v>
      </c>
      <c r="D2284" s="45">
        <v>45962</v>
      </c>
      <c r="E2284" s="45">
        <v>45991.999305555553</v>
      </c>
      <c r="F2284" s="42" t="s">
        <v>475</v>
      </c>
    </row>
    <row r="2285" spans="1:6" x14ac:dyDescent="0.35">
      <c r="A2285" s="42" t="s">
        <v>572</v>
      </c>
      <c r="B2285" s="42">
        <v>279.92</v>
      </c>
      <c r="C2285" s="43">
        <v>0.06</v>
      </c>
      <c r="D2285" s="45">
        <v>45962</v>
      </c>
      <c r="E2285" s="45">
        <v>45991.999305555553</v>
      </c>
      <c r="F2285" s="42" t="s">
        <v>475</v>
      </c>
    </row>
    <row r="2286" spans="1:6" x14ac:dyDescent="0.35">
      <c r="A2286" s="42" t="s">
        <v>546</v>
      </c>
      <c r="B2286" s="42">
        <v>279.92</v>
      </c>
      <c r="C2286" s="43">
        <v>0.06</v>
      </c>
      <c r="D2286" s="45">
        <v>45962</v>
      </c>
      <c r="E2286" s="45">
        <v>45991.999305555553</v>
      </c>
      <c r="F2286" s="42" t="s">
        <v>475</v>
      </c>
    </row>
    <row r="2287" spans="1:6" x14ac:dyDescent="0.35">
      <c r="A2287" s="42" t="s">
        <v>617</v>
      </c>
      <c r="B2287" s="42">
        <v>279.92</v>
      </c>
      <c r="C2287" s="43">
        <v>0.06</v>
      </c>
      <c r="D2287" s="45">
        <v>45962</v>
      </c>
      <c r="E2287" s="45">
        <v>45991.999305555553</v>
      </c>
      <c r="F2287" s="42" t="s">
        <v>475</v>
      </c>
    </row>
    <row r="2288" spans="1:6" x14ac:dyDescent="0.35">
      <c r="A2288" s="42" t="s">
        <v>14</v>
      </c>
      <c r="B2288" s="42">
        <v>369.92</v>
      </c>
      <c r="C2288" s="43">
        <v>0.06</v>
      </c>
      <c r="D2288" s="45">
        <v>45962</v>
      </c>
      <c r="E2288" s="45">
        <v>45991.999305555553</v>
      </c>
      <c r="F2288" s="42" t="s">
        <v>475</v>
      </c>
    </row>
    <row r="2289" spans="1:6" x14ac:dyDescent="0.35">
      <c r="A2289" s="42" t="s">
        <v>12</v>
      </c>
      <c r="B2289" s="42">
        <v>369.92</v>
      </c>
      <c r="C2289" s="43">
        <v>0.06</v>
      </c>
      <c r="D2289" s="45">
        <v>45962</v>
      </c>
      <c r="E2289" s="45">
        <v>45991.999305555553</v>
      </c>
      <c r="F2289" s="42" t="s">
        <v>475</v>
      </c>
    </row>
    <row r="2290" spans="1:6" x14ac:dyDescent="0.35">
      <c r="A2290" s="42" t="s">
        <v>577</v>
      </c>
      <c r="B2290" s="42">
        <v>369.92</v>
      </c>
      <c r="C2290" s="43">
        <v>0.06</v>
      </c>
      <c r="D2290" s="45">
        <v>45962</v>
      </c>
      <c r="E2290" s="45">
        <v>45991.999305555553</v>
      </c>
      <c r="F2290" s="42" t="s">
        <v>475</v>
      </c>
    </row>
    <row r="2291" spans="1:6" x14ac:dyDescent="0.35">
      <c r="A2291" s="42" t="s">
        <v>601</v>
      </c>
      <c r="B2291" s="42">
        <v>469.92</v>
      </c>
      <c r="C2291" s="43">
        <v>0.06</v>
      </c>
      <c r="D2291" s="45">
        <v>45962</v>
      </c>
      <c r="E2291" s="45">
        <v>45991.999305555553</v>
      </c>
      <c r="F2291" s="42" t="s">
        <v>475</v>
      </c>
    </row>
    <row r="2292" spans="1:6" x14ac:dyDescent="0.35">
      <c r="A2292" s="42" t="s">
        <v>614</v>
      </c>
      <c r="B2292" s="42">
        <v>469.92</v>
      </c>
      <c r="C2292" s="43">
        <v>0.06</v>
      </c>
      <c r="D2292" s="45">
        <v>45962</v>
      </c>
      <c r="E2292" s="45">
        <v>45991.999305555553</v>
      </c>
      <c r="F2292" s="42" t="s">
        <v>475</v>
      </c>
    </row>
    <row r="2293" spans="1:6" x14ac:dyDescent="0.35">
      <c r="A2293" s="42" t="s">
        <v>524</v>
      </c>
      <c r="B2293" s="42">
        <v>549.91999999999996</v>
      </c>
      <c r="C2293" s="43">
        <v>0.06</v>
      </c>
      <c r="D2293" s="45">
        <v>45962</v>
      </c>
      <c r="E2293" s="45">
        <v>45991.999305555553</v>
      </c>
      <c r="F2293" s="42" t="s">
        <v>475</v>
      </c>
    </row>
    <row r="2294" spans="1:6" x14ac:dyDescent="0.35">
      <c r="A2294" s="42" t="s">
        <v>525</v>
      </c>
      <c r="B2294" s="42">
        <v>549.91999999999996</v>
      </c>
      <c r="C2294" s="43">
        <v>0.06</v>
      </c>
      <c r="D2294" s="45">
        <v>45962</v>
      </c>
      <c r="E2294" s="45">
        <v>45991.999305555553</v>
      </c>
      <c r="F2294" s="42" t="s">
        <v>475</v>
      </c>
    </row>
    <row r="2295" spans="1:6" x14ac:dyDescent="0.35">
      <c r="A2295" s="42" t="s">
        <v>544</v>
      </c>
      <c r="B2295" s="42">
        <v>549.91999999999996</v>
      </c>
      <c r="C2295" s="43">
        <v>0.06</v>
      </c>
      <c r="D2295" s="45">
        <v>45962</v>
      </c>
      <c r="E2295" s="45">
        <v>45991.999305555553</v>
      </c>
      <c r="F2295" s="42" t="s">
        <v>475</v>
      </c>
    </row>
    <row r="2296" spans="1:6" x14ac:dyDescent="0.35">
      <c r="A2296" s="42" t="s">
        <v>279</v>
      </c>
      <c r="B2296" s="42">
        <v>549.91999999999996</v>
      </c>
      <c r="C2296" s="43">
        <v>0.06</v>
      </c>
      <c r="D2296" s="45">
        <v>45962</v>
      </c>
      <c r="E2296" s="45">
        <v>45991.999305555553</v>
      </c>
      <c r="F2296" s="42" t="s">
        <v>475</v>
      </c>
    </row>
    <row r="2297" spans="1:6" x14ac:dyDescent="0.35">
      <c r="A2297" s="42" t="s">
        <v>25</v>
      </c>
      <c r="B2297" s="42">
        <v>549.91999999999996</v>
      </c>
      <c r="C2297" s="43">
        <v>0.06</v>
      </c>
      <c r="D2297" s="45">
        <v>45962</v>
      </c>
      <c r="E2297" s="45">
        <v>45991.999305555553</v>
      </c>
      <c r="F2297" s="42" t="s">
        <v>475</v>
      </c>
    </row>
    <row r="2298" spans="1:6" x14ac:dyDescent="0.35">
      <c r="A2298" s="42" t="s">
        <v>179</v>
      </c>
      <c r="B2298" s="42">
        <v>549.91999999999996</v>
      </c>
      <c r="C2298" s="43">
        <v>0.06</v>
      </c>
      <c r="D2298" s="45">
        <v>45962</v>
      </c>
      <c r="E2298" s="45">
        <v>45991.999305555553</v>
      </c>
      <c r="F2298" s="42" t="s">
        <v>475</v>
      </c>
    </row>
    <row r="2299" spans="1:6" x14ac:dyDescent="0.35">
      <c r="A2299" s="42" t="s">
        <v>616</v>
      </c>
      <c r="B2299" s="42">
        <v>549.91999999999996</v>
      </c>
      <c r="C2299" s="43">
        <v>0.06</v>
      </c>
      <c r="D2299" s="45">
        <v>45962</v>
      </c>
      <c r="E2299" s="45">
        <v>45991.999305555553</v>
      </c>
      <c r="F2299" s="42" t="s">
        <v>475</v>
      </c>
    </row>
    <row r="2300" spans="1:6" x14ac:dyDescent="0.35">
      <c r="A2300" s="42" t="s">
        <v>654</v>
      </c>
      <c r="B2300" s="42">
        <v>549.91999999999996</v>
      </c>
      <c r="C2300" s="43">
        <v>0.06</v>
      </c>
      <c r="D2300" s="45">
        <v>45962</v>
      </c>
      <c r="E2300" s="45">
        <v>45991.999305555553</v>
      </c>
      <c r="F2300" s="42" t="s">
        <v>475</v>
      </c>
    </row>
    <row r="2301" spans="1:6" x14ac:dyDescent="0.35">
      <c r="A2301" s="42" t="s">
        <v>886</v>
      </c>
      <c r="B2301" s="42">
        <v>549.91999999999996</v>
      </c>
      <c r="C2301" s="43">
        <v>0.06</v>
      </c>
      <c r="D2301" s="45">
        <v>45962</v>
      </c>
      <c r="E2301" s="45">
        <v>45991.999305555553</v>
      </c>
      <c r="F2301" s="42" t="s">
        <v>475</v>
      </c>
    </row>
    <row r="2302" spans="1:6" x14ac:dyDescent="0.35">
      <c r="A2302" s="42" t="s">
        <v>887</v>
      </c>
      <c r="B2302" s="42">
        <v>549.91999999999996</v>
      </c>
      <c r="C2302" s="43">
        <v>0.06</v>
      </c>
      <c r="D2302" s="45">
        <v>45962</v>
      </c>
      <c r="E2302" s="45">
        <v>45991.999305555553</v>
      </c>
      <c r="F2302" s="42" t="s">
        <v>475</v>
      </c>
    </row>
    <row r="2303" spans="1:6" x14ac:dyDescent="0.35">
      <c r="A2303" s="42" t="s">
        <v>888</v>
      </c>
      <c r="B2303" s="42">
        <v>549.91999999999996</v>
      </c>
      <c r="C2303" s="43">
        <v>0.06</v>
      </c>
      <c r="D2303" s="45">
        <v>45962</v>
      </c>
      <c r="E2303" s="45">
        <v>45991.999305555553</v>
      </c>
      <c r="F2303" s="42" t="s">
        <v>475</v>
      </c>
    </row>
    <row r="2304" spans="1:6" x14ac:dyDescent="0.35">
      <c r="A2304" s="42" t="s">
        <v>889</v>
      </c>
      <c r="B2304" s="42">
        <v>549.91999999999996</v>
      </c>
      <c r="C2304" s="43">
        <v>0.06</v>
      </c>
      <c r="D2304" s="45">
        <v>45962</v>
      </c>
      <c r="E2304" s="45">
        <v>45991.999305555553</v>
      </c>
      <c r="F2304" s="42" t="s">
        <v>475</v>
      </c>
    </row>
    <row r="2305" spans="1:6" x14ac:dyDescent="0.35">
      <c r="A2305" s="42" t="s">
        <v>498</v>
      </c>
      <c r="B2305" s="42">
        <v>639.91999999999996</v>
      </c>
      <c r="C2305" s="43">
        <v>0.06</v>
      </c>
      <c r="D2305" s="45">
        <v>45962</v>
      </c>
      <c r="E2305" s="45">
        <v>45991.999305555553</v>
      </c>
      <c r="F2305" s="42" t="s">
        <v>475</v>
      </c>
    </row>
    <row r="2306" spans="1:6" x14ac:dyDescent="0.35">
      <c r="A2306" s="42" t="s">
        <v>497</v>
      </c>
      <c r="B2306" s="42">
        <v>639.91999999999996</v>
      </c>
      <c r="C2306" s="43">
        <v>0.06</v>
      </c>
      <c r="D2306" s="45">
        <v>45962</v>
      </c>
      <c r="E2306" s="45">
        <v>45991.999305555553</v>
      </c>
      <c r="F2306" s="42" t="s">
        <v>475</v>
      </c>
    </row>
    <row r="2307" spans="1:6" x14ac:dyDescent="0.35">
      <c r="A2307" s="42" t="s">
        <v>27</v>
      </c>
      <c r="B2307" s="42">
        <v>639.91999999999996</v>
      </c>
      <c r="C2307" s="43">
        <v>0.06</v>
      </c>
      <c r="D2307" s="45">
        <v>45962</v>
      </c>
      <c r="E2307" s="45">
        <v>45991.999305555553</v>
      </c>
      <c r="F2307" s="42" t="s">
        <v>475</v>
      </c>
    </row>
    <row r="2308" spans="1:6" x14ac:dyDescent="0.35">
      <c r="A2308" s="42" t="s">
        <v>73</v>
      </c>
      <c r="B2308" s="42">
        <v>639.91999999999996</v>
      </c>
      <c r="C2308" s="43">
        <v>0.06</v>
      </c>
      <c r="D2308" s="45">
        <v>45962</v>
      </c>
      <c r="E2308" s="45">
        <v>45991.999305555553</v>
      </c>
      <c r="F2308" s="42" t="s">
        <v>475</v>
      </c>
    </row>
    <row r="2309" spans="1:6" x14ac:dyDescent="0.35">
      <c r="A2309" s="42" t="s">
        <v>128</v>
      </c>
      <c r="B2309" s="42">
        <v>639.91999999999996</v>
      </c>
      <c r="C2309" s="43">
        <v>0.06</v>
      </c>
      <c r="D2309" s="45">
        <v>45962</v>
      </c>
      <c r="E2309" s="45">
        <v>45991.999305555553</v>
      </c>
      <c r="F2309" s="42" t="s">
        <v>475</v>
      </c>
    </row>
    <row r="2310" spans="1:6" x14ac:dyDescent="0.35">
      <c r="A2310" s="42" t="s">
        <v>122</v>
      </c>
      <c r="B2310" s="42">
        <v>639.91999999999996</v>
      </c>
      <c r="C2310" s="43">
        <v>0.06</v>
      </c>
      <c r="D2310" s="45">
        <v>45962</v>
      </c>
      <c r="E2310" s="45">
        <v>45991.999305555553</v>
      </c>
      <c r="F2310" s="42" t="s">
        <v>475</v>
      </c>
    </row>
    <row r="2311" spans="1:6" x14ac:dyDescent="0.35">
      <c r="A2311" s="42" t="s">
        <v>399</v>
      </c>
      <c r="B2311" s="42">
        <v>639.91999999999996</v>
      </c>
      <c r="C2311" s="43">
        <v>0.06</v>
      </c>
      <c r="D2311" s="45">
        <v>45962</v>
      </c>
      <c r="E2311" s="45">
        <v>45991.999305555553</v>
      </c>
      <c r="F2311" s="42" t="s">
        <v>475</v>
      </c>
    </row>
    <row r="2312" spans="1:6" x14ac:dyDescent="0.35">
      <c r="A2312" s="42" t="s">
        <v>792</v>
      </c>
      <c r="B2312" s="42">
        <v>639.91999999999996</v>
      </c>
      <c r="C2312" s="43">
        <v>0.06</v>
      </c>
      <c r="D2312" s="45">
        <v>45962</v>
      </c>
      <c r="E2312" s="45">
        <v>45991.999305555553</v>
      </c>
      <c r="F2312" s="42" t="s">
        <v>475</v>
      </c>
    </row>
    <row r="2313" spans="1:6" x14ac:dyDescent="0.35">
      <c r="A2313" s="42" t="s">
        <v>793</v>
      </c>
      <c r="B2313" s="42">
        <v>639.91999999999996</v>
      </c>
      <c r="C2313" s="43">
        <v>0.06</v>
      </c>
      <c r="D2313" s="45">
        <v>45962</v>
      </c>
      <c r="E2313" s="45">
        <v>45991.999305555553</v>
      </c>
      <c r="F2313" s="42" t="s">
        <v>475</v>
      </c>
    </row>
    <row r="2314" spans="1:6" x14ac:dyDescent="0.35">
      <c r="A2314" s="42" t="s">
        <v>794</v>
      </c>
      <c r="B2314" s="42">
        <v>639.91999999999996</v>
      </c>
      <c r="C2314" s="43">
        <v>0.06</v>
      </c>
      <c r="D2314" s="45">
        <v>45962</v>
      </c>
      <c r="E2314" s="45">
        <v>45991.999305555553</v>
      </c>
      <c r="F2314" s="42" t="s">
        <v>475</v>
      </c>
    </row>
    <row r="2315" spans="1:6" x14ac:dyDescent="0.35">
      <c r="A2315" s="42" t="s">
        <v>795</v>
      </c>
      <c r="B2315" s="42">
        <v>639.91999999999996</v>
      </c>
      <c r="C2315" s="43">
        <v>0.06</v>
      </c>
      <c r="D2315" s="45">
        <v>45962</v>
      </c>
      <c r="E2315" s="45">
        <v>45991.999305555553</v>
      </c>
      <c r="F2315" s="42" t="s">
        <v>475</v>
      </c>
    </row>
    <row r="2316" spans="1:6" x14ac:dyDescent="0.35">
      <c r="A2316" s="42" t="s">
        <v>796</v>
      </c>
      <c r="B2316" s="42">
        <v>639.91999999999996</v>
      </c>
      <c r="C2316" s="43">
        <v>0.06</v>
      </c>
      <c r="D2316" s="45">
        <v>45962</v>
      </c>
      <c r="E2316" s="45">
        <v>45991.999305555553</v>
      </c>
      <c r="F2316" s="42" t="s">
        <v>475</v>
      </c>
    </row>
    <row r="2317" spans="1:6" x14ac:dyDescent="0.35">
      <c r="A2317" s="42" t="s">
        <v>797</v>
      </c>
      <c r="B2317" s="42">
        <v>639.91999999999996</v>
      </c>
      <c r="C2317" s="43">
        <v>0.06</v>
      </c>
      <c r="D2317" s="45">
        <v>45962</v>
      </c>
      <c r="E2317" s="45">
        <v>45991.999305555553</v>
      </c>
      <c r="F2317" s="42" t="s">
        <v>475</v>
      </c>
    </row>
    <row r="2318" spans="1:6" x14ac:dyDescent="0.35">
      <c r="A2318" s="42" t="s">
        <v>798</v>
      </c>
      <c r="B2318" s="42">
        <v>639.91999999999996</v>
      </c>
      <c r="C2318" s="43">
        <v>0.06</v>
      </c>
      <c r="D2318" s="45">
        <v>45962</v>
      </c>
      <c r="E2318" s="45">
        <v>45991.999305555553</v>
      </c>
      <c r="F2318" s="42" t="s">
        <v>475</v>
      </c>
    </row>
    <row r="2319" spans="1:6" x14ac:dyDescent="0.35">
      <c r="A2319" s="42" t="s">
        <v>799</v>
      </c>
      <c r="B2319" s="42">
        <v>639.91999999999996</v>
      </c>
      <c r="C2319" s="43">
        <v>0.06</v>
      </c>
      <c r="D2319" s="45">
        <v>45962</v>
      </c>
      <c r="E2319" s="45">
        <v>45991.999305555553</v>
      </c>
      <c r="F2319" s="42" t="s">
        <v>475</v>
      </c>
    </row>
    <row r="2320" spans="1:6" x14ac:dyDescent="0.35">
      <c r="A2320" s="42" t="s">
        <v>800</v>
      </c>
      <c r="B2320" s="42">
        <v>639.91999999999996</v>
      </c>
      <c r="C2320" s="43">
        <v>0.06</v>
      </c>
      <c r="D2320" s="45">
        <v>45962</v>
      </c>
      <c r="E2320" s="45">
        <v>45991.999305555553</v>
      </c>
      <c r="F2320" s="42" t="s">
        <v>475</v>
      </c>
    </row>
    <row r="2321" spans="1:6" x14ac:dyDescent="0.35">
      <c r="A2321" s="42" t="s">
        <v>863</v>
      </c>
      <c r="B2321" s="42">
        <v>639.91999999999996</v>
      </c>
      <c r="C2321" s="43">
        <v>0.06</v>
      </c>
      <c r="D2321" s="45">
        <v>45962</v>
      </c>
      <c r="E2321" s="45">
        <v>45991.999305555553</v>
      </c>
      <c r="F2321" s="42" t="s">
        <v>475</v>
      </c>
    </row>
    <row r="2322" spans="1:6" x14ac:dyDescent="0.35">
      <c r="A2322" s="42" t="s">
        <v>864</v>
      </c>
      <c r="B2322" s="42">
        <v>639.91999999999996</v>
      </c>
      <c r="C2322" s="43">
        <v>0.06</v>
      </c>
      <c r="D2322" s="45">
        <v>45962</v>
      </c>
      <c r="E2322" s="45">
        <v>45991.999305555553</v>
      </c>
      <c r="F2322" s="42" t="s">
        <v>475</v>
      </c>
    </row>
    <row r="2323" spans="1:6" x14ac:dyDescent="0.35">
      <c r="A2323" s="42" t="s">
        <v>865</v>
      </c>
      <c r="B2323" s="42">
        <v>639.91999999999996</v>
      </c>
      <c r="C2323" s="43">
        <v>0.06</v>
      </c>
      <c r="D2323" s="45">
        <v>45962</v>
      </c>
      <c r="E2323" s="45">
        <v>45991.999305555553</v>
      </c>
      <c r="F2323" s="42" t="s">
        <v>475</v>
      </c>
    </row>
    <row r="2324" spans="1:6" x14ac:dyDescent="0.35">
      <c r="A2324" s="42" t="s">
        <v>866</v>
      </c>
      <c r="B2324" s="42">
        <v>639.91999999999996</v>
      </c>
      <c r="C2324" s="43">
        <v>0.06</v>
      </c>
      <c r="D2324" s="45">
        <v>45962</v>
      </c>
      <c r="E2324" s="45">
        <v>45991.999305555553</v>
      </c>
      <c r="F2324" s="42" t="s">
        <v>475</v>
      </c>
    </row>
    <row r="2325" spans="1:6" x14ac:dyDescent="0.35">
      <c r="A2325" s="42" t="s">
        <v>867</v>
      </c>
      <c r="B2325" s="42">
        <v>639.91999999999996</v>
      </c>
      <c r="C2325" s="43">
        <v>0.06</v>
      </c>
      <c r="D2325" s="45">
        <v>45962</v>
      </c>
      <c r="E2325" s="45">
        <v>45991.999305555553</v>
      </c>
      <c r="F2325" s="42" t="s">
        <v>475</v>
      </c>
    </row>
    <row r="2326" spans="1:6" x14ac:dyDescent="0.35">
      <c r="A2326" s="42" t="s">
        <v>868</v>
      </c>
      <c r="B2326" s="42">
        <v>639.91999999999996</v>
      </c>
      <c r="C2326" s="43">
        <v>0.06</v>
      </c>
      <c r="D2326" s="45">
        <v>45962</v>
      </c>
      <c r="E2326" s="45">
        <v>45991.999305555553</v>
      </c>
      <c r="F2326" s="42" t="s">
        <v>475</v>
      </c>
    </row>
    <row r="2327" spans="1:6" x14ac:dyDescent="0.35">
      <c r="A2327" s="42" t="s">
        <v>522</v>
      </c>
      <c r="B2327" s="42">
        <v>739.92</v>
      </c>
      <c r="C2327" s="43">
        <v>0.06</v>
      </c>
      <c r="D2327" s="45">
        <v>45962</v>
      </c>
      <c r="E2327" s="45">
        <v>45991.999305555553</v>
      </c>
      <c r="F2327" s="42" t="s">
        <v>475</v>
      </c>
    </row>
    <row r="2328" spans="1:6" x14ac:dyDescent="0.35">
      <c r="A2328" s="42" t="s">
        <v>481</v>
      </c>
      <c r="B2328" s="42">
        <v>739.92</v>
      </c>
      <c r="C2328" s="43">
        <v>0.06</v>
      </c>
      <c r="D2328" s="45">
        <v>45962</v>
      </c>
      <c r="E2328" s="45">
        <v>45991.999305555553</v>
      </c>
      <c r="F2328" s="42" t="s">
        <v>475</v>
      </c>
    </row>
    <row r="2329" spans="1:6" x14ac:dyDescent="0.35">
      <c r="A2329" s="42" t="s">
        <v>532</v>
      </c>
      <c r="B2329" s="42">
        <v>739.92</v>
      </c>
      <c r="C2329" s="43">
        <v>0.06</v>
      </c>
      <c r="D2329" s="45">
        <v>45962</v>
      </c>
      <c r="E2329" s="45">
        <v>45991.999305555553</v>
      </c>
      <c r="F2329" s="42" t="s">
        <v>475</v>
      </c>
    </row>
    <row r="2330" spans="1:6" x14ac:dyDescent="0.35">
      <c r="A2330" s="42" t="s">
        <v>593</v>
      </c>
      <c r="B2330" s="42">
        <v>739.92</v>
      </c>
      <c r="C2330" s="43">
        <v>0.06</v>
      </c>
      <c r="D2330" s="45">
        <v>45962</v>
      </c>
      <c r="E2330" s="45">
        <v>45991.999305555553</v>
      </c>
      <c r="F2330" s="42" t="s">
        <v>475</v>
      </c>
    </row>
    <row r="2331" spans="1:6" x14ac:dyDescent="0.35">
      <c r="A2331" s="42" t="s">
        <v>283</v>
      </c>
      <c r="B2331" s="42">
        <v>739.92</v>
      </c>
      <c r="C2331" s="43">
        <v>0.06</v>
      </c>
      <c r="D2331" s="45">
        <v>45962</v>
      </c>
      <c r="E2331" s="45">
        <v>45991.999305555553</v>
      </c>
      <c r="F2331" s="42" t="s">
        <v>475</v>
      </c>
    </row>
    <row r="2332" spans="1:6" x14ac:dyDescent="0.35">
      <c r="A2332" s="42" t="s">
        <v>30</v>
      </c>
      <c r="B2332" s="42">
        <v>739.92</v>
      </c>
      <c r="C2332" s="43">
        <v>0.06</v>
      </c>
      <c r="D2332" s="45">
        <v>45962</v>
      </c>
      <c r="E2332" s="45">
        <v>45991.999305555553</v>
      </c>
      <c r="F2332" s="42" t="s">
        <v>475</v>
      </c>
    </row>
    <row r="2333" spans="1:6" x14ac:dyDescent="0.35">
      <c r="A2333" s="42" t="s">
        <v>59</v>
      </c>
      <c r="B2333" s="42">
        <v>739.92</v>
      </c>
      <c r="C2333" s="43">
        <v>0.06</v>
      </c>
      <c r="D2333" s="45">
        <v>45962</v>
      </c>
      <c r="E2333" s="45">
        <v>45991.999305555553</v>
      </c>
      <c r="F2333" s="42" t="s">
        <v>475</v>
      </c>
    </row>
    <row r="2334" spans="1:6" x14ac:dyDescent="0.35">
      <c r="A2334" s="42" t="s">
        <v>31</v>
      </c>
      <c r="B2334" s="42">
        <v>739.92</v>
      </c>
      <c r="C2334" s="43">
        <v>0.06</v>
      </c>
      <c r="D2334" s="45">
        <v>45962</v>
      </c>
      <c r="E2334" s="45">
        <v>45991.999305555553</v>
      </c>
      <c r="F2334" s="42" t="s">
        <v>475</v>
      </c>
    </row>
    <row r="2335" spans="1:6" x14ac:dyDescent="0.35">
      <c r="A2335" s="42" t="s">
        <v>40</v>
      </c>
      <c r="B2335" s="42">
        <v>739.92</v>
      </c>
      <c r="C2335" s="43">
        <v>0.06</v>
      </c>
      <c r="D2335" s="45">
        <v>45962</v>
      </c>
      <c r="E2335" s="45">
        <v>45991.999305555553</v>
      </c>
      <c r="F2335" s="42" t="s">
        <v>475</v>
      </c>
    </row>
    <row r="2336" spans="1:6" x14ac:dyDescent="0.35">
      <c r="A2336" s="42" t="s">
        <v>58</v>
      </c>
      <c r="B2336" s="42">
        <v>739.92</v>
      </c>
      <c r="C2336" s="43">
        <v>0.06</v>
      </c>
      <c r="D2336" s="45">
        <v>45962</v>
      </c>
      <c r="E2336" s="45">
        <v>45991.999305555553</v>
      </c>
      <c r="F2336" s="42" t="s">
        <v>475</v>
      </c>
    </row>
    <row r="2337" spans="1:6" x14ac:dyDescent="0.35">
      <c r="A2337" s="42" t="s">
        <v>57</v>
      </c>
      <c r="B2337" s="42">
        <v>739.92</v>
      </c>
      <c r="C2337" s="43">
        <v>0.06</v>
      </c>
      <c r="D2337" s="45">
        <v>45962</v>
      </c>
      <c r="E2337" s="45">
        <v>45991.999305555553</v>
      </c>
      <c r="F2337" s="42" t="s">
        <v>475</v>
      </c>
    </row>
    <row r="2338" spans="1:6" x14ac:dyDescent="0.35">
      <c r="A2338" s="42" t="s">
        <v>675</v>
      </c>
      <c r="B2338" s="42">
        <v>739.92</v>
      </c>
      <c r="C2338" s="43">
        <v>0.06</v>
      </c>
      <c r="D2338" s="45">
        <v>45962</v>
      </c>
      <c r="E2338" s="45">
        <v>45991.999305555553</v>
      </c>
      <c r="F2338" s="42" t="s">
        <v>475</v>
      </c>
    </row>
    <row r="2339" spans="1:6" x14ac:dyDescent="0.35">
      <c r="A2339" s="42" t="s">
        <v>814</v>
      </c>
      <c r="B2339" s="42">
        <v>939.92</v>
      </c>
      <c r="C2339" s="43">
        <v>0.06</v>
      </c>
      <c r="D2339" s="45">
        <v>45962</v>
      </c>
      <c r="E2339" s="45">
        <v>45991.999305555553</v>
      </c>
      <c r="F2339" s="42" t="s">
        <v>475</v>
      </c>
    </row>
    <row r="2340" spans="1:6" x14ac:dyDescent="0.35">
      <c r="A2340" s="42" t="s">
        <v>487</v>
      </c>
      <c r="B2340" s="42">
        <v>1299.92</v>
      </c>
      <c r="C2340" s="43">
        <v>0.06</v>
      </c>
      <c r="D2340" s="45">
        <v>45962</v>
      </c>
      <c r="E2340" s="45">
        <v>45991.999305555553</v>
      </c>
      <c r="F2340" s="42" t="s">
        <v>475</v>
      </c>
    </row>
    <row r="2341" spans="1:6" x14ac:dyDescent="0.35">
      <c r="A2341" s="42" t="s">
        <v>750</v>
      </c>
      <c r="B2341" s="42">
        <v>1299.92</v>
      </c>
      <c r="C2341" s="43">
        <v>0.06</v>
      </c>
      <c r="D2341" s="45">
        <v>45962</v>
      </c>
      <c r="E2341" s="45">
        <v>45991.999305555553</v>
      </c>
      <c r="F2341" s="42" t="s">
        <v>475</v>
      </c>
    </row>
    <row r="2342" spans="1:6" x14ac:dyDescent="0.35">
      <c r="A2342" s="42" t="s">
        <v>35</v>
      </c>
      <c r="B2342" s="42">
        <v>1399.92</v>
      </c>
      <c r="C2342" s="43">
        <v>0.06</v>
      </c>
      <c r="D2342" s="45">
        <v>45962</v>
      </c>
      <c r="E2342" s="45">
        <v>45991.999305555553</v>
      </c>
      <c r="F2342" s="42" t="s">
        <v>475</v>
      </c>
    </row>
    <row r="2343" spans="1:6" x14ac:dyDescent="0.35">
      <c r="A2343" s="42" t="s">
        <v>705</v>
      </c>
      <c r="B2343" s="42">
        <v>1399.92</v>
      </c>
      <c r="C2343" s="43">
        <v>0.06</v>
      </c>
      <c r="D2343" s="45">
        <v>45962</v>
      </c>
      <c r="E2343" s="45">
        <v>45991.999305555553</v>
      </c>
      <c r="F2343" s="42" t="s">
        <v>475</v>
      </c>
    </row>
    <row r="2344" spans="1:6" x14ac:dyDescent="0.35">
      <c r="A2344" s="42" t="s">
        <v>594</v>
      </c>
      <c r="B2344" s="42">
        <v>1569.92</v>
      </c>
      <c r="C2344" s="43">
        <v>0.06</v>
      </c>
      <c r="D2344" s="45">
        <v>45962</v>
      </c>
      <c r="E2344" s="45">
        <v>45991.999305555553</v>
      </c>
      <c r="F2344" s="42" t="s">
        <v>475</v>
      </c>
    </row>
    <row r="2345" spans="1:6" x14ac:dyDescent="0.35">
      <c r="A2345" s="42" t="s">
        <v>268</v>
      </c>
      <c r="B2345" s="42">
        <v>1579.92</v>
      </c>
      <c r="C2345" s="43">
        <v>0.06</v>
      </c>
      <c r="D2345" s="45">
        <v>45962</v>
      </c>
      <c r="E2345" s="45">
        <v>45991.999305555553</v>
      </c>
      <c r="F2345" s="42" t="s">
        <v>475</v>
      </c>
    </row>
    <row r="2346" spans="1:6" x14ac:dyDescent="0.35">
      <c r="A2346" s="42" t="s">
        <v>619</v>
      </c>
      <c r="B2346" s="42">
        <v>1579.92</v>
      </c>
      <c r="C2346" s="43">
        <v>0.06</v>
      </c>
      <c r="D2346" s="45">
        <v>45962</v>
      </c>
      <c r="E2346" s="45">
        <v>45991.999305555553</v>
      </c>
      <c r="F2346" s="42" t="s">
        <v>475</v>
      </c>
    </row>
    <row r="2347" spans="1:6" x14ac:dyDescent="0.35">
      <c r="A2347" s="42" t="s">
        <v>51</v>
      </c>
      <c r="B2347" s="42">
        <v>1959.92</v>
      </c>
      <c r="C2347" s="43">
        <v>0.06</v>
      </c>
      <c r="D2347" s="45">
        <v>45962</v>
      </c>
      <c r="E2347" s="45">
        <v>45991.999305555553</v>
      </c>
      <c r="F2347" s="42" t="s">
        <v>475</v>
      </c>
    </row>
    <row r="2348" spans="1:6" x14ac:dyDescent="0.35">
      <c r="A2348" s="42" t="s">
        <v>15</v>
      </c>
      <c r="B2348" s="42">
        <v>389.92</v>
      </c>
      <c r="C2348" s="43">
        <v>0.06</v>
      </c>
      <c r="D2348" s="45">
        <v>45962</v>
      </c>
      <c r="E2348" s="45">
        <v>45991.999305555553</v>
      </c>
      <c r="F2348" s="42" t="s">
        <v>475</v>
      </c>
    </row>
    <row r="2349" spans="1:6" x14ac:dyDescent="0.35">
      <c r="A2349" s="42" t="s">
        <v>16</v>
      </c>
      <c r="B2349" s="42">
        <v>389.92</v>
      </c>
      <c r="C2349" s="43">
        <v>0.06</v>
      </c>
      <c r="D2349" s="45">
        <v>45962</v>
      </c>
      <c r="E2349" s="45">
        <v>45991.999305555553</v>
      </c>
      <c r="F2349" s="42" t="s">
        <v>475</v>
      </c>
    </row>
    <row r="2350" spans="1:6" x14ac:dyDescent="0.35">
      <c r="A2350" s="42" t="s">
        <v>782</v>
      </c>
      <c r="B2350" s="42">
        <v>389.92</v>
      </c>
      <c r="C2350" s="43">
        <v>0.06</v>
      </c>
      <c r="D2350" s="45">
        <v>45962</v>
      </c>
      <c r="E2350" s="45">
        <v>45991.999305555553</v>
      </c>
      <c r="F2350" s="42" t="s">
        <v>475</v>
      </c>
    </row>
    <row r="2351" spans="1:6" x14ac:dyDescent="0.35">
      <c r="A2351" s="42" t="s">
        <v>783</v>
      </c>
      <c r="B2351" s="42">
        <v>389.92</v>
      </c>
      <c r="C2351" s="43">
        <v>0.06</v>
      </c>
      <c r="D2351" s="45">
        <v>45962</v>
      </c>
      <c r="E2351" s="45">
        <v>45991.999305555553</v>
      </c>
      <c r="F2351" s="42" t="s">
        <v>475</v>
      </c>
    </row>
    <row r="2352" spans="1:6" x14ac:dyDescent="0.35">
      <c r="A2352" s="42" t="s">
        <v>784</v>
      </c>
      <c r="B2352" s="42">
        <v>389.92</v>
      </c>
      <c r="C2352" s="43">
        <v>0.06</v>
      </c>
      <c r="D2352" s="45">
        <v>45962</v>
      </c>
      <c r="E2352" s="45">
        <v>45991.999305555553</v>
      </c>
      <c r="F2352" s="42" t="s">
        <v>475</v>
      </c>
    </row>
    <row r="2353" spans="1:6" x14ac:dyDescent="0.35">
      <c r="A2353" s="42" t="s">
        <v>852</v>
      </c>
      <c r="B2353" s="42">
        <v>389.92</v>
      </c>
      <c r="C2353" s="43">
        <v>0.06</v>
      </c>
      <c r="D2353" s="45">
        <v>45962</v>
      </c>
      <c r="E2353" s="45">
        <v>45991.999305555553</v>
      </c>
      <c r="F2353" s="42" t="s">
        <v>475</v>
      </c>
    </row>
    <row r="2354" spans="1:6" x14ac:dyDescent="0.35">
      <c r="A2354" s="42" t="s">
        <v>853</v>
      </c>
      <c r="B2354" s="42">
        <v>389.92</v>
      </c>
      <c r="C2354" s="43">
        <v>0.06</v>
      </c>
      <c r="D2354" s="45">
        <v>45962</v>
      </c>
      <c r="E2354" s="45">
        <v>45991.999305555553</v>
      </c>
      <c r="F2354" s="42" t="s">
        <v>475</v>
      </c>
    </row>
    <row r="2355" spans="1:6" x14ac:dyDescent="0.35">
      <c r="A2355" s="42" t="s">
        <v>854</v>
      </c>
      <c r="B2355" s="42">
        <v>389.92</v>
      </c>
      <c r="C2355" s="43">
        <v>0.06</v>
      </c>
      <c r="D2355" s="45">
        <v>45962</v>
      </c>
      <c r="E2355" s="45">
        <v>45991.999305555553</v>
      </c>
      <c r="F2355" s="42" t="s">
        <v>475</v>
      </c>
    </row>
    <row r="2356" spans="1:6" x14ac:dyDescent="0.35">
      <c r="A2356" s="42" t="s">
        <v>855</v>
      </c>
      <c r="B2356" s="42">
        <v>389.92</v>
      </c>
      <c r="C2356" s="43">
        <v>0.06</v>
      </c>
      <c r="D2356" s="45">
        <v>45962</v>
      </c>
      <c r="E2356" s="45">
        <v>45991.999305555553</v>
      </c>
      <c r="F2356" s="42" t="s">
        <v>475</v>
      </c>
    </row>
    <row r="2357" spans="1:6" x14ac:dyDescent="0.35">
      <c r="A2357" s="42" t="s">
        <v>891</v>
      </c>
      <c r="B2357" s="42">
        <v>389.92</v>
      </c>
      <c r="C2357" s="43">
        <v>0.06</v>
      </c>
      <c r="D2357" s="45">
        <v>45962</v>
      </c>
      <c r="E2357" s="45">
        <v>45991.999305555553</v>
      </c>
      <c r="F2357" s="42" t="s">
        <v>475</v>
      </c>
    </row>
    <row r="2358" spans="1:6" x14ac:dyDescent="0.35">
      <c r="A2358" s="42" t="s">
        <v>892</v>
      </c>
      <c r="B2358" s="42">
        <v>389.92</v>
      </c>
      <c r="C2358" s="43">
        <v>0.06</v>
      </c>
      <c r="D2358" s="45">
        <v>45962</v>
      </c>
      <c r="E2358" s="45">
        <v>45991.999305555553</v>
      </c>
      <c r="F2358" s="42" t="s">
        <v>475</v>
      </c>
    </row>
    <row r="2359" spans="1:6" x14ac:dyDescent="0.35">
      <c r="A2359" s="42" t="s">
        <v>582</v>
      </c>
      <c r="B2359" s="42">
        <v>489.92</v>
      </c>
      <c r="C2359" s="43">
        <v>0.06</v>
      </c>
      <c r="D2359" s="45">
        <v>45962</v>
      </c>
      <c r="E2359" s="45">
        <v>45991.999305555553</v>
      </c>
      <c r="F2359" s="42" t="s">
        <v>475</v>
      </c>
    </row>
    <row r="2360" spans="1:6" x14ac:dyDescent="0.35">
      <c r="A2360" s="42" t="s">
        <v>54</v>
      </c>
      <c r="B2360" s="42">
        <v>489.92</v>
      </c>
      <c r="C2360" s="43">
        <v>0.06</v>
      </c>
      <c r="D2360" s="45">
        <v>45962</v>
      </c>
      <c r="E2360" s="45">
        <v>45991.999305555553</v>
      </c>
      <c r="F2360" s="42" t="s">
        <v>475</v>
      </c>
    </row>
    <row r="2361" spans="1:6" x14ac:dyDescent="0.35">
      <c r="A2361" s="42" t="s">
        <v>79</v>
      </c>
      <c r="B2361" s="42">
        <v>489.92</v>
      </c>
      <c r="C2361" s="43">
        <v>0.06</v>
      </c>
      <c r="D2361" s="45">
        <v>45962</v>
      </c>
      <c r="E2361" s="45">
        <v>45991.999305555553</v>
      </c>
      <c r="F2361" s="42" t="s">
        <v>475</v>
      </c>
    </row>
    <row r="2362" spans="1:6" x14ac:dyDescent="0.35">
      <c r="A2362" s="42" t="s">
        <v>404</v>
      </c>
      <c r="B2362" s="42">
        <v>489.92</v>
      </c>
      <c r="C2362" s="43">
        <v>0.06</v>
      </c>
      <c r="D2362" s="45">
        <v>45962</v>
      </c>
      <c r="E2362" s="45">
        <v>45991.999305555553</v>
      </c>
      <c r="F2362" s="42" t="s">
        <v>475</v>
      </c>
    </row>
    <row r="2363" spans="1:6" x14ac:dyDescent="0.35">
      <c r="A2363" s="42" t="s">
        <v>550</v>
      </c>
      <c r="B2363" s="42">
        <v>669.92</v>
      </c>
      <c r="C2363" s="43">
        <v>0.06</v>
      </c>
      <c r="D2363" s="45">
        <v>45962</v>
      </c>
      <c r="E2363" s="45">
        <v>45991.999305555553</v>
      </c>
      <c r="F2363" s="42" t="s">
        <v>475</v>
      </c>
    </row>
    <row r="2364" spans="1:6" x14ac:dyDescent="0.35">
      <c r="A2364" s="42" t="s">
        <v>477</v>
      </c>
      <c r="B2364" s="42">
        <v>669.92</v>
      </c>
      <c r="C2364" s="43">
        <v>0.06</v>
      </c>
      <c r="D2364" s="45">
        <v>45962</v>
      </c>
      <c r="E2364" s="45">
        <v>45991.999305555553</v>
      </c>
      <c r="F2364" s="42" t="s">
        <v>475</v>
      </c>
    </row>
    <row r="2365" spans="1:6" x14ac:dyDescent="0.35">
      <c r="A2365" s="42" t="s">
        <v>478</v>
      </c>
      <c r="B2365" s="42">
        <v>669.92</v>
      </c>
      <c r="C2365" s="43">
        <v>0.06</v>
      </c>
      <c r="D2365" s="45">
        <v>45962</v>
      </c>
      <c r="E2365" s="45">
        <v>45991.999305555553</v>
      </c>
      <c r="F2365" s="42" t="s">
        <v>475</v>
      </c>
    </row>
    <row r="2366" spans="1:6" x14ac:dyDescent="0.35">
      <c r="A2366" s="42" t="s">
        <v>55</v>
      </c>
      <c r="B2366" s="42">
        <v>669.92</v>
      </c>
      <c r="C2366" s="43">
        <v>0.06</v>
      </c>
      <c r="D2366" s="45">
        <v>45962</v>
      </c>
      <c r="E2366" s="45">
        <v>45991.999305555553</v>
      </c>
      <c r="F2366" s="42" t="s">
        <v>475</v>
      </c>
    </row>
    <row r="2367" spans="1:6" x14ac:dyDescent="0.35">
      <c r="A2367" s="42" t="s">
        <v>29</v>
      </c>
      <c r="B2367" s="42">
        <v>669.92</v>
      </c>
      <c r="C2367" s="43">
        <v>0.06</v>
      </c>
      <c r="D2367" s="45">
        <v>45962</v>
      </c>
      <c r="E2367" s="45">
        <v>45991.999305555553</v>
      </c>
      <c r="F2367" s="42" t="s">
        <v>475</v>
      </c>
    </row>
    <row r="2368" spans="1:6" x14ac:dyDescent="0.35">
      <c r="A2368" s="42" t="s">
        <v>265</v>
      </c>
      <c r="B2368" s="42">
        <v>669.92</v>
      </c>
      <c r="C2368" s="43">
        <v>0.06</v>
      </c>
      <c r="D2368" s="45">
        <v>45962</v>
      </c>
      <c r="E2368" s="45">
        <v>45991.999305555553</v>
      </c>
      <c r="F2368" s="42" t="s">
        <v>475</v>
      </c>
    </row>
    <row r="2369" spans="1:6" x14ac:dyDescent="0.35">
      <c r="A2369" s="42" t="s">
        <v>785</v>
      </c>
      <c r="B2369" s="42">
        <v>669.92</v>
      </c>
      <c r="C2369" s="43">
        <v>0.06</v>
      </c>
      <c r="D2369" s="45">
        <v>45962</v>
      </c>
      <c r="E2369" s="45">
        <v>45991.999305555553</v>
      </c>
      <c r="F2369" s="42" t="s">
        <v>475</v>
      </c>
    </row>
    <row r="2370" spans="1:6" x14ac:dyDescent="0.35">
      <c r="A2370" s="42" t="s">
        <v>786</v>
      </c>
      <c r="B2370" s="42">
        <v>669.92</v>
      </c>
      <c r="C2370" s="43">
        <v>0.06</v>
      </c>
      <c r="D2370" s="45">
        <v>45962</v>
      </c>
      <c r="E2370" s="45">
        <v>45991.999305555553</v>
      </c>
      <c r="F2370" s="42" t="s">
        <v>475</v>
      </c>
    </row>
    <row r="2371" spans="1:6" x14ac:dyDescent="0.35">
      <c r="A2371" s="42" t="s">
        <v>787</v>
      </c>
      <c r="B2371" s="42">
        <v>669.92</v>
      </c>
      <c r="C2371" s="43">
        <v>0.06</v>
      </c>
      <c r="D2371" s="45">
        <v>45962</v>
      </c>
      <c r="E2371" s="45">
        <v>45991.999305555553</v>
      </c>
      <c r="F2371" s="42" t="s">
        <v>475</v>
      </c>
    </row>
    <row r="2372" spans="1:6" x14ac:dyDescent="0.35">
      <c r="A2372" s="42" t="s">
        <v>592</v>
      </c>
      <c r="B2372" s="42">
        <v>769.92</v>
      </c>
      <c r="C2372" s="43">
        <v>0.06</v>
      </c>
      <c r="D2372" s="45">
        <v>45962</v>
      </c>
      <c r="E2372" s="45">
        <v>45991.999305555553</v>
      </c>
      <c r="F2372" s="42" t="s">
        <v>475</v>
      </c>
    </row>
    <row r="2373" spans="1:6" x14ac:dyDescent="0.35">
      <c r="A2373" s="42" t="s">
        <v>504</v>
      </c>
      <c r="B2373" s="42">
        <v>1149.92</v>
      </c>
      <c r="C2373" s="43">
        <v>0.06</v>
      </c>
      <c r="D2373" s="45">
        <v>45962</v>
      </c>
      <c r="E2373" s="45">
        <v>45991.999305555553</v>
      </c>
      <c r="F2373" s="42" t="s">
        <v>475</v>
      </c>
    </row>
    <row r="2374" spans="1:6" x14ac:dyDescent="0.35">
      <c r="A2374" s="42" t="s">
        <v>606</v>
      </c>
      <c r="B2374" s="42">
        <v>1149.92</v>
      </c>
      <c r="C2374" s="43">
        <v>0.06</v>
      </c>
      <c r="D2374" s="45">
        <v>45962</v>
      </c>
      <c r="E2374" s="45">
        <v>45991.999305555553</v>
      </c>
      <c r="F2374" s="42" t="s">
        <v>475</v>
      </c>
    </row>
    <row r="2375" spans="1:6" x14ac:dyDescent="0.35">
      <c r="A2375" s="42" t="s">
        <v>624</v>
      </c>
      <c r="B2375" s="42">
        <v>1149.92</v>
      </c>
      <c r="C2375" s="43">
        <v>0.06</v>
      </c>
      <c r="D2375" s="45">
        <v>45962</v>
      </c>
      <c r="E2375" s="45">
        <v>45991.999305555553</v>
      </c>
      <c r="F2375" s="42" t="s">
        <v>475</v>
      </c>
    </row>
    <row r="2376" spans="1:6" x14ac:dyDescent="0.35">
      <c r="A2376" s="42" t="s">
        <v>61</v>
      </c>
      <c r="B2376" s="42">
        <v>1149.92</v>
      </c>
      <c r="C2376" s="43">
        <v>0.06</v>
      </c>
      <c r="D2376" s="45">
        <v>45962</v>
      </c>
      <c r="E2376" s="45">
        <v>45991.999305555553</v>
      </c>
      <c r="F2376" s="42" t="s">
        <v>475</v>
      </c>
    </row>
    <row r="2377" spans="1:6" x14ac:dyDescent="0.35">
      <c r="A2377" s="42" t="s">
        <v>304</v>
      </c>
      <c r="B2377" s="42">
        <v>1149.92</v>
      </c>
      <c r="C2377" s="43">
        <v>0.06</v>
      </c>
      <c r="D2377" s="45">
        <v>45962</v>
      </c>
      <c r="E2377" s="45">
        <v>45991.999305555553</v>
      </c>
      <c r="F2377" s="42" t="s">
        <v>475</v>
      </c>
    </row>
    <row r="2378" spans="1:6" x14ac:dyDescent="0.35">
      <c r="A2378" s="42" t="s">
        <v>667</v>
      </c>
      <c r="B2378" s="42">
        <v>1149.92</v>
      </c>
      <c r="C2378" s="43">
        <v>0.06</v>
      </c>
      <c r="D2378" s="45">
        <v>45962</v>
      </c>
      <c r="E2378" s="45">
        <v>45991.999305555553</v>
      </c>
      <c r="F2378" s="42" t="s">
        <v>475</v>
      </c>
    </row>
    <row r="2379" spans="1:6" x14ac:dyDescent="0.35">
      <c r="A2379" s="42" t="s">
        <v>724</v>
      </c>
      <c r="B2379" s="42">
        <v>1149.92</v>
      </c>
      <c r="C2379" s="43">
        <v>0.06</v>
      </c>
      <c r="D2379" s="45">
        <v>45962</v>
      </c>
      <c r="E2379" s="45">
        <v>45991.999305555553</v>
      </c>
      <c r="F2379" s="42" t="s">
        <v>475</v>
      </c>
    </row>
    <row r="2380" spans="1:6" x14ac:dyDescent="0.35">
      <c r="A2380" s="42" t="s">
        <v>725</v>
      </c>
      <c r="B2380" s="42">
        <v>1149.92</v>
      </c>
      <c r="C2380" s="43">
        <v>0.06</v>
      </c>
      <c r="D2380" s="45">
        <v>45962</v>
      </c>
      <c r="E2380" s="45">
        <v>45991.999305555553</v>
      </c>
      <c r="F2380" s="42" t="s">
        <v>475</v>
      </c>
    </row>
    <row r="2381" spans="1:6" x14ac:dyDescent="0.35">
      <c r="A2381" s="42" t="s">
        <v>726</v>
      </c>
      <c r="B2381" s="42">
        <v>1149.92</v>
      </c>
      <c r="C2381" s="43">
        <v>0.06</v>
      </c>
      <c r="D2381" s="45">
        <v>45962</v>
      </c>
      <c r="E2381" s="45">
        <v>45991.999305555553</v>
      </c>
      <c r="F2381" s="42" t="s">
        <v>475</v>
      </c>
    </row>
    <row r="2382" spans="1:6" x14ac:dyDescent="0.35">
      <c r="A2382" s="42" t="s">
        <v>727</v>
      </c>
      <c r="B2382" s="42">
        <v>1149.92</v>
      </c>
      <c r="C2382" s="43">
        <v>0.06</v>
      </c>
      <c r="D2382" s="45">
        <v>45962</v>
      </c>
      <c r="E2382" s="45">
        <v>45991.999305555553</v>
      </c>
      <c r="F2382" s="42" t="s">
        <v>475</v>
      </c>
    </row>
    <row r="2383" spans="1:6" x14ac:dyDescent="0.35">
      <c r="A2383" s="42" t="s">
        <v>134</v>
      </c>
      <c r="B2383" s="42">
        <v>1249.92</v>
      </c>
      <c r="C2383" s="43">
        <v>0.06</v>
      </c>
      <c r="D2383" s="45">
        <v>45962</v>
      </c>
      <c r="E2383" s="45">
        <v>45991.999305555553</v>
      </c>
      <c r="F2383" s="42" t="s">
        <v>475</v>
      </c>
    </row>
    <row r="2384" spans="1:6" x14ac:dyDescent="0.35">
      <c r="A2384" s="42" t="s">
        <v>530</v>
      </c>
      <c r="B2384" s="42">
        <v>1249.92</v>
      </c>
      <c r="C2384" s="43">
        <v>0.06</v>
      </c>
      <c r="D2384" s="45">
        <v>45962</v>
      </c>
      <c r="E2384" s="45">
        <v>45991.999305555553</v>
      </c>
      <c r="F2384" s="42" t="s">
        <v>475</v>
      </c>
    </row>
    <row r="2385" spans="1:6" x14ac:dyDescent="0.35">
      <c r="A2385" s="42" t="s">
        <v>671</v>
      </c>
      <c r="B2385" s="42">
        <v>1249.92</v>
      </c>
      <c r="C2385" s="43">
        <v>0.06</v>
      </c>
      <c r="D2385" s="45">
        <v>45962</v>
      </c>
      <c r="E2385" s="45">
        <v>45991.999305555553</v>
      </c>
      <c r="F2385" s="42" t="s">
        <v>475</v>
      </c>
    </row>
    <row r="2386" spans="1:6" x14ac:dyDescent="0.35">
      <c r="A2386" s="42" t="s">
        <v>780</v>
      </c>
      <c r="B2386" s="42">
        <v>1729.92</v>
      </c>
      <c r="C2386" s="43">
        <v>0.06</v>
      </c>
      <c r="D2386" s="45">
        <v>45962</v>
      </c>
      <c r="E2386" s="45">
        <v>45991.999305555553</v>
      </c>
      <c r="F2386" s="42" t="s">
        <v>475</v>
      </c>
    </row>
    <row r="2387" spans="1:6" x14ac:dyDescent="0.35">
      <c r="A2387" s="42" t="s">
        <v>406</v>
      </c>
      <c r="B2387" s="42">
        <v>1829.92</v>
      </c>
      <c r="C2387" s="43">
        <v>0.06</v>
      </c>
      <c r="D2387" s="45">
        <v>45962</v>
      </c>
      <c r="E2387" s="45">
        <v>45991.999305555553</v>
      </c>
      <c r="F2387" s="42" t="s">
        <v>475</v>
      </c>
    </row>
    <row r="2388" spans="1:6" x14ac:dyDescent="0.35">
      <c r="A2388" s="42" t="s">
        <v>670</v>
      </c>
      <c r="B2388" s="42">
        <v>1829.92</v>
      </c>
      <c r="C2388" s="43">
        <v>0.06</v>
      </c>
      <c r="D2388" s="45">
        <v>45962</v>
      </c>
      <c r="E2388" s="45">
        <v>45991.999305555553</v>
      </c>
      <c r="F2388" s="42" t="s">
        <v>475</v>
      </c>
    </row>
    <row r="2389" spans="1:6" x14ac:dyDescent="0.35">
      <c r="A2389" s="42" t="s">
        <v>804</v>
      </c>
      <c r="B2389" s="42">
        <v>1829.92</v>
      </c>
      <c r="C2389" s="43">
        <v>0.06</v>
      </c>
      <c r="D2389" s="45">
        <v>45962</v>
      </c>
      <c r="E2389" s="45">
        <v>45991.999305555553</v>
      </c>
      <c r="F2389" s="42" t="s">
        <v>475</v>
      </c>
    </row>
    <row r="2390" spans="1:6" x14ac:dyDescent="0.35">
      <c r="A2390" s="42" t="s">
        <v>806</v>
      </c>
      <c r="B2390" s="42">
        <v>1829.92</v>
      </c>
      <c r="C2390" s="43">
        <v>0.06</v>
      </c>
      <c r="D2390" s="45">
        <v>45962</v>
      </c>
      <c r="E2390" s="45">
        <v>45991.999305555553</v>
      </c>
      <c r="F2390" s="42" t="s">
        <v>475</v>
      </c>
    </row>
    <row r="2391" spans="1:6" x14ac:dyDescent="0.35">
      <c r="A2391" s="42" t="s">
        <v>841</v>
      </c>
      <c r="B2391" s="42">
        <v>1829.92</v>
      </c>
      <c r="C2391" s="43">
        <v>0.06</v>
      </c>
      <c r="D2391" s="45">
        <v>45962</v>
      </c>
      <c r="E2391" s="45">
        <v>45991.999305555553</v>
      </c>
      <c r="F2391" s="42" t="s">
        <v>475</v>
      </c>
    </row>
    <row r="2392" spans="1:6" x14ac:dyDescent="0.35">
      <c r="A2392" s="42" t="s">
        <v>842</v>
      </c>
      <c r="B2392" s="42">
        <v>1829.92</v>
      </c>
      <c r="C2392" s="43">
        <v>0.06</v>
      </c>
      <c r="D2392" s="45">
        <v>45962</v>
      </c>
      <c r="E2392" s="45">
        <v>45991.999305555553</v>
      </c>
      <c r="F2392" s="42" t="s">
        <v>475</v>
      </c>
    </row>
    <row r="2393" spans="1:6" x14ac:dyDescent="0.35">
      <c r="A2393" s="42" t="s">
        <v>843</v>
      </c>
      <c r="B2393" s="42">
        <v>1829.92</v>
      </c>
      <c r="C2393" s="43">
        <v>0.06</v>
      </c>
      <c r="D2393" s="45">
        <v>45962</v>
      </c>
      <c r="E2393" s="45">
        <v>45991.999305555553</v>
      </c>
      <c r="F2393" s="42" t="s">
        <v>475</v>
      </c>
    </row>
    <row r="2394" spans="1:6" x14ac:dyDescent="0.35">
      <c r="A2394" s="42" t="s">
        <v>547</v>
      </c>
      <c r="B2394" s="42">
        <v>199.92</v>
      </c>
      <c r="C2394" s="43">
        <v>0.06</v>
      </c>
      <c r="D2394" s="45">
        <v>45962</v>
      </c>
      <c r="E2394" s="45">
        <v>45991.999305555553</v>
      </c>
      <c r="F2394" s="42" t="s">
        <v>475</v>
      </c>
    </row>
    <row r="2395" spans="1:6" x14ac:dyDescent="0.35">
      <c r="A2395" s="42" t="s">
        <v>570</v>
      </c>
      <c r="B2395" s="42">
        <v>199.92</v>
      </c>
      <c r="C2395" s="43">
        <v>0.06</v>
      </c>
      <c r="D2395" s="45">
        <v>45962</v>
      </c>
      <c r="E2395" s="45">
        <v>45991.999305555553</v>
      </c>
      <c r="F2395" s="42" t="s">
        <v>475</v>
      </c>
    </row>
    <row r="2396" spans="1:6" x14ac:dyDescent="0.35">
      <c r="A2396" s="42" t="s">
        <v>554</v>
      </c>
      <c r="B2396" s="42">
        <v>299.92</v>
      </c>
      <c r="C2396" s="43">
        <v>0.06</v>
      </c>
      <c r="D2396" s="45">
        <v>45962</v>
      </c>
      <c r="E2396" s="45">
        <v>45991.999305555553</v>
      </c>
      <c r="F2396" s="42" t="s">
        <v>475</v>
      </c>
    </row>
    <row r="2397" spans="1:6" x14ac:dyDescent="0.35">
      <c r="A2397" s="42" t="s">
        <v>534</v>
      </c>
      <c r="B2397" s="42">
        <v>299.92</v>
      </c>
      <c r="C2397" s="43">
        <v>0.06</v>
      </c>
      <c r="D2397" s="45">
        <v>45962</v>
      </c>
      <c r="E2397" s="45">
        <v>45991.999305555553</v>
      </c>
      <c r="F2397" s="42" t="s">
        <v>475</v>
      </c>
    </row>
    <row r="2398" spans="1:6" x14ac:dyDescent="0.35">
      <c r="A2398" s="42" t="s">
        <v>171</v>
      </c>
      <c r="B2398" s="42">
        <v>399.92</v>
      </c>
      <c r="C2398" s="43">
        <v>0.06</v>
      </c>
      <c r="D2398" s="45">
        <v>45962</v>
      </c>
      <c r="E2398" s="45">
        <v>45991.999305555553</v>
      </c>
      <c r="F2398" s="42" t="s">
        <v>475</v>
      </c>
    </row>
    <row r="2399" spans="1:6" x14ac:dyDescent="0.35">
      <c r="A2399" s="42" t="s">
        <v>576</v>
      </c>
      <c r="B2399" s="42">
        <v>399.92</v>
      </c>
      <c r="C2399" s="43">
        <v>0.06</v>
      </c>
      <c r="D2399" s="45">
        <v>45962</v>
      </c>
      <c r="E2399" s="45">
        <v>45991.999305555553</v>
      </c>
      <c r="F2399" s="42" t="s">
        <v>475</v>
      </c>
    </row>
    <row r="2400" spans="1:6" x14ac:dyDescent="0.35">
      <c r="A2400" s="42" t="s">
        <v>844</v>
      </c>
      <c r="B2400" s="42">
        <v>399.92</v>
      </c>
      <c r="C2400" s="43">
        <v>0.06</v>
      </c>
      <c r="D2400" s="45">
        <v>45962</v>
      </c>
      <c r="E2400" s="45">
        <v>45991.999305555553</v>
      </c>
      <c r="F2400" s="42" t="s">
        <v>475</v>
      </c>
    </row>
    <row r="2401" spans="1:6" x14ac:dyDescent="0.35">
      <c r="A2401" s="42" t="s">
        <v>845</v>
      </c>
      <c r="B2401" s="42">
        <v>399.92</v>
      </c>
      <c r="C2401" s="43">
        <v>0.06</v>
      </c>
      <c r="D2401" s="45">
        <v>45962</v>
      </c>
      <c r="E2401" s="45">
        <v>45991.999305555553</v>
      </c>
      <c r="F2401" s="42" t="s">
        <v>475</v>
      </c>
    </row>
    <row r="2402" spans="1:6" x14ac:dyDescent="0.35">
      <c r="A2402" s="42" t="s">
        <v>111</v>
      </c>
      <c r="B2402" s="42">
        <v>499.92</v>
      </c>
      <c r="C2402" s="43">
        <v>0.06</v>
      </c>
      <c r="D2402" s="45">
        <v>45962</v>
      </c>
      <c r="E2402" s="45">
        <v>45991.999305555553</v>
      </c>
      <c r="F2402" s="42" t="s">
        <v>475</v>
      </c>
    </row>
    <row r="2403" spans="1:6" x14ac:dyDescent="0.35">
      <c r="A2403" s="42" t="s">
        <v>20</v>
      </c>
      <c r="B2403" s="42">
        <v>499.92</v>
      </c>
      <c r="C2403" s="43">
        <v>0.06</v>
      </c>
      <c r="D2403" s="45">
        <v>45962</v>
      </c>
      <c r="E2403" s="45">
        <v>45991.999305555553</v>
      </c>
      <c r="F2403" s="42" t="s">
        <v>475</v>
      </c>
    </row>
    <row r="2404" spans="1:6" x14ac:dyDescent="0.35">
      <c r="A2404" s="42" t="s">
        <v>602</v>
      </c>
      <c r="B2404" s="42">
        <v>499.92</v>
      </c>
      <c r="C2404" s="43">
        <v>0.06</v>
      </c>
      <c r="D2404" s="45">
        <v>45962</v>
      </c>
      <c r="E2404" s="45">
        <v>45991.999305555553</v>
      </c>
      <c r="F2404" s="42" t="s">
        <v>475</v>
      </c>
    </row>
    <row r="2405" spans="1:6" x14ac:dyDescent="0.35">
      <c r="A2405" s="42" t="s">
        <v>583</v>
      </c>
      <c r="B2405" s="42">
        <v>499.92</v>
      </c>
      <c r="C2405" s="43">
        <v>0.06</v>
      </c>
      <c r="D2405" s="45">
        <v>45962</v>
      </c>
      <c r="E2405" s="45">
        <v>45991.999305555553</v>
      </c>
      <c r="F2405" s="42" t="s">
        <v>475</v>
      </c>
    </row>
    <row r="2406" spans="1:6" x14ac:dyDescent="0.35">
      <c r="A2406" s="42" t="s">
        <v>529</v>
      </c>
      <c r="B2406" s="42">
        <v>499.92</v>
      </c>
      <c r="C2406" s="43">
        <v>0.06</v>
      </c>
      <c r="D2406" s="45">
        <v>45962</v>
      </c>
      <c r="E2406" s="45">
        <v>45991.999305555553</v>
      </c>
      <c r="F2406" s="42" t="s">
        <v>475</v>
      </c>
    </row>
    <row r="2407" spans="1:6" x14ac:dyDescent="0.35">
      <c r="A2407" s="42" t="s">
        <v>584</v>
      </c>
      <c r="B2407" s="42">
        <v>499.92</v>
      </c>
      <c r="C2407" s="43">
        <v>0.06</v>
      </c>
      <c r="D2407" s="45">
        <v>45962</v>
      </c>
      <c r="E2407" s="45">
        <v>45991.999305555553</v>
      </c>
      <c r="F2407" s="42" t="s">
        <v>475</v>
      </c>
    </row>
    <row r="2408" spans="1:6" x14ac:dyDescent="0.35">
      <c r="A2408" s="42" t="s">
        <v>19</v>
      </c>
      <c r="B2408" s="42">
        <v>499.92</v>
      </c>
      <c r="C2408" s="43">
        <v>0.06</v>
      </c>
      <c r="D2408" s="45">
        <v>45962</v>
      </c>
      <c r="E2408" s="45">
        <v>45991.999305555553</v>
      </c>
      <c r="F2408" s="42" t="s">
        <v>475</v>
      </c>
    </row>
    <row r="2409" spans="1:6" x14ac:dyDescent="0.35">
      <c r="A2409" s="42" t="s">
        <v>21</v>
      </c>
      <c r="B2409" s="42">
        <v>499.92</v>
      </c>
      <c r="C2409" s="43">
        <v>0.06</v>
      </c>
      <c r="D2409" s="45">
        <v>45962</v>
      </c>
      <c r="E2409" s="45">
        <v>45991.999305555553</v>
      </c>
      <c r="F2409" s="42" t="s">
        <v>475</v>
      </c>
    </row>
    <row r="2410" spans="1:6" x14ac:dyDescent="0.35">
      <c r="A2410" s="42" t="s">
        <v>71</v>
      </c>
      <c r="B2410" s="42">
        <v>499.92</v>
      </c>
      <c r="C2410" s="43">
        <v>0.06</v>
      </c>
      <c r="D2410" s="45">
        <v>45962</v>
      </c>
      <c r="E2410" s="45">
        <v>45991.999305555553</v>
      </c>
      <c r="F2410" s="42" t="s">
        <v>475</v>
      </c>
    </row>
    <row r="2411" spans="1:6" x14ac:dyDescent="0.35">
      <c r="A2411" s="42" t="s">
        <v>100</v>
      </c>
      <c r="B2411" s="42">
        <v>499.92</v>
      </c>
      <c r="C2411" s="43">
        <v>0.06</v>
      </c>
      <c r="D2411" s="45">
        <v>45962</v>
      </c>
      <c r="E2411" s="45">
        <v>45991.999305555553</v>
      </c>
      <c r="F2411" s="42" t="s">
        <v>475</v>
      </c>
    </row>
    <row r="2412" spans="1:6" x14ac:dyDescent="0.35">
      <c r="A2412" s="42" t="s">
        <v>833</v>
      </c>
      <c r="B2412" s="42">
        <v>499.92</v>
      </c>
      <c r="C2412" s="43">
        <v>0.06</v>
      </c>
      <c r="D2412" s="45">
        <v>45962</v>
      </c>
      <c r="E2412" s="45">
        <v>45991.999305555553</v>
      </c>
      <c r="F2412" s="42" t="s">
        <v>475</v>
      </c>
    </row>
    <row r="2413" spans="1:6" x14ac:dyDescent="0.35">
      <c r="A2413" s="42" t="s">
        <v>834</v>
      </c>
      <c r="B2413" s="42">
        <v>499.92</v>
      </c>
      <c r="C2413" s="43">
        <v>0.06</v>
      </c>
      <c r="D2413" s="45">
        <v>45962</v>
      </c>
      <c r="E2413" s="45">
        <v>45991.999305555553</v>
      </c>
      <c r="F2413" s="42" t="s">
        <v>475</v>
      </c>
    </row>
    <row r="2414" spans="1:6" x14ac:dyDescent="0.35">
      <c r="A2414" s="42" t="s">
        <v>835</v>
      </c>
      <c r="B2414" s="42">
        <v>499.92</v>
      </c>
      <c r="C2414" s="43">
        <v>0.06</v>
      </c>
      <c r="D2414" s="45">
        <v>45962</v>
      </c>
      <c r="E2414" s="45">
        <v>45991.999305555553</v>
      </c>
      <c r="F2414" s="42" t="s">
        <v>475</v>
      </c>
    </row>
    <row r="2415" spans="1:6" x14ac:dyDescent="0.35">
      <c r="A2415" s="42" t="s">
        <v>836</v>
      </c>
      <c r="B2415" s="42">
        <v>499.92</v>
      </c>
      <c r="C2415" s="43">
        <v>0.06</v>
      </c>
      <c r="D2415" s="45">
        <v>45962</v>
      </c>
      <c r="E2415" s="45">
        <v>45991.999305555553</v>
      </c>
      <c r="F2415" s="42" t="s">
        <v>475</v>
      </c>
    </row>
    <row r="2416" spans="1:6" x14ac:dyDescent="0.35">
      <c r="A2416" s="42" t="s">
        <v>837</v>
      </c>
      <c r="B2416" s="42">
        <v>499.92</v>
      </c>
      <c r="C2416" s="43">
        <v>0.06</v>
      </c>
      <c r="D2416" s="45">
        <v>45962</v>
      </c>
      <c r="E2416" s="45">
        <v>45991.999305555553</v>
      </c>
      <c r="F2416" s="42" t="s">
        <v>475</v>
      </c>
    </row>
    <row r="2417" spans="1:6" x14ac:dyDescent="0.35">
      <c r="A2417" s="42" t="s">
        <v>838</v>
      </c>
      <c r="B2417" s="42">
        <v>499.92</v>
      </c>
      <c r="C2417" s="43">
        <v>0.06</v>
      </c>
      <c r="D2417" s="45">
        <v>45962</v>
      </c>
      <c r="E2417" s="45">
        <v>45991.999305555553</v>
      </c>
      <c r="F2417" s="42" t="s">
        <v>475</v>
      </c>
    </row>
    <row r="2418" spans="1:6" x14ac:dyDescent="0.35">
      <c r="A2418" s="42" t="s">
        <v>839</v>
      </c>
      <c r="B2418" s="42">
        <v>499.92</v>
      </c>
      <c r="C2418" s="43">
        <v>0.06</v>
      </c>
      <c r="D2418" s="45">
        <v>45962</v>
      </c>
      <c r="E2418" s="45">
        <v>45991.999305555553</v>
      </c>
      <c r="F2418" s="42" t="s">
        <v>475</v>
      </c>
    </row>
    <row r="2419" spans="1:6" x14ac:dyDescent="0.35">
      <c r="A2419" s="42" t="s">
        <v>840</v>
      </c>
      <c r="B2419" s="42">
        <v>499.92</v>
      </c>
      <c r="C2419" s="43">
        <v>0.06</v>
      </c>
      <c r="D2419" s="45">
        <v>45962</v>
      </c>
      <c r="E2419" s="45">
        <v>45991.999305555553</v>
      </c>
      <c r="F2419" s="42" t="s">
        <v>475</v>
      </c>
    </row>
    <row r="2420" spans="1:6" x14ac:dyDescent="0.35">
      <c r="A2420" s="42" t="s">
        <v>856</v>
      </c>
      <c r="B2420" s="42">
        <v>499.92</v>
      </c>
      <c r="C2420" s="43">
        <v>0.06</v>
      </c>
      <c r="D2420" s="45">
        <v>45962</v>
      </c>
      <c r="E2420" s="45">
        <v>45991.999305555553</v>
      </c>
      <c r="F2420" s="42" t="s">
        <v>475</v>
      </c>
    </row>
    <row r="2421" spans="1:6" x14ac:dyDescent="0.35">
      <c r="A2421" s="42" t="s">
        <v>857</v>
      </c>
      <c r="B2421" s="42">
        <v>499.92</v>
      </c>
      <c r="C2421" s="43">
        <v>0.06</v>
      </c>
      <c r="D2421" s="45">
        <v>45962</v>
      </c>
      <c r="E2421" s="45">
        <v>45991.999305555553</v>
      </c>
      <c r="F2421" s="42" t="s">
        <v>475</v>
      </c>
    </row>
    <row r="2422" spans="1:6" x14ac:dyDescent="0.35">
      <c r="A2422" s="42" t="s">
        <v>858</v>
      </c>
      <c r="B2422" s="42">
        <v>499.92</v>
      </c>
      <c r="C2422" s="43">
        <v>0.06</v>
      </c>
      <c r="D2422" s="45">
        <v>45962</v>
      </c>
      <c r="E2422" s="45">
        <v>45991.999305555553</v>
      </c>
      <c r="F2422" s="42" t="s">
        <v>475</v>
      </c>
    </row>
    <row r="2423" spans="1:6" x14ac:dyDescent="0.35">
      <c r="A2423" s="42" t="s">
        <v>859</v>
      </c>
      <c r="B2423" s="42">
        <v>499.92</v>
      </c>
      <c r="C2423" s="43">
        <v>0.06</v>
      </c>
      <c r="D2423" s="45">
        <v>45962</v>
      </c>
      <c r="E2423" s="45">
        <v>45991.999305555553</v>
      </c>
      <c r="F2423" s="42" t="s">
        <v>475</v>
      </c>
    </row>
    <row r="2424" spans="1:6" x14ac:dyDescent="0.35">
      <c r="A2424" s="42" t="s">
        <v>860</v>
      </c>
      <c r="B2424" s="42">
        <v>499.92</v>
      </c>
      <c r="C2424" s="43">
        <v>0.06</v>
      </c>
      <c r="D2424" s="45">
        <v>45962</v>
      </c>
      <c r="E2424" s="45">
        <v>45991.999305555553</v>
      </c>
      <c r="F2424" s="42" t="s">
        <v>475</v>
      </c>
    </row>
    <row r="2425" spans="1:6" x14ac:dyDescent="0.35">
      <c r="A2425" s="42" t="s">
        <v>861</v>
      </c>
      <c r="B2425" s="42">
        <v>499.92</v>
      </c>
      <c r="C2425" s="43">
        <v>0.06</v>
      </c>
      <c r="D2425" s="45">
        <v>45962</v>
      </c>
      <c r="E2425" s="45">
        <v>45991.999305555553</v>
      </c>
      <c r="F2425" s="42" t="s">
        <v>475</v>
      </c>
    </row>
    <row r="2426" spans="1:6" x14ac:dyDescent="0.35">
      <c r="A2426" s="42" t="s">
        <v>862</v>
      </c>
      <c r="B2426" s="42">
        <v>499.92</v>
      </c>
      <c r="C2426" s="43">
        <v>0.06</v>
      </c>
      <c r="D2426" s="45">
        <v>45962</v>
      </c>
      <c r="E2426" s="45">
        <v>45991.999305555553</v>
      </c>
      <c r="F2426" s="42" t="s">
        <v>475</v>
      </c>
    </row>
    <row r="2427" spans="1:6" x14ac:dyDescent="0.35">
      <c r="A2427" s="42" t="s">
        <v>890</v>
      </c>
      <c r="B2427" s="42">
        <v>499.92</v>
      </c>
      <c r="C2427" s="43">
        <v>0.06</v>
      </c>
      <c r="D2427" s="45">
        <v>45962</v>
      </c>
      <c r="E2427" s="45">
        <v>45991.999305555553</v>
      </c>
      <c r="F2427" s="42" t="s">
        <v>475</v>
      </c>
    </row>
    <row r="2428" spans="1:6" x14ac:dyDescent="0.35">
      <c r="A2428" s="42" t="s">
        <v>528</v>
      </c>
      <c r="B2428" s="42">
        <v>589.91999999999996</v>
      </c>
      <c r="C2428" s="43">
        <v>0.06</v>
      </c>
      <c r="D2428" s="45">
        <v>45962</v>
      </c>
      <c r="E2428" s="45">
        <v>45991.999305555553</v>
      </c>
      <c r="F2428" s="42" t="s">
        <v>475</v>
      </c>
    </row>
    <row r="2429" spans="1:6" x14ac:dyDescent="0.35">
      <c r="A2429" s="42" t="s">
        <v>543</v>
      </c>
      <c r="B2429" s="42">
        <v>589.91999999999996</v>
      </c>
      <c r="C2429" s="43">
        <v>0.06</v>
      </c>
      <c r="D2429" s="45">
        <v>45962</v>
      </c>
      <c r="E2429" s="45">
        <v>45991.999305555553</v>
      </c>
      <c r="F2429" s="42" t="s">
        <v>475</v>
      </c>
    </row>
    <row r="2430" spans="1:6" x14ac:dyDescent="0.35">
      <c r="A2430" s="42" t="s">
        <v>448</v>
      </c>
      <c r="B2430" s="42">
        <v>589.91999999999996</v>
      </c>
      <c r="C2430" s="43">
        <v>0.06</v>
      </c>
      <c r="D2430" s="45">
        <v>45962</v>
      </c>
      <c r="E2430" s="45">
        <v>45991.999305555553</v>
      </c>
      <c r="F2430" s="42" t="s">
        <v>475</v>
      </c>
    </row>
    <row r="2431" spans="1:6" x14ac:dyDescent="0.35">
      <c r="A2431" s="42" t="s">
        <v>588</v>
      </c>
      <c r="B2431" s="42">
        <v>589.91999999999996</v>
      </c>
      <c r="C2431" s="43">
        <v>0.06</v>
      </c>
      <c r="D2431" s="45">
        <v>45962</v>
      </c>
      <c r="E2431" s="45">
        <v>45991.999305555553</v>
      </c>
      <c r="F2431" s="42" t="s">
        <v>475</v>
      </c>
    </row>
    <row r="2432" spans="1:6" x14ac:dyDescent="0.35">
      <c r="A2432" s="42" t="s">
        <v>589</v>
      </c>
      <c r="B2432" s="42">
        <v>589.91999999999996</v>
      </c>
      <c r="C2432" s="43">
        <v>0.06</v>
      </c>
      <c r="D2432" s="45">
        <v>45962</v>
      </c>
      <c r="E2432" s="45">
        <v>45991.999305555553</v>
      </c>
      <c r="F2432" s="42" t="s">
        <v>475</v>
      </c>
    </row>
    <row r="2433" spans="1:6" x14ac:dyDescent="0.35">
      <c r="A2433" s="42" t="s">
        <v>605</v>
      </c>
      <c r="B2433" s="42">
        <v>589.91999999999996</v>
      </c>
      <c r="C2433" s="43">
        <v>0.06</v>
      </c>
      <c r="D2433" s="45">
        <v>45962</v>
      </c>
      <c r="E2433" s="45">
        <v>45991.999305555553</v>
      </c>
      <c r="F2433" s="42" t="s">
        <v>475</v>
      </c>
    </row>
    <row r="2434" spans="1:6" x14ac:dyDescent="0.35">
      <c r="A2434" s="42" t="s">
        <v>622</v>
      </c>
      <c r="B2434" s="42">
        <v>589.91999999999996</v>
      </c>
      <c r="C2434" s="43">
        <v>0.06</v>
      </c>
      <c r="D2434" s="45">
        <v>45962</v>
      </c>
      <c r="E2434" s="45">
        <v>45991.999305555553</v>
      </c>
      <c r="F2434" s="42" t="s">
        <v>475</v>
      </c>
    </row>
    <row r="2435" spans="1:6" x14ac:dyDescent="0.35">
      <c r="A2435" s="42" t="s">
        <v>824</v>
      </c>
      <c r="B2435" s="42">
        <v>589.91999999999996</v>
      </c>
      <c r="C2435" s="43">
        <v>0.06</v>
      </c>
      <c r="D2435" s="45">
        <v>45962</v>
      </c>
      <c r="E2435" s="45">
        <v>45991.999305555553</v>
      </c>
      <c r="F2435" s="42" t="s">
        <v>475</v>
      </c>
    </row>
    <row r="2436" spans="1:6" x14ac:dyDescent="0.35">
      <c r="A2436" s="42" t="s">
        <v>825</v>
      </c>
      <c r="B2436" s="42">
        <v>589.91999999999996</v>
      </c>
      <c r="C2436" s="43">
        <v>0.06</v>
      </c>
      <c r="D2436" s="45">
        <v>45962</v>
      </c>
      <c r="E2436" s="45">
        <v>45991.999305555553</v>
      </c>
      <c r="F2436" s="42" t="s">
        <v>475</v>
      </c>
    </row>
    <row r="2437" spans="1:6" x14ac:dyDescent="0.35">
      <c r="A2437" s="42" t="s">
        <v>826</v>
      </c>
      <c r="B2437" s="42">
        <v>589.91999999999996</v>
      </c>
      <c r="C2437" s="43">
        <v>0.06</v>
      </c>
      <c r="D2437" s="45">
        <v>45962</v>
      </c>
      <c r="E2437" s="45">
        <v>45991.999305555553</v>
      </c>
      <c r="F2437" s="42" t="s">
        <v>475</v>
      </c>
    </row>
    <row r="2438" spans="1:6" x14ac:dyDescent="0.35">
      <c r="A2438" s="42" t="s">
        <v>827</v>
      </c>
      <c r="B2438" s="42">
        <v>589.91999999999996</v>
      </c>
      <c r="C2438" s="43">
        <v>0.06</v>
      </c>
      <c r="D2438" s="45">
        <v>45962</v>
      </c>
      <c r="E2438" s="45">
        <v>45991.999305555553</v>
      </c>
      <c r="F2438" s="42" t="s">
        <v>475</v>
      </c>
    </row>
    <row r="2439" spans="1:6" x14ac:dyDescent="0.35">
      <c r="A2439" s="42" t="s">
        <v>828</v>
      </c>
      <c r="B2439" s="42">
        <v>589.91999999999996</v>
      </c>
      <c r="C2439" s="43">
        <v>0.06</v>
      </c>
      <c r="D2439" s="45">
        <v>45962</v>
      </c>
      <c r="E2439" s="45">
        <v>45991.999305555553</v>
      </c>
      <c r="F2439" s="42" t="s">
        <v>475</v>
      </c>
    </row>
    <row r="2440" spans="1:6" x14ac:dyDescent="0.35">
      <c r="A2440" s="42" t="s">
        <v>829</v>
      </c>
      <c r="B2440" s="42">
        <v>589.91999999999996</v>
      </c>
      <c r="C2440" s="43">
        <v>0.06</v>
      </c>
      <c r="D2440" s="45">
        <v>45962</v>
      </c>
      <c r="E2440" s="45">
        <v>45991.999305555553</v>
      </c>
      <c r="F2440" s="42" t="s">
        <v>475</v>
      </c>
    </row>
    <row r="2441" spans="1:6" x14ac:dyDescent="0.35">
      <c r="A2441" s="42" t="s">
        <v>502</v>
      </c>
      <c r="B2441" s="42">
        <v>1079.92</v>
      </c>
      <c r="C2441" s="43">
        <v>0.06</v>
      </c>
      <c r="D2441" s="45">
        <v>45962</v>
      </c>
      <c r="E2441" s="45">
        <v>45991.999305555553</v>
      </c>
      <c r="F2441" s="42" t="s">
        <v>475</v>
      </c>
    </row>
    <row r="2442" spans="1:6" x14ac:dyDescent="0.35">
      <c r="A2442" s="42" t="s">
        <v>503</v>
      </c>
      <c r="B2442" s="42">
        <v>1079.92</v>
      </c>
      <c r="C2442" s="43">
        <v>0.06</v>
      </c>
      <c r="D2442" s="45">
        <v>45962</v>
      </c>
      <c r="E2442" s="45">
        <v>45991.999305555553</v>
      </c>
      <c r="F2442" s="42" t="s">
        <v>475</v>
      </c>
    </row>
    <row r="2443" spans="1:6" x14ac:dyDescent="0.35">
      <c r="A2443" s="42" t="s">
        <v>267</v>
      </c>
      <c r="B2443" s="42">
        <v>1079.92</v>
      </c>
      <c r="C2443" s="43">
        <v>0.06</v>
      </c>
      <c r="D2443" s="45">
        <v>45962</v>
      </c>
      <c r="E2443" s="45">
        <v>45991.999305555553</v>
      </c>
      <c r="F2443" s="42" t="s">
        <v>475</v>
      </c>
    </row>
    <row r="2444" spans="1:6" x14ac:dyDescent="0.35">
      <c r="A2444" s="42" t="s">
        <v>88</v>
      </c>
      <c r="B2444" s="42">
        <v>1079.92</v>
      </c>
      <c r="C2444" s="43">
        <v>0.06</v>
      </c>
      <c r="D2444" s="45">
        <v>45962</v>
      </c>
      <c r="E2444" s="45">
        <v>45991.999305555553</v>
      </c>
      <c r="F2444" s="42" t="s">
        <v>475</v>
      </c>
    </row>
    <row r="2445" spans="1:6" x14ac:dyDescent="0.35">
      <c r="A2445" s="42" t="s">
        <v>457</v>
      </c>
      <c r="B2445" s="42">
        <v>1079.92</v>
      </c>
      <c r="C2445" s="43">
        <v>0.06</v>
      </c>
      <c r="D2445" s="45">
        <v>45962</v>
      </c>
      <c r="E2445" s="45">
        <v>45991.999305555553</v>
      </c>
      <c r="F2445" s="42" t="s">
        <v>475</v>
      </c>
    </row>
    <row r="2446" spans="1:6" x14ac:dyDescent="0.35">
      <c r="A2446" s="42" t="s">
        <v>620</v>
      </c>
      <c r="B2446" s="42">
        <v>1079.92</v>
      </c>
      <c r="C2446" s="43">
        <v>0.06</v>
      </c>
      <c r="D2446" s="45">
        <v>45962</v>
      </c>
      <c r="E2446" s="45">
        <v>45991.999305555553</v>
      </c>
      <c r="F2446" s="42" t="s">
        <v>475</v>
      </c>
    </row>
    <row r="2447" spans="1:6" x14ac:dyDescent="0.35">
      <c r="A2447" s="42" t="s">
        <v>650</v>
      </c>
      <c r="B2447" s="42">
        <v>1079.92</v>
      </c>
      <c r="C2447" s="43">
        <v>0.06</v>
      </c>
      <c r="D2447" s="45">
        <v>45962</v>
      </c>
      <c r="E2447" s="45">
        <v>45991.999305555553</v>
      </c>
      <c r="F2447" s="42" t="s">
        <v>475</v>
      </c>
    </row>
    <row r="2448" spans="1:6" x14ac:dyDescent="0.35">
      <c r="A2448" s="42" t="s">
        <v>674</v>
      </c>
      <c r="B2448" s="42">
        <v>1079.92</v>
      </c>
      <c r="C2448" s="43">
        <v>0.06</v>
      </c>
      <c r="D2448" s="45">
        <v>45962</v>
      </c>
      <c r="E2448" s="45">
        <v>45991.999305555553</v>
      </c>
      <c r="F2448" s="42" t="s">
        <v>475</v>
      </c>
    </row>
    <row r="2449" spans="1:6" x14ac:dyDescent="0.35">
      <c r="A2449" s="42" t="s">
        <v>722</v>
      </c>
      <c r="B2449" s="42">
        <v>1079.92</v>
      </c>
      <c r="C2449" s="43">
        <v>0.06</v>
      </c>
      <c r="D2449" s="45">
        <v>45962</v>
      </c>
      <c r="E2449" s="45">
        <v>45991.999305555553</v>
      </c>
      <c r="F2449" s="42" t="s">
        <v>475</v>
      </c>
    </row>
    <row r="2450" spans="1:6" x14ac:dyDescent="0.35">
      <c r="A2450" s="42" t="s">
        <v>723</v>
      </c>
      <c r="B2450" s="42">
        <v>1079.92</v>
      </c>
      <c r="C2450" s="43">
        <v>0.06</v>
      </c>
      <c r="D2450" s="45">
        <v>45962</v>
      </c>
      <c r="E2450" s="45">
        <v>45991.999305555553</v>
      </c>
      <c r="F2450" s="42" t="s">
        <v>475</v>
      </c>
    </row>
    <row r="2451" spans="1:6" x14ac:dyDescent="0.35">
      <c r="A2451" s="42" t="s">
        <v>488</v>
      </c>
      <c r="B2451" s="42">
        <v>1279.92</v>
      </c>
      <c r="C2451" s="43">
        <v>0.06</v>
      </c>
      <c r="D2451" s="45">
        <v>45962</v>
      </c>
      <c r="E2451" s="45">
        <v>45991.999305555553</v>
      </c>
      <c r="F2451" s="42" t="s">
        <v>475</v>
      </c>
    </row>
    <row r="2452" spans="1:6" x14ac:dyDescent="0.35">
      <c r="A2452" s="42" t="s">
        <v>104</v>
      </c>
      <c r="B2452" s="42">
        <v>1279.92</v>
      </c>
      <c r="C2452" s="43">
        <v>0.06</v>
      </c>
      <c r="D2452" s="45">
        <v>45962</v>
      </c>
      <c r="E2452" s="45">
        <v>45991.999305555553</v>
      </c>
      <c r="F2452" s="42" t="s">
        <v>475</v>
      </c>
    </row>
    <row r="2453" spans="1:6" x14ac:dyDescent="0.35">
      <c r="A2453" s="42" t="s">
        <v>494</v>
      </c>
      <c r="B2453" s="42">
        <v>1379.92</v>
      </c>
      <c r="C2453" s="43">
        <v>0.06</v>
      </c>
      <c r="D2453" s="45">
        <v>45962</v>
      </c>
      <c r="E2453" s="45">
        <v>45991.999305555553</v>
      </c>
      <c r="F2453" s="42" t="s">
        <v>475</v>
      </c>
    </row>
    <row r="2454" spans="1:6" x14ac:dyDescent="0.35">
      <c r="A2454" s="42" t="s">
        <v>531</v>
      </c>
      <c r="B2454" s="42">
        <v>1379.92</v>
      </c>
      <c r="C2454" s="43">
        <v>0.06</v>
      </c>
      <c r="D2454" s="45">
        <v>45962</v>
      </c>
      <c r="E2454" s="45">
        <v>45991.999305555553</v>
      </c>
      <c r="F2454" s="42" t="s">
        <v>475</v>
      </c>
    </row>
    <row r="2455" spans="1:6" x14ac:dyDescent="0.35">
      <c r="A2455" s="42" t="s">
        <v>63</v>
      </c>
      <c r="B2455" s="42">
        <v>1379.92</v>
      </c>
      <c r="C2455" s="43">
        <v>0.06</v>
      </c>
      <c r="D2455" s="45">
        <v>45962</v>
      </c>
      <c r="E2455" s="45">
        <v>45991.999305555553</v>
      </c>
      <c r="F2455" s="42" t="s">
        <v>475</v>
      </c>
    </row>
    <row r="2456" spans="1:6" x14ac:dyDescent="0.35">
      <c r="A2456" s="42" t="s">
        <v>65</v>
      </c>
      <c r="B2456" s="42">
        <v>1379.92</v>
      </c>
      <c r="C2456" s="43">
        <v>0.06</v>
      </c>
      <c r="D2456" s="45">
        <v>45962</v>
      </c>
      <c r="E2456" s="45">
        <v>45991.999305555553</v>
      </c>
      <c r="F2456" s="42" t="s">
        <v>475</v>
      </c>
    </row>
    <row r="2457" spans="1:6" x14ac:dyDescent="0.35">
      <c r="A2457" s="42" t="s">
        <v>276</v>
      </c>
      <c r="B2457" s="42">
        <v>1379.92</v>
      </c>
      <c r="C2457" s="43">
        <v>0.06</v>
      </c>
      <c r="D2457" s="45">
        <v>45962</v>
      </c>
      <c r="E2457" s="45">
        <v>45991.999305555553</v>
      </c>
      <c r="F2457" s="42" t="s">
        <v>475</v>
      </c>
    </row>
    <row r="2458" spans="1:6" x14ac:dyDescent="0.35">
      <c r="A2458" s="42" t="s">
        <v>807</v>
      </c>
      <c r="B2458" s="42">
        <v>1379.92</v>
      </c>
      <c r="C2458" s="43">
        <v>0.06</v>
      </c>
      <c r="D2458" s="45">
        <v>45962</v>
      </c>
      <c r="E2458" s="45">
        <v>45991.999305555553</v>
      </c>
      <c r="F2458" s="42" t="s">
        <v>475</v>
      </c>
    </row>
    <row r="2459" spans="1:6" x14ac:dyDescent="0.35">
      <c r="A2459" s="42" t="s">
        <v>669</v>
      </c>
      <c r="B2459" s="42">
        <v>2159.92</v>
      </c>
      <c r="C2459" s="43">
        <v>0.06</v>
      </c>
      <c r="D2459" s="45">
        <v>45962</v>
      </c>
      <c r="E2459" s="45">
        <v>45991.999305555553</v>
      </c>
      <c r="F2459" s="42" t="s">
        <v>475</v>
      </c>
    </row>
    <row r="2460" spans="1:6" x14ac:dyDescent="0.35">
      <c r="A2460" s="42" t="s">
        <v>803</v>
      </c>
      <c r="B2460" s="42">
        <v>1799.92</v>
      </c>
      <c r="C2460" s="43">
        <v>0.06</v>
      </c>
      <c r="D2460" s="45">
        <v>45962</v>
      </c>
      <c r="E2460" s="45">
        <v>45991.999305555553</v>
      </c>
      <c r="F2460" s="42" t="s">
        <v>475</v>
      </c>
    </row>
    <row r="2461" spans="1:6" x14ac:dyDescent="0.35">
      <c r="A2461" s="42" t="s">
        <v>811</v>
      </c>
      <c r="B2461" s="42">
        <v>1799.92</v>
      </c>
      <c r="C2461" s="43">
        <v>0.06</v>
      </c>
      <c r="D2461" s="45">
        <v>45962</v>
      </c>
      <c r="E2461" s="45">
        <v>45991.999305555553</v>
      </c>
      <c r="F2461" s="42" t="s">
        <v>475</v>
      </c>
    </row>
    <row r="2462" spans="1:6" x14ac:dyDescent="0.35">
      <c r="A2462" s="42" t="s">
        <v>643</v>
      </c>
      <c r="B2462" s="42">
        <v>1899.92</v>
      </c>
      <c r="C2462" s="43">
        <v>0.06</v>
      </c>
      <c r="D2462" s="45">
        <v>45962</v>
      </c>
      <c r="E2462" s="45">
        <v>45991.999305555553</v>
      </c>
      <c r="F2462" s="42" t="s">
        <v>475</v>
      </c>
    </row>
    <row r="2463" spans="1:6" x14ac:dyDescent="0.35">
      <c r="A2463" s="42" t="s">
        <v>812</v>
      </c>
      <c r="B2463" s="42">
        <v>1899.92</v>
      </c>
      <c r="C2463" s="43">
        <v>0.06</v>
      </c>
      <c r="D2463" s="45">
        <v>45962</v>
      </c>
      <c r="E2463" s="45">
        <v>45991.999305555553</v>
      </c>
      <c r="F2463" s="42" t="s">
        <v>475</v>
      </c>
    </row>
    <row r="2464" spans="1:6" x14ac:dyDescent="0.35">
      <c r="A2464" s="42" t="s">
        <v>327</v>
      </c>
      <c r="B2464" s="42">
        <v>2199.92</v>
      </c>
      <c r="C2464" s="43">
        <v>0.06</v>
      </c>
      <c r="D2464" s="45">
        <v>45962</v>
      </c>
      <c r="E2464" s="45">
        <v>45991.999305555553</v>
      </c>
      <c r="F2464" s="42" t="s">
        <v>475</v>
      </c>
    </row>
    <row r="2465" spans="1:6" x14ac:dyDescent="0.35">
      <c r="A2465" s="42" t="s">
        <v>45</v>
      </c>
      <c r="B2465" s="42">
        <v>419.92</v>
      </c>
      <c r="C2465" s="43">
        <v>0.06</v>
      </c>
      <c r="D2465" s="45">
        <v>45962</v>
      </c>
      <c r="E2465" s="45">
        <v>45991.999305555553</v>
      </c>
      <c r="F2465" s="42" t="s">
        <v>475</v>
      </c>
    </row>
    <row r="2466" spans="1:6" x14ac:dyDescent="0.35">
      <c r="A2466" s="42" t="s">
        <v>587</v>
      </c>
      <c r="B2466" s="42">
        <v>539.91999999999996</v>
      </c>
      <c r="C2466" s="43">
        <v>0.06</v>
      </c>
      <c r="D2466" s="45">
        <v>45962</v>
      </c>
      <c r="E2466" s="45">
        <v>45991.999305555553</v>
      </c>
      <c r="F2466" s="42" t="s">
        <v>475</v>
      </c>
    </row>
    <row r="2467" spans="1:6" x14ac:dyDescent="0.35">
      <c r="A2467" s="42" t="s">
        <v>485</v>
      </c>
      <c r="B2467" s="42">
        <v>979.92</v>
      </c>
      <c r="C2467" s="43">
        <v>0.06</v>
      </c>
      <c r="D2467" s="45">
        <v>45962</v>
      </c>
      <c r="E2467" s="45">
        <v>45991.999305555553</v>
      </c>
      <c r="F2467" s="42" t="s">
        <v>475</v>
      </c>
    </row>
    <row r="2468" spans="1:6" x14ac:dyDescent="0.35">
      <c r="A2468" s="42" t="s">
        <v>568</v>
      </c>
      <c r="B2468" s="42">
        <v>239.92</v>
      </c>
      <c r="C2468" s="43">
        <v>0.06</v>
      </c>
      <c r="D2468" s="45">
        <v>45962</v>
      </c>
      <c r="E2468" s="45">
        <v>45991.999305555553</v>
      </c>
      <c r="F2468" s="42" t="s">
        <v>475</v>
      </c>
    </row>
    <row r="2469" spans="1:6" x14ac:dyDescent="0.35">
      <c r="A2469" s="42" t="s">
        <v>506</v>
      </c>
      <c r="B2469" s="42">
        <v>1229.92</v>
      </c>
      <c r="C2469" s="43">
        <v>0.06</v>
      </c>
      <c r="D2469" s="45">
        <v>45962</v>
      </c>
      <c r="E2469" s="45">
        <v>45991.999305555553</v>
      </c>
      <c r="F2469" s="42" t="s">
        <v>475</v>
      </c>
    </row>
    <row r="2470" spans="1:6" x14ac:dyDescent="0.35">
      <c r="A2470" s="42" t="s">
        <v>509</v>
      </c>
      <c r="B2470" s="42">
        <v>2449.92</v>
      </c>
      <c r="C2470" s="43">
        <v>0.06</v>
      </c>
      <c r="D2470" s="45">
        <v>45962</v>
      </c>
      <c r="E2470" s="45">
        <v>45991.999305555553</v>
      </c>
      <c r="F2470" s="42" t="s">
        <v>475</v>
      </c>
    </row>
    <row r="2471" spans="1:6" x14ac:dyDescent="0.35">
      <c r="A2471" s="42" t="s">
        <v>11</v>
      </c>
      <c r="B2471" s="42">
        <v>339.92</v>
      </c>
      <c r="C2471" s="43">
        <v>0.06</v>
      </c>
      <c r="D2471" s="45">
        <v>45962</v>
      </c>
      <c r="E2471" s="45">
        <v>45991.999305555553</v>
      </c>
      <c r="F2471" s="42" t="s">
        <v>475</v>
      </c>
    </row>
    <row r="2472" spans="1:6" x14ac:dyDescent="0.35">
      <c r="A2472" s="42" t="s">
        <v>505</v>
      </c>
      <c r="B2472" s="42">
        <v>1169.92</v>
      </c>
      <c r="C2472" s="43">
        <v>0.06</v>
      </c>
      <c r="D2472" s="45">
        <v>45962</v>
      </c>
      <c r="E2472" s="45">
        <v>45991.999305555553</v>
      </c>
      <c r="F2472" s="42" t="s">
        <v>475</v>
      </c>
    </row>
    <row r="2473" spans="1:6" x14ac:dyDescent="0.35">
      <c r="A2473" s="42" t="s">
        <v>565</v>
      </c>
      <c r="B2473" s="42">
        <v>149.91999999999999</v>
      </c>
      <c r="C2473" s="43">
        <v>0.06</v>
      </c>
      <c r="D2473" s="45">
        <v>45962</v>
      </c>
      <c r="E2473" s="45">
        <v>45991.999305555553</v>
      </c>
      <c r="F2473" s="42" t="s">
        <v>475</v>
      </c>
    </row>
    <row r="2474" spans="1:6" x14ac:dyDescent="0.35">
      <c r="A2474" s="42" t="s">
        <v>466</v>
      </c>
      <c r="B2474" s="42">
        <v>1199.92</v>
      </c>
      <c r="C2474" s="43">
        <v>0.06</v>
      </c>
      <c r="D2474" s="45">
        <v>45962</v>
      </c>
      <c r="E2474" s="45">
        <v>45991.999305555553</v>
      </c>
      <c r="F2474" s="42" t="s">
        <v>475</v>
      </c>
    </row>
    <row r="2475" spans="1:6" x14ac:dyDescent="0.35">
      <c r="A2475" s="42" t="s">
        <v>510</v>
      </c>
      <c r="B2475" s="42">
        <v>2489.92</v>
      </c>
      <c r="C2475" s="43">
        <v>0.06</v>
      </c>
      <c r="D2475" s="45">
        <v>45962</v>
      </c>
      <c r="E2475" s="45">
        <v>45991.999305555553</v>
      </c>
      <c r="F2475" s="42" t="s">
        <v>475</v>
      </c>
    </row>
    <row r="2476" spans="1:6" x14ac:dyDescent="0.35">
      <c r="A2476" s="42" t="s">
        <v>578</v>
      </c>
      <c r="B2476" s="42">
        <v>419.92</v>
      </c>
      <c r="C2476" s="43">
        <v>0.06</v>
      </c>
      <c r="D2476" s="45">
        <v>45962</v>
      </c>
      <c r="E2476" s="45">
        <v>45991.999305555553</v>
      </c>
      <c r="F2476" s="42" t="s">
        <v>475</v>
      </c>
    </row>
    <row r="2477" spans="1:6" x14ac:dyDescent="0.35">
      <c r="A2477" s="42" t="s">
        <v>575</v>
      </c>
      <c r="B2477" s="42">
        <v>379.92</v>
      </c>
      <c r="C2477" s="43">
        <v>0.06</v>
      </c>
      <c r="D2477" s="45">
        <v>45962</v>
      </c>
      <c r="E2477" s="45">
        <v>45991.999305555553</v>
      </c>
      <c r="F2477" s="42" t="s">
        <v>475</v>
      </c>
    </row>
    <row r="2478" spans="1:6" x14ac:dyDescent="0.35">
      <c r="A2478" s="42" t="s">
        <v>23</v>
      </c>
      <c r="B2478" s="42">
        <v>419.92</v>
      </c>
      <c r="C2478" s="43">
        <v>0.06</v>
      </c>
      <c r="D2478" s="45">
        <v>45962</v>
      </c>
      <c r="E2478" s="45">
        <v>45991.999305555553</v>
      </c>
      <c r="F2478" s="42" t="s">
        <v>475</v>
      </c>
    </row>
    <row r="2479" spans="1:6" x14ac:dyDescent="0.35">
      <c r="A2479" s="42" t="s">
        <v>527</v>
      </c>
      <c r="B2479" s="42">
        <v>749.92</v>
      </c>
      <c r="C2479" s="43">
        <v>0.06</v>
      </c>
      <c r="D2479" s="45">
        <v>45962</v>
      </c>
      <c r="E2479" s="45">
        <v>45991.999305555553</v>
      </c>
      <c r="F2479" s="42" t="s">
        <v>475</v>
      </c>
    </row>
    <row r="2480" spans="1:6" x14ac:dyDescent="0.35">
      <c r="A2480" s="42" t="s">
        <v>526</v>
      </c>
      <c r="B2480" s="42">
        <v>749.92</v>
      </c>
      <c r="C2480" s="43">
        <v>0.06</v>
      </c>
      <c r="D2480" s="45">
        <v>45962</v>
      </c>
      <c r="E2480" s="45">
        <v>45991.999305555553</v>
      </c>
      <c r="F2480" s="42" t="s">
        <v>475</v>
      </c>
    </row>
    <row r="2481" spans="1:6" x14ac:dyDescent="0.35">
      <c r="A2481" s="42" t="s">
        <v>90</v>
      </c>
      <c r="B2481" s="42">
        <v>629.91999999999996</v>
      </c>
      <c r="C2481" s="43">
        <v>0.06</v>
      </c>
      <c r="D2481" s="45">
        <v>45962</v>
      </c>
      <c r="E2481" s="45">
        <v>45991.999305555553</v>
      </c>
      <c r="F2481" s="42" t="s">
        <v>475</v>
      </c>
    </row>
    <row r="2482" spans="1:6" x14ac:dyDescent="0.35">
      <c r="A2482" s="42" t="s">
        <v>508</v>
      </c>
      <c r="B2482" s="42">
        <v>2299.92</v>
      </c>
      <c r="C2482" s="43">
        <v>0.06</v>
      </c>
      <c r="D2482" s="45">
        <v>45962</v>
      </c>
      <c r="E2482" s="45">
        <v>45991.999305555553</v>
      </c>
      <c r="F2482" s="42" t="s">
        <v>475</v>
      </c>
    </row>
    <row r="2483" spans="1:6" x14ac:dyDescent="0.35">
      <c r="A2483" s="42" t="s">
        <v>533</v>
      </c>
      <c r="B2483" s="42">
        <v>1129.92</v>
      </c>
      <c r="C2483" s="43">
        <v>0.06</v>
      </c>
      <c r="D2483" s="45">
        <v>45962</v>
      </c>
      <c r="E2483" s="45">
        <v>45991.999305555553</v>
      </c>
      <c r="F2483" s="42" t="s">
        <v>475</v>
      </c>
    </row>
    <row r="2484" spans="1:6" x14ac:dyDescent="0.35">
      <c r="A2484" s="42" t="s">
        <v>569</v>
      </c>
      <c r="B2484" s="42">
        <v>219.92</v>
      </c>
      <c r="C2484" s="43">
        <v>0.06</v>
      </c>
      <c r="D2484" s="45">
        <v>45962</v>
      </c>
      <c r="E2484" s="45">
        <v>45991.999305555553</v>
      </c>
      <c r="F2484" s="42" t="s">
        <v>475</v>
      </c>
    </row>
    <row r="2485" spans="1:6" x14ac:dyDescent="0.35">
      <c r="A2485" s="42" t="s">
        <v>60</v>
      </c>
      <c r="B2485" s="42">
        <v>979.92</v>
      </c>
      <c r="C2485" s="43">
        <v>0.06</v>
      </c>
      <c r="D2485" s="45">
        <v>45962</v>
      </c>
      <c r="E2485" s="45">
        <v>45991.999305555553</v>
      </c>
      <c r="F2485" s="42" t="s">
        <v>475</v>
      </c>
    </row>
    <row r="2486" spans="1:6" x14ac:dyDescent="0.35">
      <c r="A2486" s="42" t="s">
        <v>500</v>
      </c>
      <c r="B2486" s="42">
        <v>879.92</v>
      </c>
      <c r="C2486" s="43">
        <v>0.06</v>
      </c>
      <c r="D2486" s="45">
        <v>45962</v>
      </c>
      <c r="E2486" s="45">
        <v>45991.999305555553</v>
      </c>
      <c r="F2486" s="42" t="s">
        <v>475</v>
      </c>
    </row>
    <row r="2487" spans="1:6" x14ac:dyDescent="0.35">
      <c r="A2487" s="42" t="s">
        <v>595</v>
      </c>
      <c r="B2487" s="42">
        <v>2399.92</v>
      </c>
      <c r="C2487" s="43">
        <v>0.06</v>
      </c>
      <c r="D2487" s="45">
        <v>45962</v>
      </c>
      <c r="E2487" s="45">
        <v>45991.999305555553</v>
      </c>
      <c r="F2487" s="42" t="s">
        <v>475</v>
      </c>
    </row>
    <row r="2488" spans="1:6" x14ac:dyDescent="0.35">
      <c r="A2488" s="42" t="s">
        <v>316</v>
      </c>
      <c r="B2488" s="42">
        <v>1659.92</v>
      </c>
      <c r="C2488" s="43">
        <v>0.06</v>
      </c>
      <c r="D2488" s="45">
        <v>45962</v>
      </c>
      <c r="E2488" s="45">
        <v>45991.999305555553</v>
      </c>
      <c r="F2488" s="42" t="s">
        <v>475</v>
      </c>
    </row>
    <row r="2489" spans="1:6" x14ac:dyDescent="0.35">
      <c r="A2489" s="42" t="s">
        <v>490</v>
      </c>
      <c r="B2489" s="42">
        <v>1659.92</v>
      </c>
      <c r="C2489" s="43">
        <v>0.06</v>
      </c>
      <c r="D2489" s="45">
        <v>45962</v>
      </c>
      <c r="E2489" s="45">
        <v>45991.999305555553</v>
      </c>
      <c r="F2489" s="42" t="s">
        <v>475</v>
      </c>
    </row>
    <row r="2490" spans="1:6" x14ac:dyDescent="0.35">
      <c r="A2490" s="42" t="s">
        <v>590</v>
      </c>
      <c r="B2490" s="42">
        <v>619.91999999999996</v>
      </c>
      <c r="C2490" s="43">
        <v>0.06</v>
      </c>
      <c r="D2490" s="45">
        <v>45962</v>
      </c>
      <c r="E2490" s="45">
        <v>45991.999305555553</v>
      </c>
      <c r="F2490" s="42" t="s">
        <v>475</v>
      </c>
    </row>
    <row r="2491" spans="1:6" x14ac:dyDescent="0.35">
      <c r="A2491" s="42" t="s">
        <v>596</v>
      </c>
      <c r="B2491" s="42">
        <v>2659.92</v>
      </c>
      <c r="C2491" s="43">
        <v>0.06</v>
      </c>
      <c r="D2491" s="45">
        <v>45962</v>
      </c>
      <c r="E2491" s="45">
        <v>45991.999305555553</v>
      </c>
      <c r="F2491" s="42" t="s">
        <v>475</v>
      </c>
    </row>
    <row r="2492" spans="1:6" x14ac:dyDescent="0.35">
      <c r="A2492" s="42" t="s">
        <v>486</v>
      </c>
      <c r="B2492" s="42">
        <v>999.92</v>
      </c>
      <c r="C2492" s="43">
        <v>0.06</v>
      </c>
      <c r="D2492" s="45">
        <v>45962</v>
      </c>
      <c r="E2492" s="45">
        <v>45991.999305555553</v>
      </c>
      <c r="F2492" s="42" t="s">
        <v>475</v>
      </c>
    </row>
    <row r="2493" spans="1:6" x14ac:dyDescent="0.35">
      <c r="A2493" s="42" t="s">
        <v>507</v>
      </c>
      <c r="B2493" s="42">
        <v>1469.92</v>
      </c>
      <c r="C2493" s="43">
        <v>0.06</v>
      </c>
      <c r="D2493" s="45">
        <v>45962</v>
      </c>
      <c r="E2493" s="45">
        <v>45991.999305555553</v>
      </c>
      <c r="F2493" s="42" t="s">
        <v>475</v>
      </c>
    </row>
    <row r="2494" spans="1:6" x14ac:dyDescent="0.35">
      <c r="A2494" s="42" t="s">
        <v>574</v>
      </c>
      <c r="B2494" s="42">
        <v>419.92</v>
      </c>
      <c r="C2494" s="43">
        <v>0.06</v>
      </c>
      <c r="D2494" s="45">
        <v>45962</v>
      </c>
      <c r="E2494" s="45">
        <v>45991.999305555553</v>
      </c>
      <c r="F2494" s="42" t="s">
        <v>475</v>
      </c>
    </row>
    <row r="2495" spans="1:6" x14ac:dyDescent="0.35">
      <c r="A2495" s="42" t="s">
        <v>580</v>
      </c>
      <c r="B2495" s="42">
        <v>439.92</v>
      </c>
      <c r="C2495" s="43">
        <v>0.06</v>
      </c>
      <c r="D2495" s="45">
        <v>45962</v>
      </c>
      <c r="E2495" s="45">
        <v>45991.999305555553</v>
      </c>
      <c r="F2495" s="42" t="s">
        <v>475</v>
      </c>
    </row>
    <row r="2496" spans="1:6" x14ac:dyDescent="0.35">
      <c r="A2496" s="42" t="s">
        <v>8</v>
      </c>
      <c r="B2496" s="42">
        <v>339.92</v>
      </c>
      <c r="C2496" s="43">
        <v>0.06</v>
      </c>
      <c r="D2496" s="45">
        <v>45962</v>
      </c>
      <c r="E2496" s="45">
        <v>45991.999305555553</v>
      </c>
      <c r="F2496" s="42" t="s">
        <v>475</v>
      </c>
    </row>
    <row r="2497" spans="1:6" x14ac:dyDescent="0.35">
      <c r="A2497" s="42" t="s">
        <v>9</v>
      </c>
      <c r="B2497" s="42">
        <v>339.92</v>
      </c>
      <c r="C2497" s="43">
        <v>0.06</v>
      </c>
      <c r="D2497" s="45">
        <v>45962</v>
      </c>
      <c r="E2497" s="45">
        <v>45991.999305555553</v>
      </c>
      <c r="F2497" s="42" t="s">
        <v>475</v>
      </c>
    </row>
    <row r="2498" spans="1:6" x14ac:dyDescent="0.35">
      <c r="A2498" s="42" t="s">
        <v>67</v>
      </c>
      <c r="B2498" s="42">
        <v>339.92</v>
      </c>
      <c r="C2498" s="43">
        <v>0.06</v>
      </c>
      <c r="D2498" s="45">
        <v>45962</v>
      </c>
      <c r="E2498" s="45">
        <v>45991.999305555553</v>
      </c>
      <c r="F2498" s="42" t="s">
        <v>475</v>
      </c>
    </row>
    <row r="2499" spans="1:6" x14ac:dyDescent="0.35">
      <c r="A2499" s="42" t="s">
        <v>564</v>
      </c>
      <c r="B2499" s="42">
        <v>419.92</v>
      </c>
      <c r="C2499" s="43">
        <v>0.06</v>
      </c>
      <c r="D2499" s="45">
        <v>45962</v>
      </c>
      <c r="E2499" s="45">
        <v>45991.999305555553</v>
      </c>
      <c r="F2499" s="42" t="s">
        <v>475</v>
      </c>
    </row>
    <row r="2500" spans="1:6" x14ac:dyDescent="0.35">
      <c r="A2500" s="42" t="s">
        <v>491</v>
      </c>
      <c r="B2500" s="42">
        <v>2049.92</v>
      </c>
      <c r="C2500" s="43">
        <v>0.06</v>
      </c>
      <c r="D2500" s="45">
        <v>45962</v>
      </c>
      <c r="E2500" s="45">
        <v>45991.999305555553</v>
      </c>
      <c r="F2500" s="42" t="s">
        <v>475</v>
      </c>
    </row>
    <row r="2501" spans="1:6" x14ac:dyDescent="0.35">
      <c r="A2501" s="42" t="s">
        <v>33</v>
      </c>
      <c r="B2501" s="42">
        <v>879.92</v>
      </c>
      <c r="C2501" s="43">
        <v>0.06</v>
      </c>
      <c r="D2501" s="45">
        <v>45962</v>
      </c>
      <c r="E2501" s="45">
        <v>45991.999305555553</v>
      </c>
      <c r="F2501" s="42" t="s">
        <v>475</v>
      </c>
    </row>
    <row r="2502" spans="1:6" x14ac:dyDescent="0.35">
      <c r="A2502" s="42" t="s">
        <v>480</v>
      </c>
      <c r="B2502" s="42">
        <v>629.91999999999996</v>
      </c>
      <c r="C2502" s="43">
        <v>0.06</v>
      </c>
      <c r="D2502" s="45">
        <v>45962</v>
      </c>
      <c r="E2502" s="45">
        <v>45991.999305555553</v>
      </c>
      <c r="F2502" s="42" t="s">
        <v>475</v>
      </c>
    </row>
    <row r="2503" spans="1:6" x14ac:dyDescent="0.35">
      <c r="A2503" s="42" t="s">
        <v>479</v>
      </c>
      <c r="B2503" s="42">
        <v>629.91999999999996</v>
      </c>
      <c r="C2503" s="43">
        <v>0.06</v>
      </c>
      <c r="D2503" s="45">
        <v>45962</v>
      </c>
      <c r="E2503" s="45">
        <v>45991.999305555553</v>
      </c>
      <c r="F2503" s="42" t="s">
        <v>475</v>
      </c>
    </row>
    <row r="2504" spans="1:6" x14ac:dyDescent="0.35">
      <c r="A2504" s="42" t="s">
        <v>623</v>
      </c>
      <c r="B2504" s="42">
        <v>629.91999999999996</v>
      </c>
      <c r="C2504" s="43">
        <v>0.06</v>
      </c>
      <c r="D2504" s="45">
        <v>45962</v>
      </c>
      <c r="E2504" s="45">
        <v>45991.999305555553</v>
      </c>
      <c r="F2504" s="42" t="s">
        <v>475</v>
      </c>
    </row>
    <row r="2505" spans="1:6" x14ac:dyDescent="0.35">
      <c r="A2505" s="42" t="s">
        <v>401</v>
      </c>
      <c r="B2505" s="42">
        <v>1329.92</v>
      </c>
      <c r="C2505" s="43">
        <v>0.06</v>
      </c>
      <c r="D2505" s="45">
        <v>45962</v>
      </c>
      <c r="E2505" s="45">
        <v>45991.999305555553</v>
      </c>
      <c r="F2505" s="42" t="s">
        <v>475</v>
      </c>
    </row>
    <row r="2506" spans="1:6" x14ac:dyDescent="0.35">
      <c r="A2506" s="42" t="s">
        <v>50</v>
      </c>
      <c r="B2506" s="42">
        <v>1749.92</v>
      </c>
      <c r="C2506" s="43">
        <v>0.06</v>
      </c>
      <c r="D2506" s="45">
        <v>45962</v>
      </c>
      <c r="E2506" s="45">
        <v>45991.999305555553</v>
      </c>
      <c r="F2506" s="42" t="s">
        <v>475</v>
      </c>
    </row>
    <row r="2507" spans="1:6" x14ac:dyDescent="0.35">
      <c r="A2507" s="42" t="s">
        <v>482</v>
      </c>
      <c r="B2507" s="42">
        <v>829.92</v>
      </c>
      <c r="C2507" s="43">
        <v>0.06</v>
      </c>
      <c r="D2507" s="45">
        <v>45962</v>
      </c>
      <c r="E2507" s="45">
        <v>45991.999305555553</v>
      </c>
      <c r="F2507" s="42" t="s">
        <v>475</v>
      </c>
    </row>
    <row r="2508" spans="1:6" x14ac:dyDescent="0.35">
      <c r="A2508" s="42" t="s">
        <v>459</v>
      </c>
      <c r="B2508" s="42">
        <v>829.92</v>
      </c>
      <c r="C2508" s="43">
        <v>0.06</v>
      </c>
      <c r="D2508" s="45">
        <v>45962</v>
      </c>
      <c r="E2508" s="45">
        <v>45991.999305555553</v>
      </c>
      <c r="F2508" s="42" t="s">
        <v>475</v>
      </c>
    </row>
    <row r="2509" spans="1:6" x14ac:dyDescent="0.35">
      <c r="A2509" s="42" t="s">
        <v>42</v>
      </c>
      <c r="B2509" s="42">
        <v>829.92</v>
      </c>
      <c r="C2509" s="43">
        <v>0.06</v>
      </c>
      <c r="D2509" s="45">
        <v>45962</v>
      </c>
      <c r="E2509" s="45">
        <v>45991.999305555553</v>
      </c>
      <c r="F2509" s="42" t="s">
        <v>475</v>
      </c>
    </row>
    <row r="2510" spans="1:6" x14ac:dyDescent="0.35">
      <c r="A2510" s="42" t="s">
        <v>603</v>
      </c>
      <c r="B2510" s="42">
        <v>829.92</v>
      </c>
      <c r="C2510" s="43">
        <v>0.06</v>
      </c>
      <c r="D2510" s="45">
        <v>45962</v>
      </c>
      <c r="E2510" s="45">
        <v>45991.999305555553</v>
      </c>
      <c r="F2510" s="42" t="s">
        <v>475</v>
      </c>
    </row>
    <row r="2511" spans="1:6" x14ac:dyDescent="0.35">
      <c r="A2511" s="42" t="s">
        <v>604</v>
      </c>
      <c r="B2511" s="42">
        <v>829.92</v>
      </c>
      <c r="C2511" s="43">
        <v>0.06</v>
      </c>
      <c r="D2511" s="45">
        <v>45962</v>
      </c>
      <c r="E2511" s="45">
        <v>45991.999305555553</v>
      </c>
      <c r="F2511" s="42" t="s">
        <v>475</v>
      </c>
    </row>
    <row r="2512" spans="1:6" x14ac:dyDescent="0.35">
      <c r="A2512" s="42" t="s">
        <v>501</v>
      </c>
      <c r="B2512" s="42">
        <v>879.92</v>
      </c>
      <c r="C2512" s="43">
        <v>0.06</v>
      </c>
      <c r="D2512" s="45">
        <v>45962</v>
      </c>
      <c r="E2512" s="45">
        <v>45991.999305555553</v>
      </c>
      <c r="F2512" s="42" t="s">
        <v>475</v>
      </c>
    </row>
    <row r="2513" spans="1:6" x14ac:dyDescent="0.35">
      <c r="A2513" s="42" t="s">
        <v>566</v>
      </c>
      <c r="B2513" s="42">
        <v>149.91999999999999</v>
      </c>
      <c r="C2513" s="43">
        <v>0.06</v>
      </c>
      <c r="D2513" s="45">
        <v>45962</v>
      </c>
      <c r="E2513" s="45">
        <v>45991.999305555553</v>
      </c>
      <c r="F2513" s="42" t="s">
        <v>475</v>
      </c>
    </row>
    <row r="2514" spans="1:6" x14ac:dyDescent="0.35">
      <c r="A2514" s="42" t="s">
        <v>607</v>
      </c>
      <c r="B2514" s="42">
        <v>2489.92</v>
      </c>
      <c r="C2514" s="43">
        <v>0.06</v>
      </c>
      <c r="D2514" s="45">
        <v>45962</v>
      </c>
      <c r="E2514" s="45">
        <v>45991.999305555553</v>
      </c>
      <c r="F2514" s="42" t="s">
        <v>475</v>
      </c>
    </row>
    <row r="2515" spans="1:6" x14ac:dyDescent="0.35">
      <c r="A2515" s="42" t="s">
        <v>89</v>
      </c>
      <c r="B2515" s="42">
        <v>829.92</v>
      </c>
      <c r="C2515" s="43">
        <v>0.06</v>
      </c>
      <c r="D2515" s="45">
        <v>45962</v>
      </c>
      <c r="E2515" s="45">
        <v>45991.999305555553</v>
      </c>
      <c r="F2515" s="42" t="s">
        <v>475</v>
      </c>
    </row>
    <row r="2516" spans="1:6" x14ac:dyDescent="0.35">
      <c r="A2516" s="42" t="s">
        <v>400</v>
      </c>
      <c r="B2516" s="42">
        <v>1129.92</v>
      </c>
      <c r="C2516" s="43">
        <v>0.06</v>
      </c>
      <c r="D2516" s="45">
        <v>45962</v>
      </c>
      <c r="E2516" s="45">
        <v>45991.999305555553</v>
      </c>
      <c r="F2516" s="42" t="s">
        <v>475</v>
      </c>
    </row>
    <row r="2517" spans="1:6" x14ac:dyDescent="0.35">
      <c r="A2517" s="42" t="s">
        <v>121</v>
      </c>
      <c r="B2517" s="42">
        <v>1289.92</v>
      </c>
      <c r="C2517" s="43">
        <v>0.06</v>
      </c>
      <c r="D2517" s="45">
        <v>45962</v>
      </c>
      <c r="E2517" s="45">
        <v>45991.999305555553</v>
      </c>
      <c r="F2517" s="42" t="s">
        <v>475</v>
      </c>
    </row>
    <row r="2518" spans="1:6" x14ac:dyDescent="0.35">
      <c r="A2518" s="42" t="s">
        <v>266</v>
      </c>
      <c r="B2518" s="42">
        <v>1389.92</v>
      </c>
      <c r="C2518" s="43">
        <v>0.06</v>
      </c>
      <c r="D2518" s="45">
        <v>45962</v>
      </c>
      <c r="E2518" s="45">
        <v>45991.999305555553</v>
      </c>
      <c r="F2518" s="42" t="s">
        <v>475</v>
      </c>
    </row>
    <row r="2519" spans="1:6" x14ac:dyDescent="0.35">
      <c r="A2519" s="42" t="s">
        <v>105</v>
      </c>
      <c r="B2519" s="42">
        <v>1329.92</v>
      </c>
      <c r="C2519" s="43">
        <v>0.06</v>
      </c>
      <c r="D2519" s="45">
        <v>45962</v>
      </c>
      <c r="E2519" s="45">
        <v>45991.999305555553</v>
      </c>
      <c r="F2519" s="42" t="s">
        <v>475</v>
      </c>
    </row>
    <row r="2520" spans="1:6" x14ac:dyDescent="0.35">
      <c r="A2520" s="42" t="s">
        <v>48</v>
      </c>
      <c r="B2520" s="42">
        <v>999.92</v>
      </c>
      <c r="C2520" s="43">
        <v>0.06</v>
      </c>
      <c r="D2520" s="45">
        <v>45962</v>
      </c>
      <c r="E2520" s="45">
        <v>45991.999305555553</v>
      </c>
      <c r="F2520" s="42" t="s">
        <v>475</v>
      </c>
    </row>
    <row r="2521" spans="1:6" x14ac:dyDescent="0.35">
      <c r="A2521" s="42" t="s">
        <v>621</v>
      </c>
      <c r="B2521" s="42">
        <v>1639.92</v>
      </c>
      <c r="C2521" s="43">
        <v>0.06</v>
      </c>
      <c r="D2521" s="45">
        <v>45962</v>
      </c>
      <c r="E2521" s="45">
        <v>45991.999305555553</v>
      </c>
      <c r="F2521" s="42" t="s">
        <v>475</v>
      </c>
    </row>
    <row r="2522" spans="1:6" x14ac:dyDescent="0.35">
      <c r="A2522" s="42" t="s">
        <v>645</v>
      </c>
      <c r="B2522" s="42">
        <v>1549.92</v>
      </c>
      <c r="C2522" s="43">
        <v>0.06</v>
      </c>
      <c r="D2522" s="45">
        <v>45962</v>
      </c>
      <c r="E2522" s="45">
        <v>45991.999305555553</v>
      </c>
      <c r="F2522" s="42" t="s">
        <v>475</v>
      </c>
    </row>
    <row r="2523" spans="1:6" x14ac:dyDescent="0.35">
      <c r="A2523" s="42" t="s">
        <v>648</v>
      </c>
      <c r="B2523" s="42">
        <v>2249.92</v>
      </c>
      <c r="C2523" s="43">
        <v>0.06</v>
      </c>
      <c r="D2523" s="45">
        <v>45962</v>
      </c>
      <c r="E2523" s="45">
        <v>45991.999305555553</v>
      </c>
      <c r="F2523" s="42" t="s">
        <v>475</v>
      </c>
    </row>
    <row r="2524" spans="1:6" x14ac:dyDescent="0.35">
      <c r="A2524" s="42" t="s">
        <v>649</v>
      </c>
      <c r="B2524" s="42">
        <v>3159.92</v>
      </c>
      <c r="C2524" s="43">
        <v>0.06</v>
      </c>
      <c r="D2524" s="45">
        <v>45962</v>
      </c>
      <c r="E2524" s="45">
        <v>45991.999305555553</v>
      </c>
      <c r="F2524" s="42" t="s">
        <v>475</v>
      </c>
    </row>
    <row r="2525" spans="1:6" x14ac:dyDescent="0.35">
      <c r="A2525" s="42" t="s">
        <v>652</v>
      </c>
      <c r="B2525" s="42">
        <v>1039.92</v>
      </c>
      <c r="C2525" s="43">
        <v>0.06</v>
      </c>
      <c r="D2525" s="45">
        <v>45962</v>
      </c>
      <c r="E2525" s="45">
        <v>45991.999305555553</v>
      </c>
      <c r="F2525" s="42" t="s">
        <v>475</v>
      </c>
    </row>
    <row r="2526" spans="1:6" x14ac:dyDescent="0.35">
      <c r="A2526" s="42" t="s">
        <v>653</v>
      </c>
      <c r="B2526" s="42">
        <v>2489.92</v>
      </c>
      <c r="C2526" s="43">
        <v>0.06</v>
      </c>
      <c r="D2526" s="45">
        <v>45962</v>
      </c>
      <c r="E2526" s="45">
        <v>45991.999305555553</v>
      </c>
      <c r="F2526" s="42" t="s">
        <v>475</v>
      </c>
    </row>
    <row r="2527" spans="1:6" x14ac:dyDescent="0.35">
      <c r="A2527" s="42" t="s">
        <v>655</v>
      </c>
      <c r="B2527" s="42">
        <v>2299.92</v>
      </c>
      <c r="C2527" s="43">
        <v>0.06</v>
      </c>
      <c r="D2527" s="45">
        <v>45962</v>
      </c>
      <c r="E2527" s="45">
        <v>45991.999305555553</v>
      </c>
      <c r="F2527" s="42" t="s">
        <v>475</v>
      </c>
    </row>
    <row r="2528" spans="1:6" x14ac:dyDescent="0.35">
      <c r="A2528" s="42" t="s">
        <v>656</v>
      </c>
      <c r="B2528" s="42">
        <v>999.92</v>
      </c>
      <c r="C2528" s="43">
        <v>0.06</v>
      </c>
      <c r="D2528" s="45">
        <v>45962</v>
      </c>
      <c r="E2528" s="45">
        <v>45991.999305555553</v>
      </c>
      <c r="F2528" s="42" t="s">
        <v>475</v>
      </c>
    </row>
    <row r="2529" spans="1:6" x14ac:dyDescent="0.35">
      <c r="A2529" s="42" t="s">
        <v>657</v>
      </c>
      <c r="B2529" s="42">
        <v>619.91999999999996</v>
      </c>
      <c r="C2529" s="43">
        <v>0.06</v>
      </c>
      <c r="D2529" s="45">
        <v>45962</v>
      </c>
      <c r="E2529" s="45">
        <v>45991.999305555553</v>
      </c>
      <c r="F2529" s="42" t="s">
        <v>475</v>
      </c>
    </row>
    <row r="2530" spans="1:6" x14ac:dyDescent="0.35">
      <c r="A2530" s="42" t="s">
        <v>658</v>
      </c>
      <c r="B2530" s="42">
        <v>1469.92</v>
      </c>
      <c r="C2530" s="43">
        <v>0.06</v>
      </c>
      <c r="D2530" s="45">
        <v>45962</v>
      </c>
      <c r="E2530" s="45">
        <v>45991.999305555553</v>
      </c>
      <c r="F2530" s="42" t="s">
        <v>475</v>
      </c>
    </row>
    <row r="2531" spans="1:6" x14ac:dyDescent="0.35">
      <c r="A2531" s="42" t="s">
        <v>659</v>
      </c>
      <c r="B2531" s="42">
        <v>1469.92</v>
      </c>
      <c r="C2531" s="43">
        <v>0.06</v>
      </c>
      <c r="D2531" s="45">
        <v>45962</v>
      </c>
      <c r="E2531" s="45">
        <v>45991.999305555553</v>
      </c>
      <c r="F2531" s="42" t="s">
        <v>475</v>
      </c>
    </row>
    <row r="2532" spans="1:6" x14ac:dyDescent="0.35">
      <c r="A2532" s="42" t="s">
        <v>660</v>
      </c>
      <c r="B2532" s="42">
        <v>1129.92</v>
      </c>
      <c r="C2532" s="43">
        <v>0.06</v>
      </c>
      <c r="D2532" s="45">
        <v>45962</v>
      </c>
      <c r="E2532" s="45">
        <v>45991.999305555553</v>
      </c>
      <c r="F2532" s="42" t="s">
        <v>475</v>
      </c>
    </row>
    <row r="2533" spans="1:6" x14ac:dyDescent="0.35">
      <c r="A2533" s="42" t="s">
        <v>464</v>
      </c>
      <c r="B2533" s="42">
        <v>1289.92</v>
      </c>
      <c r="C2533" s="43">
        <v>0.06</v>
      </c>
      <c r="D2533" s="45">
        <v>45962</v>
      </c>
      <c r="E2533" s="45">
        <v>45991.999305555553</v>
      </c>
      <c r="F2533" s="42" t="s">
        <v>475</v>
      </c>
    </row>
    <row r="2534" spans="1:6" x14ac:dyDescent="0.35">
      <c r="A2534" s="42" t="s">
        <v>460</v>
      </c>
      <c r="B2534" s="42">
        <v>1289.92</v>
      </c>
      <c r="C2534" s="43">
        <v>0.06</v>
      </c>
      <c r="D2534" s="45">
        <v>45962</v>
      </c>
      <c r="E2534" s="45">
        <v>45991.999305555553</v>
      </c>
      <c r="F2534" s="42" t="s">
        <v>475</v>
      </c>
    </row>
    <row r="2535" spans="1:6" x14ac:dyDescent="0.35">
      <c r="A2535" s="42" t="s">
        <v>662</v>
      </c>
      <c r="B2535" s="42">
        <v>1889.92</v>
      </c>
      <c r="C2535" s="43">
        <v>0.06</v>
      </c>
      <c r="D2535" s="45">
        <v>45962</v>
      </c>
      <c r="E2535" s="45">
        <v>45991.999305555553</v>
      </c>
      <c r="F2535" s="42" t="s">
        <v>475</v>
      </c>
    </row>
    <row r="2536" spans="1:6" x14ac:dyDescent="0.35">
      <c r="A2536" s="42" t="s">
        <v>663</v>
      </c>
      <c r="B2536" s="42">
        <v>1659.92</v>
      </c>
      <c r="C2536" s="43">
        <v>0.06</v>
      </c>
      <c r="D2536" s="45">
        <v>45962</v>
      </c>
      <c r="E2536" s="45">
        <v>45991.999305555553</v>
      </c>
      <c r="F2536" s="42" t="s">
        <v>475</v>
      </c>
    </row>
    <row r="2537" spans="1:6" x14ac:dyDescent="0.35">
      <c r="A2537" s="42" t="s">
        <v>664</v>
      </c>
      <c r="B2537" s="42">
        <v>3319.92</v>
      </c>
      <c r="C2537" s="43">
        <v>0.06</v>
      </c>
      <c r="D2537" s="45">
        <v>45962</v>
      </c>
      <c r="E2537" s="45">
        <v>45991.999305555553</v>
      </c>
      <c r="F2537" s="42" t="s">
        <v>475</v>
      </c>
    </row>
    <row r="2538" spans="1:6" x14ac:dyDescent="0.35">
      <c r="A2538" s="42" t="s">
        <v>665</v>
      </c>
      <c r="B2538" s="42">
        <v>2349.92</v>
      </c>
      <c r="C2538" s="43">
        <v>0.06</v>
      </c>
      <c r="D2538" s="45">
        <v>45962</v>
      </c>
      <c r="E2538" s="45">
        <v>45991.999305555553</v>
      </c>
      <c r="F2538" s="42" t="s">
        <v>475</v>
      </c>
    </row>
    <row r="2539" spans="1:6" x14ac:dyDescent="0.35">
      <c r="A2539" s="42" t="s">
        <v>666</v>
      </c>
      <c r="B2539" s="42">
        <v>999.92</v>
      </c>
      <c r="C2539" s="43">
        <v>0.06</v>
      </c>
      <c r="D2539" s="45">
        <v>45962</v>
      </c>
      <c r="E2539" s="45">
        <v>45991.999305555553</v>
      </c>
      <c r="F2539" s="42" t="s">
        <v>475</v>
      </c>
    </row>
    <row r="2540" spans="1:6" x14ac:dyDescent="0.35">
      <c r="A2540" s="42" t="s">
        <v>668</v>
      </c>
      <c r="B2540" s="42">
        <v>2489.92</v>
      </c>
      <c r="C2540" s="43">
        <v>0.06</v>
      </c>
      <c r="D2540" s="45">
        <v>45962</v>
      </c>
      <c r="E2540" s="45">
        <v>45991.999305555553</v>
      </c>
      <c r="F2540" s="42" t="s">
        <v>475</v>
      </c>
    </row>
    <row r="2541" spans="1:6" x14ac:dyDescent="0.35">
      <c r="A2541" s="42" t="s">
        <v>672</v>
      </c>
      <c r="B2541" s="42">
        <v>1199.92</v>
      </c>
      <c r="C2541" s="43">
        <v>0.06</v>
      </c>
      <c r="D2541" s="45">
        <v>45962</v>
      </c>
      <c r="E2541" s="45">
        <v>45991.999305555553</v>
      </c>
      <c r="F2541" s="42" t="s">
        <v>475</v>
      </c>
    </row>
    <row r="2542" spans="1:6" x14ac:dyDescent="0.35">
      <c r="A2542" s="42" t="s">
        <v>673</v>
      </c>
      <c r="B2542" s="42">
        <v>1169.92</v>
      </c>
      <c r="C2542" s="43">
        <v>0.06</v>
      </c>
      <c r="D2542" s="45">
        <v>45962</v>
      </c>
      <c r="E2542" s="45">
        <v>45991.999305555553</v>
      </c>
      <c r="F2542" s="42" t="s">
        <v>475</v>
      </c>
    </row>
    <row r="2543" spans="1:6" x14ac:dyDescent="0.35">
      <c r="A2543" s="42" t="s">
        <v>699</v>
      </c>
      <c r="B2543" s="42">
        <v>1139.92</v>
      </c>
      <c r="C2543" s="43">
        <v>0.06</v>
      </c>
      <c r="D2543" s="45">
        <v>45962</v>
      </c>
      <c r="E2543" s="45">
        <v>45991.999305555553</v>
      </c>
      <c r="F2543" s="42" t="s">
        <v>475</v>
      </c>
    </row>
    <row r="2544" spans="1:6" x14ac:dyDescent="0.35">
      <c r="A2544" s="42" t="s">
        <v>700</v>
      </c>
      <c r="B2544" s="42">
        <v>1139.92</v>
      </c>
      <c r="C2544" s="43">
        <v>0.06</v>
      </c>
      <c r="D2544" s="45">
        <v>45962</v>
      </c>
      <c r="E2544" s="45">
        <v>45991.999305555553</v>
      </c>
      <c r="F2544" s="42" t="s">
        <v>475</v>
      </c>
    </row>
    <row r="2545" spans="1:6" x14ac:dyDescent="0.35">
      <c r="A2545" s="42" t="s">
        <v>701</v>
      </c>
      <c r="B2545" s="42">
        <v>1139.92</v>
      </c>
      <c r="C2545" s="43">
        <v>0.06</v>
      </c>
      <c r="D2545" s="45">
        <v>45962</v>
      </c>
      <c r="E2545" s="45">
        <v>45991.999305555553</v>
      </c>
      <c r="F2545" s="42" t="s">
        <v>475</v>
      </c>
    </row>
    <row r="2546" spans="1:6" x14ac:dyDescent="0.35">
      <c r="A2546" s="42" t="s">
        <v>702</v>
      </c>
      <c r="B2546" s="42">
        <v>1139.92</v>
      </c>
      <c r="C2546" s="43">
        <v>0.06</v>
      </c>
      <c r="D2546" s="45">
        <v>45962</v>
      </c>
      <c r="E2546" s="45">
        <v>45991.999305555553</v>
      </c>
      <c r="F2546" s="42" t="s">
        <v>475</v>
      </c>
    </row>
    <row r="2547" spans="1:6" x14ac:dyDescent="0.35">
      <c r="A2547" s="42" t="s">
        <v>703</v>
      </c>
      <c r="B2547" s="42">
        <v>1139.92</v>
      </c>
      <c r="C2547" s="43">
        <v>0.06</v>
      </c>
      <c r="D2547" s="45">
        <v>45962</v>
      </c>
      <c r="E2547" s="45">
        <v>45991.999305555553</v>
      </c>
      <c r="F2547" s="42" t="s">
        <v>475</v>
      </c>
    </row>
    <row r="2548" spans="1:6" x14ac:dyDescent="0.35">
      <c r="A2548" s="42" t="s">
        <v>704</v>
      </c>
      <c r="B2548" s="42">
        <v>1319.92</v>
      </c>
      <c r="C2548" s="43">
        <v>0.06</v>
      </c>
      <c r="D2548" s="45">
        <v>45962</v>
      </c>
      <c r="E2548" s="45">
        <v>45991.999305555553</v>
      </c>
      <c r="F2548" s="42" t="s">
        <v>475</v>
      </c>
    </row>
    <row r="2549" spans="1:6" x14ac:dyDescent="0.35">
      <c r="A2549" s="42" t="s">
        <v>706</v>
      </c>
      <c r="B2549" s="42">
        <v>1499.92</v>
      </c>
      <c r="C2549" s="43">
        <v>0.06</v>
      </c>
      <c r="D2549" s="45">
        <v>45962</v>
      </c>
      <c r="E2549" s="45">
        <v>45991.999305555553</v>
      </c>
      <c r="F2549" s="42" t="s">
        <v>475</v>
      </c>
    </row>
    <row r="2550" spans="1:6" x14ac:dyDescent="0.35">
      <c r="A2550" s="42" t="s">
        <v>707</v>
      </c>
      <c r="B2550" s="42">
        <v>1499.92</v>
      </c>
      <c r="C2550" s="43">
        <v>0.06</v>
      </c>
      <c r="D2550" s="45">
        <v>45962</v>
      </c>
      <c r="E2550" s="45">
        <v>45991.999305555553</v>
      </c>
      <c r="F2550" s="42" t="s">
        <v>475</v>
      </c>
    </row>
    <row r="2551" spans="1:6" x14ac:dyDescent="0.35">
      <c r="A2551" s="42" t="s">
        <v>708</v>
      </c>
      <c r="B2551" s="42">
        <v>1499.92</v>
      </c>
      <c r="C2551" s="43">
        <v>0.06</v>
      </c>
      <c r="D2551" s="45">
        <v>45962</v>
      </c>
      <c r="E2551" s="45">
        <v>45991.999305555553</v>
      </c>
      <c r="F2551" s="42" t="s">
        <v>475</v>
      </c>
    </row>
    <row r="2552" spans="1:6" x14ac:dyDescent="0.35">
      <c r="A2552" s="42" t="s">
        <v>709</v>
      </c>
      <c r="B2552" s="42">
        <v>1499.92</v>
      </c>
      <c r="C2552" s="43">
        <v>0.06</v>
      </c>
      <c r="D2552" s="45">
        <v>45962</v>
      </c>
      <c r="E2552" s="45">
        <v>45991.999305555553</v>
      </c>
      <c r="F2552" s="42" t="s">
        <v>475</v>
      </c>
    </row>
    <row r="2553" spans="1:6" x14ac:dyDescent="0.35">
      <c r="A2553" s="42" t="s">
        <v>710</v>
      </c>
      <c r="B2553" s="42">
        <v>1499.92</v>
      </c>
      <c r="C2553" s="43">
        <v>0.06</v>
      </c>
      <c r="D2553" s="45">
        <v>45962</v>
      </c>
      <c r="E2553" s="45">
        <v>45991.999305555553</v>
      </c>
      <c r="F2553" s="42" t="s">
        <v>475</v>
      </c>
    </row>
    <row r="2554" spans="1:6" x14ac:dyDescent="0.35">
      <c r="A2554" s="42" t="s">
        <v>711</v>
      </c>
      <c r="B2554" s="42">
        <v>1499.92</v>
      </c>
      <c r="C2554" s="43">
        <v>0.06</v>
      </c>
      <c r="D2554" s="45">
        <v>45962</v>
      </c>
      <c r="E2554" s="45">
        <v>45991.999305555553</v>
      </c>
      <c r="F2554" s="42" t="s">
        <v>475</v>
      </c>
    </row>
    <row r="2555" spans="1:6" x14ac:dyDescent="0.35">
      <c r="A2555" s="42" t="s">
        <v>712</v>
      </c>
      <c r="B2555" s="42">
        <v>1499.92</v>
      </c>
      <c r="C2555" s="43">
        <v>0.06</v>
      </c>
      <c r="D2555" s="45">
        <v>45962</v>
      </c>
      <c r="E2555" s="45">
        <v>45991.999305555553</v>
      </c>
      <c r="F2555" s="42" t="s">
        <v>475</v>
      </c>
    </row>
    <row r="2556" spans="1:6" x14ac:dyDescent="0.35">
      <c r="A2556" s="42" t="s">
        <v>713</v>
      </c>
      <c r="B2556" s="42">
        <v>1499.92</v>
      </c>
      <c r="C2556" s="43">
        <v>0.06</v>
      </c>
      <c r="D2556" s="45">
        <v>45962</v>
      </c>
      <c r="E2556" s="45">
        <v>45991.999305555553</v>
      </c>
      <c r="F2556" s="42" t="s">
        <v>475</v>
      </c>
    </row>
    <row r="2557" spans="1:6" x14ac:dyDescent="0.35">
      <c r="A2557" s="42" t="s">
        <v>714</v>
      </c>
      <c r="B2557" s="42">
        <v>1499.92</v>
      </c>
      <c r="C2557" s="43">
        <v>0.06</v>
      </c>
      <c r="D2557" s="45">
        <v>45962</v>
      </c>
      <c r="E2557" s="45">
        <v>45991.999305555553</v>
      </c>
      <c r="F2557" s="42" t="s">
        <v>475</v>
      </c>
    </row>
    <row r="2558" spans="1:6" x14ac:dyDescent="0.35">
      <c r="A2558" s="42" t="s">
        <v>715</v>
      </c>
      <c r="B2558" s="42">
        <v>1499.92</v>
      </c>
      <c r="C2558" s="43">
        <v>0.06</v>
      </c>
      <c r="D2558" s="45">
        <v>45962</v>
      </c>
      <c r="E2558" s="45">
        <v>45991.999305555553</v>
      </c>
      <c r="F2558" s="42" t="s">
        <v>475</v>
      </c>
    </row>
    <row r="2559" spans="1:6" x14ac:dyDescent="0.35">
      <c r="A2559" s="42" t="s">
        <v>716</v>
      </c>
      <c r="B2559" s="42">
        <v>1499.92</v>
      </c>
      <c r="C2559" s="43">
        <v>0.06</v>
      </c>
      <c r="D2559" s="45">
        <v>45962</v>
      </c>
      <c r="E2559" s="45">
        <v>45991.999305555553</v>
      </c>
      <c r="F2559" s="42" t="s">
        <v>475</v>
      </c>
    </row>
    <row r="2560" spans="1:6" x14ac:dyDescent="0.35">
      <c r="A2560" s="42" t="s">
        <v>717</v>
      </c>
      <c r="B2560" s="42">
        <v>1499.92</v>
      </c>
      <c r="C2560" s="43">
        <v>0.06</v>
      </c>
      <c r="D2560" s="45">
        <v>45962</v>
      </c>
      <c r="E2560" s="45">
        <v>45991.999305555553</v>
      </c>
      <c r="F2560" s="42" t="s">
        <v>475</v>
      </c>
    </row>
    <row r="2561" spans="1:6" x14ac:dyDescent="0.35">
      <c r="A2561" s="42" t="s">
        <v>728</v>
      </c>
      <c r="B2561" s="42">
        <v>1319.92</v>
      </c>
      <c r="C2561" s="43">
        <v>0.06</v>
      </c>
      <c r="D2561" s="45">
        <v>45962</v>
      </c>
      <c r="E2561" s="45">
        <v>45991.999305555553</v>
      </c>
      <c r="F2561" s="42" t="s">
        <v>475</v>
      </c>
    </row>
    <row r="2562" spans="1:6" x14ac:dyDescent="0.35">
      <c r="A2562" s="42" t="s">
        <v>729</v>
      </c>
      <c r="B2562" s="42">
        <v>1329.92</v>
      </c>
      <c r="C2562" s="43">
        <v>0.06</v>
      </c>
      <c r="D2562" s="45">
        <v>45962</v>
      </c>
      <c r="E2562" s="45">
        <v>45991.999305555553</v>
      </c>
      <c r="F2562" s="42" t="s">
        <v>475</v>
      </c>
    </row>
    <row r="2563" spans="1:6" x14ac:dyDescent="0.35">
      <c r="A2563" s="42" t="s">
        <v>730</v>
      </c>
      <c r="B2563" s="42">
        <v>1329.92</v>
      </c>
      <c r="C2563" s="43">
        <v>0.06</v>
      </c>
      <c r="D2563" s="45">
        <v>45962</v>
      </c>
      <c r="E2563" s="45">
        <v>45991.999305555553</v>
      </c>
      <c r="F2563" s="42" t="s">
        <v>475</v>
      </c>
    </row>
    <row r="2564" spans="1:6" x14ac:dyDescent="0.35">
      <c r="A2564" s="42" t="s">
        <v>731</v>
      </c>
      <c r="B2564" s="42">
        <v>1329.92</v>
      </c>
      <c r="C2564" s="43">
        <v>0.06</v>
      </c>
      <c r="D2564" s="45">
        <v>45962</v>
      </c>
      <c r="E2564" s="45">
        <v>45991.999305555553</v>
      </c>
      <c r="F2564" s="42" t="s">
        <v>475</v>
      </c>
    </row>
    <row r="2565" spans="1:6" x14ac:dyDescent="0.35">
      <c r="A2565" s="42" t="s">
        <v>732</v>
      </c>
      <c r="B2565" s="42">
        <v>1329.92</v>
      </c>
      <c r="C2565" s="43">
        <v>0.06</v>
      </c>
      <c r="D2565" s="45">
        <v>45962</v>
      </c>
      <c r="E2565" s="45">
        <v>45991.999305555553</v>
      </c>
      <c r="F2565" s="42" t="s">
        <v>475</v>
      </c>
    </row>
    <row r="2566" spans="1:6" x14ac:dyDescent="0.35">
      <c r="A2566" s="42" t="s">
        <v>733</v>
      </c>
      <c r="B2566" s="42">
        <v>1329.92</v>
      </c>
      <c r="C2566" s="43">
        <v>0.06</v>
      </c>
      <c r="D2566" s="45">
        <v>45962</v>
      </c>
      <c r="E2566" s="45">
        <v>45991.999305555553</v>
      </c>
      <c r="F2566" s="42" t="s">
        <v>475</v>
      </c>
    </row>
    <row r="2567" spans="1:6" x14ac:dyDescent="0.35">
      <c r="A2567" s="42" t="s">
        <v>734</v>
      </c>
      <c r="B2567" s="42">
        <v>1329.92</v>
      </c>
      <c r="C2567" s="43">
        <v>0.06</v>
      </c>
      <c r="D2567" s="45">
        <v>45962</v>
      </c>
      <c r="E2567" s="45">
        <v>45991.999305555553</v>
      </c>
      <c r="F2567" s="42" t="s">
        <v>475</v>
      </c>
    </row>
    <row r="2568" spans="1:6" x14ac:dyDescent="0.35">
      <c r="A2568" s="42" t="s">
        <v>735</v>
      </c>
      <c r="B2568" s="42">
        <v>2249.92</v>
      </c>
      <c r="C2568" s="43">
        <v>0.06</v>
      </c>
      <c r="D2568" s="45">
        <v>45962</v>
      </c>
      <c r="E2568" s="45">
        <v>45991.999305555553</v>
      </c>
      <c r="F2568" s="42" t="s">
        <v>475</v>
      </c>
    </row>
    <row r="2569" spans="1:6" x14ac:dyDescent="0.35">
      <c r="A2569" s="42" t="s">
        <v>736</v>
      </c>
      <c r="B2569" s="42">
        <v>2249.92</v>
      </c>
      <c r="C2569" s="43">
        <v>0.06</v>
      </c>
      <c r="D2569" s="45">
        <v>45962</v>
      </c>
      <c r="E2569" s="45">
        <v>45991.999305555553</v>
      </c>
      <c r="F2569" s="42" t="s">
        <v>475</v>
      </c>
    </row>
    <row r="2570" spans="1:6" x14ac:dyDescent="0.35">
      <c r="A2570" s="42" t="s">
        <v>737</v>
      </c>
      <c r="B2570" s="42">
        <v>2249.92</v>
      </c>
      <c r="C2570" s="43">
        <v>0.06</v>
      </c>
      <c r="D2570" s="45">
        <v>45962</v>
      </c>
      <c r="E2570" s="45">
        <v>45991.999305555553</v>
      </c>
      <c r="F2570" s="42" t="s">
        <v>475</v>
      </c>
    </row>
    <row r="2571" spans="1:6" x14ac:dyDescent="0.35">
      <c r="A2571" s="42" t="s">
        <v>738</v>
      </c>
      <c r="B2571" s="42">
        <v>2249.92</v>
      </c>
      <c r="C2571" s="43">
        <v>0.06</v>
      </c>
      <c r="D2571" s="45">
        <v>45962</v>
      </c>
      <c r="E2571" s="45">
        <v>45991.999305555553</v>
      </c>
      <c r="F2571" s="42" t="s">
        <v>475</v>
      </c>
    </row>
    <row r="2572" spans="1:6" x14ac:dyDescent="0.35">
      <c r="A2572" s="42" t="s">
        <v>739</v>
      </c>
      <c r="B2572" s="42">
        <v>2249.92</v>
      </c>
      <c r="C2572" s="43">
        <v>0.06</v>
      </c>
      <c r="D2572" s="45">
        <v>45962</v>
      </c>
      <c r="E2572" s="45">
        <v>45991.999305555553</v>
      </c>
      <c r="F2572" s="42" t="s">
        <v>475</v>
      </c>
    </row>
    <row r="2573" spans="1:6" x14ac:dyDescent="0.35">
      <c r="A2573" s="42" t="s">
        <v>740</v>
      </c>
      <c r="B2573" s="42">
        <v>2249.92</v>
      </c>
      <c r="C2573" s="43">
        <v>0.06</v>
      </c>
      <c r="D2573" s="45">
        <v>45962</v>
      </c>
      <c r="E2573" s="45">
        <v>45991.999305555553</v>
      </c>
      <c r="F2573" s="42" t="s">
        <v>475</v>
      </c>
    </row>
    <row r="2574" spans="1:6" x14ac:dyDescent="0.35">
      <c r="A2574" s="42" t="s">
        <v>741</v>
      </c>
      <c r="B2574" s="42">
        <v>2249.92</v>
      </c>
      <c r="C2574" s="43">
        <v>0.06</v>
      </c>
      <c r="D2574" s="45">
        <v>45962</v>
      </c>
      <c r="E2574" s="45">
        <v>45991.999305555553</v>
      </c>
      <c r="F2574" s="42" t="s">
        <v>475</v>
      </c>
    </row>
    <row r="2575" spans="1:6" x14ac:dyDescent="0.35">
      <c r="A2575" s="42" t="s">
        <v>742</v>
      </c>
      <c r="B2575" s="42">
        <v>2249.92</v>
      </c>
      <c r="C2575" s="43">
        <v>0.06</v>
      </c>
      <c r="D2575" s="45">
        <v>45962</v>
      </c>
      <c r="E2575" s="45">
        <v>45991.999305555553</v>
      </c>
      <c r="F2575" s="42" t="s">
        <v>475</v>
      </c>
    </row>
    <row r="2576" spans="1:6" x14ac:dyDescent="0.35">
      <c r="A2576" s="42" t="s">
        <v>743</v>
      </c>
      <c r="B2576" s="42">
        <v>749.92</v>
      </c>
      <c r="C2576" s="43">
        <v>0.06</v>
      </c>
      <c r="D2576" s="45">
        <v>45962</v>
      </c>
      <c r="E2576" s="45">
        <v>45991.999305555553</v>
      </c>
      <c r="F2576" s="42" t="s">
        <v>475</v>
      </c>
    </row>
    <row r="2577" spans="1:6" x14ac:dyDescent="0.35">
      <c r="A2577" s="42" t="s">
        <v>744</v>
      </c>
      <c r="B2577" s="42">
        <v>729.92</v>
      </c>
      <c r="C2577" s="43">
        <v>0.06</v>
      </c>
      <c r="D2577" s="45">
        <v>45962</v>
      </c>
      <c r="E2577" s="45">
        <v>45991.999305555553</v>
      </c>
      <c r="F2577" s="42" t="s">
        <v>475</v>
      </c>
    </row>
    <row r="2578" spans="1:6" x14ac:dyDescent="0.35">
      <c r="A2578" s="42" t="s">
        <v>749</v>
      </c>
      <c r="B2578" s="42">
        <v>1029.92</v>
      </c>
      <c r="C2578" s="43">
        <v>0.06</v>
      </c>
      <c r="D2578" s="45">
        <v>45962</v>
      </c>
      <c r="E2578" s="45">
        <v>45991.999305555553</v>
      </c>
      <c r="F2578" s="42" t="s">
        <v>475</v>
      </c>
    </row>
    <row r="2579" spans="1:6" x14ac:dyDescent="0.35">
      <c r="A2579" s="42" t="s">
        <v>751</v>
      </c>
      <c r="B2579" s="42">
        <v>1469.92</v>
      </c>
      <c r="C2579" s="43">
        <v>0.06</v>
      </c>
      <c r="D2579" s="45">
        <v>45962</v>
      </c>
      <c r="E2579" s="45">
        <v>45991.999305555553</v>
      </c>
      <c r="F2579" s="42" t="s">
        <v>475</v>
      </c>
    </row>
    <row r="2580" spans="1:6" x14ac:dyDescent="0.35">
      <c r="A2580" s="42" t="s">
        <v>752</v>
      </c>
      <c r="B2580" s="42">
        <v>1469.92</v>
      </c>
      <c r="C2580" s="43">
        <v>0.06</v>
      </c>
      <c r="D2580" s="45">
        <v>45962</v>
      </c>
      <c r="E2580" s="45">
        <v>45991.999305555553</v>
      </c>
      <c r="F2580" s="42" t="s">
        <v>475</v>
      </c>
    </row>
    <row r="2581" spans="1:6" x14ac:dyDescent="0.35">
      <c r="A2581" s="42" t="s">
        <v>753</v>
      </c>
      <c r="B2581" s="42">
        <v>1469.92</v>
      </c>
      <c r="C2581" s="43">
        <v>0.06</v>
      </c>
      <c r="D2581" s="45">
        <v>45962</v>
      </c>
      <c r="E2581" s="45">
        <v>45991.999305555553</v>
      </c>
      <c r="F2581" s="42" t="s">
        <v>475</v>
      </c>
    </row>
    <row r="2582" spans="1:6" x14ac:dyDescent="0.35">
      <c r="A2582" s="42" t="s">
        <v>754</v>
      </c>
      <c r="B2582" s="42">
        <v>1469.92</v>
      </c>
      <c r="C2582" s="43">
        <v>0.06</v>
      </c>
      <c r="D2582" s="45">
        <v>45962</v>
      </c>
      <c r="E2582" s="45">
        <v>45991.999305555553</v>
      </c>
      <c r="F2582" s="42" t="s">
        <v>475</v>
      </c>
    </row>
    <row r="2583" spans="1:6" x14ac:dyDescent="0.35">
      <c r="A2583" s="42" t="s">
        <v>755</v>
      </c>
      <c r="B2583" s="42">
        <v>1469.92</v>
      </c>
      <c r="C2583" s="43">
        <v>0.06</v>
      </c>
      <c r="D2583" s="45">
        <v>45962</v>
      </c>
      <c r="E2583" s="45">
        <v>45991.999305555553</v>
      </c>
      <c r="F2583" s="42" t="s">
        <v>475</v>
      </c>
    </row>
    <row r="2584" spans="1:6" x14ac:dyDescent="0.35">
      <c r="A2584" s="42" t="s">
        <v>756</v>
      </c>
      <c r="B2584" s="42">
        <v>1469.92</v>
      </c>
      <c r="C2584" s="43">
        <v>0.06</v>
      </c>
      <c r="D2584" s="45">
        <v>45962</v>
      </c>
      <c r="E2584" s="45">
        <v>45991.999305555553</v>
      </c>
      <c r="F2584" s="42" t="s">
        <v>475</v>
      </c>
    </row>
    <row r="2585" spans="1:6" x14ac:dyDescent="0.35">
      <c r="A2585" s="42" t="s">
        <v>757</v>
      </c>
      <c r="B2585" s="42">
        <v>1749.92</v>
      </c>
      <c r="C2585" s="43">
        <v>0.06</v>
      </c>
      <c r="D2585" s="45">
        <v>45962</v>
      </c>
      <c r="E2585" s="45">
        <v>45991.999305555553</v>
      </c>
      <c r="F2585" s="42" t="s">
        <v>475</v>
      </c>
    </row>
    <row r="2586" spans="1:6" x14ac:dyDescent="0.35">
      <c r="A2586" s="42" t="s">
        <v>758</v>
      </c>
      <c r="B2586" s="42">
        <v>1749.92</v>
      </c>
      <c r="C2586" s="43">
        <v>0.06</v>
      </c>
      <c r="D2586" s="45">
        <v>45962</v>
      </c>
      <c r="E2586" s="45">
        <v>45991.999305555553</v>
      </c>
      <c r="F2586" s="42" t="s">
        <v>475</v>
      </c>
    </row>
    <row r="2587" spans="1:6" x14ac:dyDescent="0.35">
      <c r="A2587" s="42" t="s">
        <v>759</v>
      </c>
      <c r="B2587" s="42">
        <v>1749.92</v>
      </c>
      <c r="C2587" s="43">
        <v>0.06</v>
      </c>
      <c r="D2587" s="45">
        <v>45962</v>
      </c>
      <c r="E2587" s="45">
        <v>45991.999305555553</v>
      </c>
      <c r="F2587" s="42" t="s">
        <v>475</v>
      </c>
    </row>
    <row r="2588" spans="1:6" x14ac:dyDescent="0.35">
      <c r="A2588" s="42" t="s">
        <v>760</v>
      </c>
      <c r="B2588" s="42">
        <v>1749.92</v>
      </c>
      <c r="C2588" s="43">
        <v>0.06</v>
      </c>
      <c r="D2588" s="45">
        <v>45962</v>
      </c>
      <c r="E2588" s="45">
        <v>45991.999305555553</v>
      </c>
      <c r="F2588" s="42" t="s">
        <v>475</v>
      </c>
    </row>
    <row r="2589" spans="1:6" x14ac:dyDescent="0.35">
      <c r="A2589" s="42" t="s">
        <v>761</v>
      </c>
      <c r="B2589" s="42">
        <v>1749.92</v>
      </c>
      <c r="C2589" s="43">
        <v>0.06</v>
      </c>
      <c r="D2589" s="45">
        <v>45962</v>
      </c>
      <c r="E2589" s="45">
        <v>45991.999305555553</v>
      </c>
      <c r="F2589" s="42" t="s">
        <v>475</v>
      </c>
    </row>
    <row r="2590" spans="1:6" x14ac:dyDescent="0.35">
      <c r="A2590" s="42" t="s">
        <v>762</v>
      </c>
      <c r="B2590" s="42">
        <v>1749.92</v>
      </c>
      <c r="C2590" s="43">
        <v>0.06</v>
      </c>
      <c r="D2590" s="45">
        <v>45962</v>
      </c>
      <c r="E2590" s="45">
        <v>45991.999305555553</v>
      </c>
      <c r="F2590" s="42" t="s">
        <v>475</v>
      </c>
    </row>
    <row r="2591" spans="1:6" x14ac:dyDescent="0.35">
      <c r="A2591" s="42" t="s">
        <v>763</v>
      </c>
      <c r="B2591" s="42">
        <v>1749.92</v>
      </c>
      <c r="C2591" s="43">
        <v>0.06</v>
      </c>
      <c r="D2591" s="45">
        <v>45962</v>
      </c>
      <c r="E2591" s="45">
        <v>45991.999305555553</v>
      </c>
      <c r="F2591" s="42" t="s">
        <v>475</v>
      </c>
    </row>
    <row r="2592" spans="1:6" x14ac:dyDescent="0.35">
      <c r="A2592" s="42" t="s">
        <v>764</v>
      </c>
      <c r="B2592" s="42">
        <v>1749.92</v>
      </c>
      <c r="C2592" s="43">
        <v>0.06</v>
      </c>
      <c r="D2592" s="45">
        <v>45962</v>
      </c>
      <c r="E2592" s="45">
        <v>45991.999305555553</v>
      </c>
      <c r="F2592" s="42" t="s">
        <v>475</v>
      </c>
    </row>
    <row r="2593" spans="1:6" x14ac:dyDescent="0.35">
      <c r="A2593" s="42" t="s">
        <v>765</v>
      </c>
      <c r="B2593" s="42">
        <v>1749.92</v>
      </c>
      <c r="C2593" s="43">
        <v>0.06</v>
      </c>
      <c r="D2593" s="45">
        <v>45962</v>
      </c>
      <c r="E2593" s="45">
        <v>45991.999305555553</v>
      </c>
      <c r="F2593" s="42" t="s">
        <v>475</v>
      </c>
    </row>
    <row r="2594" spans="1:6" x14ac:dyDescent="0.35">
      <c r="A2594" s="42" t="s">
        <v>766</v>
      </c>
      <c r="B2594" s="42">
        <v>1749.92</v>
      </c>
      <c r="C2594" s="43">
        <v>0.06</v>
      </c>
      <c r="D2594" s="45">
        <v>45962</v>
      </c>
      <c r="E2594" s="45">
        <v>45991.999305555553</v>
      </c>
      <c r="F2594" s="42" t="s">
        <v>475</v>
      </c>
    </row>
    <row r="2595" spans="1:6" x14ac:dyDescent="0.35">
      <c r="A2595" s="42" t="s">
        <v>767</v>
      </c>
      <c r="B2595" s="42">
        <v>1069.92</v>
      </c>
      <c r="C2595" s="43">
        <v>0.06</v>
      </c>
      <c r="D2595" s="45">
        <v>45962</v>
      </c>
      <c r="E2595" s="45">
        <v>45991.999305555553</v>
      </c>
      <c r="F2595" s="42" t="s">
        <v>475</v>
      </c>
    </row>
    <row r="2596" spans="1:6" x14ac:dyDescent="0.35">
      <c r="A2596" s="42" t="s">
        <v>768</v>
      </c>
      <c r="B2596" s="42">
        <v>1069.92</v>
      </c>
      <c r="C2596" s="43">
        <v>0.06</v>
      </c>
      <c r="D2596" s="45">
        <v>45962</v>
      </c>
      <c r="E2596" s="45">
        <v>45991.999305555553</v>
      </c>
      <c r="F2596" s="42" t="s">
        <v>475</v>
      </c>
    </row>
    <row r="2597" spans="1:6" x14ac:dyDescent="0.35">
      <c r="A2597" s="42" t="s">
        <v>769</v>
      </c>
      <c r="B2597" s="42">
        <v>1069.92</v>
      </c>
      <c r="C2597" s="43">
        <v>0.06</v>
      </c>
      <c r="D2597" s="45">
        <v>45962</v>
      </c>
      <c r="E2597" s="45">
        <v>45991.999305555553</v>
      </c>
      <c r="F2597" s="42" t="s">
        <v>475</v>
      </c>
    </row>
    <row r="2598" spans="1:6" x14ac:dyDescent="0.35">
      <c r="A2598" s="42" t="s">
        <v>770</v>
      </c>
      <c r="B2598" s="42">
        <v>1069.92</v>
      </c>
      <c r="C2598" s="43">
        <v>0.06</v>
      </c>
      <c r="D2598" s="45">
        <v>45962</v>
      </c>
      <c r="E2598" s="45">
        <v>45991.999305555553</v>
      </c>
      <c r="F2598" s="42" t="s">
        <v>475</v>
      </c>
    </row>
    <row r="2599" spans="1:6" x14ac:dyDescent="0.35">
      <c r="A2599" s="42" t="s">
        <v>771</v>
      </c>
      <c r="B2599" s="42">
        <v>1069.92</v>
      </c>
      <c r="C2599" s="43">
        <v>0.06</v>
      </c>
      <c r="D2599" s="45">
        <v>45962</v>
      </c>
      <c r="E2599" s="45">
        <v>45991.999305555553</v>
      </c>
      <c r="F2599" s="42" t="s">
        <v>475</v>
      </c>
    </row>
    <row r="2600" spans="1:6" x14ac:dyDescent="0.35">
      <c r="A2600" s="42" t="s">
        <v>772</v>
      </c>
      <c r="B2600" s="42">
        <v>1069.92</v>
      </c>
      <c r="C2600" s="43">
        <v>0.06</v>
      </c>
      <c r="D2600" s="45">
        <v>45962</v>
      </c>
      <c r="E2600" s="45">
        <v>45991.999305555553</v>
      </c>
      <c r="F2600" s="42" t="s">
        <v>475</v>
      </c>
    </row>
    <row r="2601" spans="1:6" x14ac:dyDescent="0.35">
      <c r="A2601" s="42" t="s">
        <v>773</v>
      </c>
      <c r="B2601" s="42">
        <v>1269.92</v>
      </c>
      <c r="C2601" s="43">
        <v>0.06</v>
      </c>
      <c r="D2601" s="45">
        <v>45962</v>
      </c>
      <c r="E2601" s="45">
        <v>45991.999305555553</v>
      </c>
      <c r="F2601" s="42" t="s">
        <v>475</v>
      </c>
    </row>
    <row r="2602" spans="1:6" x14ac:dyDescent="0.35">
      <c r="A2602" s="42" t="s">
        <v>781</v>
      </c>
      <c r="B2602" s="42">
        <v>1899.92</v>
      </c>
      <c r="C2602" s="43">
        <v>0.06</v>
      </c>
      <c r="D2602" s="45">
        <v>45962</v>
      </c>
      <c r="E2602" s="45">
        <v>45991.999305555553</v>
      </c>
      <c r="F2602" s="42" t="s">
        <v>475</v>
      </c>
    </row>
    <row r="2603" spans="1:6" x14ac:dyDescent="0.35">
      <c r="A2603" s="42" t="s">
        <v>788</v>
      </c>
      <c r="B2603" s="42">
        <v>419.92</v>
      </c>
      <c r="C2603" s="43">
        <v>0.06</v>
      </c>
      <c r="D2603" s="45">
        <v>45962</v>
      </c>
      <c r="E2603" s="45">
        <v>45991.999305555553</v>
      </c>
      <c r="F2603" s="42" t="s">
        <v>475</v>
      </c>
    </row>
    <row r="2604" spans="1:6" x14ac:dyDescent="0.35">
      <c r="A2604" s="42" t="s">
        <v>789</v>
      </c>
      <c r="B2604" s="42">
        <v>419.92</v>
      </c>
      <c r="C2604" s="43">
        <v>0.06</v>
      </c>
      <c r="D2604" s="45">
        <v>45962</v>
      </c>
      <c r="E2604" s="45">
        <v>45991.999305555553</v>
      </c>
      <c r="F2604" s="42" t="s">
        <v>475</v>
      </c>
    </row>
    <row r="2605" spans="1:6" x14ac:dyDescent="0.35">
      <c r="A2605" s="42" t="s">
        <v>790</v>
      </c>
      <c r="B2605" s="42">
        <v>419.92</v>
      </c>
      <c r="C2605" s="43">
        <v>0.06</v>
      </c>
      <c r="D2605" s="45">
        <v>45962</v>
      </c>
      <c r="E2605" s="45">
        <v>45991.999305555553</v>
      </c>
      <c r="F2605" s="42" t="s">
        <v>475</v>
      </c>
    </row>
    <row r="2606" spans="1:6" x14ac:dyDescent="0.35">
      <c r="A2606" s="42" t="s">
        <v>791</v>
      </c>
      <c r="B2606" s="42">
        <v>419.92</v>
      </c>
      <c r="C2606" s="43">
        <v>0.06</v>
      </c>
      <c r="D2606" s="45">
        <v>45962</v>
      </c>
      <c r="E2606" s="45">
        <v>45991.999305555553</v>
      </c>
      <c r="F2606" s="42" t="s">
        <v>475</v>
      </c>
    </row>
    <row r="2607" spans="1:6" x14ac:dyDescent="0.35">
      <c r="A2607" s="42" t="s">
        <v>801</v>
      </c>
      <c r="B2607" s="42">
        <v>419.92</v>
      </c>
      <c r="C2607" s="43">
        <v>0.06</v>
      </c>
      <c r="D2607" s="45">
        <v>45962</v>
      </c>
      <c r="E2607" s="45">
        <v>45991.999305555553</v>
      </c>
      <c r="F2607" s="42" t="s">
        <v>475</v>
      </c>
    </row>
    <row r="2608" spans="1:6" x14ac:dyDescent="0.35">
      <c r="A2608" s="42" t="s">
        <v>802</v>
      </c>
      <c r="B2608" s="42">
        <v>1239.92</v>
      </c>
      <c r="C2608" s="43">
        <v>0.06</v>
      </c>
      <c r="D2608" s="45">
        <v>45962</v>
      </c>
      <c r="E2608" s="45">
        <v>45991.999305555553</v>
      </c>
      <c r="F2608" s="42" t="s">
        <v>475</v>
      </c>
    </row>
    <row r="2609" spans="1:6" x14ac:dyDescent="0.35">
      <c r="A2609" s="42" t="s">
        <v>805</v>
      </c>
      <c r="B2609" s="42">
        <v>1169.92</v>
      </c>
      <c r="C2609" s="43">
        <v>0.06</v>
      </c>
      <c r="D2609" s="45">
        <v>45962</v>
      </c>
      <c r="E2609" s="45">
        <v>45991.999305555553</v>
      </c>
      <c r="F2609" s="42" t="s">
        <v>475</v>
      </c>
    </row>
    <row r="2610" spans="1:6" x14ac:dyDescent="0.35">
      <c r="A2610" s="42" t="s">
        <v>808</v>
      </c>
      <c r="B2610" s="42">
        <v>829.92</v>
      </c>
      <c r="C2610" s="43">
        <v>0.06</v>
      </c>
      <c r="D2610" s="45">
        <v>45962</v>
      </c>
      <c r="E2610" s="45">
        <v>45991.999305555553</v>
      </c>
      <c r="F2610" s="42" t="s">
        <v>475</v>
      </c>
    </row>
    <row r="2611" spans="1:6" x14ac:dyDescent="0.35">
      <c r="A2611" s="42" t="s">
        <v>809</v>
      </c>
      <c r="B2611" s="42">
        <v>1229.92</v>
      </c>
      <c r="C2611" s="43">
        <v>0.06</v>
      </c>
      <c r="D2611" s="45">
        <v>45962</v>
      </c>
      <c r="E2611" s="45">
        <v>45991.999305555553</v>
      </c>
      <c r="F2611" s="42" t="s">
        <v>475</v>
      </c>
    </row>
    <row r="2612" spans="1:6" x14ac:dyDescent="0.35">
      <c r="A2612" s="42" t="s">
        <v>810</v>
      </c>
      <c r="B2612" s="42">
        <v>1359.92</v>
      </c>
      <c r="C2612" s="43">
        <v>0.06</v>
      </c>
      <c r="D2612" s="45">
        <v>45962</v>
      </c>
      <c r="E2612" s="45">
        <v>45991.999305555553</v>
      </c>
      <c r="F2612" s="42" t="s">
        <v>475</v>
      </c>
    </row>
    <row r="2613" spans="1:6" x14ac:dyDescent="0.35">
      <c r="A2613" s="42" t="s">
        <v>813</v>
      </c>
      <c r="B2613" s="42">
        <v>999.92</v>
      </c>
      <c r="C2613" s="43">
        <v>0.06</v>
      </c>
      <c r="D2613" s="45">
        <v>45962</v>
      </c>
      <c r="E2613" s="45">
        <v>45991.999305555553</v>
      </c>
      <c r="F2613" s="42" t="s">
        <v>475</v>
      </c>
    </row>
    <row r="2614" spans="1:6" x14ac:dyDescent="0.35">
      <c r="A2614" s="42" t="s">
        <v>818</v>
      </c>
      <c r="B2614" s="42">
        <v>879.92</v>
      </c>
      <c r="C2614" s="43">
        <v>0.06</v>
      </c>
      <c r="D2614" s="45">
        <v>45962</v>
      </c>
      <c r="E2614" s="45">
        <v>45991.999305555553</v>
      </c>
      <c r="F2614" s="42" t="s">
        <v>475</v>
      </c>
    </row>
    <row r="2615" spans="1:6" x14ac:dyDescent="0.35">
      <c r="A2615" s="42" t="s">
        <v>819</v>
      </c>
      <c r="B2615" s="42">
        <v>879.92</v>
      </c>
      <c r="C2615" s="43">
        <v>0.06</v>
      </c>
      <c r="D2615" s="45">
        <v>45962</v>
      </c>
      <c r="E2615" s="45">
        <v>45991.999305555553</v>
      </c>
      <c r="F2615" s="42" t="s">
        <v>475</v>
      </c>
    </row>
    <row r="2616" spans="1:6" x14ac:dyDescent="0.35">
      <c r="A2616" s="42" t="s">
        <v>820</v>
      </c>
      <c r="B2616" s="42">
        <v>879.92</v>
      </c>
      <c r="C2616" s="43">
        <v>0.06</v>
      </c>
      <c r="D2616" s="45">
        <v>45962</v>
      </c>
      <c r="E2616" s="45">
        <v>45991.999305555553</v>
      </c>
      <c r="F2616" s="42" t="s">
        <v>475</v>
      </c>
    </row>
    <row r="2617" spans="1:6" x14ac:dyDescent="0.35">
      <c r="A2617" s="42" t="s">
        <v>821</v>
      </c>
      <c r="B2617" s="42">
        <v>829.92</v>
      </c>
      <c r="C2617" s="43">
        <v>0.06</v>
      </c>
      <c r="D2617" s="45">
        <v>45962</v>
      </c>
      <c r="E2617" s="45">
        <v>45991.999305555553</v>
      </c>
      <c r="F2617" s="42" t="s">
        <v>475</v>
      </c>
    </row>
    <row r="2618" spans="1:6" x14ac:dyDescent="0.35">
      <c r="A2618" s="42" t="s">
        <v>822</v>
      </c>
      <c r="B2618" s="42">
        <v>829.92</v>
      </c>
      <c r="C2618" s="43">
        <v>0.06</v>
      </c>
      <c r="D2618" s="45">
        <v>45962</v>
      </c>
      <c r="E2618" s="45">
        <v>45991.999305555553</v>
      </c>
      <c r="F2618" s="42" t="s">
        <v>475</v>
      </c>
    </row>
    <row r="2619" spans="1:6" x14ac:dyDescent="0.35">
      <c r="A2619" s="42" t="s">
        <v>823</v>
      </c>
      <c r="B2619" s="42">
        <v>829.92</v>
      </c>
      <c r="C2619" s="43">
        <v>0.06</v>
      </c>
      <c r="D2619" s="45">
        <v>45962</v>
      </c>
      <c r="E2619" s="45">
        <v>45991.999305555553</v>
      </c>
      <c r="F2619" s="42" t="s">
        <v>475</v>
      </c>
    </row>
    <row r="2620" spans="1:6" x14ac:dyDescent="0.35">
      <c r="A2620" s="42" t="s">
        <v>830</v>
      </c>
      <c r="B2620" s="42">
        <v>829.92</v>
      </c>
      <c r="C2620" s="43">
        <v>0.06</v>
      </c>
      <c r="D2620" s="45">
        <v>45962</v>
      </c>
      <c r="E2620" s="45">
        <v>45991.999305555553</v>
      </c>
      <c r="F2620" s="42" t="s">
        <v>475</v>
      </c>
    </row>
    <row r="2621" spans="1:6" x14ac:dyDescent="0.35">
      <c r="A2621" s="42" t="s">
        <v>831</v>
      </c>
      <c r="B2621" s="42">
        <v>829.92</v>
      </c>
      <c r="C2621" s="43">
        <v>0.06</v>
      </c>
      <c r="D2621" s="45">
        <v>45962</v>
      </c>
      <c r="E2621" s="45">
        <v>45991.999305555553</v>
      </c>
      <c r="F2621" s="42" t="s">
        <v>475</v>
      </c>
    </row>
    <row r="2622" spans="1:6" x14ac:dyDescent="0.35">
      <c r="A2622" s="42" t="s">
        <v>832</v>
      </c>
      <c r="B2622" s="42">
        <v>829.92</v>
      </c>
      <c r="C2622" s="43">
        <v>0.06</v>
      </c>
      <c r="D2622" s="45">
        <v>45962</v>
      </c>
      <c r="E2622" s="45">
        <v>45991.999305555553</v>
      </c>
      <c r="F2622" s="42" t="s">
        <v>475</v>
      </c>
    </row>
    <row r="2623" spans="1:6" x14ac:dyDescent="0.35">
      <c r="A2623" s="42" t="s">
        <v>846</v>
      </c>
      <c r="B2623" s="42">
        <v>1129.92</v>
      </c>
      <c r="C2623" s="43">
        <v>0.06</v>
      </c>
      <c r="D2623" s="45">
        <v>45962</v>
      </c>
      <c r="E2623" s="45">
        <v>45991.999305555553</v>
      </c>
      <c r="F2623" s="42" t="s">
        <v>475</v>
      </c>
    </row>
    <row r="2624" spans="1:6" x14ac:dyDescent="0.35">
      <c r="A2624" s="42" t="s">
        <v>847</v>
      </c>
      <c r="B2624" s="42">
        <v>1129.92</v>
      </c>
      <c r="C2624" s="43">
        <v>0.06</v>
      </c>
      <c r="D2624" s="45">
        <v>45962</v>
      </c>
      <c r="E2624" s="45">
        <v>45991.999305555553</v>
      </c>
      <c r="F2624" s="42" t="s">
        <v>475</v>
      </c>
    </row>
    <row r="2625" spans="1:6" x14ac:dyDescent="0.35">
      <c r="A2625" s="42" t="s">
        <v>848</v>
      </c>
      <c r="B2625" s="42">
        <v>1129.92</v>
      </c>
      <c r="C2625" s="43">
        <v>0.06</v>
      </c>
      <c r="D2625" s="45">
        <v>45962</v>
      </c>
      <c r="E2625" s="45">
        <v>45991.999305555553</v>
      </c>
      <c r="F2625" s="42" t="s">
        <v>475</v>
      </c>
    </row>
    <row r="2626" spans="1:6" x14ac:dyDescent="0.35">
      <c r="A2626" s="42" t="s">
        <v>849</v>
      </c>
      <c r="B2626" s="42">
        <v>1129.92</v>
      </c>
      <c r="C2626" s="43">
        <v>0.06</v>
      </c>
      <c r="D2626" s="45">
        <v>45962</v>
      </c>
      <c r="E2626" s="45">
        <v>45991.999305555553</v>
      </c>
      <c r="F2626" s="42" t="s">
        <v>475</v>
      </c>
    </row>
    <row r="2627" spans="1:6" x14ac:dyDescent="0.35">
      <c r="A2627" s="42" t="s">
        <v>850</v>
      </c>
      <c r="B2627" s="42">
        <v>1129.92</v>
      </c>
      <c r="C2627" s="43">
        <v>0.06</v>
      </c>
      <c r="D2627" s="45">
        <v>45962</v>
      </c>
      <c r="E2627" s="45">
        <v>45991.999305555553</v>
      </c>
      <c r="F2627" s="42" t="s">
        <v>475</v>
      </c>
    </row>
    <row r="2628" spans="1:6" x14ac:dyDescent="0.35">
      <c r="A2628" s="42" t="s">
        <v>851</v>
      </c>
      <c r="B2628" s="42">
        <v>1129.92</v>
      </c>
      <c r="C2628" s="43">
        <v>0.06</v>
      </c>
      <c r="D2628" s="45">
        <v>45962</v>
      </c>
      <c r="E2628" s="45">
        <v>45991.999305555553</v>
      </c>
      <c r="F2628" s="42" t="s">
        <v>475</v>
      </c>
    </row>
    <row r="2629" spans="1:6" x14ac:dyDescent="0.35">
      <c r="A2629" s="42" t="s">
        <v>869</v>
      </c>
      <c r="B2629" s="42">
        <v>1659.92</v>
      </c>
      <c r="C2629" s="43">
        <v>0.06</v>
      </c>
      <c r="D2629" s="45">
        <v>45962</v>
      </c>
      <c r="E2629" s="45">
        <v>45991.999305555553</v>
      </c>
      <c r="F2629" s="42" t="s">
        <v>475</v>
      </c>
    </row>
    <row r="2630" spans="1:6" x14ac:dyDescent="0.35">
      <c r="A2630" s="42" t="s">
        <v>870</v>
      </c>
      <c r="B2630" s="42">
        <v>1659.92</v>
      </c>
      <c r="C2630" s="43">
        <v>0.06</v>
      </c>
      <c r="D2630" s="45">
        <v>45962</v>
      </c>
      <c r="E2630" s="45">
        <v>45991.999305555553</v>
      </c>
      <c r="F2630" s="42" t="s">
        <v>475</v>
      </c>
    </row>
    <row r="2631" spans="1:6" x14ac:dyDescent="0.35">
      <c r="A2631" s="42" t="s">
        <v>871</v>
      </c>
      <c r="B2631" s="42">
        <v>1659.92</v>
      </c>
      <c r="C2631" s="43">
        <v>0.06</v>
      </c>
      <c r="D2631" s="45">
        <v>45962</v>
      </c>
      <c r="E2631" s="45">
        <v>45991.999305555553</v>
      </c>
      <c r="F2631" s="42" t="s">
        <v>475</v>
      </c>
    </row>
    <row r="2632" spans="1:6" x14ac:dyDescent="0.35">
      <c r="A2632" s="42" t="s">
        <v>872</v>
      </c>
      <c r="B2632" s="42">
        <v>1659.92</v>
      </c>
      <c r="C2632" s="43">
        <v>0.06</v>
      </c>
      <c r="D2632" s="45">
        <v>45962</v>
      </c>
      <c r="E2632" s="45">
        <v>45991.999305555553</v>
      </c>
      <c r="F2632" s="42" t="s">
        <v>475</v>
      </c>
    </row>
    <row r="2633" spans="1:6" x14ac:dyDescent="0.35">
      <c r="A2633" s="42" t="s">
        <v>873</v>
      </c>
      <c r="B2633" s="42">
        <v>1659.92</v>
      </c>
      <c r="C2633" s="43">
        <v>0.06</v>
      </c>
      <c r="D2633" s="45">
        <v>45962</v>
      </c>
      <c r="E2633" s="45">
        <v>45991.999305555553</v>
      </c>
      <c r="F2633" s="42" t="s">
        <v>475</v>
      </c>
    </row>
    <row r="2634" spans="1:6" x14ac:dyDescent="0.35">
      <c r="A2634" s="42" t="s">
        <v>874</v>
      </c>
      <c r="B2634" s="42">
        <v>1659.92</v>
      </c>
      <c r="C2634" s="43">
        <v>0.06</v>
      </c>
      <c r="D2634" s="45">
        <v>45962</v>
      </c>
      <c r="E2634" s="45">
        <v>45991.999305555553</v>
      </c>
      <c r="F2634" s="42" t="s">
        <v>475</v>
      </c>
    </row>
    <row r="2635" spans="1:6" x14ac:dyDescent="0.35">
      <c r="A2635" s="42" t="s">
        <v>875</v>
      </c>
      <c r="B2635" s="42">
        <v>2079.92</v>
      </c>
      <c r="C2635" s="43">
        <v>0.06</v>
      </c>
      <c r="D2635" s="45">
        <v>45962</v>
      </c>
      <c r="E2635" s="45">
        <v>45991.999305555553</v>
      </c>
      <c r="F2635" s="42" t="s">
        <v>475</v>
      </c>
    </row>
    <row r="2636" spans="1:6" x14ac:dyDescent="0.35">
      <c r="A2636" s="42" t="s">
        <v>876</v>
      </c>
      <c r="B2636" s="42">
        <v>2399.92</v>
      </c>
      <c r="C2636" s="43">
        <v>0.06</v>
      </c>
      <c r="D2636" s="45">
        <v>45962</v>
      </c>
      <c r="E2636" s="45">
        <v>45991.999305555553</v>
      </c>
      <c r="F2636" s="42" t="s">
        <v>475</v>
      </c>
    </row>
    <row r="2637" spans="1:6" x14ac:dyDescent="0.35">
      <c r="A2637" s="42" t="s">
        <v>877</v>
      </c>
      <c r="B2637" s="42">
        <v>2399.92</v>
      </c>
      <c r="C2637" s="43">
        <v>0.06</v>
      </c>
      <c r="D2637" s="45">
        <v>45962</v>
      </c>
      <c r="E2637" s="45">
        <v>45991.999305555553</v>
      </c>
      <c r="F2637" s="42" t="s">
        <v>475</v>
      </c>
    </row>
    <row r="2638" spans="1:6" x14ac:dyDescent="0.35">
      <c r="A2638" s="42" t="s">
        <v>878</v>
      </c>
      <c r="B2638" s="42">
        <v>2399.92</v>
      </c>
      <c r="C2638" s="43">
        <v>0.06</v>
      </c>
      <c r="D2638" s="45">
        <v>45962</v>
      </c>
      <c r="E2638" s="45">
        <v>45991.999305555553</v>
      </c>
      <c r="F2638" s="42" t="s">
        <v>475</v>
      </c>
    </row>
    <row r="2639" spans="1:6" x14ac:dyDescent="0.35">
      <c r="A2639" s="42" t="s">
        <v>879</v>
      </c>
      <c r="B2639" s="42">
        <v>2399.92</v>
      </c>
      <c r="C2639" s="43">
        <v>0.06</v>
      </c>
      <c r="D2639" s="45">
        <v>45962</v>
      </c>
      <c r="E2639" s="45">
        <v>45991.999305555553</v>
      </c>
      <c r="F2639" s="42" t="s">
        <v>475</v>
      </c>
    </row>
    <row r="2640" spans="1:6" x14ac:dyDescent="0.35">
      <c r="A2640" s="42" t="s">
        <v>880</v>
      </c>
      <c r="B2640" s="42">
        <v>2399.92</v>
      </c>
      <c r="C2640" s="43">
        <v>0.06</v>
      </c>
      <c r="D2640" s="45">
        <v>45962</v>
      </c>
      <c r="E2640" s="45">
        <v>45991.999305555553</v>
      </c>
      <c r="F2640" s="42" t="s">
        <v>475</v>
      </c>
    </row>
    <row r="2641" spans="1:6" x14ac:dyDescent="0.35">
      <c r="A2641" s="42" t="s">
        <v>881</v>
      </c>
      <c r="B2641" s="42">
        <v>2399.92</v>
      </c>
      <c r="C2641" s="43">
        <v>0.06</v>
      </c>
      <c r="D2641" s="45">
        <v>45962</v>
      </c>
      <c r="E2641" s="45">
        <v>45991.999305555553</v>
      </c>
      <c r="F2641" s="42" t="s">
        <v>475</v>
      </c>
    </row>
    <row r="2642" spans="1:6" x14ac:dyDescent="0.35">
      <c r="A2642" s="42" t="s">
        <v>567</v>
      </c>
      <c r="B2642" s="42">
        <v>169.92</v>
      </c>
      <c r="C2642" s="43">
        <v>0.08</v>
      </c>
      <c r="D2642" s="45">
        <v>45962</v>
      </c>
      <c r="E2642" s="45">
        <v>45991.999305555553</v>
      </c>
      <c r="F2642" s="42" t="s">
        <v>475</v>
      </c>
    </row>
    <row r="2643" spans="1:6" x14ac:dyDescent="0.35">
      <c r="A2643" s="42" t="s">
        <v>476</v>
      </c>
      <c r="B2643" s="42">
        <v>719.92</v>
      </c>
      <c r="C2643" s="43">
        <v>0.08</v>
      </c>
      <c r="D2643" s="45">
        <v>45962</v>
      </c>
      <c r="E2643" s="45">
        <v>45991.999305555553</v>
      </c>
      <c r="F2643" s="42" t="s">
        <v>475</v>
      </c>
    </row>
    <row r="2644" spans="1:6" x14ac:dyDescent="0.35">
      <c r="A2644" s="42" t="s">
        <v>882</v>
      </c>
      <c r="B2644" s="42">
        <v>719.92</v>
      </c>
      <c r="C2644" s="43">
        <v>0.08</v>
      </c>
      <c r="D2644" s="45">
        <v>45962</v>
      </c>
      <c r="E2644" s="45">
        <v>45991.999305555553</v>
      </c>
      <c r="F2644" s="42" t="s">
        <v>475</v>
      </c>
    </row>
    <row r="2645" spans="1:6" x14ac:dyDescent="0.35">
      <c r="A2645" s="42" t="s">
        <v>883</v>
      </c>
      <c r="B2645" s="42">
        <v>719.92</v>
      </c>
      <c r="C2645" s="43">
        <v>0.08</v>
      </c>
      <c r="D2645" s="45">
        <v>45962</v>
      </c>
      <c r="E2645" s="45">
        <v>45991.999305555553</v>
      </c>
      <c r="F2645" s="42" t="s">
        <v>475</v>
      </c>
    </row>
    <row r="2646" spans="1:6" x14ac:dyDescent="0.35">
      <c r="A2646" s="42" t="s">
        <v>884</v>
      </c>
      <c r="B2646" s="42">
        <v>719.92</v>
      </c>
      <c r="C2646" s="43">
        <v>0.08</v>
      </c>
      <c r="D2646" s="45">
        <v>45962</v>
      </c>
      <c r="E2646" s="45">
        <v>45991.999305555553</v>
      </c>
      <c r="F2646" s="42" t="s">
        <v>475</v>
      </c>
    </row>
    <row r="2647" spans="1:6" x14ac:dyDescent="0.35">
      <c r="A2647" s="42" t="s">
        <v>885</v>
      </c>
      <c r="B2647" s="42">
        <v>719.92</v>
      </c>
      <c r="C2647" s="43">
        <v>0.08</v>
      </c>
      <c r="D2647" s="45">
        <v>45962</v>
      </c>
      <c r="E2647" s="45">
        <v>45991.999305555553</v>
      </c>
      <c r="F2647" s="42" t="s">
        <v>475</v>
      </c>
    </row>
    <row r="2648" spans="1:6" x14ac:dyDescent="0.35">
      <c r="A2648" s="42" t="s">
        <v>499</v>
      </c>
      <c r="B2648" s="42">
        <v>819.92</v>
      </c>
      <c r="C2648" s="43">
        <v>0.08</v>
      </c>
      <c r="D2648" s="45">
        <v>45962</v>
      </c>
      <c r="E2648" s="45">
        <v>45991.999305555553</v>
      </c>
      <c r="F2648" s="42" t="s">
        <v>475</v>
      </c>
    </row>
    <row r="2649" spans="1:6" x14ac:dyDescent="0.35">
      <c r="A2649" s="42" t="s">
        <v>46</v>
      </c>
      <c r="B2649" s="42">
        <v>819.92</v>
      </c>
      <c r="C2649" s="43">
        <v>0.08</v>
      </c>
      <c r="D2649" s="45">
        <v>45962</v>
      </c>
      <c r="E2649" s="45">
        <v>45991.999305555553</v>
      </c>
      <c r="F2649" s="42" t="s">
        <v>475</v>
      </c>
    </row>
    <row r="2650" spans="1:6" x14ac:dyDescent="0.35">
      <c r="A2650" s="42" t="s">
        <v>47</v>
      </c>
      <c r="B2650" s="42">
        <v>819.92</v>
      </c>
      <c r="C2650" s="43">
        <v>0.08</v>
      </c>
      <c r="D2650" s="45">
        <v>45962</v>
      </c>
      <c r="E2650" s="45">
        <v>45991.999305555553</v>
      </c>
      <c r="F2650" s="42" t="s">
        <v>475</v>
      </c>
    </row>
    <row r="2651" spans="1:6" x14ac:dyDescent="0.35">
      <c r="A2651" s="42" t="s">
        <v>523</v>
      </c>
      <c r="B2651" s="42">
        <v>819.92</v>
      </c>
      <c r="C2651" s="43">
        <v>0.08</v>
      </c>
      <c r="D2651" s="45">
        <v>45962</v>
      </c>
      <c r="E2651" s="45">
        <v>45991.999305555553</v>
      </c>
      <c r="F2651" s="42" t="s">
        <v>475</v>
      </c>
    </row>
    <row r="2652" spans="1:6" x14ac:dyDescent="0.35">
      <c r="A2652" s="42" t="s">
        <v>718</v>
      </c>
      <c r="B2652" s="42">
        <v>819.92</v>
      </c>
      <c r="C2652" s="43">
        <v>0.08</v>
      </c>
      <c r="D2652" s="45">
        <v>45962</v>
      </c>
      <c r="E2652" s="45">
        <v>45991.999305555553</v>
      </c>
      <c r="F2652" s="42" t="s">
        <v>475</v>
      </c>
    </row>
    <row r="2653" spans="1:6" x14ac:dyDescent="0.35">
      <c r="A2653" s="42" t="s">
        <v>719</v>
      </c>
      <c r="B2653" s="42">
        <v>819.92</v>
      </c>
      <c r="C2653" s="43">
        <v>0.08</v>
      </c>
      <c r="D2653" s="45">
        <v>45962</v>
      </c>
      <c r="E2653" s="45">
        <v>45991.999305555553</v>
      </c>
      <c r="F2653" s="42" t="s">
        <v>475</v>
      </c>
    </row>
    <row r="2654" spans="1:6" x14ac:dyDescent="0.35">
      <c r="A2654" s="42" t="s">
        <v>720</v>
      </c>
      <c r="B2654" s="42">
        <v>819.92</v>
      </c>
      <c r="C2654" s="43">
        <v>0.08</v>
      </c>
      <c r="D2654" s="45">
        <v>45962</v>
      </c>
      <c r="E2654" s="45">
        <v>45991.999305555553</v>
      </c>
      <c r="F2654" s="42" t="s">
        <v>475</v>
      </c>
    </row>
    <row r="2655" spans="1:6" x14ac:dyDescent="0.35">
      <c r="A2655" s="42" t="s">
        <v>815</v>
      </c>
      <c r="B2655" s="42">
        <v>819.92</v>
      </c>
      <c r="C2655" s="43">
        <v>0.08</v>
      </c>
      <c r="D2655" s="45">
        <v>45962</v>
      </c>
      <c r="E2655" s="45">
        <v>45991.999305555553</v>
      </c>
      <c r="F2655" s="42" t="s">
        <v>475</v>
      </c>
    </row>
    <row r="2656" spans="1:6" x14ac:dyDescent="0.35">
      <c r="A2656" s="42" t="s">
        <v>816</v>
      </c>
      <c r="B2656" s="42">
        <v>819.92</v>
      </c>
      <c r="C2656" s="43">
        <v>0.08</v>
      </c>
      <c r="D2656" s="45">
        <v>45962</v>
      </c>
      <c r="E2656" s="45">
        <v>45991.999305555553</v>
      </c>
      <c r="F2656" s="42" t="s">
        <v>475</v>
      </c>
    </row>
    <row r="2657" spans="1:6" x14ac:dyDescent="0.35">
      <c r="A2657" s="42" t="s">
        <v>817</v>
      </c>
      <c r="B2657" s="42">
        <v>819.92</v>
      </c>
      <c r="C2657" s="43">
        <v>0.08</v>
      </c>
      <c r="D2657" s="45">
        <v>45962</v>
      </c>
      <c r="E2657" s="45">
        <v>45991.999305555553</v>
      </c>
      <c r="F2657" s="42" t="s">
        <v>475</v>
      </c>
    </row>
    <row r="2658" spans="1:6" x14ac:dyDescent="0.35">
      <c r="A2658" s="42" t="s">
        <v>721</v>
      </c>
      <c r="B2658" s="42">
        <v>819.92</v>
      </c>
      <c r="C2658" s="43">
        <v>0.08</v>
      </c>
      <c r="D2658" s="45">
        <v>45962</v>
      </c>
      <c r="E2658" s="45">
        <v>45991.999305555553</v>
      </c>
      <c r="F2658" s="42" t="s">
        <v>475</v>
      </c>
    </row>
    <row r="2659" spans="1:6" x14ac:dyDescent="0.35">
      <c r="A2659" s="42" t="s">
        <v>483</v>
      </c>
      <c r="B2659" s="42">
        <v>919.92</v>
      </c>
      <c r="C2659" s="43">
        <v>0.08</v>
      </c>
      <c r="D2659" s="45">
        <v>45962</v>
      </c>
      <c r="E2659" s="45">
        <v>45991.999305555553</v>
      </c>
      <c r="F2659" s="42" t="s">
        <v>475</v>
      </c>
    </row>
    <row r="2660" spans="1:6" x14ac:dyDescent="0.35">
      <c r="A2660" s="42" t="s">
        <v>745</v>
      </c>
      <c r="B2660" s="42">
        <v>919.92</v>
      </c>
      <c r="C2660" s="43">
        <v>0.08</v>
      </c>
      <c r="D2660" s="45">
        <v>45962</v>
      </c>
      <c r="E2660" s="45">
        <v>45991.999305555553</v>
      </c>
      <c r="F2660" s="42" t="s">
        <v>475</v>
      </c>
    </row>
    <row r="2661" spans="1:6" x14ac:dyDescent="0.35">
      <c r="A2661" s="42" t="s">
        <v>746</v>
      </c>
      <c r="B2661" s="42">
        <v>919.92</v>
      </c>
      <c r="C2661" s="43">
        <v>0.08</v>
      </c>
      <c r="D2661" s="45">
        <v>45962</v>
      </c>
      <c r="E2661" s="45">
        <v>45991.999305555553</v>
      </c>
      <c r="F2661" s="42" t="s">
        <v>475</v>
      </c>
    </row>
    <row r="2662" spans="1:6" x14ac:dyDescent="0.35">
      <c r="A2662" s="42" t="s">
        <v>747</v>
      </c>
      <c r="B2662" s="42">
        <v>919.92</v>
      </c>
      <c r="C2662" s="43">
        <v>0.08</v>
      </c>
      <c r="D2662" s="45">
        <v>45962</v>
      </c>
      <c r="E2662" s="45">
        <v>45991.999305555553</v>
      </c>
      <c r="F2662" s="42" t="s">
        <v>475</v>
      </c>
    </row>
    <row r="2663" spans="1:6" x14ac:dyDescent="0.35">
      <c r="A2663" s="42" t="s">
        <v>748</v>
      </c>
      <c r="B2663" s="42">
        <v>919.92</v>
      </c>
      <c r="C2663" s="43">
        <v>0.08</v>
      </c>
      <c r="D2663" s="45">
        <v>45962</v>
      </c>
      <c r="E2663" s="45">
        <v>45991.999305555553</v>
      </c>
      <c r="F2663" s="42" t="s">
        <v>475</v>
      </c>
    </row>
    <row r="2664" spans="1:6" x14ac:dyDescent="0.35">
      <c r="A2664" s="42" t="s">
        <v>651</v>
      </c>
      <c r="B2664" s="42">
        <v>1449.92</v>
      </c>
      <c r="C2664" s="43">
        <v>0.08</v>
      </c>
      <c r="D2664" s="45">
        <v>45962</v>
      </c>
      <c r="E2664" s="45">
        <v>45991.999305555553</v>
      </c>
      <c r="F2664" s="42" t="s">
        <v>475</v>
      </c>
    </row>
    <row r="2665" spans="1:6" x14ac:dyDescent="0.35">
      <c r="A2665" s="42" t="s">
        <v>774</v>
      </c>
      <c r="B2665" s="42">
        <v>1449.92</v>
      </c>
      <c r="C2665" s="43">
        <v>0.08</v>
      </c>
      <c r="D2665" s="45">
        <v>45962</v>
      </c>
      <c r="E2665" s="45">
        <v>45991.999305555553</v>
      </c>
      <c r="F2665" s="42" t="s">
        <v>475</v>
      </c>
    </row>
    <row r="2666" spans="1:6" x14ac:dyDescent="0.35">
      <c r="A2666" s="42" t="s">
        <v>775</v>
      </c>
      <c r="B2666" s="42">
        <v>1449.92</v>
      </c>
      <c r="C2666" s="43">
        <v>0.08</v>
      </c>
      <c r="D2666" s="45">
        <v>45962</v>
      </c>
      <c r="E2666" s="45">
        <v>45991.999305555553</v>
      </c>
      <c r="F2666" s="42" t="s">
        <v>475</v>
      </c>
    </row>
    <row r="2667" spans="1:6" x14ac:dyDescent="0.35">
      <c r="A2667" s="42" t="s">
        <v>776</v>
      </c>
      <c r="B2667" s="42">
        <v>1449.92</v>
      </c>
      <c r="C2667" s="43">
        <v>0.08</v>
      </c>
      <c r="D2667" s="45">
        <v>45962</v>
      </c>
      <c r="E2667" s="45">
        <v>45991.999305555553</v>
      </c>
      <c r="F2667" s="42" t="s">
        <v>475</v>
      </c>
    </row>
    <row r="2668" spans="1:6" x14ac:dyDescent="0.35">
      <c r="A2668" s="42" t="s">
        <v>777</v>
      </c>
      <c r="B2668" s="42">
        <v>1449.92</v>
      </c>
      <c r="C2668" s="43">
        <v>0.08</v>
      </c>
      <c r="D2668" s="45">
        <v>45962</v>
      </c>
      <c r="E2668" s="45">
        <v>45991.999305555553</v>
      </c>
      <c r="F2668" s="42" t="s">
        <v>475</v>
      </c>
    </row>
    <row r="2669" spans="1:6" x14ac:dyDescent="0.35">
      <c r="A2669" s="42" t="s">
        <v>778</v>
      </c>
      <c r="B2669" s="42">
        <v>1449.92</v>
      </c>
      <c r="C2669" s="43">
        <v>0.08</v>
      </c>
      <c r="D2669" s="45">
        <v>45962</v>
      </c>
      <c r="E2669" s="45">
        <v>45991.999305555553</v>
      </c>
      <c r="F2669" s="42" t="s">
        <v>475</v>
      </c>
    </row>
    <row r="2670" spans="1:6" x14ac:dyDescent="0.35">
      <c r="A2670" s="42" t="s">
        <v>779</v>
      </c>
      <c r="B2670" s="42">
        <v>1449.92</v>
      </c>
      <c r="C2670" s="43">
        <v>0.08</v>
      </c>
      <c r="D2670" s="45">
        <v>45962</v>
      </c>
      <c r="E2670" s="45">
        <v>45991.999305555553</v>
      </c>
      <c r="F2670" s="42" t="s">
        <v>475</v>
      </c>
    </row>
    <row r="2671" spans="1:6" x14ac:dyDescent="0.35">
      <c r="A2671" s="42" t="s">
        <v>511</v>
      </c>
      <c r="B2671" s="42">
        <v>3559.92</v>
      </c>
      <c r="C2671" s="43">
        <v>0.08</v>
      </c>
      <c r="D2671" s="45">
        <v>45962</v>
      </c>
      <c r="E2671" s="45">
        <v>45991.999305555553</v>
      </c>
      <c r="F2671" s="42" t="s">
        <v>475</v>
      </c>
    </row>
    <row r="2672" spans="1:6" x14ac:dyDescent="0.35">
      <c r="A2672" s="42" t="s">
        <v>571</v>
      </c>
      <c r="B2672" s="42">
        <v>279.92</v>
      </c>
      <c r="C2672" s="43">
        <v>0.08</v>
      </c>
      <c r="D2672" s="45">
        <v>45962</v>
      </c>
      <c r="E2672" s="45">
        <v>45991.999305555553</v>
      </c>
      <c r="F2672" s="42" t="s">
        <v>475</v>
      </c>
    </row>
    <row r="2673" spans="1:6" x14ac:dyDescent="0.35">
      <c r="A2673" s="42" t="s">
        <v>581</v>
      </c>
      <c r="B2673" s="42">
        <v>469.92</v>
      </c>
      <c r="C2673" s="43">
        <v>0.08</v>
      </c>
      <c r="D2673" s="45">
        <v>45962</v>
      </c>
      <c r="E2673" s="45">
        <v>45991.999305555553</v>
      </c>
      <c r="F2673" s="42" t="s">
        <v>475</v>
      </c>
    </row>
    <row r="2674" spans="1:6" x14ac:dyDescent="0.35">
      <c r="A2674" s="42" t="s">
        <v>579</v>
      </c>
      <c r="B2674" s="42">
        <v>469.92</v>
      </c>
      <c r="C2674" s="43">
        <v>0.08</v>
      </c>
      <c r="D2674" s="45">
        <v>45962</v>
      </c>
      <c r="E2674" s="45">
        <v>45991.999305555553</v>
      </c>
      <c r="F2674" s="42" t="s">
        <v>475</v>
      </c>
    </row>
    <row r="2675" spans="1:6" x14ac:dyDescent="0.35">
      <c r="A2675" s="42" t="s">
        <v>646</v>
      </c>
      <c r="B2675" s="42">
        <v>469.92</v>
      </c>
      <c r="C2675" s="43">
        <v>0.08</v>
      </c>
      <c r="D2675" s="45">
        <v>45962</v>
      </c>
      <c r="E2675" s="45">
        <v>45991.999305555553</v>
      </c>
      <c r="F2675" s="42" t="s">
        <v>475</v>
      </c>
    </row>
    <row r="2676" spans="1:6" x14ac:dyDescent="0.35">
      <c r="A2676" s="42" t="s">
        <v>496</v>
      </c>
      <c r="B2676" s="42">
        <v>549.91999999999996</v>
      </c>
      <c r="C2676" s="43">
        <v>0.08</v>
      </c>
      <c r="D2676" s="45">
        <v>45962</v>
      </c>
      <c r="E2676" s="45">
        <v>45991.999305555553</v>
      </c>
      <c r="F2676" s="42" t="s">
        <v>475</v>
      </c>
    </row>
    <row r="2677" spans="1:6" x14ac:dyDescent="0.35">
      <c r="A2677" s="42" t="s">
        <v>585</v>
      </c>
      <c r="B2677" s="42">
        <v>549.91999999999996</v>
      </c>
      <c r="C2677" s="43">
        <v>0.08</v>
      </c>
      <c r="D2677" s="45">
        <v>45962</v>
      </c>
      <c r="E2677" s="45">
        <v>45991.999305555553</v>
      </c>
      <c r="F2677" s="42" t="s">
        <v>475</v>
      </c>
    </row>
    <row r="2678" spans="1:6" x14ac:dyDescent="0.35">
      <c r="A2678" s="42" t="s">
        <v>586</v>
      </c>
      <c r="B2678" s="42">
        <v>549.91999999999996</v>
      </c>
      <c r="C2678" s="43">
        <v>0.08</v>
      </c>
      <c r="D2678" s="45">
        <v>45962</v>
      </c>
      <c r="E2678" s="45">
        <v>45991.999305555553</v>
      </c>
      <c r="F2678" s="42" t="s">
        <v>475</v>
      </c>
    </row>
    <row r="2679" spans="1:6" x14ac:dyDescent="0.35">
      <c r="A2679" s="42" t="s">
        <v>282</v>
      </c>
      <c r="B2679" s="42">
        <v>549.91999999999996</v>
      </c>
      <c r="C2679" s="43">
        <v>0.08</v>
      </c>
      <c r="D2679" s="45">
        <v>45962</v>
      </c>
      <c r="E2679" s="45">
        <v>45991.999305555553</v>
      </c>
      <c r="F2679" s="42" t="s">
        <v>475</v>
      </c>
    </row>
    <row r="2680" spans="1:6" x14ac:dyDescent="0.35">
      <c r="A2680" s="42" t="s">
        <v>591</v>
      </c>
      <c r="B2680" s="42">
        <v>739.92</v>
      </c>
      <c r="C2680" s="43">
        <v>0.08</v>
      </c>
      <c r="D2680" s="45">
        <v>45962</v>
      </c>
      <c r="E2680" s="45">
        <v>45991.999305555553</v>
      </c>
      <c r="F2680" s="42" t="s">
        <v>475</v>
      </c>
    </row>
    <row r="2681" spans="1:6" x14ac:dyDescent="0.35">
      <c r="A2681" s="42" t="s">
        <v>102</v>
      </c>
      <c r="B2681" s="42">
        <v>939.92</v>
      </c>
      <c r="C2681" s="43">
        <v>0.08</v>
      </c>
      <c r="D2681" s="45">
        <v>45962</v>
      </c>
      <c r="E2681" s="45">
        <v>45991.999305555553</v>
      </c>
      <c r="F2681" s="42" t="s">
        <v>475</v>
      </c>
    </row>
    <row r="2682" spans="1:6" x14ac:dyDescent="0.35">
      <c r="A2682" s="42" t="s">
        <v>484</v>
      </c>
      <c r="B2682" s="42">
        <v>939.92</v>
      </c>
      <c r="C2682" s="43">
        <v>0.08</v>
      </c>
      <c r="D2682" s="45">
        <v>45962</v>
      </c>
      <c r="E2682" s="45">
        <v>45991.999305555553</v>
      </c>
      <c r="F2682" s="42" t="s">
        <v>475</v>
      </c>
    </row>
    <row r="2683" spans="1:6" x14ac:dyDescent="0.35">
      <c r="A2683" s="42" t="s">
        <v>618</v>
      </c>
      <c r="B2683" s="42">
        <v>939.92</v>
      </c>
      <c r="C2683" s="43">
        <v>0.08</v>
      </c>
      <c r="D2683" s="45">
        <v>45962</v>
      </c>
      <c r="E2683" s="45">
        <v>45991.999305555553</v>
      </c>
      <c r="F2683" s="42" t="s">
        <v>475</v>
      </c>
    </row>
    <row r="2684" spans="1:6" x14ac:dyDescent="0.35">
      <c r="A2684" s="42" t="s">
        <v>452</v>
      </c>
      <c r="B2684" s="42">
        <v>1399.92</v>
      </c>
      <c r="C2684" s="43">
        <v>0.08</v>
      </c>
      <c r="D2684" s="45">
        <v>45962</v>
      </c>
      <c r="E2684" s="45">
        <v>45991.999305555553</v>
      </c>
      <c r="F2684" s="42" t="s">
        <v>475</v>
      </c>
    </row>
    <row r="2685" spans="1:6" x14ac:dyDescent="0.35">
      <c r="A2685" s="42" t="s">
        <v>37</v>
      </c>
      <c r="B2685" s="42">
        <v>1399.92</v>
      </c>
      <c r="C2685" s="43">
        <v>0.08</v>
      </c>
      <c r="D2685" s="45">
        <v>45962</v>
      </c>
      <c r="E2685" s="45">
        <v>45991.999305555553</v>
      </c>
      <c r="F2685" s="42" t="s">
        <v>475</v>
      </c>
    </row>
    <row r="2686" spans="1:6" x14ac:dyDescent="0.35">
      <c r="A2686" s="42" t="s">
        <v>489</v>
      </c>
      <c r="B2686" s="42">
        <v>1399.92</v>
      </c>
      <c r="C2686" s="43">
        <v>0.08</v>
      </c>
      <c r="D2686" s="45">
        <v>45962</v>
      </c>
      <c r="E2686" s="45">
        <v>45991.999305555553</v>
      </c>
      <c r="F2686" s="42" t="s">
        <v>475</v>
      </c>
    </row>
    <row r="2687" spans="1:6" x14ac:dyDescent="0.35">
      <c r="A2687" s="42" t="s">
        <v>49</v>
      </c>
      <c r="B2687" s="42">
        <v>1579.92</v>
      </c>
      <c r="C2687" s="43">
        <v>0.08</v>
      </c>
      <c r="D2687" s="45">
        <v>45962</v>
      </c>
      <c r="E2687" s="45">
        <v>45991.999305555553</v>
      </c>
      <c r="F2687" s="42" t="s">
        <v>475</v>
      </c>
    </row>
    <row r="2688" spans="1:6" x14ac:dyDescent="0.35">
      <c r="A2688" s="42" t="s">
        <v>281</v>
      </c>
      <c r="B2688" s="42">
        <v>1579.92</v>
      </c>
      <c r="C2688" s="43">
        <v>0.08</v>
      </c>
      <c r="D2688" s="45">
        <v>45962</v>
      </c>
      <c r="E2688" s="45">
        <v>45991.999305555553</v>
      </c>
      <c r="F2688" s="42" t="s">
        <v>475</v>
      </c>
    </row>
    <row r="2689" spans="1:6" x14ac:dyDescent="0.35">
      <c r="A2689" s="42" t="s">
        <v>647</v>
      </c>
      <c r="B2689" s="42">
        <v>1579.92</v>
      </c>
      <c r="C2689" s="43">
        <v>0.08</v>
      </c>
      <c r="D2689" s="45">
        <v>45962</v>
      </c>
      <c r="E2689" s="45">
        <v>45991.999305555553</v>
      </c>
      <c r="F2689" s="42" t="s">
        <v>475</v>
      </c>
    </row>
    <row r="2690" spans="1:6" x14ac:dyDescent="0.35">
      <c r="A2690" s="42" t="s">
        <v>661</v>
      </c>
      <c r="B2690" s="42">
        <v>2419.92</v>
      </c>
      <c r="C2690" s="43">
        <v>0.08</v>
      </c>
      <c r="D2690" s="45">
        <v>45962</v>
      </c>
      <c r="E2690" s="45">
        <v>45991.999305555553</v>
      </c>
      <c r="F2690" s="42" t="s">
        <v>475</v>
      </c>
    </row>
    <row r="2691" spans="1:6" x14ac:dyDescent="0.35">
      <c r="A2691" s="42" t="s">
        <v>405</v>
      </c>
      <c r="B2691" s="42">
        <v>2419.92</v>
      </c>
      <c r="C2691" s="43">
        <v>0.08</v>
      </c>
      <c r="D2691" s="45">
        <v>45962</v>
      </c>
      <c r="E2691" s="45">
        <v>45991.999305555553</v>
      </c>
      <c r="F2691" s="42" t="s">
        <v>475</v>
      </c>
    </row>
    <row r="2692" spans="1:6" x14ac:dyDescent="0.35">
      <c r="A2692" s="42" t="s">
        <v>573</v>
      </c>
      <c r="B2692" s="42">
        <v>289.92</v>
      </c>
      <c r="C2692" s="43">
        <v>0.08</v>
      </c>
      <c r="D2692" s="45">
        <v>45962</v>
      </c>
      <c r="E2692" s="45">
        <v>45991.999305555553</v>
      </c>
      <c r="F2692" s="42" t="s">
        <v>475</v>
      </c>
    </row>
    <row r="2693" spans="1:6" x14ac:dyDescent="0.35">
      <c r="A2693" s="42" t="s">
        <v>572</v>
      </c>
      <c r="B2693" s="42">
        <v>289.92</v>
      </c>
      <c r="C2693" s="43">
        <v>0.08</v>
      </c>
      <c r="D2693" s="45">
        <v>45962</v>
      </c>
      <c r="E2693" s="45">
        <v>45991.999305555553</v>
      </c>
      <c r="F2693" s="42" t="s">
        <v>475</v>
      </c>
    </row>
    <row r="2694" spans="1:6" x14ac:dyDescent="0.35">
      <c r="A2694" s="42" t="s">
        <v>546</v>
      </c>
      <c r="B2694" s="42">
        <v>289.92</v>
      </c>
      <c r="C2694" s="43">
        <v>0.08</v>
      </c>
      <c r="D2694" s="45">
        <v>45962</v>
      </c>
      <c r="E2694" s="45">
        <v>45991.999305555553</v>
      </c>
      <c r="F2694" s="42" t="s">
        <v>475</v>
      </c>
    </row>
    <row r="2695" spans="1:6" x14ac:dyDescent="0.35">
      <c r="A2695" s="42" t="s">
        <v>617</v>
      </c>
      <c r="B2695" s="42">
        <v>289.92</v>
      </c>
      <c r="C2695" s="43">
        <v>0.08</v>
      </c>
      <c r="D2695" s="45">
        <v>45962</v>
      </c>
      <c r="E2695" s="45">
        <v>45991.999305555553</v>
      </c>
      <c r="F2695" s="42" t="s">
        <v>475</v>
      </c>
    </row>
    <row r="2696" spans="1:6" x14ac:dyDescent="0.35">
      <c r="A2696" s="42" t="s">
        <v>14</v>
      </c>
      <c r="B2696" s="42">
        <v>379.92</v>
      </c>
      <c r="C2696" s="43">
        <v>0.08</v>
      </c>
      <c r="D2696" s="45">
        <v>45962</v>
      </c>
      <c r="E2696" s="45">
        <v>45991.999305555553</v>
      </c>
      <c r="F2696" s="42" t="s">
        <v>475</v>
      </c>
    </row>
    <row r="2697" spans="1:6" x14ac:dyDescent="0.35">
      <c r="A2697" s="42" t="s">
        <v>12</v>
      </c>
      <c r="B2697" s="42">
        <v>379.92</v>
      </c>
      <c r="C2697" s="43">
        <v>0.08</v>
      </c>
      <c r="D2697" s="45">
        <v>45962</v>
      </c>
      <c r="E2697" s="45">
        <v>45991.999305555553</v>
      </c>
      <c r="F2697" s="42" t="s">
        <v>475</v>
      </c>
    </row>
    <row r="2698" spans="1:6" x14ac:dyDescent="0.35">
      <c r="A2698" s="42" t="s">
        <v>577</v>
      </c>
      <c r="B2698" s="42">
        <v>379.92</v>
      </c>
      <c r="C2698" s="43">
        <v>0.08</v>
      </c>
      <c r="D2698" s="45">
        <v>45962</v>
      </c>
      <c r="E2698" s="45">
        <v>45991.999305555553</v>
      </c>
      <c r="F2698" s="42" t="s">
        <v>475</v>
      </c>
    </row>
    <row r="2699" spans="1:6" x14ac:dyDescent="0.35">
      <c r="A2699" s="42" t="s">
        <v>601</v>
      </c>
      <c r="B2699" s="42">
        <v>479.92</v>
      </c>
      <c r="C2699" s="43">
        <v>0.08</v>
      </c>
      <c r="D2699" s="45">
        <v>45962</v>
      </c>
      <c r="E2699" s="45">
        <v>45991.999305555553</v>
      </c>
      <c r="F2699" s="42" t="s">
        <v>475</v>
      </c>
    </row>
    <row r="2700" spans="1:6" x14ac:dyDescent="0.35">
      <c r="A2700" s="42" t="s">
        <v>614</v>
      </c>
      <c r="B2700" s="42">
        <v>479.92</v>
      </c>
      <c r="C2700" s="43">
        <v>0.08</v>
      </c>
      <c r="D2700" s="45">
        <v>45962</v>
      </c>
      <c r="E2700" s="45">
        <v>45991.999305555553</v>
      </c>
      <c r="F2700" s="42" t="s">
        <v>475</v>
      </c>
    </row>
    <row r="2701" spans="1:6" x14ac:dyDescent="0.35">
      <c r="A2701" s="42" t="s">
        <v>524</v>
      </c>
      <c r="B2701" s="42">
        <v>569.91999999999996</v>
      </c>
      <c r="C2701" s="43">
        <v>0.08</v>
      </c>
      <c r="D2701" s="45">
        <v>45962</v>
      </c>
      <c r="E2701" s="45">
        <v>45991.999305555553</v>
      </c>
      <c r="F2701" s="42" t="s">
        <v>475</v>
      </c>
    </row>
    <row r="2702" spans="1:6" x14ac:dyDescent="0.35">
      <c r="A2702" s="42" t="s">
        <v>525</v>
      </c>
      <c r="B2702" s="42">
        <v>569.91999999999996</v>
      </c>
      <c r="C2702" s="43">
        <v>0.08</v>
      </c>
      <c r="D2702" s="45">
        <v>45962</v>
      </c>
      <c r="E2702" s="45">
        <v>45991.999305555553</v>
      </c>
      <c r="F2702" s="42" t="s">
        <v>475</v>
      </c>
    </row>
    <row r="2703" spans="1:6" x14ac:dyDescent="0.35">
      <c r="A2703" s="42" t="s">
        <v>544</v>
      </c>
      <c r="B2703" s="42">
        <v>569.91999999999996</v>
      </c>
      <c r="C2703" s="43">
        <v>0.08</v>
      </c>
      <c r="D2703" s="45">
        <v>45962</v>
      </c>
      <c r="E2703" s="45">
        <v>45991.999305555553</v>
      </c>
      <c r="F2703" s="42" t="s">
        <v>475</v>
      </c>
    </row>
    <row r="2704" spans="1:6" x14ac:dyDescent="0.35">
      <c r="A2704" s="42" t="s">
        <v>279</v>
      </c>
      <c r="B2704" s="42">
        <v>569.91999999999996</v>
      </c>
      <c r="C2704" s="43">
        <v>0.08</v>
      </c>
      <c r="D2704" s="45">
        <v>45962</v>
      </c>
      <c r="E2704" s="45">
        <v>45991.999305555553</v>
      </c>
      <c r="F2704" s="42" t="s">
        <v>475</v>
      </c>
    </row>
    <row r="2705" spans="1:6" x14ac:dyDescent="0.35">
      <c r="A2705" s="42" t="s">
        <v>25</v>
      </c>
      <c r="B2705" s="42">
        <v>569.91999999999996</v>
      </c>
      <c r="C2705" s="43">
        <v>0.08</v>
      </c>
      <c r="D2705" s="45">
        <v>45962</v>
      </c>
      <c r="E2705" s="45">
        <v>45991.999305555553</v>
      </c>
      <c r="F2705" s="42" t="s">
        <v>475</v>
      </c>
    </row>
    <row r="2706" spans="1:6" x14ac:dyDescent="0.35">
      <c r="A2706" s="42" t="s">
        <v>179</v>
      </c>
      <c r="B2706" s="42">
        <v>569.91999999999996</v>
      </c>
      <c r="C2706" s="43">
        <v>0.08</v>
      </c>
      <c r="D2706" s="45">
        <v>45962</v>
      </c>
      <c r="E2706" s="45">
        <v>45991.999305555553</v>
      </c>
      <c r="F2706" s="42" t="s">
        <v>475</v>
      </c>
    </row>
    <row r="2707" spans="1:6" x14ac:dyDescent="0.35">
      <c r="A2707" s="42" t="s">
        <v>616</v>
      </c>
      <c r="B2707" s="42">
        <v>569.91999999999996</v>
      </c>
      <c r="C2707" s="43">
        <v>0.08</v>
      </c>
      <c r="D2707" s="45">
        <v>45962</v>
      </c>
      <c r="E2707" s="45">
        <v>45991.999305555553</v>
      </c>
      <c r="F2707" s="42" t="s">
        <v>475</v>
      </c>
    </row>
    <row r="2708" spans="1:6" x14ac:dyDescent="0.35">
      <c r="A2708" s="42" t="s">
        <v>654</v>
      </c>
      <c r="B2708" s="42">
        <v>569.91999999999996</v>
      </c>
      <c r="C2708" s="43">
        <v>0.08</v>
      </c>
      <c r="D2708" s="45">
        <v>45962</v>
      </c>
      <c r="E2708" s="45">
        <v>45991.999305555553</v>
      </c>
      <c r="F2708" s="42" t="s">
        <v>475</v>
      </c>
    </row>
    <row r="2709" spans="1:6" x14ac:dyDescent="0.35">
      <c r="A2709" s="42" t="s">
        <v>886</v>
      </c>
      <c r="B2709" s="42">
        <v>569.91999999999996</v>
      </c>
      <c r="C2709" s="43">
        <v>0.08</v>
      </c>
      <c r="D2709" s="45">
        <v>45962</v>
      </c>
      <c r="E2709" s="45">
        <v>45991.999305555553</v>
      </c>
      <c r="F2709" s="42" t="s">
        <v>475</v>
      </c>
    </row>
    <row r="2710" spans="1:6" x14ac:dyDescent="0.35">
      <c r="A2710" s="42" t="s">
        <v>887</v>
      </c>
      <c r="B2710" s="42">
        <v>569.91999999999996</v>
      </c>
      <c r="C2710" s="43">
        <v>0.08</v>
      </c>
      <c r="D2710" s="45">
        <v>45962</v>
      </c>
      <c r="E2710" s="45">
        <v>45991.999305555553</v>
      </c>
      <c r="F2710" s="42" t="s">
        <v>475</v>
      </c>
    </row>
    <row r="2711" spans="1:6" x14ac:dyDescent="0.35">
      <c r="A2711" s="42" t="s">
        <v>888</v>
      </c>
      <c r="B2711" s="42">
        <v>569.91999999999996</v>
      </c>
      <c r="C2711" s="43">
        <v>0.08</v>
      </c>
      <c r="D2711" s="45">
        <v>45962</v>
      </c>
      <c r="E2711" s="45">
        <v>45991.999305555553</v>
      </c>
      <c r="F2711" s="42" t="s">
        <v>475</v>
      </c>
    </row>
    <row r="2712" spans="1:6" x14ac:dyDescent="0.35">
      <c r="A2712" s="42" t="s">
        <v>889</v>
      </c>
      <c r="B2712" s="42">
        <v>569.91999999999996</v>
      </c>
      <c r="C2712" s="43">
        <v>0.08</v>
      </c>
      <c r="D2712" s="45">
        <v>45962</v>
      </c>
      <c r="E2712" s="45">
        <v>45991.999305555553</v>
      </c>
      <c r="F2712" s="42" t="s">
        <v>475</v>
      </c>
    </row>
    <row r="2713" spans="1:6" x14ac:dyDescent="0.35">
      <c r="A2713" s="42" t="s">
        <v>498</v>
      </c>
      <c r="B2713" s="42">
        <v>659.92</v>
      </c>
      <c r="C2713" s="43">
        <v>0.08</v>
      </c>
      <c r="D2713" s="45">
        <v>45962</v>
      </c>
      <c r="E2713" s="45">
        <v>45991.999305555553</v>
      </c>
      <c r="F2713" s="42" t="s">
        <v>475</v>
      </c>
    </row>
    <row r="2714" spans="1:6" x14ac:dyDescent="0.35">
      <c r="A2714" s="42" t="s">
        <v>497</v>
      </c>
      <c r="B2714" s="42">
        <v>659.92</v>
      </c>
      <c r="C2714" s="43">
        <v>0.08</v>
      </c>
      <c r="D2714" s="45">
        <v>45962</v>
      </c>
      <c r="E2714" s="45">
        <v>45991.999305555553</v>
      </c>
      <c r="F2714" s="42" t="s">
        <v>475</v>
      </c>
    </row>
    <row r="2715" spans="1:6" x14ac:dyDescent="0.35">
      <c r="A2715" s="42" t="s">
        <v>27</v>
      </c>
      <c r="B2715" s="42">
        <v>659.92</v>
      </c>
      <c r="C2715" s="43">
        <v>0.08</v>
      </c>
      <c r="D2715" s="45">
        <v>45962</v>
      </c>
      <c r="E2715" s="45">
        <v>45991.999305555553</v>
      </c>
      <c r="F2715" s="42" t="s">
        <v>475</v>
      </c>
    </row>
    <row r="2716" spans="1:6" x14ac:dyDescent="0.35">
      <c r="A2716" s="42" t="s">
        <v>73</v>
      </c>
      <c r="B2716" s="42">
        <v>659.92</v>
      </c>
      <c r="C2716" s="43">
        <v>0.08</v>
      </c>
      <c r="D2716" s="45">
        <v>45962</v>
      </c>
      <c r="E2716" s="45">
        <v>45991.999305555553</v>
      </c>
      <c r="F2716" s="42" t="s">
        <v>475</v>
      </c>
    </row>
    <row r="2717" spans="1:6" x14ac:dyDescent="0.35">
      <c r="A2717" s="42" t="s">
        <v>128</v>
      </c>
      <c r="B2717" s="42">
        <v>659.92</v>
      </c>
      <c r="C2717" s="43">
        <v>0.08</v>
      </c>
      <c r="D2717" s="45">
        <v>45962</v>
      </c>
      <c r="E2717" s="45">
        <v>45991.999305555553</v>
      </c>
      <c r="F2717" s="42" t="s">
        <v>475</v>
      </c>
    </row>
    <row r="2718" spans="1:6" x14ac:dyDescent="0.35">
      <c r="A2718" s="42" t="s">
        <v>122</v>
      </c>
      <c r="B2718" s="42">
        <v>659.92</v>
      </c>
      <c r="C2718" s="43">
        <v>0.08</v>
      </c>
      <c r="D2718" s="45">
        <v>45962</v>
      </c>
      <c r="E2718" s="45">
        <v>45991.999305555553</v>
      </c>
      <c r="F2718" s="42" t="s">
        <v>475</v>
      </c>
    </row>
    <row r="2719" spans="1:6" x14ac:dyDescent="0.35">
      <c r="A2719" s="42" t="s">
        <v>399</v>
      </c>
      <c r="B2719" s="42">
        <v>659.92</v>
      </c>
      <c r="C2719" s="43">
        <v>0.08</v>
      </c>
      <c r="D2719" s="45">
        <v>45962</v>
      </c>
      <c r="E2719" s="45">
        <v>45991.999305555553</v>
      </c>
      <c r="F2719" s="42" t="s">
        <v>475</v>
      </c>
    </row>
    <row r="2720" spans="1:6" x14ac:dyDescent="0.35">
      <c r="A2720" s="42" t="s">
        <v>792</v>
      </c>
      <c r="B2720" s="42">
        <v>659.92</v>
      </c>
      <c r="C2720" s="43">
        <v>0.08</v>
      </c>
      <c r="D2720" s="45">
        <v>45962</v>
      </c>
      <c r="E2720" s="45">
        <v>45991.999305555553</v>
      </c>
      <c r="F2720" s="42" t="s">
        <v>475</v>
      </c>
    </row>
    <row r="2721" spans="1:6" x14ac:dyDescent="0.35">
      <c r="A2721" s="42" t="s">
        <v>793</v>
      </c>
      <c r="B2721" s="42">
        <v>659.92</v>
      </c>
      <c r="C2721" s="43">
        <v>0.08</v>
      </c>
      <c r="D2721" s="45">
        <v>45962</v>
      </c>
      <c r="E2721" s="45">
        <v>45991.999305555553</v>
      </c>
      <c r="F2721" s="42" t="s">
        <v>475</v>
      </c>
    </row>
    <row r="2722" spans="1:6" x14ac:dyDescent="0.35">
      <c r="A2722" s="42" t="s">
        <v>794</v>
      </c>
      <c r="B2722" s="42">
        <v>659.92</v>
      </c>
      <c r="C2722" s="43">
        <v>0.08</v>
      </c>
      <c r="D2722" s="45">
        <v>45962</v>
      </c>
      <c r="E2722" s="45">
        <v>45991.999305555553</v>
      </c>
      <c r="F2722" s="42" t="s">
        <v>475</v>
      </c>
    </row>
    <row r="2723" spans="1:6" x14ac:dyDescent="0.35">
      <c r="A2723" s="42" t="s">
        <v>795</v>
      </c>
      <c r="B2723" s="42">
        <v>659.92</v>
      </c>
      <c r="C2723" s="43">
        <v>0.08</v>
      </c>
      <c r="D2723" s="45">
        <v>45962</v>
      </c>
      <c r="E2723" s="45">
        <v>45991.999305555553</v>
      </c>
      <c r="F2723" s="42" t="s">
        <v>475</v>
      </c>
    </row>
    <row r="2724" spans="1:6" x14ac:dyDescent="0.35">
      <c r="A2724" s="42" t="s">
        <v>796</v>
      </c>
      <c r="B2724" s="42">
        <v>659.92</v>
      </c>
      <c r="C2724" s="43">
        <v>0.08</v>
      </c>
      <c r="D2724" s="45">
        <v>45962</v>
      </c>
      <c r="E2724" s="45">
        <v>45991.999305555553</v>
      </c>
      <c r="F2724" s="42" t="s">
        <v>475</v>
      </c>
    </row>
    <row r="2725" spans="1:6" x14ac:dyDescent="0.35">
      <c r="A2725" s="42" t="s">
        <v>797</v>
      </c>
      <c r="B2725" s="42">
        <v>659.92</v>
      </c>
      <c r="C2725" s="43">
        <v>0.08</v>
      </c>
      <c r="D2725" s="45">
        <v>45962</v>
      </c>
      <c r="E2725" s="45">
        <v>45991.999305555553</v>
      </c>
      <c r="F2725" s="42" t="s">
        <v>475</v>
      </c>
    </row>
    <row r="2726" spans="1:6" x14ac:dyDescent="0.35">
      <c r="A2726" s="42" t="s">
        <v>798</v>
      </c>
      <c r="B2726" s="42">
        <v>659.92</v>
      </c>
      <c r="C2726" s="43">
        <v>0.08</v>
      </c>
      <c r="D2726" s="45">
        <v>45962</v>
      </c>
      <c r="E2726" s="45">
        <v>45991.999305555553</v>
      </c>
      <c r="F2726" s="42" t="s">
        <v>475</v>
      </c>
    </row>
    <row r="2727" spans="1:6" x14ac:dyDescent="0.35">
      <c r="A2727" s="42" t="s">
        <v>799</v>
      </c>
      <c r="B2727" s="42">
        <v>659.92</v>
      </c>
      <c r="C2727" s="43">
        <v>0.08</v>
      </c>
      <c r="D2727" s="45">
        <v>45962</v>
      </c>
      <c r="E2727" s="45">
        <v>45991.999305555553</v>
      </c>
      <c r="F2727" s="42" t="s">
        <v>475</v>
      </c>
    </row>
    <row r="2728" spans="1:6" x14ac:dyDescent="0.35">
      <c r="A2728" s="42" t="s">
        <v>800</v>
      </c>
      <c r="B2728" s="42">
        <v>659.92</v>
      </c>
      <c r="C2728" s="43">
        <v>0.08</v>
      </c>
      <c r="D2728" s="45">
        <v>45962</v>
      </c>
      <c r="E2728" s="45">
        <v>45991.999305555553</v>
      </c>
      <c r="F2728" s="42" t="s">
        <v>475</v>
      </c>
    </row>
    <row r="2729" spans="1:6" x14ac:dyDescent="0.35">
      <c r="A2729" s="42" t="s">
        <v>863</v>
      </c>
      <c r="B2729" s="42">
        <v>659.92</v>
      </c>
      <c r="C2729" s="43">
        <v>0.08</v>
      </c>
      <c r="D2729" s="45">
        <v>45962</v>
      </c>
      <c r="E2729" s="45">
        <v>45991.999305555553</v>
      </c>
      <c r="F2729" s="42" t="s">
        <v>475</v>
      </c>
    </row>
    <row r="2730" spans="1:6" x14ac:dyDescent="0.35">
      <c r="A2730" s="42" t="s">
        <v>864</v>
      </c>
      <c r="B2730" s="42">
        <v>659.92</v>
      </c>
      <c r="C2730" s="43">
        <v>0.08</v>
      </c>
      <c r="D2730" s="45">
        <v>45962</v>
      </c>
      <c r="E2730" s="45">
        <v>45991.999305555553</v>
      </c>
      <c r="F2730" s="42" t="s">
        <v>475</v>
      </c>
    </row>
    <row r="2731" spans="1:6" x14ac:dyDescent="0.35">
      <c r="A2731" s="42" t="s">
        <v>865</v>
      </c>
      <c r="B2731" s="42">
        <v>659.92</v>
      </c>
      <c r="C2731" s="43">
        <v>0.08</v>
      </c>
      <c r="D2731" s="45">
        <v>45962</v>
      </c>
      <c r="E2731" s="45">
        <v>45991.999305555553</v>
      </c>
      <c r="F2731" s="42" t="s">
        <v>475</v>
      </c>
    </row>
    <row r="2732" spans="1:6" x14ac:dyDescent="0.35">
      <c r="A2732" s="42" t="s">
        <v>866</v>
      </c>
      <c r="B2732" s="42">
        <v>659.92</v>
      </c>
      <c r="C2732" s="43">
        <v>0.08</v>
      </c>
      <c r="D2732" s="45">
        <v>45962</v>
      </c>
      <c r="E2732" s="45">
        <v>45991.999305555553</v>
      </c>
      <c r="F2732" s="42" t="s">
        <v>475</v>
      </c>
    </row>
    <row r="2733" spans="1:6" x14ac:dyDescent="0.35">
      <c r="A2733" s="42" t="s">
        <v>867</v>
      </c>
      <c r="B2733" s="42">
        <v>659.92</v>
      </c>
      <c r="C2733" s="43">
        <v>0.08</v>
      </c>
      <c r="D2733" s="45">
        <v>45962</v>
      </c>
      <c r="E2733" s="45">
        <v>45991.999305555553</v>
      </c>
      <c r="F2733" s="42" t="s">
        <v>475</v>
      </c>
    </row>
    <row r="2734" spans="1:6" x14ac:dyDescent="0.35">
      <c r="A2734" s="42" t="s">
        <v>868</v>
      </c>
      <c r="B2734" s="42">
        <v>659.92</v>
      </c>
      <c r="C2734" s="43">
        <v>0.08</v>
      </c>
      <c r="D2734" s="45">
        <v>45962</v>
      </c>
      <c r="E2734" s="45">
        <v>45991.999305555553</v>
      </c>
      <c r="F2734" s="42" t="s">
        <v>475</v>
      </c>
    </row>
    <row r="2735" spans="1:6" x14ac:dyDescent="0.35">
      <c r="A2735" s="42" t="s">
        <v>522</v>
      </c>
      <c r="B2735" s="42">
        <v>759.92</v>
      </c>
      <c r="C2735" s="43">
        <v>0.08</v>
      </c>
      <c r="D2735" s="45">
        <v>45962</v>
      </c>
      <c r="E2735" s="45">
        <v>45991.999305555553</v>
      </c>
      <c r="F2735" s="42" t="s">
        <v>475</v>
      </c>
    </row>
    <row r="2736" spans="1:6" x14ac:dyDescent="0.35">
      <c r="A2736" s="42" t="s">
        <v>481</v>
      </c>
      <c r="B2736" s="42">
        <v>759.92</v>
      </c>
      <c r="C2736" s="43">
        <v>0.08</v>
      </c>
      <c r="D2736" s="45">
        <v>45962</v>
      </c>
      <c r="E2736" s="45">
        <v>45991.999305555553</v>
      </c>
      <c r="F2736" s="42" t="s">
        <v>475</v>
      </c>
    </row>
    <row r="2737" spans="1:6" x14ac:dyDescent="0.35">
      <c r="A2737" s="42" t="s">
        <v>532</v>
      </c>
      <c r="B2737" s="42">
        <v>759.92</v>
      </c>
      <c r="C2737" s="43">
        <v>0.08</v>
      </c>
      <c r="D2737" s="45">
        <v>45962</v>
      </c>
      <c r="E2737" s="45">
        <v>45991.999305555553</v>
      </c>
      <c r="F2737" s="42" t="s">
        <v>475</v>
      </c>
    </row>
    <row r="2738" spans="1:6" x14ac:dyDescent="0.35">
      <c r="A2738" s="42" t="s">
        <v>593</v>
      </c>
      <c r="B2738" s="42">
        <v>759.92</v>
      </c>
      <c r="C2738" s="43">
        <v>0.08</v>
      </c>
      <c r="D2738" s="45">
        <v>45962</v>
      </c>
      <c r="E2738" s="45">
        <v>45991.999305555553</v>
      </c>
      <c r="F2738" s="42" t="s">
        <v>475</v>
      </c>
    </row>
    <row r="2739" spans="1:6" x14ac:dyDescent="0.35">
      <c r="A2739" s="42" t="s">
        <v>283</v>
      </c>
      <c r="B2739" s="42">
        <v>759.92</v>
      </c>
      <c r="C2739" s="43">
        <v>0.08</v>
      </c>
      <c r="D2739" s="45">
        <v>45962</v>
      </c>
      <c r="E2739" s="45">
        <v>45991.999305555553</v>
      </c>
      <c r="F2739" s="42" t="s">
        <v>475</v>
      </c>
    </row>
    <row r="2740" spans="1:6" x14ac:dyDescent="0.35">
      <c r="A2740" s="42" t="s">
        <v>30</v>
      </c>
      <c r="B2740" s="42">
        <v>759.92</v>
      </c>
      <c r="C2740" s="43">
        <v>0.08</v>
      </c>
      <c r="D2740" s="45">
        <v>45962</v>
      </c>
      <c r="E2740" s="45">
        <v>45991.999305555553</v>
      </c>
      <c r="F2740" s="42" t="s">
        <v>475</v>
      </c>
    </row>
    <row r="2741" spans="1:6" x14ac:dyDescent="0.35">
      <c r="A2741" s="42" t="s">
        <v>59</v>
      </c>
      <c r="B2741" s="42">
        <v>759.92</v>
      </c>
      <c r="C2741" s="43">
        <v>0.08</v>
      </c>
      <c r="D2741" s="45">
        <v>45962</v>
      </c>
      <c r="E2741" s="45">
        <v>45991.999305555553</v>
      </c>
      <c r="F2741" s="42" t="s">
        <v>475</v>
      </c>
    </row>
    <row r="2742" spans="1:6" x14ac:dyDescent="0.35">
      <c r="A2742" s="42" t="s">
        <v>31</v>
      </c>
      <c r="B2742" s="42">
        <v>759.92</v>
      </c>
      <c r="C2742" s="43">
        <v>0.08</v>
      </c>
      <c r="D2742" s="45">
        <v>45962</v>
      </c>
      <c r="E2742" s="45">
        <v>45991.999305555553</v>
      </c>
      <c r="F2742" s="42" t="s">
        <v>475</v>
      </c>
    </row>
    <row r="2743" spans="1:6" x14ac:dyDescent="0.35">
      <c r="A2743" s="42" t="s">
        <v>40</v>
      </c>
      <c r="B2743" s="42">
        <v>759.92</v>
      </c>
      <c r="C2743" s="43">
        <v>0.08</v>
      </c>
      <c r="D2743" s="45">
        <v>45962</v>
      </c>
      <c r="E2743" s="45">
        <v>45991.999305555553</v>
      </c>
      <c r="F2743" s="42" t="s">
        <v>475</v>
      </c>
    </row>
    <row r="2744" spans="1:6" x14ac:dyDescent="0.35">
      <c r="A2744" s="42" t="s">
        <v>58</v>
      </c>
      <c r="B2744" s="42">
        <v>759.92</v>
      </c>
      <c r="C2744" s="43">
        <v>0.08</v>
      </c>
      <c r="D2744" s="45">
        <v>45962</v>
      </c>
      <c r="E2744" s="45">
        <v>45991.999305555553</v>
      </c>
      <c r="F2744" s="42" t="s">
        <v>475</v>
      </c>
    </row>
    <row r="2745" spans="1:6" x14ac:dyDescent="0.35">
      <c r="A2745" s="42" t="s">
        <v>57</v>
      </c>
      <c r="B2745" s="42">
        <v>759.92</v>
      </c>
      <c r="C2745" s="43">
        <v>0.08</v>
      </c>
      <c r="D2745" s="45">
        <v>45962</v>
      </c>
      <c r="E2745" s="45">
        <v>45991.999305555553</v>
      </c>
      <c r="F2745" s="42" t="s">
        <v>475</v>
      </c>
    </row>
    <row r="2746" spans="1:6" x14ac:dyDescent="0.35">
      <c r="A2746" s="42" t="s">
        <v>675</v>
      </c>
      <c r="B2746" s="42">
        <v>759.92</v>
      </c>
      <c r="C2746" s="43">
        <v>0.08</v>
      </c>
      <c r="D2746" s="45">
        <v>45962</v>
      </c>
      <c r="E2746" s="45">
        <v>45991.999305555553</v>
      </c>
      <c r="F2746" s="42" t="s">
        <v>475</v>
      </c>
    </row>
    <row r="2747" spans="1:6" x14ac:dyDescent="0.35">
      <c r="A2747" s="42" t="s">
        <v>814</v>
      </c>
      <c r="B2747" s="42">
        <v>959.92</v>
      </c>
      <c r="C2747" s="43">
        <v>0.08</v>
      </c>
      <c r="D2747" s="45">
        <v>45962</v>
      </c>
      <c r="E2747" s="45">
        <v>45991.999305555553</v>
      </c>
      <c r="F2747" s="42" t="s">
        <v>475</v>
      </c>
    </row>
    <row r="2748" spans="1:6" x14ac:dyDescent="0.35">
      <c r="A2748" s="42" t="s">
        <v>487</v>
      </c>
      <c r="B2748" s="42">
        <v>1329.92</v>
      </c>
      <c r="C2748" s="43">
        <v>0.08</v>
      </c>
      <c r="D2748" s="45">
        <v>45962</v>
      </c>
      <c r="E2748" s="45">
        <v>45991.999305555553</v>
      </c>
      <c r="F2748" s="42" t="s">
        <v>475</v>
      </c>
    </row>
    <row r="2749" spans="1:6" x14ac:dyDescent="0.35">
      <c r="A2749" s="42" t="s">
        <v>750</v>
      </c>
      <c r="B2749" s="42">
        <v>1329.92</v>
      </c>
      <c r="C2749" s="43">
        <v>0.08</v>
      </c>
      <c r="D2749" s="45">
        <v>45962</v>
      </c>
      <c r="E2749" s="45">
        <v>45991.999305555553</v>
      </c>
      <c r="F2749" s="42" t="s">
        <v>475</v>
      </c>
    </row>
    <row r="2750" spans="1:6" x14ac:dyDescent="0.35">
      <c r="A2750" s="42" t="s">
        <v>35</v>
      </c>
      <c r="B2750" s="42">
        <v>1429.92</v>
      </c>
      <c r="C2750" s="43">
        <v>0.08</v>
      </c>
      <c r="D2750" s="45">
        <v>45962</v>
      </c>
      <c r="E2750" s="45">
        <v>45991.999305555553</v>
      </c>
      <c r="F2750" s="42" t="s">
        <v>475</v>
      </c>
    </row>
    <row r="2751" spans="1:6" x14ac:dyDescent="0.35">
      <c r="A2751" s="42" t="s">
        <v>705</v>
      </c>
      <c r="B2751" s="42">
        <v>1429.92</v>
      </c>
      <c r="C2751" s="43">
        <v>0.08</v>
      </c>
      <c r="D2751" s="45">
        <v>45962</v>
      </c>
      <c r="E2751" s="45">
        <v>45991.999305555553</v>
      </c>
      <c r="F2751" s="42" t="s">
        <v>475</v>
      </c>
    </row>
    <row r="2752" spans="1:6" x14ac:dyDescent="0.35">
      <c r="A2752" s="42" t="s">
        <v>594</v>
      </c>
      <c r="B2752" s="42">
        <v>1619.92</v>
      </c>
      <c r="C2752" s="43">
        <v>0.08</v>
      </c>
      <c r="D2752" s="45">
        <v>45962</v>
      </c>
      <c r="E2752" s="45">
        <v>45991.999305555553</v>
      </c>
      <c r="F2752" s="42" t="s">
        <v>475</v>
      </c>
    </row>
    <row r="2753" spans="1:6" x14ac:dyDescent="0.35">
      <c r="A2753" s="42" t="s">
        <v>268</v>
      </c>
      <c r="B2753" s="42">
        <v>1619.92</v>
      </c>
      <c r="C2753" s="43">
        <v>0.08</v>
      </c>
      <c r="D2753" s="45">
        <v>45962</v>
      </c>
      <c r="E2753" s="45">
        <v>45991.999305555553</v>
      </c>
      <c r="F2753" s="42" t="s">
        <v>475</v>
      </c>
    </row>
    <row r="2754" spans="1:6" x14ac:dyDescent="0.35">
      <c r="A2754" s="42" t="s">
        <v>619</v>
      </c>
      <c r="B2754" s="42">
        <v>1619.92</v>
      </c>
      <c r="C2754" s="43">
        <v>0.08</v>
      </c>
      <c r="D2754" s="45">
        <v>45962</v>
      </c>
      <c r="E2754" s="45">
        <v>45991.999305555553</v>
      </c>
      <c r="F2754" s="42" t="s">
        <v>475</v>
      </c>
    </row>
    <row r="2755" spans="1:6" x14ac:dyDescent="0.35">
      <c r="A2755" s="42" t="s">
        <v>51</v>
      </c>
      <c r="B2755" s="42">
        <v>1999.92</v>
      </c>
      <c r="C2755" s="43">
        <v>0.08</v>
      </c>
      <c r="D2755" s="45">
        <v>45962</v>
      </c>
      <c r="E2755" s="45">
        <v>45991.999305555553</v>
      </c>
      <c r="F2755" s="42" t="s">
        <v>475</v>
      </c>
    </row>
    <row r="2756" spans="1:6" x14ac:dyDescent="0.35">
      <c r="A2756" s="42" t="s">
        <v>15</v>
      </c>
      <c r="B2756" s="42">
        <v>399.92</v>
      </c>
      <c r="C2756" s="43">
        <v>0.08</v>
      </c>
      <c r="D2756" s="45">
        <v>45962</v>
      </c>
      <c r="E2756" s="45">
        <v>45991.999305555553</v>
      </c>
      <c r="F2756" s="42" t="s">
        <v>475</v>
      </c>
    </row>
    <row r="2757" spans="1:6" x14ac:dyDescent="0.35">
      <c r="A2757" s="42" t="s">
        <v>16</v>
      </c>
      <c r="B2757" s="42">
        <v>399.92</v>
      </c>
      <c r="C2757" s="43">
        <v>0.08</v>
      </c>
      <c r="D2757" s="45">
        <v>45962</v>
      </c>
      <c r="E2757" s="45">
        <v>45991.999305555553</v>
      </c>
      <c r="F2757" s="42" t="s">
        <v>475</v>
      </c>
    </row>
    <row r="2758" spans="1:6" x14ac:dyDescent="0.35">
      <c r="A2758" s="42" t="s">
        <v>782</v>
      </c>
      <c r="B2758" s="42">
        <v>399.92</v>
      </c>
      <c r="C2758" s="43">
        <v>0.08</v>
      </c>
      <c r="D2758" s="45">
        <v>45962</v>
      </c>
      <c r="E2758" s="45">
        <v>45991.999305555553</v>
      </c>
      <c r="F2758" s="42" t="s">
        <v>475</v>
      </c>
    </row>
    <row r="2759" spans="1:6" x14ac:dyDescent="0.35">
      <c r="A2759" s="42" t="s">
        <v>783</v>
      </c>
      <c r="B2759" s="42">
        <v>399.92</v>
      </c>
      <c r="C2759" s="43">
        <v>0.08</v>
      </c>
      <c r="D2759" s="45">
        <v>45962</v>
      </c>
      <c r="E2759" s="45">
        <v>45991.999305555553</v>
      </c>
      <c r="F2759" s="42" t="s">
        <v>475</v>
      </c>
    </row>
    <row r="2760" spans="1:6" x14ac:dyDescent="0.35">
      <c r="A2760" s="42" t="s">
        <v>784</v>
      </c>
      <c r="B2760" s="42">
        <v>399.92</v>
      </c>
      <c r="C2760" s="43">
        <v>0.08</v>
      </c>
      <c r="D2760" s="45">
        <v>45962</v>
      </c>
      <c r="E2760" s="45">
        <v>45991.999305555553</v>
      </c>
      <c r="F2760" s="42" t="s">
        <v>475</v>
      </c>
    </row>
    <row r="2761" spans="1:6" x14ac:dyDescent="0.35">
      <c r="A2761" s="42" t="s">
        <v>852</v>
      </c>
      <c r="B2761" s="42">
        <v>399.92</v>
      </c>
      <c r="C2761" s="43">
        <v>0.08</v>
      </c>
      <c r="D2761" s="45">
        <v>45962</v>
      </c>
      <c r="E2761" s="45">
        <v>45991.999305555553</v>
      </c>
      <c r="F2761" s="42" t="s">
        <v>475</v>
      </c>
    </row>
    <row r="2762" spans="1:6" x14ac:dyDescent="0.35">
      <c r="A2762" s="42" t="s">
        <v>853</v>
      </c>
      <c r="B2762" s="42">
        <v>399.92</v>
      </c>
      <c r="C2762" s="43">
        <v>0.08</v>
      </c>
      <c r="D2762" s="45">
        <v>45962</v>
      </c>
      <c r="E2762" s="45">
        <v>45991.999305555553</v>
      </c>
      <c r="F2762" s="42" t="s">
        <v>475</v>
      </c>
    </row>
    <row r="2763" spans="1:6" x14ac:dyDescent="0.35">
      <c r="A2763" s="42" t="s">
        <v>854</v>
      </c>
      <c r="B2763" s="42">
        <v>399.92</v>
      </c>
      <c r="C2763" s="43">
        <v>0.08</v>
      </c>
      <c r="D2763" s="45">
        <v>45962</v>
      </c>
      <c r="E2763" s="45">
        <v>45991.999305555553</v>
      </c>
      <c r="F2763" s="42" t="s">
        <v>475</v>
      </c>
    </row>
    <row r="2764" spans="1:6" x14ac:dyDescent="0.35">
      <c r="A2764" s="42" t="s">
        <v>855</v>
      </c>
      <c r="B2764" s="42">
        <v>399.92</v>
      </c>
      <c r="C2764" s="43">
        <v>0.08</v>
      </c>
      <c r="D2764" s="45">
        <v>45962</v>
      </c>
      <c r="E2764" s="45">
        <v>45991.999305555553</v>
      </c>
      <c r="F2764" s="42" t="s">
        <v>475</v>
      </c>
    </row>
    <row r="2765" spans="1:6" x14ac:dyDescent="0.35">
      <c r="A2765" s="42" t="s">
        <v>891</v>
      </c>
      <c r="B2765" s="42">
        <v>399.92</v>
      </c>
      <c r="C2765" s="43">
        <v>0.08</v>
      </c>
      <c r="D2765" s="45">
        <v>45962</v>
      </c>
      <c r="E2765" s="45">
        <v>45991.999305555553</v>
      </c>
      <c r="F2765" s="42" t="s">
        <v>475</v>
      </c>
    </row>
    <row r="2766" spans="1:6" x14ac:dyDescent="0.35">
      <c r="A2766" s="42" t="s">
        <v>892</v>
      </c>
      <c r="B2766" s="42">
        <v>399.92</v>
      </c>
      <c r="C2766" s="43">
        <v>0.08</v>
      </c>
      <c r="D2766" s="45">
        <v>45962</v>
      </c>
      <c r="E2766" s="45">
        <v>45991.999305555553</v>
      </c>
      <c r="F2766" s="42" t="s">
        <v>475</v>
      </c>
    </row>
    <row r="2767" spans="1:6" x14ac:dyDescent="0.35">
      <c r="A2767" s="42" t="s">
        <v>582</v>
      </c>
      <c r="B2767" s="42">
        <v>499.92</v>
      </c>
      <c r="C2767" s="43">
        <v>0.08</v>
      </c>
      <c r="D2767" s="45">
        <v>45962</v>
      </c>
      <c r="E2767" s="45">
        <v>45991.999305555553</v>
      </c>
      <c r="F2767" s="42" t="s">
        <v>475</v>
      </c>
    </row>
    <row r="2768" spans="1:6" x14ac:dyDescent="0.35">
      <c r="A2768" s="42" t="s">
        <v>54</v>
      </c>
      <c r="B2768" s="42">
        <v>499.92</v>
      </c>
      <c r="C2768" s="43">
        <v>0.08</v>
      </c>
      <c r="D2768" s="45">
        <v>45962</v>
      </c>
      <c r="E2768" s="45">
        <v>45991.999305555553</v>
      </c>
      <c r="F2768" s="42" t="s">
        <v>475</v>
      </c>
    </row>
    <row r="2769" spans="1:6" x14ac:dyDescent="0.35">
      <c r="A2769" s="42" t="s">
        <v>79</v>
      </c>
      <c r="B2769" s="42">
        <v>499.92</v>
      </c>
      <c r="C2769" s="43">
        <v>0.08</v>
      </c>
      <c r="D2769" s="45">
        <v>45962</v>
      </c>
      <c r="E2769" s="45">
        <v>45991.999305555553</v>
      </c>
      <c r="F2769" s="42" t="s">
        <v>475</v>
      </c>
    </row>
    <row r="2770" spans="1:6" x14ac:dyDescent="0.35">
      <c r="A2770" s="42" t="s">
        <v>404</v>
      </c>
      <c r="B2770" s="42">
        <v>499.92</v>
      </c>
      <c r="C2770" s="43">
        <v>0.08</v>
      </c>
      <c r="D2770" s="45">
        <v>45962</v>
      </c>
      <c r="E2770" s="45">
        <v>45991.999305555553</v>
      </c>
      <c r="F2770" s="42" t="s">
        <v>475</v>
      </c>
    </row>
    <row r="2771" spans="1:6" x14ac:dyDescent="0.35">
      <c r="A2771" s="42" t="s">
        <v>550</v>
      </c>
      <c r="B2771" s="42">
        <v>689.92</v>
      </c>
      <c r="C2771" s="43">
        <v>0.08</v>
      </c>
      <c r="D2771" s="45">
        <v>45962</v>
      </c>
      <c r="E2771" s="45">
        <v>45991.999305555553</v>
      </c>
      <c r="F2771" s="42" t="s">
        <v>475</v>
      </c>
    </row>
    <row r="2772" spans="1:6" x14ac:dyDescent="0.35">
      <c r="A2772" s="42" t="s">
        <v>477</v>
      </c>
      <c r="B2772" s="42">
        <v>689.92</v>
      </c>
      <c r="C2772" s="43">
        <v>0.08</v>
      </c>
      <c r="D2772" s="45">
        <v>45962</v>
      </c>
      <c r="E2772" s="45">
        <v>45991.999305555553</v>
      </c>
      <c r="F2772" s="42" t="s">
        <v>475</v>
      </c>
    </row>
    <row r="2773" spans="1:6" x14ac:dyDescent="0.35">
      <c r="A2773" s="42" t="s">
        <v>478</v>
      </c>
      <c r="B2773" s="42">
        <v>689.92</v>
      </c>
      <c r="C2773" s="43">
        <v>0.08</v>
      </c>
      <c r="D2773" s="45">
        <v>45962</v>
      </c>
      <c r="E2773" s="45">
        <v>45991.999305555553</v>
      </c>
      <c r="F2773" s="42" t="s">
        <v>475</v>
      </c>
    </row>
    <row r="2774" spans="1:6" x14ac:dyDescent="0.35">
      <c r="A2774" s="42" t="s">
        <v>55</v>
      </c>
      <c r="B2774" s="42">
        <v>689.92</v>
      </c>
      <c r="C2774" s="43">
        <v>0.08</v>
      </c>
      <c r="D2774" s="45">
        <v>45962</v>
      </c>
      <c r="E2774" s="45">
        <v>45991.999305555553</v>
      </c>
      <c r="F2774" s="42" t="s">
        <v>475</v>
      </c>
    </row>
    <row r="2775" spans="1:6" x14ac:dyDescent="0.35">
      <c r="A2775" s="42" t="s">
        <v>29</v>
      </c>
      <c r="B2775" s="42">
        <v>689.92</v>
      </c>
      <c r="C2775" s="43">
        <v>0.08</v>
      </c>
      <c r="D2775" s="45">
        <v>45962</v>
      </c>
      <c r="E2775" s="45">
        <v>45991.999305555553</v>
      </c>
      <c r="F2775" s="42" t="s">
        <v>475</v>
      </c>
    </row>
    <row r="2776" spans="1:6" x14ac:dyDescent="0.35">
      <c r="A2776" s="42" t="s">
        <v>265</v>
      </c>
      <c r="B2776" s="42">
        <v>689.92</v>
      </c>
      <c r="C2776" s="43">
        <v>0.08</v>
      </c>
      <c r="D2776" s="45">
        <v>45962</v>
      </c>
      <c r="E2776" s="45">
        <v>45991.999305555553</v>
      </c>
      <c r="F2776" s="42" t="s">
        <v>475</v>
      </c>
    </row>
    <row r="2777" spans="1:6" x14ac:dyDescent="0.35">
      <c r="A2777" s="42" t="s">
        <v>785</v>
      </c>
      <c r="B2777" s="42">
        <v>689.92</v>
      </c>
      <c r="C2777" s="43">
        <v>0.08</v>
      </c>
      <c r="D2777" s="45">
        <v>45962</v>
      </c>
      <c r="E2777" s="45">
        <v>45991.999305555553</v>
      </c>
      <c r="F2777" s="42" t="s">
        <v>475</v>
      </c>
    </row>
    <row r="2778" spans="1:6" x14ac:dyDescent="0.35">
      <c r="A2778" s="42" t="s">
        <v>786</v>
      </c>
      <c r="B2778" s="42">
        <v>689.92</v>
      </c>
      <c r="C2778" s="43">
        <v>0.08</v>
      </c>
      <c r="D2778" s="45">
        <v>45962</v>
      </c>
      <c r="E2778" s="45">
        <v>45991.999305555553</v>
      </c>
      <c r="F2778" s="42" t="s">
        <v>475</v>
      </c>
    </row>
    <row r="2779" spans="1:6" x14ac:dyDescent="0.35">
      <c r="A2779" s="42" t="s">
        <v>787</v>
      </c>
      <c r="B2779" s="42">
        <v>689.92</v>
      </c>
      <c r="C2779" s="43">
        <v>0.08</v>
      </c>
      <c r="D2779" s="45">
        <v>45962</v>
      </c>
      <c r="E2779" s="45">
        <v>45991.999305555553</v>
      </c>
      <c r="F2779" s="42" t="s">
        <v>475</v>
      </c>
    </row>
    <row r="2780" spans="1:6" x14ac:dyDescent="0.35">
      <c r="A2780" s="42" t="s">
        <v>592</v>
      </c>
      <c r="B2780" s="42">
        <v>789.92</v>
      </c>
      <c r="C2780" s="43">
        <v>0.08</v>
      </c>
      <c r="D2780" s="45">
        <v>45962</v>
      </c>
      <c r="E2780" s="45">
        <v>45991.999305555553</v>
      </c>
      <c r="F2780" s="42" t="s">
        <v>475</v>
      </c>
    </row>
    <row r="2781" spans="1:6" x14ac:dyDescent="0.35">
      <c r="A2781" s="42" t="s">
        <v>504</v>
      </c>
      <c r="B2781" s="42">
        <v>1179.92</v>
      </c>
      <c r="C2781" s="43">
        <v>0.08</v>
      </c>
      <c r="D2781" s="45">
        <v>45962</v>
      </c>
      <c r="E2781" s="45">
        <v>45991.999305555553</v>
      </c>
      <c r="F2781" s="42" t="s">
        <v>475</v>
      </c>
    </row>
    <row r="2782" spans="1:6" x14ac:dyDescent="0.35">
      <c r="A2782" s="42" t="s">
        <v>606</v>
      </c>
      <c r="B2782" s="42">
        <v>1179.92</v>
      </c>
      <c r="C2782" s="43">
        <v>0.08</v>
      </c>
      <c r="D2782" s="45">
        <v>45962</v>
      </c>
      <c r="E2782" s="45">
        <v>45991.999305555553</v>
      </c>
      <c r="F2782" s="42" t="s">
        <v>475</v>
      </c>
    </row>
    <row r="2783" spans="1:6" x14ac:dyDescent="0.35">
      <c r="A2783" s="42" t="s">
        <v>624</v>
      </c>
      <c r="B2783" s="42">
        <v>1179.92</v>
      </c>
      <c r="C2783" s="43">
        <v>0.08</v>
      </c>
      <c r="D2783" s="45">
        <v>45962</v>
      </c>
      <c r="E2783" s="45">
        <v>45991.999305555553</v>
      </c>
      <c r="F2783" s="42" t="s">
        <v>475</v>
      </c>
    </row>
    <row r="2784" spans="1:6" x14ac:dyDescent="0.35">
      <c r="A2784" s="42" t="s">
        <v>61</v>
      </c>
      <c r="B2784" s="42">
        <v>1179.92</v>
      </c>
      <c r="C2784" s="43">
        <v>0.08</v>
      </c>
      <c r="D2784" s="45">
        <v>45962</v>
      </c>
      <c r="E2784" s="45">
        <v>45991.999305555553</v>
      </c>
      <c r="F2784" s="42" t="s">
        <v>475</v>
      </c>
    </row>
    <row r="2785" spans="1:6" x14ac:dyDescent="0.35">
      <c r="A2785" s="42" t="s">
        <v>304</v>
      </c>
      <c r="B2785" s="42">
        <v>1179.92</v>
      </c>
      <c r="C2785" s="43">
        <v>0.08</v>
      </c>
      <c r="D2785" s="45">
        <v>45962</v>
      </c>
      <c r="E2785" s="45">
        <v>45991.999305555553</v>
      </c>
      <c r="F2785" s="42" t="s">
        <v>475</v>
      </c>
    </row>
    <row r="2786" spans="1:6" x14ac:dyDescent="0.35">
      <c r="A2786" s="42" t="s">
        <v>667</v>
      </c>
      <c r="B2786" s="42">
        <v>1179.92</v>
      </c>
      <c r="C2786" s="43">
        <v>0.08</v>
      </c>
      <c r="D2786" s="45">
        <v>45962</v>
      </c>
      <c r="E2786" s="45">
        <v>45991.999305555553</v>
      </c>
      <c r="F2786" s="42" t="s">
        <v>475</v>
      </c>
    </row>
    <row r="2787" spans="1:6" x14ac:dyDescent="0.35">
      <c r="A2787" s="42" t="s">
        <v>724</v>
      </c>
      <c r="B2787" s="42">
        <v>1179.92</v>
      </c>
      <c r="C2787" s="43">
        <v>0.08</v>
      </c>
      <c r="D2787" s="45">
        <v>45962</v>
      </c>
      <c r="E2787" s="45">
        <v>45991.999305555553</v>
      </c>
      <c r="F2787" s="42" t="s">
        <v>475</v>
      </c>
    </row>
    <row r="2788" spans="1:6" x14ac:dyDescent="0.35">
      <c r="A2788" s="42" t="s">
        <v>725</v>
      </c>
      <c r="B2788" s="42">
        <v>1179.92</v>
      </c>
      <c r="C2788" s="43">
        <v>0.08</v>
      </c>
      <c r="D2788" s="45">
        <v>45962</v>
      </c>
      <c r="E2788" s="45">
        <v>45991.999305555553</v>
      </c>
      <c r="F2788" s="42" t="s">
        <v>475</v>
      </c>
    </row>
    <row r="2789" spans="1:6" x14ac:dyDescent="0.35">
      <c r="A2789" s="42" t="s">
        <v>726</v>
      </c>
      <c r="B2789" s="42">
        <v>1179.92</v>
      </c>
      <c r="C2789" s="43">
        <v>0.08</v>
      </c>
      <c r="D2789" s="45">
        <v>45962</v>
      </c>
      <c r="E2789" s="45">
        <v>45991.999305555553</v>
      </c>
      <c r="F2789" s="42" t="s">
        <v>475</v>
      </c>
    </row>
    <row r="2790" spans="1:6" x14ac:dyDescent="0.35">
      <c r="A2790" s="42" t="s">
        <v>727</v>
      </c>
      <c r="B2790" s="42">
        <v>1179.92</v>
      </c>
      <c r="C2790" s="43">
        <v>0.08</v>
      </c>
      <c r="D2790" s="45">
        <v>45962</v>
      </c>
      <c r="E2790" s="45">
        <v>45991.999305555553</v>
      </c>
      <c r="F2790" s="42" t="s">
        <v>475</v>
      </c>
    </row>
    <row r="2791" spans="1:6" x14ac:dyDescent="0.35">
      <c r="A2791" s="42" t="s">
        <v>134</v>
      </c>
      <c r="B2791" s="42">
        <v>1279.92</v>
      </c>
      <c r="C2791" s="43">
        <v>0.08</v>
      </c>
      <c r="D2791" s="45">
        <v>45962</v>
      </c>
      <c r="E2791" s="45">
        <v>45991.999305555553</v>
      </c>
      <c r="F2791" s="42" t="s">
        <v>475</v>
      </c>
    </row>
    <row r="2792" spans="1:6" x14ac:dyDescent="0.35">
      <c r="A2792" s="42" t="s">
        <v>530</v>
      </c>
      <c r="B2792" s="42">
        <v>1279.92</v>
      </c>
      <c r="C2792" s="43">
        <v>0.08</v>
      </c>
      <c r="D2792" s="45">
        <v>45962</v>
      </c>
      <c r="E2792" s="45">
        <v>45991.999305555553</v>
      </c>
      <c r="F2792" s="42" t="s">
        <v>475</v>
      </c>
    </row>
    <row r="2793" spans="1:6" x14ac:dyDescent="0.35">
      <c r="A2793" s="42" t="s">
        <v>671</v>
      </c>
      <c r="B2793" s="42">
        <v>1279.92</v>
      </c>
      <c r="C2793" s="43">
        <v>0.08</v>
      </c>
      <c r="D2793" s="45">
        <v>45962</v>
      </c>
      <c r="E2793" s="45">
        <v>45991.999305555553</v>
      </c>
      <c r="F2793" s="42" t="s">
        <v>475</v>
      </c>
    </row>
    <row r="2794" spans="1:6" x14ac:dyDescent="0.35">
      <c r="A2794" s="42" t="s">
        <v>780</v>
      </c>
      <c r="B2794" s="42">
        <v>1769.92</v>
      </c>
      <c r="C2794" s="43">
        <v>0.08</v>
      </c>
      <c r="D2794" s="45">
        <v>45962</v>
      </c>
      <c r="E2794" s="45">
        <v>45991.999305555553</v>
      </c>
      <c r="F2794" s="42" t="s">
        <v>475</v>
      </c>
    </row>
    <row r="2795" spans="1:6" x14ac:dyDescent="0.35">
      <c r="A2795" s="42" t="s">
        <v>406</v>
      </c>
      <c r="B2795" s="42">
        <v>1869.92</v>
      </c>
      <c r="C2795" s="43">
        <v>0.08</v>
      </c>
      <c r="D2795" s="45">
        <v>45962</v>
      </c>
      <c r="E2795" s="45">
        <v>45991.999305555553</v>
      </c>
      <c r="F2795" s="42" t="s">
        <v>475</v>
      </c>
    </row>
    <row r="2796" spans="1:6" x14ac:dyDescent="0.35">
      <c r="A2796" s="42" t="s">
        <v>670</v>
      </c>
      <c r="B2796" s="42">
        <v>1869.92</v>
      </c>
      <c r="C2796" s="43">
        <v>0.08</v>
      </c>
      <c r="D2796" s="45">
        <v>45962</v>
      </c>
      <c r="E2796" s="45">
        <v>45991.999305555553</v>
      </c>
      <c r="F2796" s="42" t="s">
        <v>475</v>
      </c>
    </row>
    <row r="2797" spans="1:6" x14ac:dyDescent="0.35">
      <c r="A2797" s="42" t="s">
        <v>804</v>
      </c>
      <c r="B2797" s="42">
        <v>1869.92</v>
      </c>
      <c r="C2797" s="43">
        <v>0.08</v>
      </c>
      <c r="D2797" s="45">
        <v>45962</v>
      </c>
      <c r="E2797" s="45">
        <v>45991.999305555553</v>
      </c>
      <c r="F2797" s="42" t="s">
        <v>475</v>
      </c>
    </row>
    <row r="2798" spans="1:6" x14ac:dyDescent="0.35">
      <c r="A2798" s="42" t="s">
        <v>806</v>
      </c>
      <c r="B2798" s="42">
        <v>1869.92</v>
      </c>
      <c r="C2798" s="43">
        <v>0.08</v>
      </c>
      <c r="D2798" s="45">
        <v>45962</v>
      </c>
      <c r="E2798" s="45">
        <v>45991.999305555553</v>
      </c>
      <c r="F2798" s="42" t="s">
        <v>475</v>
      </c>
    </row>
    <row r="2799" spans="1:6" x14ac:dyDescent="0.35">
      <c r="A2799" s="42" t="s">
        <v>841</v>
      </c>
      <c r="B2799" s="42">
        <v>1869.92</v>
      </c>
      <c r="C2799" s="43">
        <v>0.08</v>
      </c>
      <c r="D2799" s="45">
        <v>45962</v>
      </c>
      <c r="E2799" s="45">
        <v>45991.999305555553</v>
      </c>
      <c r="F2799" s="42" t="s">
        <v>475</v>
      </c>
    </row>
    <row r="2800" spans="1:6" x14ac:dyDescent="0.35">
      <c r="A2800" s="42" t="s">
        <v>842</v>
      </c>
      <c r="B2800" s="42">
        <v>1869.92</v>
      </c>
      <c r="C2800" s="43">
        <v>0.08</v>
      </c>
      <c r="D2800" s="45">
        <v>45962</v>
      </c>
      <c r="E2800" s="45">
        <v>45991.999305555553</v>
      </c>
      <c r="F2800" s="42" t="s">
        <v>475</v>
      </c>
    </row>
    <row r="2801" spans="1:6" x14ac:dyDescent="0.35">
      <c r="A2801" s="42" t="s">
        <v>843</v>
      </c>
      <c r="B2801" s="42">
        <v>1869.92</v>
      </c>
      <c r="C2801" s="43">
        <v>0.08</v>
      </c>
      <c r="D2801" s="45">
        <v>45962</v>
      </c>
      <c r="E2801" s="45">
        <v>45991.999305555553</v>
      </c>
      <c r="F2801" s="42" t="s">
        <v>475</v>
      </c>
    </row>
    <row r="2802" spans="1:6" x14ac:dyDescent="0.35">
      <c r="A2802" s="42" t="s">
        <v>547</v>
      </c>
      <c r="B2802" s="42">
        <v>219.92</v>
      </c>
      <c r="C2802" s="43">
        <v>0.08</v>
      </c>
      <c r="D2802" s="45">
        <v>45962</v>
      </c>
      <c r="E2802" s="45">
        <v>45991.999305555553</v>
      </c>
      <c r="F2802" s="42" t="s">
        <v>475</v>
      </c>
    </row>
    <row r="2803" spans="1:6" x14ac:dyDescent="0.35">
      <c r="A2803" s="42" t="s">
        <v>570</v>
      </c>
      <c r="B2803" s="42">
        <v>219.92</v>
      </c>
      <c r="C2803" s="43">
        <v>0.08</v>
      </c>
      <c r="D2803" s="45">
        <v>45962</v>
      </c>
      <c r="E2803" s="45">
        <v>45991.999305555553</v>
      </c>
      <c r="F2803" s="42" t="s">
        <v>475</v>
      </c>
    </row>
    <row r="2804" spans="1:6" x14ac:dyDescent="0.35">
      <c r="A2804" s="42" t="s">
        <v>554</v>
      </c>
      <c r="B2804" s="42">
        <v>319.92</v>
      </c>
      <c r="C2804" s="43">
        <v>0.08</v>
      </c>
      <c r="D2804" s="45">
        <v>45962</v>
      </c>
      <c r="E2804" s="45">
        <v>45991.999305555553</v>
      </c>
      <c r="F2804" s="42" t="s">
        <v>475</v>
      </c>
    </row>
    <row r="2805" spans="1:6" x14ac:dyDescent="0.35">
      <c r="A2805" s="42" t="s">
        <v>534</v>
      </c>
      <c r="B2805" s="42">
        <v>319.92</v>
      </c>
      <c r="C2805" s="43">
        <v>0.08</v>
      </c>
      <c r="D2805" s="45">
        <v>45962</v>
      </c>
      <c r="E2805" s="45">
        <v>45991.999305555553</v>
      </c>
      <c r="F2805" s="42" t="s">
        <v>475</v>
      </c>
    </row>
    <row r="2806" spans="1:6" x14ac:dyDescent="0.35">
      <c r="A2806" s="42" t="s">
        <v>171</v>
      </c>
      <c r="B2806" s="42">
        <v>419.92</v>
      </c>
      <c r="C2806" s="43">
        <v>0.08</v>
      </c>
      <c r="D2806" s="45">
        <v>45962</v>
      </c>
      <c r="E2806" s="45">
        <v>45991.999305555553</v>
      </c>
      <c r="F2806" s="42" t="s">
        <v>475</v>
      </c>
    </row>
    <row r="2807" spans="1:6" x14ac:dyDescent="0.35">
      <c r="A2807" s="42" t="s">
        <v>576</v>
      </c>
      <c r="B2807" s="42">
        <v>419.92</v>
      </c>
      <c r="C2807" s="43">
        <v>0.08</v>
      </c>
      <c r="D2807" s="45">
        <v>45962</v>
      </c>
      <c r="E2807" s="45">
        <v>45991.999305555553</v>
      </c>
      <c r="F2807" s="42" t="s">
        <v>475</v>
      </c>
    </row>
    <row r="2808" spans="1:6" x14ac:dyDescent="0.35">
      <c r="A2808" s="42" t="s">
        <v>844</v>
      </c>
      <c r="B2808" s="42">
        <v>419.92</v>
      </c>
      <c r="C2808" s="43">
        <v>0.08</v>
      </c>
      <c r="D2808" s="45">
        <v>45962</v>
      </c>
      <c r="E2808" s="45">
        <v>45991.999305555553</v>
      </c>
      <c r="F2808" s="42" t="s">
        <v>475</v>
      </c>
    </row>
    <row r="2809" spans="1:6" x14ac:dyDescent="0.35">
      <c r="A2809" s="42" t="s">
        <v>845</v>
      </c>
      <c r="B2809" s="42">
        <v>419.92</v>
      </c>
      <c r="C2809" s="43">
        <v>0.08</v>
      </c>
      <c r="D2809" s="45">
        <v>45962</v>
      </c>
      <c r="E2809" s="45">
        <v>45991.999305555553</v>
      </c>
      <c r="F2809" s="42" t="s">
        <v>475</v>
      </c>
    </row>
    <row r="2810" spans="1:6" x14ac:dyDescent="0.35">
      <c r="A2810" s="42" t="s">
        <v>111</v>
      </c>
      <c r="B2810" s="42">
        <v>519.92000000000007</v>
      </c>
      <c r="C2810" s="43">
        <v>0.08</v>
      </c>
      <c r="D2810" s="45">
        <v>45962</v>
      </c>
      <c r="E2810" s="45">
        <v>45991.999305555553</v>
      </c>
      <c r="F2810" s="42" t="s">
        <v>475</v>
      </c>
    </row>
    <row r="2811" spans="1:6" x14ac:dyDescent="0.35">
      <c r="A2811" s="42" t="s">
        <v>20</v>
      </c>
      <c r="B2811" s="42">
        <v>519.92000000000007</v>
      </c>
      <c r="C2811" s="43">
        <v>0.08</v>
      </c>
      <c r="D2811" s="45">
        <v>45962</v>
      </c>
      <c r="E2811" s="45">
        <v>45991.999305555553</v>
      </c>
      <c r="F2811" s="42" t="s">
        <v>475</v>
      </c>
    </row>
    <row r="2812" spans="1:6" x14ac:dyDescent="0.35">
      <c r="A2812" s="42" t="s">
        <v>602</v>
      </c>
      <c r="B2812" s="42">
        <v>519.92000000000007</v>
      </c>
      <c r="C2812" s="43">
        <v>0.08</v>
      </c>
      <c r="D2812" s="45">
        <v>45962</v>
      </c>
      <c r="E2812" s="45">
        <v>45991.999305555553</v>
      </c>
      <c r="F2812" s="42" t="s">
        <v>475</v>
      </c>
    </row>
    <row r="2813" spans="1:6" x14ac:dyDescent="0.35">
      <c r="A2813" s="42" t="s">
        <v>583</v>
      </c>
      <c r="B2813" s="42">
        <v>519.92000000000007</v>
      </c>
      <c r="C2813" s="43">
        <v>0.08</v>
      </c>
      <c r="D2813" s="45">
        <v>45962</v>
      </c>
      <c r="E2813" s="45">
        <v>45991.999305555553</v>
      </c>
      <c r="F2813" s="42" t="s">
        <v>475</v>
      </c>
    </row>
    <row r="2814" spans="1:6" x14ac:dyDescent="0.35">
      <c r="A2814" s="42" t="s">
        <v>529</v>
      </c>
      <c r="B2814" s="42">
        <v>519.92000000000007</v>
      </c>
      <c r="C2814" s="43">
        <v>0.08</v>
      </c>
      <c r="D2814" s="45">
        <v>45962</v>
      </c>
      <c r="E2814" s="45">
        <v>45991.999305555553</v>
      </c>
      <c r="F2814" s="42" t="s">
        <v>475</v>
      </c>
    </row>
    <row r="2815" spans="1:6" x14ac:dyDescent="0.35">
      <c r="A2815" s="42" t="s">
        <v>584</v>
      </c>
      <c r="B2815" s="42">
        <v>519.92000000000007</v>
      </c>
      <c r="C2815" s="43">
        <v>0.08</v>
      </c>
      <c r="D2815" s="45">
        <v>45962</v>
      </c>
      <c r="E2815" s="45">
        <v>45991.999305555553</v>
      </c>
      <c r="F2815" s="42" t="s">
        <v>475</v>
      </c>
    </row>
    <row r="2816" spans="1:6" x14ac:dyDescent="0.35">
      <c r="A2816" s="42" t="s">
        <v>19</v>
      </c>
      <c r="B2816" s="42">
        <v>519.92000000000007</v>
      </c>
      <c r="C2816" s="43">
        <v>0.08</v>
      </c>
      <c r="D2816" s="45">
        <v>45962</v>
      </c>
      <c r="E2816" s="45">
        <v>45991.999305555553</v>
      </c>
      <c r="F2816" s="42" t="s">
        <v>475</v>
      </c>
    </row>
    <row r="2817" spans="1:6" x14ac:dyDescent="0.35">
      <c r="A2817" s="42" t="s">
        <v>21</v>
      </c>
      <c r="B2817" s="42">
        <v>519.92000000000007</v>
      </c>
      <c r="C2817" s="43">
        <v>0.08</v>
      </c>
      <c r="D2817" s="45">
        <v>45962</v>
      </c>
      <c r="E2817" s="45">
        <v>45991.999305555553</v>
      </c>
      <c r="F2817" s="42" t="s">
        <v>475</v>
      </c>
    </row>
    <row r="2818" spans="1:6" x14ac:dyDescent="0.35">
      <c r="A2818" s="42" t="s">
        <v>71</v>
      </c>
      <c r="B2818" s="42">
        <v>519.92000000000007</v>
      </c>
      <c r="C2818" s="43">
        <v>0.08</v>
      </c>
      <c r="D2818" s="45">
        <v>45962</v>
      </c>
      <c r="E2818" s="45">
        <v>45991.999305555553</v>
      </c>
      <c r="F2818" s="42" t="s">
        <v>475</v>
      </c>
    </row>
    <row r="2819" spans="1:6" x14ac:dyDescent="0.35">
      <c r="A2819" s="42" t="s">
        <v>100</v>
      </c>
      <c r="B2819" s="42">
        <v>519.92000000000007</v>
      </c>
      <c r="C2819" s="43">
        <v>0.08</v>
      </c>
      <c r="D2819" s="45">
        <v>45962</v>
      </c>
      <c r="E2819" s="45">
        <v>45991.999305555553</v>
      </c>
      <c r="F2819" s="42" t="s">
        <v>475</v>
      </c>
    </row>
    <row r="2820" spans="1:6" x14ac:dyDescent="0.35">
      <c r="A2820" s="42" t="s">
        <v>833</v>
      </c>
      <c r="B2820" s="42">
        <v>519.92000000000007</v>
      </c>
      <c r="C2820" s="43">
        <v>0.08</v>
      </c>
      <c r="D2820" s="45">
        <v>45962</v>
      </c>
      <c r="E2820" s="45">
        <v>45991.999305555553</v>
      </c>
      <c r="F2820" s="42" t="s">
        <v>475</v>
      </c>
    </row>
    <row r="2821" spans="1:6" x14ac:dyDescent="0.35">
      <c r="A2821" s="42" t="s">
        <v>834</v>
      </c>
      <c r="B2821" s="42">
        <v>519.92000000000007</v>
      </c>
      <c r="C2821" s="43">
        <v>0.08</v>
      </c>
      <c r="D2821" s="45">
        <v>45962</v>
      </c>
      <c r="E2821" s="45">
        <v>45991.999305555553</v>
      </c>
      <c r="F2821" s="42" t="s">
        <v>475</v>
      </c>
    </row>
    <row r="2822" spans="1:6" x14ac:dyDescent="0.35">
      <c r="A2822" s="42" t="s">
        <v>835</v>
      </c>
      <c r="B2822" s="42">
        <v>519.92000000000007</v>
      </c>
      <c r="C2822" s="43">
        <v>0.08</v>
      </c>
      <c r="D2822" s="45">
        <v>45962</v>
      </c>
      <c r="E2822" s="45">
        <v>45991.999305555553</v>
      </c>
      <c r="F2822" s="42" t="s">
        <v>475</v>
      </c>
    </row>
    <row r="2823" spans="1:6" x14ac:dyDescent="0.35">
      <c r="A2823" s="42" t="s">
        <v>836</v>
      </c>
      <c r="B2823" s="42">
        <v>519.92000000000007</v>
      </c>
      <c r="C2823" s="43">
        <v>0.08</v>
      </c>
      <c r="D2823" s="45">
        <v>45962</v>
      </c>
      <c r="E2823" s="45">
        <v>45991.999305555553</v>
      </c>
      <c r="F2823" s="42" t="s">
        <v>475</v>
      </c>
    </row>
    <row r="2824" spans="1:6" x14ac:dyDescent="0.35">
      <c r="A2824" s="42" t="s">
        <v>837</v>
      </c>
      <c r="B2824" s="42">
        <v>519.92000000000007</v>
      </c>
      <c r="C2824" s="43">
        <v>0.08</v>
      </c>
      <c r="D2824" s="45">
        <v>45962</v>
      </c>
      <c r="E2824" s="45">
        <v>45991.999305555553</v>
      </c>
      <c r="F2824" s="42" t="s">
        <v>475</v>
      </c>
    </row>
    <row r="2825" spans="1:6" x14ac:dyDescent="0.35">
      <c r="A2825" s="42" t="s">
        <v>838</v>
      </c>
      <c r="B2825" s="42">
        <v>519.92000000000007</v>
      </c>
      <c r="C2825" s="43">
        <v>0.08</v>
      </c>
      <c r="D2825" s="45">
        <v>45962</v>
      </c>
      <c r="E2825" s="45">
        <v>45991.999305555553</v>
      </c>
      <c r="F2825" s="42" t="s">
        <v>475</v>
      </c>
    </row>
    <row r="2826" spans="1:6" x14ac:dyDescent="0.35">
      <c r="A2826" s="42" t="s">
        <v>839</v>
      </c>
      <c r="B2826" s="42">
        <v>519.92000000000007</v>
      </c>
      <c r="C2826" s="43">
        <v>0.08</v>
      </c>
      <c r="D2826" s="45">
        <v>45962</v>
      </c>
      <c r="E2826" s="45">
        <v>45991.999305555553</v>
      </c>
      <c r="F2826" s="42" t="s">
        <v>475</v>
      </c>
    </row>
    <row r="2827" spans="1:6" x14ac:dyDescent="0.35">
      <c r="A2827" s="42" t="s">
        <v>840</v>
      </c>
      <c r="B2827" s="42">
        <v>519.92000000000007</v>
      </c>
      <c r="C2827" s="43">
        <v>0.08</v>
      </c>
      <c r="D2827" s="45">
        <v>45962</v>
      </c>
      <c r="E2827" s="45">
        <v>45991.999305555553</v>
      </c>
      <c r="F2827" s="42" t="s">
        <v>475</v>
      </c>
    </row>
    <row r="2828" spans="1:6" x14ac:dyDescent="0.35">
      <c r="A2828" s="42" t="s">
        <v>856</v>
      </c>
      <c r="B2828" s="42">
        <v>519.92000000000007</v>
      </c>
      <c r="C2828" s="43">
        <v>0.08</v>
      </c>
      <c r="D2828" s="45">
        <v>45962</v>
      </c>
      <c r="E2828" s="45">
        <v>45991.999305555553</v>
      </c>
      <c r="F2828" s="42" t="s">
        <v>475</v>
      </c>
    </row>
    <row r="2829" spans="1:6" x14ac:dyDescent="0.35">
      <c r="A2829" s="42" t="s">
        <v>857</v>
      </c>
      <c r="B2829" s="42">
        <v>519.92000000000007</v>
      </c>
      <c r="C2829" s="43">
        <v>0.08</v>
      </c>
      <c r="D2829" s="45">
        <v>45962</v>
      </c>
      <c r="E2829" s="45">
        <v>45991.999305555553</v>
      </c>
      <c r="F2829" s="42" t="s">
        <v>475</v>
      </c>
    </row>
    <row r="2830" spans="1:6" x14ac:dyDescent="0.35">
      <c r="A2830" s="42" t="s">
        <v>858</v>
      </c>
      <c r="B2830" s="42">
        <v>519.92000000000007</v>
      </c>
      <c r="C2830" s="43">
        <v>0.08</v>
      </c>
      <c r="D2830" s="45">
        <v>45962</v>
      </c>
      <c r="E2830" s="45">
        <v>45991.999305555553</v>
      </c>
      <c r="F2830" s="42" t="s">
        <v>475</v>
      </c>
    </row>
    <row r="2831" spans="1:6" x14ac:dyDescent="0.35">
      <c r="A2831" s="42" t="s">
        <v>859</v>
      </c>
      <c r="B2831" s="42">
        <v>519.92000000000007</v>
      </c>
      <c r="C2831" s="43">
        <v>0.08</v>
      </c>
      <c r="D2831" s="45">
        <v>45962</v>
      </c>
      <c r="E2831" s="45">
        <v>45991.999305555553</v>
      </c>
      <c r="F2831" s="42" t="s">
        <v>475</v>
      </c>
    </row>
    <row r="2832" spans="1:6" x14ac:dyDescent="0.35">
      <c r="A2832" s="42" t="s">
        <v>860</v>
      </c>
      <c r="B2832" s="42">
        <v>519.92000000000007</v>
      </c>
      <c r="C2832" s="43">
        <v>0.08</v>
      </c>
      <c r="D2832" s="45">
        <v>45962</v>
      </c>
      <c r="E2832" s="45">
        <v>45991.999305555553</v>
      </c>
      <c r="F2832" s="42" t="s">
        <v>475</v>
      </c>
    </row>
    <row r="2833" spans="1:6" x14ac:dyDescent="0.35">
      <c r="A2833" s="42" t="s">
        <v>861</v>
      </c>
      <c r="B2833" s="42">
        <v>519.92000000000007</v>
      </c>
      <c r="C2833" s="43">
        <v>0.08</v>
      </c>
      <c r="D2833" s="45">
        <v>45962</v>
      </c>
      <c r="E2833" s="45">
        <v>45991.999305555553</v>
      </c>
      <c r="F2833" s="42" t="s">
        <v>475</v>
      </c>
    </row>
    <row r="2834" spans="1:6" x14ac:dyDescent="0.35">
      <c r="A2834" s="42" t="s">
        <v>862</v>
      </c>
      <c r="B2834" s="42">
        <v>519.92000000000007</v>
      </c>
      <c r="C2834" s="43">
        <v>0.08</v>
      </c>
      <c r="D2834" s="45">
        <v>45962</v>
      </c>
      <c r="E2834" s="45">
        <v>45991.999305555553</v>
      </c>
      <c r="F2834" s="42" t="s">
        <v>475</v>
      </c>
    </row>
    <row r="2835" spans="1:6" x14ac:dyDescent="0.35">
      <c r="A2835" s="42" t="s">
        <v>890</v>
      </c>
      <c r="B2835" s="42">
        <v>519.92000000000007</v>
      </c>
      <c r="C2835" s="43">
        <v>0.08</v>
      </c>
      <c r="D2835" s="45">
        <v>45962</v>
      </c>
      <c r="E2835" s="45">
        <v>45991.999305555553</v>
      </c>
      <c r="F2835" s="42" t="s">
        <v>475</v>
      </c>
    </row>
    <row r="2836" spans="1:6" x14ac:dyDescent="0.35">
      <c r="A2836" s="42" t="s">
        <v>528</v>
      </c>
      <c r="B2836" s="42">
        <v>619.91999999999996</v>
      </c>
      <c r="C2836" s="43">
        <v>0.08</v>
      </c>
      <c r="D2836" s="45">
        <v>45962</v>
      </c>
      <c r="E2836" s="45">
        <v>45991.999305555553</v>
      </c>
      <c r="F2836" s="42" t="s">
        <v>475</v>
      </c>
    </row>
    <row r="2837" spans="1:6" x14ac:dyDescent="0.35">
      <c r="A2837" s="42" t="s">
        <v>543</v>
      </c>
      <c r="B2837" s="42">
        <v>619.91999999999996</v>
      </c>
      <c r="C2837" s="43">
        <v>0.08</v>
      </c>
      <c r="D2837" s="45">
        <v>45962</v>
      </c>
      <c r="E2837" s="45">
        <v>45991.999305555553</v>
      </c>
      <c r="F2837" s="42" t="s">
        <v>475</v>
      </c>
    </row>
    <row r="2838" spans="1:6" x14ac:dyDescent="0.35">
      <c r="A2838" s="42" t="s">
        <v>448</v>
      </c>
      <c r="B2838" s="42">
        <v>619.91999999999996</v>
      </c>
      <c r="C2838" s="43">
        <v>0.08</v>
      </c>
      <c r="D2838" s="45">
        <v>45962</v>
      </c>
      <c r="E2838" s="45">
        <v>45991.999305555553</v>
      </c>
      <c r="F2838" s="42" t="s">
        <v>475</v>
      </c>
    </row>
    <row r="2839" spans="1:6" x14ac:dyDescent="0.35">
      <c r="A2839" s="42" t="s">
        <v>588</v>
      </c>
      <c r="B2839" s="42">
        <v>619.91999999999996</v>
      </c>
      <c r="C2839" s="43">
        <v>0.08</v>
      </c>
      <c r="D2839" s="45">
        <v>45962</v>
      </c>
      <c r="E2839" s="45">
        <v>45991.999305555553</v>
      </c>
      <c r="F2839" s="42" t="s">
        <v>475</v>
      </c>
    </row>
    <row r="2840" spans="1:6" x14ac:dyDescent="0.35">
      <c r="A2840" s="42" t="s">
        <v>589</v>
      </c>
      <c r="B2840" s="42">
        <v>619.91999999999996</v>
      </c>
      <c r="C2840" s="43">
        <v>0.08</v>
      </c>
      <c r="D2840" s="45">
        <v>45962</v>
      </c>
      <c r="E2840" s="45">
        <v>45991.999305555553</v>
      </c>
      <c r="F2840" s="42" t="s">
        <v>475</v>
      </c>
    </row>
    <row r="2841" spans="1:6" x14ac:dyDescent="0.35">
      <c r="A2841" s="42" t="s">
        <v>605</v>
      </c>
      <c r="B2841" s="42">
        <v>619.91999999999996</v>
      </c>
      <c r="C2841" s="43">
        <v>0.08</v>
      </c>
      <c r="D2841" s="45">
        <v>45962</v>
      </c>
      <c r="E2841" s="45">
        <v>45991.999305555553</v>
      </c>
      <c r="F2841" s="42" t="s">
        <v>475</v>
      </c>
    </row>
    <row r="2842" spans="1:6" x14ac:dyDescent="0.35">
      <c r="A2842" s="42" t="s">
        <v>622</v>
      </c>
      <c r="B2842" s="42">
        <v>619.91999999999996</v>
      </c>
      <c r="C2842" s="43">
        <v>0.08</v>
      </c>
      <c r="D2842" s="45">
        <v>45962</v>
      </c>
      <c r="E2842" s="45">
        <v>45991.999305555553</v>
      </c>
      <c r="F2842" s="42" t="s">
        <v>475</v>
      </c>
    </row>
    <row r="2843" spans="1:6" x14ac:dyDescent="0.35">
      <c r="A2843" s="42" t="s">
        <v>824</v>
      </c>
      <c r="B2843" s="42">
        <v>619.91999999999996</v>
      </c>
      <c r="C2843" s="43">
        <v>0.08</v>
      </c>
      <c r="D2843" s="45">
        <v>45962</v>
      </c>
      <c r="E2843" s="45">
        <v>45991.999305555553</v>
      </c>
      <c r="F2843" s="42" t="s">
        <v>475</v>
      </c>
    </row>
    <row r="2844" spans="1:6" x14ac:dyDescent="0.35">
      <c r="A2844" s="42" t="s">
        <v>825</v>
      </c>
      <c r="B2844" s="42">
        <v>619.91999999999996</v>
      </c>
      <c r="C2844" s="43">
        <v>0.08</v>
      </c>
      <c r="D2844" s="45">
        <v>45962</v>
      </c>
      <c r="E2844" s="45">
        <v>45991.999305555553</v>
      </c>
      <c r="F2844" s="42" t="s">
        <v>475</v>
      </c>
    </row>
    <row r="2845" spans="1:6" x14ac:dyDescent="0.35">
      <c r="A2845" s="42" t="s">
        <v>826</v>
      </c>
      <c r="B2845" s="42">
        <v>619.91999999999996</v>
      </c>
      <c r="C2845" s="43">
        <v>0.08</v>
      </c>
      <c r="D2845" s="45">
        <v>45962</v>
      </c>
      <c r="E2845" s="45">
        <v>45991.999305555553</v>
      </c>
      <c r="F2845" s="42" t="s">
        <v>475</v>
      </c>
    </row>
    <row r="2846" spans="1:6" x14ac:dyDescent="0.35">
      <c r="A2846" s="42" t="s">
        <v>827</v>
      </c>
      <c r="B2846" s="42">
        <v>619.91999999999996</v>
      </c>
      <c r="C2846" s="43">
        <v>0.08</v>
      </c>
      <c r="D2846" s="45">
        <v>45962</v>
      </c>
      <c r="E2846" s="45">
        <v>45991.999305555553</v>
      </c>
      <c r="F2846" s="42" t="s">
        <v>475</v>
      </c>
    </row>
    <row r="2847" spans="1:6" x14ac:dyDescent="0.35">
      <c r="A2847" s="42" t="s">
        <v>828</v>
      </c>
      <c r="B2847" s="42">
        <v>619.91999999999996</v>
      </c>
      <c r="C2847" s="43">
        <v>0.08</v>
      </c>
      <c r="D2847" s="45">
        <v>45962</v>
      </c>
      <c r="E2847" s="45">
        <v>45991.999305555553</v>
      </c>
      <c r="F2847" s="42" t="s">
        <v>475</v>
      </c>
    </row>
    <row r="2848" spans="1:6" x14ac:dyDescent="0.35">
      <c r="A2848" s="42" t="s">
        <v>829</v>
      </c>
      <c r="B2848" s="42">
        <v>619.91999999999996</v>
      </c>
      <c r="C2848" s="43">
        <v>0.08</v>
      </c>
      <c r="D2848" s="45">
        <v>45962</v>
      </c>
      <c r="E2848" s="45">
        <v>45991.999305555553</v>
      </c>
      <c r="F2848" s="42" t="s">
        <v>475</v>
      </c>
    </row>
    <row r="2849" spans="1:6" x14ac:dyDescent="0.35">
      <c r="A2849" s="42" t="s">
        <v>502</v>
      </c>
      <c r="B2849" s="42">
        <v>1119.92</v>
      </c>
      <c r="C2849" s="43">
        <v>0.08</v>
      </c>
      <c r="D2849" s="45">
        <v>45962</v>
      </c>
      <c r="E2849" s="45">
        <v>45991.999305555553</v>
      </c>
      <c r="F2849" s="42" t="s">
        <v>475</v>
      </c>
    </row>
    <row r="2850" spans="1:6" x14ac:dyDescent="0.35">
      <c r="A2850" s="42" t="s">
        <v>503</v>
      </c>
      <c r="B2850" s="42">
        <v>1119.92</v>
      </c>
      <c r="C2850" s="43">
        <v>0.08</v>
      </c>
      <c r="D2850" s="45">
        <v>45962</v>
      </c>
      <c r="E2850" s="45">
        <v>45991.999305555553</v>
      </c>
      <c r="F2850" s="42" t="s">
        <v>475</v>
      </c>
    </row>
    <row r="2851" spans="1:6" x14ac:dyDescent="0.35">
      <c r="A2851" s="42" t="s">
        <v>267</v>
      </c>
      <c r="B2851" s="42">
        <v>1119.92</v>
      </c>
      <c r="C2851" s="43">
        <v>0.08</v>
      </c>
      <c r="D2851" s="45">
        <v>45962</v>
      </c>
      <c r="E2851" s="45">
        <v>45991.999305555553</v>
      </c>
      <c r="F2851" s="42" t="s">
        <v>475</v>
      </c>
    </row>
    <row r="2852" spans="1:6" x14ac:dyDescent="0.35">
      <c r="A2852" s="42" t="s">
        <v>88</v>
      </c>
      <c r="B2852" s="42">
        <v>1119.92</v>
      </c>
      <c r="C2852" s="43">
        <v>0.08</v>
      </c>
      <c r="D2852" s="45">
        <v>45962</v>
      </c>
      <c r="E2852" s="45">
        <v>45991.999305555553</v>
      </c>
      <c r="F2852" s="42" t="s">
        <v>475</v>
      </c>
    </row>
    <row r="2853" spans="1:6" x14ac:dyDescent="0.35">
      <c r="A2853" s="42" t="s">
        <v>457</v>
      </c>
      <c r="B2853" s="42">
        <v>1119.92</v>
      </c>
      <c r="C2853" s="43">
        <v>0.08</v>
      </c>
      <c r="D2853" s="45">
        <v>45962</v>
      </c>
      <c r="E2853" s="45">
        <v>45991.999305555553</v>
      </c>
      <c r="F2853" s="42" t="s">
        <v>475</v>
      </c>
    </row>
    <row r="2854" spans="1:6" x14ac:dyDescent="0.35">
      <c r="A2854" s="42" t="s">
        <v>620</v>
      </c>
      <c r="B2854" s="42">
        <v>1119.92</v>
      </c>
      <c r="C2854" s="43">
        <v>0.08</v>
      </c>
      <c r="D2854" s="45">
        <v>45962</v>
      </c>
      <c r="E2854" s="45">
        <v>45991.999305555553</v>
      </c>
      <c r="F2854" s="42" t="s">
        <v>475</v>
      </c>
    </row>
    <row r="2855" spans="1:6" x14ac:dyDescent="0.35">
      <c r="A2855" s="42" t="s">
        <v>650</v>
      </c>
      <c r="B2855" s="42">
        <v>1119.92</v>
      </c>
      <c r="C2855" s="43">
        <v>0.08</v>
      </c>
      <c r="D2855" s="45">
        <v>45962</v>
      </c>
      <c r="E2855" s="45">
        <v>45991.999305555553</v>
      </c>
      <c r="F2855" s="42" t="s">
        <v>475</v>
      </c>
    </row>
    <row r="2856" spans="1:6" x14ac:dyDescent="0.35">
      <c r="A2856" s="42" t="s">
        <v>674</v>
      </c>
      <c r="B2856" s="42">
        <v>1119.92</v>
      </c>
      <c r="C2856" s="43">
        <v>0.08</v>
      </c>
      <c r="D2856" s="45">
        <v>45962</v>
      </c>
      <c r="E2856" s="45">
        <v>45991.999305555553</v>
      </c>
      <c r="F2856" s="42" t="s">
        <v>475</v>
      </c>
    </row>
    <row r="2857" spans="1:6" x14ac:dyDescent="0.35">
      <c r="A2857" s="42" t="s">
        <v>722</v>
      </c>
      <c r="B2857" s="42">
        <v>1119.92</v>
      </c>
      <c r="C2857" s="43">
        <v>0.08</v>
      </c>
      <c r="D2857" s="45">
        <v>45962</v>
      </c>
      <c r="E2857" s="45">
        <v>45991.999305555553</v>
      </c>
      <c r="F2857" s="42" t="s">
        <v>475</v>
      </c>
    </row>
    <row r="2858" spans="1:6" x14ac:dyDescent="0.35">
      <c r="A2858" s="42" t="s">
        <v>723</v>
      </c>
      <c r="B2858" s="42">
        <v>1119.92</v>
      </c>
      <c r="C2858" s="43">
        <v>0.08</v>
      </c>
      <c r="D2858" s="45">
        <v>45962</v>
      </c>
      <c r="E2858" s="45">
        <v>45991.999305555553</v>
      </c>
      <c r="F2858" s="42" t="s">
        <v>475</v>
      </c>
    </row>
    <row r="2859" spans="1:6" x14ac:dyDescent="0.35">
      <c r="A2859" s="42" t="s">
        <v>488</v>
      </c>
      <c r="B2859" s="42">
        <v>1319.92</v>
      </c>
      <c r="C2859" s="43">
        <v>0.08</v>
      </c>
      <c r="D2859" s="45">
        <v>45962</v>
      </c>
      <c r="E2859" s="45">
        <v>45991.999305555553</v>
      </c>
      <c r="F2859" s="42" t="s">
        <v>475</v>
      </c>
    </row>
    <row r="2860" spans="1:6" x14ac:dyDescent="0.35">
      <c r="A2860" s="42" t="s">
        <v>104</v>
      </c>
      <c r="B2860" s="42">
        <v>1319.92</v>
      </c>
      <c r="C2860" s="43">
        <v>0.08</v>
      </c>
      <c r="D2860" s="45">
        <v>45962</v>
      </c>
      <c r="E2860" s="45">
        <v>45991.999305555553</v>
      </c>
      <c r="F2860" s="42" t="s">
        <v>475</v>
      </c>
    </row>
    <row r="2861" spans="1:6" x14ac:dyDescent="0.35">
      <c r="A2861" s="42" t="s">
        <v>494</v>
      </c>
      <c r="B2861" s="42">
        <v>1419.92</v>
      </c>
      <c r="C2861" s="43">
        <v>0.08</v>
      </c>
      <c r="D2861" s="45">
        <v>45962</v>
      </c>
      <c r="E2861" s="45">
        <v>45991.999305555553</v>
      </c>
      <c r="F2861" s="42" t="s">
        <v>475</v>
      </c>
    </row>
    <row r="2862" spans="1:6" x14ac:dyDescent="0.35">
      <c r="A2862" s="42" t="s">
        <v>531</v>
      </c>
      <c r="B2862" s="42">
        <v>1419.92</v>
      </c>
      <c r="C2862" s="43">
        <v>0.08</v>
      </c>
      <c r="D2862" s="45">
        <v>45962</v>
      </c>
      <c r="E2862" s="45">
        <v>45991.999305555553</v>
      </c>
      <c r="F2862" s="42" t="s">
        <v>475</v>
      </c>
    </row>
    <row r="2863" spans="1:6" x14ac:dyDescent="0.35">
      <c r="A2863" s="42" t="s">
        <v>63</v>
      </c>
      <c r="B2863" s="42">
        <v>1419.92</v>
      </c>
      <c r="C2863" s="43">
        <v>0.08</v>
      </c>
      <c r="D2863" s="45">
        <v>45962</v>
      </c>
      <c r="E2863" s="45">
        <v>45991.999305555553</v>
      </c>
      <c r="F2863" s="42" t="s">
        <v>475</v>
      </c>
    </row>
    <row r="2864" spans="1:6" x14ac:dyDescent="0.35">
      <c r="A2864" s="42" t="s">
        <v>65</v>
      </c>
      <c r="B2864" s="42">
        <v>1419.92</v>
      </c>
      <c r="C2864" s="43">
        <v>0.08</v>
      </c>
      <c r="D2864" s="45">
        <v>45962</v>
      </c>
      <c r="E2864" s="45">
        <v>45991.999305555553</v>
      </c>
      <c r="F2864" s="42" t="s">
        <v>475</v>
      </c>
    </row>
    <row r="2865" spans="1:6" x14ac:dyDescent="0.35">
      <c r="A2865" s="42" t="s">
        <v>276</v>
      </c>
      <c r="B2865" s="42">
        <v>1419.92</v>
      </c>
      <c r="C2865" s="43">
        <v>0.08</v>
      </c>
      <c r="D2865" s="45">
        <v>45962</v>
      </c>
      <c r="E2865" s="45">
        <v>45991.999305555553</v>
      </c>
      <c r="F2865" s="42" t="s">
        <v>475</v>
      </c>
    </row>
    <row r="2866" spans="1:6" x14ac:dyDescent="0.35">
      <c r="A2866" s="42" t="s">
        <v>807</v>
      </c>
      <c r="B2866" s="42">
        <v>1419.92</v>
      </c>
      <c r="C2866" s="43">
        <v>0.08</v>
      </c>
      <c r="D2866" s="45">
        <v>45962</v>
      </c>
      <c r="E2866" s="45">
        <v>45991.999305555553</v>
      </c>
      <c r="F2866" s="42" t="s">
        <v>475</v>
      </c>
    </row>
    <row r="2867" spans="1:6" x14ac:dyDescent="0.35">
      <c r="A2867" s="42" t="s">
        <v>669</v>
      </c>
      <c r="B2867" s="42">
        <v>2219.92</v>
      </c>
      <c r="C2867" s="43">
        <v>0.08</v>
      </c>
      <c r="D2867" s="45">
        <v>45962</v>
      </c>
      <c r="E2867" s="45">
        <v>45991.999305555553</v>
      </c>
      <c r="F2867" s="42" t="s">
        <v>475</v>
      </c>
    </row>
    <row r="2868" spans="1:6" x14ac:dyDescent="0.35">
      <c r="A2868" s="42" t="s">
        <v>803</v>
      </c>
      <c r="B2868" s="42">
        <v>1839.92</v>
      </c>
      <c r="C2868" s="43">
        <v>0.08</v>
      </c>
      <c r="D2868" s="45">
        <v>45962</v>
      </c>
      <c r="E2868" s="45">
        <v>45991.999305555553</v>
      </c>
      <c r="F2868" s="42" t="s">
        <v>475</v>
      </c>
    </row>
    <row r="2869" spans="1:6" x14ac:dyDescent="0.35">
      <c r="A2869" s="42" t="s">
        <v>811</v>
      </c>
      <c r="B2869" s="42">
        <v>1839.92</v>
      </c>
      <c r="C2869" s="43">
        <v>0.08</v>
      </c>
      <c r="D2869" s="45">
        <v>45962</v>
      </c>
      <c r="E2869" s="45">
        <v>45991.999305555553</v>
      </c>
      <c r="F2869" s="42" t="s">
        <v>475</v>
      </c>
    </row>
    <row r="2870" spans="1:6" x14ac:dyDescent="0.35">
      <c r="A2870" s="42" t="s">
        <v>643</v>
      </c>
      <c r="B2870" s="42">
        <v>1939.92</v>
      </c>
      <c r="C2870" s="43">
        <v>0.08</v>
      </c>
      <c r="D2870" s="45">
        <v>45962</v>
      </c>
      <c r="E2870" s="45">
        <v>45991.999305555553</v>
      </c>
      <c r="F2870" s="42" t="s">
        <v>475</v>
      </c>
    </row>
    <row r="2871" spans="1:6" x14ac:dyDescent="0.35">
      <c r="A2871" s="42" t="s">
        <v>812</v>
      </c>
      <c r="B2871" s="42">
        <v>1939.92</v>
      </c>
      <c r="C2871" s="43">
        <v>0.08</v>
      </c>
      <c r="D2871" s="45">
        <v>45962</v>
      </c>
      <c r="E2871" s="45">
        <v>45991.999305555553</v>
      </c>
      <c r="F2871" s="42" t="s">
        <v>475</v>
      </c>
    </row>
    <row r="2872" spans="1:6" x14ac:dyDescent="0.35">
      <c r="A2872" s="42" t="s">
        <v>327</v>
      </c>
      <c r="B2872" s="42">
        <v>2249.92</v>
      </c>
      <c r="C2872" s="43">
        <v>0.08</v>
      </c>
      <c r="D2872" s="45">
        <v>45962</v>
      </c>
      <c r="E2872" s="45">
        <v>45991.999305555553</v>
      </c>
      <c r="F2872" s="42" t="s">
        <v>475</v>
      </c>
    </row>
    <row r="2873" spans="1:6" x14ac:dyDescent="0.35">
      <c r="A2873" s="42" t="s">
        <v>45</v>
      </c>
      <c r="B2873" s="42">
        <v>429.92</v>
      </c>
      <c r="C2873" s="43">
        <v>0.08</v>
      </c>
      <c r="D2873" s="45">
        <v>45962</v>
      </c>
      <c r="E2873" s="45">
        <v>45991.999305555553</v>
      </c>
      <c r="F2873" s="42" t="s">
        <v>475</v>
      </c>
    </row>
    <row r="2874" spans="1:6" x14ac:dyDescent="0.35">
      <c r="A2874" s="42" t="s">
        <v>587</v>
      </c>
      <c r="B2874" s="42">
        <v>559.91999999999996</v>
      </c>
      <c r="C2874" s="43">
        <v>0.08</v>
      </c>
      <c r="D2874" s="45">
        <v>45962</v>
      </c>
      <c r="E2874" s="45">
        <v>45991.999305555553</v>
      </c>
      <c r="F2874" s="42" t="s">
        <v>475</v>
      </c>
    </row>
    <row r="2875" spans="1:6" x14ac:dyDescent="0.35">
      <c r="A2875" s="42" t="s">
        <v>485</v>
      </c>
      <c r="B2875" s="42">
        <v>999.92</v>
      </c>
      <c r="C2875" s="43">
        <v>0.08</v>
      </c>
      <c r="D2875" s="45">
        <v>45962</v>
      </c>
      <c r="E2875" s="45">
        <v>45991.999305555553</v>
      </c>
      <c r="F2875" s="42" t="s">
        <v>475</v>
      </c>
    </row>
    <row r="2876" spans="1:6" x14ac:dyDescent="0.35">
      <c r="A2876" s="42" t="s">
        <v>568</v>
      </c>
      <c r="B2876" s="42">
        <v>249.92</v>
      </c>
      <c r="C2876" s="43">
        <v>0.08</v>
      </c>
      <c r="D2876" s="45">
        <v>45962</v>
      </c>
      <c r="E2876" s="45">
        <v>45991.999305555553</v>
      </c>
      <c r="F2876" s="42" t="s">
        <v>475</v>
      </c>
    </row>
    <row r="2877" spans="1:6" x14ac:dyDescent="0.35">
      <c r="A2877" s="42" t="s">
        <v>506</v>
      </c>
      <c r="B2877" s="42">
        <v>1259.92</v>
      </c>
      <c r="C2877" s="43">
        <v>0.08</v>
      </c>
      <c r="D2877" s="45">
        <v>45962</v>
      </c>
      <c r="E2877" s="45">
        <v>45991.999305555553</v>
      </c>
      <c r="F2877" s="42" t="s">
        <v>475</v>
      </c>
    </row>
    <row r="2878" spans="1:6" x14ac:dyDescent="0.35">
      <c r="A2878" s="42" t="s">
        <v>509</v>
      </c>
      <c r="B2878" s="42">
        <v>2499.92</v>
      </c>
      <c r="C2878" s="43">
        <v>0.08</v>
      </c>
      <c r="D2878" s="45">
        <v>45962</v>
      </c>
      <c r="E2878" s="45">
        <v>45991.999305555553</v>
      </c>
      <c r="F2878" s="42" t="s">
        <v>475</v>
      </c>
    </row>
    <row r="2879" spans="1:6" x14ac:dyDescent="0.35">
      <c r="A2879" s="42" t="s">
        <v>11</v>
      </c>
      <c r="B2879" s="42">
        <v>349.92</v>
      </c>
      <c r="C2879" s="43">
        <v>0.08</v>
      </c>
      <c r="D2879" s="45">
        <v>45962</v>
      </c>
      <c r="E2879" s="45">
        <v>45991.999305555553</v>
      </c>
      <c r="F2879" s="42" t="s">
        <v>475</v>
      </c>
    </row>
    <row r="2880" spans="1:6" x14ac:dyDescent="0.35">
      <c r="A2880" s="42" t="s">
        <v>505</v>
      </c>
      <c r="B2880" s="42">
        <v>1199.92</v>
      </c>
      <c r="C2880" s="43">
        <v>0.08</v>
      </c>
      <c r="D2880" s="45">
        <v>45962</v>
      </c>
      <c r="E2880" s="45">
        <v>45991.999305555553</v>
      </c>
      <c r="F2880" s="42" t="s">
        <v>475</v>
      </c>
    </row>
    <row r="2881" spans="1:6" x14ac:dyDescent="0.35">
      <c r="A2881" s="42" t="s">
        <v>565</v>
      </c>
      <c r="B2881" s="42">
        <v>159.91999999999999</v>
      </c>
      <c r="C2881" s="43">
        <v>0.08</v>
      </c>
      <c r="D2881" s="45">
        <v>45962</v>
      </c>
      <c r="E2881" s="45">
        <v>45991.999305555553</v>
      </c>
      <c r="F2881" s="42" t="s">
        <v>475</v>
      </c>
    </row>
    <row r="2882" spans="1:6" x14ac:dyDescent="0.35">
      <c r="A2882" s="42" t="s">
        <v>466</v>
      </c>
      <c r="B2882" s="42">
        <v>1229.92</v>
      </c>
      <c r="C2882" s="43">
        <v>0.08</v>
      </c>
      <c r="D2882" s="45">
        <v>45962</v>
      </c>
      <c r="E2882" s="45">
        <v>45991.999305555553</v>
      </c>
      <c r="F2882" s="42" t="s">
        <v>475</v>
      </c>
    </row>
    <row r="2883" spans="1:6" x14ac:dyDescent="0.35">
      <c r="A2883" s="42" t="s">
        <v>510</v>
      </c>
      <c r="B2883" s="42">
        <v>2539.92</v>
      </c>
      <c r="C2883" s="43">
        <v>0.08</v>
      </c>
      <c r="D2883" s="45">
        <v>45962</v>
      </c>
      <c r="E2883" s="45">
        <v>45991.999305555553</v>
      </c>
      <c r="F2883" s="42" t="s">
        <v>475</v>
      </c>
    </row>
    <row r="2884" spans="1:6" x14ac:dyDescent="0.35">
      <c r="A2884" s="42" t="s">
        <v>578</v>
      </c>
      <c r="B2884" s="42">
        <v>429.92</v>
      </c>
      <c r="C2884" s="43">
        <v>0.08</v>
      </c>
      <c r="D2884" s="45">
        <v>45962</v>
      </c>
      <c r="E2884" s="45">
        <v>45991.999305555553</v>
      </c>
      <c r="F2884" s="42" t="s">
        <v>475</v>
      </c>
    </row>
    <row r="2885" spans="1:6" x14ac:dyDescent="0.35">
      <c r="A2885" s="42" t="s">
        <v>575</v>
      </c>
      <c r="B2885" s="42">
        <v>389.92</v>
      </c>
      <c r="C2885" s="43">
        <v>0.08</v>
      </c>
      <c r="D2885" s="45">
        <v>45962</v>
      </c>
      <c r="E2885" s="45">
        <v>45991.999305555553</v>
      </c>
      <c r="F2885" s="42" t="s">
        <v>475</v>
      </c>
    </row>
    <row r="2886" spans="1:6" x14ac:dyDescent="0.35">
      <c r="A2886" s="42" t="s">
        <v>23</v>
      </c>
      <c r="B2886" s="42">
        <v>429.92</v>
      </c>
      <c r="C2886" s="43">
        <v>0.08</v>
      </c>
      <c r="D2886" s="45">
        <v>45962</v>
      </c>
      <c r="E2886" s="45">
        <v>45991.999305555553</v>
      </c>
      <c r="F2886" s="42" t="s">
        <v>475</v>
      </c>
    </row>
    <row r="2887" spans="1:6" x14ac:dyDescent="0.35">
      <c r="A2887" s="42" t="s">
        <v>527</v>
      </c>
      <c r="B2887" s="42">
        <v>769.92</v>
      </c>
      <c r="C2887" s="43">
        <v>0.08</v>
      </c>
      <c r="D2887" s="45">
        <v>45962</v>
      </c>
      <c r="E2887" s="45">
        <v>45991.999305555553</v>
      </c>
      <c r="F2887" s="42" t="s">
        <v>475</v>
      </c>
    </row>
    <row r="2888" spans="1:6" x14ac:dyDescent="0.35">
      <c r="A2888" s="42" t="s">
        <v>526</v>
      </c>
      <c r="B2888" s="42">
        <v>769.92</v>
      </c>
      <c r="C2888" s="43">
        <v>0.08</v>
      </c>
      <c r="D2888" s="45">
        <v>45962</v>
      </c>
      <c r="E2888" s="45">
        <v>45991.999305555553</v>
      </c>
      <c r="F2888" s="42" t="s">
        <v>475</v>
      </c>
    </row>
    <row r="2889" spans="1:6" x14ac:dyDescent="0.35">
      <c r="A2889" s="42" t="s">
        <v>90</v>
      </c>
      <c r="B2889" s="42">
        <v>649.91999999999996</v>
      </c>
      <c r="C2889" s="43">
        <v>0.08</v>
      </c>
      <c r="D2889" s="45">
        <v>45962</v>
      </c>
      <c r="E2889" s="45">
        <v>45991.999305555553</v>
      </c>
      <c r="F2889" s="42" t="s">
        <v>475</v>
      </c>
    </row>
    <row r="2890" spans="1:6" x14ac:dyDescent="0.35">
      <c r="A2890" s="42" t="s">
        <v>508</v>
      </c>
      <c r="B2890" s="42">
        <v>2349.92</v>
      </c>
      <c r="C2890" s="43">
        <v>0.08</v>
      </c>
      <c r="D2890" s="45">
        <v>45962</v>
      </c>
      <c r="E2890" s="45">
        <v>45991.999305555553</v>
      </c>
      <c r="F2890" s="42" t="s">
        <v>475</v>
      </c>
    </row>
    <row r="2891" spans="1:6" x14ac:dyDescent="0.35">
      <c r="A2891" s="42" t="s">
        <v>533</v>
      </c>
      <c r="B2891" s="42">
        <v>1159.92</v>
      </c>
      <c r="C2891" s="43">
        <v>0.08</v>
      </c>
      <c r="D2891" s="45">
        <v>45962</v>
      </c>
      <c r="E2891" s="45">
        <v>45991.999305555553</v>
      </c>
      <c r="F2891" s="42" t="s">
        <v>475</v>
      </c>
    </row>
    <row r="2892" spans="1:6" x14ac:dyDescent="0.35">
      <c r="A2892" s="42" t="s">
        <v>569</v>
      </c>
      <c r="B2892" s="42">
        <v>229.92</v>
      </c>
      <c r="C2892" s="43">
        <v>0.08</v>
      </c>
      <c r="D2892" s="45">
        <v>45962</v>
      </c>
      <c r="E2892" s="45">
        <v>45991.999305555553</v>
      </c>
      <c r="F2892" s="42" t="s">
        <v>475</v>
      </c>
    </row>
    <row r="2893" spans="1:6" x14ac:dyDescent="0.35">
      <c r="A2893" s="42" t="s">
        <v>60</v>
      </c>
      <c r="B2893" s="42">
        <v>999.92</v>
      </c>
      <c r="C2893" s="43">
        <v>0.08</v>
      </c>
      <c r="D2893" s="45">
        <v>45962</v>
      </c>
      <c r="E2893" s="45">
        <v>45991.999305555553</v>
      </c>
      <c r="F2893" s="42" t="s">
        <v>475</v>
      </c>
    </row>
    <row r="2894" spans="1:6" x14ac:dyDescent="0.35">
      <c r="A2894" s="42" t="s">
        <v>500</v>
      </c>
      <c r="B2894" s="42">
        <v>899.92</v>
      </c>
      <c r="C2894" s="43">
        <v>0.08</v>
      </c>
      <c r="D2894" s="45">
        <v>45962</v>
      </c>
      <c r="E2894" s="45">
        <v>45991.999305555553</v>
      </c>
      <c r="F2894" s="42" t="s">
        <v>475</v>
      </c>
    </row>
    <row r="2895" spans="1:6" x14ac:dyDescent="0.35">
      <c r="A2895" s="42" t="s">
        <v>595</v>
      </c>
      <c r="B2895" s="42">
        <v>2449.92</v>
      </c>
      <c r="C2895" s="43">
        <v>0.08</v>
      </c>
      <c r="D2895" s="45">
        <v>45962</v>
      </c>
      <c r="E2895" s="45">
        <v>45991.999305555553</v>
      </c>
      <c r="F2895" s="42" t="s">
        <v>475</v>
      </c>
    </row>
    <row r="2896" spans="1:6" x14ac:dyDescent="0.35">
      <c r="A2896" s="42" t="s">
        <v>316</v>
      </c>
      <c r="B2896" s="42">
        <v>1699.92</v>
      </c>
      <c r="C2896" s="43">
        <v>0.08</v>
      </c>
      <c r="D2896" s="45">
        <v>45962</v>
      </c>
      <c r="E2896" s="45">
        <v>45991.999305555553</v>
      </c>
      <c r="F2896" s="42" t="s">
        <v>475</v>
      </c>
    </row>
    <row r="2897" spans="1:6" x14ac:dyDescent="0.35">
      <c r="A2897" s="42" t="s">
        <v>490</v>
      </c>
      <c r="B2897" s="42">
        <v>1699.92</v>
      </c>
      <c r="C2897" s="43">
        <v>0.08</v>
      </c>
      <c r="D2897" s="45">
        <v>45962</v>
      </c>
      <c r="E2897" s="45">
        <v>45991.999305555553</v>
      </c>
      <c r="F2897" s="42" t="s">
        <v>475</v>
      </c>
    </row>
    <row r="2898" spans="1:6" x14ac:dyDescent="0.35">
      <c r="A2898" s="42" t="s">
        <v>590</v>
      </c>
      <c r="B2898" s="42">
        <v>639.91999999999996</v>
      </c>
      <c r="C2898" s="43">
        <v>0.08</v>
      </c>
      <c r="D2898" s="45">
        <v>45962</v>
      </c>
      <c r="E2898" s="45">
        <v>45991.999305555553</v>
      </c>
      <c r="F2898" s="42" t="s">
        <v>475</v>
      </c>
    </row>
    <row r="2899" spans="1:6" x14ac:dyDescent="0.35">
      <c r="A2899" s="42" t="s">
        <v>596</v>
      </c>
      <c r="B2899" s="42">
        <v>2719.92</v>
      </c>
      <c r="C2899" s="43">
        <v>0.08</v>
      </c>
      <c r="D2899" s="45">
        <v>45962</v>
      </c>
      <c r="E2899" s="45">
        <v>45991.999305555553</v>
      </c>
      <c r="F2899" s="42" t="s">
        <v>475</v>
      </c>
    </row>
    <row r="2900" spans="1:6" x14ac:dyDescent="0.35">
      <c r="A2900" s="42" t="s">
        <v>486</v>
      </c>
      <c r="B2900" s="42">
        <v>1019.92</v>
      </c>
      <c r="C2900" s="43">
        <v>0.08</v>
      </c>
      <c r="D2900" s="45">
        <v>45962</v>
      </c>
      <c r="E2900" s="45">
        <v>45991.999305555553</v>
      </c>
      <c r="F2900" s="42" t="s">
        <v>475</v>
      </c>
    </row>
    <row r="2901" spans="1:6" x14ac:dyDescent="0.35">
      <c r="A2901" s="42" t="s">
        <v>507</v>
      </c>
      <c r="B2901" s="42">
        <v>1499.92</v>
      </c>
      <c r="C2901" s="43">
        <v>0.08</v>
      </c>
      <c r="D2901" s="45">
        <v>45962</v>
      </c>
      <c r="E2901" s="45">
        <v>45991.999305555553</v>
      </c>
      <c r="F2901" s="42" t="s">
        <v>475</v>
      </c>
    </row>
    <row r="2902" spans="1:6" x14ac:dyDescent="0.35">
      <c r="A2902" s="42" t="s">
        <v>574</v>
      </c>
      <c r="B2902" s="42">
        <v>429.92</v>
      </c>
      <c r="C2902" s="43">
        <v>0.08</v>
      </c>
      <c r="D2902" s="45">
        <v>45962</v>
      </c>
      <c r="E2902" s="45">
        <v>45991.999305555553</v>
      </c>
      <c r="F2902" s="42" t="s">
        <v>475</v>
      </c>
    </row>
    <row r="2903" spans="1:6" x14ac:dyDescent="0.35">
      <c r="A2903" s="42" t="s">
        <v>580</v>
      </c>
      <c r="B2903" s="42">
        <v>449.92</v>
      </c>
      <c r="C2903" s="43">
        <v>0.08</v>
      </c>
      <c r="D2903" s="45">
        <v>45962</v>
      </c>
      <c r="E2903" s="45">
        <v>45991.999305555553</v>
      </c>
      <c r="F2903" s="42" t="s">
        <v>475</v>
      </c>
    </row>
    <row r="2904" spans="1:6" x14ac:dyDescent="0.35">
      <c r="A2904" s="42" t="s">
        <v>8</v>
      </c>
      <c r="B2904" s="42">
        <v>349.92</v>
      </c>
      <c r="C2904" s="43">
        <v>0.08</v>
      </c>
      <c r="D2904" s="45">
        <v>45962</v>
      </c>
      <c r="E2904" s="45">
        <v>45991.999305555553</v>
      </c>
      <c r="F2904" s="42" t="s">
        <v>475</v>
      </c>
    </row>
    <row r="2905" spans="1:6" x14ac:dyDescent="0.35">
      <c r="A2905" s="42" t="s">
        <v>9</v>
      </c>
      <c r="B2905" s="42">
        <v>349.92</v>
      </c>
      <c r="C2905" s="43">
        <v>0.08</v>
      </c>
      <c r="D2905" s="45">
        <v>45962</v>
      </c>
      <c r="E2905" s="45">
        <v>45991.999305555553</v>
      </c>
      <c r="F2905" s="42" t="s">
        <v>475</v>
      </c>
    </row>
    <row r="2906" spans="1:6" x14ac:dyDescent="0.35">
      <c r="A2906" s="42" t="s">
        <v>67</v>
      </c>
      <c r="B2906" s="42">
        <v>349.92</v>
      </c>
      <c r="C2906" s="43">
        <v>0.08</v>
      </c>
      <c r="D2906" s="45">
        <v>45962</v>
      </c>
      <c r="E2906" s="45">
        <v>45991.999305555553</v>
      </c>
      <c r="F2906" s="42" t="s">
        <v>475</v>
      </c>
    </row>
    <row r="2907" spans="1:6" x14ac:dyDescent="0.35">
      <c r="A2907" s="42" t="s">
        <v>564</v>
      </c>
      <c r="B2907" s="42">
        <v>429.92</v>
      </c>
      <c r="C2907" s="43">
        <v>0.08</v>
      </c>
      <c r="D2907" s="45">
        <v>45962</v>
      </c>
      <c r="E2907" s="45">
        <v>45991.999305555553</v>
      </c>
      <c r="F2907" s="42" t="s">
        <v>475</v>
      </c>
    </row>
    <row r="2908" spans="1:6" x14ac:dyDescent="0.35">
      <c r="A2908" s="42" t="s">
        <v>491</v>
      </c>
      <c r="B2908" s="42">
        <v>2099.92</v>
      </c>
      <c r="C2908" s="43">
        <v>0.08</v>
      </c>
      <c r="D2908" s="45">
        <v>45962</v>
      </c>
      <c r="E2908" s="45">
        <v>45991.999305555553</v>
      </c>
      <c r="F2908" s="42" t="s">
        <v>475</v>
      </c>
    </row>
    <row r="2909" spans="1:6" x14ac:dyDescent="0.35">
      <c r="A2909" s="42" t="s">
        <v>33</v>
      </c>
      <c r="B2909" s="42">
        <v>899.92</v>
      </c>
      <c r="C2909" s="43">
        <v>0.08</v>
      </c>
      <c r="D2909" s="45">
        <v>45962</v>
      </c>
      <c r="E2909" s="45">
        <v>45991.999305555553</v>
      </c>
      <c r="F2909" s="42" t="s">
        <v>475</v>
      </c>
    </row>
    <row r="2910" spans="1:6" x14ac:dyDescent="0.35">
      <c r="A2910" s="42" t="s">
        <v>480</v>
      </c>
      <c r="B2910" s="42">
        <v>649.91999999999996</v>
      </c>
      <c r="C2910" s="43">
        <v>0.08</v>
      </c>
      <c r="D2910" s="45">
        <v>45962</v>
      </c>
      <c r="E2910" s="45">
        <v>45991.999305555553</v>
      </c>
      <c r="F2910" s="42" t="s">
        <v>475</v>
      </c>
    </row>
    <row r="2911" spans="1:6" x14ac:dyDescent="0.35">
      <c r="A2911" s="42" t="s">
        <v>479</v>
      </c>
      <c r="B2911" s="42">
        <v>649.91999999999996</v>
      </c>
      <c r="C2911" s="43">
        <v>0.08</v>
      </c>
      <c r="D2911" s="45">
        <v>45962</v>
      </c>
      <c r="E2911" s="45">
        <v>45991.999305555553</v>
      </c>
      <c r="F2911" s="42" t="s">
        <v>475</v>
      </c>
    </row>
    <row r="2912" spans="1:6" x14ac:dyDescent="0.35">
      <c r="A2912" s="42" t="s">
        <v>623</v>
      </c>
      <c r="B2912" s="42">
        <v>649.91999999999996</v>
      </c>
      <c r="C2912" s="43">
        <v>0.08</v>
      </c>
      <c r="D2912" s="45">
        <v>45962</v>
      </c>
      <c r="E2912" s="45">
        <v>45991.999305555553</v>
      </c>
      <c r="F2912" s="42" t="s">
        <v>475</v>
      </c>
    </row>
    <row r="2913" spans="1:6" x14ac:dyDescent="0.35">
      <c r="A2913" s="42" t="s">
        <v>401</v>
      </c>
      <c r="B2913" s="42">
        <v>1359.92</v>
      </c>
      <c r="C2913" s="43">
        <v>0.08</v>
      </c>
      <c r="D2913" s="45">
        <v>45962</v>
      </c>
      <c r="E2913" s="45">
        <v>45991.999305555553</v>
      </c>
      <c r="F2913" s="42" t="s">
        <v>475</v>
      </c>
    </row>
    <row r="2914" spans="1:6" x14ac:dyDescent="0.35">
      <c r="A2914" s="42" t="s">
        <v>50</v>
      </c>
      <c r="B2914" s="42">
        <v>1789.92</v>
      </c>
      <c r="C2914" s="43">
        <v>0.08</v>
      </c>
      <c r="D2914" s="45">
        <v>45962</v>
      </c>
      <c r="E2914" s="45">
        <v>45991.999305555553</v>
      </c>
      <c r="F2914" s="42" t="s">
        <v>475</v>
      </c>
    </row>
    <row r="2915" spans="1:6" x14ac:dyDescent="0.35">
      <c r="A2915" s="42" t="s">
        <v>482</v>
      </c>
      <c r="B2915" s="42">
        <v>849.92</v>
      </c>
      <c r="C2915" s="43">
        <v>0.08</v>
      </c>
      <c r="D2915" s="45">
        <v>45962</v>
      </c>
      <c r="E2915" s="45">
        <v>45991.999305555553</v>
      </c>
      <c r="F2915" s="42" t="s">
        <v>475</v>
      </c>
    </row>
    <row r="2916" spans="1:6" x14ac:dyDescent="0.35">
      <c r="A2916" s="42" t="s">
        <v>459</v>
      </c>
      <c r="B2916" s="42">
        <v>849.92</v>
      </c>
      <c r="C2916" s="43">
        <v>0.08</v>
      </c>
      <c r="D2916" s="45">
        <v>45962</v>
      </c>
      <c r="E2916" s="45">
        <v>45991.999305555553</v>
      </c>
      <c r="F2916" s="42" t="s">
        <v>475</v>
      </c>
    </row>
    <row r="2917" spans="1:6" x14ac:dyDescent="0.35">
      <c r="A2917" s="42" t="s">
        <v>42</v>
      </c>
      <c r="B2917" s="42">
        <v>849.92</v>
      </c>
      <c r="C2917" s="43">
        <v>0.08</v>
      </c>
      <c r="D2917" s="45">
        <v>45962</v>
      </c>
      <c r="E2917" s="45">
        <v>45991.999305555553</v>
      </c>
      <c r="F2917" s="42" t="s">
        <v>475</v>
      </c>
    </row>
    <row r="2918" spans="1:6" x14ac:dyDescent="0.35">
      <c r="A2918" s="42" t="s">
        <v>603</v>
      </c>
      <c r="B2918" s="42">
        <v>849.92</v>
      </c>
      <c r="C2918" s="43">
        <v>0.08</v>
      </c>
      <c r="D2918" s="45">
        <v>45962</v>
      </c>
      <c r="E2918" s="45">
        <v>45991.999305555553</v>
      </c>
      <c r="F2918" s="42" t="s">
        <v>475</v>
      </c>
    </row>
    <row r="2919" spans="1:6" x14ac:dyDescent="0.35">
      <c r="A2919" s="42" t="s">
        <v>604</v>
      </c>
      <c r="B2919" s="42">
        <v>849.92</v>
      </c>
      <c r="C2919" s="43">
        <v>0.08</v>
      </c>
      <c r="D2919" s="45">
        <v>45962</v>
      </c>
      <c r="E2919" s="45">
        <v>45991.999305555553</v>
      </c>
      <c r="F2919" s="42" t="s">
        <v>475</v>
      </c>
    </row>
    <row r="2920" spans="1:6" x14ac:dyDescent="0.35">
      <c r="A2920" s="42" t="s">
        <v>501</v>
      </c>
      <c r="B2920" s="42">
        <v>899.92</v>
      </c>
      <c r="C2920" s="43">
        <v>0.08</v>
      </c>
      <c r="D2920" s="45">
        <v>45962</v>
      </c>
      <c r="E2920" s="45">
        <v>45991.999305555553</v>
      </c>
      <c r="F2920" s="42" t="s">
        <v>475</v>
      </c>
    </row>
    <row r="2921" spans="1:6" x14ac:dyDescent="0.35">
      <c r="A2921" s="42" t="s">
        <v>566</v>
      </c>
      <c r="B2921" s="42">
        <v>159.91999999999999</v>
      </c>
      <c r="C2921" s="43">
        <v>0.08</v>
      </c>
      <c r="D2921" s="45">
        <v>45962</v>
      </c>
      <c r="E2921" s="45">
        <v>45991.999305555553</v>
      </c>
      <c r="F2921" s="42" t="s">
        <v>475</v>
      </c>
    </row>
    <row r="2922" spans="1:6" x14ac:dyDescent="0.35">
      <c r="A2922" s="42" t="s">
        <v>607</v>
      </c>
      <c r="B2922" s="42">
        <v>2539.92</v>
      </c>
      <c r="C2922" s="43">
        <v>0.08</v>
      </c>
      <c r="D2922" s="45">
        <v>45962</v>
      </c>
      <c r="E2922" s="45">
        <v>45991.999305555553</v>
      </c>
      <c r="F2922" s="42" t="s">
        <v>475</v>
      </c>
    </row>
    <row r="2923" spans="1:6" x14ac:dyDescent="0.35">
      <c r="A2923" s="42" t="s">
        <v>89</v>
      </c>
      <c r="B2923" s="42">
        <v>849.92</v>
      </c>
      <c r="C2923" s="43">
        <v>0.08</v>
      </c>
      <c r="D2923" s="45">
        <v>45962</v>
      </c>
      <c r="E2923" s="45">
        <v>45991.999305555553</v>
      </c>
      <c r="F2923" s="42" t="s">
        <v>475</v>
      </c>
    </row>
    <row r="2924" spans="1:6" x14ac:dyDescent="0.35">
      <c r="A2924" s="42" t="s">
        <v>400</v>
      </c>
      <c r="B2924" s="42">
        <v>1159.92</v>
      </c>
      <c r="C2924" s="43">
        <v>0.08</v>
      </c>
      <c r="D2924" s="45">
        <v>45962</v>
      </c>
      <c r="E2924" s="45">
        <v>45991.999305555553</v>
      </c>
      <c r="F2924" s="42" t="s">
        <v>475</v>
      </c>
    </row>
    <row r="2925" spans="1:6" x14ac:dyDescent="0.35">
      <c r="A2925" s="42" t="s">
        <v>121</v>
      </c>
      <c r="B2925" s="42">
        <v>1319.92</v>
      </c>
      <c r="C2925" s="43">
        <v>0.08</v>
      </c>
      <c r="D2925" s="45">
        <v>45962</v>
      </c>
      <c r="E2925" s="45">
        <v>45991.999305555553</v>
      </c>
      <c r="F2925" s="42" t="s">
        <v>475</v>
      </c>
    </row>
    <row r="2926" spans="1:6" x14ac:dyDescent="0.35">
      <c r="A2926" s="42" t="s">
        <v>266</v>
      </c>
      <c r="B2926" s="42">
        <v>1419.92</v>
      </c>
      <c r="C2926" s="43">
        <v>0.08</v>
      </c>
      <c r="D2926" s="45">
        <v>45962</v>
      </c>
      <c r="E2926" s="45">
        <v>45991.999305555553</v>
      </c>
      <c r="F2926" s="42" t="s">
        <v>475</v>
      </c>
    </row>
    <row r="2927" spans="1:6" x14ac:dyDescent="0.35">
      <c r="A2927" s="42" t="s">
        <v>105</v>
      </c>
      <c r="B2927" s="42">
        <v>1359.92</v>
      </c>
      <c r="C2927" s="43">
        <v>0.08</v>
      </c>
      <c r="D2927" s="45">
        <v>45962</v>
      </c>
      <c r="E2927" s="45">
        <v>45991.999305555553</v>
      </c>
      <c r="F2927" s="42" t="s">
        <v>475</v>
      </c>
    </row>
    <row r="2928" spans="1:6" x14ac:dyDescent="0.35">
      <c r="A2928" s="42" t="s">
        <v>48</v>
      </c>
      <c r="B2928" s="42">
        <v>1019.92</v>
      </c>
      <c r="C2928" s="43">
        <v>0.08</v>
      </c>
      <c r="D2928" s="45">
        <v>45962</v>
      </c>
      <c r="E2928" s="45">
        <v>45991.999305555553</v>
      </c>
      <c r="F2928" s="42" t="s">
        <v>475</v>
      </c>
    </row>
    <row r="2929" spans="1:6" x14ac:dyDescent="0.35">
      <c r="A2929" s="42" t="s">
        <v>621</v>
      </c>
      <c r="B2929" s="42">
        <v>1679.92</v>
      </c>
      <c r="C2929" s="43">
        <v>0.08</v>
      </c>
      <c r="D2929" s="45">
        <v>45962</v>
      </c>
      <c r="E2929" s="45">
        <v>45991.999305555553</v>
      </c>
      <c r="F2929" s="42" t="s">
        <v>475</v>
      </c>
    </row>
    <row r="2930" spans="1:6" x14ac:dyDescent="0.35">
      <c r="A2930" s="42" t="s">
        <v>645</v>
      </c>
      <c r="B2930" s="42">
        <v>1589.92</v>
      </c>
      <c r="C2930" s="43">
        <v>0.08</v>
      </c>
      <c r="D2930" s="45">
        <v>45962</v>
      </c>
      <c r="E2930" s="45">
        <v>45991.999305555553</v>
      </c>
      <c r="F2930" s="42" t="s">
        <v>475</v>
      </c>
    </row>
    <row r="2931" spans="1:6" x14ac:dyDescent="0.35">
      <c r="A2931" s="42" t="s">
        <v>648</v>
      </c>
      <c r="B2931" s="42">
        <v>2299.92</v>
      </c>
      <c r="C2931" s="43">
        <v>0.08</v>
      </c>
      <c r="D2931" s="45">
        <v>45962</v>
      </c>
      <c r="E2931" s="45">
        <v>45991.999305555553</v>
      </c>
      <c r="F2931" s="42" t="s">
        <v>475</v>
      </c>
    </row>
    <row r="2932" spans="1:6" x14ac:dyDescent="0.35">
      <c r="A2932" s="42" t="s">
        <v>649</v>
      </c>
      <c r="B2932" s="42">
        <v>3229.92</v>
      </c>
      <c r="C2932" s="43">
        <v>0.08</v>
      </c>
      <c r="D2932" s="45">
        <v>45962</v>
      </c>
      <c r="E2932" s="45">
        <v>45991.999305555553</v>
      </c>
      <c r="F2932" s="42" t="s">
        <v>475</v>
      </c>
    </row>
    <row r="2933" spans="1:6" x14ac:dyDescent="0.35">
      <c r="A2933" s="42" t="s">
        <v>652</v>
      </c>
      <c r="B2933" s="42">
        <v>1069.92</v>
      </c>
      <c r="C2933" s="43">
        <v>0.08</v>
      </c>
      <c r="D2933" s="45">
        <v>45962</v>
      </c>
      <c r="E2933" s="45">
        <v>45991.999305555553</v>
      </c>
      <c r="F2933" s="42" t="s">
        <v>475</v>
      </c>
    </row>
    <row r="2934" spans="1:6" x14ac:dyDescent="0.35">
      <c r="A2934" s="42" t="s">
        <v>653</v>
      </c>
      <c r="B2934" s="42">
        <v>2539.92</v>
      </c>
      <c r="C2934" s="43">
        <v>0.08</v>
      </c>
      <c r="D2934" s="45">
        <v>45962</v>
      </c>
      <c r="E2934" s="45">
        <v>45991.999305555553</v>
      </c>
      <c r="F2934" s="42" t="s">
        <v>475</v>
      </c>
    </row>
    <row r="2935" spans="1:6" x14ac:dyDescent="0.35">
      <c r="A2935" s="42" t="s">
        <v>655</v>
      </c>
      <c r="B2935" s="42">
        <v>2349.92</v>
      </c>
      <c r="C2935" s="43">
        <v>0.08</v>
      </c>
      <c r="D2935" s="45">
        <v>45962</v>
      </c>
      <c r="E2935" s="45">
        <v>45991.999305555553</v>
      </c>
      <c r="F2935" s="42" t="s">
        <v>475</v>
      </c>
    </row>
    <row r="2936" spans="1:6" x14ac:dyDescent="0.35">
      <c r="A2936" s="42" t="s">
        <v>656</v>
      </c>
      <c r="B2936" s="42">
        <v>1019.92</v>
      </c>
      <c r="C2936" s="43">
        <v>0.08</v>
      </c>
      <c r="D2936" s="45">
        <v>45962</v>
      </c>
      <c r="E2936" s="45">
        <v>45991.999305555553</v>
      </c>
      <c r="F2936" s="42" t="s">
        <v>475</v>
      </c>
    </row>
    <row r="2937" spans="1:6" x14ac:dyDescent="0.35">
      <c r="A2937" s="42" t="s">
        <v>657</v>
      </c>
      <c r="B2937" s="42">
        <v>639.91999999999996</v>
      </c>
      <c r="C2937" s="43">
        <v>0.08</v>
      </c>
      <c r="D2937" s="45">
        <v>45962</v>
      </c>
      <c r="E2937" s="45">
        <v>45991.999305555553</v>
      </c>
      <c r="F2937" s="42" t="s">
        <v>475</v>
      </c>
    </row>
    <row r="2938" spans="1:6" x14ac:dyDescent="0.35">
      <c r="A2938" s="42" t="s">
        <v>658</v>
      </c>
      <c r="B2938" s="42">
        <v>1499.92</v>
      </c>
      <c r="C2938" s="43">
        <v>0.08</v>
      </c>
      <c r="D2938" s="45">
        <v>45962</v>
      </c>
      <c r="E2938" s="45">
        <v>45991.999305555553</v>
      </c>
      <c r="F2938" s="42" t="s">
        <v>475</v>
      </c>
    </row>
    <row r="2939" spans="1:6" x14ac:dyDescent="0.35">
      <c r="A2939" s="42" t="s">
        <v>659</v>
      </c>
      <c r="B2939" s="42">
        <v>1499.92</v>
      </c>
      <c r="C2939" s="43">
        <v>0.08</v>
      </c>
      <c r="D2939" s="45">
        <v>45962</v>
      </c>
      <c r="E2939" s="45">
        <v>45991.999305555553</v>
      </c>
      <c r="F2939" s="42" t="s">
        <v>475</v>
      </c>
    </row>
    <row r="2940" spans="1:6" x14ac:dyDescent="0.35">
      <c r="A2940" s="42" t="s">
        <v>660</v>
      </c>
      <c r="B2940" s="42">
        <v>1159.92</v>
      </c>
      <c r="C2940" s="43">
        <v>0.08</v>
      </c>
      <c r="D2940" s="45">
        <v>45962</v>
      </c>
      <c r="E2940" s="45">
        <v>45991.999305555553</v>
      </c>
      <c r="F2940" s="42" t="s">
        <v>475</v>
      </c>
    </row>
    <row r="2941" spans="1:6" x14ac:dyDescent="0.35">
      <c r="A2941" s="42" t="s">
        <v>464</v>
      </c>
      <c r="B2941" s="42">
        <v>1319.92</v>
      </c>
      <c r="C2941" s="43">
        <v>0.08</v>
      </c>
      <c r="D2941" s="45">
        <v>45962</v>
      </c>
      <c r="E2941" s="45">
        <v>45991.999305555553</v>
      </c>
      <c r="F2941" s="42" t="s">
        <v>475</v>
      </c>
    </row>
    <row r="2942" spans="1:6" x14ac:dyDescent="0.35">
      <c r="A2942" s="42" t="s">
        <v>460</v>
      </c>
      <c r="B2942" s="42">
        <v>1319.92</v>
      </c>
      <c r="C2942" s="43">
        <v>0.08</v>
      </c>
      <c r="D2942" s="45">
        <v>45962</v>
      </c>
      <c r="E2942" s="45">
        <v>45991.999305555553</v>
      </c>
      <c r="F2942" s="42" t="s">
        <v>475</v>
      </c>
    </row>
    <row r="2943" spans="1:6" x14ac:dyDescent="0.35">
      <c r="A2943" s="42" t="s">
        <v>662</v>
      </c>
      <c r="B2943" s="42">
        <v>1929.92</v>
      </c>
      <c r="C2943" s="43">
        <v>0.08</v>
      </c>
      <c r="D2943" s="45">
        <v>45962</v>
      </c>
      <c r="E2943" s="45">
        <v>45991.999305555553</v>
      </c>
      <c r="F2943" s="42" t="s">
        <v>475</v>
      </c>
    </row>
    <row r="2944" spans="1:6" x14ac:dyDescent="0.35">
      <c r="A2944" s="42" t="s">
        <v>663</v>
      </c>
      <c r="B2944" s="42">
        <v>1699.92</v>
      </c>
      <c r="C2944" s="43">
        <v>0.08</v>
      </c>
      <c r="D2944" s="45">
        <v>45962</v>
      </c>
      <c r="E2944" s="45">
        <v>45991.999305555553</v>
      </c>
      <c r="F2944" s="42" t="s">
        <v>475</v>
      </c>
    </row>
    <row r="2945" spans="1:6" x14ac:dyDescent="0.35">
      <c r="A2945" s="42" t="s">
        <v>664</v>
      </c>
      <c r="B2945" s="42">
        <v>3389.92</v>
      </c>
      <c r="C2945" s="43">
        <v>0.08</v>
      </c>
      <c r="D2945" s="45">
        <v>45962</v>
      </c>
      <c r="E2945" s="45">
        <v>45991.999305555553</v>
      </c>
      <c r="F2945" s="42" t="s">
        <v>475</v>
      </c>
    </row>
    <row r="2946" spans="1:6" x14ac:dyDescent="0.35">
      <c r="A2946" s="42" t="s">
        <v>665</v>
      </c>
      <c r="B2946" s="42">
        <v>2399.92</v>
      </c>
      <c r="C2946" s="43">
        <v>0.08</v>
      </c>
      <c r="D2946" s="45">
        <v>45962</v>
      </c>
      <c r="E2946" s="45">
        <v>45991.999305555553</v>
      </c>
      <c r="F2946" s="42" t="s">
        <v>475</v>
      </c>
    </row>
    <row r="2947" spans="1:6" x14ac:dyDescent="0.35">
      <c r="A2947" s="42" t="s">
        <v>666</v>
      </c>
      <c r="B2947" s="42">
        <v>1019.92</v>
      </c>
      <c r="C2947" s="43">
        <v>0.08</v>
      </c>
      <c r="D2947" s="45">
        <v>45962</v>
      </c>
      <c r="E2947" s="45">
        <v>45991.999305555553</v>
      </c>
      <c r="F2947" s="42" t="s">
        <v>475</v>
      </c>
    </row>
    <row r="2948" spans="1:6" x14ac:dyDescent="0.35">
      <c r="A2948" s="42" t="s">
        <v>668</v>
      </c>
      <c r="B2948" s="42">
        <v>2539.92</v>
      </c>
      <c r="C2948" s="43">
        <v>0.08</v>
      </c>
      <c r="D2948" s="45">
        <v>45962</v>
      </c>
      <c r="E2948" s="45">
        <v>45991.999305555553</v>
      </c>
      <c r="F2948" s="42" t="s">
        <v>475</v>
      </c>
    </row>
    <row r="2949" spans="1:6" x14ac:dyDescent="0.35">
      <c r="A2949" s="42" t="s">
        <v>672</v>
      </c>
      <c r="B2949" s="42">
        <v>1229.92</v>
      </c>
      <c r="C2949" s="43">
        <v>0.08</v>
      </c>
      <c r="D2949" s="45">
        <v>45962</v>
      </c>
      <c r="E2949" s="45">
        <v>45991.999305555553</v>
      </c>
      <c r="F2949" s="42" t="s">
        <v>475</v>
      </c>
    </row>
    <row r="2950" spans="1:6" x14ac:dyDescent="0.35">
      <c r="A2950" s="42" t="s">
        <v>673</v>
      </c>
      <c r="B2950" s="42">
        <v>1199.92</v>
      </c>
      <c r="C2950" s="43">
        <v>0.08</v>
      </c>
      <c r="D2950" s="45">
        <v>45962</v>
      </c>
      <c r="E2950" s="45">
        <v>45991.999305555553</v>
      </c>
      <c r="F2950" s="42" t="s">
        <v>475</v>
      </c>
    </row>
    <row r="2951" spans="1:6" x14ac:dyDescent="0.35">
      <c r="A2951" s="42" t="s">
        <v>699</v>
      </c>
      <c r="B2951" s="42">
        <v>1169.92</v>
      </c>
      <c r="C2951" s="43">
        <v>0.08</v>
      </c>
      <c r="D2951" s="45">
        <v>45962</v>
      </c>
      <c r="E2951" s="45">
        <v>45991.999305555553</v>
      </c>
      <c r="F2951" s="42" t="s">
        <v>475</v>
      </c>
    </row>
    <row r="2952" spans="1:6" x14ac:dyDescent="0.35">
      <c r="A2952" s="42" t="s">
        <v>700</v>
      </c>
      <c r="B2952" s="42">
        <v>1169.92</v>
      </c>
      <c r="C2952" s="43">
        <v>0.08</v>
      </c>
      <c r="D2952" s="45">
        <v>45962</v>
      </c>
      <c r="E2952" s="45">
        <v>45991.999305555553</v>
      </c>
      <c r="F2952" s="42" t="s">
        <v>475</v>
      </c>
    </row>
    <row r="2953" spans="1:6" x14ac:dyDescent="0.35">
      <c r="A2953" s="42" t="s">
        <v>701</v>
      </c>
      <c r="B2953" s="42">
        <v>1169.92</v>
      </c>
      <c r="C2953" s="43">
        <v>0.08</v>
      </c>
      <c r="D2953" s="45">
        <v>45962</v>
      </c>
      <c r="E2953" s="45">
        <v>45991.999305555553</v>
      </c>
      <c r="F2953" s="42" t="s">
        <v>475</v>
      </c>
    </row>
    <row r="2954" spans="1:6" x14ac:dyDescent="0.35">
      <c r="A2954" s="42" t="s">
        <v>702</v>
      </c>
      <c r="B2954" s="42">
        <v>1169.92</v>
      </c>
      <c r="C2954" s="43">
        <v>0.08</v>
      </c>
      <c r="D2954" s="45">
        <v>45962</v>
      </c>
      <c r="E2954" s="45">
        <v>45991.999305555553</v>
      </c>
      <c r="F2954" s="42" t="s">
        <v>475</v>
      </c>
    </row>
    <row r="2955" spans="1:6" x14ac:dyDescent="0.35">
      <c r="A2955" s="42" t="s">
        <v>703</v>
      </c>
      <c r="B2955" s="42">
        <v>1169.92</v>
      </c>
      <c r="C2955" s="43">
        <v>0.08</v>
      </c>
      <c r="D2955" s="45">
        <v>45962</v>
      </c>
      <c r="E2955" s="45">
        <v>45991.999305555553</v>
      </c>
      <c r="F2955" s="42" t="s">
        <v>475</v>
      </c>
    </row>
    <row r="2956" spans="1:6" x14ac:dyDescent="0.35">
      <c r="A2956" s="42" t="s">
        <v>704</v>
      </c>
      <c r="B2956" s="42">
        <v>1349.92</v>
      </c>
      <c r="C2956" s="43">
        <v>0.08</v>
      </c>
      <c r="D2956" s="45">
        <v>45962</v>
      </c>
      <c r="E2956" s="45">
        <v>45991.999305555553</v>
      </c>
      <c r="F2956" s="42" t="s">
        <v>475</v>
      </c>
    </row>
    <row r="2957" spans="1:6" x14ac:dyDescent="0.35">
      <c r="A2957" s="42" t="s">
        <v>706</v>
      </c>
      <c r="B2957" s="42">
        <v>1529.92</v>
      </c>
      <c r="C2957" s="43">
        <v>0.08</v>
      </c>
      <c r="D2957" s="45">
        <v>45962</v>
      </c>
      <c r="E2957" s="45">
        <v>45991.999305555553</v>
      </c>
      <c r="F2957" s="42" t="s">
        <v>475</v>
      </c>
    </row>
    <row r="2958" spans="1:6" x14ac:dyDescent="0.35">
      <c r="A2958" s="42" t="s">
        <v>707</v>
      </c>
      <c r="B2958" s="42">
        <v>1529.92</v>
      </c>
      <c r="C2958" s="43">
        <v>0.08</v>
      </c>
      <c r="D2958" s="45">
        <v>45962</v>
      </c>
      <c r="E2958" s="45">
        <v>45991.999305555553</v>
      </c>
      <c r="F2958" s="42" t="s">
        <v>475</v>
      </c>
    </row>
    <row r="2959" spans="1:6" x14ac:dyDescent="0.35">
      <c r="A2959" s="42" t="s">
        <v>708</v>
      </c>
      <c r="B2959" s="42">
        <v>1529.92</v>
      </c>
      <c r="C2959" s="43">
        <v>0.08</v>
      </c>
      <c r="D2959" s="45">
        <v>45962</v>
      </c>
      <c r="E2959" s="45">
        <v>45991.999305555553</v>
      </c>
      <c r="F2959" s="42" t="s">
        <v>475</v>
      </c>
    </row>
    <row r="2960" spans="1:6" x14ac:dyDescent="0.35">
      <c r="A2960" s="42" t="s">
        <v>709</v>
      </c>
      <c r="B2960" s="42">
        <v>1529.92</v>
      </c>
      <c r="C2960" s="43">
        <v>0.08</v>
      </c>
      <c r="D2960" s="45">
        <v>45962</v>
      </c>
      <c r="E2960" s="45">
        <v>45991.999305555553</v>
      </c>
      <c r="F2960" s="42" t="s">
        <v>475</v>
      </c>
    </row>
    <row r="2961" spans="1:6" x14ac:dyDescent="0.35">
      <c r="A2961" s="42" t="s">
        <v>710</v>
      </c>
      <c r="B2961" s="42">
        <v>1529.92</v>
      </c>
      <c r="C2961" s="43">
        <v>0.08</v>
      </c>
      <c r="D2961" s="45">
        <v>45962</v>
      </c>
      <c r="E2961" s="45">
        <v>45991.999305555553</v>
      </c>
      <c r="F2961" s="42" t="s">
        <v>475</v>
      </c>
    </row>
    <row r="2962" spans="1:6" x14ac:dyDescent="0.35">
      <c r="A2962" s="42" t="s">
        <v>711</v>
      </c>
      <c r="B2962" s="42">
        <v>1529.92</v>
      </c>
      <c r="C2962" s="43">
        <v>0.08</v>
      </c>
      <c r="D2962" s="45">
        <v>45962</v>
      </c>
      <c r="E2962" s="45">
        <v>45991.999305555553</v>
      </c>
      <c r="F2962" s="42" t="s">
        <v>475</v>
      </c>
    </row>
    <row r="2963" spans="1:6" x14ac:dyDescent="0.35">
      <c r="A2963" s="42" t="s">
        <v>712</v>
      </c>
      <c r="B2963" s="42">
        <v>1529.92</v>
      </c>
      <c r="C2963" s="43">
        <v>0.08</v>
      </c>
      <c r="D2963" s="45">
        <v>45962</v>
      </c>
      <c r="E2963" s="45">
        <v>45991.999305555553</v>
      </c>
      <c r="F2963" s="42" t="s">
        <v>475</v>
      </c>
    </row>
    <row r="2964" spans="1:6" x14ac:dyDescent="0.35">
      <c r="A2964" s="42" t="s">
        <v>713</v>
      </c>
      <c r="B2964" s="42">
        <v>1529.92</v>
      </c>
      <c r="C2964" s="43">
        <v>0.08</v>
      </c>
      <c r="D2964" s="45">
        <v>45962</v>
      </c>
      <c r="E2964" s="45">
        <v>45991.999305555553</v>
      </c>
      <c r="F2964" s="42" t="s">
        <v>475</v>
      </c>
    </row>
    <row r="2965" spans="1:6" x14ac:dyDescent="0.35">
      <c r="A2965" s="42" t="s">
        <v>714</v>
      </c>
      <c r="B2965" s="42">
        <v>1529.92</v>
      </c>
      <c r="C2965" s="43">
        <v>0.08</v>
      </c>
      <c r="D2965" s="45">
        <v>45962</v>
      </c>
      <c r="E2965" s="45">
        <v>45991.999305555553</v>
      </c>
      <c r="F2965" s="42" t="s">
        <v>475</v>
      </c>
    </row>
    <row r="2966" spans="1:6" x14ac:dyDescent="0.35">
      <c r="A2966" s="42" t="s">
        <v>715</v>
      </c>
      <c r="B2966" s="42">
        <v>1529.92</v>
      </c>
      <c r="C2966" s="43">
        <v>0.08</v>
      </c>
      <c r="D2966" s="45">
        <v>45962</v>
      </c>
      <c r="E2966" s="45">
        <v>45991.999305555553</v>
      </c>
      <c r="F2966" s="42" t="s">
        <v>475</v>
      </c>
    </row>
    <row r="2967" spans="1:6" x14ac:dyDescent="0.35">
      <c r="A2967" s="42" t="s">
        <v>716</v>
      </c>
      <c r="B2967" s="42">
        <v>1529.92</v>
      </c>
      <c r="C2967" s="43">
        <v>0.08</v>
      </c>
      <c r="D2967" s="45">
        <v>45962</v>
      </c>
      <c r="E2967" s="45">
        <v>45991.999305555553</v>
      </c>
      <c r="F2967" s="42" t="s">
        <v>475</v>
      </c>
    </row>
    <row r="2968" spans="1:6" x14ac:dyDescent="0.35">
      <c r="A2968" s="42" t="s">
        <v>717</v>
      </c>
      <c r="B2968" s="42">
        <v>1529.92</v>
      </c>
      <c r="C2968" s="43">
        <v>0.08</v>
      </c>
      <c r="D2968" s="45">
        <v>45962</v>
      </c>
      <c r="E2968" s="45">
        <v>45991.999305555553</v>
      </c>
      <c r="F2968" s="42" t="s">
        <v>475</v>
      </c>
    </row>
    <row r="2969" spans="1:6" x14ac:dyDescent="0.35">
      <c r="A2969" s="42" t="s">
        <v>728</v>
      </c>
      <c r="B2969" s="42">
        <v>1349.92</v>
      </c>
      <c r="C2969" s="43">
        <v>0.08</v>
      </c>
      <c r="D2969" s="45">
        <v>45962</v>
      </c>
      <c r="E2969" s="45">
        <v>45991.999305555553</v>
      </c>
      <c r="F2969" s="42" t="s">
        <v>475</v>
      </c>
    </row>
    <row r="2970" spans="1:6" x14ac:dyDescent="0.35">
      <c r="A2970" s="42" t="s">
        <v>729</v>
      </c>
      <c r="B2970" s="42">
        <v>1359.92</v>
      </c>
      <c r="C2970" s="43">
        <v>0.08</v>
      </c>
      <c r="D2970" s="45">
        <v>45962</v>
      </c>
      <c r="E2970" s="45">
        <v>45991.999305555553</v>
      </c>
      <c r="F2970" s="42" t="s">
        <v>475</v>
      </c>
    </row>
    <row r="2971" spans="1:6" x14ac:dyDescent="0.35">
      <c r="A2971" s="42" t="s">
        <v>730</v>
      </c>
      <c r="B2971" s="42">
        <v>1359.92</v>
      </c>
      <c r="C2971" s="43">
        <v>0.08</v>
      </c>
      <c r="D2971" s="45">
        <v>45962</v>
      </c>
      <c r="E2971" s="45">
        <v>45991.999305555553</v>
      </c>
      <c r="F2971" s="42" t="s">
        <v>475</v>
      </c>
    </row>
    <row r="2972" spans="1:6" x14ac:dyDescent="0.35">
      <c r="A2972" s="42" t="s">
        <v>731</v>
      </c>
      <c r="B2972" s="42">
        <v>1359.92</v>
      </c>
      <c r="C2972" s="43">
        <v>0.08</v>
      </c>
      <c r="D2972" s="45">
        <v>45962</v>
      </c>
      <c r="E2972" s="45">
        <v>45991.999305555553</v>
      </c>
      <c r="F2972" s="42" t="s">
        <v>475</v>
      </c>
    </row>
    <row r="2973" spans="1:6" x14ac:dyDescent="0.35">
      <c r="A2973" s="42" t="s">
        <v>732</v>
      </c>
      <c r="B2973" s="42">
        <v>1359.92</v>
      </c>
      <c r="C2973" s="43">
        <v>0.08</v>
      </c>
      <c r="D2973" s="45">
        <v>45962</v>
      </c>
      <c r="E2973" s="45">
        <v>45991.999305555553</v>
      </c>
      <c r="F2973" s="42" t="s">
        <v>475</v>
      </c>
    </row>
    <row r="2974" spans="1:6" x14ac:dyDescent="0.35">
      <c r="A2974" s="42" t="s">
        <v>733</v>
      </c>
      <c r="B2974" s="42">
        <v>1359.92</v>
      </c>
      <c r="C2974" s="43">
        <v>0.08</v>
      </c>
      <c r="D2974" s="45">
        <v>45962</v>
      </c>
      <c r="E2974" s="45">
        <v>45991.999305555553</v>
      </c>
      <c r="F2974" s="42" t="s">
        <v>475</v>
      </c>
    </row>
    <row r="2975" spans="1:6" x14ac:dyDescent="0.35">
      <c r="A2975" s="42" t="s">
        <v>734</v>
      </c>
      <c r="B2975" s="42">
        <v>1359.92</v>
      </c>
      <c r="C2975" s="43">
        <v>0.08</v>
      </c>
      <c r="D2975" s="45">
        <v>45962</v>
      </c>
      <c r="E2975" s="45">
        <v>45991.999305555553</v>
      </c>
      <c r="F2975" s="42" t="s">
        <v>475</v>
      </c>
    </row>
    <row r="2976" spans="1:6" x14ac:dyDescent="0.35">
      <c r="A2976" s="42" t="s">
        <v>735</v>
      </c>
      <c r="B2976" s="42">
        <v>2299.92</v>
      </c>
      <c r="C2976" s="43">
        <v>0.08</v>
      </c>
      <c r="D2976" s="45">
        <v>45962</v>
      </c>
      <c r="E2976" s="45">
        <v>45991.999305555553</v>
      </c>
      <c r="F2976" s="42" t="s">
        <v>475</v>
      </c>
    </row>
    <row r="2977" spans="1:6" x14ac:dyDescent="0.35">
      <c r="A2977" s="42" t="s">
        <v>736</v>
      </c>
      <c r="B2977" s="42">
        <v>2299.92</v>
      </c>
      <c r="C2977" s="43">
        <v>0.08</v>
      </c>
      <c r="D2977" s="45">
        <v>45962</v>
      </c>
      <c r="E2977" s="45">
        <v>45991.999305555553</v>
      </c>
      <c r="F2977" s="42" t="s">
        <v>475</v>
      </c>
    </row>
    <row r="2978" spans="1:6" x14ac:dyDescent="0.35">
      <c r="A2978" s="42" t="s">
        <v>737</v>
      </c>
      <c r="B2978" s="42">
        <v>2299.92</v>
      </c>
      <c r="C2978" s="43">
        <v>0.08</v>
      </c>
      <c r="D2978" s="45">
        <v>45962</v>
      </c>
      <c r="E2978" s="45">
        <v>45991.999305555553</v>
      </c>
      <c r="F2978" s="42" t="s">
        <v>475</v>
      </c>
    </row>
    <row r="2979" spans="1:6" x14ac:dyDescent="0.35">
      <c r="A2979" s="42" t="s">
        <v>738</v>
      </c>
      <c r="B2979" s="42">
        <v>2299.92</v>
      </c>
      <c r="C2979" s="43">
        <v>0.08</v>
      </c>
      <c r="D2979" s="45">
        <v>45962</v>
      </c>
      <c r="E2979" s="45">
        <v>45991.999305555553</v>
      </c>
      <c r="F2979" s="42" t="s">
        <v>475</v>
      </c>
    </row>
    <row r="2980" spans="1:6" x14ac:dyDescent="0.35">
      <c r="A2980" s="42" t="s">
        <v>739</v>
      </c>
      <c r="B2980" s="42">
        <v>2299.92</v>
      </c>
      <c r="C2980" s="43">
        <v>0.08</v>
      </c>
      <c r="D2980" s="45">
        <v>45962</v>
      </c>
      <c r="E2980" s="45">
        <v>45991.999305555553</v>
      </c>
      <c r="F2980" s="42" t="s">
        <v>475</v>
      </c>
    </row>
    <row r="2981" spans="1:6" x14ac:dyDescent="0.35">
      <c r="A2981" s="42" t="s">
        <v>740</v>
      </c>
      <c r="B2981" s="42">
        <v>2299.92</v>
      </c>
      <c r="C2981" s="43">
        <v>0.08</v>
      </c>
      <c r="D2981" s="45">
        <v>45962</v>
      </c>
      <c r="E2981" s="45">
        <v>45991.999305555553</v>
      </c>
      <c r="F2981" s="42" t="s">
        <v>475</v>
      </c>
    </row>
    <row r="2982" spans="1:6" x14ac:dyDescent="0.35">
      <c r="A2982" s="42" t="s">
        <v>741</v>
      </c>
      <c r="B2982" s="42">
        <v>2299.92</v>
      </c>
      <c r="C2982" s="43">
        <v>0.08</v>
      </c>
      <c r="D2982" s="45">
        <v>45962</v>
      </c>
      <c r="E2982" s="45">
        <v>45991.999305555553</v>
      </c>
      <c r="F2982" s="42" t="s">
        <v>475</v>
      </c>
    </row>
    <row r="2983" spans="1:6" x14ac:dyDescent="0.35">
      <c r="A2983" s="42" t="s">
        <v>742</v>
      </c>
      <c r="B2983" s="42">
        <v>2299.92</v>
      </c>
      <c r="C2983" s="43">
        <v>0.08</v>
      </c>
      <c r="D2983" s="45">
        <v>45962</v>
      </c>
      <c r="E2983" s="45">
        <v>45991.999305555553</v>
      </c>
      <c r="F2983" s="42" t="s">
        <v>475</v>
      </c>
    </row>
    <row r="2984" spans="1:6" x14ac:dyDescent="0.35">
      <c r="A2984" s="42" t="s">
        <v>743</v>
      </c>
      <c r="B2984" s="42">
        <v>769.92</v>
      </c>
      <c r="C2984" s="43">
        <v>0.08</v>
      </c>
      <c r="D2984" s="45">
        <v>45962</v>
      </c>
      <c r="E2984" s="45">
        <v>45991.999305555553</v>
      </c>
      <c r="F2984" s="42" t="s">
        <v>475</v>
      </c>
    </row>
    <row r="2985" spans="1:6" x14ac:dyDescent="0.35">
      <c r="A2985" s="42" t="s">
        <v>744</v>
      </c>
      <c r="B2985" s="42">
        <v>749.92</v>
      </c>
      <c r="C2985" s="43">
        <v>0.08</v>
      </c>
      <c r="D2985" s="45">
        <v>45962</v>
      </c>
      <c r="E2985" s="45">
        <v>45991.999305555553</v>
      </c>
      <c r="F2985" s="42" t="s">
        <v>475</v>
      </c>
    </row>
    <row r="2986" spans="1:6" x14ac:dyDescent="0.35">
      <c r="A2986" s="42" t="s">
        <v>749</v>
      </c>
      <c r="B2986" s="42">
        <v>1059.92</v>
      </c>
      <c r="C2986" s="43">
        <v>0.08</v>
      </c>
      <c r="D2986" s="45">
        <v>45962</v>
      </c>
      <c r="E2986" s="45">
        <v>45991.999305555553</v>
      </c>
      <c r="F2986" s="42" t="s">
        <v>475</v>
      </c>
    </row>
    <row r="2987" spans="1:6" x14ac:dyDescent="0.35">
      <c r="A2987" s="42" t="s">
        <v>751</v>
      </c>
      <c r="B2987" s="42">
        <v>1499.92</v>
      </c>
      <c r="C2987" s="43">
        <v>0.08</v>
      </c>
      <c r="D2987" s="45">
        <v>45962</v>
      </c>
      <c r="E2987" s="45">
        <v>45991.999305555553</v>
      </c>
      <c r="F2987" s="42" t="s">
        <v>475</v>
      </c>
    </row>
    <row r="2988" spans="1:6" x14ac:dyDescent="0.35">
      <c r="A2988" s="42" t="s">
        <v>752</v>
      </c>
      <c r="B2988" s="42">
        <v>1499.92</v>
      </c>
      <c r="C2988" s="43">
        <v>0.08</v>
      </c>
      <c r="D2988" s="45">
        <v>45962</v>
      </c>
      <c r="E2988" s="45">
        <v>45991.999305555553</v>
      </c>
      <c r="F2988" s="42" t="s">
        <v>475</v>
      </c>
    </row>
    <row r="2989" spans="1:6" x14ac:dyDescent="0.35">
      <c r="A2989" s="42" t="s">
        <v>753</v>
      </c>
      <c r="B2989" s="42">
        <v>1499.92</v>
      </c>
      <c r="C2989" s="43">
        <v>0.08</v>
      </c>
      <c r="D2989" s="45">
        <v>45962</v>
      </c>
      <c r="E2989" s="45">
        <v>45991.999305555553</v>
      </c>
      <c r="F2989" s="42" t="s">
        <v>475</v>
      </c>
    </row>
    <row r="2990" spans="1:6" x14ac:dyDescent="0.35">
      <c r="A2990" s="42" t="s">
        <v>754</v>
      </c>
      <c r="B2990" s="42">
        <v>1499.92</v>
      </c>
      <c r="C2990" s="43">
        <v>0.08</v>
      </c>
      <c r="D2990" s="45">
        <v>45962</v>
      </c>
      <c r="E2990" s="45">
        <v>45991.999305555553</v>
      </c>
      <c r="F2990" s="42" t="s">
        <v>475</v>
      </c>
    </row>
    <row r="2991" spans="1:6" x14ac:dyDescent="0.35">
      <c r="A2991" s="42" t="s">
        <v>755</v>
      </c>
      <c r="B2991" s="42">
        <v>1499.92</v>
      </c>
      <c r="C2991" s="43">
        <v>0.08</v>
      </c>
      <c r="D2991" s="45">
        <v>45962</v>
      </c>
      <c r="E2991" s="45">
        <v>45991.999305555553</v>
      </c>
      <c r="F2991" s="42" t="s">
        <v>475</v>
      </c>
    </row>
    <row r="2992" spans="1:6" x14ac:dyDescent="0.35">
      <c r="A2992" s="42" t="s">
        <v>756</v>
      </c>
      <c r="B2992" s="42">
        <v>1499.92</v>
      </c>
      <c r="C2992" s="43">
        <v>0.08</v>
      </c>
      <c r="D2992" s="45">
        <v>45962</v>
      </c>
      <c r="E2992" s="45">
        <v>45991.999305555553</v>
      </c>
      <c r="F2992" s="42" t="s">
        <v>475</v>
      </c>
    </row>
    <row r="2993" spans="1:6" x14ac:dyDescent="0.35">
      <c r="A2993" s="42" t="s">
        <v>757</v>
      </c>
      <c r="B2993" s="42">
        <v>1789.92</v>
      </c>
      <c r="C2993" s="43">
        <v>0.08</v>
      </c>
      <c r="D2993" s="45">
        <v>45962</v>
      </c>
      <c r="E2993" s="45">
        <v>45991.999305555553</v>
      </c>
      <c r="F2993" s="42" t="s">
        <v>475</v>
      </c>
    </row>
    <row r="2994" spans="1:6" x14ac:dyDescent="0.35">
      <c r="A2994" s="42" t="s">
        <v>758</v>
      </c>
      <c r="B2994" s="42">
        <v>1789.92</v>
      </c>
      <c r="C2994" s="43">
        <v>0.08</v>
      </c>
      <c r="D2994" s="45">
        <v>45962</v>
      </c>
      <c r="E2994" s="45">
        <v>45991.999305555553</v>
      </c>
      <c r="F2994" s="42" t="s">
        <v>475</v>
      </c>
    </row>
    <row r="2995" spans="1:6" x14ac:dyDescent="0.35">
      <c r="A2995" s="42" t="s">
        <v>759</v>
      </c>
      <c r="B2995" s="42">
        <v>1789.92</v>
      </c>
      <c r="C2995" s="43">
        <v>0.08</v>
      </c>
      <c r="D2995" s="45">
        <v>45962</v>
      </c>
      <c r="E2995" s="45">
        <v>45991.999305555553</v>
      </c>
      <c r="F2995" s="42" t="s">
        <v>475</v>
      </c>
    </row>
    <row r="2996" spans="1:6" x14ac:dyDescent="0.35">
      <c r="A2996" s="42" t="s">
        <v>760</v>
      </c>
      <c r="B2996" s="42">
        <v>1789.92</v>
      </c>
      <c r="C2996" s="43">
        <v>0.08</v>
      </c>
      <c r="D2996" s="45">
        <v>45962</v>
      </c>
      <c r="E2996" s="45">
        <v>45991.999305555553</v>
      </c>
      <c r="F2996" s="42" t="s">
        <v>475</v>
      </c>
    </row>
    <row r="2997" spans="1:6" x14ac:dyDescent="0.35">
      <c r="A2997" s="42" t="s">
        <v>761</v>
      </c>
      <c r="B2997" s="42">
        <v>1789.92</v>
      </c>
      <c r="C2997" s="43">
        <v>0.08</v>
      </c>
      <c r="D2997" s="45">
        <v>45962</v>
      </c>
      <c r="E2997" s="45">
        <v>45991.999305555553</v>
      </c>
      <c r="F2997" s="42" t="s">
        <v>475</v>
      </c>
    </row>
    <row r="2998" spans="1:6" x14ac:dyDescent="0.35">
      <c r="A2998" s="42" t="s">
        <v>762</v>
      </c>
      <c r="B2998" s="42">
        <v>1789.92</v>
      </c>
      <c r="C2998" s="43">
        <v>0.08</v>
      </c>
      <c r="D2998" s="45">
        <v>45962</v>
      </c>
      <c r="E2998" s="45">
        <v>45991.999305555553</v>
      </c>
      <c r="F2998" s="42" t="s">
        <v>475</v>
      </c>
    </row>
    <row r="2999" spans="1:6" x14ac:dyDescent="0.35">
      <c r="A2999" s="42" t="s">
        <v>763</v>
      </c>
      <c r="B2999" s="42">
        <v>1789.92</v>
      </c>
      <c r="C2999" s="43">
        <v>0.08</v>
      </c>
      <c r="D2999" s="45">
        <v>45962</v>
      </c>
      <c r="E2999" s="45">
        <v>45991.999305555553</v>
      </c>
      <c r="F2999" s="42" t="s">
        <v>475</v>
      </c>
    </row>
    <row r="3000" spans="1:6" x14ac:dyDescent="0.35">
      <c r="A3000" s="42" t="s">
        <v>764</v>
      </c>
      <c r="B3000" s="42">
        <v>1789.92</v>
      </c>
      <c r="C3000" s="43">
        <v>0.08</v>
      </c>
      <c r="D3000" s="45">
        <v>45962</v>
      </c>
      <c r="E3000" s="45">
        <v>45991.999305555553</v>
      </c>
      <c r="F3000" s="42" t="s">
        <v>475</v>
      </c>
    </row>
    <row r="3001" spans="1:6" x14ac:dyDescent="0.35">
      <c r="A3001" s="42" t="s">
        <v>765</v>
      </c>
      <c r="B3001" s="42">
        <v>1789.92</v>
      </c>
      <c r="C3001" s="43">
        <v>0.08</v>
      </c>
      <c r="D3001" s="45">
        <v>45962</v>
      </c>
      <c r="E3001" s="45">
        <v>45991.999305555553</v>
      </c>
      <c r="F3001" s="42" t="s">
        <v>475</v>
      </c>
    </row>
    <row r="3002" spans="1:6" x14ac:dyDescent="0.35">
      <c r="A3002" s="42" t="s">
        <v>766</v>
      </c>
      <c r="B3002" s="42">
        <v>1789.92</v>
      </c>
      <c r="C3002" s="43">
        <v>0.08</v>
      </c>
      <c r="D3002" s="45">
        <v>45962</v>
      </c>
      <c r="E3002" s="45">
        <v>45991.999305555553</v>
      </c>
      <c r="F3002" s="42" t="s">
        <v>475</v>
      </c>
    </row>
    <row r="3003" spans="1:6" x14ac:dyDescent="0.35">
      <c r="A3003" s="42" t="s">
        <v>767</v>
      </c>
      <c r="B3003" s="42">
        <v>1099.92</v>
      </c>
      <c r="C3003" s="43">
        <v>0.08</v>
      </c>
      <c r="D3003" s="45">
        <v>45962</v>
      </c>
      <c r="E3003" s="45">
        <v>45991.999305555553</v>
      </c>
      <c r="F3003" s="42" t="s">
        <v>475</v>
      </c>
    </row>
    <row r="3004" spans="1:6" x14ac:dyDescent="0.35">
      <c r="A3004" s="42" t="s">
        <v>768</v>
      </c>
      <c r="B3004" s="42">
        <v>1099.92</v>
      </c>
      <c r="C3004" s="43">
        <v>0.08</v>
      </c>
      <c r="D3004" s="45">
        <v>45962</v>
      </c>
      <c r="E3004" s="45">
        <v>45991.999305555553</v>
      </c>
      <c r="F3004" s="42" t="s">
        <v>475</v>
      </c>
    </row>
    <row r="3005" spans="1:6" x14ac:dyDescent="0.35">
      <c r="A3005" s="42" t="s">
        <v>769</v>
      </c>
      <c r="B3005" s="42">
        <v>1099.92</v>
      </c>
      <c r="C3005" s="43">
        <v>0.08</v>
      </c>
      <c r="D3005" s="45">
        <v>45962</v>
      </c>
      <c r="E3005" s="45">
        <v>45991.999305555553</v>
      </c>
      <c r="F3005" s="42" t="s">
        <v>475</v>
      </c>
    </row>
    <row r="3006" spans="1:6" x14ac:dyDescent="0.35">
      <c r="A3006" s="42" t="s">
        <v>770</v>
      </c>
      <c r="B3006" s="42">
        <v>1099.92</v>
      </c>
      <c r="C3006" s="43">
        <v>0.08</v>
      </c>
      <c r="D3006" s="45">
        <v>45962</v>
      </c>
      <c r="E3006" s="45">
        <v>45991.999305555553</v>
      </c>
      <c r="F3006" s="42" t="s">
        <v>475</v>
      </c>
    </row>
    <row r="3007" spans="1:6" x14ac:dyDescent="0.35">
      <c r="A3007" s="42" t="s">
        <v>771</v>
      </c>
      <c r="B3007" s="42">
        <v>1099.92</v>
      </c>
      <c r="C3007" s="43">
        <v>0.08</v>
      </c>
      <c r="D3007" s="45">
        <v>45962</v>
      </c>
      <c r="E3007" s="45">
        <v>45991.999305555553</v>
      </c>
      <c r="F3007" s="42" t="s">
        <v>475</v>
      </c>
    </row>
    <row r="3008" spans="1:6" x14ac:dyDescent="0.35">
      <c r="A3008" s="42" t="s">
        <v>772</v>
      </c>
      <c r="B3008" s="42">
        <v>1099.92</v>
      </c>
      <c r="C3008" s="43">
        <v>0.08</v>
      </c>
      <c r="D3008" s="45">
        <v>45962</v>
      </c>
      <c r="E3008" s="45">
        <v>45991.999305555553</v>
      </c>
      <c r="F3008" s="42" t="s">
        <v>475</v>
      </c>
    </row>
    <row r="3009" spans="1:6" x14ac:dyDescent="0.35">
      <c r="A3009" s="42" t="s">
        <v>773</v>
      </c>
      <c r="B3009" s="42">
        <v>1299.92</v>
      </c>
      <c r="C3009" s="43">
        <v>0.08</v>
      </c>
      <c r="D3009" s="45">
        <v>45962</v>
      </c>
      <c r="E3009" s="45">
        <v>45991.999305555553</v>
      </c>
      <c r="F3009" s="42" t="s">
        <v>475</v>
      </c>
    </row>
    <row r="3010" spans="1:6" x14ac:dyDescent="0.35">
      <c r="A3010" s="42" t="s">
        <v>781</v>
      </c>
      <c r="B3010" s="42">
        <v>1939.92</v>
      </c>
      <c r="C3010" s="43">
        <v>0.08</v>
      </c>
      <c r="D3010" s="45">
        <v>45962</v>
      </c>
      <c r="E3010" s="45">
        <v>45991.999305555553</v>
      </c>
      <c r="F3010" s="42" t="s">
        <v>475</v>
      </c>
    </row>
    <row r="3011" spans="1:6" x14ac:dyDescent="0.35">
      <c r="A3011" s="42" t="s">
        <v>788</v>
      </c>
      <c r="B3011" s="42">
        <v>429.92</v>
      </c>
      <c r="C3011" s="43">
        <v>0.08</v>
      </c>
      <c r="D3011" s="45">
        <v>45962</v>
      </c>
      <c r="E3011" s="45">
        <v>45991.999305555553</v>
      </c>
      <c r="F3011" s="42" t="s">
        <v>475</v>
      </c>
    </row>
    <row r="3012" spans="1:6" x14ac:dyDescent="0.35">
      <c r="A3012" s="42" t="s">
        <v>789</v>
      </c>
      <c r="B3012" s="42">
        <v>429.92</v>
      </c>
      <c r="C3012" s="43">
        <v>0.08</v>
      </c>
      <c r="D3012" s="45">
        <v>45962</v>
      </c>
      <c r="E3012" s="45">
        <v>45991.999305555553</v>
      </c>
      <c r="F3012" s="42" t="s">
        <v>475</v>
      </c>
    </row>
    <row r="3013" spans="1:6" x14ac:dyDescent="0.35">
      <c r="A3013" s="42" t="s">
        <v>790</v>
      </c>
      <c r="B3013" s="42">
        <v>429.92</v>
      </c>
      <c r="C3013" s="43">
        <v>0.08</v>
      </c>
      <c r="D3013" s="45">
        <v>45962</v>
      </c>
      <c r="E3013" s="45">
        <v>45991.999305555553</v>
      </c>
      <c r="F3013" s="42" t="s">
        <v>475</v>
      </c>
    </row>
    <row r="3014" spans="1:6" x14ac:dyDescent="0.35">
      <c r="A3014" s="42" t="s">
        <v>791</v>
      </c>
      <c r="B3014" s="42">
        <v>429.92</v>
      </c>
      <c r="C3014" s="43">
        <v>0.08</v>
      </c>
      <c r="D3014" s="45">
        <v>45962</v>
      </c>
      <c r="E3014" s="45">
        <v>45991.999305555553</v>
      </c>
      <c r="F3014" s="42" t="s">
        <v>475</v>
      </c>
    </row>
    <row r="3015" spans="1:6" x14ac:dyDescent="0.35">
      <c r="A3015" s="42" t="s">
        <v>801</v>
      </c>
      <c r="B3015" s="42">
        <v>429.92</v>
      </c>
      <c r="C3015" s="43">
        <v>0.08</v>
      </c>
      <c r="D3015" s="45">
        <v>45962</v>
      </c>
      <c r="E3015" s="45">
        <v>45991.999305555553</v>
      </c>
      <c r="F3015" s="42" t="s">
        <v>475</v>
      </c>
    </row>
    <row r="3016" spans="1:6" x14ac:dyDescent="0.35">
      <c r="A3016" s="42" t="s">
        <v>802</v>
      </c>
      <c r="B3016" s="42">
        <v>1269.92</v>
      </c>
      <c r="C3016" s="43">
        <v>0.08</v>
      </c>
      <c r="D3016" s="45">
        <v>45962</v>
      </c>
      <c r="E3016" s="45">
        <v>45991.999305555553</v>
      </c>
      <c r="F3016" s="42" t="s">
        <v>475</v>
      </c>
    </row>
    <row r="3017" spans="1:6" x14ac:dyDescent="0.35">
      <c r="A3017" s="42" t="s">
        <v>805</v>
      </c>
      <c r="B3017" s="42">
        <v>1199.92</v>
      </c>
      <c r="C3017" s="43">
        <v>0.08</v>
      </c>
      <c r="D3017" s="45">
        <v>45962</v>
      </c>
      <c r="E3017" s="45">
        <v>45991.999305555553</v>
      </c>
      <c r="F3017" s="42" t="s">
        <v>475</v>
      </c>
    </row>
    <row r="3018" spans="1:6" x14ac:dyDescent="0.35">
      <c r="A3018" s="42" t="s">
        <v>808</v>
      </c>
      <c r="B3018" s="42">
        <v>849.92</v>
      </c>
      <c r="C3018" s="43">
        <v>0.08</v>
      </c>
      <c r="D3018" s="45">
        <v>45962</v>
      </c>
      <c r="E3018" s="45">
        <v>45991.999305555553</v>
      </c>
      <c r="F3018" s="42" t="s">
        <v>475</v>
      </c>
    </row>
    <row r="3019" spans="1:6" x14ac:dyDescent="0.35">
      <c r="A3019" s="42" t="s">
        <v>809</v>
      </c>
      <c r="B3019" s="42">
        <v>1259.92</v>
      </c>
      <c r="C3019" s="43">
        <v>0.08</v>
      </c>
      <c r="D3019" s="45">
        <v>45962</v>
      </c>
      <c r="E3019" s="45">
        <v>45991.999305555553</v>
      </c>
      <c r="F3019" s="42" t="s">
        <v>475</v>
      </c>
    </row>
    <row r="3020" spans="1:6" x14ac:dyDescent="0.35">
      <c r="A3020" s="42" t="s">
        <v>810</v>
      </c>
      <c r="B3020" s="42">
        <v>1389.92</v>
      </c>
      <c r="C3020" s="43">
        <v>0.08</v>
      </c>
      <c r="D3020" s="45">
        <v>45962</v>
      </c>
      <c r="E3020" s="45">
        <v>45991.999305555553</v>
      </c>
      <c r="F3020" s="42" t="s">
        <v>475</v>
      </c>
    </row>
    <row r="3021" spans="1:6" x14ac:dyDescent="0.35">
      <c r="A3021" s="42" t="s">
        <v>813</v>
      </c>
      <c r="B3021" s="42">
        <v>1019.92</v>
      </c>
      <c r="C3021" s="43">
        <v>0.08</v>
      </c>
      <c r="D3021" s="45">
        <v>45962</v>
      </c>
      <c r="E3021" s="45">
        <v>45991.999305555553</v>
      </c>
      <c r="F3021" s="42" t="s">
        <v>475</v>
      </c>
    </row>
    <row r="3022" spans="1:6" x14ac:dyDescent="0.35">
      <c r="A3022" s="42" t="s">
        <v>818</v>
      </c>
      <c r="B3022" s="42">
        <v>899.92</v>
      </c>
      <c r="C3022" s="43">
        <v>0.08</v>
      </c>
      <c r="D3022" s="45">
        <v>45962</v>
      </c>
      <c r="E3022" s="45">
        <v>45991.999305555553</v>
      </c>
      <c r="F3022" s="42" t="s">
        <v>475</v>
      </c>
    </row>
    <row r="3023" spans="1:6" x14ac:dyDescent="0.35">
      <c r="A3023" s="42" t="s">
        <v>819</v>
      </c>
      <c r="B3023" s="42">
        <v>899.92</v>
      </c>
      <c r="C3023" s="43">
        <v>0.08</v>
      </c>
      <c r="D3023" s="45">
        <v>45962</v>
      </c>
      <c r="E3023" s="45">
        <v>45991.999305555553</v>
      </c>
      <c r="F3023" s="42" t="s">
        <v>475</v>
      </c>
    </row>
    <row r="3024" spans="1:6" x14ac:dyDescent="0.35">
      <c r="A3024" s="42" t="s">
        <v>820</v>
      </c>
      <c r="B3024" s="42">
        <v>899.92</v>
      </c>
      <c r="C3024" s="43">
        <v>0.08</v>
      </c>
      <c r="D3024" s="45">
        <v>45962</v>
      </c>
      <c r="E3024" s="45">
        <v>45991.999305555553</v>
      </c>
      <c r="F3024" s="42" t="s">
        <v>475</v>
      </c>
    </row>
    <row r="3025" spans="1:6" x14ac:dyDescent="0.35">
      <c r="A3025" s="42" t="s">
        <v>821</v>
      </c>
      <c r="B3025" s="42">
        <v>849.92</v>
      </c>
      <c r="C3025" s="43">
        <v>0.08</v>
      </c>
      <c r="D3025" s="45">
        <v>45962</v>
      </c>
      <c r="E3025" s="45">
        <v>45991.999305555553</v>
      </c>
      <c r="F3025" s="42" t="s">
        <v>475</v>
      </c>
    </row>
    <row r="3026" spans="1:6" x14ac:dyDescent="0.35">
      <c r="A3026" s="42" t="s">
        <v>822</v>
      </c>
      <c r="B3026" s="42">
        <v>849.92</v>
      </c>
      <c r="C3026" s="43">
        <v>0.08</v>
      </c>
      <c r="D3026" s="45">
        <v>45962</v>
      </c>
      <c r="E3026" s="45">
        <v>45991.999305555553</v>
      </c>
      <c r="F3026" s="42" t="s">
        <v>475</v>
      </c>
    </row>
    <row r="3027" spans="1:6" x14ac:dyDescent="0.35">
      <c r="A3027" s="42" t="s">
        <v>823</v>
      </c>
      <c r="B3027" s="42">
        <v>849.92</v>
      </c>
      <c r="C3027" s="43">
        <v>0.08</v>
      </c>
      <c r="D3027" s="45">
        <v>45962</v>
      </c>
      <c r="E3027" s="45">
        <v>45991.999305555553</v>
      </c>
      <c r="F3027" s="42" t="s">
        <v>475</v>
      </c>
    </row>
    <row r="3028" spans="1:6" x14ac:dyDescent="0.35">
      <c r="A3028" s="42" t="s">
        <v>830</v>
      </c>
      <c r="B3028" s="42">
        <v>849.92</v>
      </c>
      <c r="C3028" s="43">
        <v>0.08</v>
      </c>
      <c r="D3028" s="45">
        <v>45962</v>
      </c>
      <c r="E3028" s="45">
        <v>45991.999305555553</v>
      </c>
      <c r="F3028" s="42" t="s">
        <v>475</v>
      </c>
    </row>
    <row r="3029" spans="1:6" x14ac:dyDescent="0.35">
      <c r="A3029" s="42" t="s">
        <v>831</v>
      </c>
      <c r="B3029" s="42">
        <v>849.92</v>
      </c>
      <c r="C3029" s="43">
        <v>0.08</v>
      </c>
      <c r="D3029" s="45">
        <v>45962</v>
      </c>
      <c r="E3029" s="45">
        <v>45991.999305555553</v>
      </c>
      <c r="F3029" s="42" t="s">
        <v>475</v>
      </c>
    </row>
    <row r="3030" spans="1:6" x14ac:dyDescent="0.35">
      <c r="A3030" s="42" t="s">
        <v>832</v>
      </c>
      <c r="B3030" s="42">
        <v>849.92</v>
      </c>
      <c r="C3030" s="43">
        <v>0.08</v>
      </c>
      <c r="D3030" s="45">
        <v>45962</v>
      </c>
      <c r="E3030" s="45">
        <v>45991.999305555553</v>
      </c>
      <c r="F3030" s="42" t="s">
        <v>475</v>
      </c>
    </row>
    <row r="3031" spans="1:6" x14ac:dyDescent="0.35">
      <c r="A3031" s="42" t="s">
        <v>846</v>
      </c>
      <c r="B3031" s="42">
        <v>1159.92</v>
      </c>
      <c r="C3031" s="43">
        <v>0.08</v>
      </c>
      <c r="D3031" s="45">
        <v>45962</v>
      </c>
      <c r="E3031" s="45">
        <v>45991.999305555553</v>
      </c>
      <c r="F3031" s="42" t="s">
        <v>475</v>
      </c>
    </row>
    <row r="3032" spans="1:6" x14ac:dyDescent="0.35">
      <c r="A3032" s="42" t="s">
        <v>847</v>
      </c>
      <c r="B3032" s="42">
        <v>1159.92</v>
      </c>
      <c r="C3032" s="43">
        <v>0.08</v>
      </c>
      <c r="D3032" s="45">
        <v>45962</v>
      </c>
      <c r="E3032" s="45">
        <v>45991.999305555553</v>
      </c>
      <c r="F3032" s="42" t="s">
        <v>475</v>
      </c>
    </row>
    <row r="3033" spans="1:6" x14ac:dyDescent="0.35">
      <c r="A3033" s="42" t="s">
        <v>848</v>
      </c>
      <c r="B3033" s="42">
        <v>1159.92</v>
      </c>
      <c r="C3033" s="43">
        <v>0.08</v>
      </c>
      <c r="D3033" s="45">
        <v>45962</v>
      </c>
      <c r="E3033" s="45">
        <v>45991.999305555553</v>
      </c>
      <c r="F3033" s="42" t="s">
        <v>475</v>
      </c>
    </row>
    <row r="3034" spans="1:6" x14ac:dyDescent="0.35">
      <c r="A3034" s="42" t="s">
        <v>849</v>
      </c>
      <c r="B3034" s="42">
        <v>1159.92</v>
      </c>
      <c r="C3034" s="43">
        <v>0.08</v>
      </c>
      <c r="D3034" s="45">
        <v>45962</v>
      </c>
      <c r="E3034" s="45">
        <v>45991.999305555553</v>
      </c>
      <c r="F3034" s="42" t="s">
        <v>475</v>
      </c>
    </row>
    <row r="3035" spans="1:6" x14ac:dyDescent="0.35">
      <c r="A3035" s="42" t="s">
        <v>850</v>
      </c>
      <c r="B3035" s="42">
        <v>1159.92</v>
      </c>
      <c r="C3035" s="43">
        <v>0.08</v>
      </c>
      <c r="D3035" s="45">
        <v>45962</v>
      </c>
      <c r="E3035" s="45">
        <v>45991.999305555553</v>
      </c>
      <c r="F3035" s="42" t="s">
        <v>475</v>
      </c>
    </row>
    <row r="3036" spans="1:6" x14ac:dyDescent="0.35">
      <c r="A3036" s="42" t="s">
        <v>851</v>
      </c>
      <c r="B3036" s="42">
        <v>1159.92</v>
      </c>
      <c r="C3036" s="43">
        <v>0.08</v>
      </c>
      <c r="D3036" s="45">
        <v>45962</v>
      </c>
      <c r="E3036" s="45">
        <v>45991.999305555553</v>
      </c>
      <c r="F3036" s="42" t="s">
        <v>475</v>
      </c>
    </row>
    <row r="3037" spans="1:6" x14ac:dyDescent="0.35">
      <c r="A3037" s="42" t="s">
        <v>869</v>
      </c>
      <c r="B3037" s="42">
        <v>1699.92</v>
      </c>
      <c r="C3037" s="43">
        <v>0.08</v>
      </c>
      <c r="D3037" s="45">
        <v>45962</v>
      </c>
      <c r="E3037" s="45">
        <v>45991.999305555553</v>
      </c>
      <c r="F3037" s="42" t="s">
        <v>475</v>
      </c>
    </row>
    <row r="3038" spans="1:6" x14ac:dyDescent="0.35">
      <c r="A3038" s="42" t="s">
        <v>870</v>
      </c>
      <c r="B3038" s="42">
        <v>1699.92</v>
      </c>
      <c r="C3038" s="43">
        <v>0.08</v>
      </c>
      <c r="D3038" s="45">
        <v>45962</v>
      </c>
      <c r="E3038" s="45">
        <v>45991.999305555553</v>
      </c>
      <c r="F3038" s="42" t="s">
        <v>475</v>
      </c>
    </row>
    <row r="3039" spans="1:6" x14ac:dyDescent="0.35">
      <c r="A3039" s="42" t="s">
        <v>871</v>
      </c>
      <c r="B3039" s="42">
        <v>1699.92</v>
      </c>
      <c r="C3039" s="43">
        <v>0.08</v>
      </c>
      <c r="D3039" s="45">
        <v>45962</v>
      </c>
      <c r="E3039" s="45">
        <v>45991.999305555553</v>
      </c>
      <c r="F3039" s="42" t="s">
        <v>475</v>
      </c>
    </row>
    <row r="3040" spans="1:6" x14ac:dyDescent="0.35">
      <c r="A3040" s="42" t="s">
        <v>872</v>
      </c>
      <c r="B3040" s="42">
        <v>1699.92</v>
      </c>
      <c r="C3040" s="43">
        <v>0.08</v>
      </c>
      <c r="D3040" s="45">
        <v>45962</v>
      </c>
      <c r="E3040" s="45">
        <v>45991.999305555553</v>
      </c>
      <c r="F3040" s="42" t="s">
        <v>475</v>
      </c>
    </row>
    <row r="3041" spans="1:6" x14ac:dyDescent="0.35">
      <c r="A3041" s="42" t="s">
        <v>873</v>
      </c>
      <c r="B3041" s="42">
        <v>1699.92</v>
      </c>
      <c r="C3041" s="43">
        <v>0.08</v>
      </c>
      <c r="D3041" s="45">
        <v>45962</v>
      </c>
      <c r="E3041" s="45">
        <v>45991.999305555553</v>
      </c>
      <c r="F3041" s="42" t="s">
        <v>475</v>
      </c>
    </row>
    <row r="3042" spans="1:6" x14ac:dyDescent="0.35">
      <c r="A3042" s="42" t="s">
        <v>874</v>
      </c>
      <c r="B3042" s="42">
        <v>1699.92</v>
      </c>
      <c r="C3042" s="43">
        <v>0.08</v>
      </c>
      <c r="D3042" s="45">
        <v>45962</v>
      </c>
      <c r="E3042" s="45">
        <v>45991.999305555553</v>
      </c>
      <c r="F3042" s="42" t="s">
        <v>475</v>
      </c>
    </row>
    <row r="3043" spans="1:6" x14ac:dyDescent="0.35">
      <c r="A3043" s="42" t="s">
        <v>875</v>
      </c>
      <c r="B3043" s="42">
        <v>2129.92</v>
      </c>
      <c r="C3043" s="43">
        <v>0.08</v>
      </c>
      <c r="D3043" s="45">
        <v>45962</v>
      </c>
      <c r="E3043" s="45">
        <v>45991.999305555553</v>
      </c>
      <c r="F3043" s="42" t="s">
        <v>475</v>
      </c>
    </row>
    <row r="3044" spans="1:6" x14ac:dyDescent="0.35">
      <c r="A3044" s="42" t="s">
        <v>876</v>
      </c>
      <c r="B3044" s="42">
        <v>2449.92</v>
      </c>
      <c r="C3044" s="43">
        <v>0.08</v>
      </c>
      <c r="D3044" s="45">
        <v>45962</v>
      </c>
      <c r="E3044" s="45">
        <v>45991.999305555553</v>
      </c>
      <c r="F3044" s="42" t="s">
        <v>475</v>
      </c>
    </row>
    <row r="3045" spans="1:6" x14ac:dyDescent="0.35">
      <c r="A3045" s="42" t="s">
        <v>877</v>
      </c>
      <c r="B3045" s="42">
        <v>2449.92</v>
      </c>
      <c r="C3045" s="43">
        <v>0.08</v>
      </c>
      <c r="D3045" s="45">
        <v>45962</v>
      </c>
      <c r="E3045" s="45">
        <v>45991.999305555553</v>
      </c>
      <c r="F3045" s="42" t="s">
        <v>475</v>
      </c>
    </row>
    <row r="3046" spans="1:6" x14ac:dyDescent="0.35">
      <c r="A3046" s="42" t="s">
        <v>878</v>
      </c>
      <c r="B3046" s="42">
        <v>2449.92</v>
      </c>
      <c r="C3046" s="43">
        <v>0.08</v>
      </c>
      <c r="D3046" s="45">
        <v>45962</v>
      </c>
      <c r="E3046" s="45">
        <v>45991.999305555553</v>
      </c>
      <c r="F3046" s="42" t="s">
        <v>475</v>
      </c>
    </row>
    <row r="3047" spans="1:6" x14ac:dyDescent="0.35">
      <c r="A3047" s="42" t="s">
        <v>879</v>
      </c>
      <c r="B3047" s="42">
        <v>2449.92</v>
      </c>
      <c r="C3047" s="43">
        <v>0.08</v>
      </c>
      <c r="D3047" s="45">
        <v>45962</v>
      </c>
      <c r="E3047" s="45">
        <v>45991.999305555553</v>
      </c>
      <c r="F3047" s="42" t="s">
        <v>475</v>
      </c>
    </row>
    <row r="3048" spans="1:6" x14ac:dyDescent="0.35">
      <c r="A3048" s="42" t="s">
        <v>880</v>
      </c>
      <c r="B3048" s="42">
        <v>2449.92</v>
      </c>
      <c r="C3048" s="43">
        <v>0.08</v>
      </c>
      <c r="D3048" s="45">
        <v>45962</v>
      </c>
      <c r="E3048" s="45">
        <v>45991.999305555553</v>
      </c>
      <c r="F3048" s="42" t="s">
        <v>475</v>
      </c>
    </row>
    <row r="3049" spans="1:6" x14ac:dyDescent="0.35">
      <c r="A3049" s="42" t="s">
        <v>881</v>
      </c>
      <c r="B3049" s="42">
        <v>2449.92</v>
      </c>
      <c r="C3049" s="43">
        <v>0.08</v>
      </c>
      <c r="D3049" s="45">
        <v>45962</v>
      </c>
      <c r="E3049" s="45">
        <v>45991.999305555553</v>
      </c>
      <c r="F3049" s="42" t="s">
        <v>475</v>
      </c>
    </row>
    <row r="3050" spans="1:6" x14ac:dyDescent="0.35">
      <c r="A3050" s="42" t="s">
        <v>567</v>
      </c>
      <c r="B3050" s="42">
        <v>179.92</v>
      </c>
      <c r="C3050" s="43">
        <v>0.1</v>
      </c>
      <c r="D3050" s="45">
        <v>45962</v>
      </c>
      <c r="E3050" s="45">
        <v>45991.999305555553</v>
      </c>
      <c r="F3050" s="42" t="s">
        <v>475</v>
      </c>
    </row>
    <row r="3051" spans="1:6" x14ac:dyDescent="0.35">
      <c r="A3051" s="42" t="s">
        <v>476</v>
      </c>
      <c r="B3051" s="42">
        <v>739.92</v>
      </c>
      <c r="C3051" s="43">
        <v>0.1</v>
      </c>
      <c r="D3051" s="45">
        <v>45962</v>
      </c>
      <c r="E3051" s="45">
        <v>45991.999305555553</v>
      </c>
      <c r="F3051" s="42" t="s">
        <v>475</v>
      </c>
    </row>
    <row r="3052" spans="1:6" x14ac:dyDescent="0.35">
      <c r="A3052" s="42" t="s">
        <v>882</v>
      </c>
      <c r="B3052" s="42">
        <v>739.92</v>
      </c>
      <c r="C3052" s="43">
        <v>0.1</v>
      </c>
      <c r="D3052" s="45">
        <v>45962</v>
      </c>
      <c r="E3052" s="45">
        <v>45991.999305555553</v>
      </c>
      <c r="F3052" s="42" t="s">
        <v>475</v>
      </c>
    </row>
    <row r="3053" spans="1:6" x14ac:dyDescent="0.35">
      <c r="A3053" s="42" t="s">
        <v>883</v>
      </c>
      <c r="B3053" s="42">
        <v>739.92</v>
      </c>
      <c r="C3053" s="43">
        <v>0.1</v>
      </c>
      <c r="D3053" s="45">
        <v>45962</v>
      </c>
      <c r="E3053" s="45">
        <v>45991.999305555553</v>
      </c>
      <c r="F3053" s="42" t="s">
        <v>475</v>
      </c>
    </row>
    <row r="3054" spans="1:6" x14ac:dyDescent="0.35">
      <c r="A3054" s="42" t="s">
        <v>884</v>
      </c>
      <c r="B3054" s="42">
        <v>739.92</v>
      </c>
      <c r="C3054" s="43">
        <v>0.1</v>
      </c>
      <c r="D3054" s="45">
        <v>45962</v>
      </c>
      <c r="E3054" s="45">
        <v>45991.999305555553</v>
      </c>
      <c r="F3054" s="42" t="s">
        <v>475</v>
      </c>
    </row>
    <row r="3055" spans="1:6" x14ac:dyDescent="0.35">
      <c r="A3055" s="42" t="s">
        <v>885</v>
      </c>
      <c r="B3055" s="42">
        <v>739.92</v>
      </c>
      <c r="C3055" s="43">
        <v>0.1</v>
      </c>
      <c r="D3055" s="45">
        <v>45962</v>
      </c>
      <c r="E3055" s="45">
        <v>45991.999305555553</v>
      </c>
      <c r="F3055" s="42" t="s">
        <v>475</v>
      </c>
    </row>
    <row r="3056" spans="1:6" x14ac:dyDescent="0.35">
      <c r="A3056" s="42" t="s">
        <v>499</v>
      </c>
      <c r="B3056" s="42">
        <v>839.92</v>
      </c>
      <c r="C3056" s="43">
        <v>0.1</v>
      </c>
      <c r="D3056" s="45">
        <v>45962</v>
      </c>
      <c r="E3056" s="45">
        <v>45991.999305555553</v>
      </c>
      <c r="F3056" s="42" t="s">
        <v>475</v>
      </c>
    </row>
    <row r="3057" spans="1:6" x14ac:dyDescent="0.35">
      <c r="A3057" s="42" t="s">
        <v>46</v>
      </c>
      <c r="B3057" s="42">
        <v>839.92</v>
      </c>
      <c r="C3057" s="43">
        <v>0.1</v>
      </c>
      <c r="D3057" s="45">
        <v>45962</v>
      </c>
      <c r="E3057" s="45">
        <v>45991.999305555553</v>
      </c>
      <c r="F3057" s="42" t="s">
        <v>475</v>
      </c>
    </row>
    <row r="3058" spans="1:6" x14ac:dyDescent="0.35">
      <c r="A3058" s="42" t="s">
        <v>47</v>
      </c>
      <c r="B3058" s="42">
        <v>839.92</v>
      </c>
      <c r="C3058" s="43">
        <v>0.1</v>
      </c>
      <c r="D3058" s="45">
        <v>45962</v>
      </c>
      <c r="E3058" s="45">
        <v>45991.999305555553</v>
      </c>
      <c r="F3058" s="42" t="s">
        <v>475</v>
      </c>
    </row>
    <row r="3059" spans="1:6" x14ac:dyDescent="0.35">
      <c r="A3059" s="42" t="s">
        <v>523</v>
      </c>
      <c r="B3059" s="42">
        <v>839.92</v>
      </c>
      <c r="C3059" s="43">
        <v>0.1</v>
      </c>
      <c r="D3059" s="45">
        <v>45962</v>
      </c>
      <c r="E3059" s="45">
        <v>45991.999305555553</v>
      </c>
      <c r="F3059" s="42" t="s">
        <v>475</v>
      </c>
    </row>
    <row r="3060" spans="1:6" x14ac:dyDescent="0.35">
      <c r="A3060" s="42" t="s">
        <v>718</v>
      </c>
      <c r="B3060" s="42">
        <v>839.92</v>
      </c>
      <c r="C3060" s="43">
        <v>0.1</v>
      </c>
      <c r="D3060" s="45">
        <v>45962</v>
      </c>
      <c r="E3060" s="45">
        <v>45991.999305555553</v>
      </c>
      <c r="F3060" s="42" t="s">
        <v>475</v>
      </c>
    </row>
    <row r="3061" spans="1:6" x14ac:dyDescent="0.35">
      <c r="A3061" s="42" t="s">
        <v>719</v>
      </c>
      <c r="B3061" s="42">
        <v>839.92</v>
      </c>
      <c r="C3061" s="43">
        <v>0.1</v>
      </c>
      <c r="D3061" s="45">
        <v>45962</v>
      </c>
      <c r="E3061" s="45">
        <v>45991.999305555553</v>
      </c>
      <c r="F3061" s="42" t="s">
        <v>475</v>
      </c>
    </row>
    <row r="3062" spans="1:6" x14ac:dyDescent="0.35">
      <c r="A3062" s="42" t="s">
        <v>720</v>
      </c>
      <c r="B3062" s="42">
        <v>839.92</v>
      </c>
      <c r="C3062" s="43">
        <v>0.1</v>
      </c>
      <c r="D3062" s="45">
        <v>45962</v>
      </c>
      <c r="E3062" s="45">
        <v>45991.999305555553</v>
      </c>
      <c r="F3062" s="42" t="s">
        <v>475</v>
      </c>
    </row>
    <row r="3063" spans="1:6" x14ac:dyDescent="0.35">
      <c r="A3063" s="42" t="s">
        <v>815</v>
      </c>
      <c r="B3063" s="42">
        <v>839.92</v>
      </c>
      <c r="C3063" s="43">
        <v>0.1</v>
      </c>
      <c r="D3063" s="45">
        <v>45962</v>
      </c>
      <c r="E3063" s="45">
        <v>45991.999305555553</v>
      </c>
      <c r="F3063" s="42" t="s">
        <v>475</v>
      </c>
    </row>
    <row r="3064" spans="1:6" x14ac:dyDescent="0.35">
      <c r="A3064" s="42" t="s">
        <v>816</v>
      </c>
      <c r="B3064" s="42">
        <v>839.92</v>
      </c>
      <c r="C3064" s="43">
        <v>0.1</v>
      </c>
      <c r="D3064" s="45">
        <v>45962</v>
      </c>
      <c r="E3064" s="45">
        <v>45991.999305555553</v>
      </c>
      <c r="F3064" s="42" t="s">
        <v>475</v>
      </c>
    </row>
    <row r="3065" spans="1:6" x14ac:dyDescent="0.35">
      <c r="A3065" s="42" t="s">
        <v>817</v>
      </c>
      <c r="B3065" s="42">
        <v>839.92</v>
      </c>
      <c r="C3065" s="43">
        <v>0.1</v>
      </c>
      <c r="D3065" s="45">
        <v>45962</v>
      </c>
      <c r="E3065" s="45">
        <v>45991.999305555553</v>
      </c>
      <c r="F3065" s="42" t="s">
        <v>475</v>
      </c>
    </row>
    <row r="3066" spans="1:6" x14ac:dyDescent="0.35">
      <c r="A3066" s="42" t="s">
        <v>721</v>
      </c>
      <c r="B3066" s="42">
        <v>839.92</v>
      </c>
      <c r="C3066" s="43">
        <v>0.1</v>
      </c>
      <c r="D3066" s="45">
        <v>45962</v>
      </c>
      <c r="E3066" s="45">
        <v>45991.999305555553</v>
      </c>
      <c r="F3066" s="42" t="s">
        <v>475</v>
      </c>
    </row>
    <row r="3067" spans="1:6" x14ac:dyDescent="0.35">
      <c r="A3067" s="42" t="s">
        <v>483</v>
      </c>
      <c r="B3067" s="42">
        <v>939.92</v>
      </c>
      <c r="C3067" s="43">
        <v>0.1</v>
      </c>
      <c r="D3067" s="45">
        <v>45962</v>
      </c>
      <c r="E3067" s="45">
        <v>45991.999305555553</v>
      </c>
      <c r="F3067" s="42" t="s">
        <v>475</v>
      </c>
    </row>
    <row r="3068" spans="1:6" x14ac:dyDescent="0.35">
      <c r="A3068" s="42" t="s">
        <v>745</v>
      </c>
      <c r="B3068" s="42">
        <v>939.92</v>
      </c>
      <c r="C3068" s="43">
        <v>0.1</v>
      </c>
      <c r="D3068" s="45">
        <v>45962</v>
      </c>
      <c r="E3068" s="45">
        <v>45991.999305555553</v>
      </c>
      <c r="F3068" s="42" t="s">
        <v>475</v>
      </c>
    </row>
    <row r="3069" spans="1:6" x14ac:dyDescent="0.35">
      <c r="A3069" s="42" t="s">
        <v>746</v>
      </c>
      <c r="B3069" s="42">
        <v>939.92</v>
      </c>
      <c r="C3069" s="43">
        <v>0.1</v>
      </c>
      <c r="D3069" s="45">
        <v>45962</v>
      </c>
      <c r="E3069" s="45">
        <v>45991.999305555553</v>
      </c>
      <c r="F3069" s="42" t="s">
        <v>475</v>
      </c>
    </row>
    <row r="3070" spans="1:6" x14ac:dyDescent="0.35">
      <c r="A3070" s="42" t="s">
        <v>747</v>
      </c>
      <c r="B3070" s="42">
        <v>939.92</v>
      </c>
      <c r="C3070" s="43">
        <v>0.1</v>
      </c>
      <c r="D3070" s="45">
        <v>45962</v>
      </c>
      <c r="E3070" s="45">
        <v>45991.999305555553</v>
      </c>
      <c r="F3070" s="42" t="s">
        <v>475</v>
      </c>
    </row>
    <row r="3071" spans="1:6" x14ac:dyDescent="0.35">
      <c r="A3071" s="42" t="s">
        <v>748</v>
      </c>
      <c r="B3071" s="42">
        <v>939.92</v>
      </c>
      <c r="C3071" s="43">
        <v>0.1</v>
      </c>
      <c r="D3071" s="45">
        <v>45962</v>
      </c>
      <c r="E3071" s="45">
        <v>45991.999305555553</v>
      </c>
      <c r="F3071" s="42" t="s">
        <v>475</v>
      </c>
    </row>
    <row r="3072" spans="1:6" x14ac:dyDescent="0.35">
      <c r="A3072" s="42" t="s">
        <v>651</v>
      </c>
      <c r="B3072" s="42">
        <v>1479.92</v>
      </c>
      <c r="C3072" s="43">
        <v>0.1</v>
      </c>
      <c r="D3072" s="45">
        <v>45962</v>
      </c>
      <c r="E3072" s="45">
        <v>45991.999305555553</v>
      </c>
      <c r="F3072" s="42" t="s">
        <v>475</v>
      </c>
    </row>
    <row r="3073" spans="1:6" x14ac:dyDescent="0.35">
      <c r="A3073" s="42" t="s">
        <v>774</v>
      </c>
      <c r="B3073" s="42">
        <v>1479.92</v>
      </c>
      <c r="C3073" s="43">
        <v>0.1</v>
      </c>
      <c r="D3073" s="45">
        <v>45962</v>
      </c>
      <c r="E3073" s="45">
        <v>45991.999305555553</v>
      </c>
      <c r="F3073" s="42" t="s">
        <v>475</v>
      </c>
    </row>
    <row r="3074" spans="1:6" x14ac:dyDescent="0.35">
      <c r="A3074" s="42" t="s">
        <v>775</v>
      </c>
      <c r="B3074" s="42">
        <v>1479.92</v>
      </c>
      <c r="C3074" s="43">
        <v>0.1</v>
      </c>
      <c r="D3074" s="45">
        <v>45962</v>
      </c>
      <c r="E3074" s="45">
        <v>45991.999305555553</v>
      </c>
      <c r="F3074" s="42" t="s">
        <v>475</v>
      </c>
    </row>
    <row r="3075" spans="1:6" x14ac:dyDescent="0.35">
      <c r="A3075" s="42" t="s">
        <v>776</v>
      </c>
      <c r="B3075" s="42">
        <v>1479.92</v>
      </c>
      <c r="C3075" s="43">
        <v>0.1</v>
      </c>
      <c r="D3075" s="45">
        <v>45962</v>
      </c>
      <c r="E3075" s="45">
        <v>45991.999305555553</v>
      </c>
      <c r="F3075" s="42" t="s">
        <v>475</v>
      </c>
    </row>
    <row r="3076" spans="1:6" x14ac:dyDescent="0.35">
      <c r="A3076" s="42" t="s">
        <v>777</v>
      </c>
      <c r="B3076" s="42">
        <v>1479.92</v>
      </c>
      <c r="C3076" s="43">
        <v>0.1</v>
      </c>
      <c r="D3076" s="45">
        <v>45962</v>
      </c>
      <c r="E3076" s="45">
        <v>45991.999305555553</v>
      </c>
      <c r="F3076" s="42" t="s">
        <v>475</v>
      </c>
    </row>
    <row r="3077" spans="1:6" x14ac:dyDescent="0.35">
      <c r="A3077" s="42" t="s">
        <v>778</v>
      </c>
      <c r="B3077" s="42">
        <v>1479.92</v>
      </c>
      <c r="C3077" s="43">
        <v>0.1</v>
      </c>
      <c r="D3077" s="45">
        <v>45962</v>
      </c>
      <c r="E3077" s="45">
        <v>45991.999305555553</v>
      </c>
      <c r="F3077" s="42" t="s">
        <v>475</v>
      </c>
    </row>
    <row r="3078" spans="1:6" x14ac:dyDescent="0.35">
      <c r="A3078" s="42" t="s">
        <v>779</v>
      </c>
      <c r="B3078" s="42">
        <v>1479.92</v>
      </c>
      <c r="C3078" s="43">
        <v>0.1</v>
      </c>
      <c r="D3078" s="45">
        <v>45962</v>
      </c>
      <c r="E3078" s="45">
        <v>45991.999305555553</v>
      </c>
      <c r="F3078" s="42" t="s">
        <v>475</v>
      </c>
    </row>
    <row r="3079" spans="1:6" x14ac:dyDescent="0.35">
      <c r="A3079" s="42" t="s">
        <v>511</v>
      </c>
      <c r="B3079" s="42">
        <v>3639.92</v>
      </c>
      <c r="C3079" s="43">
        <v>0.1</v>
      </c>
      <c r="D3079" s="45">
        <v>45962</v>
      </c>
      <c r="E3079" s="45">
        <v>45991.999305555553</v>
      </c>
      <c r="F3079" s="42" t="s">
        <v>475</v>
      </c>
    </row>
    <row r="3080" spans="1:6" x14ac:dyDescent="0.35">
      <c r="A3080" s="42" t="s">
        <v>571</v>
      </c>
      <c r="B3080" s="42">
        <v>289.92</v>
      </c>
      <c r="C3080" s="43">
        <v>0.1</v>
      </c>
      <c r="D3080" s="45">
        <v>45962</v>
      </c>
      <c r="E3080" s="45">
        <v>45991.999305555553</v>
      </c>
      <c r="F3080" s="42" t="s">
        <v>475</v>
      </c>
    </row>
    <row r="3081" spans="1:6" x14ac:dyDescent="0.35">
      <c r="A3081" s="42" t="s">
        <v>581</v>
      </c>
      <c r="B3081" s="42">
        <v>479.92</v>
      </c>
      <c r="C3081" s="43">
        <v>0.1</v>
      </c>
      <c r="D3081" s="45">
        <v>45962</v>
      </c>
      <c r="E3081" s="45">
        <v>45991.999305555553</v>
      </c>
      <c r="F3081" s="42" t="s">
        <v>475</v>
      </c>
    </row>
    <row r="3082" spans="1:6" x14ac:dyDescent="0.35">
      <c r="A3082" s="42" t="s">
        <v>579</v>
      </c>
      <c r="B3082" s="42">
        <v>479.92</v>
      </c>
      <c r="C3082" s="43">
        <v>0.1</v>
      </c>
      <c r="D3082" s="45">
        <v>45962</v>
      </c>
      <c r="E3082" s="45">
        <v>45991.999305555553</v>
      </c>
      <c r="F3082" s="42" t="s">
        <v>475</v>
      </c>
    </row>
    <row r="3083" spans="1:6" x14ac:dyDescent="0.35">
      <c r="A3083" s="42" t="s">
        <v>646</v>
      </c>
      <c r="B3083" s="42">
        <v>479.92</v>
      </c>
      <c r="C3083" s="43">
        <v>0.1</v>
      </c>
      <c r="D3083" s="45">
        <v>45962</v>
      </c>
      <c r="E3083" s="45">
        <v>45991.999305555553</v>
      </c>
      <c r="F3083" s="42" t="s">
        <v>475</v>
      </c>
    </row>
    <row r="3084" spans="1:6" x14ac:dyDescent="0.35">
      <c r="A3084" s="42" t="s">
        <v>496</v>
      </c>
      <c r="B3084" s="42">
        <v>569.91999999999996</v>
      </c>
      <c r="C3084" s="43">
        <v>0.1</v>
      </c>
      <c r="D3084" s="45">
        <v>45962</v>
      </c>
      <c r="E3084" s="45">
        <v>45991.999305555553</v>
      </c>
      <c r="F3084" s="42" t="s">
        <v>475</v>
      </c>
    </row>
    <row r="3085" spans="1:6" x14ac:dyDescent="0.35">
      <c r="A3085" s="42" t="s">
        <v>585</v>
      </c>
      <c r="B3085" s="42">
        <v>569.91999999999996</v>
      </c>
      <c r="C3085" s="43">
        <v>0.1</v>
      </c>
      <c r="D3085" s="45">
        <v>45962</v>
      </c>
      <c r="E3085" s="45">
        <v>45991.999305555553</v>
      </c>
      <c r="F3085" s="42" t="s">
        <v>475</v>
      </c>
    </row>
    <row r="3086" spans="1:6" x14ac:dyDescent="0.35">
      <c r="A3086" s="42" t="s">
        <v>586</v>
      </c>
      <c r="B3086" s="42">
        <v>569.91999999999996</v>
      </c>
      <c r="C3086" s="43">
        <v>0.1</v>
      </c>
      <c r="D3086" s="45">
        <v>45962</v>
      </c>
      <c r="E3086" s="45">
        <v>45991.999305555553</v>
      </c>
      <c r="F3086" s="42" t="s">
        <v>475</v>
      </c>
    </row>
    <row r="3087" spans="1:6" x14ac:dyDescent="0.35">
      <c r="A3087" s="42" t="s">
        <v>282</v>
      </c>
      <c r="B3087" s="42">
        <v>569.91999999999996</v>
      </c>
      <c r="C3087" s="43">
        <v>0.1</v>
      </c>
      <c r="D3087" s="45">
        <v>45962</v>
      </c>
      <c r="E3087" s="45">
        <v>45991.999305555553</v>
      </c>
      <c r="F3087" s="42" t="s">
        <v>475</v>
      </c>
    </row>
    <row r="3088" spans="1:6" x14ac:dyDescent="0.35">
      <c r="A3088" s="42" t="s">
        <v>591</v>
      </c>
      <c r="B3088" s="42">
        <v>759.92</v>
      </c>
      <c r="C3088" s="43">
        <v>0.1</v>
      </c>
      <c r="D3088" s="45">
        <v>45962</v>
      </c>
      <c r="E3088" s="45">
        <v>45991.999305555553</v>
      </c>
      <c r="F3088" s="42" t="s">
        <v>475</v>
      </c>
    </row>
    <row r="3089" spans="1:6" x14ac:dyDescent="0.35">
      <c r="A3089" s="42" t="s">
        <v>102</v>
      </c>
      <c r="B3089" s="42">
        <v>959.92</v>
      </c>
      <c r="C3089" s="43">
        <v>0.1</v>
      </c>
      <c r="D3089" s="45">
        <v>45962</v>
      </c>
      <c r="E3089" s="45">
        <v>45991.999305555553</v>
      </c>
      <c r="F3089" s="42" t="s">
        <v>475</v>
      </c>
    </row>
    <row r="3090" spans="1:6" x14ac:dyDescent="0.35">
      <c r="A3090" s="42" t="s">
        <v>484</v>
      </c>
      <c r="B3090" s="42">
        <v>959.92</v>
      </c>
      <c r="C3090" s="43">
        <v>0.1</v>
      </c>
      <c r="D3090" s="45">
        <v>45962</v>
      </c>
      <c r="E3090" s="45">
        <v>45991.999305555553</v>
      </c>
      <c r="F3090" s="42" t="s">
        <v>475</v>
      </c>
    </row>
    <row r="3091" spans="1:6" x14ac:dyDescent="0.35">
      <c r="A3091" s="42" t="s">
        <v>618</v>
      </c>
      <c r="B3091" s="42">
        <v>959.92</v>
      </c>
      <c r="C3091" s="43">
        <v>0.1</v>
      </c>
      <c r="D3091" s="45">
        <v>45962</v>
      </c>
      <c r="E3091" s="45">
        <v>45991.999305555553</v>
      </c>
      <c r="F3091" s="42" t="s">
        <v>475</v>
      </c>
    </row>
    <row r="3092" spans="1:6" x14ac:dyDescent="0.35">
      <c r="A3092" s="42" t="s">
        <v>452</v>
      </c>
      <c r="B3092" s="42">
        <v>1429.92</v>
      </c>
      <c r="C3092" s="43">
        <v>0.1</v>
      </c>
      <c r="D3092" s="45">
        <v>45962</v>
      </c>
      <c r="E3092" s="45">
        <v>45991.999305555553</v>
      </c>
      <c r="F3092" s="42" t="s">
        <v>475</v>
      </c>
    </row>
    <row r="3093" spans="1:6" x14ac:dyDescent="0.35">
      <c r="A3093" s="42" t="s">
        <v>37</v>
      </c>
      <c r="B3093" s="42">
        <v>1429.92</v>
      </c>
      <c r="C3093" s="43">
        <v>0.1</v>
      </c>
      <c r="D3093" s="45">
        <v>45962</v>
      </c>
      <c r="E3093" s="45">
        <v>45991.999305555553</v>
      </c>
      <c r="F3093" s="42" t="s">
        <v>475</v>
      </c>
    </row>
    <row r="3094" spans="1:6" x14ac:dyDescent="0.35">
      <c r="A3094" s="42" t="s">
        <v>489</v>
      </c>
      <c r="B3094" s="42">
        <v>1429.92</v>
      </c>
      <c r="C3094" s="43">
        <v>0.1</v>
      </c>
      <c r="D3094" s="45">
        <v>45962</v>
      </c>
      <c r="E3094" s="45">
        <v>45991.999305555553</v>
      </c>
      <c r="F3094" s="42" t="s">
        <v>475</v>
      </c>
    </row>
    <row r="3095" spans="1:6" x14ac:dyDescent="0.35">
      <c r="A3095" s="42" t="s">
        <v>49</v>
      </c>
      <c r="B3095" s="42">
        <v>1619.92</v>
      </c>
      <c r="C3095" s="43">
        <v>0.1</v>
      </c>
      <c r="D3095" s="45">
        <v>45962</v>
      </c>
      <c r="E3095" s="45">
        <v>45991.999305555553</v>
      </c>
      <c r="F3095" s="42" t="s">
        <v>475</v>
      </c>
    </row>
    <row r="3096" spans="1:6" x14ac:dyDescent="0.35">
      <c r="A3096" s="42" t="s">
        <v>281</v>
      </c>
      <c r="B3096" s="42">
        <v>1619.92</v>
      </c>
      <c r="C3096" s="43">
        <v>0.1</v>
      </c>
      <c r="D3096" s="45">
        <v>45962</v>
      </c>
      <c r="E3096" s="45">
        <v>45991.999305555553</v>
      </c>
      <c r="F3096" s="42" t="s">
        <v>475</v>
      </c>
    </row>
    <row r="3097" spans="1:6" x14ac:dyDescent="0.35">
      <c r="A3097" s="42" t="s">
        <v>647</v>
      </c>
      <c r="B3097" s="42">
        <v>1619.92</v>
      </c>
      <c r="C3097" s="43">
        <v>0.1</v>
      </c>
      <c r="D3097" s="45">
        <v>45962</v>
      </c>
      <c r="E3097" s="45">
        <v>45991.999305555553</v>
      </c>
      <c r="F3097" s="42" t="s">
        <v>475</v>
      </c>
    </row>
    <row r="3098" spans="1:6" x14ac:dyDescent="0.35">
      <c r="A3098" s="42" t="s">
        <v>661</v>
      </c>
      <c r="B3098" s="42">
        <v>2469.92</v>
      </c>
      <c r="C3098" s="43">
        <v>0.1</v>
      </c>
      <c r="D3098" s="45">
        <v>45962</v>
      </c>
      <c r="E3098" s="45">
        <v>45991.999305555553</v>
      </c>
      <c r="F3098" s="42" t="s">
        <v>475</v>
      </c>
    </row>
    <row r="3099" spans="1:6" x14ac:dyDescent="0.35">
      <c r="A3099" s="42" t="s">
        <v>405</v>
      </c>
      <c r="B3099" s="42">
        <v>2469.92</v>
      </c>
      <c r="C3099" s="43">
        <v>0.1</v>
      </c>
      <c r="D3099" s="45">
        <v>45962</v>
      </c>
      <c r="E3099" s="45">
        <v>45991.999305555553</v>
      </c>
      <c r="F3099" s="42" t="s">
        <v>475</v>
      </c>
    </row>
    <row r="3100" spans="1:6" x14ac:dyDescent="0.35">
      <c r="A3100" s="42" t="s">
        <v>573</v>
      </c>
      <c r="B3100" s="42">
        <v>299.92</v>
      </c>
      <c r="C3100" s="43">
        <v>0.1</v>
      </c>
      <c r="D3100" s="45">
        <v>45962</v>
      </c>
      <c r="E3100" s="45">
        <v>45991.999305555553</v>
      </c>
      <c r="F3100" s="42" t="s">
        <v>475</v>
      </c>
    </row>
    <row r="3101" spans="1:6" x14ac:dyDescent="0.35">
      <c r="A3101" s="42" t="s">
        <v>572</v>
      </c>
      <c r="B3101" s="42">
        <v>299.92</v>
      </c>
      <c r="C3101" s="43">
        <v>0.1</v>
      </c>
      <c r="D3101" s="45">
        <v>45962</v>
      </c>
      <c r="E3101" s="45">
        <v>45991.999305555553</v>
      </c>
      <c r="F3101" s="42" t="s">
        <v>475</v>
      </c>
    </row>
    <row r="3102" spans="1:6" x14ac:dyDescent="0.35">
      <c r="A3102" s="42" t="s">
        <v>546</v>
      </c>
      <c r="B3102" s="42">
        <v>299.92</v>
      </c>
      <c r="C3102" s="43">
        <v>0.1</v>
      </c>
      <c r="D3102" s="45">
        <v>45962</v>
      </c>
      <c r="E3102" s="45">
        <v>45991.999305555553</v>
      </c>
      <c r="F3102" s="42" t="s">
        <v>475</v>
      </c>
    </row>
    <row r="3103" spans="1:6" x14ac:dyDescent="0.35">
      <c r="A3103" s="42" t="s">
        <v>617</v>
      </c>
      <c r="B3103" s="42">
        <v>299.92</v>
      </c>
      <c r="C3103" s="43">
        <v>0.1</v>
      </c>
      <c r="D3103" s="45">
        <v>45962</v>
      </c>
      <c r="E3103" s="45">
        <v>45991.999305555553</v>
      </c>
      <c r="F3103" s="42" t="s">
        <v>475</v>
      </c>
    </row>
    <row r="3104" spans="1:6" x14ac:dyDescent="0.35">
      <c r="A3104" s="42" t="s">
        <v>14</v>
      </c>
      <c r="B3104" s="42">
        <v>389.92</v>
      </c>
      <c r="C3104" s="43">
        <v>0.1</v>
      </c>
      <c r="D3104" s="45">
        <v>45962</v>
      </c>
      <c r="E3104" s="45">
        <v>45991.999305555553</v>
      </c>
      <c r="F3104" s="42" t="s">
        <v>475</v>
      </c>
    </row>
    <row r="3105" spans="1:6" x14ac:dyDescent="0.35">
      <c r="A3105" s="42" t="s">
        <v>12</v>
      </c>
      <c r="B3105" s="42">
        <v>389.92</v>
      </c>
      <c r="C3105" s="43">
        <v>0.1</v>
      </c>
      <c r="D3105" s="45">
        <v>45962</v>
      </c>
      <c r="E3105" s="45">
        <v>45991.999305555553</v>
      </c>
      <c r="F3105" s="42" t="s">
        <v>475</v>
      </c>
    </row>
    <row r="3106" spans="1:6" x14ac:dyDescent="0.35">
      <c r="A3106" s="42" t="s">
        <v>577</v>
      </c>
      <c r="B3106" s="42">
        <v>389.92</v>
      </c>
      <c r="C3106" s="43">
        <v>0.1</v>
      </c>
      <c r="D3106" s="45">
        <v>45962</v>
      </c>
      <c r="E3106" s="45">
        <v>45991.999305555553</v>
      </c>
      <c r="F3106" s="42" t="s">
        <v>475</v>
      </c>
    </row>
    <row r="3107" spans="1:6" x14ac:dyDescent="0.35">
      <c r="A3107" s="42" t="s">
        <v>601</v>
      </c>
      <c r="B3107" s="42">
        <v>489.92</v>
      </c>
      <c r="C3107" s="43">
        <v>0.1</v>
      </c>
      <c r="D3107" s="45">
        <v>45962</v>
      </c>
      <c r="E3107" s="45">
        <v>45991.999305555553</v>
      </c>
      <c r="F3107" s="42" t="s">
        <v>475</v>
      </c>
    </row>
    <row r="3108" spans="1:6" x14ac:dyDescent="0.35">
      <c r="A3108" s="42" t="s">
        <v>614</v>
      </c>
      <c r="B3108" s="42">
        <v>489.92</v>
      </c>
      <c r="C3108" s="43">
        <v>0.1</v>
      </c>
      <c r="D3108" s="45">
        <v>45962</v>
      </c>
      <c r="E3108" s="45">
        <v>45991.999305555553</v>
      </c>
      <c r="F3108" s="42" t="s">
        <v>475</v>
      </c>
    </row>
    <row r="3109" spans="1:6" x14ac:dyDescent="0.35">
      <c r="A3109" s="42" t="s">
        <v>524</v>
      </c>
      <c r="B3109" s="42">
        <v>589.91999999999996</v>
      </c>
      <c r="C3109" s="43">
        <v>0.1</v>
      </c>
      <c r="D3109" s="45">
        <v>45962</v>
      </c>
      <c r="E3109" s="45">
        <v>45991.999305555553</v>
      </c>
      <c r="F3109" s="42" t="s">
        <v>475</v>
      </c>
    </row>
    <row r="3110" spans="1:6" x14ac:dyDescent="0.35">
      <c r="A3110" s="42" t="s">
        <v>525</v>
      </c>
      <c r="B3110" s="42">
        <v>589.91999999999996</v>
      </c>
      <c r="C3110" s="43">
        <v>0.1</v>
      </c>
      <c r="D3110" s="45">
        <v>45962</v>
      </c>
      <c r="E3110" s="45">
        <v>45991.999305555553</v>
      </c>
      <c r="F3110" s="42" t="s">
        <v>475</v>
      </c>
    </row>
    <row r="3111" spans="1:6" x14ac:dyDescent="0.35">
      <c r="A3111" s="42" t="s">
        <v>544</v>
      </c>
      <c r="B3111" s="42">
        <v>589.91999999999996</v>
      </c>
      <c r="C3111" s="43">
        <v>0.1</v>
      </c>
      <c r="D3111" s="45">
        <v>45962</v>
      </c>
      <c r="E3111" s="45">
        <v>45991.999305555553</v>
      </c>
      <c r="F3111" s="42" t="s">
        <v>475</v>
      </c>
    </row>
    <row r="3112" spans="1:6" x14ac:dyDescent="0.35">
      <c r="A3112" s="42" t="s">
        <v>279</v>
      </c>
      <c r="B3112" s="42">
        <v>589.91999999999996</v>
      </c>
      <c r="C3112" s="43">
        <v>0.1</v>
      </c>
      <c r="D3112" s="45">
        <v>45962</v>
      </c>
      <c r="E3112" s="45">
        <v>45991.999305555553</v>
      </c>
      <c r="F3112" s="42" t="s">
        <v>475</v>
      </c>
    </row>
    <row r="3113" spans="1:6" x14ac:dyDescent="0.35">
      <c r="A3113" s="42" t="s">
        <v>25</v>
      </c>
      <c r="B3113" s="42">
        <v>589.91999999999996</v>
      </c>
      <c r="C3113" s="43">
        <v>0.1</v>
      </c>
      <c r="D3113" s="45">
        <v>45962</v>
      </c>
      <c r="E3113" s="45">
        <v>45991.999305555553</v>
      </c>
      <c r="F3113" s="42" t="s">
        <v>475</v>
      </c>
    </row>
    <row r="3114" spans="1:6" x14ac:dyDescent="0.35">
      <c r="A3114" s="42" t="s">
        <v>179</v>
      </c>
      <c r="B3114" s="42">
        <v>589.91999999999996</v>
      </c>
      <c r="C3114" s="43">
        <v>0.1</v>
      </c>
      <c r="D3114" s="45">
        <v>45962</v>
      </c>
      <c r="E3114" s="45">
        <v>45991.999305555553</v>
      </c>
      <c r="F3114" s="42" t="s">
        <v>475</v>
      </c>
    </row>
    <row r="3115" spans="1:6" x14ac:dyDescent="0.35">
      <c r="A3115" s="42" t="s">
        <v>616</v>
      </c>
      <c r="B3115" s="42">
        <v>589.91999999999996</v>
      </c>
      <c r="C3115" s="43">
        <v>0.1</v>
      </c>
      <c r="D3115" s="45">
        <v>45962</v>
      </c>
      <c r="E3115" s="45">
        <v>45991.999305555553</v>
      </c>
      <c r="F3115" s="42" t="s">
        <v>475</v>
      </c>
    </row>
    <row r="3116" spans="1:6" x14ac:dyDescent="0.35">
      <c r="A3116" s="42" t="s">
        <v>654</v>
      </c>
      <c r="B3116" s="42">
        <v>589.91999999999996</v>
      </c>
      <c r="C3116" s="43">
        <v>0.1</v>
      </c>
      <c r="D3116" s="45">
        <v>45962</v>
      </c>
      <c r="E3116" s="45">
        <v>45991.999305555553</v>
      </c>
      <c r="F3116" s="42" t="s">
        <v>475</v>
      </c>
    </row>
    <row r="3117" spans="1:6" x14ac:dyDescent="0.35">
      <c r="A3117" s="42" t="s">
        <v>886</v>
      </c>
      <c r="B3117" s="42">
        <v>589.91999999999996</v>
      </c>
      <c r="C3117" s="43">
        <v>0.1</v>
      </c>
      <c r="D3117" s="45">
        <v>45962</v>
      </c>
      <c r="E3117" s="45">
        <v>45991.999305555553</v>
      </c>
      <c r="F3117" s="42" t="s">
        <v>475</v>
      </c>
    </row>
    <row r="3118" spans="1:6" x14ac:dyDescent="0.35">
      <c r="A3118" s="42" t="s">
        <v>887</v>
      </c>
      <c r="B3118" s="42">
        <v>589.91999999999996</v>
      </c>
      <c r="C3118" s="43">
        <v>0.1</v>
      </c>
      <c r="D3118" s="45">
        <v>45962</v>
      </c>
      <c r="E3118" s="45">
        <v>45991.999305555553</v>
      </c>
      <c r="F3118" s="42" t="s">
        <v>475</v>
      </c>
    </row>
    <row r="3119" spans="1:6" x14ac:dyDescent="0.35">
      <c r="A3119" s="42" t="s">
        <v>888</v>
      </c>
      <c r="B3119" s="42">
        <v>589.91999999999996</v>
      </c>
      <c r="C3119" s="43">
        <v>0.1</v>
      </c>
      <c r="D3119" s="45">
        <v>45962</v>
      </c>
      <c r="E3119" s="45">
        <v>45991.999305555553</v>
      </c>
      <c r="F3119" s="42" t="s">
        <v>475</v>
      </c>
    </row>
    <row r="3120" spans="1:6" x14ac:dyDescent="0.35">
      <c r="A3120" s="42" t="s">
        <v>889</v>
      </c>
      <c r="B3120" s="42">
        <v>589.91999999999996</v>
      </c>
      <c r="C3120" s="43">
        <v>0.1</v>
      </c>
      <c r="D3120" s="45">
        <v>45962</v>
      </c>
      <c r="E3120" s="45">
        <v>45991.999305555553</v>
      </c>
      <c r="F3120" s="42" t="s">
        <v>475</v>
      </c>
    </row>
    <row r="3121" spans="1:6" x14ac:dyDescent="0.35">
      <c r="A3121" s="42" t="s">
        <v>498</v>
      </c>
      <c r="B3121" s="42">
        <v>679.92</v>
      </c>
      <c r="C3121" s="43">
        <v>0.1</v>
      </c>
      <c r="D3121" s="45">
        <v>45962</v>
      </c>
      <c r="E3121" s="45">
        <v>45991.999305555553</v>
      </c>
      <c r="F3121" s="42" t="s">
        <v>475</v>
      </c>
    </row>
    <row r="3122" spans="1:6" x14ac:dyDescent="0.35">
      <c r="A3122" s="42" t="s">
        <v>497</v>
      </c>
      <c r="B3122" s="42">
        <v>679.92</v>
      </c>
      <c r="C3122" s="43">
        <v>0.1</v>
      </c>
      <c r="D3122" s="45">
        <v>45962</v>
      </c>
      <c r="E3122" s="45">
        <v>45991.999305555553</v>
      </c>
      <c r="F3122" s="42" t="s">
        <v>475</v>
      </c>
    </row>
    <row r="3123" spans="1:6" x14ac:dyDescent="0.35">
      <c r="A3123" s="42" t="s">
        <v>27</v>
      </c>
      <c r="B3123" s="42">
        <v>679.92</v>
      </c>
      <c r="C3123" s="43">
        <v>0.1</v>
      </c>
      <c r="D3123" s="45">
        <v>45962</v>
      </c>
      <c r="E3123" s="45">
        <v>45991.999305555553</v>
      </c>
      <c r="F3123" s="42" t="s">
        <v>475</v>
      </c>
    </row>
    <row r="3124" spans="1:6" x14ac:dyDescent="0.35">
      <c r="A3124" s="42" t="s">
        <v>73</v>
      </c>
      <c r="B3124" s="42">
        <v>679.92</v>
      </c>
      <c r="C3124" s="43">
        <v>0.1</v>
      </c>
      <c r="D3124" s="45">
        <v>45962</v>
      </c>
      <c r="E3124" s="45">
        <v>45991.999305555553</v>
      </c>
      <c r="F3124" s="42" t="s">
        <v>475</v>
      </c>
    </row>
    <row r="3125" spans="1:6" x14ac:dyDescent="0.35">
      <c r="A3125" s="42" t="s">
        <v>128</v>
      </c>
      <c r="B3125" s="42">
        <v>679.92</v>
      </c>
      <c r="C3125" s="43">
        <v>0.1</v>
      </c>
      <c r="D3125" s="45">
        <v>45962</v>
      </c>
      <c r="E3125" s="45">
        <v>45991.999305555553</v>
      </c>
      <c r="F3125" s="42" t="s">
        <v>475</v>
      </c>
    </row>
    <row r="3126" spans="1:6" x14ac:dyDescent="0.35">
      <c r="A3126" s="42" t="s">
        <v>122</v>
      </c>
      <c r="B3126" s="42">
        <v>679.92</v>
      </c>
      <c r="C3126" s="43">
        <v>0.1</v>
      </c>
      <c r="D3126" s="45">
        <v>45962</v>
      </c>
      <c r="E3126" s="45">
        <v>45991.999305555553</v>
      </c>
      <c r="F3126" s="42" t="s">
        <v>475</v>
      </c>
    </row>
    <row r="3127" spans="1:6" x14ac:dyDescent="0.35">
      <c r="A3127" s="42" t="s">
        <v>399</v>
      </c>
      <c r="B3127" s="42">
        <v>679.92</v>
      </c>
      <c r="C3127" s="43">
        <v>0.1</v>
      </c>
      <c r="D3127" s="45">
        <v>45962</v>
      </c>
      <c r="E3127" s="45">
        <v>45991.999305555553</v>
      </c>
      <c r="F3127" s="42" t="s">
        <v>475</v>
      </c>
    </row>
    <row r="3128" spans="1:6" x14ac:dyDescent="0.35">
      <c r="A3128" s="42" t="s">
        <v>792</v>
      </c>
      <c r="B3128" s="42">
        <v>679.92</v>
      </c>
      <c r="C3128" s="43">
        <v>0.1</v>
      </c>
      <c r="D3128" s="45">
        <v>45962</v>
      </c>
      <c r="E3128" s="45">
        <v>45991.999305555553</v>
      </c>
      <c r="F3128" s="42" t="s">
        <v>475</v>
      </c>
    </row>
    <row r="3129" spans="1:6" x14ac:dyDescent="0.35">
      <c r="A3129" s="42" t="s">
        <v>793</v>
      </c>
      <c r="B3129" s="42">
        <v>679.92</v>
      </c>
      <c r="C3129" s="43">
        <v>0.1</v>
      </c>
      <c r="D3129" s="45">
        <v>45962</v>
      </c>
      <c r="E3129" s="45">
        <v>45991.999305555553</v>
      </c>
      <c r="F3129" s="42" t="s">
        <v>475</v>
      </c>
    </row>
    <row r="3130" spans="1:6" x14ac:dyDescent="0.35">
      <c r="A3130" s="42" t="s">
        <v>794</v>
      </c>
      <c r="B3130" s="42">
        <v>679.92</v>
      </c>
      <c r="C3130" s="43">
        <v>0.1</v>
      </c>
      <c r="D3130" s="45">
        <v>45962</v>
      </c>
      <c r="E3130" s="45">
        <v>45991.999305555553</v>
      </c>
      <c r="F3130" s="42" t="s">
        <v>475</v>
      </c>
    </row>
    <row r="3131" spans="1:6" x14ac:dyDescent="0.35">
      <c r="A3131" s="42" t="s">
        <v>795</v>
      </c>
      <c r="B3131" s="42">
        <v>679.92</v>
      </c>
      <c r="C3131" s="43">
        <v>0.1</v>
      </c>
      <c r="D3131" s="45">
        <v>45962</v>
      </c>
      <c r="E3131" s="45">
        <v>45991.999305555553</v>
      </c>
      <c r="F3131" s="42" t="s">
        <v>475</v>
      </c>
    </row>
    <row r="3132" spans="1:6" x14ac:dyDescent="0.35">
      <c r="A3132" s="42" t="s">
        <v>796</v>
      </c>
      <c r="B3132" s="42">
        <v>679.92</v>
      </c>
      <c r="C3132" s="43">
        <v>0.1</v>
      </c>
      <c r="D3132" s="45">
        <v>45962</v>
      </c>
      <c r="E3132" s="45">
        <v>45991.999305555553</v>
      </c>
      <c r="F3132" s="42" t="s">
        <v>475</v>
      </c>
    </row>
    <row r="3133" spans="1:6" x14ac:dyDescent="0.35">
      <c r="A3133" s="42" t="s">
        <v>797</v>
      </c>
      <c r="B3133" s="42">
        <v>679.92</v>
      </c>
      <c r="C3133" s="43">
        <v>0.1</v>
      </c>
      <c r="D3133" s="45">
        <v>45962</v>
      </c>
      <c r="E3133" s="45">
        <v>45991.999305555553</v>
      </c>
      <c r="F3133" s="42" t="s">
        <v>475</v>
      </c>
    </row>
    <row r="3134" spans="1:6" x14ac:dyDescent="0.35">
      <c r="A3134" s="42" t="s">
        <v>798</v>
      </c>
      <c r="B3134" s="42">
        <v>679.92</v>
      </c>
      <c r="C3134" s="43">
        <v>0.1</v>
      </c>
      <c r="D3134" s="45">
        <v>45962</v>
      </c>
      <c r="E3134" s="45">
        <v>45991.999305555553</v>
      </c>
      <c r="F3134" s="42" t="s">
        <v>475</v>
      </c>
    </row>
    <row r="3135" spans="1:6" x14ac:dyDescent="0.35">
      <c r="A3135" s="42" t="s">
        <v>799</v>
      </c>
      <c r="B3135" s="42">
        <v>679.92</v>
      </c>
      <c r="C3135" s="43">
        <v>0.1</v>
      </c>
      <c r="D3135" s="45">
        <v>45962</v>
      </c>
      <c r="E3135" s="45">
        <v>45991.999305555553</v>
      </c>
      <c r="F3135" s="42" t="s">
        <v>475</v>
      </c>
    </row>
    <row r="3136" spans="1:6" x14ac:dyDescent="0.35">
      <c r="A3136" s="42" t="s">
        <v>800</v>
      </c>
      <c r="B3136" s="42">
        <v>679.92</v>
      </c>
      <c r="C3136" s="43">
        <v>0.1</v>
      </c>
      <c r="D3136" s="45">
        <v>45962</v>
      </c>
      <c r="E3136" s="45">
        <v>45991.999305555553</v>
      </c>
      <c r="F3136" s="42" t="s">
        <v>475</v>
      </c>
    </row>
    <row r="3137" spans="1:6" x14ac:dyDescent="0.35">
      <c r="A3137" s="42" t="s">
        <v>863</v>
      </c>
      <c r="B3137" s="42">
        <v>679.92</v>
      </c>
      <c r="C3137" s="43">
        <v>0.1</v>
      </c>
      <c r="D3137" s="45">
        <v>45962</v>
      </c>
      <c r="E3137" s="45">
        <v>45991.999305555553</v>
      </c>
      <c r="F3137" s="42" t="s">
        <v>475</v>
      </c>
    </row>
    <row r="3138" spans="1:6" x14ac:dyDescent="0.35">
      <c r="A3138" s="42" t="s">
        <v>864</v>
      </c>
      <c r="B3138" s="42">
        <v>679.92</v>
      </c>
      <c r="C3138" s="43">
        <v>0.1</v>
      </c>
      <c r="D3138" s="45">
        <v>45962</v>
      </c>
      <c r="E3138" s="45">
        <v>45991.999305555553</v>
      </c>
      <c r="F3138" s="42" t="s">
        <v>475</v>
      </c>
    </row>
    <row r="3139" spans="1:6" x14ac:dyDescent="0.35">
      <c r="A3139" s="42" t="s">
        <v>865</v>
      </c>
      <c r="B3139" s="42">
        <v>679.92</v>
      </c>
      <c r="C3139" s="43">
        <v>0.1</v>
      </c>
      <c r="D3139" s="45">
        <v>45962</v>
      </c>
      <c r="E3139" s="45">
        <v>45991.999305555553</v>
      </c>
      <c r="F3139" s="42" t="s">
        <v>475</v>
      </c>
    </row>
    <row r="3140" spans="1:6" x14ac:dyDescent="0.35">
      <c r="A3140" s="42" t="s">
        <v>866</v>
      </c>
      <c r="B3140" s="42">
        <v>679.92</v>
      </c>
      <c r="C3140" s="43">
        <v>0.1</v>
      </c>
      <c r="D3140" s="45">
        <v>45962</v>
      </c>
      <c r="E3140" s="45">
        <v>45991.999305555553</v>
      </c>
      <c r="F3140" s="42" t="s">
        <v>475</v>
      </c>
    </row>
    <row r="3141" spans="1:6" x14ac:dyDescent="0.35">
      <c r="A3141" s="42" t="s">
        <v>867</v>
      </c>
      <c r="B3141" s="42">
        <v>679.92</v>
      </c>
      <c r="C3141" s="43">
        <v>0.1</v>
      </c>
      <c r="D3141" s="45">
        <v>45962</v>
      </c>
      <c r="E3141" s="45">
        <v>45991.999305555553</v>
      </c>
      <c r="F3141" s="42" t="s">
        <v>475</v>
      </c>
    </row>
    <row r="3142" spans="1:6" x14ac:dyDescent="0.35">
      <c r="A3142" s="42" t="s">
        <v>868</v>
      </c>
      <c r="B3142" s="42">
        <v>679.92</v>
      </c>
      <c r="C3142" s="43">
        <v>0.1</v>
      </c>
      <c r="D3142" s="45">
        <v>45962</v>
      </c>
      <c r="E3142" s="45">
        <v>45991.999305555553</v>
      </c>
      <c r="F3142" s="42" t="s">
        <v>475</v>
      </c>
    </row>
    <row r="3143" spans="1:6" x14ac:dyDescent="0.35">
      <c r="A3143" s="42" t="s">
        <v>522</v>
      </c>
      <c r="B3143" s="42">
        <v>779.92</v>
      </c>
      <c r="C3143" s="43">
        <v>0.1</v>
      </c>
      <c r="D3143" s="45">
        <v>45962</v>
      </c>
      <c r="E3143" s="45">
        <v>45991.999305555553</v>
      </c>
      <c r="F3143" s="42" t="s">
        <v>475</v>
      </c>
    </row>
    <row r="3144" spans="1:6" x14ac:dyDescent="0.35">
      <c r="A3144" s="42" t="s">
        <v>481</v>
      </c>
      <c r="B3144" s="42">
        <v>779.92</v>
      </c>
      <c r="C3144" s="43">
        <v>0.1</v>
      </c>
      <c r="D3144" s="45">
        <v>45962</v>
      </c>
      <c r="E3144" s="45">
        <v>45991.999305555553</v>
      </c>
      <c r="F3144" s="42" t="s">
        <v>475</v>
      </c>
    </row>
    <row r="3145" spans="1:6" x14ac:dyDescent="0.35">
      <c r="A3145" s="42" t="s">
        <v>532</v>
      </c>
      <c r="B3145" s="42">
        <v>779.92</v>
      </c>
      <c r="C3145" s="43">
        <v>0.1</v>
      </c>
      <c r="D3145" s="45">
        <v>45962</v>
      </c>
      <c r="E3145" s="45">
        <v>45991.999305555553</v>
      </c>
      <c r="F3145" s="42" t="s">
        <v>475</v>
      </c>
    </row>
    <row r="3146" spans="1:6" x14ac:dyDescent="0.35">
      <c r="A3146" s="42" t="s">
        <v>593</v>
      </c>
      <c r="B3146" s="42">
        <v>779.92</v>
      </c>
      <c r="C3146" s="43">
        <v>0.1</v>
      </c>
      <c r="D3146" s="45">
        <v>45962</v>
      </c>
      <c r="E3146" s="45">
        <v>45991.999305555553</v>
      </c>
      <c r="F3146" s="42" t="s">
        <v>475</v>
      </c>
    </row>
    <row r="3147" spans="1:6" x14ac:dyDescent="0.35">
      <c r="A3147" s="42" t="s">
        <v>283</v>
      </c>
      <c r="B3147" s="42">
        <v>779.92</v>
      </c>
      <c r="C3147" s="43">
        <v>0.1</v>
      </c>
      <c r="D3147" s="45">
        <v>45962</v>
      </c>
      <c r="E3147" s="45">
        <v>45991.999305555553</v>
      </c>
      <c r="F3147" s="42" t="s">
        <v>475</v>
      </c>
    </row>
    <row r="3148" spans="1:6" x14ac:dyDescent="0.35">
      <c r="A3148" s="42" t="s">
        <v>30</v>
      </c>
      <c r="B3148" s="42">
        <v>779.92</v>
      </c>
      <c r="C3148" s="43">
        <v>0.1</v>
      </c>
      <c r="D3148" s="45">
        <v>45962</v>
      </c>
      <c r="E3148" s="45">
        <v>45991.999305555553</v>
      </c>
      <c r="F3148" s="42" t="s">
        <v>475</v>
      </c>
    </row>
    <row r="3149" spans="1:6" x14ac:dyDescent="0.35">
      <c r="A3149" s="42" t="s">
        <v>59</v>
      </c>
      <c r="B3149" s="42">
        <v>779.92</v>
      </c>
      <c r="C3149" s="43">
        <v>0.1</v>
      </c>
      <c r="D3149" s="45">
        <v>45962</v>
      </c>
      <c r="E3149" s="45">
        <v>45991.999305555553</v>
      </c>
      <c r="F3149" s="42" t="s">
        <v>475</v>
      </c>
    </row>
    <row r="3150" spans="1:6" x14ac:dyDescent="0.35">
      <c r="A3150" s="42" t="s">
        <v>31</v>
      </c>
      <c r="B3150" s="42">
        <v>779.92</v>
      </c>
      <c r="C3150" s="43">
        <v>0.1</v>
      </c>
      <c r="D3150" s="45">
        <v>45962</v>
      </c>
      <c r="E3150" s="45">
        <v>45991.999305555553</v>
      </c>
      <c r="F3150" s="42" t="s">
        <v>475</v>
      </c>
    </row>
    <row r="3151" spans="1:6" x14ac:dyDescent="0.35">
      <c r="A3151" s="42" t="s">
        <v>40</v>
      </c>
      <c r="B3151" s="42">
        <v>779.92</v>
      </c>
      <c r="C3151" s="43">
        <v>0.1</v>
      </c>
      <c r="D3151" s="45">
        <v>45962</v>
      </c>
      <c r="E3151" s="45">
        <v>45991.999305555553</v>
      </c>
      <c r="F3151" s="42" t="s">
        <v>475</v>
      </c>
    </row>
    <row r="3152" spans="1:6" x14ac:dyDescent="0.35">
      <c r="A3152" s="42" t="s">
        <v>58</v>
      </c>
      <c r="B3152" s="42">
        <v>779.92</v>
      </c>
      <c r="C3152" s="43">
        <v>0.1</v>
      </c>
      <c r="D3152" s="45">
        <v>45962</v>
      </c>
      <c r="E3152" s="45">
        <v>45991.999305555553</v>
      </c>
      <c r="F3152" s="42" t="s">
        <v>475</v>
      </c>
    </row>
    <row r="3153" spans="1:6" x14ac:dyDescent="0.35">
      <c r="A3153" s="42" t="s">
        <v>57</v>
      </c>
      <c r="B3153" s="42">
        <v>779.92</v>
      </c>
      <c r="C3153" s="43">
        <v>0.1</v>
      </c>
      <c r="D3153" s="45">
        <v>45962</v>
      </c>
      <c r="E3153" s="45">
        <v>45991.999305555553</v>
      </c>
      <c r="F3153" s="42" t="s">
        <v>475</v>
      </c>
    </row>
    <row r="3154" spans="1:6" x14ac:dyDescent="0.35">
      <c r="A3154" s="42" t="s">
        <v>675</v>
      </c>
      <c r="B3154" s="42">
        <v>779.92</v>
      </c>
      <c r="C3154" s="43">
        <v>0.1</v>
      </c>
      <c r="D3154" s="45">
        <v>45962</v>
      </c>
      <c r="E3154" s="45">
        <v>45991.999305555553</v>
      </c>
      <c r="F3154" s="42" t="s">
        <v>475</v>
      </c>
    </row>
    <row r="3155" spans="1:6" x14ac:dyDescent="0.35">
      <c r="A3155" s="42" t="s">
        <v>814</v>
      </c>
      <c r="B3155" s="42">
        <v>979.92</v>
      </c>
      <c r="C3155" s="43">
        <v>0.1</v>
      </c>
      <c r="D3155" s="45">
        <v>45962</v>
      </c>
      <c r="E3155" s="45">
        <v>45991.999305555553</v>
      </c>
      <c r="F3155" s="42" t="s">
        <v>475</v>
      </c>
    </row>
    <row r="3156" spans="1:6" x14ac:dyDescent="0.35">
      <c r="A3156" s="42" t="s">
        <v>487</v>
      </c>
      <c r="B3156" s="42">
        <v>1359.92</v>
      </c>
      <c r="C3156" s="43">
        <v>0.1</v>
      </c>
      <c r="D3156" s="45">
        <v>45962</v>
      </c>
      <c r="E3156" s="45">
        <v>45991.999305555553</v>
      </c>
      <c r="F3156" s="42" t="s">
        <v>475</v>
      </c>
    </row>
    <row r="3157" spans="1:6" x14ac:dyDescent="0.35">
      <c r="A3157" s="42" t="s">
        <v>750</v>
      </c>
      <c r="B3157" s="42">
        <v>1359.92</v>
      </c>
      <c r="C3157" s="43">
        <v>0.1</v>
      </c>
      <c r="D3157" s="45">
        <v>45962</v>
      </c>
      <c r="E3157" s="45">
        <v>45991.999305555553</v>
      </c>
      <c r="F3157" s="42" t="s">
        <v>475</v>
      </c>
    </row>
    <row r="3158" spans="1:6" x14ac:dyDescent="0.35">
      <c r="A3158" s="42" t="s">
        <v>35</v>
      </c>
      <c r="B3158" s="42">
        <v>1459.92</v>
      </c>
      <c r="C3158" s="43">
        <v>0.1</v>
      </c>
      <c r="D3158" s="45">
        <v>45962</v>
      </c>
      <c r="E3158" s="45">
        <v>45991.999305555553</v>
      </c>
      <c r="F3158" s="42" t="s">
        <v>475</v>
      </c>
    </row>
    <row r="3159" spans="1:6" x14ac:dyDescent="0.35">
      <c r="A3159" s="42" t="s">
        <v>705</v>
      </c>
      <c r="B3159" s="42">
        <v>1459.92</v>
      </c>
      <c r="C3159" s="43">
        <v>0.1</v>
      </c>
      <c r="D3159" s="45">
        <v>45962</v>
      </c>
      <c r="E3159" s="45">
        <v>45991.999305555553</v>
      </c>
      <c r="F3159" s="42" t="s">
        <v>475</v>
      </c>
    </row>
    <row r="3160" spans="1:6" x14ac:dyDescent="0.35">
      <c r="A3160" s="42" t="s">
        <v>594</v>
      </c>
      <c r="B3160" s="42">
        <v>1659.92</v>
      </c>
      <c r="C3160" s="43">
        <v>0.1</v>
      </c>
      <c r="D3160" s="45">
        <v>45962</v>
      </c>
      <c r="E3160" s="45">
        <v>45991.999305555553</v>
      </c>
      <c r="F3160" s="42" t="s">
        <v>475</v>
      </c>
    </row>
    <row r="3161" spans="1:6" x14ac:dyDescent="0.35">
      <c r="A3161" s="42" t="s">
        <v>268</v>
      </c>
      <c r="B3161" s="42">
        <v>1659.92</v>
      </c>
      <c r="C3161" s="43">
        <v>0.1</v>
      </c>
      <c r="D3161" s="45">
        <v>45962</v>
      </c>
      <c r="E3161" s="45">
        <v>45991.999305555553</v>
      </c>
      <c r="F3161" s="42" t="s">
        <v>475</v>
      </c>
    </row>
    <row r="3162" spans="1:6" x14ac:dyDescent="0.35">
      <c r="A3162" s="42" t="s">
        <v>619</v>
      </c>
      <c r="B3162" s="42">
        <v>1659.92</v>
      </c>
      <c r="C3162" s="43">
        <v>0.1</v>
      </c>
      <c r="D3162" s="45">
        <v>45962</v>
      </c>
      <c r="E3162" s="45">
        <v>45991.999305555553</v>
      </c>
      <c r="F3162" s="42" t="s">
        <v>475</v>
      </c>
    </row>
    <row r="3163" spans="1:6" x14ac:dyDescent="0.35">
      <c r="A3163" s="42" t="s">
        <v>51</v>
      </c>
      <c r="B3163" s="42">
        <v>2039.92</v>
      </c>
      <c r="C3163" s="43">
        <v>0.1</v>
      </c>
      <c r="D3163" s="45">
        <v>45962</v>
      </c>
      <c r="E3163" s="45">
        <v>45991.999305555553</v>
      </c>
      <c r="F3163" s="42" t="s">
        <v>475</v>
      </c>
    </row>
    <row r="3164" spans="1:6" x14ac:dyDescent="0.35">
      <c r="A3164" s="42" t="s">
        <v>15</v>
      </c>
      <c r="B3164" s="42">
        <v>419.92</v>
      </c>
      <c r="C3164" s="43">
        <v>0.1</v>
      </c>
      <c r="D3164" s="45">
        <v>45962</v>
      </c>
      <c r="E3164" s="45">
        <v>45991.999305555553</v>
      </c>
      <c r="F3164" s="42" t="s">
        <v>475</v>
      </c>
    </row>
    <row r="3165" spans="1:6" x14ac:dyDescent="0.35">
      <c r="A3165" s="42" t="s">
        <v>16</v>
      </c>
      <c r="B3165" s="42">
        <v>419.92</v>
      </c>
      <c r="C3165" s="43">
        <v>0.1</v>
      </c>
      <c r="D3165" s="45">
        <v>45962</v>
      </c>
      <c r="E3165" s="45">
        <v>45991.999305555553</v>
      </c>
      <c r="F3165" s="42" t="s">
        <v>475</v>
      </c>
    </row>
    <row r="3166" spans="1:6" x14ac:dyDescent="0.35">
      <c r="A3166" s="42" t="s">
        <v>782</v>
      </c>
      <c r="B3166" s="42">
        <v>419.92</v>
      </c>
      <c r="C3166" s="43">
        <v>0.1</v>
      </c>
      <c r="D3166" s="45">
        <v>45962</v>
      </c>
      <c r="E3166" s="45">
        <v>45991.999305555553</v>
      </c>
      <c r="F3166" s="42" t="s">
        <v>475</v>
      </c>
    </row>
    <row r="3167" spans="1:6" x14ac:dyDescent="0.35">
      <c r="A3167" s="42" t="s">
        <v>783</v>
      </c>
      <c r="B3167" s="42">
        <v>419.92</v>
      </c>
      <c r="C3167" s="43">
        <v>0.1</v>
      </c>
      <c r="D3167" s="45">
        <v>45962</v>
      </c>
      <c r="E3167" s="45">
        <v>45991.999305555553</v>
      </c>
      <c r="F3167" s="42" t="s">
        <v>475</v>
      </c>
    </row>
    <row r="3168" spans="1:6" x14ac:dyDescent="0.35">
      <c r="A3168" s="42" t="s">
        <v>784</v>
      </c>
      <c r="B3168" s="42">
        <v>419.92</v>
      </c>
      <c r="C3168" s="43">
        <v>0.1</v>
      </c>
      <c r="D3168" s="45">
        <v>45962</v>
      </c>
      <c r="E3168" s="45">
        <v>45991.999305555553</v>
      </c>
      <c r="F3168" s="42" t="s">
        <v>475</v>
      </c>
    </row>
    <row r="3169" spans="1:6" x14ac:dyDescent="0.35">
      <c r="A3169" s="42" t="s">
        <v>852</v>
      </c>
      <c r="B3169" s="42">
        <v>419.92</v>
      </c>
      <c r="C3169" s="43">
        <v>0.1</v>
      </c>
      <c r="D3169" s="45">
        <v>45962</v>
      </c>
      <c r="E3169" s="45">
        <v>45991.999305555553</v>
      </c>
      <c r="F3169" s="42" t="s">
        <v>475</v>
      </c>
    </row>
    <row r="3170" spans="1:6" x14ac:dyDescent="0.35">
      <c r="A3170" s="42" t="s">
        <v>853</v>
      </c>
      <c r="B3170" s="42">
        <v>419.92</v>
      </c>
      <c r="C3170" s="43">
        <v>0.1</v>
      </c>
      <c r="D3170" s="45">
        <v>45962</v>
      </c>
      <c r="E3170" s="45">
        <v>45991.999305555553</v>
      </c>
      <c r="F3170" s="42" t="s">
        <v>475</v>
      </c>
    </row>
    <row r="3171" spans="1:6" x14ac:dyDescent="0.35">
      <c r="A3171" s="42" t="s">
        <v>854</v>
      </c>
      <c r="B3171" s="42">
        <v>419.92</v>
      </c>
      <c r="C3171" s="43">
        <v>0.1</v>
      </c>
      <c r="D3171" s="45">
        <v>45962</v>
      </c>
      <c r="E3171" s="45">
        <v>45991.999305555553</v>
      </c>
      <c r="F3171" s="42" t="s">
        <v>475</v>
      </c>
    </row>
    <row r="3172" spans="1:6" x14ac:dyDescent="0.35">
      <c r="A3172" s="42" t="s">
        <v>855</v>
      </c>
      <c r="B3172" s="42">
        <v>419.92</v>
      </c>
      <c r="C3172" s="43">
        <v>0.1</v>
      </c>
      <c r="D3172" s="45">
        <v>45962</v>
      </c>
      <c r="E3172" s="45">
        <v>45991.999305555553</v>
      </c>
      <c r="F3172" s="42" t="s">
        <v>475</v>
      </c>
    </row>
    <row r="3173" spans="1:6" x14ac:dyDescent="0.35">
      <c r="A3173" s="42" t="s">
        <v>891</v>
      </c>
      <c r="B3173" s="42">
        <v>419.92</v>
      </c>
      <c r="C3173" s="43">
        <v>0.1</v>
      </c>
      <c r="D3173" s="45">
        <v>45962</v>
      </c>
      <c r="E3173" s="45">
        <v>45991.999305555553</v>
      </c>
      <c r="F3173" s="42" t="s">
        <v>475</v>
      </c>
    </row>
    <row r="3174" spans="1:6" x14ac:dyDescent="0.35">
      <c r="A3174" s="42" t="s">
        <v>892</v>
      </c>
      <c r="B3174" s="42">
        <v>419.92</v>
      </c>
      <c r="C3174" s="43">
        <v>0.1</v>
      </c>
      <c r="D3174" s="45">
        <v>45962</v>
      </c>
      <c r="E3174" s="45">
        <v>45991.999305555553</v>
      </c>
      <c r="F3174" s="42" t="s">
        <v>475</v>
      </c>
    </row>
    <row r="3175" spans="1:6" x14ac:dyDescent="0.35">
      <c r="A3175" s="42" t="s">
        <v>582</v>
      </c>
      <c r="B3175" s="42">
        <v>519.92000000000007</v>
      </c>
      <c r="C3175" s="43">
        <v>0.1</v>
      </c>
      <c r="D3175" s="45">
        <v>45962</v>
      </c>
      <c r="E3175" s="45">
        <v>45991.999305555553</v>
      </c>
      <c r="F3175" s="42" t="s">
        <v>475</v>
      </c>
    </row>
    <row r="3176" spans="1:6" x14ac:dyDescent="0.35">
      <c r="A3176" s="42" t="s">
        <v>54</v>
      </c>
      <c r="B3176" s="42">
        <v>519.92000000000007</v>
      </c>
      <c r="C3176" s="43">
        <v>0.1</v>
      </c>
      <c r="D3176" s="45">
        <v>45962</v>
      </c>
      <c r="E3176" s="45">
        <v>45991.999305555553</v>
      </c>
      <c r="F3176" s="42" t="s">
        <v>475</v>
      </c>
    </row>
    <row r="3177" spans="1:6" x14ac:dyDescent="0.35">
      <c r="A3177" s="42" t="s">
        <v>79</v>
      </c>
      <c r="B3177" s="42">
        <v>519.92000000000007</v>
      </c>
      <c r="C3177" s="43">
        <v>0.1</v>
      </c>
      <c r="D3177" s="45">
        <v>45962</v>
      </c>
      <c r="E3177" s="45">
        <v>45991.999305555553</v>
      </c>
      <c r="F3177" s="42" t="s">
        <v>475</v>
      </c>
    </row>
    <row r="3178" spans="1:6" x14ac:dyDescent="0.35">
      <c r="A3178" s="42" t="s">
        <v>404</v>
      </c>
      <c r="B3178" s="42">
        <v>519.92000000000007</v>
      </c>
      <c r="C3178" s="43">
        <v>0.1</v>
      </c>
      <c r="D3178" s="45">
        <v>45962</v>
      </c>
      <c r="E3178" s="45">
        <v>45991.999305555553</v>
      </c>
      <c r="F3178" s="42" t="s">
        <v>475</v>
      </c>
    </row>
    <row r="3179" spans="1:6" x14ac:dyDescent="0.35">
      <c r="A3179" s="42" t="s">
        <v>550</v>
      </c>
      <c r="B3179" s="42">
        <v>719.92</v>
      </c>
      <c r="C3179" s="43">
        <v>0.1</v>
      </c>
      <c r="D3179" s="45">
        <v>45962</v>
      </c>
      <c r="E3179" s="45">
        <v>45991.999305555553</v>
      </c>
      <c r="F3179" s="42" t="s">
        <v>475</v>
      </c>
    </row>
    <row r="3180" spans="1:6" x14ac:dyDescent="0.35">
      <c r="A3180" s="42" t="s">
        <v>477</v>
      </c>
      <c r="B3180" s="42">
        <v>719.92</v>
      </c>
      <c r="C3180" s="43">
        <v>0.1</v>
      </c>
      <c r="D3180" s="45">
        <v>45962</v>
      </c>
      <c r="E3180" s="45">
        <v>45991.999305555553</v>
      </c>
      <c r="F3180" s="42" t="s">
        <v>475</v>
      </c>
    </row>
    <row r="3181" spans="1:6" x14ac:dyDescent="0.35">
      <c r="A3181" s="42" t="s">
        <v>478</v>
      </c>
      <c r="B3181" s="42">
        <v>719.92</v>
      </c>
      <c r="C3181" s="43">
        <v>0.1</v>
      </c>
      <c r="D3181" s="45">
        <v>45962</v>
      </c>
      <c r="E3181" s="45">
        <v>45991.999305555553</v>
      </c>
      <c r="F3181" s="42" t="s">
        <v>475</v>
      </c>
    </row>
    <row r="3182" spans="1:6" x14ac:dyDescent="0.35">
      <c r="A3182" s="42" t="s">
        <v>55</v>
      </c>
      <c r="B3182" s="42">
        <v>719.92</v>
      </c>
      <c r="C3182" s="43">
        <v>0.1</v>
      </c>
      <c r="D3182" s="45">
        <v>45962</v>
      </c>
      <c r="E3182" s="45">
        <v>45991.999305555553</v>
      </c>
      <c r="F3182" s="42" t="s">
        <v>475</v>
      </c>
    </row>
    <row r="3183" spans="1:6" x14ac:dyDescent="0.35">
      <c r="A3183" s="42" t="s">
        <v>29</v>
      </c>
      <c r="B3183" s="42">
        <v>719.92</v>
      </c>
      <c r="C3183" s="43">
        <v>0.1</v>
      </c>
      <c r="D3183" s="45">
        <v>45962</v>
      </c>
      <c r="E3183" s="45">
        <v>45991.999305555553</v>
      </c>
      <c r="F3183" s="42" t="s">
        <v>475</v>
      </c>
    </row>
    <row r="3184" spans="1:6" x14ac:dyDescent="0.35">
      <c r="A3184" s="42" t="s">
        <v>265</v>
      </c>
      <c r="B3184" s="42">
        <v>719.92</v>
      </c>
      <c r="C3184" s="43">
        <v>0.1</v>
      </c>
      <c r="D3184" s="45">
        <v>45962</v>
      </c>
      <c r="E3184" s="45">
        <v>45991.999305555553</v>
      </c>
      <c r="F3184" s="42" t="s">
        <v>475</v>
      </c>
    </row>
    <row r="3185" spans="1:6" x14ac:dyDescent="0.35">
      <c r="A3185" s="42" t="s">
        <v>785</v>
      </c>
      <c r="B3185" s="42">
        <v>719.92</v>
      </c>
      <c r="C3185" s="43">
        <v>0.1</v>
      </c>
      <c r="D3185" s="45">
        <v>45962</v>
      </c>
      <c r="E3185" s="45">
        <v>45991.999305555553</v>
      </c>
      <c r="F3185" s="42" t="s">
        <v>475</v>
      </c>
    </row>
    <row r="3186" spans="1:6" x14ac:dyDescent="0.35">
      <c r="A3186" s="42" t="s">
        <v>786</v>
      </c>
      <c r="B3186" s="42">
        <v>719.92</v>
      </c>
      <c r="C3186" s="43">
        <v>0.1</v>
      </c>
      <c r="D3186" s="45">
        <v>45962</v>
      </c>
      <c r="E3186" s="45">
        <v>45991.999305555553</v>
      </c>
      <c r="F3186" s="42" t="s">
        <v>475</v>
      </c>
    </row>
    <row r="3187" spans="1:6" x14ac:dyDescent="0.35">
      <c r="A3187" s="42" t="s">
        <v>787</v>
      </c>
      <c r="B3187" s="42">
        <v>719.92</v>
      </c>
      <c r="C3187" s="43">
        <v>0.1</v>
      </c>
      <c r="D3187" s="45">
        <v>45962</v>
      </c>
      <c r="E3187" s="45">
        <v>45991.999305555553</v>
      </c>
      <c r="F3187" s="42" t="s">
        <v>475</v>
      </c>
    </row>
    <row r="3188" spans="1:6" x14ac:dyDescent="0.35">
      <c r="A3188" s="42" t="s">
        <v>592</v>
      </c>
      <c r="B3188" s="42">
        <v>819.92</v>
      </c>
      <c r="C3188" s="43">
        <v>0.1</v>
      </c>
      <c r="D3188" s="45">
        <v>45962</v>
      </c>
      <c r="E3188" s="45">
        <v>45991.999305555553</v>
      </c>
      <c r="F3188" s="42" t="s">
        <v>475</v>
      </c>
    </row>
    <row r="3189" spans="1:6" x14ac:dyDescent="0.35">
      <c r="A3189" s="42" t="s">
        <v>504</v>
      </c>
      <c r="B3189" s="42">
        <v>1219.92</v>
      </c>
      <c r="C3189" s="43">
        <v>0.1</v>
      </c>
      <c r="D3189" s="45">
        <v>45962</v>
      </c>
      <c r="E3189" s="45">
        <v>45991.999305555553</v>
      </c>
      <c r="F3189" s="42" t="s">
        <v>475</v>
      </c>
    </row>
    <row r="3190" spans="1:6" x14ac:dyDescent="0.35">
      <c r="A3190" s="42" t="s">
        <v>606</v>
      </c>
      <c r="B3190" s="42">
        <v>1219.92</v>
      </c>
      <c r="C3190" s="43">
        <v>0.1</v>
      </c>
      <c r="D3190" s="45">
        <v>45962</v>
      </c>
      <c r="E3190" s="45">
        <v>45991.999305555553</v>
      </c>
      <c r="F3190" s="42" t="s">
        <v>475</v>
      </c>
    </row>
    <row r="3191" spans="1:6" x14ac:dyDescent="0.35">
      <c r="A3191" s="42" t="s">
        <v>624</v>
      </c>
      <c r="B3191" s="42">
        <v>1219.92</v>
      </c>
      <c r="C3191" s="43">
        <v>0.1</v>
      </c>
      <c r="D3191" s="45">
        <v>45962</v>
      </c>
      <c r="E3191" s="45">
        <v>45991.999305555553</v>
      </c>
      <c r="F3191" s="42" t="s">
        <v>475</v>
      </c>
    </row>
    <row r="3192" spans="1:6" x14ac:dyDescent="0.35">
      <c r="A3192" s="42" t="s">
        <v>61</v>
      </c>
      <c r="B3192" s="42">
        <v>1219.92</v>
      </c>
      <c r="C3192" s="43">
        <v>0.1</v>
      </c>
      <c r="D3192" s="45">
        <v>45962</v>
      </c>
      <c r="E3192" s="45">
        <v>45991.999305555553</v>
      </c>
      <c r="F3192" s="42" t="s">
        <v>475</v>
      </c>
    </row>
    <row r="3193" spans="1:6" x14ac:dyDescent="0.35">
      <c r="A3193" s="42" t="s">
        <v>304</v>
      </c>
      <c r="B3193" s="42">
        <v>1219.92</v>
      </c>
      <c r="C3193" s="43">
        <v>0.1</v>
      </c>
      <c r="D3193" s="45">
        <v>45962</v>
      </c>
      <c r="E3193" s="45">
        <v>45991.999305555553</v>
      </c>
      <c r="F3193" s="42" t="s">
        <v>475</v>
      </c>
    </row>
    <row r="3194" spans="1:6" x14ac:dyDescent="0.35">
      <c r="A3194" s="42" t="s">
        <v>667</v>
      </c>
      <c r="B3194" s="42">
        <v>1219.92</v>
      </c>
      <c r="C3194" s="43">
        <v>0.1</v>
      </c>
      <c r="D3194" s="45">
        <v>45962</v>
      </c>
      <c r="E3194" s="45">
        <v>45991.999305555553</v>
      </c>
      <c r="F3194" s="42" t="s">
        <v>475</v>
      </c>
    </row>
    <row r="3195" spans="1:6" x14ac:dyDescent="0.35">
      <c r="A3195" s="42" t="s">
        <v>724</v>
      </c>
      <c r="B3195" s="42">
        <v>1219.92</v>
      </c>
      <c r="C3195" s="43">
        <v>0.1</v>
      </c>
      <c r="D3195" s="45">
        <v>45962</v>
      </c>
      <c r="E3195" s="45">
        <v>45991.999305555553</v>
      </c>
      <c r="F3195" s="42" t="s">
        <v>475</v>
      </c>
    </row>
    <row r="3196" spans="1:6" x14ac:dyDescent="0.35">
      <c r="A3196" s="42" t="s">
        <v>725</v>
      </c>
      <c r="B3196" s="42">
        <v>1219.92</v>
      </c>
      <c r="C3196" s="43">
        <v>0.1</v>
      </c>
      <c r="D3196" s="45">
        <v>45962</v>
      </c>
      <c r="E3196" s="45">
        <v>45991.999305555553</v>
      </c>
      <c r="F3196" s="42" t="s">
        <v>475</v>
      </c>
    </row>
    <row r="3197" spans="1:6" x14ac:dyDescent="0.35">
      <c r="A3197" s="42" t="s">
        <v>726</v>
      </c>
      <c r="B3197" s="42">
        <v>1219.92</v>
      </c>
      <c r="C3197" s="43">
        <v>0.1</v>
      </c>
      <c r="D3197" s="45">
        <v>45962</v>
      </c>
      <c r="E3197" s="45">
        <v>45991.999305555553</v>
      </c>
      <c r="F3197" s="42" t="s">
        <v>475</v>
      </c>
    </row>
    <row r="3198" spans="1:6" x14ac:dyDescent="0.35">
      <c r="A3198" s="42" t="s">
        <v>727</v>
      </c>
      <c r="B3198" s="42">
        <v>1219.92</v>
      </c>
      <c r="C3198" s="43">
        <v>0.1</v>
      </c>
      <c r="D3198" s="45">
        <v>45962</v>
      </c>
      <c r="E3198" s="45">
        <v>45991.999305555553</v>
      </c>
      <c r="F3198" s="42" t="s">
        <v>475</v>
      </c>
    </row>
    <row r="3199" spans="1:6" x14ac:dyDescent="0.35">
      <c r="A3199" s="42" t="s">
        <v>134</v>
      </c>
      <c r="B3199" s="42">
        <v>1319.92</v>
      </c>
      <c r="C3199" s="43">
        <v>0.1</v>
      </c>
      <c r="D3199" s="45">
        <v>45962</v>
      </c>
      <c r="E3199" s="45">
        <v>45991.999305555553</v>
      </c>
      <c r="F3199" s="42" t="s">
        <v>475</v>
      </c>
    </row>
    <row r="3200" spans="1:6" x14ac:dyDescent="0.35">
      <c r="A3200" s="42" t="s">
        <v>530</v>
      </c>
      <c r="B3200" s="42">
        <v>1319.92</v>
      </c>
      <c r="C3200" s="43">
        <v>0.1</v>
      </c>
      <c r="D3200" s="45">
        <v>45962</v>
      </c>
      <c r="E3200" s="45">
        <v>45991.999305555553</v>
      </c>
      <c r="F3200" s="42" t="s">
        <v>475</v>
      </c>
    </row>
    <row r="3201" spans="1:6" x14ac:dyDescent="0.35">
      <c r="A3201" s="42" t="s">
        <v>671</v>
      </c>
      <c r="B3201" s="42">
        <v>1319.92</v>
      </c>
      <c r="C3201" s="43">
        <v>0.1</v>
      </c>
      <c r="D3201" s="45">
        <v>45962</v>
      </c>
      <c r="E3201" s="45">
        <v>45991.999305555553</v>
      </c>
      <c r="F3201" s="42" t="s">
        <v>475</v>
      </c>
    </row>
    <row r="3202" spans="1:6" x14ac:dyDescent="0.35">
      <c r="A3202" s="42" t="s">
        <v>780</v>
      </c>
      <c r="B3202" s="42">
        <v>1819.92</v>
      </c>
      <c r="C3202" s="43">
        <v>0.1</v>
      </c>
      <c r="D3202" s="45">
        <v>45962</v>
      </c>
      <c r="E3202" s="45">
        <v>45991.999305555553</v>
      </c>
      <c r="F3202" s="42" t="s">
        <v>475</v>
      </c>
    </row>
    <row r="3203" spans="1:6" x14ac:dyDescent="0.35">
      <c r="A3203" s="42" t="s">
        <v>406</v>
      </c>
      <c r="B3203" s="42">
        <v>1919.92</v>
      </c>
      <c r="C3203" s="43">
        <v>0.1</v>
      </c>
      <c r="D3203" s="45">
        <v>45962</v>
      </c>
      <c r="E3203" s="45">
        <v>45991.999305555553</v>
      </c>
      <c r="F3203" s="42" t="s">
        <v>475</v>
      </c>
    </row>
    <row r="3204" spans="1:6" x14ac:dyDescent="0.35">
      <c r="A3204" s="42" t="s">
        <v>670</v>
      </c>
      <c r="B3204" s="42">
        <v>1919.92</v>
      </c>
      <c r="C3204" s="43">
        <v>0.1</v>
      </c>
      <c r="D3204" s="45">
        <v>45962</v>
      </c>
      <c r="E3204" s="45">
        <v>45991.999305555553</v>
      </c>
      <c r="F3204" s="42" t="s">
        <v>475</v>
      </c>
    </row>
    <row r="3205" spans="1:6" x14ac:dyDescent="0.35">
      <c r="A3205" s="42" t="s">
        <v>804</v>
      </c>
      <c r="B3205" s="42">
        <v>1919.92</v>
      </c>
      <c r="C3205" s="43">
        <v>0.1</v>
      </c>
      <c r="D3205" s="45">
        <v>45962</v>
      </c>
      <c r="E3205" s="45">
        <v>45991.999305555553</v>
      </c>
      <c r="F3205" s="42" t="s">
        <v>475</v>
      </c>
    </row>
    <row r="3206" spans="1:6" x14ac:dyDescent="0.35">
      <c r="A3206" s="42" t="s">
        <v>806</v>
      </c>
      <c r="B3206" s="42">
        <v>1919.92</v>
      </c>
      <c r="C3206" s="43">
        <v>0.1</v>
      </c>
      <c r="D3206" s="45">
        <v>45962</v>
      </c>
      <c r="E3206" s="45">
        <v>45991.999305555553</v>
      </c>
      <c r="F3206" s="42" t="s">
        <v>475</v>
      </c>
    </row>
    <row r="3207" spans="1:6" x14ac:dyDescent="0.35">
      <c r="A3207" s="42" t="s">
        <v>841</v>
      </c>
      <c r="B3207" s="42">
        <v>1919.92</v>
      </c>
      <c r="C3207" s="43">
        <v>0.1</v>
      </c>
      <c r="D3207" s="45">
        <v>45962</v>
      </c>
      <c r="E3207" s="45">
        <v>45991.999305555553</v>
      </c>
      <c r="F3207" s="42" t="s">
        <v>475</v>
      </c>
    </row>
    <row r="3208" spans="1:6" x14ac:dyDescent="0.35">
      <c r="A3208" s="42" t="s">
        <v>842</v>
      </c>
      <c r="B3208" s="42">
        <v>1919.92</v>
      </c>
      <c r="C3208" s="43">
        <v>0.1</v>
      </c>
      <c r="D3208" s="45">
        <v>45962</v>
      </c>
      <c r="E3208" s="45">
        <v>45991.999305555553</v>
      </c>
      <c r="F3208" s="42" t="s">
        <v>475</v>
      </c>
    </row>
    <row r="3209" spans="1:6" x14ac:dyDescent="0.35">
      <c r="A3209" s="42" t="s">
        <v>843</v>
      </c>
      <c r="B3209" s="42">
        <v>1919.92</v>
      </c>
      <c r="C3209" s="43">
        <v>0.1</v>
      </c>
      <c r="D3209" s="45">
        <v>45962</v>
      </c>
      <c r="E3209" s="45">
        <v>45991.999305555553</v>
      </c>
      <c r="F3209" s="42" t="s">
        <v>475</v>
      </c>
    </row>
    <row r="3210" spans="1:6" x14ac:dyDescent="0.35">
      <c r="A3210" s="42" t="s">
        <v>547</v>
      </c>
      <c r="B3210" s="42">
        <v>229.92</v>
      </c>
      <c r="C3210" s="43">
        <v>0.1</v>
      </c>
      <c r="D3210" s="45">
        <v>45962</v>
      </c>
      <c r="E3210" s="45">
        <v>45991.999305555553</v>
      </c>
      <c r="F3210" s="42" t="s">
        <v>475</v>
      </c>
    </row>
    <row r="3211" spans="1:6" x14ac:dyDescent="0.35">
      <c r="A3211" s="42" t="s">
        <v>570</v>
      </c>
      <c r="B3211" s="42">
        <v>229.92</v>
      </c>
      <c r="C3211" s="43">
        <v>0.1</v>
      </c>
      <c r="D3211" s="45">
        <v>45962</v>
      </c>
      <c r="E3211" s="45">
        <v>45991.999305555553</v>
      </c>
      <c r="F3211" s="42" t="s">
        <v>475</v>
      </c>
    </row>
    <row r="3212" spans="1:6" x14ac:dyDescent="0.35">
      <c r="A3212" s="42" t="s">
        <v>554</v>
      </c>
      <c r="B3212" s="42">
        <v>329.92</v>
      </c>
      <c r="C3212" s="43">
        <v>0.1</v>
      </c>
      <c r="D3212" s="45">
        <v>45962</v>
      </c>
      <c r="E3212" s="45">
        <v>45991.999305555553</v>
      </c>
      <c r="F3212" s="42" t="s">
        <v>475</v>
      </c>
    </row>
    <row r="3213" spans="1:6" x14ac:dyDescent="0.35">
      <c r="A3213" s="42" t="s">
        <v>534</v>
      </c>
      <c r="B3213" s="42">
        <v>329.92</v>
      </c>
      <c r="C3213" s="43">
        <v>0.1</v>
      </c>
      <c r="D3213" s="45">
        <v>45962</v>
      </c>
      <c r="E3213" s="45">
        <v>45991.999305555553</v>
      </c>
      <c r="F3213" s="42" t="s">
        <v>475</v>
      </c>
    </row>
    <row r="3214" spans="1:6" x14ac:dyDescent="0.35">
      <c r="A3214" s="42" t="s">
        <v>171</v>
      </c>
      <c r="B3214" s="42">
        <v>429.92</v>
      </c>
      <c r="C3214" s="43">
        <v>0.1</v>
      </c>
      <c r="D3214" s="45">
        <v>45962</v>
      </c>
      <c r="E3214" s="45">
        <v>45991.999305555553</v>
      </c>
      <c r="F3214" s="42" t="s">
        <v>475</v>
      </c>
    </row>
    <row r="3215" spans="1:6" x14ac:dyDescent="0.35">
      <c r="A3215" s="42" t="s">
        <v>576</v>
      </c>
      <c r="B3215" s="42">
        <v>429.92</v>
      </c>
      <c r="C3215" s="43">
        <v>0.1</v>
      </c>
      <c r="D3215" s="45">
        <v>45962</v>
      </c>
      <c r="E3215" s="45">
        <v>45991.999305555553</v>
      </c>
      <c r="F3215" s="42" t="s">
        <v>475</v>
      </c>
    </row>
    <row r="3216" spans="1:6" x14ac:dyDescent="0.35">
      <c r="A3216" s="42" t="s">
        <v>844</v>
      </c>
      <c r="B3216" s="42">
        <v>429.92</v>
      </c>
      <c r="C3216" s="43">
        <v>0.1</v>
      </c>
      <c r="D3216" s="45">
        <v>45962</v>
      </c>
      <c r="E3216" s="45">
        <v>45991.999305555553</v>
      </c>
      <c r="F3216" s="42" t="s">
        <v>475</v>
      </c>
    </row>
    <row r="3217" spans="1:6" x14ac:dyDescent="0.35">
      <c r="A3217" s="42" t="s">
        <v>845</v>
      </c>
      <c r="B3217" s="42">
        <v>429.92</v>
      </c>
      <c r="C3217" s="43">
        <v>0.1</v>
      </c>
      <c r="D3217" s="45">
        <v>45962</v>
      </c>
      <c r="E3217" s="45">
        <v>45991.999305555553</v>
      </c>
      <c r="F3217" s="42" t="s">
        <v>475</v>
      </c>
    </row>
    <row r="3218" spans="1:6" x14ac:dyDescent="0.35">
      <c r="A3218" s="42" t="s">
        <v>111</v>
      </c>
      <c r="B3218" s="42">
        <v>539.91999999999996</v>
      </c>
      <c r="C3218" s="43">
        <v>0.1</v>
      </c>
      <c r="D3218" s="45">
        <v>45962</v>
      </c>
      <c r="E3218" s="45">
        <v>45991.999305555553</v>
      </c>
      <c r="F3218" s="42" t="s">
        <v>475</v>
      </c>
    </row>
    <row r="3219" spans="1:6" x14ac:dyDescent="0.35">
      <c r="A3219" s="42" t="s">
        <v>20</v>
      </c>
      <c r="B3219" s="42">
        <v>539.91999999999996</v>
      </c>
      <c r="C3219" s="43">
        <v>0.1</v>
      </c>
      <c r="D3219" s="45">
        <v>45962</v>
      </c>
      <c r="E3219" s="45">
        <v>45991.999305555553</v>
      </c>
      <c r="F3219" s="42" t="s">
        <v>475</v>
      </c>
    </row>
    <row r="3220" spans="1:6" x14ac:dyDescent="0.35">
      <c r="A3220" s="42" t="s">
        <v>602</v>
      </c>
      <c r="B3220" s="42">
        <v>539.91999999999996</v>
      </c>
      <c r="C3220" s="43">
        <v>0.1</v>
      </c>
      <c r="D3220" s="45">
        <v>45962</v>
      </c>
      <c r="E3220" s="45">
        <v>45991.999305555553</v>
      </c>
      <c r="F3220" s="42" t="s">
        <v>475</v>
      </c>
    </row>
    <row r="3221" spans="1:6" x14ac:dyDescent="0.35">
      <c r="A3221" s="42" t="s">
        <v>583</v>
      </c>
      <c r="B3221" s="42">
        <v>539.91999999999996</v>
      </c>
      <c r="C3221" s="43">
        <v>0.1</v>
      </c>
      <c r="D3221" s="45">
        <v>45962</v>
      </c>
      <c r="E3221" s="45">
        <v>45991.999305555553</v>
      </c>
      <c r="F3221" s="42" t="s">
        <v>475</v>
      </c>
    </row>
    <row r="3222" spans="1:6" x14ac:dyDescent="0.35">
      <c r="A3222" s="42" t="s">
        <v>529</v>
      </c>
      <c r="B3222" s="42">
        <v>539.91999999999996</v>
      </c>
      <c r="C3222" s="43">
        <v>0.1</v>
      </c>
      <c r="D3222" s="45">
        <v>45962</v>
      </c>
      <c r="E3222" s="45">
        <v>45991.999305555553</v>
      </c>
      <c r="F3222" s="42" t="s">
        <v>475</v>
      </c>
    </row>
    <row r="3223" spans="1:6" x14ac:dyDescent="0.35">
      <c r="A3223" s="42" t="s">
        <v>584</v>
      </c>
      <c r="B3223" s="42">
        <v>539.91999999999996</v>
      </c>
      <c r="C3223" s="43">
        <v>0.1</v>
      </c>
      <c r="D3223" s="45">
        <v>45962</v>
      </c>
      <c r="E3223" s="45">
        <v>45991.999305555553</v>
      </c>
      <c r="F3223" s="42" t="s">
        <v>475</v>
      </c>
    </row>
    <row r="3224" spans="1:6" x14ac:dyDescent="0.35">
      <c r="A3224" s="42" t="s">
        <v>19</v>
      </c>
      <c r="B3224" s="42">
        <v>539.91999999999996</v>
      </c>
      <c r="C3224" s="43">
        <v>0.1</v>
      </c>
      <c r="D3224" s="45">
        <v>45962</v>
      </c>
      <c r="E3224" s="45">
        <v>45991.999305555553</v>
      </c>
      <c r="F3224" s="42" t="s">
        <v>475</v>
      </c>
    </row>
    <row r="3225" spans="1:6" x14ac:dyDescent="0.35">
      <c r="A3225" s="42" t="s">
        <v>21</v>
      </c>
      <c r="B3225" s="42">
        <v>539.91999999999996</v>
      </c>
      <c r="C3225" s="43">
        <v>0.1</v>
      </c>
      <c r="D3225" s="45">
        <v>45962</v>
      </c>
      <c r="E3225" s="45">
        <v>45991.999305555553</v>
      </c>
      <c r="F3225" s="42" t="s">
        <v>475</v>
      </c>
    </row>
    <row r="3226" spans="1:6" x14ac:dyDescent="0.35">
      <c r="A3226" s="42" t="s">
        <v>71</v>
      </c>
      <c r="B3226" s="42">
        <v>539.91999999999996</v>
      </c>
      <c r="C3226" s="43">
        <v>0.1</v>
      </c>
      <c r="D3226" s="45">
        <v>45962</v>
      </c>
      <c r="E3226" s="45">
        <v>45991.999305555553</v>
      </c>
      <c r="F3226" s="42" t="s">
        <v>475</v>
      </c>
    </row>
    <row r="3227" spans="1:6" x14ac:dyDescent="0.35">
      <c r="A3227" s="42" t="s">
        <v>100</v>
      </c>
      <c r="B3227" s="42">
        <v>539.91999999999996</v>
      </c>
      <c r="C3227" s="43">
        <v>0.1</v>
      </c>
      <c r="D3227" s="45">
        <v>45962</v>
      </c>
      <c r="E3227" s="45">
        <v>45991.999305555553</v>
      </c>
      <c r="F3227" s="42" t="s">
        <v>475</v>
      </c>
    </row>
    <row r="3228" spans="1:6" x14ac:dyDescent="0.35">
      <c r="A3228" s="42" t="s">
        <v>833</v>
      </c>
      <c r="B3228" s="42">
        <v>539.91999999999996</v>
      </c>
      <c r="C3228" s="43">
        <v>0.1</v>
      </c>
      <c r="D3228" s="45">
        <v>45962</v>
      </c>
      <c r="E3228" s="45">
        <v>45991.999305555553</v>
      </c>
      <c r="F3228" s="42" t="s">
        <v>475</v>
      </c>
    </row>
    <row r="3229" spans="1:6" x14ac:dyDescent="0.35">
      <c r="A3229" s="42" t="s">
        <v>834</v>
      </c>
      <c r="B3229" s="42">
        <v>539.91999999999996</v>
      </c>
      <c r="C3229" s="43">
        <v>0.1</v>
      </c>
      <c r="D3229" s="45">
        <v>45962</v>
      </c>
      <c r="E3229" s="45">
        <v>45991.999305555553</v>
      </c>
      <c r="F3229" s="42" t="s">
        <v>475</v>
      </c>
    </row>
    <row r="3230" spans="1:6" x14ac:dyDescent="0.35">
      <c r="A3230" s="42" t="s">
        <v>835</v>
      </c>
      <c r="B3230" s="42">
        <v>539.91999999999996</v>
      </c>
      <c r="C3230" s="43">
        <v>0.1</v>
      </c>
      <c r="D3230" s="45">
        <v>45962</v>
      </c>
      <c r="E3230" s="45">
        <v>45991.999305555553</v>
      </c>
      <c r="F3230" s="42" t="s">
        <v>475</v>
      </c>
    </row>
    <row r="3231" spans="1:6" x14ac:dyDescent="0.35">
      <c r="A3231" s="42" t="s">
        <v>836</v>
      </c>
      <c r="B3231" s="42">
        <v>539.91999999999996</v>
      </c>
      <c r="C3231" s="43">
        <v>0.1</v>
      </c>
      <c r="D3231" s="45">
        <v>45962</v>
      </c>
      <c r="E3231" s="45">
        <v>45991.999305555553</v>
      </c>
      <c r="F3231" s="42" t="s">
        <v>475</v>
      </c>
    </row>
    <row r="3232" spans="1:6" x14ac:dyDescent="0.35">
      <c r="A3232" s="42" t="s">
        <v>837</v>
      </c>
      <c r="B3232" s="42">
        <v>539.91999999999996</v>
      </c>
      <c r="C3232" s="43">
        <v>0.1</v>
      </c>
      <c r="D3232" s="45">
        <v>45962</v>
      </c>
      <c r="E3232" s="45">
        <v>45991.999305555553</v>
      </c>
      <c r="F3232" s="42" t="s">
        <v>475</v>
      </c>
    </row>
    <row r="3233" spans="1:6" x14ac:dyDescent="0.35">
      <c r="A3233" s="42" t="s">
        <v>838</v>
      </c>
      <c r="B3233" s="42">
        <v>539.91999999999996</v>
      </c>
      <c r="C3233" s="43">
        <v>0.1</v>
      </c>
      <c r="D3233" s="45">
        <v>45962</v>
      </c>
      <c r="E3233" s="45">
        <v>45991.999305555553</v>
      </c>
      <c r="F3233" s="42" t="s">
        <v>475</v>
      </c>
    </row>
    <row r="3234" spans="1:6" x14ac:dyDescent="0.35">
      <c r="A3234" s="42" t="s">
        <v>839</v>
      </c>
      <c r="B3234" s="42">
        <v>539.91999999999996</v>
      </c>
      <c r="C3234" s="43">
        <v>0.1</v>
      </c>
      <c r="D3234" s="45">
        <v>45962</v>
      </c>
      <c r="E3234" s="45">
        <v>45991.999305555553</v>
      </c>
      <c r="F3234" s="42" t="s">
        <v>475</v>
      </c>
    </row>
    <row r="3235" spans="1:6" x14ac:dyDescent="0.35">
      <c r="A3235" s="42" t="s">
        <v>840</v>
      </c>
      <c r="B3235" s="42">
        <v>539.91999999999996</v>
      </c>
      <c r="C3235" s="43">
        <v>0.1</v>
      </c>
      <c r="D3235" s="45">
        <v>45962</v>
      </c>
      <c r="E3235" s="45">
        <v>45991.999305555553</v>
      </c>
      <c r="F3235" s="42" t="s">
        <v>475</v>
      </c>
    </row>
    <row r="3236" spans="1:6" x14ac:dyDescent="0.35">
      <c r="A3236" s="42" t="s">
        <v>856</v>
      </c>
      <c r="B3236" s="42">
        <v>539.91999999999996</v>
      </c>
      <c r="C3236" s="43">
        <v>0.1</v>
      </c>
      <c r="D3236" s="45">
        <v>45962</v>
      </c>
      <c r="E3236" s="45">
        <v>45991.999305555553</v>
      </c>
      <c r="F3236" s="42" t="s">
        <v>475</v>
      </c>
    </row>
    <row r="3237" spans="1:6" x14ac:dyDescent="0.35">
      <c r="A3237" s="42" t="s">
        <v>857</v>
      </c>
      <c r="B3237" s="42">
        <v>539.91999999999996</v>
      </c>
      <c r="C3237" s="43">
        <v>0.1</v>
      </c>
      <c r="D3237" s="45">
        <v>45962</v>
      </c>
      <c r="E3237" s="45">
        <v>45991.999305555553</v>
      </c>
      <c r="F3237" s="42" t="s">
        <v>475</v>
      </c>
    </row>
    <row r="3238" spans="1:6" x14ac:dyDescent="0.35">
      <c r="A3238" s="42" t="s">
        <v>858</v>
      </c>
      <c r="B3238" s="42">
        <v>539.91999999999996</v>
      </c>
      <c r="C3238" s="43">
        <v>0.1</v>
      </c>
      <c r="D3238" s="45">
        <v>45962</v>
      </c>
      <c r="E3238" s="45">
        <v>45991.999305555553</v>
      </c>
      <c r="F3238" s="42" t="s">
        <v>475</v>
      </c>
    </row>
    <row r="3239" spans="1:6" x14ac:dyDescent="0.35">
      <c r="A3239" s="42" t="s">
        <v>859</v>
      </c>
      <c r="B3239" s="42">
        <v>539.91999999999996</v>
      </c>
      <c r="C3239" s="43">
        <v>0.1</v>
      </c>
      <c r="D3239" s="45">
        <v>45962</v>
      </c>
      <c r="E3239" s="45">
        <v>45991.999305555553</v>
      </c>
      <c r="F3239" s="42" t="s">
        <v>475</v>
      </c>
    </row>
    <row r="3240" spans="1:6" x14ac:dyDescent="0.35">
      <c r="A3240" s="42" t="s">
        <v>860</v>
      </c>
      <c r="B3240" s="42">
        <v>539.91999999999996</v>
      </c>
      <c r="C3240" s="43">
        <v>0.1</v>
      </c>
      <c r="D3240" s="45">
        <v>45962</v>
      </c>
      <c r="E3240" s="45">
        <v>45991.999305555553</v>
      </c>
      <c r="F3240" s="42" t="s">
        <v>475</v>
      </c>
    </row>
    <row r="3241" spans="1:6" x14ac:dyDescent="0.35">
      <c r="A3241" s="42" t="s">
        <v>861</v>
      </c>
      <c r="B3241" s="42">
        <v>539.91999999999996</v>
      </c>
      <c r="C3241" s="43">
        <v>0.1</v>
      </c>
      <c r="D3241" s="45">
        <v>45962</v>
      </c>
      <c r="E3241" s="45">
        <v>45991.999305555553</v>
      </c>
      <c r="F3241" s="42" t="s">
        <v>475</v>
      </c>
    </row>
    <row r="3242" spans="1:6" x14ac:dyDescent="0.35">
      <c r="A3242" s="42" t="s">
        <v>862</v>
      </c>
      <c r="B3242" s="42">
        <v>539.91999999999996</v>
      </c>
      <c r="C3242" s="43">
        <v>0.1</v>
      </c>
      <c r="D3242" s="45">
        <v>45962</v>
      </c>
      <c r="E3242" s="45">
        <v>45991.999305555553</v>
      </c>
      <c r="F3242" s="42" t="s">
        <v>475</v>
      </c>
    </row>
    <row r="3243" spans="1:6" x14ac:dyDescent="0.35">
      <c r="A3243" s="42" t="s">
        <v>890</v>
      </c>
      <c r="B3243" s="42">
        <v>539.91999999999996</v>
      </c>
      <c r="C3243" s="43">
        <v>0.1</v>
      </c>
      <c r="D3243" s="45">
        <v>45962</v>
      </c>
      <c r="E3243" s="45">
        <v>45991.999305555553</v>
      </c>
      <c r="F3243" s="42" t="s">
        <v>475</v>
      </c>
    </row>
    <row r="3244" spans="1:6" x14ac:dyDescent="0.35">
      <c r="A3244" s="42" t="s">
        <v>528</v>
      </c>
      <c r="B3244" s="42">
        <v>639.91999999999996</v>
      </c>
      <c r="C3244" s="43">
        <v>0.1</v>
      </c>
      <c r="D3244" s="45">
        <v>45962</v>
      </c>
      <c r="E3244" s="45">
        <v>45991.999305555553</v>
      </c>
      <c r="F3244" s="42" t="s">
        <v>475</v>
      </c>
    </row>
    <row r="3245" spans="1:6" x14ac:dyDescent="0.35">
      <c r="A3245" s="42" t="s">
        <v>543</v>
      </c>
      <c r="B3245" s="42">
        <v>639.91999999999996</v>
      </c>
      <c r="C3245" s="43">
        <v>0.1</v>
      </c>
      <c r="D3245" s="45">
        <v>45962</v>
      </c>
      <c r="E3245" s="45">
        <v>45991.999305555553</v>
      </c>
      <c r="F3245" s="42" t="s">
        <v>475</v>
      </c>
    </row>
    <row r="3246" spans="1:6" x14ac:dyDescent="0.35">
      <c r="A3246" s="42" t="s">
        <v>448</v>
      </c>
      <c r="B3246" s="42">
        <v>639.91999999999996</v>
      </c>
      <c r="C3246" s="43">
        <v>0.1</v>
      </c>
      <c r="D3246" s="45">
        <v>45962</v>
      </c>
      <c r="E3246" s="45">
        <v>45991.999305555553</v>
      </c>
      <c r="F3246" s="42" t="s">
        <v>475</v>
      </c>
    </row>
    <row r="3247" spans="1:6" x14ac:dyDescent="0.35">
      <c r="A3247" s="42" t="s">
        <v>588</v>
      </c>
      <c r="B3247" s="42">
        <v>639.91999999999996</v>
      </c>
      <c r="C3247" s="43">
        <v>0.1</v>
      </c>
      <c r="D3247" s="45">
        <v>45962</v>
      </c>
      <c r="E3247" s="45">
        <v>45991.999305555553</v>
      </c>
      <c r="F3247" s="42" t="s">
        <v>475</v>
      </c>
    </row>
    <row r="3248" spans="1:6" x14ac:dyDescent="0.35">
      <c r="A3248" s="42" t="s">
        <v>589</v>
      </c>
      <c r="B3248" s="42">
        <v>639.91999999999996</v>
      </c>
      <c r="C3248" s="43">
        <v>0.1</v>
      </c>
      <c r="D3248" s="45">
        <v>45962</v>
      </c>
      <c r="E3248" s="45">
        <v>45991.999305555553</v>
      </c>
      <c r="F3248" s="42" t="s">
        <v>475</v>
      </c>
    </row>
    <row r="3249" spans="1:6" x14ac:dyDescent="0.35">
      <c r="A3249" s="42" t="s">
        <v>605</v>
      </c>
      <c r="B3249" s="42">
        <v>639.91999999999996</v>
      </c>
      <c r="C3249" s="43">
        <v>0.1</v>
      </c>
      <c r="D3249" s="45">
        <v>45962</v>
      </c>
      <c r="E3249" s="45">
        <v>45991.999305555553</v>
      </c>
      <c r="F3249" s="42" t="s">
        <v>475</v>
      </c>
    </row>
    <row r="3250" spans="1:6" x14ac:dyDescent="0.35">
      <c r="A3250" s="42" t="s">
        <v>622</v>
      </c>
      <c r="B3250" s="42">
        <v>639.91999999999996</v>
      </c>
      <c r="C3250" s="43">
        <v>0.1</v>
      </c>
      <c r="D3250" s="45">
        <v>45962</v>
      </c>
      <c r="E3250" s="45">
        <v>45991.999305555553</v>
      </c>
      <c r="F3250" s="42" t="s">
        <v>475</v>
      </c>
    </row>
    <row r="3251" spans="1:6" x14ac:dyDescent="0.35">
      <c r="A3251" s="42" t="s">
        <v>824</v>
      </c>
      <c r="B3251" s="42">
        <v>639.91999999999996</v>
      </c>
      <c r="C3251" s="43">
        <v>0.1</v>
      </c>
      <c r="D3251" s="45">
        <v>45962</v>
      </c>
      <c r="E3251" s="45">
        <v>45991.999305555553</v>
      </c>
      <c r="F3251" s="42" t="s">
        <v>475</v>
      </c>
    </row>
    <row r="3252" spans="1:6" x14ac:dyDescent="0.35">
      <c r="A3252" s="42" t="s">
        <v>825</v>
      </c>
      <c r="B3252" s="42">
        <v>639.91999999999996</v>
      </c>
      <c r="C3252" s="43">
        <v>0.1</v>
      </c>
      <c r="D3252" s="45">
        <v>45962</v>
      </c>
      <c r="E3252" s="45">
        <v>45991.999305555553</v>
      </c>
      <c r="F3252" s="42" t="s">
        <v>475</v>
      </c>
    </row>
    <row r="3253" spans="1:6" x14ac:dyDescent="0.35">
      <c r="A3253" s="42" t="s">
        <v>826</v>
      </c>
      <c r="B3253" s="42">
        <v>639.91999999999996</v>
      </c>
      <c r="C3253" s="43">
        <v>0.1</v>
      </c>
      <c r="D3253" s="45">
        <v>45962</v>
      </c>
      <c r="E3253" s="45">
        <v>45991.999305555553</v>
      </c>
      <c r="F3253" s="42" t="s">
        <v>475</v>
      </c>
    </row>
    <row r="3254" spans="1:6" x14ac:dyDescent="0.35">
      <c r="A3254" s="42" t="s">
        <v>827</v>
      </c>
      <c r="B3254" s="42">
        <v>639.91999999999996</v>
      </c>
      <c r="C3254" s="43">
        <v>0.1</v>
      </c>
      <c r="D3254" s="45">
        <v>45962</v>
      </c>
      <c r="E3254" s="45">
        <v>45991.999305555553</v>
      </c>
      <c r="F3254" s="42" t="s">
        <v>475</v>
      </c>
    </row>
    <row r="3255" spans="1:6" x14ac:dyDescent="0.35">
      <c r="A3255" s="42" t="s">
        <v>828</v>
      </c>
      <c r="B3255" s="42">
        <v>639.91999999999996</v>
      </c>
      <c r="C3255" s="43">
        <v>0.1</v>
      </c>
      <c r="D3255" s="45">
        <v>45962</v>
      </c>
      <c r="E3255" s="45">
        <v>45991.999305555553</v>
      </c>
      <c r="F3255" s="42" t="s">
        <v>475</v>
      </c>
    </row>
    <row r="3256" spans="1:6" x14ac:dyDescent="0.35">
      <c r="A3256" s="42" t="s">
        <v>829</v>
      </c>
      <c r="B3256" s="42">
        <v>639.91999999999996</v>
      </c>
      <c r="C3256" s="43">
        <v>0.1</v>
      </c>
      <c r="D3256" s="45">
        <v>45962</v>
      </c>
      <c r="E3256" s="45">
        <v>45991.999305555553</v>
      </c>
      <c r="F3256" s="42" t="s">
        <v>475</v>
      </c>
    </row>
    <row r="3257" spans="1:6" x14ac:dyDescent="0.35">
      <c r="A3257" s="42" t="s">
        <v>502</v>
      </c>
      <c r="B3257" s="42">
        <v>1149.92</v>
      </c>
      <c r="C3257" s="43">
        <v>0.1</v>
      </c>
      <c r="D3257" s="45">
        <v>45962</v>
      </c>
      <c r="E3257" s="45">
        <v>45991.999305555553</v>
      </c>
      <c r="F3257" s="42" t="s">
        <v>475</v>
      </c>
    </row>
    <row r="3258" spans="1:6" x14ac:dyDescent="0.35">
      <c r="A3258" s="42" t="s">
        <v>503</v>
      </c>
      <c r="B3258" s="42">
        <v>1149.92</v>
      </c>
      <c r="C3258" s="43">
        <v>0.1</v>
      </c>
      <c r="D3258" s="45">
        <v>45962</v>
      </c>
      <c r="E3258" s="45">
        <v>45991.999305555553</v>
      </c>
      <c r="F3258" s="42" t="s">
        <v>475</v>
      </c>
    </row>
    <row r="3259" spans="1:6" x14ac:dyDescent="0.35">
      <c r="A3259" s="42" t="s">
        <v>267</v>
      </c>
      <c r="B3259" s="42">
        <v>1149.92</v>
      </c>
      <c r="C3259" s="43">
        <v>0.1</v>
      </c>
      <c r="D3259" s="45">
        <v>45962</v>
      </c>
      <c r="E3259" s="45">
        <v>45991.999305555553</v>
      </c>
      <c r="F3259" s="42" t="s">
        <v>475</v>
      </c>
    </row>
    <row r="3260" spans="1:6" x14ac:dyDescent="0.35">
      <c r="A3260" s="42" t="s">
        <v>88</v>
      </c>
      <c r="B3260" s="42">
        <v>1149.92</v>
      </c>
      <c r="C3260" s="43">
        <v>0.1</v>
      </c>
      <c r="D3260" s="45">
        <v>45962</v>
      </c>
      <c r="E3260" s="45">
        <v>45991.999305555553</v>
      </c>
      <c r="F3260" s="42" t="s">
        <v>475</v>
      </c>
    </row>
    <row r="3261" spans="1:6" x14ac:dyDescent="0.35">
      <c r="A3261" s="42" t="s">
        <v>457</v>
      </c>
      <c r="B3261" s="42">
        <v>1149.92</v>
      </c>
      <c r="C3261" s="43">
        <v>0.1</v>
      </c>
      <c r="D3261" s="45">
        <v>45962</v>
      </c>
      <c r="E3261" s="45">
        <v>45991.999305555553</v>
      </c>
      <c r="F3261" s="42" t="s">
        <v>475</v>
      </c>
    </row>
    <row r="3262" spans="1:6" x14ac:dyDescent="0.35">
      <c r="A3262" s="42" t="s">
        <v>620</v>
      </c>
      <c r="B3262" s="42">
        <v>1149.92</v>
      </c>
      <c r="C3262" s="43">
        <v>0.1</v>
      </c>
      <c r="D3262" s="45">
        <v>45962</v>
      </c>
      <c r="E3262" s="45">
        <v>45991.999305555553</v>
      </c>
      <c r="F3262" s="42" t="s">
        <v>475</v>
      </c>
    </row>
    <row r="3263" spans="1:6" x14ac:dyDescent="0.35">
      <c r="A3263" s="42" t="s">
        <v>650</v>
      </c>
      <c r="B3263" s="42">
        <v>1149.92</v>
      </c>
      <c r="C3263" s="43">
        <v>0.1</v>
      </c>
      <c r="D3263" s="45">
        <v>45962</v>
      </c>
      <c r="E3263" s="45">
        <v>45991.999305555553</v>
      </c>
      <c r="F3263" s="42" t="s">
        <v>475</v>
      </c>
    </row>
    <row r="3264" spans="1:6" x14ac:dyDescent="0.35">
      <c r="A3264" s="42" t="s">
        <v>674</v>
      </c>
      <c r="B3264" s="42">
        <v>1149.92</v>
      </c>
      <c r="C3264" s="43">
        <v>0.1</v>
      </c>
      <c r="D3264" s="45">
        <v>45962</v>
      </c>
      <c r="E3264" s="45">
        <v>45991.999305555553</v>
      </c>
      <c r="F3264" s="42" t="s">
        <v>475</v>
      </c>
    </row>
    <row r="3265" spans="1:6" x14ac:dyDescent="0.35">
      <c r="A3265" s="42" t="s">
        <v>722</v>
      </c>
      <c r="B3265" s="42">
        <v>1149.92</v>
      </c>
      <c r="C3265" s="43">
        <v>0.1</v>
      </c>
      <c r="D3265" s="45">
        <v>45962</v>
      </c>
      <c r="E3265" s="45">
        <v>45991.999305555553</v>
      </c>
      <c r="F3265" s="42" t="s">
        <v>475</v>
      </c>
    </row>
    <row r="3266" spans="1:6" x14ac:dyDescent="0.35">
      <c r="A3266" s="42" t="s">
        <v>723</v>
      </c>
      <c r="B3266" s="42">
        <v>1149.92</v>
      </c>
      <c r="C3266" s="43">
        <v>0.1</v>
      </c>
      <c r="D3266" s="45">
        <v>45962</v>
      </c>
      <c r="E3266" s="45">
        <v>45991.999305555553</v>
      </c>
      <c r="F3266" s="42" t="s">
        <v>475</v>
      </c>
    </row>
    <row r="3267" spans="1:6" x14ac:dyDescent="0.35">
      <c r="A3267" s="42" t="s">
        <v>488</v>
      </c>
      <c r="B3267" s="42">
        <v>1349.92</v>
      </c>
      <c r="C3267" s="43">
        <v>0.1</v>
      </c>
      <c r="D3267" s="45">
        <v>45962</v>
      </c>
      <c r="E3267" s="45">
        <v>45991.999305555553</v>
      </c>
      <c r="F3267" s="42" t="s">
        <v>475</v>
      </c>
    </row>
    <row r="3268" spans="1:6" x14ac:dyDescent="0.35">
      <c r="A3268" s="42" t="s">
        <v>104</v>
      </c>
      <c r="B3268" s="42">
        <v>1349.92</v>
      </c>
      <c r="C3268" s="43">
        <v>0.1</v>
      </c>
      <c r="D3268" s="45">
        <v>45962</v>
      </c>
      <c r="E3268" s="45">
        <v>45991.999305555553</v>
      </c>
      <c r="F3268" s="42" t="s">
        <v>475</v>
      </c>
    </row>
    <row r="3269" spans="1:6" x14ac:dyDescent="0.35">
      <c r="A3269" s="42" t="s">
        <v>494</v>
      </c>
      <c r="B3269" s="42">
        <v>1449.92</v>
      </c>
      <c r="C3269" s="43">
        <v>0.1</v>
      </c>
      <c r="D3269" s="45">
        <v>45962</v>
      </c>
      <c r="E3269" s="45">
        <v>45991.999305555553</v>
      </c>
      <c r="F3269" s="42" t="s">
        <v>475</v>
      </c>
    </row>
    <row r="3270" spans="1:6" x14ac:dyDescent="0.35">
      <c r="A3270" s="42" t="s">
        <v>531</v>
      </c>
      <c r="B3270" s="42">
        <v>1449.92</v>
      </c>
      <c r="C3270" s="43">
        <v>0.1</v>
      </c>
      <c r="D3270" s="45">
        <v>45962</v>
      </c>
      <c r="E3270" s="45">
        <v>45991.999305555553</v>
      </c>
      <c r="F3270" s="42" t="s">
        <v>475</v>
      </c>
    </row>
    <row r="3271" spans="1:6" x14ac:dyDescent="0.35">
      <c r="A3271" s="42" t="s">
        <v>63</v>
      </c>
      <c r="B3271" s="42">
        <v>1449.92</v>
      </c>
      <c r="C3271" s="43">
        <v>0.1</v>
      </c>
      <c r="D3271" s="45">
        <v>45962</v>
      </c>
      <c r="E3271" s="45">
        <v>45991.999305555553</v>
      </c>
      <c r="F3271" s="42" t="s">
        <v>475</v>
      </c>
    </row>
    <row r="3272" spans="1:6" x14ac:dyDescent="0.35">
      <c r="A3272" s="42" t="s">
        <v>65</v>
      </c>
      <c r="B3272" s="42">
        <v>1449.92</v>
      </c>
      <c r="C3272" s="43">
        <v>0.1</v>
      </c>
      <c r="D3272" s="45">
        <v>45962</v>
      </c>
      <c r="E3272" s="45">
        <v>45991.999305555553</v>
      </c>
      <c r="F3272" s="42" t="s">
        <v>475</v>
      </c>
    </row>
    <row r="3273" spans="1:6" x14ac:dyDescent="0.35">
      <c r="A3273" s="42" t="s">
        <v>276</v>
      </c>
      <c r="B3273" s="42">
        <v>1449.92</v>
      </c>
      <c r="C3273" s="43">
        <v>0.1</v>
      </c>
      <c r="D3273" s="45">
        <v>45962</v>
      </c>
      <c r="E3273" s="45">
        <v>45991.999305555553</v>
      </c>
      <c r="F3273" s="42" t="s">
        <v>475</v>
      </c>
    </row>
    <row r="3274" spans="1:6" x14ac:dyDescent="0.35">
      <c r="A3274" s="42" t="s">
        <v>807</v>
      </c>
      <c r="B3274" s="42">
        <v>1449.92</v>
      </c>
      <c r="C3274" s="43">
        <v>0.1</v>
      </c>
      <c r="D3274" s="45">
        <v>45962</v>
      </c>
      <c r="E3274" s="45">
        <v>45991.999305555553</v>
      </c>
      <c r="F3274" s="42" t="s">
        <v>475</v>
      </c>
    </row>
    <row r="3275" spans="1:6" x14ac:dyDescent="0.35">
      <c r="A3275" s="42" t="s">
        <v>669</v>
      </c>
      <c r="B3275" s="42">
        <v>2269.92</v>
      </c>
      <c r="C3275" s="43">
        <v>0.1</v>
      </c>
      <c r="D3275" s="45">
        <v>45962</v>
      </c>
      <c r="E3275" s="45">
        <v>45991.999305555553</v>
      </c>
      <c r="F3275" s="42" t="s">
        <v>475</v>
      </c>
    </row>
    <row r="3276" spans="1:6" x14ac:dyDescent="0.35">
      <c r="A3276" s="42" t="s">
        <v>803</v>
      </c>
      <c r="B3276" s="42">
        <v>1879.92</v>
      </c>
      <c r="C3276" s="43">
        <v>0.1</v>
      </c>
      <c r="D3276" s="45">
        <v>45962</v>
      </c>
      <c r="E3276" s="45">
        <v>45991.999305555553</v>
      </c>
      <c r="F3276" s="42" t="s">
        <v>475</v>
      </c>
    </row>
    <row r="3277" spans="1:6" x14ac:dyDescent="0.35">
      <c r="A3277" s="42" t="s">
        <v>811</v>
      </c>
      <c r="B3277" s="42">
        <v>1879.92</v>
      </c>
      <c r="C3277" s="43">
        <v>0.1</v>
      </c>
      <c r="D3277" s="45">
        <v>45962</v>
      </c>
      <c r="E3277" s="45">
        <v>45991.999305555553</v>
      </c>
      <c r="F3277" s="42" t="s">
        <v>475</v>
      </c>
    </row>
    <row r="3278" spans="1:6" x14ac:dyDescent="0.35">
      <c r="A3278" s="42" t="s">
        <v>643</v>
      </c>
      <c r="B3278" s="42">
        <v>1979.92</v>
      </c>
      <c r="C3278" s="43">
        <v>0.1</v>
      </c>
      <c r="D3278" s="45">
        <v>45962</v>
      </c>
      <c r="E3278" s="45">
        <v>45991.999305555553</v>
      </c>
      <c r="F3278" s="42" t="s">
        <v>475</v>
      </c>
    </row>
    <row r="3279" spans="1:6" x14ac:dyDescent="0.35">
      <c r="A3279" s="42" t="s">
        <v>812</v>
      </c>
      <c r="B3279" s="42">
        <v>1979.92</v>
      </c>
      <c r="C3279" s="43">
        <v>0.1</v>
      </c>
      <c r="D3279" s="45">
        <v>45962</v>
      </c>
      <c r="E3279" s="45">
        <v>45991.999305555553</v>
      </c>
      <c r="F3279" s="42" t="s">
        <v>475</v>
      </c>
    </row>
    <row r="3280" spans="1:6" x14ac:dyDescent="0.35">
      <c r="A3280" s="42" t="s">
        <v>327</v>
      </c>
      <c r="B3280" s="42">
        <v>2299.92</v>
      </c>
      <c r="C3280" s="43">
        <v>0.1</v>
      </c>
      <c r="D3280" s="45">
        <v>45962</v>
      </c>
      <c r="E3280" s="45">
        <v>45991.999305555553</v>
      </c>
      <c r="F3280" s="42" t="s">
        <v>475</v>
      </c>
    </row>
    <row r="3281" spans="1:6" x14ac:dyDescent="0.35">
      <c r="A3281" s="42" t="s">
        <v>45</v>
      </c>
      <c r="B3281" s="42">
        <v>439.92</v>
      </c>
      <c r="C3281" s="43">
        <v>0.1</v>
      </c>
      <c r="D3281" s="45">
        <v>45962</v>
      </c>
      <c r="E3281" s="45">
        <v>45991.999305555553</v>
      </c>
      <c r="F3281" s="42" t="s">
        <v>475</v>
      </c>
    </row>
    <row r="3282" spans="1:6" x14ac:dyDescent="0.35">
      <c r="A3282" s="42" t="s">
        <v>587</v>
      </c>
      <c r="B3282" s="42">
        <v>579.91999999999996</v>
      </c>
      <c r="C3282" s="43">
        <v>0.1</v>
      </c>
      <c r="D3282" s="45">
        <v>45962</v>
      </c>
      <c r="E3282" s="45">
        <v>45991.999305555553</v>
      </c>
      <c r="F3282" s="42" t="s">
        <v>475</v>
      </c>
    </row>
    <row r="3283" spans="1:6" x14ac:dyDescent="0.35">
      <c r="A3283" s="42" t="s">
        <v>485</v>
      </c>
      <c r="B3283" s="42">
        <v>1019.92</v>
      </c>
      <c r="C3283" s="43">
        <v>0.1</v>
      </c>
      <c r="D3283" s="45">
        <v>45962</v>
      </c>
      <c r="E3283" s="45">
        <v>45991.999305555553</v>
      </c>
      <c r="F3283" s="42" t="s">
        <v>475</v>
      </c>
    </row>
    <row r="3284" spans="1:6" x14ac:dyDescent="0.35">
      <c r="A3284" s="42" t="s">
        <v>568</v>
      </c>
      <c r="B3284" s="42">
        <v>259.92</v>
      </c>
      <c r="C3284" s="43">
        <v>0.1</v>
      </c>
      <c r="D3284" s="45">
        <v>45962</v>
      </c>
      <c r="E3284" s="45">
        <v>45991.999305555553</v>
      </c>
      <c r="F3284" s="42" t="s">
        <v>475</v>
      </c>
    </row>
    <row r="3285" spans="1:6" x14ac:dyDescent="0.35">
      <c r="A3285" s="42" t="s">
        <v>506</v>
      </c>
      <c r="B3285" s="42">
        <v>1289.92</v>
      </c>
      <c r="C3285" s="43">
        <v>0.1</v>
      </c>
      <c r="D3285" s="45">
        <v>45962</v>
      </c>
      <c r="E3285" s="45">
        <v>45991.999305555553</v>
      </c>
      <c r="F3285" s="42" t="s">
        <v>475</v>
      </c>
    </row>
    <row r="3286" spans="1:6" x14ac:dyDescent="0.35">
      <c r="A3286" s="42" t="s">
        <v>509</v>
      </c>
      <c r="B3286" s="42">
        <v>2549.92</v>
      </c>
      <c r="C3286" s="43">
        <v>0.1</v>
      </c>
      <c r="D3286" s="45">
        <v>45962</v>
      </c>
      <c r="E3286" s="45">
        <v>45991.999305555553</v>
      </c>
      <c r="F3286" s="42" t="s">
        <v>475</v>
      </c>
    </row>
    <row r="3287" spans="1:6" x14ac:dyDescent="0.35">
      <c r="A3287" s="42" t="s">
        <v>11</v>
      </c>
      <c r="B3287" s="42">
        <v>359.92</v>
      </c>
      <c r="C3287" s="43">
        <v>0.1</v>
      </c>
      <c r="D3287" s="45">
        <v>45962</v>
      </c>
      <c r="E3287" s="45">
        <v>45991.999305555553</v>
      </c>
      <c r="F3287" s="42" t="s">
        <v>475</v>
      </c>
    </row>
    <row r="3288" spans="1:6" x14ac:dyDescent="0.35">
      <c r="A3288" s="42" t="s">
        <v>505</v>
      </c>
      <c r="B3288" s="42">
        <v>1229.92</v>
      </c>
      <c r="C3288" s="43">
        <v>0.1</v>
      </c>
      <c r="D3288" s="45">
        <v>45962</v>
      </c>
      <c r="E3288" s="45">
        <v>45991.999305555553</v>
      </c>
      <c r="F3288" s="42" t="s">
        <v>475</v>
      </c>
    </row>
    <row r="3289" spans="1:6" x14ac:dyDescent="0.35">
      <c r="A3289" s="42" t="s">
        <v>565</v>
      </c>
      <c r="B3289" s="42">
        <v>169.92</v>
      </c>
      <c r="C3289" s="43">
        <v>0.1</v>
      </c>
      <c r="D3289" s="45">
        <v>45962</v>
      </c>
      <c r="E3289" s="45">
        <v>45991.999305555553</v>
      </c>
      <c r="F3289" s="42" t="s">
        <v>475</v>
      </c>
    </row>
    <row r="3290" spans="1:6" x14ac:dyDescent="0.35">
      <c r="A3290" s="42" t="s">
        <v>466</v>
      </c>
      <c r="B3290" s="42">
        <v>1259.92</v>
      </c>
      <c r="C3290" s="43">
        <v>0.1</v>
      </c>
      <c r="D3290" s="45">
        <v>45962</v>
      </c>
      <c r="E3290" s="45">
        <v>45991.999305555553</v>
      </c>
      <c r="F3290" s="42" t="s">
        <v>475</v>
      </c>
    </row>
    <row r="3291" spans="1:6" x14ac:dyDescent="0.35">
      <c r="A3291" s="42" t="s">
        <v>510</v>
      </c>
      <c r="B3291" s="42">
        <v>2599.92</v>
      </c>
      <c r="C3291" s="43">
        <v>0.1</v>
      </c>
      <c r="D3291" s="45">
        <v>45962</v>
      </c>
      <c r="E3291" s="45">
        <v>45991.999305555553</v>
      </c>
      <c r="F3291" s="42" t="s">
        <v>475</v>
      </c>
    </row>
    <row r="3292" spans="1:6" x14ac:dyDescent="0.35">
      <c r="A3292" s="42" t="s">
        <v>578</v>
      </c>
      <c r="B3292" s="42">
        <v>439.92</v>
      </c>
      <c r="C3292" s="43">
        <v>0.1</v>
      </c>
      <c r="D3292" s="45">
        <v>45962</v>
      </c>
      <c r="E3292" s="45">
        <v>45991.999305555553</v>
      </c>
      <c r="F3292" s="42" t="s">
        <v>475</v>
      </c>
    </row>
    <row r="3293" spans="1:6" x14ac:dyDescent="0.35">
      <c r="A3293" s="42" t="s">
        <v>575</v>
      </c>
      <c r="B3293" s="42">
        <v>399.92</v>
      </c>
      <c r="C3293" s="43">
        <v>0.1</v>
      </c>
      <c r="D3293" s="45">
        <v>45962</v>
      </c>
      <c r="E3293" s="45">
        <v>45991.999305555553</v>
      </c>
      <c r="F3293" s="42" t="s">
        <v>475</v>
      </c>
    </row>
    <row r="3294" spans="1:6" x14ac:dyDescent="0.35">
      <c r="A3294" s="42" t="s">
        <v>23</v>
      </c>
      <c r="B3294" s="42">
        <v>439.92</v>
      </c>
      <c r="C3294" s="43">
        <v>0.1</v>
      </c>
      <c r="D3294" s="45">
        <v>45962</v>
      </c>
      <c r="E3294" s="45">
        <v>45991.999305555553</v>
      </c>
      <c r="F3294" s="42" t="s">
        <v>475</v>
      </c>
    </row>
    <row r="3295" spans="1:6" x14ac:dyDescent="0.35">
      <c r="A3295" s="42" t="s">
        <v>527</v>
      </c>
      <c r="B3295" s="42">
        <v>789.92</v>
      </c>
      <c r="C3295" s="43">
        <v>0.1</v>
      </c>
      <c r="D3295" s="45">
        <v>45962</v>
      </c>
      <c r="E3295" s="45">
        <v>45991.999305555553</v>
      </c>
      <c r="F3295" s="42" t="s">
        <v>475</v>
      </c>
    </row>
    <row r="3296" spans="1:6" x14ac:dyDescent="0.35">
      <c r="A3296" s="42" t="s">
        <v>526</v>
      </c>
      <c r="B3296" s="42">
        <v>789.92</v>
      </c>
      <c r="C3296" s="43">
        <v>0.1</v>
      </c>
      <c r="D3296" s="45">
        <v>45962</v>
      </c>
      <c r="E3296" s="45">
        <v>45991.999305555553</v>
      </c>
      <c r="F3296" s="42" t="s">
        <v>475</v>
      </c>
    </row>
    <row r="3297" spans="1:6" x14ac:dyDescent="0.35">
      <c r="A3297" s="42" t="s">
        <v>90</v>
      </c>
      <c r="B3297" s="42">
        <v>669.92</v>
      </c>
      <c r="C3297" s="43">
        <v>0.1</v>
      </c>
      <c r="D3297" s="45">
        <v>45962</v>
      </c>
      <c r="E3297" s="45">
        <v>45991.999305555553</v>
      </c>
      <c r="F3297" s="42" t="s">
        <v>475</v>
      </c>
    </row>
    <row r="3298" spans="1:6" x14ac:dyDescent="0.35">
      <c r="A3298" s="42" t="s">
        <v>508</v>
      </c>
      <c r="B3298" s="42">
        <v>2399.92</v>
      </c>
      <c r="C3298" s="43">
        <v>0.1</v>
      </c>
      <c r="D3298" s="45">
        <v>45962</v>
      </c>
      <c r="E3298" s="45">
        <v>45991.999305555553</v>
      </c>
      <c r="F3298" s="42" t="s">
        <v>475</v>
      </c>
    </row>
    <row r="3299" spans="1:6" x14ac:dyDescent="0.35">
      <c r="A3299" s="42" t="s">
        <v>533</v>
      </c>
      <c r="B3299" s="42">
        <v>1189.92</v>
      </c>
      <c r="C3299" s="43">
        <v>0.1</v>
      </c>
      <c r="D3299" s="45">
        <v>45962</v>
      </c>
      <c r="E3299" s="45">
        <v>45991.999305555553</v>
      </c>
      <c r="F3299" s="42" t="s">
        <v>475</v>
      </c>
    </row>
    <row r="3300" spans="1:6" x14ac:dyDescent="0.35">
      <c r="A3300" s="42" t="s">
        <v>569</v>
      </c>
      <c r="B3300" s="42">
        <v>239.92</v>
      </c>
      <c r="C3300" s="43">
        <v>0.1</v>
      </c>
      <c r="D3300" s="45">
        <v>45962</v>
      </c>
      <c r="E3300" s="45">
        <v>45991.999305555553</v>
      </c>
      <c r="F3300" s="42" t="s">
        <v>475</v>
      </c>
    </row>
    <row r="3301" spans="1:6" x14ac:dyDescent="0.35">
      <c r="A3301" s="42" t="s">
        <v>60</v>
      </c>
      <c r="B3301" s="42">
        <v>1019.92</v>
      </c>
      <c r="C3301" s="43">
        <v>0.1</v>
      </c>
      <c r="D3301" s="45">
        <v>45962</v>
      </c>
      <c r="E3301" s="45">
        <v>45991.999305555553</v>
      </c>
      <c r="F3301" s="42" t="s">
        <v>475</v>
      </c>
    </row>
    <row r="3302" spans="1:6" x14ac:dyDescent="0.35">
      <c r="A3302" s="42" t="s">
        <v>500</v>
      </c>
      <c r="B3302" s="42">
        <v>919.92</v>
      </c>
      <c r="C3302" s="43">
        <v>0.1</v>
      </c>
      <c r="D3302" s="45">
        <v>45962</v>
      </c>
      <c r="E3302" s="45">
        <v>45991.999305555553</v>
      </c>
      <c r="F3302" s="42" t="s">
        <v>475</v>
      </c>
    </row>
    <row r="3303" spans="1:6" x14ac:dyDescent="0.35">
      <c r="A3303" s="42" t="s">
        <v>595</v>
      </c>
      <c r="B3303" s="42">
        <v>2499.92</v>
      </c>
      <c r="C3303" s="43">
        <v>0.1</v>
      </c>
      <c r="D3303" s="45">
        <v>45962</v>
      </c>
      <c r="E3303" s="45">
        <v>45991.999305555553</v>
      </c>
      <c r="F3303" s="42" t="s">
        <v>475</v>
      </c>
    </row>
    <row r="3304" spans="1:6" x14ac:dyDescent="0.35">
      <c r="A3304" s="42" t="s">
        <v>316</v>
      </c>
      <c r="B3304" s="42">
        <v>1739.92</v>
      </c>
      <c r="C3304" s="43">
        <v>0.1</v>
      </c>
      <c r="D3304" s="45">
        <v>45962</v>
      </c>
      <c r="E3304" s="45">
        <v>45991.999305555553</v>
      </c>
      <c r="F3304" s="42" t="s">
        <v>475</v>
      </c>
    </row>
    <row r="3305" spans="1:6" x14ac:dyDescent="0.35">
      <c r="A3305" s="42" t="s">
        <v>490</v>
      </c>
      <c r="B3305" s="42">
        <v>1739.92</v>
      </c>
      <c r="C3305" s="43">
        <v>0.1</v>
      </c>
      <c r="D3305" s="45">
        <v>45962</v>
      </c>
      <c r="E3305" s="45">
        <v>45991.999305555553</v>
      </c>
      <c r="F3305" s="42" t="s">
        <v>475</v>
      </c>
    </row>
    <row r="3306" spans="1:6" x14ac:dyDescent="0.35">
      <c r="A3306" s="42" t="s">
        <v>590</v>
      </c>
      <c r="B3306" s="42">
        <v>659.92</v>
      </c>
      <c r="C3306" s="43">
        <v>0.1</v>
      </c>
      <c r="D3306" s="45">
        <v>45962</v>
      </c>
      <c r="E3306" s="45">
        <v>45991.999305555553</v>
      </c>
      <c r="F3306" s="42" t="s">
        <v>475</v>
      </c>
    </row>
    <row r="3307" spans="1:6" x14ac:dyDescent="0.35">
      <c r="A3307" s="42" t="s">
        <v>596</v>
      </c>
      <c r="B3307" s="42">
        <v>2779.92</v>
      </c>
      <c r="C3307" s="43">
        <v>0.1</v>
      </c>
      <c r="D3307" s="45">
        <v>45962</v>
      </c>
      <c r="E3307" s="45">
        <v>45991.999305555553</v>
      </c>
      <c r="F3307" s="42" t="s">
        <v>475</v>
      </c>
    </row>
    <row r="3308" spans="1:6" x14ac:dyDescent="0.35">
      <c r="A3308" s="42" t="s">
        <v>486</v>
      </c>
      <c r="B3308" s="42">
        <v>1049.92</v>
      </c>
      <c r="C3308" s="43">
        <v>0.1</v>
      </c>
      <c r="D3308" s="45">
        <v>45962</v>
      </c>
      <c r="E3308" s="45">
        <v>45991.999305555553</v>
      </c>
      <c r="F3308" s="42" t="s">
        <v>475</v>
      </c>
    </row>
    <row r="3309" spans="1:6" x14ac:dyDescent="0.35">
      <c r="A3309" s="42" t="s">
        <v>507</v>
      </c>
      <c r="B3309" s="42">
        <v>1529.92</v>
      </c>
      <c r="C3309" s="43">
        <v>0.1</v>
      </c>
      <c r="D3309" s="45">
        <v>45962</v>
      </c>
      <c r="E3309" s="45">
        <v>45991.999305555553</v>
      </c>
      <c r="F3309" s="42" t="s">
        <v>475</v>
      </c>
    </row>
    <row r="3310" spans="1:6" x14ac:dyDescent="0.35">
      <c r="A3310" s="42" t="s">
        <v>574</v>
      </c>
      <c r="B3310" s="42">
        <v>439.92</v>
      </c>
      <c r="C3310" s="43">
        <v>0.1</v>
      </c>
      <c r="D3310" s="45">
        <v>45962</v>
      </c>
      <c r="E3310" s="45">
        <v>45991.999305555553</v>
      </c>
      <c r="F3310" s="42" t="s">
        <v>475</v>
      </c>
    </row>
    <row r="3311" spans="1:6" x14ac:dyDescent="0.35">
      <c r="A3311" s="42" t="s">
        <v>580</v>
      </c>
      <c r="B3311" s="42">
        <v>459.92</v>
      </c>
      <c r="C3311" s="43">
        <v>0.1</v>
      </c>
      <c r="D3311" s="45">
        <v>45962</v>
      </c>
      <c r="E3311" s="45">
        <v>45991.999305555553</v>
      </c>
      <c r="F3311" s="42" t="s">
        <v>475</v>
      </c>
    </row>
    <row r="3312" spans="1:6" x14ac:dyDescent="0.35">
      <c r="A3312" s="42" t="s">
        <v>8</v>
      </c>
      <c r="B3312" s="42">
        <v>359.92</v>
      </c>
      <c r="C3312" s="43">
        <v>0.1</v>
      </c>
      <c r="D3312" s="45">
        <v>45962</v>
      </c>
      <c r="E3312" s="45">
        <v>45991.999305555553</v>
      </c>
      <c r="F3312" s="42" t="s">
        <v>475</v>
      </c>
    </row>
    <row r="3313" spans="1:6" x14ac:dyDescent="0.35">
      <c r="A3313" s="42" t="s">
        <v>9</v>
      </c>
      <c r="B3313" s="42">
        <v>359.92</v>
      </c>
      <c r="C3313" s="43">
        <v>0.1</v>
      </c>
      <c r="D3313" s="45">
        <v>45962</v>
      </c>
      <c r="E3313" s="45">
        <v>45991.999305555553</v>
      </c>
      <c r="F3313" s="42" t="s">
        <v>475</v>
      </c>
    </row>
    <row r="3314" spans="1:6" x14ac:dyDescent="0.35">
      <c r="A3314" s="42" t="s">
        <v>67</v>
      </c>
      <c r="B3314" s="42">
        <v>359.92</v>
      </c>
      <c r="C3314" s="43">
        <v>0.1</v>
      </c>
      <c r="D3314" s="45">
        <v>45962</v>
      </c>
      <c r="E3314" s="45">
        <v>45991.999305555553</v>
      </c>
      <c r="F3314" s="42" t="s">
        <v>475</v>
      </c>
    </row>
    <row r="3315" spans="1:6" x14ac:dyDescent="0.35">
      <c r="A3315" s="42" t="s">
        <v>564</v>
      </c>
      <c r="B3315" s="42">
        <v>439.92</v>
      </c>
      <c r="C3315" s="43">
        <v>0.1</v>
      </c>
      <c r="D3315" s="45">
        <v>45962</v>
      </c>
      <c r="E3315" s="45">
        <v>45991.999305555553</v>
      </c>
      <c r="F3315" s="42" t="s">
        <v>475</v>
      </c>
    </row>
    <row r="3316" spans="1:6" x14ac:dyDescent="0.35">
      <c r="A3316" s="42" t="s">
        <v>491</v>
      </c>
      <c r="B3316" s="42">
        <v>2149.92</v>
      </c>
      <c r="C3316" s="43">
        <v>0.1</v>
      </c>
      <c r="D3316" s="45">
        <v>45962</v>
      </c>
      <c r="E3316" s="45">
        <v>45991.999305555553</v>
      </c>
      <c r="F3316" s="42" t="s">
        <v>475</v>
      </c>
    </row>
    <row r="3317" spans="1:6" x14ac:dyDescent="0.35">
      <c r="A3317" s="42" t="s">
        <v>33</v>
      </c>
      <c r="B3317" s="42">
        <v>919.92</v>
      </c>
      <c r="C3317" s="43">
        <v>0.1</v>
      </c>
      <c r="D3317" s="45">
        <v>45962</v>
      </c>
      <c r="E3317" s="45">
        <v>45991.999305555553</v>
      </c>
      <c r="F3317" s="42" t="s">
        <v>475</v>
      </c>
    </row>
    <row r="3318" spans="1:6" x14ac:dyDescent="0.35">
      <c r="A3318" s="42" t="s">
        <v>480</v>
      </c>
      <c r="B3318" s="42">
        <v>669.92</v>
      </c>
      <c r="C3318" s="43">
        <v>0.1</v>
      </c>
      <c r="D3318" s="45">
        <v>45962</v>
      </c>
      <c r="E3318" s="45">
        <v>45991.999305555553</v>
      </c>
      <c r="F3318" s="42" t="s">
        <v>475</v>
      </c>
    </row>
    <row r="3319" spans="1:6" x14ac:dyDescent="0.35">
      <c r="A3319" s="42" t="s">
        <v>479</v>
      </c>
      <c r="B3319" s="42">
        <v>669.92</v>
      </c>
      <c r="C3319" s="43">
        <v>0.1</v>
      </c>
      <c r="D3319" s="45">
        <v>45962</v>
      </c>
      <c r="E3319" s="45">
        <v>45991.999305555553</v>
      </c>
      <c r="F3319" s="42" t="s">
        <v>475</v>
      </c>
    </row>
    <row r="3320" spans="1:6" x14ac:dyDescent="0.35">
      <c r="A3320" s="42" t="s">
        <v>623</v>
      </c>
      <c r="B3320" s="42">
        <v>669.92</v>
      </c>
      <c r="C3320" s="43">
        <v>0.1</v>
      </c>
      <c r="D3320" s="45">
        <v>45962</v>
      </c>
      <c r="E3320" s="45">
        <v>45991.999305555553</v>
      </c>
      <c r="F3320" s="42" t="s">
        <v>475</v>
      </c>
    </row>
    <row r="3321" spans="1:6" x14ac:dyDescent="0.35">
      <c r="A3321" s="42" t="s">
        <v>401</v>
      </c>
      <c r="B3321" s="42">
        <v>1389.92</v>
      </c>
      <c r="C3321" s="43">
        <v>0.1</v>
      </c>
      <c r="D3321" s="45">
        <v>45962</v>
      </c>
      <c r="E3321" s="45">
        <v>45991.999305555553</v>
      </c>
      <c r="F3321" s="42" t="s">
        <v>475</v>
      </c>
    </row>
    <row r="3322" spans="1:6" x14ac:dyDescent="0.35">
      <c r="A3322" s="42" t="s">
        <v>50</v>
      </c>
      <c r="B3322" s="42">
        <v>1829.92</v>
      </c>
      <c r="C3322" s="43">
        <v>0.1</v>
      </c>
      <c r="D3322" s="45">
        <v>45962</v>
      </c>
      <c r="E3322" s="45">
        <v>45991.999305555553</v>
      </c>
      <c r="F3322" s="42" t="s">
        <v>475</v>
      </c>
    </row>
    <row r="3323" spans="1:6" x14ac:dyDescent="0.35">
      <c r="A3323" s="42" t="s">
        <v>482</v>
      </c>
      <c r="B3323" s="42">
        <v>869.92</v>
      </c>
      <c r="C3323" s="43">
        <v>0.1</v>
      </c>
      <c r="D3323" s="45">
        <v>45962</v>
      </c>
      <c r="E3323" s="45">
        <v>45991.999305555553</v>
      </c>
      <c r="F3323" s="42" t="s">
        <v>475</v>
      </c>
    </row>
    <row r="3324" spans="1:6" x14ac:dyDescent="0.35">
      <c r="A3324" s="42" t="s">
        <v>459</v>
      </c>
      <c r="B3324" s="42">
        <v>869.92</v>
      </c>
      <c r="C3324" s="43">
        <v>0.1</v>
      </c>
      <c r="D3324" s="45">
        <v>45962</v>
      </c>
      <c r="E3324" s="45">
        <v>45991.999305555553</v>
      </c>
      <c r="F3324" s="42" t="s">
        <v>475</v>
      </c>
    </row>
    <row r="3325" spans="1:6" x14ac:dyDescent="0.35">
      <c r="A3325" s="42" t="s">
        <v>42</v>
      </c>
      <c r="B3325" s="42">
        <v>869.92</v>
      </c>
      <c r="C3325" s="43">
        <v>0.1</v>
      </c>
      <c r="D3325" s="45">
        <v>45962</v>
      </c>
      <c r="E3325" s="45">
        <v>45991.999305555553</v>
      </c>
      <c r="F3325" s="42" t="s">
        <v>475</v>
      </c>
    </row>
    <row r="3326" spans="1:6" x14ac:dyDescent="0.35">
      <c r="A3326" s="42" t="s">
        <v>603</v>
      </c>
      <c r="B3326" s="42">
        <v>869.92</v>
      </c>
      <c r="C3326" s="43">
        <v>0.1</v>
      </c>
      <c r="D3326" s="45">
        <v>45962</v>
      </c>
      <c r="E3326" s="45">
        <v>45991.999305555553</v>
      </c>
      <c r="F3326" s="42" t="s">
        <v>475</v>
      </c>
    </row>
    <row r="3327" spans="1:6" x14ac:dyDescent="0.35">
      <c r="A3327" s="42" t="s">
        <v>604</v>
      </c>
      <c r="B3327" s="42">
        <v>869.92</v>
      </c>
      <c r="C3327" s="43">
        <v>0.1</v>
      </c>
      <c r="D3327" s="45">
        <v>45962</v>
      </c>
      <c r="E3327" s="45">
        <v>45991.999305555553</v>
      </c>
      <c r="F3327" s="42" t="s">
        <v>475</v>
      </c>
    </row>
    <row r="3328" spans="1:6" x14ac:dyDescent="0.35">
      <c r="A3328" s="42" t="s">
        <v>501</v>
      </c>
      <c r="B3328" s="42">
        <v>919.92</v>
      </c>
      <c r="C3328" s="43">
        <v>0.1</v>
      </c>
      <c r="D3328" s="45">
        <v>45962</v>
      </c>
      <c r="E3328" s="45">
        <v>45991.999305555553</v>
      </c>
      <c r="F3328" s="42" t="s">
        <v>475</v>
      </c>
    </row>
    <row r="3329" spans="1:6" x14ac:dyDescent="0.35">
      <c r="A3329" s="42" t="s">
        <v>566</v>
      </c>
      <c r="B3329" s="42">
        <v>169.92</v>
      </c>
      <c r="C3329" s="43">
        <v>0.1</v>
      </c>
      <c r="D3329" s="45">
        <v>45962</v>
      </c>
      <c r="E3329" s="45">
        <v>45991.999305555553</v>
      </c>
      <c r="F3329" s="42" t="s">
        <v>475</v>
      </c>
    </row>
    <row r="3330" spans="1:6" x14ac:dyDescent="0.35">
      <c r="A3330" s="42" t="s">
        <v>607</v>
      </c>
      <c r="B3330" s="42">
        <v>2599.92</v>
      </c>
      <c r="C3330" s="43">
        <v>0.1</v>
      </c>
      <c r="D3330" s="45">
        <v>45962</v>
      </c>
      <c r="E3330" s="45">
        <v>45991.999305555553</v>
      </c>
      <c r="F3330" s="42" t="s">
        <v>475</v>
      </c>
    </row>
    <row r="3331" spans="1:6" x14ac:dyDescent="0.35">
      <c r="A3331" s="42" t="s">
        <v>89</v>
      </c>
      <c r="B3331" s="42">
        <v>869.92</v>
      </c>
      <c r="C3331" s="43">
        <v>0.1</v>
      </c>
      <c r="D3331" s="45">
        <v>45962</v>
      </c>
      <c r="E3331" s="45">
        <v>45991.999305555553</v>
      </c>
      <c r="F3331" s="42" t="s">
        <v>475</v>
      </c>
    </row>
    <row r="3332" spans="1:6" x14ac:dyDescent="0.35">
      <c r="A3332" s="42" t="s">
        <v>400</v>
      </c>
      <c r="B3332" s="42">
        <v>1189.92</v>
      </c>
      <c r="C3332" s="43">
        <v>0.1</v>
      </c>
      <c r="D3332" s="45">
        <v>45962</v>
      </c>
      <c r="E3332" s="45">
        <v>45991.999305555553</v>
      </c>
      <c r="F3332" s="42" t="s">
        <v>475</v>
      </c>
    </row>
    <row r="3333" spans="1:6" x14ac:dyDescent="0.35">
      <c r="A3333" s="42" t="s">
        <v>121</v>
      </c>
      <c r="B3333" s="42">
        <v>1349.92</v>
      </c>
      <c r="C3333" s="43">
        <v>0.1</v>
      </c>
      <c r="D3333" s="45">
        <v>45962</v>
      </c>
      <c r="E3333" s="45">
        <v>45991.999305555553</v>
      </c>
      <c r="F3333" s="42" t="s">
        <v>475</v>
      </c>
    </row>
    <row r="3334" spans="1:6" x14ac:dyDescent="0.35">
      <c r="A3334" s="42" t="s">
        <v>266</v>
      </c>
      <c r="B3334" s="42">
        <v>1449.92</v>
      </c>
      <c r="C3334" s="43">
        <v>0.1</v>
      </c>
      <c r="D3334" s="45">
        <v>45962</v>
      </c>
      <c r="E3334" s="45">
        <v>45991.999305555553</v>
      </c>
      <c r="F3334" s="42" t="s">
        <v>475</v>
      </c>
    </row>
    <row r="3335" spans="1:6" x14ac:dyDescent="0.35">
      <c r="A3335" s="42" t="s">
        <v>105</v>
      </c>
      <c r="B3335" s="42">
        <v>1389.92</v>
      </c>
      <c r="C3335" s="43">
        <v>0.1</v>
      </c>
      <c r="D3335" s="45">
        <v>45962</v>
      </c>
      <c r="E3335" s="45">
        <v>45991.999305555553</v>
      </c>
      <c r="F3335" s="42" t="s">
        <v>475</v>
      </c>
    </row>
    <row r="3336" spans="1:6" x14ac:dyDescent="0.35">
      <c r="A3336" s="42" t="s">
        <v>48</v>
      </c>
      <c r="B3336" s="42">
        <v>1049.92</v>
      </c>
      <c r="C3336" s="43">
        <v>0.1</v>
      </c>
      <c r="D3336" s="45">
        <v>45962</v>
      </c>
      <c r="E3336" s="45">
        <v>45991.999305555553</v>
      </c>
      <c r="F3336" s="42" t="s">
        <v>475</v>
      </c>
    </row>
    <row r="3337" spans="1:6" x14ac:dyDescent="0.35">
      <c r="A3337" s="42" t="s">
        <v>621</v>
      </c>
      <c r="B3337" s="42">
        <v>1719.92</v>
      </c>
      <c r="C3337" s="43">
        <v>0.1</v>
      </c>
      <c r="D3337" s="45">
        <v>45962</v>
      </c>
      <c r="E3337" s="45">
        <v>45991.999305555553</v>
      </c>
      <c r="F3337" s="42" t="s">
        <v>475</v>
      </c>
    </row>
    <row r="3338" spans="1:6" x14ac:dyDescent="0.35">
      <c r="A3338" s="42" t="s">
        <v>645</v>
      </c>
      <c r="B3338" s="42">
        <v>1629.92</v>
      </c>
      <c r="C3338" s="43">
        <v>0.1</v>
      </c>
      <c r="D3338" s="45">
        <v>45962</v>
      </c>
      <c r="E3338" s="45">
        <v>45991.999305555553</v>
      </c>
      <c r="F3338" s="42" t="s">
        <v>475</v>
      </c>
    </row>
    <row r="3339" spans="1:6" x14ac:dyDescent="0.35">
      <c r="A3339" s="42" t="s">
        <v>648</v>
      </c>
      <c r="B3339" s="42">
        <v>2349.92</v>
      </c>
      <c r="C3339" s="43">
        <v>0.1</v>
      </c>
      <c r="D3339" s="45">
        <v>45962</v>
      </c>
      <c r="E3339" s="45">
        <v>45991.999305555553</v>
      </c>
      <c r="F3339" s="42" t="s">
        <v>475</v>
      </c>
    </row>
    <row r="3340" spans="1:6" x14ac:dyDescent="0.35">
      <c r="A3340" s="42" t="s">
        <v>649</v>
      </c>
      <c r="B3340" s="42">
        <v>3299.92</v>
      </c>
      <c r="C3340" s="43">
        <v>0.1</v>
      </c>
      <c r="D3340" s="45">
        <v>45962</v>
      </c>
      <c r="E3340" s="45">
        <v>45991.999305555553</v>
      </c>
      <c r="F3340" s="42" t="s">
        <v>475</v>
      </c>
    </row>
    <row r="3341" spans="1:6" x14ac:dyDescent="0.35">
      <c r="A3341" s="42" t="s">
        <v>652</v>
      </c>
      <c r="B3341" s="42">
        <v>1099.92</v>
      </c>
      <c r="C3341" s="43">
        <v>0.1</v>
      </c>
      <c r="D3341" s="45">
        <v>45962</v>
      </c>
      <c r="E3341" s="45">
        <v>45991.999305555553</v>
      </c>
      <c r="F3341" s="42" t="s">
        <v>475</v>
      </c>
    </row>
    <row r="3342" spans="1:6" x14ac:dyDescent="0.35">
      <c r="A3342" s="42" t="s">
        <v>653</v>
      </c>
      <c r="B3342" s="42">
        <v>2599.92</v>
      </c>
      <c r="C3342" s="43">
        <v>0.1</v>
      </c>
      <c r="D3342" s="45">
        <v>45962</v>
      </c>
      <c r="E3342" s="45">
        <v>45991.999305555553</v>
      </c>
      <c r="F3342" s="42" t="s">
        <v>475</v>
      </c>
    </row>
    <row r="3343" spans="1:6" x14ac:dyDescent="0.35">
      <c r="A3343" s="42" t="s">
        <v>655</v>
      </c>
      <c r="B3343" s="42">
        <v>2399.92</v>
      </c>
      <c r="C3343" s="43">
        <v>0.1</v>
      </c>
      <c r="D3343" s="45">
        <v>45962</v>
      </c>
      <c r="E3343" s="45">
        <v>45991.999305555553</v>
      </c>
      <c r="F3343" s="42" t="s">
        <v>475</v>
      </c>
    </row>
    <row r="3344" spans="1:6" x14ac:dyDescent="0.35">
      <c r="A3344" s="42" t="s">
        <v>656</v>
      </c>
      <c r="B3344" s="42">
        <v>1049.92</v>
      </c>
      <c r="C3344" s="43">
        <v>0.1</v>
      </c>
      <c r="D3344" s="45">
        <v>45962</v>
      </c>
      <c r="E3344" s="45">
        <v>45991.999305555553</v>
      </c>
      <c r="F3344" s="42" t="s">
        <v>475</v>
      </c>
    </row>
    <row r="3345" spans="1:6" x14ac:dyDescent="0.35">
      <c r="A3345" s="42" t="s">
        <v>657</v>
      </c>
      <c r="B3345" s="42">
        <v>659.92</v>
      </c>
      <c r="C3345" s="43">
        <v>0.1</v>
      </c>
      <c r="D3345" s="45">
        <v>45962</v>
      </c>
      <c r="E3345" s="45">
        <v>45991.999305555553</v>
      </c>
      <c r="F3345" s="42" t="s">
        <v>475</v>
      </c>
    </row>
    <row r="3346" spans="1:6" x14ac:dyDescent="0.35">
      <c r="A3346" s="42" t="s">
        <v>658</v>
      </c>
      <c r="B3346" s="42">
        <v>1529.92</v>
      </c>
      <c r="C3346" s="43">
        <v>0.1</v>
      </c>
      <c r="D3346" s="45">
        <v>45962</v>
      </c>
      <c r="E3346" s="45">
        <v>45991.999305555553</v>
      </c>
      <c r="F3346" s="42" t="s">
        <v>475</v>
      </c>
    </row>
    <row r="3347" spans="1:6" x14ac:dyDescent="0.35">
      <c r="A3347" s="42" t="s">
        <v>659</v>
      </c>
      <c r="B3347" s="42">
        <v>1529.92</v>
      </c>
      <c r="C3347" s="43">
        <v>0.1</v>
      </c>
      <c r="D3347" s="45">
        <v>45962</v>
      </c>
      <c r="E3347" s="45">
        <v>45991.999305555553</v>
      </c>
      <c r="F3347" s="42" t="s">
        <v>475</v>
      </c>
    </row>
    <row r="3348" spans="1:6" x14ac:dyDescent="0.35">
      <c r="A3348" s="42" t="s">
        <v>660</v>
      </c>
      <c r="B3348" s="42">
        <v>1189.92</v>
      </c>
      <c r="C3348" s="43">
        <v>0.1</v>
      </c>
      <c r="D3348" s="45">
        <v>45962</v>
      </c>
      <c r="E3348" s="45">
        <v>45991.999305555553</v>
      </c>
      <c r="F3348" s="42" t="s">
        <v>475</v>
      </c>
    </row>
    <row r="3349" spans="1:6" x14ac:dyDescent="0.35">
      <c r="A3349" s="42" t="s">
        <v>464</v>
      </c>
      <c r="B3349" s="42">
        <v>1349.92</v>
      </c>
      <c r="C3349" s="43">
        <v>0.1</v>
      </c>
      <c r="D3349" s="45">
        <v>45962</v>
      </c>
      <c r="E3349" s="45">
        <v>45991.999305555553</v>
      </c>
      <c r="F3349" s="42" t="s">
        <v>475</v>
      </c>
    </row>
    <row r="3350" spans="1:6" x14ac:dyDescent="0.35">
      <c r="A3350" s="42" t="s">
        <v>460</v>
      </c>
      <c r="B3350" s="42">
        <v>1349.92</v>
      </c>
      <c r="C3350" s="43">
        <v>0.1</v>
      </c>
      <c r="D3350" s="45">
        <v>45962</v>
      </c>
      <c r="E3350" s="45">
        <v>45991.999305555553</v>
      </c>
      <c r="F3350" s="42" t="s">
        <v>475</v>
      </c>
    </row>
    <row r="3351" spans="1:6" x14ac:dyDescent="0.35">
      <c r="A3351" s="42" t="s">
        <v>662</v>
      </c>
      <c r="B3351" s="42">
        <v>1969.92</v>
      </c>
      <c r="C3351" s="43">
        <v>0.1</v>
      </c>
      <c r="D3351" s="45">
        <v>45962</v>
      </c>
      <c r="E3351" s="45">
        <v>45991.999305555553</v>
      </c>
      <c r="F3351" s="42" t="s">
        <v>475</v>
      </c>
    </row>
    <row r="3352" spans="1:6" x14ac:dyDescent="0.35">
      <c r="A3352" s="42" t="s">
        <v>663</v>
      </c>
      <c r="B3352" s="42">
        <v>1739.92</v>
      </c>
      <c r="C3352" s="43">
        <v>0.1</v>
      </c>
      <c r="D3352" s="45">
        <v>45962</v>
      </c>
      <c r="E3352" s="45">
        <v>45991.999305555553</v>
      </c>
      <c r="F3352" s="42" t="s">
        <v>475</v>
      </c>
    </row>
    <row r="3353" spans="1:6" x14ac:dyDescent="0.35">
      <c r="A3353" s="42" t="s">
        <v>664</v>
      </c>
      <c r="B3353" s="42">
        <v>3459.92</v>
      </c>
      <c r="C3353" s="43">
        <v>0.1</v>
      </c>
      <c r="D3353" s="45">
        <v>45962</v>
      </c>
      <c r="E3353" s="45">
        <v>45991.999305555553</v>
      </c>
      <c r="F3353" s="42" t="s">
        <v>475</v>
      </c>
    </row>
    <row r="3354" spans="1:6" x14ac:dyDescent="0.35">
      <c r="A3354" s="42" t="s">
        <v>665</v>
      </c>
      <c r="B3354" s="42">
        <v>2449.92</v>
      </c>
      <c r="C3354" s="43">
        <v>0.1</v>
      </c>
      <c r="D3354" s="45">
        <v>45962</v>
      </c>
      <c r="E3354" s="45">
        <v>45991.999305555553</v>
      </c>
      <c r="F3354" s="42" t="s">
        <v>475</v>
      </c>
    </row>
    <row r="3355" spans="1:6" x14ac:dyDescent="0.35">
      <c r="A3355" s="42" t="s">
        <v>666</v>
      </c>
      <c r="B3355" s="42">
        <v>1049.92</v>
      </c>
      <c r="C3355" s="43">
        <v>0.1</v>
      </c>
      <c r="D3355" s="45">
        <v>45962</v>
      </c>
      <c r="E3355" s="45">
        <v>45991.999305555553</v>
      </c>
      <c r="F3355" s="42" t="s">
        <v>475</v>
      </c>
    </row>
    <row r="3356" spans="1:6" x14ac:dyDescent="0.35">
      <c r="A3356" s="42" t="s">
        <v>668</v>
      </c>
      <c r="B3356" s="42">
        <v>2599.92</v>
      </c>
      <c r="C3356" s="43">
        <v>0.1</v>
      </c>
      <c r="D3356" s="45">
        <v>45962</v>
      </c>
      <c r="E3356" s="45">
        <v>45991.999305555553</v>
      </c>
      <c r="F3356" s="42" t="s">
        <v>475</v>
      </c>
    </row>
    <row r="3357" spans="1:6" x14ac:dyDescent="0.35">
      <c r="A3357" s="42" t="s">
        <v>672</v>
      </c>
      <c r="B3357" s="42">
        <v>1259.92</v>
      </c>
      <c r="C3357" s="43">
        <v>0.1</v>
      </c>
      <c r="D3357" s="45">
        <v>45962</v>
      </c>
      <c r="E3357" s="45">
        <v>45991.999305555553</v>
      </c>
      <c r="F3357" s="42" t="s">
        <v>475</v>
      </c>
    </row>
    <row r="3358" spans="1:6" x14ac:dyDescent="0.35">
      <c r="A3358" s="42" t="s">
        <v>673</v>
      </c>
      <c r="B3358" s="42">
        <v>1229.92</v>
      </c>
      <c r="C3358" s="43">
        <v>0.1</v>
      </c>
      <c r="D3358" s="45">
        <v>45962</v>
      </c>
      <c r="E3358" s="45">
        <v>45991.999305555553</v>
      </c>
      <c r="F3358" s="42" t="s">
        <v>475</v>
      </c>
    </row>
    <row r="3359" spans="1:6" x14ac:dyDescent="0.35">
      <c r="A3359" s="42" t="s">
        <v>699</v>
      </c>
      <c r="B3359" s="42">
        <v>1199.92</v>
      </c>
      <c r="C3359" s="43">
        <v>0.1</v>
      </c>
      <c r="D3359" s="45">
        <v>45962</v>
      </c>
      <c r="E3359" s="45">
        <v>45991.999305555553</v>
      </c>
      <c r="F3359" s="42" t="s">
        <v>475</v>
      </c>
    </row>
    <row r="3360" spans="1:6" x14ac:dyDescent="0.35">
      <c r="A3360" s="42" t="s">
        <v>700</v>
      </c>
      <c r="B3360" s="42">
        <v>1199.92</v>
      </c>
      <c r="C3360" s="43">
        <v>0.1</v>
      </c>
      <c r="D3360" s="45">
        <v>45962</v>
      </c>
      <c r="E3360" s="45">
        <v>45991.999305555553</v>
      </c>
      <c r="F3360" s="42" t="s">
        <v>475</v>
      </c>
    </row>
    <row r="3361" spans="1:6" x14ac:dyDescent="0.35">
      <c r="A3361" s="42" t="s">
        <v>701</v>
      </c>
      <c r="B3361" s="42">
        <v>1199.92</v>
      </c>
      <c r="C3361" s="43">
        <v>0.1</v>
      </c>
      <c r="D3361" s="45">
        <v>45962</v>
      </c>
      <c r="E3361" s="45">
        <v>45991.999305555553</v>
      </c>
      <c r="F3361" s="42" t="s">
        <v>475</v>
      </c>
    </row>
    <row r="3362" spans="1:6" x14ac:dyDescent="0.35">
      <c r="A3362" s="42" t="s">
        <v>702</v>
      </c>
      <c r="B3362" s="42">
        <v>1199.92</v>
      </c>
      <c r="C3362" s="43">
        <v>0.1</v>
      </c>
      <c r="D3362" s="45">
        <v>45962</v>
      </c>
      <c r="E3362" s="45">
        <v>45991.999305555553</v>
      </c>
      <c r="F3362" s="42" t="s">
        <v>475</v>
      </c>
    </row>
    <row r="3363" spans="1:6" x14ac:dyDescent="0.35">
      <c r="A3363" s="42" t="s">
        <v>703</v>
      </c>
      <c r="B3363" s="42">
        <v>1199.92</v>
      </c>
      <c r="C3363" s="43">
        <v>0.1</v>
      </c>
      <c r="D3363" s="45">
        <v>45962</v>
      </c>
      <c r="E3363" s="45">
        <v>45991.999305555553</v>
      </c>
      <c r="F3363" s="42" t="s">
        <v>475</v>
      </c>
    </row>
    <row r="3364" spans="1:6" x14ac:dyDescent="0.35">
      <c r="A3364" s="42" t="s">
        <v>704</v>
      </c>
      <c r="B3364" s="42">
        <v>1379.92</v>
      </c>
      <c r="C3364" s="43">
        <v>0.1</v>
      </c>
      <c r="D3364" s="45">
        <v>45962</v>
      </c>
      <c r="E3364" s="45">
        <v>45991.999305555553</v>
      </c>
      <c r="F3364" s="42" t="s">
        <v>475</v>
      </c>
    </row>
    <row r="3365" spans="1:6" x14ac:dyDescent="0.35">
      <c r="A3365" s="42" t="s">
        <v>706</v>
      </c>
      <c r="B3365" s="42">
        <v>1569.92</v>
      </c>
      <c r="C3365" s="43">
        <v>0.1</v>
      </c>
      <c r="D3365" s="45">
        <v>45962</v>
      </c>
      <c r="E3365" s="45">
        <v>45991.999305555553</v>
      </c>
      <c r="F3365" s="42" t="s">
        <v>475</v>
      </c>
    </row>
    <row r="3366" spans="1:6" x14ac:dyDescent="0.35">
      <c r="A3366" s="42" t="s">
        <v>707</v>
      </c>
      <c r="B3366" s="42">
        <v>1569.92</v>
      </c>
      <c r="C3366" s="43">
        <v>0.1</v>
      </c>
      <c r="D3366" s="45">
        <v>45962</v>
      </c>
      <c r="E3366" s="45">
        <v>45991.999305555553</v>
      </c>
      <c r="F3366" s="42" t="s">
        <v>475</v>
      </c>
    </row>
    <row r="3367" spans="1:6" x14ac:dyDescent="0.35">
      <c r="A3367" s="42" t="s">
        <v>708</v>
      </c>
      <c r="B3367" s="42">
        <v>1569.92</v>
      </c>
      <c r="C3367" s="43">
        <v>0.1</v>
      </c>
      <c r="D3367" s="45">
        <v>45962</v>
      </c>
      <c r="E3367" s="45">
        <v>45991.999305555553</v>
      </c>
      <c r="F3367" s="42" t="s">
        <v>475</v>
      </c>
    </row>
    <row r="3368" spans="1:6" x14ac:dyDescent="0.35">
      <c r="A3368" s="42" t="s">
        <v>709</v>
      </c>
      <c r="B3368" s="42">
        <v>1569.92</v>
      </c>
      <c r="C3368" s="43">
        <v>0.1</v>
      </c>
      <c r="D3368" s="45">
        <v>45962</v>
      </c>
      <c r="E3368" s="45">
        <v>45991.999305555553</v>
      </c>
      <c r="F3368" s="42" t="s">
        <v>475</v>
      </c>
    </row>
    <row r="3369" spans="1:6" x14ac:dyDescent="0.35">
      <c r="A3369" s="42" t="s">
        <v>710</v>
      </c>
      <c r="B3369" s="42">
        <v>1569.92</v>
      </c>
      <c r="C3369" s="43">
        <v>0.1</v>
      </c>
      <c r="D3369" s="45">
        <v>45962</v>
      </c>
      <c r="E3369" s="45">
        <v>45991.999305555553</v>
      </c>
      <c r="F3369" s="42" t="s">
        <v>475</v>
      </c>
    </row>
    <row r="3370" spans="1:6" x14ac:dyDescent="0.35">
      <c r="A3370" s="42" t="s">
        <v>711</v>
      </c>
      <c r="B3370" s="42">
        <v>1569.92</v>
      </c>
      <c r="C3370" s="43">
        <v>0.1</v>
      </c>
      <c r="D3370" s="45">
        <v>45962</v>
      </c>
      <c r="E3370" s="45">
        <v>45991.999305555553</v>
      </c>
      <c r="F3370" s="42" t="s">
        <v>475</v>
      </c>
    </row>
    <row r="3371" spans="1:6" x14ac:dyDescent="0.35">
      <c r="A3371" s="42" t="s">
        <v>712</v>
      </c>
      <c r="B3371" s="42">
        <v>1569.92</v>
      </c>
      <c r="C3371" s="43">
        <v>0.1</v>
      </c>
      <c r="D3371" s="45">
        <v>45962</v>
      </c>
      <c r="E3371" s="45">
        <v>45991.999305555553</v>
      </c>
      <c r="F3371" s="42" t="s">
        <v>475</v>
      </c>
    </row>
    <row r="3372" spans="1:6" x14ac:dyDescent="0.35">
      <c r="A3372" s="42" t="s">
        <v>713</v>
      </c>
      <c r="B3372" s="42">
        <v>1569.92</v>
      </c>
      <c r="C3372" s="43">
        <v>0.1</v>
      </c>
      <c r="D3372" s="45">
        <v>45962</v>
      </c>
      <c r="E3372" s="45">
        <v>45991.999305555553</v>
      </c>
      <c r="F3372" s="42" t="s">
        <v>475</v>
      </c>
    </row>
    <row r="3373" spans="1:6" x14ac:dyDescent="0.35">
      <c r="A3373" s="42" t="s">
        <v>714</v>
      </c>
      <c r="B3373" s="42">
        <v>1569.92</v>
      </c>
      <c r="C3373" s="43">
        <v>0.1</v>
      </c>
      <c r="D3373" s="45">
        <v>45962</v>
      </c>
      <c r="E3373" s="45">
        <v>45991.999305555553</v>
      </c>
      <c r="F3373" s="42" t="s">
        <v>475</v>
      </c>
    </row>
    <row r="3374" spans="1:6" x14ac:dyDescent="0.35">
      <c r="A3374" s="42" t="s">
        <v>715</v>
      </c>
      <c r="B3374" s="42">
        <v>1569.92</v>
      </c>
      <c r="C3374" s="43">
        <v>0.1</v>
      </c>
      <c r="D3374" s="45">
        <v>45962</v>
      </c>
      <c r="E3374" s="45">
        <v>45991.999305555553</v>
      </c>
      <c r="F3374" s="42" t="s">
        <v>475</v>
      </c>
    </row>
    <row r="3375" spans="1:6" x14ac:dyDescent="0.35">
      <c r="A3375" s="42" t="s">
        <v>716</v>
      </c>
      <c r="B3375" s="42">
        <v>1569.92</v>
      </c>
      <c r="C3375" s="43">
        <v>0.1</v>
      </c>
      <c r="D3375" s="45">
        <v>45962</v>
      </c>
      <c r="E3375" s="45">
        <v>45991.999305555553</v>
      </c>
      <c r="F3375" s="42" t="s">
        <v>475</v>
      </c>
    </row>
    <row r="3376" spans="1:6" x14ac:dyDescent="0.35">
      <c r="A3376" s="42" t="s">
        <v>717</v>
      </c>
      <c r="B3376" s="42">
        <v>1569.92</v>
      </c>
      <c r="C3376" s="43">
        <v>0.1</v>
      </c>
      <c r="D3376" s="45">
        <v>45962</v>
      </c>
      <c r="E3376" s="45">
        <v>45991.999305555553</v>
      </c>
      <c r="F3376" s="42" t="s">
        <v>475</v>
      </c>
    </row>
    <row r="3377" spans="1:6" x14ac:dyDescent="0.35">
      <c r="A3377" s="42" t="s">
        <v>728</v>
      </c>
      <c r="B3377" s="42">
        <v>1379.92</v>
      </c>
      <c r="C3377" s="43">
        <v>0.1</v>
      </c>
      <c r="D3377" s="45">
        <v>45962</v>
      </c>
      <c r="E3377" s="45">
        <v>45991.999305555553</v>
      </c>
      <c r="F3377" s="42" t="s">
        <v>475</v>
      </c>
    </row>
    <row r="3378" spans="1:6" x14ac:dyDescent="0.35">
      <c r="A3378" s="42" t="s">
        <v>729</v>
      </c>
      <c r="B3378" s="42">
        <v>1389.92</v>
      </c>
      <c r="C3378" s="43">
        <v>0.1</v>
      </c>
      <c r="D3378" s="45">
        <v>45962</v>
      </c>
      <c r="E3378" s="45">
        <v>45991.999305555553</v>
      </c>
      <c r="F3378" s="42" t="s">
        <v>475</v>
      </c>
    </row>
    <row r="3379" spans="1:6" x14ac:dyDescent="0.35">
      <c r="A3379" s="42" t="s">
        <v>730</v>
      </c>
      <c r="B3379" s="42">
        <v>1389.92</v>
      </c>
      <c r="C3379" s="43">
        <v>0.1</v>
      </c>
      <c r="D3379" s="45">
        <v>45962</v>
      </c>
      <c r="E3379" s="45">
        <v>45991.999305555553</v>
      </c>
      <c r="F3379" s="42" t="s">
        <v>475</v>
      </c>
    </row>
    <row r="3380" spans="1:6" x14ac:dyDescent="0.35">
      <c r="A3380" s="42" t="s">
        <v>731</v>
      </c>
      <c r="B3380" s="42">
        <v>1389.92</v>
      </c>
      <c r="C3380" s="43">
        <v>0.1</v>
      </c>
      <c r="D3380" s="45">
        <v>45962</v>
      </c>
      <c r="E3380" s="45">
        <v>45991.999305555553</v>
      </c>
      <c r="F3380" s="42" t="s">
        <v>475</v>
      </c>
    </row>
    <row r="3381" spans="1:6" x14ac:dyDescent="0.35">
      <c r="A3381" s="42" t="s">
        <v>732</v>
      </c>
      <c r="B3381" s="42">
        <v>1389.92</v>
      </c>
      <c r="C3381" s="43">
        <v>0.1</v>
      </c>
      <c r="D3381" s="45">
        <v>45962</v>
      </c>
      <c r="E3381" s="45">
        <v>45991.999305555553</v>
      </c>
      <c r="F3381" s="42" t="s">
        <v>475</v>
      </c>
    </row>
    <row r="3382" spans="1:6" x14ac:dyDescent="0.35">
      <c r="A3382" s="42" t="s">
        <v>733</v>
      </c>
      <c r="B3382" s="42">
        <v>1389.92</v>
      </c>
      <c r="C3382" s="43">
        <v>0.1</v>
      </c>
      <c r="D3382" s="45">
        <v>45962</v>
      </c>
      <c r="E3382" s="45">
        <v>45991.999305555553</v>
      </c>
      <c r="F3382" s="42" t="s">
        <v>475</v>
      </c>
    </row>
    <row r="3383" spans="1:6" x14ac:dyDescent="0.35">
      <c r="A3383" s="42" t="s">
        <v>734</v>
      </c>
      <c r="B3383" s="42">
        <v>1389.92</v>
      </c>
      <c r="C3383" s="43">
        <v>0.1</v>
      </c>
      <c r="D3383" s="45">
        <v>45962</v>
      </c>
      <c r="E3383" s="45">
        <v>45991.999305555553</v>
      </c>
      <c r="F3383" s="42" t="s">
        <v>475</v>
      </c>
    </row>
    <row r="3384" spans="1:6" x14ac:dyDescent="0.35">
      <c r="A3384" s="42" t="s">
        <v>735</v>
      </c>
      <c r="B3384" s="42">
        <v>2349.92</v>
      </c>
      <c r="C3384" s="43">
        <v>0.1</v>
      </c>
      <c r="D3384" s="45">
        <v>45962</v>
      </c>
      <c r="E3384" s="45">
        <v>45991.999305555553</v>
      </c>
      <c r="F3384" s="42" t="s">
        <v>475</v>
      </c>
    </row>
    <row r="3385" spans="1:6" x14ac:dyDescent="0.35">
      <c r="A3385" s="42" t="s">
        <v>736</v>
      </c>
      <c r="B3385" s="42">
        <v>2349.92</v>
      </c>
      <c r="C3385" s="43">
        <v>0.1</v>
      </c>
      <c r="D3385" s="45">
        <v>45962</v>
      </c>
      <c r="E3385" s="45">
        <v>45991.999305555553</v>
      </c>
      <c r="F3385" s="42" t="s">
        <v>475</v>
      </c>
    </row>
    <row r="3386" spans="1:6" x14ac:dyDescent="0.35">
      <c r="A3386" s="42" t="s">
        <v>737</v>
      </c>
      <c r="B3386" s="42">
        <v>2349.92</v>
      </c>
      <c r="C3386" s="43">
        <v>0.1</v>
      </c>
      <c r="D3386" s="45">
        <v>45962</v>
      </c>
      <c r="E3386" s="45">
        <v>45991.999305555553</v>
      </c>
      <c r="F3386" s="42" t="s">
        <v>475</v>
      </c>
    </row>
    <row r="3387" spans="1:6" x14ac:dyDescent="0.35">
      <c r="A3387" s="42" t="s">
        <v>738</v>
      </c>
      <c r="B3387" s="42">
        <v>2349.92</v>
      </c>
      <c r="C3387" s="43">
        <v>0.1</v>
      </c>
      <c r="D3387" s="45">
        <v>45962</v>
      </c>
      <c r="E3387" s="45">
        <v>45991.999305555553</v>
      </c>
      <c r="F3387" s="42" t="s">
        <v>475</v>
      </c>
    </row>
    <row r="3388" spans="1:6" x14ac:dyDescent="0.35">
      <c r="A3388" s="42" t="s">
        <v>739</v>
      </c>
      <c r="B3388" s="42">
        <v>2349.92</v>
      </c>
      <c r="C3388" s="43">
        <v>0.1</v>
      </c>
      <c r="D3388" s="45">
        <v>45962</v>
      </c>
      <c r="E3388" s="45">
        <v>45991.999305555553</v>
      </c>
      <c r="F3388" s="42" t="s">
        <v>475</v>
      </c>
    </row>
    <row r="3389" spans="1:6" x14ac:dyDescent="0.35">
      <c r="A3389" s="42" t="s">
        <v>740</v>
      </c>
      <c r="B3389" s="42">
        <v>2349.92</v>
      </c>
      <c r="C3389" s="43">
        <v>0.1</v>
      </c>
      <c r="D3389" s="45">
        <v>45962</v>
      </c>
      <c r="E3389" s="45">
        <v>45991.999305555553</v>
      </c>
      <c r="F3389" s="42" t="s">
        <v>475</v>
      </c>
    </row>
    <row r="3390" spans="1:6" x14ac:dyDescent="0.35">
      <c r="A3390" s="42" t="s">
        <v>741</v>
      </c>
      <c r="B3390" s="42">
        <v>2349.92</v>
      </c>
      <c r="C3390" s="43">
        <v>0.1</v>
      </c>
      <c r="D3390" s="45">
        <v>45962</v>
      </c>
      <c r="E3390" s="45">
        <v>45991.999305555553</v>
      </c>
      <c r="F3390" s="42" t="s">
        <v>475</v>
      </c>
    </row>
    <row r="3391" spans="1:6" x14ac:dyDescent="0.35">
      <c r="A3391" s="42" t="s">
        <v>742</v>
      </c>
      <c r="B3391" s="42">
        <v>2349.92</v>
      </c>
      <c r="C3391" s="43">
        <v>0.1</v>
      </c>
      <c r="D3391" s="45">
        <v>45962</v>
      </c>
      <c r="E3391" s="45">
        <v>45991.999305555553</v>
      </c>
      <c r="F3391" s="42" t="s">
        <v>475</v>
      </c>
    </row>
    <row r="3392" spans="1:6" x14ac:dyDescent="0.35">
      <c r="A3392" s="42" t="s">
        <v>743</v>
      </c>
      <c r="B3392" s="42">
        <v>789.92</v>
      </c>
      <c r="C3392" s="43">
        <v>0.1</v>
      </c>
      <c r="D3392" s="45">
        <v>45962</v>
      </c>
      <c r="E3392" s="45">
        <v>45991.999305555553</v>
      </c>
      <c r="F3392" s="42" t="s">
        <v>475</v>
      </c>
    </row>
    <row r="3393" spans="1:6" x14ac:dyDescent="0.35">
      <c r="A3393" s="42" t="s">
        <v>744</v>
      </c>
      <c r="B3393" s="42">
        <v>769.92</v>
      </c>
      <c r="C3393" s="43">
        <v>0.1</v>
      </c>
      <c r="D3393" s="45">
        <v>45962</v>
      </c>
      <c r="E3393" s="45">
        <v>45991.999305555553</v>
      </c>
      <c r="F3393" s="42" t="s">
        <v>475</v>
      </c>
    </row>
    <row r="3394" spans="1:6" x14ac:dyDescent="0.35">
      <c r="A3394" s="42" t="s">
        <v>749</v>
      </c>
      <c r="B3394" s="42">
        <v>1089.92</v>
      </c>
      <c r="C3394" s="43">
        <v>0.1</v>
      </c>
      <c r="D3394" s="45">
        <v>45962</v>
      </c>
      <c r="E3394" s="45">
        <v>45991.999305555553</v>
      </c>
      <c r="F3394" s="42" t="s">
        <v>475</v>
      </c>
    </row>
    <row r="3395" spans="1:6" x14ac:dyDescent="0.35">
      <c r="A3395" s="42" t="s">
        <v>751</v>
      </c>
      <c r="B3395" s="42">
        <v>1529.92</v>
      </c>
      <c r="C3395" s="43">
        <v>0.1</v>
      </c>
      <c r="D3395" s="45">
        <v>45962</v>
      </c>
      <c r="E3395" s="45">
        <v>45991.999305555553</v>
      </c>
      <c r="F3395" s="42" t="s">
        <v>475</v>
      </c>
    </row>
    <row r="3396" spans="1:6" x14ac:dyDescent="0.35">
      <c r="A3396" s="42" t="s">
        <v>752</v>
      </c>
      <c r="B3396" s="42">
        <v>1529.92</v>
      </c>
      <c r="C3396" s="43">
        <v>0.1</v>
      </c>
      <c r="D3396" s="45">
        <v>45962</v>
      </c>
      <c r="E3396" s="45">
        <v>45991.999305555553</v>
      </c>
      <c r="F3396" s="42" t="s">
        <v>475</v>
      </c>
    </row>
    <row r="3397" spans="1:6" x14ac:dyDescent="0.35">
      <c r="A3397" s="42" t="s">
        <v>753</v>
      </c>
      <c r="B3397" s="42">
        <v>1529.92</v>
      </c>
      <c r="C3397" s="43">
        <v>0.1</v>
      </c>
      <c r="D3397" s="45">
        <v>45962</v>
      </c>
      <c r="E3397" s="45">
        <v>45991.999305555553</v>
      </c>
      <c r="F3397" s="42" t="s">
        <v>475</v>
      </c>
    </row>
    <row r="3398" spans="1:6" x14ac:dyDescent="0.35">
      <c r="A3398" s="42" t="s">
        <v>754</v>
      </c>
      <c r="B3398" s="42">
        <v>1529.92</v>
      </c>
      <c r="C3398" s="43">
        <v>0.1</v>
      </c>
      <c r="D3398" s="45">
        <v>45962</v>
      </c>
      <c r="E3398" s="45">
        <v>45991.999305555553</v>
      </c>
      <c r="F3398" s="42" t="s">
        <v>475</v>
      </c>
    </row>
    <row r="3399" spans="1:6" x14ac:dyDescent="0.35">
      <c r="A3399" s="42" t="s">
        <v>755</v>
      </c>
      <c r="B3399" s="42">
        <v>1529.92</v>
      </c>
      <c r="C3399" s="43">
        <v>0.1</v>
      </c>
      <c r="D3399" s="45">
        <v>45962</v>
      </c>
      <c r="E3399" s="45">
        <v>45991.999305555553</v>
      </c>
      <c r="F3399" s="42" t="s">
        <v>475</v>
      </c>
    </row>
    <row r="3400" spans="1:6" x14ac:dyDescent="0.35">
      <c r="A3400" s="42" t="s">
        <v>756</v>
      </c>
      <c r="B3400" s="42">
        <v>1529.92</v>
      </c>
      <c r="C3400" s="43">
        <v>0.1</v>
      </c>
      <c r="D3400" s="45">
        <v>45962</v>
      </c>
      <c r="E3400" s="45">
        <v>45991.999305555553</v>
      </c>
      <c r="F3400" s="42" t="s">
        <v>475</v>
      </c>
    </row>
    <row r="3401" spans="1:6" x14ac:dyDescent="0.35">
      <c r="A3401" s="42" t="s">
        <v>757</v>
      </c>
      <c r="B3401" s="42">
        <v>1829.92</v>
      </c>
      <c r="C3401" s="43">
        <v>0.1</v>
      </c>
      <c r="D3401" s="45">
        <v>45962</v>
      </c>
      <c r="E3401" s="45">
        <v>45991.999305555553</v>
      </c>
      <c r="F3401" s="42" t="s">
        <v>475</v>
      </c>
    </row>
    <row r="3402" spans="1:6" x14ac:dyDescent="0.35">
      <c r="A3402" s="42" t="s">
        <v>758</v>
      </c>
      <c r="B3402" s="42">
        <v>1829.92</v>
      </c>
      <c r="C3402" s="43">
        <v>0.1</v>
      </c>
      <c r="D3402" s="45">
        <v>45962</v>
      </c>
      <c r="E3402" s="45">
        <v>45991.999305555553</v>
      </c>
      <c r="F3402" s="42" t="s">
        <v>475</v>
      </c>
    </row>
    <row r="3403" spans="1:6" x14ac:dyDescent="0.35">
      <c r="A3403" s="42" t="s">
        <v>759</v>
      </c>
      <c r="B3403" s="42">
        <v>1829.92</v>
      </c>
      <c r="C3403" s="43">
        <v>0.1</v>
      </c>
      <c r="D3403" s="45">
        <v>45962</v>
      </c>
      <c r="E3403" s="45">
        <v>45991.999305555553</v>
      </c>
      <c r="F3403" s="42" t="s">
        <v>475</v>
      </c>
    </row>
    <row r="3404" spans="1:6" x14ac:dyDescent="0.35">
      <c r="A3404" s="42" t="s">
        <v>760</v>
      </c>
      <c r="B3404" s="42">
        <v>1829.92</v>
      </c>
      <c r="C3404" s="43">
        <v>0.1</v>
      </c>
      <c r="D3404" s="45">
        <v>45962</v>
      </c>
      <c r="E3404" s="45">
        <v>45991.999305555553</v>
      </c>
      <c r="F3404" s="42" t="s">
        <v>475</v>
      </c>
    </row>
    <row r="3405" spans="1:6" x14ac:dyDescent="0.35">
      <c r="A3405" s="42" t="s">
        <v>761</v>
      </c>
      <c r="B3405" s="42">
        <v>1829.92</v>
      </c>
      <c r="C3405" s="43">
        <v>0.1</v>
      </c>
      <c r="D3405" s="45">
        <v>45962</v>
      </c>
      <c r="E3405" s="45">
        <v>45991.999305555553</v>
      </c>
      <c r="F3405" s="42" t="s">
        <v>475</v>
      </c>
    </row>
    <row r="3406" spans="1:6" x14ac:dyDescent="0.35">
      <c r="A3406" s="42" t="s">
        <v>762</v>
      </c>
      <c r="B3406" s="42">
        <v>1829.92</v>
      </c>
      <c r="C3406" s="43">
        <v>0.1</v>
      </c>
      <c r="D3406" s="45">
        <v>45962</v>
      </c>
      <c r="E3406" s="45">
        <v>45991.999305555553</v>
      </c>
      <c r="F3406" s="42" t="s">
        <v>475</v>
      </c>
    </row>
    <row r="3407" spans="1:6" x14ac:dyDescent="0.35">
      <c r="A3407" s="42" t="s">
        <v>763</v>
      </c>
      <c r="B3407" s="42">
        <v>1829.92</v>
      </c>
      <c r="C3407" s="43">
        <v>0.1</v>
      </c>
      <c r="D3407" s="45">
        <v>45962</v>
      </c>
      <c r="E3407" s="45">
        <v>45991.999305555553</v>
      </c>
      <c r="F3407" s="42" t="s">
        <v>475</v>
      </c>
    </row>
    <row r="3408" spans="1:6" x14ac:dyDescent="0.35">
      <c r="A3408" s="42" t="s">
        <v>764</v>
      </c>
      <c r="B3408" s="42">
        <v>1829.92</v>
      </c>
      <c r="C3408" s="43">
        <v>0.1</v>
      </c>
      <c r="D3408" s="45">
        <v>45962</v>
      </c>
      <c r="E3408" s="45">
        <v>45991.999305555553</v>
      </c>
      <c r="F3408" s="42" t="s">
        <v>475</v>
      </c>
    </row>
    <row r="3409" spans="1:6" x14ac:dyDescent="0.35">
      <c r="A3409" s="42" t="s">
        <v>765</v>
      </c>
      <c r="B3409" s="42">
        <v>1829.92</v>
      </c>
      <c r="C3409" s="43">
        <v>0.1</v>
      </c>
      <c r="D3409" s="45">
        <v>45962</v>
      </c>
      <c r="E3409" s="45">
        <v>45991.999305555553</v>
      </c>
      <c r="F3409" s="42" t="s">
        <v>475</v>
      </c>
    </row>
    <row r="3410" spans="1:6" x14ac:dyDescent="0.35">
      <c r="A3410" s="42" t="s">
        <v>766</v>
      </c>
      <c r="B3410" s="42">
        <v>1829.92</v>
      </c>
      <c r="C3410" s="43">
        <v>0.1</v>
      </c>
      <c r="D3410" s="45">
        <v>45962</v>
      </c>
      <c r="E3410" s="45">
        <v>45991.999305555553</v>
      </c>
      <c r="F3410" s="42" t="s">
        <v>475</v>
      </c>
    </row>
    <row r="3411" spans="1:6" x14ac:dyDescent="0.35">
      <c r="A3411" s="42" t="s">
        <v>767</v>
      </c>
      <c r="B3411" s="42">
        <v>1129.92</v>
      </c>
      <c r="C3411" s="43">
        <v>0.1</v>
      </c>
      <c r="D3411" s="45">
        <v>45962</v>
      </c>
      <c r="E3411" s="45">
        <v>45991.999305555553</v>
      </c>
      <c r="F3411" s="42" t="s">
        <v>475</v>
      </c>
    </row>
    <row r="3412" spans="1:6" x14ac:dyDescent="0.35">
      <c r="A3412" s="42" t="s">
        <v>768</v>
      </c>
      <c r="B3412" s="42">
        <v>1129.92</v>
      </c>
      <c r="C3412" s="43">
        <v>0.1</v>
      </c>
      <c r="D3412" s="45">
        <v>45962</v>
      </c>
      <c r="E3412" s="45">
        <v>45991.999305555553</v>
      </c>
      <c r="F3412" s="42" t="s">
        <v>475</v>
      </c>
    </row>
    <row r="3413" spans="1:6" x14ac:dyDescent="0.35">
      <c r="A3413" s="42" t="s">
        <v>769</v>
      </c>
      <c r="B3413" s="42">
        <v>1129.92</v>
      </c>
      <c r="C3413" s="43">
        <v>0.1</v>
      </c>
      <c r="D3413" s="45">
        <v>45962</v>
      </c>
      <c r="E3413" s="45">
        <v>45991.999305555553</v>
      </c>
      <c r="F3413" s="42" t="s">
        <v>475</v>
      </c>
    </row>
    <row r="3414" spans="1:6" x14ac:dyDescent="0.35">
      <c r="A3414" s="42" t="s">
        <v>770</v>
      </c>
      <c r="B3414" s="42">
        <v>1129.92</v>
      </c>
      <c r="C3414" s="43">
        <v>0.1</v>
      </c>
      <c r="D3414" s="45">
        <v>45962</v>
      </c>
      <c r="E3414" s="45">
        <v>45991.999305555553</v>
      </c>
      <c r="F3414" s="42" t="s">
        <v>475</v>
      </c>
    </row>
    <row r="3415" spans="1:6" x14ac:dyDescent="0.35">
      <c r="A3415" s="42" t="s">
        <v>771</v>
      </c>
      <c r="B3415" s="42">
        <v>1129.92</v>
      </c>
      <c r="C3415" s="43">
        <v>0.1</v>
      </c>
      <c r="D3415" s="45">
        <v>45962</v>
      </c>
      <c r="E3415" s="45">
        <v>45991.999305555553</v>
      </c>
      <c r="F3415" s="42" t="s">
        <v>475</v>
      </c>
    </row>
    <row r="3416" spans="1:6" x14ac:dyDescent="0.35">
      <c r="A3416" s="42" t="s">
        <v>772</v>
      </c>
      <c r="B3416" s="42">
        <v>1129.92</v>
      </c>
      <c r="C3416" s="43">
        <v>0.1</v>
      </c>
      <c r="D3416" s="45">
        <v>45962</v>
      </c>
      <c r="E3416" s="45">
        <v>45991.999305555553</v>
      </c>
      <c r="F3416" s="42" t="s">
        <v>475</v>
      </c>
    </row>
    <row r="3417" spans="1:6" x14ac:dyDescent="0.35">
      <c r="A3417" s="42" t="s">
        <v>773</v>
      </c>
      <c r="B3417" s="42">
        <v>1329.92</v>
      </c>
      <c r="C3417" s="43">
        <v>0.1</v>
      </c>
      <c r="D3417" s="45">
        <v>45962</v>
      </c>
      <c r="E3417" s="45">
        <v>45991.999305555553</v>
      </c>
      <c r="F3417" s="42" t="s">
        <v>475</v>
      </c>
    </row>
    <row r="3418" spans="1:6" x14ac:dyDescent="0.35">
      <c r="A3418" s="42" t="s">
        <v>781</v>
      </c>
      <c r="B3418" s="42">
        <v>1979.92</v>
      </c>
      <c r="C3418" s="43">
        <v>0.1</v>
      </c>
      <c r="D3418" s="45">
        <v>45962</v>
      </c>
      <c r="E3418" s="45">
        <v>45991.999305555553</v>
      </c>
      <c r="F3418" s="42" t="s">
        <v>475</v>
      </c>
    </row>
    <row r="3419" spans="1:6" x14ac:dyDescent="0.35">
      <c r="A3419" s="42" t="s">
        <v>788</v>
      </c>
      <c r="B3419" s="42">
        <v>439.92</v>
      </c>
      <c r="C3419" s="43">
        <v>0.1</v>
      </c>
      <c r="D3419" s="45">
        <v>45962</v>
      </c>
      <c r="E3419" s="45">
        <v>45991.999305555553</v>
      </c>
      <c r="F3419" s="42" t="s">
        <v>475</v>
      </c>
    </row>
    <row r="3420" spans="1:6" x14ac:dyDescent="0.35">
      <c r="A3420" s="42" t="s">
        <v>789</v>
      </c>
      <c r="B3420" s="42">
        <v>439.92</v>
      </c>
      <c r="C3420" s="43">
        <v>0.1</v>
      </c>
      <c r="D3420" s="45">
        <v>45962</v>
      </c>
      <c r="E3420" s="45">
        <v>45991.999305555553</v>
      </c>
      <c r="F3420" s="42" t="s">
        <v>475</v>
      </c>
    </row>
    <row r="3421" spans="1:6" x14ac:dyDescent="0.35">
      <c r="A3421" s="42" t="s">
        <v>790</v>
      </c>
      <c r="B3421" s="42">
        <v>439.92</v>
      </c>
      <c r="C3421" s="43">
        <v>0.1</v>
      </c>
      <c r="D3421" s="45">
        <v>45962</v>
      </c>
      <c r="E3421" s="45">
        <v>45991.999305555553</v>
      </c>
      <c r="F3421" s="42" t="s">
        <v>475</v>
      </c>
    </row>
    <row r="3422" spans="1:6" x14ac:dyDescent="0.35">
      <c r="A3422" s="42" t="s">
        <v>791</v>
      </c>
      <c r="B3422" s="42">
        <v>439.92</v>
      </c>
      <c r="C3422" s="43">
        <v>0.1</v>
      </c>
      <c r="D3422" s="45">
        <v>45962</v>
      </c>
      <c r="E3422" s="45">
        <v>45991.999305555553</v>
      </c>
      <c r="F3422" s="42" t="s">
        <v>475</v>
      </c>
    </row>
    <row r="3423" spans="1:6" x14ac:dyDescent="0.35">
      <c r="A3423" s="42" t="s">
        <v>801</v>
      </c>
      <c r="B3423" s="42">
        <v>439.92</v>
      </c>
      <c r="C3423" s="43">
        <v>0.1</v>
      </c>
      <c r="D3423" s="45">
        <v>45962</v>
      </c>
      <c r="E3423" s="45">
        <v>45991.999305555553</v>
      </c>
      <c r="F3423" s="42" t="s">
        <v>475</v>
      </c>
    </row>
    <row r="3424" spans="1:6" x14ac:dyDescent="0.35">
      <c r="A3424" s="42" t="s">
        <v>802</v>
      </c>
      <c r="B3424" s="42">
        <v>1299.92</v>
      </c>
      <c r="C3424" s="43">
        <v>0.1</v>
      </c>
      <c r="D3424" s="45">
        <v>45962</v>
      </c>
      <c r="E3424" s="45">
        <v>45991.999305555553</v>
      </c>
      <c r="F3424" s="42" t="s">
        <v>475</v>
      </c>
    </row>
    <row r="3425" spans="1:6" x14ac:dyDescent="0.35">
      <c r="A3425" s="42" t="s">
        <v>805</v>
      </c>
      <c r="B3425" s="42">
        <v>1229.92</v>
      </c>
      <c r="C3425" s="43">
        <v>0.1</v>
      </c>
      <c r="D3425" s="45">
        <v>45962</v>
      </c>
      <c r="E3425" s="45">
        <v>45991.999305555553</v>
      </c>
      <c r="F3425" s="42" t="s">
        <v>475</v>
      </c>
    </row>
    <row r="3426" spans="1:6" x14ac:dyDescent="0.35">
      <c r="A3426" s="42" t="s">
        <v>808</v>
      </c>
      <c r="B3426" s="42">
        <v>869.92</v>
      </c>
      <c r="C3426" s="43">
        <v>0.1</v>
      </c>
      <c r="D3426" s="45">
        <v>45962</v>
      </c>
      <c r="E3426" s="45">
        <v>45991.999305555553</v>
      </c>
      <c r="F3426" s="42" t="s">
        <v>475</v>
      </c>
    </row>
    <row r="3427" spans="1:6" x14ac:dyDescent="0.35">
      <c r="A3427" s="42" t="s">
        <v>809</v>
      </c>
      <c r="B3427" s="42">
        <v>1289.92</v>
      </c>
      <c r="C3427" s="43">
        <v>0.1</v>
      </c>
      <c r="D3427" s="45">
        <v>45962</v>
      </c>
      <c r="E3427" s="45">
        <v>45991.999305555553</v>
      </c>
      <c r="F3427" s="42" t="s">
        <v>475</v>
      </c>
    </row>
    <row r="3428" spans="1:6" x14ac:dyDescent="0.35">
      <c r="A3428" s="42" t="s">
        <v>810</v>
      </c>
      <c r="B3428" s="42">
        <v>1419.92</v>
      </c>
      <c r="C3428" s="43">
        <v>0.1</v>
      </c>
      <c r="D3428" s="45">
        <v>45962</v>
      </c>
      <c r="E3428" s="45">
        <v>45991.999305555553</v>
      </c>
      <c r="F3428" s="42" t="s">
        <v>475</v>
      </c>
    </row>
    <row r="3429" spans="1:6" x14ac:dyDescent="0.35">
      <c r="A3429" s="42" t="s">
        <v>813</v>
      </c>
      <c r="B3429" s="42">
        <v>1049.92</v>
      </c>
      <c r="C3429" s="43">
        <v>0.1</v>
      </c>
      <c r="D3429" s="45">
        <v>45962</v>
      </c>
      <c r="E3429" s="45">
        <v>45991.999305555553</v>
      </c>
      <c r="F3429" s="42" t="s">
        <v>475</v>
      </c>
    </row>
    <row r="3430" spans="1:6" x14ac:dyDescent="0.35">
      <c r="A3430" s="42" t="s">
        <v>818</v>
      </c>
      <c r="B3430" s="42">
        <v>919.92</v>
      </c>
      <c r="C3430" s="43">
        <v>0.1</v>
      </c>
      <c r="D3430" s="45">
        <v>45962</v>
      </c>
      <c r="E3430" s="45">
        <v>45991.999305555553</v>
      </c>
      <c r="F3430" s="42" t="s">
        <v>475</v>
      </c>
    </row>
    <row r="3431" spans="1:6" x14ac:dyDescent="0.35">
      <c r="A3431" s="42" t="s">
        <v>819</v>
      </c>
      <c r="B3431" s="42">
        <v>919.92</v>
      </c>
      <c r="C3431" s="43">
        <v>0.1</v>
      </c>
      <c r="D3431" s="45">
        <v>45962</v>
      </c>
      <c r="E3431" s="45">
        <v>45991.999305555553</v>
      </c>
      <c r="F3431" s="42" t="s">
        <v>475</v>
      </c>
    </row>
    <row r="3432" spans="1:6" x14ac:dyDescent="0.35">
      <c r="A3432" s="42" t="s">
        <v>820</v>
      </c>
      <c r="B3432" s="42">
        <v>919.92</v>
      </c>
      <c r="C3432" s="43">
        <v>0.1</v>
      </c>
      <c r="D3432" s="45">
        <v>45962</v>
      </c>
      <c r="E3432" s="45">
        <v>45991.999305555553</v>
      </c>
      <c r="F3432" s="42" t="s">
        <v>475</v>
      </c>
    </row>
    <row r="3433" spans="1:6" x14ac:dyDescent="0.35">
      <c r="A3433" s="42" t="s">
        <v>821</v>
      </c>
      <c r="B3433" s="42">
        <v>869.92</v>
      </c>
      <c r="C3433" s="43">
        <v>0.1</v>
      </c>
      <c r="D3433" s="45">
        <v>45962</v>
      </c>
      <c r="E3433" s="45">
        <v>45991.999305555553</v>
      </c>
      <c r="F3433" s="42" t="s">
        <v>475</v>
      </c>
    </row>
    <row r="3434" spans="1:6" x14ac:dyDescent="0.35">
      <c r="A3434" s="42" t="s">
        <v>822</v>
      </c>
      <c r="B3434" s="42">
        <v>869.92</v>
      </c>
      <c r="C3434" s="43">
        <v>0.1</v>
      </c>
      <c r="D3434" s="45">
        <v>45962</v>
      </c>
      <c r="E3434" s="45">
        <v>45991.999305555553</v>
      </c>
      <c r="F3434" s="42" t="s">
        <v>475</v>
      </c>
    </row>
    <row r="3435" spans="1:6" x14ac:dyDescent="0.35">
      <c r="A3435" s="42" t="s">
        <v>823</v>
      </c>
      <c r="B3435" s="42">
        <v>869.92</v>
      </c>
      <c r="C3435" s="43">
        <v>0.1</v>
      </c>
      <c r="D3435" s="45">
        <v>45962</v>
      </c>
      <c r="E3435" s="45">
        <v>45991.999305555553</v>
      </c>
      <c r="F3435" s="42" t="s">
        <v>475</v>
      </c>
    </row>
    <row r="3436" spans="1:6" x14ac:dyDescent="0.35">
      <c r="A3436" s="42" t="s">
        <v>830</v>
      </c>
      <c r="B3436" s="42">
        <v>869.92</v>
      </c>
      <c r="C3436" s="43">
        <v>0.1</v>
      </c>
      <c r="D3436" s="45">
        <v>45962</v>
      </c>
      <c r="E3436" s="45">
        <v>45991.999305555553</v>
      </c>
      <c r="F3436" s="42" t="s">
        <v>475</v>
      </c>
    </row>
    <row r="3437" spans="1:6" x14ac:dyDescent="0.35">
      <c r="A3437" s="42" t="s">
        <v>831</v>
      </c>
      <c r="B3437" s="42">
        <v>869.92</v>
      </c>
      <c r="C3437" s="43">
        <v>0.1</v>
      </c>
      <c r="D3437" s="45">
        <v>45962</v>
      </c>
      <c r="E3437" s="45">
        <v>45991.999305555553</v>
      </c>
      <c r="F3437" s="42" t="s">
        <v>475</v>
      </c>
    </row>
    <row r="3438" spans="1:6" x14ac:dyDescent="0.35">
      <c r="A3438" s="42" t="s">
        <v>832</v>
      </c>
      <c r="B3438" s="42">
        <v>869.92</v>
      </c>
      <c r="C3438" s="43">
        <v>0.1</v>
      </c>
      <c r="D3438" s="45">
        <v>45962</v>
      </c>
      <c r="E3438" s="45">
        <v>45991.999305555553</v>
      </c>
      <c r="F3438" s="42" t="s">
        <v>475</v>
      </c>
    </row>
    <row r="3439" spans="1:6" x14ac:dyDescent="0.35">
      <c r="A3439" s="42" t="s">
        <v>846</v>
      </c>
      <c r="B3439" s="42">
        <v>1189.92</v>
      </c>
      <c r="C3439" s="43">
        <v>0.1</v>
      </c>
      <c r="D3439" s="45">
        <v>45962</v>
      </c>
      <c r="E3439" s="45">
        <v>45991.999305555553</v>
      </c>
      <c r="F3439" s="42" t="s">
        <v>475</v>
      </c>
    </row>
    <row r="3440" spans="1:6" x14ac:dyDescent="0.35">
      <c r="A3440" s="42" t="s">
        <v>847</v>
      </c>
      <c r="B3440" s="42">
        <v>1189.92</v>
      </c>
      <c r="C3440" s="43">
        <v>0.1</v>
      </c>
      <c r="D3440" s="45">
        <v>45962</v>
      </c>
      <c r="E3440" s="45">
        <v>45991.999305555553</v>
      </c>
      <c r="F3440" s="42" t="s">
        <v>475</v>
      </c>
    </row>
    <row r="3441" spans="1:6" x14ac:dyDescent="0.35">
      <c r="A3441" s="42" t="s">
        <v>848</v>
      </c>
      <c r="B3441" s="42">
        <v>1189.92</v>
      </c>
      <c r="C3441" s="43">
        <v>0.1</v>
      </c>
      <c r="D3441" s="45">
        <v>45962</v>
      </c>
      <c r="E3441" s="45">
        <v>45991.999305555553</v>
      </c>
      <c r="F3441" s="42" t="s">
        <v>475</v>
      </c>
    </row>
    <row r="3442" spans="1:6" x14ac:dyDescent="0.35">
      <c r="A3442" s="42" t="s">
        <v>849</v>
      </c>
      <c r="B3442" s="42">
        <v>1189.92</v>
      </c>
      <c r="C3442" s="43">
        <v>0.1</v>
      </c>
      <c r="D3442" s="45">
        <v>45962</v>
      </c>
      <c r="E3442" s="45">
        <v>45991.999305555553</v>
      </c>
      <c r="F3442" s="42" t="s">
        <v>475</v>
      </c>
    </row>
    <row r="3443" spans="1:6" x14ac:dyDescent="0.35">
      <c r="A3443" s="42" t="s">
        <v>850</v>
      </c>
      <c r="B3443" s="42">
        <v>1189.92</v>
      </c>
      <c r="C3443" s="43">
        <v>0.1</v>
      </c>
      <c r="D3443" s="45">
        <v>45962</v>
      </c>
      <c r="E3443" s="45">
        <v>45991.999305555553</v>
      </c>
      <c r="F3443" s="42" t="s">
        <v>475</v>
      </c>
    </row>
    <row r="3444" spans="1:6" x14ac:dyDescent="0.35">
      <c r="A3444" s="42" t="s">
        <v>851</v>
      </c>
      <c r="B3444" s="42">
        <v>1189.92</v>
      </c>
      <c r="C3444" s="43">
        <v>0.1</v>
      </c>
      <c r="D3444" s="45">
        <v>45962</v>
      </c>
      <c r="E3444" s="45">
        <v>45991.999305555553</v>
      </c>
      <c r="F3444" s="42" t="s">
        <v>475</v>
      </c>
    </row>
    <row r="3445" spans="1:6" x14ac:dyDescent="0.35">
      <c r="A3445" s="42" t="s">
        <v>869</v>
      </c>
      <c r="B3445" s="42">
        <v>1739.92</v>
      </c>
      <c r="C3445" s="43">
        <v>0.1</v>
      </c>
      <c r="D3445" s="45">
        <v>45962</v>
      </c>
      <c r="E3445" s="45">
        <v>45991.999305555553</v>
      </c>
      <c r="F3445" s="42" t="s">
        <v>475</v>
      </c>
    </row>
    <row r="3446" spans="1:6" x14ac:dyDescent="0.35">
      <c r="A3446" s="42" t="s">
        <v>870</v>
      </c>
      <c r="B3446" s="42">
        <v>1739.92</v>
      </c>
      <c r="C3446" s="43">
        <v>0.1</v>
      </c>
      <c r="D3446" s="45">
        <v>45962</v>
      </c>
      <c r="E3446" s="45">
        <v>45991.999305555553</v>
      </c>
      <c r="F3446" s="42" t="s">
        <v>475</v>
      </c>
    </row>
    <row r="3447" spans="1:6" x14ac:dyDescent="0.35">
      <c r="A3447" s="42" t="s">
        <v>871</v>
      </c>
      <c r="B3447" s="42">
        <v>1739.92</v>
      </c>
      <c r="C3447" s="43">
        <v>0.1</v>
      </c>
      <c r="D3447" s="45">
        <v>45962</v>
      </c>
      <c r="E3447" s="45">
        <v>45991.999305555553</v>
      </c>
      <c r="F3447" s="42" t="s">
        <v>475</v>
      </c>
    </row>
    <row r="3448" spans="1:6" x14ac:dyDescent="0.35">
      <c r="A3448" s="42" t="s">
        <v>872</v>
      </c>
      <c r="B3448" s="42">
        <v>1739.92</v>
      </c>
      <c r="C3448" s="43">
        <v>0.1</v>
      </c>
      <c r="D3448" s="45">
        <v>45962</v>
      </c>
      <c r="E3448" s="45">
        <v>45991.999305555553</v>
      </c>
      <c r="F3448" s="42" t="s">
        <v>475</v>
      </c>
    </row>
    <row r="3449" spans="1:6" x14ac:dyDescent="0.35">
      <c r="A3449" s="42" t="s">
        <v>873</v>
      </c>
      <c r="B3449" s="42">
        <v>1739.92</v>
      </c>
      <c r="C3449" s="43">
        <v>0.1</v>
      </c>
      <c r="D3449" s="45">
        <v>45962</v>
      </c>
      <c r="E3449" s="45">
        <v>45991.999305555553</v>
      </c>
      <c r="F3449" s="42" t="s">
        <v>475</v>
      </c>
    </row>
    <row r="3450" spans="1:6" x14ac:dyDescent="0.35">
      <c r="A3450" s="42" t="s">
        <v>874</v>
      </c>
      <c r="B3450" s="42">
        <v>1739.92</v>
      </c>
      <c r="C3450" s="43">
        <v>0.1</v>
      </c>
      <c r="D3450" s="45">
        <v>45962</v>
      </c>
      <c r="E3450" s="45">
        <v>45991.999305555553</v>
      </c>
      <c r="F3450" s="42" t="s">
        <v>475</v>
      </c>
    </row>
    <row r="3451" spans="1:6" x14ac:dyDescent="0.35">
      <c r="A3451" s="42" t="s">
        <v>875</v>
      </c>
      <c r="B3451" s="42">
        <v>2179.92</v>
      </c>
      <c r="C3451" s="43">
        <v>0.1</v>
      </c>
      <c r="D3451" s="45">
        <v>45962</v>
      </c>
      <c r="E3451" s="45">
        <v>45991.999305555553</v>
      </c>
      <c r="F3451" s="42" t="s">
        <v>475</v>
      </c>
    </row>
    <row r="3452" spans="1:6" x14ac:dyDescent="0.35">
      <c r="A3452" s="42" t="s">
        <v>876</v>
      </c>
      <c r="B3452" s="42">
        <v>2499.92</v>
      </c>
      <c r="C3452" s="43">
        <v>0.1</v>
      </c>
      <c r="D3452" s="45">
        <v>45962</v>
      </c>
      <c r="E3452" s="45">
        <v>45991.999305555553</v>
      </c>
      <c r="F3452" s="42" t="s">
        <v>475</v>
      </c>
    </row>
    <row r="3453" spans="1:6" x14ac:dyDescent="0.35">
      <c r="A3453" s="42" t="s">
        <v>877</v>
      </c>
      <c r="B3453" s="42">
        <v>2499.92</v>
      </c>
      <c r="C3453" s="43">
        <v>0.1</v>
      </c>
      <c r="D3453" s="45">
        <v>45962</v>
      </c>
      <c r="E3453" s="45">
        <v>45991.999305555553</v>
      </c>
      <c r="F3453" s="42" t="s">
        <v>475</v>
      </c>
    </row>
    <row r="3454" spans="1:6" x14ac:dyDescent="0.35">
      <c r="A3454" s="42" t="s">
        <v>878</v>
      </c>
      <c r="B3454" s="42">
        <v>2499.92</v>
      </c>
      <c r="C3454" s="43">
        <v>0.1</v>
      </c>
      <c r="D3454" s="45">
        <v>45962</v>
      </c>
      <c r="E3454" s="45">
        <v>45991.999305555553</v>
      </c>
      <c r="F3454" s="42" t="s">
        <v>475</v>
      </c>
    </row>
    <row r="3455" spans="1:6" x14ac:dyDescent="0.35">
      <c r="A3455" s="42" t="s">
        <v>879</v>
      </c>
      <c r="B3455" s="42">
        <v>2499.92</v>
      </c>
      <c r="C3455" s="43">
        <v>0.1</v>
      </c>
      <c r="D3455" s="45">
        <v>45962</v>
      </c>
      <c r="E3455" s="45">
        <v>45991.999305555553</v>
      </c>
      <c r="F3455" s="42" t="s">
        <v>475</v>
      </c>
    </row>
    <row r="3456" spans="1:6" x14ac:dyDescent="0.35">
      <c r="A3456" s="42" t="s">
        <v>880</v>
      </c>
      <c r="B3456" s="42">
        <v>2499.92</v>
      </c>
      <c r="C3456" s="43">
        <v>0.1</v>
      </c>
      <c r="D3456" s="45">
        <v>45962</v>
      </c>
      <c r="E3456" s="45">
        <v>45991.999305555553</v>
      </c>
      <c r="F3456" s="42" t="s">
        <v>475</v>
      </c>
    </row>
    <row r="3457" spans="1:6" x14ac:dyDescent="0.35">
      <c r="A3457" s="42" t="s">
        <v>881</v>
      </c>
      <c r="B3457" s="42">
        <v>2499.92</v>
      </c>
      <c r="C3457" s="43">
        <v>0.1</v>
      </c>
      <c r="D3457" s="45">
        <v>45962</v>
      </c>
      <c r="E3457" s="45">
        <v>45991.999305555553</v>
      </c>
      <c r="F3457" s="42" t="s">
        <v>475</v>
      </c>
    </row>
    <row r="3458" spans="1:6" x14ac:dyDescent="0.35">
      <c r="A3458" s="42" t="s">
        <v>567</v>
      </c>
      <c r="B3458" s="42">
        <v>189.92</v>
      </c>
      <c r="C3458" s="43">
        <v>0.13</v>
      </c>
      <c r="D3458" s="45">
        <v>45962</v>
      </c>
      <c r="E3458" s="45">
        <v>45991.999305555553</v>
      </c>
      <c r="F3458" s="42" t="s">
        <v>475</v>
      </c>
    </row>
    <row r="3459" spans="1:6" x14ac:dyDescent="0.35">
      <c r="A3459" s="42" t="s">
        <v>476</v>
      </c>
      <c r="B3459" s="42">
        <v>769.92</v>
      </c>
      <c r="C3459" s="43">
        <v>0.13</v>
      </c>
      <c r="D3459" s="45">
        <v>45962</v>
      </c>
      <c r="E3459" s="45">
        <v>45991.999305555553</v>
      </c>
      <c r="F3459" s="42" t="s">
        <v>475</v>
      </c>
    </row>
    <row r="3460" spans="1:6" x14ac:dyDescent="0.35">
      <c r="A3460" s="42" t="s">
        <v>882</v>
      </c>
      <c r="B3460" s="42">
        <v>769.92</v>
      </c>
      <c r="C3460" s="43">
        <v>0.13</v>
      </c>
      <c r="D3460" s="45">
        <v>45962</v>
      </c>
      <c r="E3460" s="45">
        <v>45991.999305555553</v>
      </c>
      <c r="F3460" s="42" t="s">
        <v>475</v>
      </c>
    </row>
    <row r="3461" spans="1:6" x14ac:dyDescent="0.35">
      <c r="A3461" s="42" t="s">
        <v>883</v>
      </c>
      <c r="B3461" s="42">
        <v>769.92</v>
      </c>
      <c r="C3461" s="43">
        <v>0.13</v>
      </c>
      <c r="D3461" s="45">
        <v>45962</v>
      </c>
      <c r="E3461" s="45">
        <v>45991.999305555553</v>
      </c>
      <c r="F3461" s="42" t="s">
        <v>475</v>
      </c>
    </row>
    <row r="3462" spans="1:6" x14ac:dyDescent="0.35">
      <c r="A3462" s="42" t="s">
        <v>884</v>
      </c>
      <c r="B3462" s="42">
        <v>769.92</v>
      </c>
      <c r="C3462" s="43">
        <v>0.13</v>
      </c>
      <c r="D3462" s="45">
        <v>45962</v>
      </c>
      <c r="E3462" s="45">
        <v>45991.999305555553</v>
      </c>
      <c r="F3462" s="42" t="s">
        <v>475</v>
      </c>
    </row>
    <row r="3463" spans="1:6" x14ac:dyDescent="0.35">
      <c r="A3463" s="42" t="s">
        <v>885</v>
      </c>
      <c r="B3463" s="42">
        <v>769.92</v>
      </c>
      <c r="C3463" s="43">
        <v>0.13</v>
      </c>
      <c r="D3463" s="45">
        <v>45962</v>
      </c>
      <c r="E3463" s="45">
        <v>45991.999305555553</v>
      </c>
      <c r="F3463" s="42" t="s">
        <v>475</v>
      </c>
    </row>
    <row r="3464" spans="1:6" x14ac:dyDescent="0.35">
      <c r="A3464" s="42" t="s">
        <v>499</v>
      </c>
      <c r="B3464" s="42">
        <v>869.92</v>
      </c>
      <c r="C3464" s="43">
        <v>0.13</v>
      </c>
      <c r="D3464" s="45">
        <v>45962</v>
      </c>
      <c r="E3464" s="45">
        <v>45991.999305555553</v>
      </c>
      <c r="F3464" s="42" t="s">
        <v>475</v>
      </c>
    </row>
    <row r="3465" spans="1:6" x14ac:dyDescent="0.35">
      <c r="A3465" s="42" t="s">
        <v>46</v>
      </c>
      <c r="B3465" s="42">
        <v>869.92</v>
      </c>
      <c r="C3465" s="43">
        <v>0.13</v>
      </c>
      <c r="D3465" s="45">
        <v>45962</v>
      </c>
      <c r="E3465" s="45">
        <v>45991.999305555553</v>
      </c>
      <c r="F3465" s="42" t="s">
        <v>475</v>
      </c>
    </row>
    <row r="3466" spans="1:6" x14ac:dyDescent="0.35">
      <c r="A3466" s="42" t="s">
        <v>47</v>
      </c>
      <c r="B3466" s="42">
        <v>869.92</v>
      </c>
      <c r="C3466" s="43">
        <v>0.13</v>
      </c>
      <c r="D3466" s="45">
        <v>45962</v>
      </c>
      <c r="E3466" s="45">
        <v>45991.999305555553</v>
      </c>
      <c r="F3466" s="42" t="s">
        <v>475</v>
      </c>
    </row>
    <row r="3467" spans="1:6" x14ac:dyDescent="0.35">
      <c r="A3467" s="42" t="s">
        <v>523</v>
      </c>
      <c r="B3467" s="42">
        <v>869.92</v>
      </c>
      <c r="C3467" s="43">
        <v>0.13</v>
      </c>
      <c r="D3467" s="45">
        <v>45962</v>
      </c>
      <c r="E3467" s="45">
        <v>45991.999305555553</v>
      </c>
      <c r="F3467" s="42" t="s">
        <v>475</v>
      </c>
    </row>
    <row r="3468" spans="1:6" x14ac:dyDescent="0.35">
      <c r="A3468" s="42" t="s">
        <v>718</v>
      </c>
      <c r="B3468" s="42">
        <v>869.92</v>
      </c>
      <c r="C3468" s="43">
        <v>0.13</v>
      </c>
      <c r="D3468" s="45">
        <v>45962</v>
      </c>
      <c r="E3468" s="45">
        <v>45991.999305555553</v>
      </c>
      <c r="F3468" s="42" t="s">
        <v>475</v>
      </c>
    </row>
    <row r="3469" spans="1:6" x14ac:dyDescent="0.35">
      <c r="A3469" s="42" t="s">
        <v>719</v>
      </c>
      <c r="B3469" s="42">
        <v>869.92</v>
      </c>
      <c r="C3469" s="43">
        <v>0.13</v>
      </c>
      <c r="D3469" s="45">
        <v>45962</v>
      </c>
      <c r="E3469" s="45">
        <v>45991.999305555553</v>
      </c>
      <c r="F3469" s="42" t="s">
        <v>475</v>
      </c>
    </row>
    <row r="3470" spans="1:6" x14ac:dyDescent="0.35">
      <c r="A3470" s="42" t="s">
        <v>720</v>
      </c>
      <c r="B3470" s="42">
        <v>869.92</v>
      </c>
      <c r="C3470" s="43">
        <v>0.13</v>
      </c>
      <c r="D3470" s="45">
        <v>45962</v>
      </c>
      <c r="E3470" s="45">
        <v>45991.999305555553</v>
      </c>
      <c r="F3470" s="42" t="s">
        <v>475</v>
      </c>
    </row>
    <row r="3471" spans="1:6" x14ac:dyDescent="0.35">
      <c r="A3471" s="42" t="s">
        <v>815</v>
      </c>
      <c r="B3471" s="42">
        <v>869.92</v>
      </c>
      <c r="C3471" s="43">
        <v>0.13</v>
      </c>
      <c r="D3471" s="45">
        <v>45962</v>
      </c>
      <c r="E3471" s="45">
        <v>45991.999305555553</v>
      </c>
      <c r="F3471" s="42" t="s">
        <v>475</v>
      </c>
    </row>
    <row r="3472" spans="1:6" x14ac:dyDescent="0.35">
      <c r="A3472" s="42" t="s">
        <v>816</v>
      </c>
      <c r="B3472" s="42">
        <v>869.92</v>
      </c>
      <c r="C3472" s="43">
        <v>0.13</v>
      </c>
      <c r="D3472" s="45">
        <v>45962</v>
      </c>
      <c r="E3472" s="45">
        <v>45991.999305555553</v>
      </c>
      <c r="F3472" s="42" t="s">
        <v>475</v>
      </c>
    </row>
    <row r="3473" spans="1:6" x14ac:dyDescent="0.35">
      <c r="A3473" s="42" t="s">
        <v>817</v>
      </c>
      <c r="B3473" s="42">
        <v>869.92</v>
      </c>
      <c r="C3473" s="43">
        <v>0.13</v>
      </c>
      <c r="D3473" s="45">
        <v>45962</v>
      </c>
      <c r="E3473" s="45">
        <v>45991.999305555553</v>
      </c>
      <c r="F3473" s="42" t="s">
        <v>475</v>
      </c>
    </row>
    <row r="3474" spans="1:6" x14ac:dyDescent="0.35">
      <c r="A3474" s="42" t="s">
        <v>721</v>
      </c>
      <c r="B3474" s="42">
        <v>869.92</v>
      </c>
      <c r="C3474" s="43">
        <v>0.13</v>
      </c>
      <c r="D3474" s="45">
        <v>45962</v>
      </c>
      <c r="E3474" s="45">
        <v>45991.999305555553</v>
      </c>
      <c r="F3474" s="42" t="s">
        <v>475</v>
      </c>
    </row>
    <row r="3475" spans="1:6" x14ac:dyDescent="0.35">
      <c r="A3475" s="42" t="s">
        <v>483</v>
      </c>
      <c r="B3475" s="42">
        <v>969.92</v>
      </c>
      <c r="C3475" s="43">
        <v>0.13</v>
      </c>
      <c r="D3475" s="45">
        <v>45962</v>
      </c>
      <c r="E3475" s="45">
        <v>45991.999305555553</v>
      </c>
      <c r="F3475" s="42" t="s">
        <v>475</v>
      </c>
    </row>
    <row r="3476" spans="1:6" x14ac:dyDescent="0.35">
      <c r="A3476" s="42" t="s">
        <v>745</v>
      </c>
      <c r="B3476" s="42">
        <v>969.92</v>
      </c>
      <c r="C3476" s="43">
        <v>0.13</v>
      </c>
      <c r="D3476" s="45">
        <v>45962</v>
      </c>
      <c r="E3476" s="45">
        <v>45991.999305555553</v>
      </c>
      <c r="F3476" s="42" t="s">
        <v>475</v>
      </c>
    </row>
    <row r="3477" spans="1:6" x14ac:dyDescent="0.35">
      <c r="A3477" s="42" t="s">
        <v>746</v>
      </c>
      <c r="B3477" s="42">
        <v>969.92</v>
      </c>
      <c r="C3477" s="43">
        <v>0.13</v>
      </c>
      <c r="D3477" s="45">
        <v>45962</v>
      </c>
      <c r="E3477" s="45">
        <v>45991.999305555553</v>
      </c>
      <c r="F3477" s="42" t="s">
        <v>475</v>
      </c>
    </row>
    <row r="3478" spans="1:6" x14ac:dyDescent="0.35">
      <c r="A3478" s="42" t="s">
        <v>747</v>
      </c>
      <c r="B3478" s="42">
        <v>969.92</v>
      </c>
      <c r="C3478" s="43">
        <v>0.13</v>
      </c>
      <c r="D3478" s="45">
        <v>45962</v>
      </c>
      <c r="E3478" s="45">
        <v>45991.999305555553</v>
      </c>
      <c r="F3478" s="42" t="s">
        <v>475</v>
      </c>
    </row>
    <row r="3479" spans="1:6" x14ac:dyDescent="0.35">
      <c r="A3479" s="42" t="s">
        <v>748</v>
      </c>
      <c r="B3479" s="42">
        <v>969.92</v>
      </c>
      <c r="C3479" s="43">
        <v>0.13</v>
      </c>
      <c r="D3479" s="45">
        <v>45962</v>
      </c>
      <c r="E3479" s="45">
        <v>45991.999305555553</v>
      </c>
      <c r="F3479" s="42" t="s">
        <v>475</v>
      </c>
    </row>
    <row r="3480" spans="1:6" x14ac:dyDescent="0.35">
      <c r="A3480" s="42" t="s">
        <v>651</v>
      </c>
      <c r="B3480" s="42">
        <v>1529.92</v>
      </c>
      <c r="C3480" s="43">
        <v>0.13</v>
      </c>
      <c r="D3480" s="45">
        <v>45962</v>
      </c>
      <c r="E3480" s="45">
        <v>45991.999305555553</v>
      </c>
      <c r="F3480" s="42" t="s">
        <v>475</v>
      </c>
    </row>
    <row r="3481" spans="1:6" x14ac:dyDescent="0.35">
      <c r="A3481" s="42" t="s">
        <v>774</v>
      </c>
      <c r="B3481" s="42">
        <v>1529.92</v>
      </c>
      <c r="C3481" s="43">
        <v>0.13</v>
      </c>
      <c r="D3481" s="45">
        <v>45962</v>
      </c>
      <c r="E3481" s="45">
        <v>45991.999305555553</v>
      </c>
      <c r="F3481" s="42" t="s">
        <v>475</v>
      </c>
    </row>
    <row r="3482" spans="1:6" x14ac:dyDescent="0.35">
      <c r="A3482" s="42" t="s">
        <v>775</v>
      </c>
      <c r="B3482" s="42">
        <v>1529.92</v>
      </c>
      <c r="C3482" s="43">
        <v>0.13</v>
      </c>
      <c r="D3482" s="45">
        <v>45962</v>
      </c>
      <c r="E3482" s="45">
        <v>45991.999305555553</v>
      </c>
      <c r="F3482" s="42" t="s">
        <v>475</v>
      </c>
    </row>
    <row r="3483" spans="1:6" x14ac:dyDescent="0.35">
      <c r="A3483" s="42" t="s">
        <v>776</v>
      </c>
      <c r="B3483" s="42">
        <v>1529.92</v>
      </c>
      <c r="C3483" s="43">
        <v>0.13</v>
      </c>
      <c r="D3483" s="45">
        <v>45962</v>
      </c>
      <c r="E3483" s="45">
        <v>45991.999305555553</v>
      </c>
      <c r="F3483" s="42" t="s">
        <v>475</v>
      </c>
    </row>
    <row r="3484" spans="1:6" x14ac:dyDescent="0.35">
      <c r="A3484" s="42" t="s">
        <v>777</v>
      </c>
      <c r="B3484" s="42">
        <v>1529.92</v>
      </c>
      <c r="C3484" s="43">
        <v>0.13</v>
      </c>
      <c r="D3484" s="45">
        <v>45962</v>
      </c>
      <c r="E3484" s="45">
        <v>45991.999305555553</v>
      </c>
      <c r="F3484" s="42" t="s">
        <v>475</v>
      </c>
    </row>
    <row r="3485" spans="1:6" x14ac:dyDescent="0.35">
      <c r="A3485" s="42" t="s">
        <v>778</v>
      </c>
      <c r="B3485" s="42">
        <v>1529.92</v>
      </c>
      <c r="C3485" s="43">
        <v>0.13</v>
      </c>
      <c r="D3485" s="45">
        <v>45962</v>
      </c>
      <c r="E3485" s="45">
        <v>45991.999305555553</v>
      </c>
      <c r="F3485" s="42" t="s">
        <v>475</v>
      </c>
    </row>
    <row r="3486" spans="1:6" x14ac:dyDescent="0.35">
      <c r="A3486" s="42" t="s">
        <v>779</v>
      </c>
      <c r="B3486" s="42">
        <v>1529.92</v>
      </c>
      <c r="C3486" s="43">
        <v>0.13</v>
      </c>
      <c r="D3486" s="45">
        <v>45962</v>
      </c>
      <c r="E3486" s="45">
        <v>45991.999305555553</v>
      </c>
      <c r="F3486" s="42" t="s">
        <v>475</v>
      </c>
    </row>
    <row r="3487" spans="1:6" x14ac:dyDescent="0.35">
      <c r="A3487" s="42" t="s">
        <v>511</v>
      </c>
      <c r="B3487" s="42">
        <v>3749.92</v>
      </c>
      <c r="C3487" s="43">
        <v>0.13</v>
      </c>
      <c r="D3487" s="45">
        <v>45962</v>
      </c>
      <c r="E3487" s="45">
        <v>45991.999305555553</v>
      </c>
      <c r="F3487" s="42" t="s">
        <v>475</v>
      </c>
    </row>
    <row r="3488" spans="1:6" x14ac:dyDescent="0.35">
      <c r="A3488" s="42" t="s">
        <v>571</v>
      </c>
      <c r="B3488" s="42">
        <v>299.92</v>
      </c>
      <c r="C3488" s="43">
        <v>0.13</v>
      </c>
      <c r="D3488" s="45">
        <v>45962</v>
      </c>
      <c r="E3488" s="45">
        <v>45991.999305555553</v>
      </c>
      <c r="F3488" s="42" t="s">
        <v>475</v>
      </c>
    </row>
    <row r="3489" spans="1:6" x14ac:dyDescent="0.35">
      <c r="A3489" s="42" t="s">
        <v>581</v>
      </c>
      <c r="B3489" s="42">
        <v>499.92</v>
      </c>
      <c r="C3489" s="43">
        <v>0.13</v>
      </c>
      <c r="D3489" s="45">
        <v>45962</v>
      </c>
      <c r="E3489" s="45">
        <v>45991.999305555553</v>
      </c>
      <c r="F3489" s="42" t="s">
        <v>475</v>
      </c>
    </row>
    <row r="3490" spans="1:6" x14ac:dyDescent="0.35">
      <c r="A3490" s="42" t="s">
        <v>579</v>
      </c>
      <c r="B3490" s="42">
        <v>499.92</v>
      </c>
      <c r="C3490" s="43">
        <v>0.13</v>
      </c>
      <c r="D3490" s="45">
        <v>45962</v>
      </c>
      <c r="E3490" s="45">
        <v>45991.999305555553</v>
      </c>
      <c r="F3490" s="42" t="s">
        <v>475</v>
      </c>
    </row>
    <row r="3491" spans="1:6" x14ac:dyDescent="0.35">
      <c r="A3491" s="42" t="s">
        <v>646</v>
      </c>
      <c r="B3491" s="42">
        <v>499.92</v>
      </c>
      <c r="C3491" s="43">
        <v>0.13</v>
      </c>
      <c r="D3491" s="45">
        <v>45962</v>
      </c>
      <c r="E3491" s="45">
        <v>45991.999305555553</v>
      </c>
      <c r="F3491" s="42" t="s">
        <v>475</v>
      </c>
    </row>
    <row r="3492" spans="1:6" x14ac:dyDescent="0.35">
      <c r="A3492" s="42" t="s">
        <v>496</v>
      </c>
      <c r="B3492" s="42">
        <v>589.91999999999996</v>
      </c>
      <c r="C3492" s="43">
        <v>0.13</v>
      </c>
      <c r="D3492" s="45">
        <v>45962</v>
      </c>
      <c r="E3492" s="45">
        <v>45991.999305555553</v>
      </c>
      <c r="F3492" s="42" t="s">
        <v>475</v>
      </c>
    </row>
    <row r="3493" spans="1:6" x14ac:dyDescent="0.35">
      <c r="A3493" s="42" t="s">
        <v>585</v>
      </c>
      <c r="B3493" s="42">
        <v>589.91999999999996</v>
      </c>
      <c r="C3493" s="43">
        <v>0.13</v>
      </c>
      <c r="D3493" s="45">
        <v>45962</v>
      </c>
      <c r="E3493" s="45">
        <v>45991.999305555553</v>
      </c>
      <c r="F3493" s="42" t="s">
        <v>475</v>
      </c>
    </row>
    <row r="3494" spans="1:6" x14ac:dyDescent="0.35">
      <c r="A3494" s="42" t="s">
        <v>586</v>
      </c>
      <c r="B3494" s="42">
        <v>589.91999999999996</v>
      </c>
      <c r="C3494" s="43">
        <v>0.13</v>
      </c>
      <c r="D3494" s="45">
        <v>45962</v>
      </c>
      <c r="E3494" s="45">
        <v>45991.999305555553</v>
      </c>
      <c r="F3494" s="42" t="s">
        <v>475</v>
      </c>
    </row>
    <row r="3495" spans="1:6" x14ac:dyDescent="0.35">
      <c r="A3495" s="42" t="s">
        <v>282</v>
      </c>
      <c r="B3495" s="42">
        <v>589.91999999999996</v>
      </c>
      <c r="C3495" s="43">
        <v>0.13</v>
      </c>
      <c r="D3495" s="45">
        <v>45962</v>
      </c>
      <c r="E3495" s="45">
        <v>45991.999305555553</v>
      </c>
      <c r="F3495" s="42" t="s">
        <v>475</v>
      </c>
    </row>
    <row r="3496" spans="1:6" x14ac:dyDescent="0.35">
      <c r="A3496" s="42" t="s">
        <v>591</v>
      </c>
      <c r="B3496" s="42">
        <v>789.92</v>
      </c>
      <c r="C3496" s="43">
        <v>0.13</v>
      </c>
      <c r="D3496" s="45">
        <v>45962</v>
      </c>
      <c r="E3496" s="45">
        <v>45991.999305555553</v>
      </c>
      <c r="F3496" s="42" t="s">
        <v>475</v>
      </c>
    </row>
    <row r="3497" spans="1:6" x14ac:dyDescent="0.35">
      <c r="A3497" s="42" t="s">
        <v>102</v>
      </c>
      <c r="B3497" s="42">
        <v>989.92</v>
      </c>
      <c r="C3497" s="43">
        <v>0.13</v>
      </c>
      <c r="D3497" s="45">
        <v>45962</v>
      </c>
      <c r="E3497" s="45">
        <v>45991.999305555553</v>
      </c>
      <c r="F3497" s="42" t="s">
        <v>475</v>
      </c>
    </row>
    <row r="3498" spans="1:6" x14ac:dyDescent="0.35">
      <c r="A3498" s="42" t="s">
        <v>484</v>
      </c>
      <c r="B3498" s="42">
        <v>989.92</v>
      </c>
      <c r="C3498" s="43">
        <v>0.13</v>
      </c>
      <c r="D3498" s="45">
        <v>45962</v>
      </c>
      <c r="E3498" s="45">
        <v>45991.999305555553</v>
      </c>
      <c r="F3498" s="42" t="s">
        <v>475</v>
      </c>
    </row>
    <row r="3499" spans="1:6" x14ac:dyDescent="0.35">
      <c r="A3499" s="42" t="s">
        <v>618</v>
      </c>
      <c r="B3499" s="42">
        <v>989.92</v>
      </c>
      <c r="C3499" s="43">
        <v>0.13</v>
      </c>
      <c r="D3499" s="45">
        <v>45962</v>
      </c>
      <c r="E3499" s="45">
        <v>45991.999305555553</v>
      </c>
      <c r="F3499" s="42" t="s">
        <v>475</v>
      </c>
    </row>
    <row r="3500" spans="1:6" x14ac:dyDescent="0.35">
      <c r="A3500" s="42" t="s">
        <v>452</v>
      </c>
      <c r="B3500" s="42">
        <v>1479.92</v>
      </c>
      <c r="C3500" s="43">
        <v>0.13</v>
      </c>
      <c r="D3500" s="45">
        <v>45962</v>
      </c>
      <c r="E3500" s="45">
        <v>45991.999305555553</v>
      </c>
      <c r="F3500" s="42" t="s">
        <v>475</v>
      </c>
    </row>
    <row r="3501" spans="1:6" x14ac:dyDescent="0.35">
      <c r="A3501" s="42" t="s">
        <v>37</v>
      </c>
      <c r="B3501" s="42">
        <v>1479.92</v>
      </c>
      <c r="C3501" s="43">
        <v>0.13</v>
      </c>
      <c r="D3501" s="45">
        <v>45962</v>
      </c>
      <c r="E3501" s="45">
        <v>45991.999305555553</v>
      </c>
      <c r="F3501" s="42" t="s">
        <v>475</v>
      </c>
    </row>
    <row r="3502" spans="1:6" x14ac:dyDescent="0.35">
      <c r="A3502" s="42" t="s">
        <v>489</v>
      </c>
      <c r="B3502" s="42">
        <v>1479.92</v>
      </c>
      <c r="C3502" s="43">
        <v>0.13</v>
      </c>
      <c r="D3502" s="45">
        <v>45962</v>
      </c>
      <c r="E3502" s="45">
        <v>45991.999305555553</v>
      </c>
      <c r="F3502" s="42" t="s">
        <v>475</v>
      </c>
    </row>
    <row r="3503" spans="1:6" x14ac:dyDescent="0.35">
      <c r="A3503" s="42" t="s">
        <v>49</v>
      </c>
      <c r="B3503" s="42">
        <v>1669.92</v>
      </c>
      <c r="C3503" s="43">
        <v>0.13</v>
      </c>
      <c r="D3503" s="45">
        <v>45962</v>
      </c>
      <c r="E3503" s="45">
        <v>45991.999305555553</v>
      </c>
      <c r="F3503" s="42" t="s">
        <v>475</v>
      </c>
    </row>
    <row r="3504" spans="1:6" x14ac:dyDescent="0.35">
      <c r="A3504" s="42" t="s">
        <v>281</v>
      </c>
      <c r="B3504" s="42">
        <v>1669.92</v>
      </c>
      <c r="C3504" s="43">
        <v>0.13</v>
      </c>
      <c r="D3504" s="45">
        <v>45962</v>
      </c>
      <c r="E3504" s="45">
        <v>45991.999305555553</v>
      </c>
      <c r="F3504" s="42" t="s">
        <v>475</v>
      </c>
    </row>
    <row r="3505" spans="1:6" x14ac:dyDescent="0.35">
      <c r="A3505" s="42" t="s">
        <v>647</v>
      </c>
      <c r="B3505" s="42">
        <v>1669.92</v>
      </c>
      <c r="C3505" s="43">
        <v>0.13</v>
      </c>
      <c r="D3505" s="45">
        <v>45962</v>
      </c>
      <c r="E3505" s="45">
        <v>45991.999305555553</v>
      </c>
      <c r="F3505" s="42" t="s">
        <v>475</v>
      </c>
    </row>
    <row r="3506" spans="1:6" x14ac:dyDescent="0.35">
      <c r="A3506" s="42" t="s">
        <v>661</v>
      </c>
      <c r="B3506" s="42">
        <v>2549.92</v>
      </c>
      <c r="C3506" s="43">
        <v>0.13</v>
      </c>
      <c r="D3506" s="45">
        <v>45962</v>
      </c>
      <c r="E3506" s="45">
        <v>45991.999305555553</v>
      </c>
      <c r="F3506" s="42" t="s">
        <v>475</v>
      </c>
    </row>
    <row r="3507" spans="1:6" x14ac:dyDescent="0.35">
      <c r="A3507" s="42" t="s">
        <v>405</v>
      </c>
      <c r="B3507" s="42">
        <v>2549.92</v>
      </c>
      <c r="C3507" s="43">
        <v>0.13</v>
      </c>
      <c r="D3507" s="45">
        <v>45962</v>
      </c>
      <c r="E3507" s="45">
        <v>45991.999305555553</v>
      </c>
      <c r="F3507" s="42" t="s">
        <v>475</v>
      </c>
    </row>
    <row r="3508" spans="1:6" x14ac:dyDescent="0.35">
      <c r="A3508" s="42" t="s">
        <v>573</v>
      </c>
      <c r="B3508" s="42">
        <v>319.92</v>
      </c>
      <c r="C3508" s="43">
        <v>0.13</v>
      </c>
      <c r="D3508" s="45">
        <v>45962</v>
      </c>
      <c r="E3508" s="45">
        <v>45991.999305555553</v>
      </c>
      <c r="F3508" s="42" t="s">
        <v>475</v>
      </c>
    </row>
    <row r="3509" spans="1:6" x14ac:dyDescent="0.35">
      <c r="A3509" s="42" t="s">
        <v>572</v>
      </c>
      <c r="B3509" s="42">
        <v>319.92</v>
      </c>
      <c r="C3509" s="43">
        <v>0.13</v>
      </c>
      <c r="D3509" s="45">
        <v>45962</v>
      </c>
      <c r="E3509" s="45">
        <v>45991.999305555553</v>
      </c>
      <c r="F3509" s="42" t="s">
        <v>475</v>
      </c>
    </row>
    <row r="3510" spans="1:6" x14ac:dyDescent="0.35">
      <c r="A3510" s="42" t="s">
        <v>546</v>
      </c>
      <c r="B3510" s="42">
        <v>319.92</v>
      </c>
      <c r="C3510" s="43">
        <v>0.13</v>
      </c>
      <c r="D3510" s="45">
        <v>45962</v>
      </c>
      <c r="E3510" s="45">
        <v>45991.999305555553</v>
      </c>
      <c r="F3510" s="42" t="s">
        <v>475</v>
      </c>
    </row>
    <row r="3511" spans="1:6" x14ac:dyDescent="0.35">
      <c r="A3511" s="42" t="s">
        <v>617</v>
      </c>
      <c r="B3511" s="42">
        <v>319.92</v>
      </c>
      <c r="C3511" s="43">
        <v>0.13</v>
      </c>
      <c r="D3511" s="45">
        <v>45962</v>
      </c>
      <c r="E3511" s="45">
        <v>45991.999305555553</v>
      </c>
      <c r="F3511" s="42" t="s">
        <v>475</v>
      </c>
    </row>
    <row r="3512" spans="1:6" x14ac:dyDescent="0.35">
      <c r="A3512" s="42" t="s">
        <v>14</v>
      </c>
      <c r="B3512" s="42">
        <v>419.92</v>
      </c>
      <c r="C3512" s="43">
        <v>0.13</v>
      </c>
      <c r="D3512" s="45">
        <v>45962</v>
      </c>
      <c r="E3512" s="45">
        <v>45991.999305555553</v>
      </c>
      <c r="F3512" s="42" t="s">
        <v>475</v>
      </c>
    </row>
    <row r="3513" spans="1:6" x14ac:dyDescent="0.35">
      <c r="A3513" s="42" t="s">
        <v>12</v>
      </c>
      <c r="B3513" s="42">
        <v>419.92</v>
      </c>
      <c r="C3513" s="43">
        <v>0.13</v>
      </c>
      <c r="D3513" s="45">
        <v>45962</v>
      </c>
      <c r="E3513" s="45">
        <v>45991.999305555553</v>
      </c>
      <c r="F3513" s="42" t="s">
        <v>475</v>
      </c>
    </row>
    <row r="3514" spans="1:6" x14ac:dyDescent="0.35">
      <c r="A3514" s="42" t="s">
        <v>577</v>
      </c>
      <c r="B3514" s="42">
        <v>419.92</v>
      </c>
      <c r="C3514" s="43">
        <v>0.13</v>
      </c>
      <c r="D3514" s="45">
        <v>45962</v>
      </c>
      <c r="E3514" s="45">
        <v>45991.999305555553</v>
      </c>
      <c r="F3514" s="42" t="s">
        <v>475</v>
      </c>
    </row>
    <row r="3515" spans="1:6" x14ac:dyDescent="0.35">
      <c r="A3515" s="42" t="s">
        <v>601</v>
      </c>
      <c r="B3515" s="42">
        <v>519.92000000000007</v>
      </c>
      <c r="C3515" s="43">
        <v>0.13</v>
      </c>
      <c r="D3515" s="45">
        <v>45962</v>
      </c>
      <c r="E3515" s="45">
        <v>45991.999305555553</v>
      </c>
      <c r="F3515" s="42" t="s">
        <v>475</v>
      </c>
    </row>
    <row r="3516" spans="1:6" x14ac:dyDescent="0.35">
      <c r="A3516" s="42" t="s">
        <v>614</v>
      </c>
      <c r="B3516" s="42">
        <v>519.92000000000007</v>
      </c>
      <c r="C3516" s="43">
        <v>0.13</v>
      </c>
      <c r="D3516" s="45">
        <v>45962</v>
      </c>
      <c r="E3516" s="45">
        <v>45991.999305555553</v>
      </c>
      <c r="F3516" s="42" t="s">
        <v>475</v>
      </c>
    </row>
    <row r="3517" spans="1:6" x14ac:dyDescent="0.35">
      <c r="A3517" s="42" t="s">
        <v>524</v>
      </c>
      <c r="B3517" s="42">
        <v>619.91999999999996</v>
      </c>
      <c r="C3517" s="43">
        <v>0.13</v>
      </c>
      <c r="D3517" s="45">
        <v>45962</v>
      </c>
      <c r="E3517" s="45">
        <v>45991.999305555553</v>
      </c>
      <c r="F3517" s="42" t="s">
        <v>475</v>
      </c>
    </row>
    <row r="3518" spans="1:6" x14ac:dyDescent="0.35">
      <c r="A3518" s="42" t="s">
        <v>525</v>
      </c>
      <c r="B3518" s="42">
        <v>619.91999999999996</v>
      </c>
      <c r="C3518" s="43">
        <v>0.13</v>
      </c>
      <c r="D3518" s="45">
        <v>45962</v>
      </c>
      <c r="E3518" s="45">
        <v>45991.999305555553</v>
      </c>
      <c r="F3518" s="42" t="s">
        <v>475</v>
      </c>
    </row>
    <row r="3519" spans="1:6" x14ac:dyDescent="0.35">
      <c r="A3519" s="42" t="s">
        <v>544</v>
      </c>
      <c r="B3519" s="42">
        <v>619.91999999999996</v>
      </c>
      <c r="C3519" s="43">
        <v>0.13</v>
      </c>
      <c r="D3519" s="45">
        <v>45962</v>
      </c>
      <c r="E3519" s="45">
        <v>45991.999305555553</v>
      </c>
      <c r="F3519" s="42" t="s">
        <v>475</v>
      </c>
    </row>
    <row r="3520" spans="1:6" x14ac:dyDescent="0.35">
      <c r="A3520" s="42" t="s">
        <v>279</v>
      </c>
      <c r="B3520" s="42">
        <v>619.91999999999996</v>
      </c>
      <c r="C3520" s="43">
        <v>0.13</v>
      </c>
      <c r="D3520" s="45">
        <v>45962</v>
      </c>
      <c r="E3520" s="45">
        <v>45991.999305555553</v>
      </c>
      <c r="F3520" s="42" t="s">
        <v>475</v>
      </c>
    </row>
    <row r="3521" spans="1:6" x14ac:dyDescent="0.35">
      <c r="A3521" s="42" t="s">
        <v>25</v>
      </c>
      <c r="B3521" s="42">
        <v>619.91999999999996</v>
      </c>
      <c r="C3521" s="43">
        <v>0.13</v>
      </c>
      <c r="D3521" s="45">
        <v>45962</v>
      </c>
      <c r="E3521" s="45">
        <v>45991.999305555553</v>
      </c>
      <c r="F3521" s="42" t="s">
        <v>475</v>
      </c>
    </row>
    <row r="3522" spans="1:6" x14ac:dyDescent="0.35">
      <c r="A3522" s="42" t="s">
        <v>179</v>
      </c>
      <c r="B3522" s="42">
        <v>619.91999999999996</v>
      </c>
      <c r="C3522" s="43">
        <v>0.13</v>
      </c>
      <c r="D3522" s="45">
        <v>45962</v>
      </c>
      <c r="E3522" s="45">
        <v>45991.999305555553</v>
      </c>
      <c r="F3522" s="42" t="s">
        <v>475</v>
      </c>
    </row>
    <row r="3523" spans="1:6" x14ac:dyDescent="0.35">
      <c r="A3523" s="42" t="s">
        <v>616</v>
      </c>
      <c r="B3523" s="42">
        <v>619.91999999999996</v>
      </c>
      <c r="C3523" s="43">
        <v>0.13</v>
      </c>
      <c r="D3523" s="45">
        <v>45962</v>
      </c>
      <c r="E3523" s="45">
        <v>45991.999305555553</v>
      </c>
      <c r="F3523" s="42" t="s">
        <v>475</v>
      </c>
    </row>
    <row r="3524" spans="1:6" x14ac:dyDescent="0.35">
      <c r="A3524" s="42" t="s">
        <v>654</v>
      </c>
      <c r="B3524" s="42">
        <v>619.91999999999996</v>
      </c>
      <c r="C3524" s="43">
        <v>0.13</v>
      </c>
      <c r="D3524" s="45">
        <v>45962</v>
      </c>
      <c r="E3524" s="45">
        <v>45991.999305555553</v>
      </c>
      <c r="F3524" s="42" t="s">
        <v>475</v>
      </c>
    </row>
    <row r="3525" spans="1:6" x14ac:dyDescent="0.35">
      <c r="A3525" s="42" t="s">
        <v>886</v>
      </c>
      <c r="B3525" s="42">
        <v>619.91999999999996</v>
      </c>
      <c r="C3525" s="43">
        <v>0.13</v>
      </c>
      <c r="D3525" s="45">
        <v>45962</v>
      </c>
      <c r="E3525" s="45">
        <v>45991.999305555553</v>
      </c>
      <c r="F3525" s="42" t="s">
        <v>475</v>
      </c>
    </row>
    <row r="3526" spans="1:6" x14ac:dyDescent="0.35">
      <c r="A3526" s="42" t="s">
        <v>887</v>
      </c>
      <c r="B3526" s="42">
        <v>619.91999999999996</v>
      </c>
      <c r="C3526" s="43">
        <v>0.13</v>
      </c>
      <c r="D3526" s="45">
        <v>45962</v>
      </c>
      <c r="E3526" s="45">
        <v>45991.999305555553</v>
      </c>
      <c r="F3526" s="42" t="s">
        <v>475</v>
      </c>
    </row>
    <row r="3527" spans="1:6" x14ac:dyDescent="0.35">
      <c r="A3527" s="42" t="s">
        <v>888</v>
      </c>
      <c r="B3527" s="42">
        <v>619.91999999999996</v>
      </c>
      <c r="C3527" s="43">
        <v>0.13</v>
      </c>
      <c r="D3527" s="45">
        <v>45962</v>
      </c>
      <c r="E3527" s="45">
        <v>45991.999305555553</v>
      </c>
      <c r="F3527" s="42" t="s">
        <v>475</v>
      </c>
    </row>
    <row r="3528" spans="1:6" x14ac:dyDescent="0.35">
      <c r="A3528" s="42" t="s">
        <v>889</v>
      </c>
      <c r="B3528" s="42">
        <v>619.91999999999996</v>
      </c>
      <c r="C3528" s="43">
        <v>0.13</v>
      </c>
      <c r="D3528" s="45">
        <v>45962</v>
      </c>
      <c r="E3528" s="45">
        <v>45991.999305555553</v>
      </c>
      <c r="F3528" s="42" t="s">
        <v>475</v>
      </c>
    </row>
    <row r="3529" spans="1:6" x14ac:dyDescent="0.35">
      <c r="A3529" s="42" t="s">
        <v>498</v>
      </c>
      <c r="B3529" s="42">
        <v>719.92</v>
      </c>
      <c r="C3529" s="43">
        <v>0.13</v>
      </c>
      <c r="D3529" s="45">
        <v>45962</v>
      </c>
      <c r="E3529" s="45">
        <v>45991.999305555553</v>
      </c>
      <c r="F3529" s="42" t="s">
        <v>475</v>
      </c>
    </row>
    <row r="3530" spans="1:6" x14ac:dyDescent="0.35">
      <c r="A3530" s="42" t="s">
        <v>497</v>
      </c>
      <c r="B3530" s="42">
        <v>719.92</v>
      </c>
      <c r="C3530" s="43">
        <v>0.13</v>
      </c>
      <c r="D3530" s="45">
        <v>45962</v>
      </c>
      <c r="E3530" s="45">
        <v>45991.999305555553</v>
      </c>
      <c r="F3530" s="42" t="s">
        <v>475</v>
      </c>
    </row>
    <row r="3531" spans="1:6" x14ac:dyDescent="0.35">
      <c r="A3531" s="42" t="s">
        <v>27</v>
      </c>
      <c r="B3531" s="42">
        <v>719.92</v>
      </c>
      <c r="C3531" s="43">
        <v>0.13</v>
      </c>
      <c r="D3531" s="45">
        <v>45962</v>
      </c>
      <c r="E3531" s="45">
        <v>45991.999305555553</v>
      </c>
      <c r="F3531" s="42" t="s">
        <v>475</v>
      </c>
    </row>
    <row r="3532" spans="1:6" x14ac:dyDescent="0.35">
      <c r="A3532" s="42" t="s">
        <v>73</v>
      </c>
      <c r="B3532" s="42">
        <v>719.92</v>
      </c>
      <c r="C3532" s="43">
        <v>0.13</v>
      </c>
      <c r="D3532" s="45">
        <v>45962</v>
      </c>
      <c r="E3532" s="45">
        <v>45991.999305555553</v>
      </c>
      <c r="F3532" s="42" t="s">
        <v>475</v>
      </c>
    </row>
    <row r="3533" spans="1:6" x14ac:dyDescent="0.35">
      <c r="A3533" s="42" t="s">
        <v>128</v>
      </c>
      <c r="B3533" s="42">
        <v>719.92</v>
      </c>
      <c r="C3533" s="43">
        <v>0.13</v>
      </c>
      <c r="D3533" s="45">
        <v>45962</v>
      </c>
      <c r="E3533" s="45">
        <v>45991.999305555553</v>
      </c>
      <c r="F3533" s="42" t="s">
        <v>475</v>
      </c>
    </row>
    <row r="3534" spans="1:6" x14ac:dyDescent="0.35">
      <c r="A3534" s="42" t="s">
        <v>122</v>
      </c>
      <c r="B3534" s="42">
        <v>719.92</v>
      </c>
      <c r="C3534" s="43">
        <v>0.13</v>
      </c>
      <c r="D3534" s="45">
        <v>45962</v>
      </c>
      <c r="E3534" s="45">
        <v>45991.999305555553</v>
      </c>
      <c r="F3534" s="42" t="s">
        <v>475</v>
      </c>
    </row>
    <row r="3535" spans="1:6" x14ac:dyDescent="0.35">
      <c r="A3535" s="42" t="s">
        <v>399</v>
      </c>
      <c r="B3535" s="42">
        <v>719.92</v>
      </c>
      <c r="C3535" s="43">
        <v>0.13</v>
      </c>
      <c r="D3535" s="45">
        <v>45962</v>
      </c>
      <c r="E3535" s="45">
        <v>45991.999305555553</v>
      </c>
      <c r="F3535" s="42" t="s">
        <v>475</v>
      </c>
    </row>
    <row r="3536" spans="1:6" x14ac:dyDescent="0.35">
      <c r="A3536" s="42" t="s">
        <v>792</v>
      </c>
      <c r="B3536" s="42">
        <v>719.92</v>
      </c>
      <c r="C3536" s="43">
        <v>0.13</v>
      </c>
      <c r="D3536" s="45">
        <v>45962</v>
      </c>
      <c r="E3536" s="45">
        <v>45991.999305555553</v>
      </c>
      <c r="F3536" s="42" t="s">
        <v>475</v>
      </c>
    </row>
    <row r="3537" spans="1:6" x14ac:dyDescent="0.35">
      <c r="A3537" s="42" t="s">
        <v>793</v>
      </c>
      <c r="B3537" s="42">
        <v>719.92</v>
      </c>
      <c r="C3537" s="43">
        <v>0.13</v>
      </c>
      <c r="D3537" s="45">
        <v>45962</v>
      </c>
      <c r="E3537" s="45">
        <v>45991.999305555553</v>
      </c>
      <c r="F3537" s="42" t="s">
        <v>475</v>
      </c>
    </row>
    <row r="3538" spans="1:6" x14ac:dyDescent="0.35">
      <c r="A3538" s="42" t="s">
        <v>794</v>
      </c>
      <c r="B3538" s="42">
        <v>719.92</v>
      </c>
      <c r="C3538" s="43">
        <v>0.13</v>
      </c>
      <c r="D3538" s="45">
        <v>45962</v>
      </c>
      <c r="E3538" s="45">
        <v>45991.999305555553</v>
      </c>
      <c r="F3538" s="42" t="s">
        <v>475</v>
      </c>
    </row>
    <row r="3539" spans="1:6" x14ac:dyDescent="0.35">
      <c r="A3539" s="42" t="s">
        <v>795</v>
      </c>
      <c r="B3539" s="42">
        <v>719.92</v>
      </c>
      <c r="C3539" s="43">
        <v>0.13</v>
      </c>
      <c r="D3539" s="45">
        <v>45962</v>
      </c>
      <c r="E3539" s="45">
        <v>45991.999305555553</v>
      </c>
      <c r="F3539" s="42" t="s">
        <v>475</v>
      </c>
    </row>
    <row r="3540" spans="1:6" x14ac:dyDescent="0.35">
      <c r="A3540" s="42" t="s">
        <v>796</v>
      </c>
      <c r="B3540" s="42">
        <v>719.92</v>
      </c>
      <c r="C3540" s="43">
        <v>0.13</v>
      </c>
      <c r="D3540" s="45">
        <v>45962</v>
      </c>
      <c r="E3540" s="45">
        <v>45991.999305555553</v>
      </c>
      <c r="F3540" s="42" t="s">
        <v>475</v>
      </c>
    </row>
    <row r="3541" spans="1:6" x14ac:dyDescent="0.35">
      <c r="A3541" s="42" t="s">
        <v>797</v>
      </c>
      <c r="B3541" s="42">
        <v>719.92</v>
      </c>
      <c r="C3541" s="43">
        <v>0.13</v>
      </c>
      <c r="D3541" s="45">
        <v>45962</v>
      </c>
      <c r="E3541" s="45">
        <v>45991.999305555553</v>
      </c>
      <c r="F3541" s="42" t="s">
        <v>475</v>
      </c>
    </row>
    <row r="3542" spans="1:6" x14ac:dyDescent="0.35">
      <c r="A3542" s="42" t="s">
        <v>798</v>
      </c>
      <c r="B3542" s="42">
        <v>719.92</v>
      </c>
      <c r="C3542" s="43">
        <v>0.13</v>
      </c>
      <c r="D3542" s="45">
        <v>45962</v>
      </c>
      <c r="E3542" s="45">
        <v>45991.999305555553</v>
      </c>
      <c r="F3542" s="42" t="s">
        <v>475</v>
      </c>
    </row>
    <row r="3543" spans="1:6" x14ac:dyDescent="0.35">
      <c r="A3543" s="42" t="s">
        <v>799</v>
      </c>
      <c r="B3543" s="42">
        <v>719.92</v>
      </c>
      <c r="C3543" s="43">
        <v>0.13</v>
      </c>
      <c r="D3543" s="45">
        <v>45962</v>
      </c>
      <c r="E3543" s="45">
        <v>45991.999305555553</v>
      </c>
      <c r="F3543" s="42" t="s">
        <v>475</v>
      </c>
    </row>
    <row r="3544" spans="1:6" x14ac:dyDescent="0.35">
      <c r="A3544" s="42" t="s">
        <v>800</v>
      </c>
      <c r="B3544" s="42">
        <v>719.92</v>
      </c>
      <c r="C3544" s="43">
        <v>0.13</v>
      </c>
      <c r="D3544" s="45">
        <v>45962</v>
      </c>
      <c r="E3544" s="45">
        <v>45991.999305555553</v>
      </c>
      <c r="F3544" s="42" t="s">
        <v>475</v>
      </c>
    </row>
    <row r="3545" spans="1:6" x14ac:dyDescent="0.35">
      <c r="A3545" s="42" t="s">
        <v>863</v>
      </c>
      <c r="B3545" s="42">
        <v>719.92</v>
      </c>
      <c r="C3545" s="43">
        <v>0.13</v>
      </c>
      <c r="D3545" s="45">
        <v>45962</v>
      </c>
      <c r="E3545" s="45">
        <v>45991.999305555553</v>
      </c>
      <c r="F3545" s="42" t="s">
        <v>475</v>
      </c>
    </row>
    <row r="3546" spans="1:6" x14ac:dyDescent="0.35">
      <c r="A3546" s="42" t="s">
        <v>864</v>
      </c>
      <c r="B3546" s="42">
        <v>719.92</v>
      </c>
      <c r="C3546" s="43">
        <v>0.13</v>
      </c>
      <c r="D3546" s="45">
        <v>45962</v>
      </c>
      <c r="E3546" s="45">
        <v>45991.999305555553</v>
      </c>
      <c r="F3546" s="42" t="s">
        <v>475</v>
      </c>
    </row>
    <row r="3547" spans="1:6" x14ac:dyDescent="0.35">
      <c r="A3547" s="42" t="s">
        <v>865</v>
      </c>
      <c r="B3547" s="42">
        <v>719.92</v>
      </c>
      <c r="C3547" s="43">
        <v>0.13</v>
      </c>
      <c r="D3547" s="45">
        <v>45962</v>
      </c>
      <c r="E3547" s="45">
        <v>45991.999305555553</v>
      </c>
      <c r="F3547" s="42" t="s">
        <v>475</v>
      </c>
    </row>
    <row r="3548" spans="1:6" x14ac:dyDescent="0.35">
      <c r="A3548" s="42" t="s">
        <v>866</v>
      </c>
      <c r="B3548" s="42">
        <v>719.92</v>
      </c>
      <c r="C3548" s="43">
        <v>0.13</v>
      </c>
      <c r="D3548" s="45">
        <v>45962</v>
      </c>
      <c r="E3548" s="45">
        <v>45991.999305555553</v>
      </c>
      <c r="F3548" s="42" t="s">
        <v>475</v>
      </c>
    </row>
    <row r="3549" spans="1:6" x14ac:dyDescent="0.35">
      <c r="A3549" s="42" t="s">
        <v>867</v>
      </c>
      <c r="B3549" s="42">
        <v>719.92</v>
      </c>
      <c r="C3549" s="43">
        <v>0.13</v>
      </c>
      <c r="D3549" s="45">
        <v>45962</v>
      </c>
      <c r="E3549" s="45">
        <v>45991.999305555553</v>
      </c>
      <c r="F3549" s="42" t="s">
        <v>475</v>
      </c>
    </row>
    <row r="3550" spans="1:6" x14ac:dyDescent="0.35">
      <c r="A3550" s="42" t="s">
        <v>868</v>
      </c>
      <c r="B3550" s="42">
        <v>719.92</v>
      </c>
      <c r="C3550" s="43">
        <v>0.13</v>
      </c>
      <c r="D3550" s="45">
        <v>45962</v>
      </c>
      <c r="E3550" s="45">
        <v>45991.999305555553</v>
      </c>
      <c r="F3550" s="42" t="s">
        <v>475</v>
      </c>
    </row>
    <row r="3551" spans="1:6" x14ac:dyDescent="0.35">
      <c r="A3551" s="42" t="s">
        <v>522</v>
      </c>
      <c r="B3551" s="42">
        <v>819.92</v>
      </c>
      <c r="C3551" s="43">
        <v>0.13</v>
      </c>
      <c r="D3551" s="45">
        <v>45962</v>
      </c>
      <c r="E3551" s="45">
        <v>45991.999305555553</v>
      </c>
      <c r="F3551" s="42" t="s">
        <v>475</v>
      </c>
    </row>
    <row r="3552" spans="1:6" x14ac:dyDescent="0.35">
      <c r="A3552" s="42" t="s">
        <v>481</v>
      </c>
      <c r="B3552" s="42">
        <v>819.92</v>
      </c>
      <c r="C3552" s="43">
        <v>0.13</v>
      </c>
      <c r="D3552" s="45">
        <v>45962</v>
      </c>
      <c r="E3552" s="45">
        <v>45991.999305555553</v>
      </c>
      <c r="F3552" s="42" t="s">
        <v>475</v>
      </c>
    </row>
    <row r="3553" spans="1:6" x14ac:dyDescent="0.35">
      <c r="A3553" s="42" t="s">
        <v>532</v>
      </c>
      <c r="B3553" s="42">
        <v>819.92</v>
      </c>
      <c r="C3553" s="43">
        <v>0.13</v>
      </c>
      <c r="D3553" s="45">
        <v>45962</v>
      </c>
      <c r="E3553" s="45">
        <v>45991.999305555553</v>
      </c>
      <c r="F3553" s="42" t="s">
        <v>475</v>
      </c>
    </row>
    <row r="3554" spans="1:6" x14ac:dyDescent="0.35">
      <c r="A3554" s="42" t="s">
        <v>593</v>
      </c>
      <c r="B3554" s="42">
        <v>819.92</v>
      </c>
      <c r="C3554" s="43">
        <v>0.13</v>
      </c>
      <c r="D3554" s="45">
        <v>45962</v>
      </c>
      <c r="E3554" s="45">
        <v>45991.999305555553</v>
      </c>
      <c r="F3554" s="42" t="s">
        <v>475</v>
      </c>
    </row>
    <row r="3555" spans="1:6" x14ac:dyDescent="0.35">
      <c r="A3555" s="42" t="s">
        <v>283</v>
      </c>
      <c r="B3555" s="42">
        <v>819.92</v>
      </c>
      <c r="C3555" s="43">
        <v>0.13</v>
      </c>
      <c r="D3555" s="45">
        <v>45962</v>
      </c>
      <c r="E3555" s="45">
        <v>45991.999305555553</v>
      </c>
      <c r="F3555" s="42" t="s">
        <v>475</v>
      </c>
    </row>
    <row r="3556" spans="1:6" x14ac:dyDescent="0.35">
      <c r="A3556" s="42" t="s">
        <v>30</v>
      </c>
      <c r="B3556" s="42">
        <v>819.92</v>
      </c>
      <c r="C3556" s="43">
        <v>0.13</v>
      </c>
      <c r="D3556" s="45">
        <v>45962</v>
      </c>
      <c r="E3556" s="45">
        <v>45991.999305555553</v>
      </c>
      <c r="F3556" s="42" t="s">
        <v>475</v>
      </c>
    </row>
    <row r="3557" spans="1:6" x14ac:dyDescent="0.35">
      <c r="A3557" s="42" t="s">
        <v>59</v>
      </c>
      <c r="B3557" s="42">
        <v>819.92</v>
      </c>
      <c r="C3557" s="43">
        <v>0.13</v>
      </c>
      <c r="D3557" s="45">
        <v>45962</v>
      </c>
      <c r="E3557" s="45">
        <v>45991.999305555553</v>
      </c>
      <c r="F3557" s="42" t="s">
        <v>475</v>
      </c>
    </row>
    <row r="3558" spans="1:6" x14ac:dyDescent="0.35">
      <c r="A3558" s="42" t="s">
        <v>31</v>
      </c>
      <c r="B3558" s="42">
        <v>819.92</v>
      </c>
      <c r="C3558" s="43">
        <v>0.13</v>
      </c>
      <c r="D3558" s="45">
        <v>45962</v>
      </c>
      <c r="E3558" s="45">
        <v>45991.999305555553</v>
      </c>
      <c r="F3558" s="42" t="s">
        <v>475</v>
      </c>
    </row>
    <row r="3559" spans="1:6" x14ac:dyDescent="0.35">
      <c r="A3559" s="42" t="s">
        <v>40</v>
      </c>
      <c r="B3559" s="42">
        <v>819.92</v>
      </c>
      <c r="C3559" s="43">
        <v>0.13</v>
      </c>
      <c r="D3559" s="45">
        <v>45962</v>
      </c>
      <c r="E3559" s="45">
        <v>45991.999305555553</v>
      </c>
      <c r="F3559" s="42" t="s">
        <v>475</v>
      </c>
    </row>
    <row r="3560" spans="1:6" x14ac:dyDescent="0.35">
      <c r="A3560" s="42" t="s">
        <v>58</v>
      </c>
      <c r="B3560" s="42">
        <v>819.92</v>
      </c>
      <c r="C3560" s="43">
        <v>0.13</v>
      </c>
      <c r="D3560" s="45">
        <v>45962</v>
      </c>
      <c r="E3560" s="45">
        <v>45991.999305555553</v>
      </c>
      <c r="F3560" s="42" t="s">
        <v>475</v>
      </c>
    </row>
    <row r="3561" spans="1:6" x14ac:dyDescent="0.35">
      <c r="A3561" s="42" t="s">
        <v>57</v>
      </c>
      <c r="B3561" s="42">
        <v>819.92</v>
      </c>
      <c r="C3561" s="43">
        <v>0.13</v>
      </c>
      <c r="D3561" s="45">
        <v>45962</v>
      </c>
      <c r="E3561" s="45">
        <v>45991.999305555553</v>
      </c>
      <c r="F3561" s="42" t="s">
        <v>475</v>
      </c>
    </row>
    <row r="3562" spans="1:6" x14ac:dyDescent="0.35">
      <c r="A3562" s="42" t="s">
        <v>675</v>
      </c>
      <c r="B3562" s="42">
        <v>819.92</v>
      </c>
      <c r="C3562" s="43">
        <v>0.13</v>
      </c>
      <c r="D3562" s="45">
        <v>45962</v>
      </c>
      <c r="E3562" s="45">
        <v>45991.999305555553</v>
      </c>
      <c r="F3562" s="42" t="s">
        <v>475</v>
      </c>
    </row>
    <row r="3563" spans="1:6" x14ac:dyDescent="0.35">
      <c r="A3563" s="42" t="s">
        <v>814</v>
      </c>
      <c r="B3563" s="42">
        <v>1019.92</v>
      </c>
      <c r="C3563" s="43">
        <v>0.13</v>
      </c>
      <c r="D3563" s="45">
        <v>45962</v>
      </c>
      <c r="E3563" s="45">
        <v>45991.999305555553</v>
      </c>
      <c r="F3563" s="42" t="s">
        <v>475</v>
      </c>
    </row>
    <row r="3564" spans="1:6" x14ac:dyDescent="0.35">
      <c r="A3564" s="42" t="s">
        <v>487</v>
      </c>
      <c r="B3564" s="42">
        <v>1419.92</v>
      </c>
      <c r="C3564" s="43">
        <v>0.13</v>
      </c>
      <c r="D3564" s="45">
        <v>45962</v>
      </c>
      <c r="E3564" s="45">
        <v>45991.999305555553</v>
      </c>
      <c r="F3564" s="42" t="s">
        <v>475</v>
      </c>
    </row>
    <row r="3565" spans="1:6" x14ac:dyDescent="0.35">
      <c r="A3565" s="42" t="s">
        <v>750</v>
      </c>
      <c r="B3565" s="42">
        <v>1419.92</v>
      </c>
      <c r="C3565" s="43">
        <v>0.13</v>
      </c>
      <c r="D3565" s="45">
        <v>45962</v>
      </c>
      <c r="E3565" s="45">
        <v>45991.999305555553</v>
      </c>
      <c r="F3565" s="42" t="s">
        <v>475</v>
      </c>
    </row>
    <row r="3566" spans="1:6" x14ac:dyDescent="0.35">
      <c r="A3566" s="42" t="s">
        <v>35</v>
      </c>
      <c r="B3566" s="42">
        <v>1519.92</v>
      </c>
      <c r="C3566" s="43">
        <v>0.13</v>
      </c>
      <c r="D3566" s="45">
        <v>45962</v>
      </c>
      <c r="E3566" s="45">
        <v>45991.999305555553</v>
      </c>
      <c r="F3566" s="42" t="s">
        <v>475</v>
      </c>
    </row>
    <row r="3567" spans="1:6" x14ac:dyDescent="0.35">
      <c r="A3567" s="42" t="s">
        <v>705</v>
      </c>
      <c r="B3567" s="42">
        <v>1519.92</v>
      </c>
      <c r="C3567" s="43">
        <v>0.13</v>
      </c>
      <c r="D3567" s="45">
        <v>45962</v>
      </c>
      <c r="E3567" s="45">
        <v>45991.999305555553</v>
      </c>
      <c r="F3567" s="42" t="s">
        <v>475</v>
      </c>
    </row>
    <row r="3568" spans="1:6" x14ac:dyDescent="0.35">
      <c r="A3568" s="42" t="s">
        <v>594</v>
      </c>
      <c r="B3568" s="42">
        <v>1719.92</v>
      </c>
      <c r="C3568" s="43">
        <v>0.13</v>
      </c>
      <c r="D3568" s="45">
        <v>45962</v>
      </c>
      <c r="E3568" s="45">
        <v>45991.999305555553</v>
      </c>
      <c r="F3568" s="42" t="s">
        <v>475</v>
      </c>
    </row>
    <row r="3569" spans="1:6" x14ac:dyDescent="0.35">
      <c r="A3569" s="42" t="s">
        <v>268</v>
      </c>
      <c r="B3569" s="42">
        <v>1719.92</v>
      </c>
      <c r="C3569" s="43">
        <v>0.13</v>
      </c>
      <c r="D3569" s="45">
        <v>45962</v>
      </c>
      <c r="E3569" s="45">
        <v>45991.999305555553</v>
      </c>
      <c r="F3569" s="42" t="s">
        <v>475</v>
      </c>
    </row>
    <row r="3570" spans="1:6" x14ac:dyDescent="0.35">
      <c r="A3570" s="42" t="s">
        <v>619</v>
      </c>
      <c r="B3570" s="42">
        <v>1719.92</v>
      </c>
      <c r="C3570" s="43">
        <v>0.13</v>
      </c>
      <c r="D3570" s="45">
        <v>45962</v>
      </c>
      <c r="E3570" s="45">
        <v>45991.999305555553</v>
      </c>
      <c r="F3570" s="42" t="s">
        <v>475</v>
      </c>
    </row>
    <row r="3571" spans="1:6" x14ac:dyDescent="0.35">
      <c r="A3571" s="42" t="s">
        <v>51</v>
      </c>
      <c r="B3571" s="42">
        <v>2119.92</v>
      </c>
      <c r="C3571" s="43">
        <v>0.13</v>
      </c>
      <c r="D3571" s="45">
        <v>45962</v>
      </c>
      <c r="E3571" s="45">
        <v>45991.999305555553</v>
      </c>
      <c r="F3571" s="42" t="s">
        <v>475</v>
      </c>
    </row>
    <row r="3572" spans="1:6" x14ac:dyDescent="0.35">
      <c r="A3572" s="42" t="s">
        <v>15</v>
      </c>
      <c r="B3572" s="42">
        <v>439.92</v>
      </c>
      <c r="C3572" s="43">
        <v>0.13</v>
      </c>
      <c r="D3572" s="45">
        <v>45962</v>
      </c>
      <c r="E3572" s="45">
        <v>45991.999305555553</v>
      </c>
      <c r="F3572" s="42" t="s">
        <v>475</v>
      </c>
    </row>
    <row r="3573" spans="1:6" x14ac:dyDescent="0.35">
      <c r="A3573" s="42" t="s">
        <v>16</v>
      </c>
      <c r="B3573" s="42">
        <v>439.92</v>
      </c>
      <c r="C3573" s="43">
        <v>0.13</v>
      </c>
      <c r="D3573" s="45">
        <v>45962</v>
      </c>
      <c r="E3573" s="45">
        <v>45991.999305555553</v>
      </c>
      <c r="F3573" s="42" t="s">
        <v>475</v>
      </c>
    </row>
    <row r="3574" spans="1:6" x14ac:dyDescent="0.35">
      <c r="A3574" s="42" t="s">
        <v>782</v>
      </c>
      <c r="B3574" s="42">
        <v>439.92</v>
      </c>
      <c r="C3574" s="43">
        <v>0.13</v>
      </c>
      <c r="D3574" s="45">
        <v>45962</v>
      </c>
      <c r="E3574" s="45">
        <v>45991.999305555553</v>
      </c>
      <c r="F3574" s="42" t="s">
        <v>475</v>
      </c>
    </row>
    <row r="3575" spans="1:6" x14ac:dyDescent="0.35">
      <c r="A3575" s="42" t="s">
        <v>783</v>
      </c>
      <c r="B3575" s="42">
        <v>439.92</v>
      </c>
      <c r="C3575" s="43">
        <v>0.13</v>
      </c>
      <c r="D3575" s="45">
        <v>45962</v>
      </c>
      <c r="E3575" s="45">
        <v>45991.999305555553</v>
      </c>
      <c r="F3575" s="42" t="s">
        <v>475</v>
      </c>
    </row>
    <row r="3576" spans="1:6" x14ac:dyDescent="0.35">
      <c r="A3576" s="42" t="s">
        <v>784</v>
      </c>
      <c r="B3576" s="42">
        <v>439.92</v>
      </c>
      <c r="C3576" s="43">
        <v>0.13</v>
      </c>
      <c r="D3576" s="45">
        <v>45962</v>
      </c>
      <c r="E3576" s="45">
        <v>45991.999305555553</v>
      </c>
      <c r="F3576" s="42" t="s">
        <v>475</v>
      </c>
    </row>
    <row r="3577" spans="1:6" x14ac:dyDescent="0.35">
      <c r="A3577" s="42" t="s">
        <v>852</v>
      </c>
      <c r="B3577" s="42">
        <v>439.92</v>
      </c>
      <c r="C3577" s="43">
        <v>0.13</v>
      </c>
      <c r="D3577" s="45">
        <v>45962</v>
      </c>
      <c r="E3577" s="45">
        <v>45991.999305555553</v>
      </c>
      <c r="F3577" s="42" t="s">
        <v>475</v>
      </c>
    </row>
    <row r="3578" spans="1:6" x14ac:dyDescent="0.35">
      <c r="A3578" s="42" t="s">
        <v>853</v>
      </c>
      <c r="B3578" s="42">
        <v>439.92</v>
      </c>
      <c r="C3578" s="43">
        <v>0.13</v>
      </c>
      <c r="D3578" s="45">
        <v>45962</v>
      </c>
      <c r="E3578" s="45">
        <v>45991.999305555553</v>
      </c>
      <c r="F3578" s="42" t="s">
        <v>475</v>
      </c>
    </row>
    <row r="3579" spans="1:6" x14ac:dyDescent="0.35">
      <c r="A3579" s="42" t="s">
        <v>854</v>
      </c>
      <c r="B3579" s="42">
        <v>439.92</v>
      </c>
      <c r="C3579" s="43">
        <v>0.13</v>
      </c>
      <c r="D3579" s="45">
        <v>45962</v>
      </c>
      <c r="E3579" s="45">
        <v>45991.999305555553</v>
      </c>
      <c r="F3579" s="42" t="s">
        <v>475</v>
      </c>
    </row>
    <row r="3580" spans="1:6" x14ac:dyDescent="0.35">
      <c r="A3580" s="42" t="s">
        <v>855</v>
      </c>
      <c r="B3580" s="42">
        <v>439.92</v>
      </c>
      <c r="C3580" s="43">
        <v>0.13</v>
      </c>
      <c r="D3580" s="45">
        <v>45962</v>
      </c>
      <c r="E3580" s="45">
        <v>45991.999305555553</v>
      </c>
      <c r="F3580" s="42" t="s">
        <v>475</v>
      </c>
    </row>
    <row r="3581" spans="1:6" x14ac:dyDescent="0.35">
      <c r="A3581" s="42" t="s">
        <v>891</v>
      </c>
      <c r="B3581" s="42">
        <v>439.92</v>
      </c>
      <c r="C3581" s="43">
        <v>0.13</v>
      </c>
      <c r="D3581" s="45">
        <v>45962</v>
      </c>
      <c r="E3581" s="45">
        <v>45991.999305555553</v>
      </c>
      <c r="F3581" s="42" t="s">
        <v>475</v>
      </c>
    </row>
    <row r="3582" spans="1:6" x14ac:dyDescent="0.35">
      <c r="A3582" s="42" t="s">
        <v>892</v>
      </c>
      <c r="B3582" s="42">
        <v>439.92</v>
      </c>
      <c r="C3582" s="43">
        <v>0.13</v>
      </c>
      <c r="D3582" s="45">
        <v>45962</v>
      </c>
      <c r="E3582" s="45">
        <v>45991.999305555553</v>
      </c>
      <c r="F3582" s="42" t="s">
        <v>475</v>
      </c>
    </row>
    <row r="3583" spans="1:6" x14ac:dyDescent="0.35">
      <c r="A3583" s="42" t="s">
        <v>582</v>
      </c>
      <c r="B3583" s="42">
        <v>539.91999999999996</v>
      </c>
      <c r="C3583" s="43">
        <v>0.13</v>
      </c>
      <c r="D3583" s="45">
        <v>45962</v>
      </c>
      <c r="E3583" s="45">
        <v>45991.999305555553</v>
      </c>
      <c r="F3583" s="42" t="s">
        <v>475</v>
      </c>
    </row>
    <row r="3584" spans="1:6" x14ac:dyDescent="0.35">
      <c r="A3584" s="42" t="s">
        <v>54</v>
      </c>
      <c r="B3584" s="42">
        <v>539.91999999999996</v>
      </c>
      <c r="C3584" s="43">
        <v>0.13</v>
      </c>
      <c r="D3584" s="45">
        <v>45962</v>
      </c>
      <c r="E3584" s="45">
        <v>45991.999305555553</v>
      </c>
      <c r="F3584" s="42" t="s">
        <v>475</v>
      </c>
    </row>
    <row r="3585" spans="1:6" x14ac:dyDescent="0.35">
      <c r="A3585" s="42" t="s">
        <v>79</v>
      </c>
      <c r="B3585" s="42">
        <v>539.91999999999996</v>
      </c>
      <c r="C3585" s="43">
        <v>0.13</v>
      </c>
      <c r="D3585" s="45">
        <v>45962</v>
      </c>
      <c r="E3585" s="45">
        <v>45991.999305555553</v>
      </c>
      <c r="F3585" s="42" t="s">
        <v>475</v>
      </c>
    </row>
    <row r="3586" spans="1:6" x14ac:dyDescent="0.35">
      <c r="A3586" s="42" t="s">
        <v>404</v>
      </c>
      <c r="B3586" s="42">
        <v>539.91999999999996</v>
      </c>
      <c r="C3586" s="43">
        <v>0.13</v>
      </c>
      <c r="D3586" s="45">
        <v>45962</v>
      </c>
      <c r="E3586" s="45">
        <v>45991.999305555553</v>
      </c>
      <c r="F3586" s="42" t="s">
        <v>475</v>
      </c>
    </row>
    <row r="3587" spans="1:6" x14ac:dyDescent="0.35">
      <c r="A3587" s="42" t="s">
        <v>550</v>
      </c>
      <c r="B3587" s="42">
        <v>749.92</v>
      </c>
      <c r="C3587" s="43">
        <v>0.13</v>
      </c>
      <c r="D3587" s="45">
        <v>45962</v>
      </c>
      <c r="E3587" s="45">
        <v>45991.999305555553</v>
      </c>
      <c r="F3587" s="42" t="s">
        <v>475</v>
      </c>
    </row>
    <row r="3588" spans="1:6" x14ac:dyDescent="0.35">
      <c r="A3588" s="42" t="s">
        <v>477</v>
      </c>
      <c r="B3588" s="42">
        <v>749.92</v>
      </c>
      <c r="C3588" s="43">
        <v>0.13</v>
      </c>
      <c r="D3588" s="45">
        <v>45962</v>
      </c>
      <c r="E3588" s="45">
        <v>45991.999305555553</v>
      </c>
      <c r="F3588" s="42" t="s">
        <v>475</v>
      </c>
    </row>
    <row r="3589" spans="1:6" x14ac:dyDescent="0.35">
      <c r="A3589" s="42" t="s">
        <v>478</v>
      </c>
      <c r="B3589" s="42">
        <v>749.92</v>
      </c>
      <c r="C3589" s="43">
        <v>0.13</v>
      </c>
      <c r="D3589" s="45">
        <v>45962</v>
      </c>
      <c r="E3589" s="45">
        <v>45991.999305555553</v>
      </c>
      <c r="F3589" s="42" t="s">
        <v>475</v>
      </c>
    </row>
    <row r="3590" spans="1:6" x14ac:dyDescent="0.35">
      <c r="A3590" s="42" t="s">
        <v>55</v>
      </c>
      <c r="B3590" s="42">
        <v>749.92</v>
      </c>
      <c r="C3590" s="43">
        <v>0.13</v>
      </c>
      <c r="D3590" s="45">
        <v>45962</v>
      </c>
      <c r="E3590" s="45">
        <v>45991.999305555553</v>
      </c>
      <c r="F3590" s="42" t="s">
        <v>475</v>
      </c>
    </row>
    <row r="3591" spans="1:6" x14ac:dyDescent="0.35">
      <c r="A3591" s="42" t="s">
        <v>29</v>
      </c>
      <c r="B3591" s="42">
        <v>749.92</v>
      </c>
      <c r="C3591" s="43">
        <v>0.13</v>
      </c>
      <c r="D3591" s="45">
        <v>45962</v>
      </c>
      <c r="E3591" s="45">
        <v>45991.999305555553</v>
      </c>
      <c r="F3591" s="42" t="s">
        <v>475</v>
      </c>
    </row>
    <row r="3592" spans="1:6" x14ac:dyDescent="0.35">
      <c r="A3592" s="42" t="s">
        <v>265</v>
      </c>
      <c r="B3592" s="42">
        <v>749.92</v>
      </c>
      <c r="C3592" s="43">
        <v>0.13</v>
      </c>
      <c r="D3592" s="45">
        <v>45962</v>
      </c>
      <c r="E3592" s="45">
        <v>45991.999305555553</v>
      </c>
      <c r="F3592" s="42" t="s">
        <v>475</v>
      </c>
    </row>
    <row r="3593" spans="1:6" x14ac:dyDescent="0.35">
      <c r="A3593" s="42" t="s">
        <v>785</v>
      </c>
      <c r="B3593" s="42">
        <v>749.92</v>
      </c>
      <c r="C3593" s="43">
        <v>0.13</v>
      </c>
      <c r="D3593" s="45">
        <v>45962</v>
      </c>
      <c r="E3593" s="45">
        <v>45991.999305555553</v>
      </c>
      <c r="F3593" s="42" t="s">
        <v>475</v>
      </c>
    </row>
    <row r="3594" spans="1:6" x14ac:dyDescent="0.35">
      <c r="A3594" s="42" t="s">
        <v>786</v>
      </c>
      <c r="B3594" s="42">
        <v>749.92</v>
      </c>
      <c r="C3594" s="43">
        <v>0.13</v>
      </c>
      <c r="D3594" s="45">
        <v>45962</v>
      </c>
      <c r="E3594" s="45">
        <v>45991.999305555553</v>
      </c>
      <c r="F3594" s="42" t="s">
        <v>475</v>
      </c>
    </row>
    <row r="3595" spans="1:6" x14ac:dyDescent="0.35">
      <c r="A3595" s="42" t="s">
        <v>787</v>
      </c>
      <c r="B3595" s="42">
        <v>749.92</v>
      </c>
      <c r="C3595" s="43">
        <v>0.13</v>
      </c>
      <c r="D3595" s="45">
        <v>45962</v>
      </c>
      <c r="E3595" s="45">
        <v>45991.999305555553</v>
      </c>
      <c r="F3595" s="42" t="s">
        <v>475</v>
      </c>
    </row>
    <row r="3596" spans="1:6" x14ac:dyDescent="0.35">
      <c r="A3596" s="42" t="s">
        <v>592</v>
      </c>
      <c r="B3596" s="42">
        <v>849.92</v>
      </c>
      <c r="C3596" s="43">
        <v>0.13</v>
      </c>
      <c r="D3596" s="45">
        <v>45962</v>
      </c>
      <c r="E3596" s="45">
        <v>45991.999305555553</v>
      </c>
      <c r="F3596" s="42" t="s">
        <v>475</v>
      </c>
    </row>
    <row r="3597" spans="1:6" x14ac:dyDescent="0.35">
      <c r="A3597" s="42" t="s">
        <v>504</v>
      </c>
      <c r="B3597" s="42">
        <v>1259.92</v>
      </c>
      <c r="C3597" s="43">
        <v>0.13</v>
      </c>
      <c r="D3597" s="45">
        <v>45962</v>
      </c>
      <c r="E3597" s="45">
        <v>45991.999305555553</v>
      </c>
      <c r="F3597" s="42" t="s">
        <v>475</v>
      </c>
    </row>
    <row r="3598" spans="1:6" x14ac:dyDescent="0.35">
      <c r="A3598" s="42" t="s">
        <v>606</v>
      </c>
      <c r="B3598" s="42">
        <v>1259.92</v>
      </c>
      <c r="C3598" s="43">
        <v>0.13</v>
      </c>
      <c r="D3598" s="45">
        <v>45962</v>
      </c>
      <c r="E3598" s="45">
        <v>45991.999305555553</v>
      </c>
      <c r="F3598" s="42" t="s">
        <v>475</v>
      </c>
    </row>
    <row r="3599" spans="1:6" x14ac:dyDescent="0.35">
      <c r="A3599" s="42" t="s">
        <v>624</v>
      </c>
      <c r="B3599" s="42">
        <v>1259.92</v>
      </c>
      <c r="C3599" s="43">
        <v>0.13</v>
      </c>
      <c r="D3599" s="45">
        <v>45962</v>
      </c>
      <c r="E3599" s="45">
        <v>45991.999305555553</v>
      </c>
      <c r="F3599" s="42" t="s">
        <v>475</v>
      </c>
    </row>
    <row r="3600" spans="1:6" x14ac:dyDescent="0.35">
      <c r="A3600" s="42" t="s">
        <v>61</v>
      </c>
      <c r="B3600" s="42">
        <v>1259.92</v>
      </c>
      <c r="C3600" s="43">
        <v>0.13</v>
      </c>
      <c r="D3600" s="45">
        <v>45962</v>
      </c>
      <c r="E3600" s="45">
        <v>45991.999305555553</v>
      </c>
      <c r="F3600" s="42" t="s">
        <v>475</v>
      </c>
    </row>
    <row r="3601" spans="1:6" x14ac:dyDescent="0.35">
      <c r="A3601" s="42" t="s">
        <v>304</v>
      </c>
      <c r="B3601" s="42">
        <v>1259.92</v>
      </c>
      <c r="C3601" s="43">
        <v>0.13</v>
      </c>
      <c r="D3601" s="45">
        <v>45962</v>
      </c>
      <c r="E3601" s="45">
        <v>45991.999305555553</v>
      </c>
      <c r="F3601" s="42" t="s">
        <v>475</v>
      </c>
    </row>
    <row r="3602" spans="1:6" x14ac:dyDescent="0.35">
      <c r="A3602" s="42" t="s">
        <v>667</v>
      </c>
      <c r="B3602" s="42">
        <v>1259.92</v>
      </c>
      <c r="C3602" s="43">
        <v>0.13</v>
      </c>
      <c r="D3602" s="45">
        <v>45962</v>
      </c>
      <c r="E3602" s="45">
        <v>45991.999305555553</v>
      </c>
      <c r="F3602" s="42" t="s">
        <v>475</v>
      </c>
    </row>
    <row r="3603" spans="1:6" x14ac:dyDescent="0.35">
      <c r="A3603" s="42" t="s">
        <v>724</v>
      </c>
      <c r="B3603" s="42">
        <v>1259.92</v>
      </c>
      <c r="C3603" s="43">
        <v>0.13</v>
      </c>
      <c r="D3603" s="45">
        <v>45962</v>
      </c>
      <c r="E3603" s="45">
        <v>45991.999305555553</v>
      </c>
      <c r="F3603" s="42" t="s">
        <v>475</v>
      </c>
    </row>
    <row r="3604" spans="1:6" x14ac:dyDescent="0.35">
      <c r="A3604" s="42" t="s">
        <v>725</v>
      </c>
      <c r="B3604" s="42">
        <v>1259.92</v>
      </c>
      <c r="C3604" s="43">
        <v>0.13</v>
      </c>
      <c r="D3604" s="45">
        <v>45962</v>
      </c>
      <c r="E3604" s="45">
        <v>45991.999305555553</v>
      </c>
      <c r="F3604" s="42" t="s">
        <v>475</v>
      </c>
    </row>
    <row r="3605" spans="1:6" x14ac:dyDescent="0.35">
      <c r="A3605" s="42" t="s">
        <v>726</v>
      </c>
      <c r="B3605" s="42">
        <v>1259.92</v>
      </c>
      <c r="C3605" s="43">
        <v>0.13</v>
      </c>
      <c r="D3605" s="45">
        <v>45962</v>
      </c>
      <c r="E3605" s="45">
        <v>45991.999305555553</v>
      </c>
      <c r="F3605" s="42" t="s">
        <v>475</v>
      </c>
    </row>
    <row r="3606" spans="1:6" x14ac:dyDescent="0.35">
      <c r="A3606" s="42" t="s">
        <v>727</v>
      </c>
      <c r="B3606" s="42">
        <v>1259.92</v>
      </c>
      <c r="C3606" s="43">
        <v>0.13</v>
      </c>
      <c r="D3606" s="45">
        <v>45962</v>
      </c>
      <c r="E3606" s="45">
        <v>45991.999305555553</v>
      </c>
      <c r="F3606" s="42" t="s">
        <v>475</v>
      </c>
    </row>
    <row r="3607" spans="1:6" x14ac:dyDescent="0.35">
      <c r="A3607" s="42" t="s">
        <v>134</v>
      </c>
      <c r="B3607" s="42">
        <v>1359.92</v>
      </c>
      <c r="C3607" s="43">
        <v>0.13</v>
      </c>
      <c r="D3607" s="45">
        <v>45962</v>
      </c>
      <c r="E3607" s="45">
        <v>45991.999305555553</v>
      </c>
      <c r="F3607" s="42" t="s">
        <v>475</v>
      </c>
    </row>
    <row r="3608" spans="1:6" x14ac:dyDescent="0.35">
      <c r="A3608" s="42" t="s">
        <v>530</v>
      </c>
      <c r="B3608" s="42">
        <v>1359.92</v>
      </c>
      <c r="C3608" s="43">
        <v>0.13</v>
      </c>
      <c r="D3608" s="45">
        <v>45962</v>
      </c>
      <c r="E3608" s="45">
        <v>45991.999305555553</v>
      </c>
      <c r="F3608" s="42" t="s">
        <v>475</v>
      </c>
    </row>
    <row r="3609" spans="1:6" x14ac:dyDescent="0.35">
      <c r="A3609" s="42" t="s">
        <v>671</v>
      </c>
      <c r="B3609" s="42">
        <v>1359.92</v>
      </c>
      <c r="C3609" s="43">
        <v>0.13</v>
      </c>
      <c r="D3609" s="45">
        <v>45962</v>
      </c>
      <c r="E3609" s="45">
        <v>45991.999305555553</v>
      </c>
      <c r="F3609" s="42" t="s">
        <v>475</v>
      </c>
    </row>
    <row r="3610" spans="1:6" x14ac:dyDescent="0.35">
      <c r="A3610" s="42" t="s">
        <v>780</v>
      </c>
      <c r="B3610" s="42">
        <v>1879.92</v>
      </c>
      <c r="C3610" s="43">
        <v>0.13</v>
      </c>
      <c r="D3610" s="45">
        <v>45962</v>
      </c>
      <c r="E3610" s="45">
        <v>45991.999305555553</v>
      </c>
      <c r="F3610" s="42" t="s">
        <v>475</v>
      </c>
    </row>
    <row r="3611" spans="1:6" x14ac:dyDescent="0.35">
      <c r="A3611" s="42" t="s">
        <v>406</v>
      </c>
      <c r="B3611" s="42">
        <v>1979.92</v>
      </c>
      <c r="C3611" s="43">
        <v>0.13</v>
      </c>
      <c r="D3611" s="45">
        <v>45962</v>
      </c>
      <c r="E3611" s="45">
        <v>45991.999305555553</v>
      </c>
      <c r="F3611" s="42" t="s">
        <v>475</v>
      </c>
    </row>
    <row r="3612" spans="1:6" x14ac:dyDescent="0.35">
      <c r="A3612" s="42" t="s">
        <v>670</v>
      </c>
      <c r="B3612" s="42">
        <v>1979.92</v>
      </c>
      <c r="C3612" s="43">
        <v>0.13</v>
      </c>
      <c r="D3612" s="45">
        <v>45962</v>
      </c>
      <c r="E3612" s="45">
        <v>45991.999305555553</v>
      </c>
      <c r="F3612" s="42" t="s">
        <v>475</v>
      </c>
    </row>
    <row r="3613" spans="1:6" x14ac:dyDescent="0.35">
      <c r="A3613" s="42" t="s">
        <v>804</v>
      </c>
      <c r="B3613" s="42">
        <v>1979.92</v>
      </c>
      <c r="C3613" s="43">
        <v>0.13</v>
      </c>
      <c r="D3613" s="45">
        <v>45962</v>
      </c>
      <c r="E3613" s="45">
        <v>45991.999305555553</v>
      </c>
      <c r="F3613" s="42" t="s">
        <v>475</v>
      </c>
    </row>
    <row r="3614" spans="1:6" x14ac:dyDescent="0.35">
      <c r="A3614" s="42" t="s">
        <v>806</v>
      </c>
      <c r="B3614" s="42">
        <v>1979.92</v>
      </c>
      <c r="C3614" s="43">
        <v>0.13</v>
      </c>
      <c r="D3614" s="45">
        <v>45962</v>
      </c>
      <c r="E3614" s="45">
        <v>45991.999305555553</v>
      </c>
      <c r="F3614" s="42" t="s">
        <v>475</v>
      </c>
    </row>
    <row r="3615" spans="1:6" x14ac:dyDescent="0.35">
      <c r="A3615" s="42" t="s">
        <v>841</v>
      </c>
      <c r="B3615" s="42">
        <v>1979.92</v>
      </c>
      <c r="C3615" s="43">
        <v>0.13</v>
      </c>
      <c r="D3615" s="45">
        <v>45962</v>
      </c>
      <c r="E3615" s="45">
        <v>45991.999305555553</v>
      </c>
      <c r="F3615" s="42" t="s">
        <v>475</v>
      </c>
    </row>
    <row r="3616" spans="1:6" x14ac:dyDescent="0.35">
      <c r="A3616" s="42" t="s">
        <v>842</v>
      </c>
      <c r="B3616" s="42">
        <v>1979.92</v>
      </c>
      <c r="C3616" s="43">
        <v>0.13</v>
      </c>
      <c r="D3616" s="45">
        <v>45962</v>
      </c>
      <c r="E3616" s="45">
        <v>45991.999305555553</v>
      </c>
      <c r="F3616" s="42" t="s">
        <v>475</v>
      </c>
    </row>
    <row r="3617" spans="1:6" x14ac:dyDescent="0.35">
      <c r="A3617" s="42" t="s">
        <v>843</v>
      </c>
      <c r="B3617" s="42">
        <v>1979.92</v>
      </c>
      <c r="C3617" s="43">
        <v>0.13</v>
      </c>
      <c r="D3617" s="45">
        <v>45962</v>
      </c>
      <c r="E3617" s="45">
        <v>45991.999305555553</v>
      </c>
      <c r="F3617" s="42" t="s">
        <v>475</v>
      </c>
    </row>
    <row r="3618" spans="1:6" x14ac:dyDescent="0.35">
      <c r="A3618" s="42" t="s">
        <v>547</v>
      </c>
      <c r="B3618" s="42">
        <v>239.92</v>
      </c>
      <c r="C3618" s="43">
        <v>0.13</v>
      </c>
      <c r="D3618" s="45">
        <v>45962</v>
      </c>
      <c r="E3618" s="45">
        <v>45991.999305555553</v>
      </c>
      <c r="F3618" s="42" t="s">
        <v>475</v>
      </c>
    </row>
    <row r="3619" spans="1:6" x14ac:dyDescent="0.35">
      <c r="A3619" s="42" t="s">
        <v>570</v>
      </c>
      <c r="B3619" s="42">
        <v>239.92</v>
      </c>
      <c r="C3619" s="43">
        <v>0.13</v>
      </c>
      <c r="D3619" s="45">
        <v>45962</v>
      </c>
      <c r="E3619" s="45">
        <v>45991.999305555553</v>
      </c>
      <c r="F3619" s="42" t="s">
        <v>475</v>
      </c>
    </row>
    <row r="3620" spans="1:6" x14ac:dyDescent="0.35">
      <c r="A3620" s="42" t="s">
        <v>554</v>
      </c>
      <c r="B3620" s="42">
        <v>339.92</v>
      </c>
      <c r="C3620" s="43">
        <v>0.13</v>
      </c>
      <c r="D3620" s="45">
        <v>45962</v>
      </c>
      <c r="E3620" s="45">
        <v>45991.999305555553</v>
      </c>
      <c r="F3620" s="42" t="s">
        <v>475</v>
      </c>
    </row>
    <row r="3621" spans="1:6" x14ac:dyDescent="0.35">
      <c r="A3621" s="42" t="s">
        <v>534</v>
      </c>
      <c r="B3621" s="42">
        <v>339.92</v>
      </c>
      <c r="C3621" s="43">
        <v>0.13</v>
      </c>
      <c r="D3621" s="45">
        <v>45962</v>
      </c>
      <c r="E3621" s="45">
        <v>45991.999305555553</v>
      </c>
      <c r="F3621" s="42" t="s">
        <v>475</v>
      </c>
    </row>
    <row r="3622" spans="1:6" x14ac:dyDescent="0.35">
      <c r="A3622" s="42" t="s">
        <v>171</v>
      </c>
      <c r="B3622" s="42">
        <v>449.92</v>
      </c>
      <c r="C3622" s="43">
        <v>0.13</v>
      </c>
      <c r="D3622" s="45">
        <v>45962</v>
      </c>
      <c r="E3622" s="45">
        <v>45991.999305555553</v>
      </c>
      <c r="F3622" s="42" t="s">
        <v>475</v>
      </c>
    </row>
    <row r="3623" spans="1:6" x14ac:dyDescent="0.35">
      <c r="A3623" s="42" t="s">
        <v>576</v>
      </c>
      <c r="B3623" s="42">
        <v>449.92</v>
      </c>
      <c r="C3623" s="43">
        <v>0.13</v>
      </c>
      <c r="D3623" s="45">
        <v>45962</v>
      </c>
      <c r="E3623" s="45">
        <v>45991.999305555553</v>
      </c>
      <c r="F3623" s="42" t="s">
        <v>475</v>
      </c>
    </row>
    <row r="3624" spans="1:6" x14ac:dyDescent="0.35">
      <c r="A3624" s="42" t="s">
        <v>844</v>
      </c>
      <c r="B3624" s="42">
        <v>449.92</v>
      </c>
      <c r="C3624" s="43">
        <v>0.13</v>
      </c>
      <c r="D3624" s="45">
        <v>45962</v>
      </c>
      <c r="E3624" s="45">
        <v>45991.999305555553</v>
      </c>
      <c r="F3624" s="42" t="s">
        <v>475</v>
      </c>
    </row>
    <row r="3625" spans="1:6" x14ac:dyDescent="0.35">
      <c r="A3625" s="42" t="s">
        <v>845</v>
      </c>
      <c r="B3625" s="42">
        <v>449.92</v>
      </c>
      <c r="C3625" s="43">
        <v>0.13</v>
      </c>
      <c r="D3625" s="45">
        <v>45962</v>
      </c>
      <c r="E3625" s="45">
        <v>45991.999305555553</v>
      </c>
      <c r="F3625" s="42" t="s">
        <v>475</v>
      </c>
    </row>
    <row r="3626" spans="1:6" x14ac:dyDescent="0.35">
      <c r="A3626" s="42" t="s">
        <v>111</v>
      </c>
      <c r="B3626" s="42">
        <v>559.91999999999996</v>
      </c>
      <c r="C3626" s="43">
        <v>0.13</v>
      </c>
      <c r="D3626" s="45">
        <v>45962</v>
      </c>
      <c r="E3626" s="45">
        <v>45991.999305555553</v>
      </c>
      <c r="F3626" s="42" t="s">
        <v>475</v>
      </c>
    </row>
    <row r="3627" spans="1:6" x14ac:dyDescent="0.35">
      <c r="A3627" s="42" t="s">
        <v>20</v>
      </c>
      <c r="B3627" s="42">
        <v>559.91999999999996</v>
      </c>
      <c r="C3627" s="43">
        <v>0.13</v>
      </c>
      <c r="D3627" s="45">
        <v>45962</v>
      </c>
      <c r="E3627" s="45">
        <v>45991.999305555553</v>
      </c>
      <c r="F3627" s="42" t="s">
        <v>475</v>
      </c>
    </row>
    <row r="3628" spans="1:6" x14ac:dyDescent="0.35">
      <c r="A3628" s="42" t="s">
        <v>602</v>
      </c>
      <c r="B3628" s="42">
        <v>559.91999999999996</v>
      </c>
      <c r="C3628" s="43">
        <v>0.13</v>
      </c>
      <c r="D3628" s="45">
        <v>45962</v>
      </c>
      <c r="E3628" s="45">
        <v>45991.999305555553</v>
      </c>
      <c r="F3628" s="42" t="s">
        <v>475</v>
      </c>
    </row>
    <row r="3629" spans="1:6" x14ac:dyDescent="0.35">
      <c r="A3629" s="42" t="s">
        <v>583</v>
      </c>
      <c r="B3629" s="42">
        <v>559.91999999999996</v>
      </c>
      <c r="C3629" s="43">
        <v>0.13</v>
      </c>
      <c r="D3629" s="45">
        <v>45962</v>
      </c>
      <c r="E3629" s="45">
        <v>45991.999305555553</v>
      </c>
      <c r="F3629" s="42" t="s">
        <v>475</v>
      </c>
    </row>
    <row r="3630" spans="1:6" x14ac:dyDescent="0.35">
      <c r="A3630" s="42" t="s">
        <v>529</v>
      </c>
      <c r="B3630" s="42">
        <v>559.91999999999996</v>
      </c>
      <c r="C3630" s="43">
        <v>0.13</v>
      </c>
      <c r="D3630" s="45">
        <v>45962</v>
      </c>
      <c r="E3630" s="45">
        <v>45991.999305555553</v>
      </c>
      <c r="F3630" s="42" t="s">
        <v>475</v>
      </c>
    </row>
    <row r="3631" spans="1:6" x14ac:dyDescent="0.35">
      <c r="A3631" s="42" t="s">
        <v>584</v>
      </c>
      <c r="B3631" s="42">
        <v>559.91999999999996</v>
      </c>
      <c r="C3631" s="43">
        <v>0.13</v>
      </c>
      <c r="D3631" s="45">
        <v>45962</v>
      </c>
      <c r="E3631" s="45">
        <v>45991.999305555553</v>
      </c>
      <c r="F3631" s="42" t="s">
        <v>475</v>
      </c>
    </row>
    <row r="3632" spans="1:6" x14ac:dyDescent="0.35">
      <c r="A3632" s="42" t="s">
        <v>19</v>
      </c>
      <c r="B3632" s="42">
        <v>559.91999999999996</v>
      </c>
      <c r="C3632" s="43">
        <v>0.13</v>
      </c>
      <c r="D3632" s="45">
        <v>45962</v>
      </c>
      <c r="E3632" s="45">
        <v>45991.999305555553</v>
      </c>
      <c r="F3632" s="42" t="s">
        <v>475</v>
      </c>
    </row>
    <row r="3633" spans="1:6" x14ac:dyDescent="0.35">
      <c r="A3633" s="42" t="s">
        <v>21</v>
      </c>
      <c r="B3633" s="42">
        <v>559.91999999999996</v>
      </c>
      <c r="C3633" s="43">
        <v>0.13</v>
      </c>
      <c r="D3633" s="45">
        <v>45962</v>
      </c>
      <c r="E3633" s="45">
        <v>45991.999305555553</v>
      </c>
      <c r="F3633" s="42" t="s">
        <v>475</v>
      </c>
    </row>
    <row r="3634" spans="1:6" x14ac:dyDescent="0.35">
      <c r="A3634" s="42" t="s">
        <v>71</v>
      </c>
      <c r="B3634" s="42">
        <v>559.91999999999996</v>
      </c>
      <c r="C3634" s="43">
        <v>0.13</v>
      </c>
      <c r="D3634" s="45">
        <v>45962</v>
      </c>
      <c r="E3634" s="45">
        <v>45991.999305555553</v>
      </c>
      <c r="F3634" s="42" t="s">
        <v>475</v>
      </c>
    </row>
    <row r="3635" spans="1:6" x14ac:dyDescent="0.35">
      <c r="A3635" s="42" t="s">
        <v>100</v>
      </c>
      <c r="B3635" s="42">
        <v>559.91999999999996</v>
      </c>
      <c r="C3635" s="43">
        <v>0.13</v>
      </c>
      <c r="D3635" s="45">
        <v>45962</v>
      </c>
      <c r="E3635" s="45">
        <v>45991.999305555553</v>
      </c>
      <c r="F3635" s="42" t="s">
        <v>475</v>
      </c>
    </row>
    <row r="3636" spans="1:6" x14ac:dyDescent="0.35">
      <c r="A3636" s="42" t="s">
        <v>833</v>
      </c>
      <c r="B3636" s="42">
        <v>559.91999999999996</v>
      </c>
      <c r="C3636" s="43">
        <v>0.13</v>
      </c>
      <c r="D3636" s="45">
        <v>45962</v>
      </c>
      <c r="E3636" s="45">
        <v>45991.999305555553</v>
      </c>
      <c r="F3636" s="42" t="s">
        <v>475</v>
      </c>
    </row>
    <row r="3637" spans="1:6" x14ac:dyDescent="0.35">
      <c r="A3637" s="42" t="s">
        <v>834</v>
      </c>
      <c r="B3637" s="42">
        <v>559.91999999999996</v>
      </c>
      <c r="C3637" s="43">
        <v>0.13</v>
      </c>
      <c r="D3637" s="45">
        <v>45962</v>
      </c>
      <c r="E3637" s="45">
        <v>45991.999305555553</v>
      </c>
      <c r="F3637" s="42" t="s">
        <v>475</v>
      </c>
    </row>
    <row r="3638" spans="1:6" x14ac:dyDescent="0.35">
      <c r="A3638" s="42" t="s">
        <v>835</v>
      </c>
      <c r="B3638" s="42">
        <v>559.91999999999996</v>
      </c>
      <c r="C3638" s="43">
        <v>0.13</v>
      </c>
      <c r="D3638" s="45">
        <v>45962</v>
      </c>
      <c r="E3638" s="45">
        <v>45991.999305555553</v>
      </c>
      <c r="F3638" s="42" t="s">
        <v>475</v>
      </c>
    </row>
    <row r="3639" spans="1:6" x14ac:dyDescent="0.35">
      <c r="A3639" s="42" t="s">
        <v>836</v>
      </c>
      <c r="B3639" s="42">
        <v>559.91999999999996</v>
      </c>
      <c r="C3639" s="43">
        <v>0.13</v>
      </c>
      <c r="D3639" s="45">
        <v>45962</v>
      </c>
      <c r="E3639" s="45">
        <v>45991.999305555553</v>
      </c>
      <c r="F3639" s="42" t="s">
        <v>475</v>
      </c>
    </row>
    <row r="3640" spans="1:6" x14ac:dyDescent="0.35">
      <c r="A3640" s="42" t="s">
        <v>837</v>
      </c>
      <c r="B3640" s="42">
        <v>559.91999999999996</v>
      </c>
      <c r="C3640" s="43">
        <v>0.13</v>
      </c>
      <c r="D3640" s="45">
        <v>45962</v>
      </c>
      <c r="E3640" s="45">
        <v>45991.999305555553</v>
      </c>
      <c r="F3640" s="42" t="s">
        <v>475</v>
      </c>
    </row>
    <row r="3641" spans="1:6" x14ac:dyDescent="0.35">
      <c r="A3641" s="42" t="s">
        <v>838</v>
      </c>
      <c r="B3641" s="42">
        <v>559.91999999999996</v>
      </c>
      <c r="C3641" s="43">
        <v>0.13</v>
      </c>
      <c r="D3641" s="45">
        <v>45962</v>
      </c>
      <c r="E3641" s="45">
        <v>45991.999305555553</v>
      </c>
      <c r="F3641" s="42" t="s">
        <v>475</v>
      </c>
    </row>
    <row r="3642" spans="1:6" x14ac:dyDescent="0.35">
      <c r="A3642" s="42" t="s">
        <v>839</v>
      </c>
      <c r="B3642" s="42">
        <v>559.91999999999996</v>
      </c>
      <c r="C3642" s="43">
        <v>0.13</v>
      </c>
      <c r="D3642" s="45">
        <v>45962</v>
      </c>
      <c r="E3642" s="45">
        <v>45991.999305555553</v>
      </c>
      <c r="F3642" s="42" t="s">
        <v>475</v>
      </c>
    </row>
    <row r="3643" spans="1:6" x14ac:dyDescent="0.35">
      <c r="A3643" s="42" t="s">
        <v>840</v>
      </c>
      <c r="B3643" s="42">
        <v>559.91999999999996</v>
      </c>
      <c r="C3643" s="43">
        <v>0.13</v>
      </c>
      <c r="D3643" s="45">
        <v>45962</v>
      </c>
      <c r="E3643" s="45">
        <v>45991.999305555553</v>
      </c>
      <c r="F3643" s="42" t="s">
        <v>475</v>
      </c>
    </row>
    <row r="3644" spans="1:6" x14ac:dyDescent="0.35">
      <c r="A3644" s="42" t="s">
        <v>856</v>
      </c>
      <c r="B3644" s="42">
        <v>559.91999999999996</v>
      </c>
      <c r="C3644" s="43">
        <v>0.13</v>
      </c>
      <c r="D3644" s="45">
        <v>45962</v>
      </c>
      <c r="E3644" s="45">
        <v>45991.999305555553</v>
      </c>
      <c r="F3644" s="42" t="s">
        <v>475</v>
      </c>
    </row>
    <row r="3645" spans="1:6" x14ac:dyDescent="0.35">
      <c r="A3645" s="42" t="s">
        <v>857</v>
      </c>
      <c r="B3645" s="42">
        <v>559.91999999999996</v>
      </c>
      <c r="C3645" s="43">
        <v>0.13</v>
      </c>
      <c r="D3645" s="45">
        <v>45962</v>
      </c>
      <c r="E3645" s="45">
        <v>45991.999305555553</v>
      </c>
      <c r="F3645" s="42" t="s">
        <v>475</v>
      </c>
    </row>
    <row r="3646" spans="1:6" x14ac:dyDescent="0.35">
      <c r="A3646" s="42" t="s">
        <v>858</v>
      </c>
      <c r="B3646" s="42">
        <v>559.91999999999996</v>
      </c>
      <c r="C3646" s="43">
        <v>0.13</v>
      </c>
      <c r="D3646" s="45">
        <v>45962</v>
      </c>
      <c r="E3646" s="45">
        <v>45991.999305555553</v>
      </c>
      <c r="F3646" s="42" t="s">
        <v>475</v>
      </c>
    </row>
    <row r="3647" spans="1:6" x14ac:dyDescent="0.35">
      <c r="A3647" s="42" t="s">
        <v>859</v>
      </c>
      <c r="B3647" s="42">
        <v>559.91999999999996</v>
      </c>
      <c r="C3647" s="43">
        <v>0.13</v>
      </c>
      <c r="D3647" s="45">
        <v>45962</v>
      </c>
      <c r="E3647" s="45">
        <v>45991.999305555553</v>
      </c>
      <c r="F3647" s="42" t="s">
        <v>475</v>
      </c>
    </row>
    <row r="3648" spans="1:6" x14ac:dyDescent="0.35">
      <c r="A3648" s="42" t="s">
        <v>860</v>
      </c>
      <c r="B3648" s="42">
        <v>559.91999999999996</v>
      </c>
      <c r="C3648" s="43">
        <v>0.13</v>
      </c>
      <c r="D3648" s="45">
        <v>45962</v>
      </c>
      <c r="E3648" s="45">
        <v>45991.999305555553</v>
      </c>
      <c r="F3648" s="42" t="s">
        <v>475</v>
      </c>
    </row>
    <row r="3649" spans="1:6" x14ac:dyDescent="0.35">
      <c r="A3649" s="42" t="s">
        <v>861</v>
      </c>
      <c r="B3649" s="42">
        <v>559.91999999999996</v>
      </c>
      <c r="C3649" s="43">
        <v>0.13</v>
      </c>
      <c r="D3649" s="45">
        <v>45962</v>
      </c>
      <c r="E3649" s="45">
        <v>45991.999305555553</v>
      </c>
      <c r="F3649" s="42" t="s">
        <v>475</v>
      </c>
    </row>
    <row r="3650" spans="1:6" x14ac:dyDescent="0.35">
      <c r="A3650" s="42" t="s">
        <v>862</v>
      </c>
      <c r="B3650" s="42">
        <v>559.91999999999996</v>
      </c>
      <c r="C3650" s="43">
        <v>0.13</v>
      </c>
      <c r="D3650" s="45">
        <v>45962</v>
      </c>
      <c r="E3650" s="45">
        <v>45991.999305555553</v>
      </c>
      <c r="F3650" s="42" t="s">
        <v>475</v>
      </c>
    </row>
    <row r="3651" spans="1:6" x14ac:dyDescent="0.35">
      <c r="A3651" s="42" t="s">
        <v>890</v>
      </c>
      <c r="B3651" s="42">
        <v>559.91999999999996</v>
      </c>
      <c r="C3651" s="43">
        <v>0.13</v>
      </c>
      <c r="D3651" s="45">
        <v>45962</v>
      </c>
      <c r="E3651" s="45">
        <v>45991.999305555553</v>
      </c>
      <c r="F3651" s="42" t="s">
        <v>475</v>
      </c>
    </row>
    <row r="3652" spans="1:6" x14ac:dyDescent="0.35">
      <c r="A3652" s="42" t="s">
        <v>528</v>
      </c>
      <c r="B3652" s="42">
        <v>659.92</v>
      </c>
      <c r="C3652" s="43">
        <v>0.13</v>
      </c>
      <c r="D3652" s="45">
        <v>45962</v>
      </c>
      <c r="E3652" s="45">
        <v>45991.999305555553</v>
      </c>
      <c r="F3652" s="42" t="s">
        <v>475</v>
      </c>
    </row>
    <row r="3653" spans="1:6" x14ac:dyDescent="0.35">
      <c r="A3653" s="42" t="s">
        <v>543</v>
      </c>
      <c r="B3653" s="42">
        <v>659.92</v>
      </c>
      <c r="C3653" s="43">
        <v>0.13</v>
      </c>
      <c r="D3653" s="45">
        <v>45962</v>
      </c>
      <c r="E3653" s="45">
        <v>45991.999305555553</v>
      </c>
      <c r="F3653" s="42" t="s">
        <v>475</v>
      </c>
    </row>
    <row r="3654" spans="1:6" x14ac:dyDescent="0.35">
      <c r="A3654" s="42" t="s">
        <v>448</v>
      </c>
      <c r="B3654" s="42">
        <v>659.92</v>
      </c>
      <c r="C3654" s="43">
        <v>0.13</v>
      </c>
      <c r="D3654" s="45">
        <v>45962</v>
      </c>
      <c r="E3654" s="45">
        <v>45991.999305555553</v>
      </c>
      <c r="F3654" s="42" t="s">
        <v>475</v>
      </c>
    </row>
    <row r="3655" spans="1:6" x14ac:dyDescent="0.35">
      <c r="A3655" s="42" t="s">
        <v>588</v>
      </c>
      <c r="B3655" s="42">
        <v>659.92</v>
      </c>
      <c r="C3655" s="43">
        <v>0.13</v>
      </c>
      <c r="D3655" s="45">
        <v>45962</v>
      </c>
      <c r="E3655" s="45">
        <v>45991.999305555553</v>
      </c>
      <c r="F3655" s="42" t="s">
        <v>475</v>
      </c>
    </row>
    <row r="3656" spans="1:6" x14ac:dyDescent="0.35">
      <c r="A3656" s="42" t="s">
        <v>589</v>
      </c>
      <c r="B3656" s="42">
        <v>659.92</v>
      </c>
      <c r="C3656" s="43">
        <v>0.13</v>
      </c>
      <c r="D3656" s="45">
        <v>45962</v>
      </c>
      <c r="E3656" s="45">
        <v>45991.999305555553</v>
      </c>
      <c r="F3656" s="42" t="s">
        <v>475</v>
      </c>
    </row>
    <row r="3657" spans="1:6" x14ac:dyDescent="0.35">
      <c r="A3657" s="42" t="s">
        <v>605</v>
      </c>
      <c r="B3657" s="42">
        <v>659.92</v>
      </c>
      <c r="C3657" s="43">
        <v>0.13</v>
      </c>
      <c r="D3657" s="45">
        <v>45962</v>
      </c>
      <c r="E3657" s="45">
        <v>45991.999305555553</v>
      </c>
      <c r="F3657" s="42" t="s">
        <v>475</v>
      </c>
    </row>
    <row r="3658" spans="1:6" x14ac:dyDescent="0.35">
      <c r="A3658" s="42" t="s">
        <v>622</v>
      </c>
      <c r="B3658" s="42">
        <v>659.92</v>
      </c>
      <c r="C3658" s="43">
        <v>0.13</v>
      </c>
      <c r="D3658" s="45">
        <v>45962</v>
      </c>
      <c r="E3658" s="45">
        <v>45991.999305555553</v>
      </c>
      <c r="F3658" s="42" t="s">
        <v>475</v>
      </c>
    </row>
    <row r="3659" spans="1:6" x14ac:dyDescent="0.35">
      <c r="A3659" s="42" t="s">
        <v>824</v>
      </c>
      <c r="B3659" s="42">
        <v>659.92</v>
      </c>
      <c r="C3659" s="43">
        <v>0.13</v>
      </c>
      <c r="D3659" s="45">
        <v>45962</v>
      </c>
      <c r="E3659" s="45">
        <v>45991.999305555553</v>
      </c>
      <c r="F3659" s="42" t="s">
        <v>475</v>
      </c>
    </row>
    <row r="3660" spans="1:6" x14ac:dyDescent="0.35">
      <c r="A3660" s="42" t="s">
        <v>825</v>
      </c>
      <c r="B3660" s="42">
        <v>659.92</v>
      </c>
      <c r="C3660" s="43">
        <v>0.13</v>
      </c>
      <c r="D3660" s="45">
        <v>45962</v>
      </c>
      <c r="E3660" s="45">
        <v>45991.999305555553</v>
      </c>
      <c r="F3660" s="42" t="s">
        <v>475</v>
      </c>
    </row>
    <row r="3661" spans="1:6" x14ac:dyDescent="0.35">
      <c r="A3661" s="42" t="s">
        <v>826</v>
      </c>
      <c r="B3661" s="42">
        <v>659.92</v>
      </c>
      <c r="C3661" s="43">
        <v>0.13</v>
      </c>
      <c r="D3661" s="45">
        <v>45962</v>
      </c>
      <c r="E3661" s="45">
        <v>45991.999305555553</v>
      </c>
      <c r="F3661" s="42" t="s">
        <v>475</v>
      </c>
    </row>
    <row r="3662" spans="1:6" x14ac:dyDescent="0.35">
      <c r="A3662" s="42" t="s">
        <v>827</v>
      </c>
      <c r="B3662" s="42">
        <v>659.92</v>
      </c>
      <c r="C3662" s="43">
        <v>0.13</v>
      </c>
      <c r="D3662" s="45">
        <v>45962</v>
      </c>
      <c r="E3662" s="45">
        <v>45991.999305555553</v>
      </c>
      <c r="F3662" s="42" t="s">
        <v>475</v>
      </c>
    </row>
    <row r="3663" spans="1:6" x14ac:dyDescent="0.35">
      <c r="A3663" s="42" t="s">
        <v>828</v>
      </c>
      <c r="B3663" s="42">
        <v>659.92</v>
      </c>
      <c r="C3663" s="43">
        <v>0.13</v>
      </c>
      <c r="D3663" s="45">
        <v>45962</v>
      </c>
      <c r="E3663" s="45">
        <v>45991.999305555553</v>
      </c>
      <c r="F3663" s="42" t="s">
        <v>475</v>
      </c>
    </row>
    <row r="3664" spans="1:6" x14ac:dyDescent="0.35">
      <c r="A3664" s="42" t="s">
        <v>829</v>
      </c>
      <c r="B3664" s="42">
        <v>659.92</v>
      </c>
      <c r="C3664" s="43">
        <v>0.13</v>
      </c>
      <c r="D3664" s="45">
        <v>45962</v>
      </c>
      <c r="E3664" s="45">
        <v>45991.999305555553</v>
      </c>
      <c r="F3664" s="42" t="s">
        <v>475</v>
      </c>
    </row>
    <row r="3665" spans="1:6" x14ac:dyDescent="0.35">
      <c r="A3665" s="42" t="s">
        <v>502</v>
      </c>
      <c r="B3665" s="42">
        <v>1189.92</v>
      </c>
      <c r="C3665" s="43">
        <v>0.13</v>
      </c>
      <c r="D3665" s="45">
        <v>45962</v>
      </c>
      <c r="E3665" s="45">
        <v>45991.999305555553</v>
      </c>
      <c r="F3665" s="42" t="s">
        <v>475</v>
      </c>
    </row>
    <row r="3666" spans="1:6" x14ac:dyDescent="0.35">
      <c r="A3666" s="42" t="s">
        <v>503</v>
      </c>
      <c r="B3666" s="42">
        <v>1189.92</v>
      </c>
      <c r="C3666" s="43">
        <v>0.13</v>
      </c>
      <c r="D3666" s="45">
        <v>45962</v>
      </c>
      <c r="E3666" s="45">
        <v>45991.999305555553</v>
      </c>
      <c r="F3666" s="42" t="s">
        <v>475</v>
      </c>
    </row>
    <row r="3667" spans="1:6" x14ac:dyDescent="0.35">
      <c r="A3667" s="42" t="s">
        <v>267</v>
      </c>
      <c r="B3667" s="42">
        <v>1189.92</v>
      </c>
      <c r="C3667" s="43">
        <v>0.13</v>
      </c>
      <c r="D3667" s="45">
        <v>45962</v>
      </c>
      <c r="E3667" s="45">
        <v>45991.999305555553</v>
      </c>
      <c r="F3667" s="42" t="s">
        <v>475</v>
      </c>
    </row>
    <row r="3668" spans="1:6" x14ac:dyDescent="0.35">
      <c r="A3668" s="42" t="s">
        <v>88</v>
      </c>
      <c r="B3668" s="42">
        <v>1189.92</v>
      </c>
      <c r="C3668" s="43">
        <v>0.13</v>
      </c>
      <c r="D3668" s="45">
        <v>45962</v>
      </c>
      <c r="E3668" s="45">
        <v>45991.999305555553</v>
      </c>
      <c r="F3668" s="42" t="s">
        <v>475</v>
      </c>
    </row>
    <row r="3669" spans="1:6" x14ac:dyDescent="0.35">
      <c r="A3669" s="42" t="s">
        <v>457</v>
      </c>
      <c r="B3669" s="42">
        <v>1189.92</v>
      </c>
      <c r="C3669" s="43">
        <v>0.13</v>
      </c>
      <c r="D3669" s="45">
        <v>45962</v>
      </c>
      <c r="E3669" s="45">
        <v>45991.999305555553</v>
      </c>
      <c r="F3669" s="42" t="s">
        <v>475</v>
      </c>
    </row>
    <row r="3670" spans="1:6" x14ac:dyDescent="0.35">
      <c r="A3670" s="42" t="s">
        <v>620</v>
      </c>
      <c r="B3670" s="42">
        <v>1189.92</v>
      </c>
      <c r="C3670" s="43">
        <v>0.13</v>
      </c>
      <c r="D3670" s="45">
        <v>45962</v>
      </c>
      <c r="E3670" s="45">
        <v>45991.999305555553</v>
      </c>
      <c r="F3670" s="42" t="s">
        <v>475</v>
      </c>
    </row>
    <row r="3671" spans="1:6" x14ac:dyDescent="0.35">
      <c r="A3671" s="42" t="s">
        <v>650</v>
      </c>
      <c r="B3671" s="42">
        <v>1189.92</v>
      </c>
      <c r="C3671" s="43">
        <v>0.13</v>
      </c>
      <c r="D3671" s="45">
        <v>45962</v>
      </c>
      <c r="E3671" s="45">
        <v>45991.999305555553</v>
      </c>
      <c r="F3671" s="42" t="s">
        <v>475</v>
      </c>
    </row>
    <row r="3672" spans="1:6" x14ac:dyDescent="0.35">
      <c r="A3672" s="42" t="s">
        <v>674</v>
      </c>
      <c r="B3672" s="42">
        <v>1189.92</v>
      </c>
      <c r="C3672" s="43">
        <v>0.13</v>
      </c>
      <c r="D3672" s="45">
        <v>45962</v>
      </c>
      <c r="E3672" s="45">
        <v>45991.999305555553</v>
      </c>
      <c r="F3672" s="42" t="s">
        <v>475</v>
      </c>
    </row>
    <row r="3673" spans="1:6" x14ac:dyDescent="0.35">
      <c r="A3673" s="42" t="s">
        <v>722</v>
      </c>
      <c r="B3673" s="42">
        <v>1189.92</v>
      </c>
      <c r="C3673" s="43">
        <v>0.13</v>
      </c>
      <c r="D3673" s="45">
        <v>45962</v>
      </c>
      <c r="E3673" s="45">
        <v>45991.999305555553</v>
      </c>
      <c r="F3673" s="42" t="s">
        <v>475</v>
      </c>
    </row>
    <row r="3674" spans="1:6" x14ac:dyDescent="0.35">
      <c r="A3674" s="42" t="s">
        <v>723</v>
      </c>
      <c r="B3674" s="42">
        <v>1189.92</v>
      </c>
      <c r="C3674" s="43">
        <v>0.13</v>
      </c>
      <c r="D3674" s="45">
        <v>45962</v>
      </c>
      <c r="E3674" s="45">
        <v>45991.999305555553</v>
      </c>
      <c r="F3674" s="42" t="s">
        <v>475</v>
      </c>
    </row>
    <row r="3675" spans="1:6" x14ac:dyDescent="0.35">
      <c r="A3675" s="42" t="s">
        <v>488</v>
      </c>
      <c r="B3675" s="42">
        <v>1399.92</v>
      </c>
      <c r="C3675" s="43">
        <v>0.13</v>
      </c>
      <c r="D3675" s="45">
        <v>45962</v>
      </c>
      <c r="E3675" s="45">
        <v>45991.999305555553</v>
      </c>
      <c r="F3675" s="42" t="s">
        <v>475</v>
      </c>
    </row>
    <row r="3676" spans="1:6" x14ac:dyDescent="0.35">
      <c r="A3676" s="42" t="s">
        <v>104</v>
      </c>
      <c r="B3676" s="42">
        <v>1399.92</v>
      </c>
      <c r="C3676" s="43">
        <v>0.13</v>
      </c>
      <c r="D3676" s="45">
        <v>45962</v>
      </c>
      <c r="E3676" s="45">
        <v>45991.999305555553</v>
      </c>
      <c r="F3676" s="42" t="s">
        <v>475</v>
      </c>
    </row>
    <row r="3677" spans="1:6" x14ac:dyDescent="0.35">
      <c r="A3677" s="42" t="s">
        <v>494</v>
      </c>
      <c r="B3677" s="42">
        <v>1499.92</v>
      </c>
      <c r="C3677" s="43">
        <v>0.13</v>
      </c>
      <c r="D3677" s="45">
        <v>45962</v>
      </c>
      <c r="E3677" s="45">
        <v>45991.999305555553</v>
      </c>
      <c r="F3677" s="42" t="s">
        <v>475</v>
      </c>
    </row>
    <row r="3678" spans="1:6" x14ac:dyDescent="0.35">
      <c r="A3678" s="42" t="s">
        <v>531</v>
      </c>
      <c r="B3678" s="42">
        <v>1499.92</v>
      </c>
      <c r="C3678" s="43">
        <v>0.13</v>
      </c>
      <c r="D3678" s="45">
        <v>45962</v>
      </c>
      <c r="E3678" s="45">
        <v>45991.999305555553</v>
      </c>
      <c r="F3678" s="42" t="s">
        <v>475</v>
      </c>
    </row>
    <row r="3679" spans="1:6" x14ac:dyDescent="0.35">
      <c r="A3679" s="42" t="s">
        <v>63</v>
      </c>
      <c r="B3679" s="42">
        <v>1499.92</v>
      </c>
      <c r="C3679" s="43">
        <v>0.13</v>
      </c>
      <c r="D3679" s="45">
        <v>45962</v>
      </c>
      <c r="E3679" s="45">
        <v>45991.999305555553</v>
      </c>
      <c r="F3679" s="42" t="s">
        <v>475</v>
      </c>
    </row>
    <row r="3680" spans="1:6" x14ac:dyDescent="0.35">
      <c r="A3680" s="42" t="s">
        <v>65</v>
      </c>
      <c r="B3680" s="42">
        <v>1499.92</v>
      </c>
      <c r="C3680" s="43">
        <v>0.13</v>
      </c>
      <c r="D3680" s="45">
        <v>45962</v>
      </c>
      <c r="E3680" s="45">
        <v>45991.999305555553</v>
      </c>
      <c r="F3680" s="42" t="s">
        <v>475</v>
      </c>
    </row>
    <row r="3681" spans="1:6" x14ac:dyDescent="0.35">
      <c r="A3681" s="42" t="s">
        <v>276</v>
      </c>
      <c r="B3681" s="42">
        <v>1499.92</v>
      </c>
      <c r="C3681" s="43">
        <v>0.13</v>
      </c>
      <c r="D3681" s="45">
        <v>45962</v>
      </c>
      <c r="E3681" s="45">
        <v>45991.999305555553</v>
      </c>
      <c r="F3681" s="42" t="s">
        <v>475</v>
      </c>
    </row>
    <row r="3682" spans="1:6" x14ac:dyDescent="0.35">
      <c r="A3682" s="42" t="s">
        <v>807</v>
      </c>
      <c r="B3682" s="42">
        <v>1499.92</v>
      </c>
      <c r="C3682" s="43">
        <v>0.13</v>
      </c>
      <c r="D3682" s="45">
        <v>45962</v>
      </c>
      <c r="E3682" s="45">
        <v>45991.999305555553</v>
      </c>
      <c r="F3682" s="42" t="s">
        <v>475</v>
      </c>
    </row>
    <row r="3683" spans="1:6" x14ac:dyDescent="0.35">
      <c r="A3683" s="42" t="s">
        <v>669</v>
      </c>
      <c r="B3683" s="42">
        <v>2339.92</v>
      </c>
      <c r="C3683" s="43">
        <v>0.13</v>
      </c>
      <c r="D3683" s="45">
        <v>45962</v>
      </c>
      <c r="E3683" s="45">
        <v>45991.999305555553</v>
      </c>
      <c r="F3683" s="42" t="s">
        <v>475</v>
      </c>
    </row>
    <row r="3684" spans="1:6" x14ac:dyDescent="0.35">
      <c r="A3684" s="42" t="s">
        <v>803</v>
      </c>
      <c r="B3684" s="42">
        <v>1939.92</v>
      </c>
      <c r="C3684" s="43">
        <v>0.13</v>
      </c>
      <c r="D3684" s="45">
        <v>45962</v>
      </c>
      <c r="E3684" s="45">
        <v>45991.999305555553</v>
      </c>
      <c r="F3684" s="42" t="s">
        <v>475</v>
      </c>
    </row>
    <row r="3685" spans="1:6" x14ac:dyDescent="0.35">
      <c r="A3685" s="42" t="s">
        <v>811</v>
      </c>
      <c r="B3685" s="42">
        <v>1939.92</v>
      </c>
      <c r="C3685" s="43">
        <v>0.13</v>
      </c>
      <c r="D3685" s="45">
        <v>45962</v>
      </c>
      <c r="E3685" s="45">
        <v>45991.999305555553</v>
      </c>
      <c r="F3685" s="42" t="s">
        <v>475</v>
      </c>
    </row>
    <row r="3686" spans="1:6" x14ac:dyDescent="0.35">
      <c r="A3686" s="42" t="s">
        <v>643</v>
      </c>
      <c r="B3686" s="42">
        <v>2039.92</v>
      </c>
      <c r="C3686" s="43">
        <v>0.13</v>
      </c>
      <c r="D3686" s="45">
        <v>45962</v>
      </c>
      <c r="E3686" s="45">
        <v>45991.999305555553</v>
      </c>
      <c r="F3686" s="42" t="s">
        <v>475</v>
      </c>
    </row>
    <row r="3687" spans="1:6" x14ac:dyDescent="0.35">
      <c r="A3687" s="42" t="s">
        <v>812</v>
      </c>
      <c r="B3687" s="42">
        <v>2039.92</v>
      </c>
      <c r="C3687" s="43">
        <v>0.13</v>
      </c>
      <c r="D3687" s="45">
        <v>45962</v>
      </c>
      <c r="E3687" s="45">
        <v>45991.999305555553</v>
      </c>
      <c r="F3687" s="42" t="s">
        <v>475</v>
      </c>
    </row>
    <row r="3688" spans="1:6" x14ac:dyDescent="0.35">
      <c r="A3688" s="42" t="s">
        <v>327</v>
      </c>
      <c r="B3688" s="42">
        <v>2369.92</v>
      </c>
      <c r="C3688" s="43">
        <v>0.13</v>
      </c>
      <c r="D3688" s="45">
        <v>45962</v>
      </c>
      <c r="E3688" s="45">
        <v>45991.999305555553</v>
      </c>
      <c r="F3688" s="42" t="s">
        <v>475</v>
      </c>
    </row>
    <row r="3689" spans="1:6" x14ac:dyDescent="0.35">
      <c r="A3689" s="42" t="s">
        <v>45</v>
      </c>
      <c r="B3689" s="42">
        <v>459.92</v>
      </c>
      <c r="C3689" s="43">
        <v>0.13</v>
      </c>
      <c r="D3689" s="45">
        <v>45962</v>
      </c>
      <c r="E3689" s="45">
        <v>45991.999305555553</v>
      </c>
      <c r="F3689" s="42" t="s">
        <v>475</v>
      </c>
    </row>
    <row r="3690" spans="1:6" x14ac:dyDescent="0.35">
      <c r="A3690" s="42" t="s">
        <v>587</v>
      </c>
      <c r="B3690" s="42">
        <v>599.91999999999996</v>
      </c>
      <c r="C3690" s="43">
        <v>0.13</v>
      </c>
      <c r="D3690" s="45">
        <v>45962</v>
      </c>
      <c r="E3690" s="45">
        <v>45991.999305555553</v>
      </c>
      <c r="F3690" s="42" t="s">
        <v>475</v>
      </c>
    </row>
    <row r="3691" spans="1:6" x14ac:dyDescent="0.35">
      <c r="A3691" s="42" t="s">
        <v>485</v>
      </c>
      <c r="B3691" s="42">
        <v>1059.92</v>
      </c>
      <c r="C3691" s="43">
        <v>0.13</v>
      </c>
      <c r="D3691" s="45">
        <v>45962</v>
      </c>
      <c r="E3691" s="45">
        <v>45991.999305555553</v>
      </c>
      <c r="F3691" s="42" t="s">
        <v>475</v>
      </c>
    </row>
    <row r="3692" spans="1:6" x14ac:dyDescent="0.35">
      <c r="A3692" s="42" t="s">
        <v>568</v>
      </c>
      <c r="B3692" s="42">
        <v>269.92</v>
      </c>
      <c r="C3692" s="43">
        <v>0.13</v>
      </c>
      <c r="D3692" s="45">
        <v>45962</v>
      </c>
      <c r="E3692" s="45">
        <v>45991.999305555553</v>
      </c>
      <c r="F3692" s="42" t="s">
        <v>475</v>
      </c>
    </row>
    <row r="3693" spans="1:6" x14ac:dyDescent="0.35">
      <c r="A3693" s="42" t="s">
        <v>506</v>
      </c>
      <c r="B3693" s="42">
        <v>1329.92</v>
      </c>
      <c r="C3693" s="43">
        <v>0.13</v>
      </c>
      <c r="D3693" s="45">
        <v>45962</v>
      </c>
      <c r="E3693" s="45">
        <v>45991.999305555553</v>
      </c>
      <c r="F3693" s="42" t="s">
        <v>475</v>
      </c>
    </row>
    <row r="3694" spans="1:6" x14ac:dyDescent="0.35">
      <c r="A3694" s="42" t="s">
        <v>509</v>
      </c>
      <c r="B3694" s="42">
        <v>2629.92</v>
      </c>
      <c r="C3694" s="43">
        <v>0.13</v>
      </c>
      <c r="D3694" s="45">
        <v>45962</v>
      </c>
      <c r="E3694" s="45">
        <v>45991.999305555553</v>
      </c>
      <c r="F3694" s="42" t="s">
        <v>475</v>
      </c>
    </row>
    <row r="3695" spans="1:6" x14ac:dyDescent="0.35">
      <c r="A3695" s="42" t="s">
        <v>11</v>
      </c>
      <c r="B3695" s="42">
        <v>379.92</v>
      </c>
      <c r="C3695" s="43">
        <v>0.13</v>
      </c>
      <c r="D3695" s="45">
        <v>45962</v>
      </c>
      <c r="E3695" s="45">
        <v>45991.999305555553</v>
      </c>
      <c r="F3695" s="42" t="s">
        <v>475</v>
      </c>
    </row>
    <row r="3696" spans="1:6" x14ac:dyDescent="0.35">
      <c r="A3696" s="42" t="s">
        <v>505</v>
      </c>
      <c r="B3696" s="42">
        <v>1269.92</v>
      </c>
      <c r="C3696" s="43">
        <v>0.13</v>
      </c>
      <c r="D3696" s="45">
        <v>45962</v>
      </c>
      <c r="E3696" s="45">
        <v>45991.999305555553</v>
      </c>
      <c r="F3696" s="42" t="s">
        <v>475</v>
      </c>
    </row>
    <row r="3697" spans="1:6" x14ac:dyDescent="0.35">
      <c r="A3697" s="42" t="s">
        <v>565</v>
      </c>
      <c r="B3697" s="42">
        <v>179.92</v>
      </c>
      <c r="C3697" s="43">
        <v>0.13</v>
      </c>
      <c r="D3697" s="45">
        <v>45962</v>
      </c>
      <c r="E3697" s="45">
        <v>45991.999305555553</v>
      </c>
      <c r="F3697" s="42" t="s">
        <v>475</v>
      </c>
    </row>
    <row r="3698" spans="1:6" x14ac:dyDescent="0.35">
      <c r="A3698" s="42" t="s">
        <v>466</v>
      </c>
      <c r="B3698" s="42">
        <v>1299.92</v>
      </c>
      <c r="C3698" s="43">
        <v>0.13</v>
      </c>
      <c r="D3698" s="45">
        <v>45962</v>
      </c>
      <c r="E3698" s="45">
        <v>45991.999305555553</v>
      </c>
      <c r="F3698" s="42" t="s">
        <v>475</v>
      </c>
    </row>
    <row r="3699" spans="1:6" x14ac:dyDescent="0.35">
      <c r="A3699" s="42" t="s">
        <v>510</v>
      </c>
      <c r="B3699" s="42">
        <v>2679.92</v>
      </c>
      <c r="C3699" s="43">
        <v>0.13</v>
      </c>
      <c r="D3699" s="45">
        <v>45962</v>
      </c>
      <c r="E3699" s="45">
        <v>45991.999305555553</v>
      </c>
      <c r="F3699" s="42" t="s">
        <v>475</v>
      </c>
    </row>
    <row r="3700" spans="1:6" x14ac:dyDescent="0.35">
      <c r="A3700" s="42" t="s">
        <v>578</v>
      </c>
      <c r="B3700" s="42">
        <v>459.92</v>
      </c>
      <c r="C3700" s="43">
        <v>0.13</v>
      </c>
      <c r="D3700" s="45">
        <v>45962</v>
      </c>
      <c r="E3700" s="45">
        <v>45991.999305555553</v>
      </c>
      <c r="F3700" s="42" t="s">
        <v>475</v>
      </c>
    </row>
    <row r="3701" spans="1:6" x14ac:dyDescent="0.35">
      <c r="A3701" s="42" t="s">
        <v>575</v>
      </c>
      <c r="B3701" s="42">
        <v>419.92</v>
      </c>
      <c r="C3701" s="43">
        <v>0.13</v>
      </c>
      <c r="D3701" s="45">
        <v>45962</v>
      </c>
      <c r="E3701" s="45">
        <v>45991.999305555553</v>
      </c>
      <c r="F3701" s="42" t="s">
        <v>475</v>
      </c>
    </row>
    <row r="3702" spans="1:6" x14ac:dyDescent="0.35">
      <c r="A3702" s="42" t="s">
        <v>23</v>
      </c>
      <c r="B3702" s="42">
        <v>459.92</v>
      </c>
      <c r="C3702" s="43">
        <v>0.13</v>
      </c>
      <c r="D3702" s="45">
        <v>45962</v>
      </c>
      <c r="E3702" s="45">
        <v>45991.999305555553</v>
      </c>
      <c r="F3702" s="42" t="s">
        <v>475</v>
      </c>
    </row>
    <row r="3703" spans="1:6" x14ac:dyDescent="0.35">
      <c r="A3703" s="42" t="s">
        <v>527</v>
      </c>
      <c r="B3703" s="42">
        <v>819.92</v>
      </c>
      <c r="C3703" s="43">
        <v>0.13</v>
      </c>
      <c r="D3703" s="45">
        <v>45962</v>
      </c>
      <c r="E3703" s="45">
        <v>45991.999305555553</v>
      </c>
      <c r="F3703" s="42" t="s">
        <v>475</v>
      </c>
    </row>
    <row r="3704" spans="1:6" x14ac:dyDescent="0.35">
      <c r="A3704" s="42" t="s">
        <v>526</v>
      </c>
      <c r="B3704" s="42">
        <v>819.92</v>
      </c>
      <c r="C3704" s="43">
        <v>0.13</v>
      </c>
      <c r="D3704" s="45">
        <v>45962</v>
      </c>
      <c r="E3704" s="45">
        <v>45991.999305555553</v>
      </c>
      <c r="F3704" s="42" t="s">
        <v>475</v>
      </c>
    </row>
    <row r="3705" spans="1:6" x14ac:dyDescent="0.35">
      <c r="A3705" s="42" t="s">
        <v>90</v>
      </c>
      <c r="B3705" s="42">
        <v>699.92</v>
      </c>
      <c r="C3705" s="43">
        <v>0.13</v>
      </c>
      <c r="D3705" s="45">
        <v>45962</v>
      </c>
      <c r="E3705" s="45">
        <v>45991.999305555553</v>
      </c>
      <c r="F3705" s="42" t="s">
        <v>475</v>
      </c>
    </row>
    <row r="3706" spans="1:6" x14ac:dyDescent="0.35">
      <c r="A3706" s="42" t="s">
        <v>508</v>
      </c>
      <c r="B3706" s="42">
        <v>2479.92</v>
      </c>
      <c r="C3706" s="43">
        <v>0.13</v>
      </c>
      <c r="D3706" s="45">
        <v>45962</v>
      </c>
      <c r="E3706" s="45">
        <v>45991.999305555553</v>
      </c>
      <c r="F3706" s="42" t="s">
        <v>475</v>
      </c>
    </row>
    <row r="3707" spans="1:6" x14ac:dyDescent="0.35">
      <c r="A3707" s="42" t="s">
        <v>533</v>
      </c>
      <c r="B3707" s="42">
        <v>1229.92</v>
      </c>
      <c r="C3707" s="43">
        <v>0.13</v>
      </c>
      <c r="D3707" s="45">
        <v>45962</v>
      </c>
      <c r="E3707" s="45">
        <v>45991.999305555553</v>
      </c>
      <c r="F3707" s="42" t="s">
        <v>475</v>
      </c>
    </row>
    <row r="3708" spans="1:6" x14ac:dyDescent="0.35">
      <c r="A3708" s="42" t="s">
        <v>569</v>
      </c>
      <c r="B3708" s="42">
        <v>249.92</v>
      </c>
      <c r="C3708" s="43">
        <v>0.13</v>
      </c>
      <c r="D3708" s="45">
        <v>45962</v>
      </c>
      <c r="E3708" s="45">
        <v>45991.999305555553</v>
      </c>
      <c r="F3708" s="42" t="s">
        <v>475</v>
      </c>
    </row>
    <row r="3709" spans="1:6" x14ac:dyDescent="0.35">
      <c r="A3709" s="42" t="s">
        <v>60</v>
      </c>
      <c r="B3709" s="42">
        <v>1059.92</v>
      </c>
      <c r="C3709" s="43">
        <v>0.13</v>
      </c>
      <c r="D3709" s="45">
        <v>45962</v>
      </c>
      <c r="E3709" s="45">
        <v>45991.999305555553</v>
      </c>
      <c r="F3709" s="42" t="s">
        <v>475</v>
      </c>
    </row>
    <row r="3710" spans="1:6" x14ac:dyDescent="0.35">
      <c r="A3710" s="42" t="s">
        <v>500</v>
      </c>
      <c r="B3710" s="42">
        <v>949.92</v>
      </c>
      <c r="C3710" s="43">
        <v>0.13</v>
      </c>
      <c r="D3710" s="45">
        <v>45962</v>
      </c>
      <c r="E3710" s="45">
        <v>45991.999305555553</v>
      </c>
      <c r="F3710" s="42" t="s">
        <v>475</v>
      </c>
    </row>
    <row r="3711" spans="1:6" x14ac:dyDescent="0.35">
      <c r="A3711" s="42" t="s">
        <v>595</v>
      </c>
      <c r="B3711" s="42">
        <v>2579.92</v>
      </c>
      <c r="C3711" s="43">
        <v>0.13</v>
      </c>
      <c r="D3711" s="45">
        <v>45962</v>
      </c>
      <c r="E3711" s="45">
        <v>45991.999305555553</v>
      </c>
      <c r="F3711" s="42" t="s">
        <v>475</v>
      </c>
    </row>
    <row r="3712" spans="1:6" x14ac:dyDescent="0.35">
      <c r="A3712" s="42" t="s">
        <v>316</v>
      </c>
      <c r="B3712" s="42">
        <v>1799.92</v>
      </c>
      <c r="C3712" s="43">
        <v>0.13</v>
      </c>
      <c r="D3712" s="45">
        <v>45962</v>
      </c>
      <c r="E3712" s="45">
        <v>45991.999305555553</v>
      </c>
      <c r="F3712" s="42" t="s">
        <v>475</v>
      </c>
    </row>
    <row r="3713" spans="1:6" x14ac:dyDescent="0.35">
      <c r="A3713" s="42" t="s">
        <v>490</v>
      </c>
      <c r="B3713" s="42">
        <v>1799.92</v>
      </c>
      <c r="C3713" s="43">
        <v>0.13</v>
      </c>
      <c r="D3713" s="45">
        <v>45962</v>
      </c>
      <c r="E3713" s="45">
        <v>45991.999305555553</v>
      </c>
      <c r="F3713" s="42" t="s">
        <v>475</v>
      </c>
    </row>
    <row r="3714" spans="1:6" x14ac:dyDescent="0.35">
      <c r="A3714" s="42" t="s">
        <v>590</v>
      </c>
      <c r="B3714" s="42">
        <v>679.92</v>
      </c>
      <c r="C3714" s="43">
        <v>0.13</v>
      </c>
      <c r="D3714" s="45">
        <v>45962</v>
      </c>
      <c r="E3714" s="45">
        <v>45991.999305555553</v>
      </c>
      <c r="F3714" s="42" t="s">
        <v>475</v>
      </c>
    </row>
    <row r="3715" spans="1:6" x14ac:dyDescent="0.35">
      <c r="A3715" s="42" t="s">
        <v>596</v>
      </c>
      <c r="B3715" s="42">
        <v>2869.92</v>
      </c>
      <c r="C3715" s="43">
        <v>0.13</v>
      </c>
      <c r="D3715" s="45">
        <v>45962</v>
      </c>
      <c r="E3715" s="45">
        <v>45991.999305555553</v>
      </c>
      <c r="F3715" s="42" t="s">
        <v>475</v>
      </c>
    </row>
    <row r="3716" spans="1:6" x14ac:dyDescent="0.35">
      <c r="A3716" s="42" t="s">
        <v>486</v>
      </c>
      <c r="B3716" s="42">
        <v>1089.92</v>
      </c>
      <c r="C3716" s="43">
        <v>0.13</v>
      </c>
      <c r="D3716" s="45">
        <v>45962</v>
      </c>
      <c r="E3716" s="45">
        <v>45991.999305555553</v>
      </c>
      <c r="F3716" s="42" t="s">
        <v>475</v>
      </c>
    </row>
    <row r="3717" spans="1:6" x14ac:dyDescent="0.35">
      <c r="A3717" s="42" t="s">
        <v>507</v>
      </c>
      <c r="B3717" s="42">
        <v>1579.92</v>
      </c>
      <c r="C3717" s="43">
        <v>0.13</v>
      </c>
      <c r="D3717" s="45">
        <v>45962</v>
      </c>
      <c r="E3717" s="45">
        <v>45991.999305555553</v>
      </c>
      <c r="F3717" s="42" t="s">
        <v>475</v>
      </c>
    </row>
    <row r="3718" spans="1:6" x14ac:dyDescent="0.35">
      <c r="A3718" s="42" t="s">
        <v>574</v>
      </c>
      <c r="B3718" s="42">
        <v>459.92</v>
      </c>
      <c r="C3718" s="43">
        <v>0.13</v>
      </c>
      <c r="D3718" s="45">
        <v>45962</v>
      </c>
      <c r="E3718" s="45">
        <v>45991.999305555553</v>
      </c>
      <c r="F3718" s="42" t="s">
        <v>475</v>
      </c>
    </row>
    <row r="3719" spans="1:6" x14ac:dyDescent="0.35">
      <c r="A3719" s="42" t="s">
        <v>580</v>
      </c>
      <c r="B3719" s="42">
        <v>479.92</v>
      </c>
      <c r="C3719" s="43">
        <v>0.13</v>
      </c>
      <c r="D3719" s="45">
        <v>45962</v>
      </c>
      <c r="E3719" s="45">
        <v>45991.999305555553</v>
      </c>
      <c r="F3719" s="42" t="s">
        <v>475</v>
      </c>
    </row>
    <row r="3720" spans="1:6" x14ac:dyDescent="0.35">
      <c r="A3720" s="42" t="s">
        <v>8</v>
      </c>
      <c r="B3720" s="42">
        <v>379.92</v>
      </c>
      <c r="C3720" s="43">
        <v>0.13</v>
      </c>
      <c r="D3720" s="45">
        <v>45962</v>
      </c>
      <c r="E3720" s="45">
        <v>45991.999305555553</v>
      </c>
      <c r="F3720" s="42" t="s">
        <v>475</v>
      </c>
    </row>
    <row r="3721" spans="1:6" x14ac:dyDescent="0.35">
      <c r="A3721" s="42" t="s">
        <v>9</v>
      </c>
      <c r="B3721" s="42">
        <v>379.92</v>
      </c>
      <c r="C3721" s="43">
        <v>0.13</v>
      </c>
      <c r="D3721" s="45">
        <v>45962</v>
      </c>
      <c r="E3721" s="45">
        <v>45991.999305555553</v>
      </c>
      <c r="F3721" s="42" t="s">
        <v>475</v>
      </c>
    </row>
    <row r="3722" spans="1:6" x14ac:dyDescent="0.35">
      <c r="A3722" s="42" t="s">
        <v>67</v>
      </c>
      <c r="B3722" s="42">
        <v>379.92</v>
      </c>
      <c r="C3722" s="43">
        <v>0.13</v>
      </c>
      <c r="D3722" s="45">
        <v>45962</v>
      </c>
      <c r="E3722" s="45">
        <v>45991.999305555553</v>
      </c>
      <c r="F3722" s="42" t="s">
        <v>475</v>
      </c>
    </row>
    <row r="3723" spans="1:6" x14ac:dyDescent="0.35">
      <c r="A3723" s="42" t="s">
        <v>564</v>
      </c>
      <c r="B3723" s="42">
        <v>459.92</v>
      </c>
      <c r="C3723" s="43">
        <v>0.13</v>
      </c>
      <c r="D3723" s="45">
        <v>45962</v>
      </c>
      <c r="E3723" s="45">
        <v>45991.999305555553</v>
      </c>
      <c r="F3723" s="42" t="s">
        <v>475</v>
      </c>
    </row>
    <row r="3724" spans="1:6" x14ac:dyDescent="0.35">
      <c r="A3724" s="42" t="s">
        <v>491</v>
      </c>
      <c r="B3724" s="42">
        <v>2219.92</v>
      </c>
      <c r="C3724" s="43">
        <v>0.13</v>
      </c>
      <c r="D3724" s="45">
        <v>45962</v>
      </c>
      <c r="E3724" s="45">
        <v>45991.999305555553</v>
      </c>
      <c r="F3724" s="42" t="s">
        <v>475</v>
      </c>
    </row>
    <row r="3725" spans="1:6" x14ac:dyDescent="0.35">
      <c r="A3725" s="42" t="s">
        <v>33</v>
      </c>
      <c r="B3725" s="42">
        <v>949.92</v>
      </c>
      <c r="C3725" s="43">
        <v>0.13</v>
      </c>
      <c r="D3725" s="45">
        <v>45962</v>
      </c>
      <c r="E3725" s="45">
        <v>45991.999305555553</v>
      </c>
      <c r="F3725" s="42" t="s">
        <v>475</v>
      </c>
    </row>
    <row r="3726" spans="1:6" x14ac:dyDescent="0.35">
      <c r="A3726" s="42" t="s">
        <v>480</v>
      </c>
      <c r="B3726" s="42">
        <v>699.92</v>
      </c>
      <c r="C3726" s="43">
        <v>0.13</v>
      </c>
      <c r="D3726" s="45">
        <v>45962</v>
      </c>
      <c r="E3726" s="45">
        <v>45991.999305555553</v>
      </c>
      <c r="F3726" s="42" t="s">
        <v>475</v>
      </c>
    </row>
    <row r="3727" spans="1:6" x14ac:dyDescent="0.35">
      <c r="A3727" s="42" t="s">
        <v>479</v>
      </c>
      <c r="B3727" s="42">
        <v>699.92</v>
      </c>
      <c r="C3727" s="43">
        <v>0.13</v>
      </c>
      <c r="D3727" s="45">
        <v>45962</v>
      </c>
      <c r="E3727" s="45">
        <v>45991.999305555553</v>
      </c>
      <c r="F3727" s="42" t="s">
        <v>475</v>
      </c>
    </row>
    <row r="3728" spans="1:6" x14ac:dyDescent="0.35">
      <c r="A3728" s="42" t="s">
        <v>623</v>
      </c>
      <c r="B3728" s="42">
        <v>699.92</v>
      </c>
      <c r="C3728" s="43">
        <v>0.13</v>
      </c>
      <c r="D3728" s="45">
        <v>45962</v>
      </c>
      <c r="E3728" s="45">
        <v>45991.999305555553</v>
      </c>
      <c r="F3728" s="42" t="s">
        <v>475</v>
      </c>
    </row>
    <row r="3729" spans="1:6" x14ac:dyDescent="0.35">
      <c r="A3729" s="42" t="s">
        <v>401</v>
      </c>
      <c r="B3729" s="42">
        <v>1439.92</v>
      </c>
      <c r="C3729" s="43">
        <v>0.13</v>
      </c>
      <c r="D3729" s="45">
        <v>45962</v>
      </c>
      <c r="E3729" s="45">
        <v>45991.999305555553</v>
      </c>
      <c r="F3729" s="42" t="s">
        <v>475</v>
      </c>
    </row>
    <row r="3730" spans="1:6" x14ac:dyDescent="0.35">
      <c r="A3730" s="42" t="s">
        <v>50</v>
      </c>
      <c r="B3730" s="42">
        <v>1889.92</v>
      </c>
      <c r="C3730" s="43">
        <v>0.13</v>
      </c>
      <c r="D3730" s="45">
        <v>45962</v>
      </c>
      <c r="E3730" s="45">
        <v>45991.999305555553</v>
      </c>
      <c r="F3730" s="42" t="s">
        <v>475</v>
      </c>
    </row>
    <row r="3731" spans="1:6" x14ac:dyDescent="0.35">
      <c r="A3731" s="42" t="s">
        <v>482</v>
      </c>
      <c r="B3731" s="42">
        <v>899.92</v>
      </c>
      <c r="C3731" s="43">
        <v>0.13</v>
      </c>
      <c r="D3731" s="45">
        <v>45962</v>
      </c>
      <c r="E3731" s="45">
        <v>45991.999305555553</v>
      </c>
      <c r="F3731" s="42" t="s">
        <v>475</v>
      </c>
    </row>
    <row r="3732" spans="1:6" x14ac:dyDescent="0.35">
      <c r="A3732" s="42" t="s">
        <v>459</v>
      </c>
      <c r="B3732" s="42">
        <v>899.92</v>
      </c>
      <c r="C3732" s="43">
        <v>0.13</v>
      </c>
      <c r="D3732" s="45">
        <v>45962</v>
      </c>
      <c r="E3732" s="45">
        <v>45991.999305555553</v>
      </c>
      <c r="F3732" s="42" t="s">
        <v>475</v>
      </c>
    </row>
    <row r="3733" spans="1:6" x14ac:dyDescent="0.35">
      <c r="A3733" s="42" t="s">
        <v>42</v>
      </c>
      <c r="B3733" s="42">
        <v>899.92</v>
      </c>
      <c r="C3733" s="43">
        <v>0.13</v>
      </c>
      <c r="D3733" s="45">
        <v>45962</v>
      </c>
      <c r="E3733" s="45">
        <v>45991.999305555553</v>
      </c>
      <c r="F3733" s="42" t="s">
        <v>475</v>
      </c>
    </row>
    <row r="3734" spans="1:6" x14ac:dyDescent="0.35">
      <c r="A3734" s="42" t="s">
        <v>603</v>
      </c>
      <c r="B3734" s="42">
        <v>899.92</v>
      </c>
      <c r="C3734" s="43">
        <v>0.13</v>
      </c>
      <c r="D3734" s="45">
        <v>45962</v>
      </c>
      <c r="E3734" s="45">
        <v>45991.999305555553</v>
      </c>
      <c r="F3734" s="42" t="s">
        <v>475</v>
      </c>
    </row>
    <row r="3735" spans="1:6" x14ac:dyDescent="0.35">
      <c r="A3735" s="42" t="s">
        <v>604</v>
      </c>
      <c r="B3735" s="42">
        <v>899.92</v>
      </c>
      <c r="C3735" s="43">
        <v>0.13</v>
      </c>
      <c r="D3735" s="45">
        <v>45962</v>
      </c>
      <c r="E3735" s="45">
        <v>45991.999305555553</v>
      </c>
      <c r="F3735" s="42" t="s">
        <v>475</v>
      </c>
    </row>
    <row r="3736" spans="1:6" x14ac:dyDescent="0.35">
      <c r="A3736" s="42" t="s">
        <v>501</v>
      </c>
      <c r="B3736" s="42">
        <v>949.92</v>
      </c>
      <c r="C3736" s="43">
        <v>0.13</v>
      </c>
      <c r="D3736" s="45">
        <v>45962</v>
      </c>
      <c r="E3736" s="45">
        <v>45991.999305555553</v>
      </c>
      <c r="F3736" s="42" t="s">
        <v>475</v>
      </c>
    </row>
    <row r="3737" spans="1:6" x14ac:dyDescent="0.35">
      <c r="A3737" s="42" t="s">
        <v>566</v>
      </c>
      <c r="B3737" s="42">
        <v>179.92</v>
      </c>
      <c r="C3737" s="43">
        <v>0.13</v>
      </c>
      <c r="D3737" s="45">
        <v>45962</v>
      </c>
      <c r="E3737" s="45">
        <v>45991.999305555553</v>
      </c>
      <c r="F3737" s="42" t="s">
        <v>475</v>
      </c>
    </row>
    <row r="3738" spans="1:6" x14ac:dyDescent="0.35">
      <c r="A3738" s="42" t="s">
        <v>607</v>
      </c>
      <c r="B3738" s="42">
        <v>2679.92</v>
      </c>
      <c r="C3738" s="43">
        <v>0.13</v>
      </c>
      <c r="D3738" s="45">
        <v>45962</v>
      </c>
      <c r="E3738" s="45">
        <v>45991.999305555553</v>
      </c>
      <c r="F3738" s="42" t="s">
        <v>475</v>
      </c>
    </row>
    <row r="3739" spans="1:6" x14ac:dyDescent="0.35">
      <c r="A3739" s="42" t="s">
        <v>89</v>
      </c>
      <c r="B3739" s="42">
        <v>899.92</v>
      </c>
      <c r="C3739" s="43">
        <v>0.13</v>
      </c>
      <c r="D3739" s="45">
        <v>45962</v>
      </c>
      <c r="E3739" s="45">
        <v>45991.999305555553</v>
      </c>
      <c r="F3739" s="42" t="s">
        <v>475</v>
      </c>
    </row>
    <row r="3740" spans="1:6" x14ac:dyDescent="0.35">
      <c r="A3740" s="42" t="s">
        <v>400</v>
      </c>
      <c r="B3740" s="42">
        <v>1229.92</v>
      </c>
      <c r="C3740" s="43">
        <v>0.13</v>
      </c>
      <c r="D3740" s="45">
        <v>45962</v>
      </c>
      <c r="E3740" s="45">
        <v>45991.999305555553</v>
      </c>
      <c r="F3740" s="42" t="s">
        <v>475</v>
      </c>
    </row>
    <row r="3741" spans="1:6" x14ac:dyDescent="0.35">
      <c r="A3741" s="42" t="s">
        <v>121</v>
      </c>
      <c r="B3741" s="42">
        <v>1399.92</v>
      </c>
      <c r="C3741" s="43">
        <v>0.13</v>
      </c>
      <c r="D3741" s="45">
        <v>45962</v>
      </c>
      <c r="E3741" s="45">
        <v>45991.999305555553</v>
      </c>
      <c r="F3741" s="42" t="s">
        <v>475</v>
      </c>
    </row>
    <row r="3742" spans="1:6" x14ac:dyDescent="0.35">
      <c r="A3742" s="42" t="s">
        <v>266</v>
      </c>
      <c r="B3742" s="42">
        <v>1499.92</v>
      </c>
      <c r="C3742" s="43">
        <v>0.13</v>
      </c>
      <c r="D3742" s="45">
        <v>45962</v>
      </c>
      <c r="E3742" s="45">
        <v>45991.999305555553</v>
      </c>
      <c r="F3742" s="42" t="s">
        <v>475</v>
      </c>
    </row>
    <row r="3743" spans="1:6" x14ac:dyDescent="0.35">
      <c r="A3743" s="42" t="s">
        <v>105</v>
      </c>
      <c r="B3743" s="42">
        <v>1439.92</v>
      </c>
      <c r="C3743" s="43">
        <v>0.13</v>
      </c>
      <c r="D3743" s="45">
        <v>45962</v>
      </c>
      <c r="E3743" s="45">
        <v>45991.999305555553</v>
      </c>
      <c r="F3743" s="42" t="s">
        <v>475</v>
      </c>
    </row>
    <row r="3744" spans="1:6" x14ac:dyDescent="0.35">
      <c r="A3744" s="42" t="s">
        <v>48</v>
      </c>
      <c r="B3744" s="42">
        <v>1089.92</v>
      </c>
      <c r="C3744" s="43">
        <v>0.13</v>
      </c>
      <c r="D3744" s="45">
        <v>45962</v>
      </c>
      <c r="E3744" s="45">
        <v>45991.999305555553</v>
      </c>
      <c r="F3744" s="42" t="s">
        <v>475</v>
      </c>
    </row>
    <row r="3745" spans="1:6" x14ac:dyDescent="0.35">
      <c r="A3745" s="42" t="s">
        <v>621</v>
      </c>
      <c r="B3745" s="42">
        <v>1779.92</v>
      </c>
      <c r="C3745" s="43">
        <v>0.13</v>
      </c>
      <c r="D3745" s="45">
        <v>45962</v>
      </c>
      <c r="E3745" s="45">
        <v>45991.999305555553</v>
      </c>
      <c r="F3745" s="42" t="s">
        <v>475</v>
      </c>
    </row>
    <row r="3746" spans="1:6" x14ac:dyDescent="0.35">
      <c r="A3746" s="42" t="s">
        <v>645</v>
      </c>
      <c r="B3746" s="42">
        <v>1679.92</v>
      </c>
      <c r="C3746" s="43">
        <v>0.13</v>
      </c>
      <c r="D3746" s="45">
        <v>45962</v>
      </c>
      <c r="E3746" s="45">
        <v>45991.999305555553</v>
      </c>
      <c r="F3746" s="42" t="s">
        <v>475</v>
      </c>
    </row>
    <row r="3747" spans="1:6" x14ac:dyDescent="0.35">
      <c r="A3747" s="42" t="s">
        <v>648</v>
      </c>
      <c r="B3747" s="42">
        <v>2429.92</v>
      </c>
      <c r="C3747" s="43">
        <v>0.13</v>
      </c>
      <c r="D3747" s="45">
        <v>45962</v>
      </c>
      <c r="E3747" s="45">
        <v>45991.999305555553</v>
      </c>
      <c r="F3747" s="42" t="s">
        <v>475</v>
      </c>
    </row>
    <row r="3748" spans="1:6" x14ac:dyDescent="0.35">
      <c r="A3748" s="42" t="s">
        <v>649</v>
      </c>
      <c r="B3748" s="42">
        <v>3399.92</v>
      </c>
      <c r="C3748" s="43">
        <v>0.13</v>
      </c>
      <c r="D3748" s="45">
        <v>45962</v>
      </c>
      <c r="E3748" s="45">
        <v>45991.999305555553</v>
      </c>
      <c r="F3748" s="42" t="s">
        <v>475</v>
      </c>
    </row>
    <row r="3749" spans="1:6" x14ac:dyDescent="0.35">
      <c r="A3749" s="42" t="s">
        <v>652</v>
      </c>
      <c r="B3749" s="42">
        <v>1139.92</v>
      </c>
      <c r="C3749" s="43">
        <v>0.13</v>
      </c>
      <c r="D3749" s="45">
        <v>45962</v>
      </c>
      <c r="E3749" s="45">
        <v>45991.999305555553</v>
      </c>
      <c r="F3749" s="42" t="s">
        <v>475</v>
      </c>
    </row>
    <row r="3750" spans="1:6" x14ac:dyDescent="0.35">
      <c r="A3750" s="42" t="s">
        <v>653</v>
      </c>
      <c r="B3750" s="42">
        <v>2679.92</v>
      </c>
      <c r="C3750" s="43">
        <v>0.13</v>
      </c>
      <c r="D3750" s="45">
        <v>45962</v>
      </c>
      <c r="E3750" s="45">
        <v>45991.999305555553</v>
      </c>
      <c r="F3750" s="42" t="s">
        <v>475</v>
      </c>
    </row>
    <row r="3751" spans="1:6" x14ac:dyDescent="0.35">
      <c r="A3751" s="42" t="s">
        <v>655</v>
      </c>
      <c r="B3751" s="42">
        <v>2479.92</v>
      </c>
      <c r="C3751" s="43">
        <v>0.13</v>
      </c>
      <c r="D3751" s="45">
        <v>45962</v>
      </c>
      <c r="E3751" s="45">
        <v>45991.999305555553</v>
      </c>
      <c r="F3751" s="42" t="s">
        <v>475</v>
      </c>
    </row>
    <row r="3752" spans="1:6" x14ac:dyDescent="0.35">
      <c r="A3752" s="42" t="s">
        <v>656</v>
      </c>
      <c r="B3752" s="42">
        <v>1089.92</v>
      </c>
      <c r="C3752" s="43">
        <v>0.13</v>
      </c>
      <c r="D3752" s="45">
        <v>45962</v>
      </c>
      <c r="E3752" s="45">
        <v>45991.999305555553</v>
      </c>
      <c r="F3752" s="42" t="s">
        <v>475</v>
      </c>
    </row>
    <row r="3753" spans="1:6" x14ac:dyDescent="0.35">
      <c r="A3753" s="42" t="s">
        <v>657</v>
      </c>
      <c r="B3753" s="42">
        <v>679.92</v>
      </c>
      <c r="C3753" s="43">
        <v>0.13</v>
      </c>
      <c r="D3753" s="45">
        <v>45962</v>
      </c>
      <c r="E3753" s="45">
        <v>45991.999305555553</v>
      </c>
      <c r="F3753" s="42" t="s">
        <v>475</v>
      </c>
    </row>
    <row r="3754" spans="1:6" x14ac:dyDescent="0.35">
      <c r="A3754" s="42" t="s">
        <v>658</v>
      </c>
      <c r="B3754" s="42">
        <v>1579.92</v>
      </c>
      <c r="C3754" s="43">
        <v>0.13</v>
      </c>
      <c r="D3754" s="45">
        <v>45962</v>
      </c>
      <c r="E3754" s="45">
        <v>45991.999305555553</v>
      </c>
      <c r="F3754" s="42" t="s">
        <v>475</v>
      </c>
    </row>
    <row r="3755" spans="1:6" x14ac:dyDescent="0.35">
      <c r="A3755" s="42" t="s">
        <v>659</v>
      </c>
      <c r="B3755" s="42">
        <v>1579.92</v>
      </c>
      <c r="C3755" s="43">
        <v>0.13</v>
      </c>
      <c r="D3755" s="45">
        <v>45962</v>
      </c>
      <c r="E3755" s="45">
        <v>45991.999305555553</v>
      </c>
      <c r="F3755" s="42" t="s">
        <v>475</v>
      </c>
    </row>
    <row r="3756" spans="1:6" x14ac:dyDescent="0.35">
      <c r="A3756" s="42" t="s">
        <v>660</v>
      </c>
      <c r="B3756" s="42">
        <v>1229.92</v>
      </c>
      <c r="C3756" s="43">
        <v>0.13</v>
      </c>
      <c r="D3756" s="45">
        <v>45962</v>
      </c>
      <c r="E3756" s="45">
        <v>45991.999305555553</v>
      </c>
      <c r="F3756" s="42" t="s">
        <v>475</v>
      </c>
    </row>
    <row r="3757" spans="1:6" x14ac:dyDescent="0.35">
      <c r="A3757" s="42" t="s">
        <v>464</v>
      </c>
      <c r="B3757" s="42">
        <v>1399.92</v>
      </c>
      <c r="C3757" s="43">
        <v>0.13</v>
      </c>
      <c r="D3757" s="45">
        <v>45962</v>
      </c>
      <c r="E3757" s="45">
        <v>45991.999305555553</v>
      </c>
      <c r="F3757" s="42" t="s">
        <v>475</v>
      </c>
    </row>
    <row r="3758" spans="1:6" x14ac:dyDescent="0.35">
      <c r="A3758" s="42" t="s">
        <v>460</v>
      </c>
      <c r="B3758" s="42">
        <v>1399.92</v>
      </c>
      <c r="C3758" s="43">
        <v>0.13</v>
      </c>
      <c r="D3758" s="45">
        <v>45962</v>
      </c>
      <c r="E3758" s="45">
        <v>45991.999305555553</v>
      </c>
      <c r="F3758" s="42" t="s">
        <v>475</v>
      </c>
    </row>
    <row r="3759" spans="1:6" x14ac:dyDescent="0.35">
      <c r="A3759" s="42" t="s">
        <v>662</v>
      </c>
      <c r="B3759" s="42">
        <v>2029.92</v>
      </c>
      <c r="C3759" s="43">
        <v>0.13</v>
      </c>
      <c r="D3759" s="45">
        <v>45962</v>
      </c>
      <c r="E3759" s="45">
        <v>45991.999305555553</v>
      </c>
      <c r="F3759" s="42" t="s">
        <v>475</v>
      </c>
    </row>
    <row r="3760" spans="1:6" x14ac:dyDescent="0.35">
      <c r="A3760" s="42" t="s">
        <v>663</v>
      </c>
      <c r="B3760" s="42">
        <v>1799.92</v>
      </c>
      <c r="C3760" s="43">
        <v>0.13</v>
      </c>
      <c r="D3760" s="45">
        <v>45962</v>
      </c>
      <c r="E3760" s="45">
        <v>45991.999305555553</v>
      </c>
      <c r="F3760" s="42" t="s">
        <v>475</v>
      </c>
    </row>
    <row r="3761" spans="1:6" x14ac:dyDescent="0.35">
      <c r="A3761" s="42" t="s">
        <v>664</v>
      </c>
      <c r="B3761" s="42">
        <v>3569.92</v>
      </c>
      <c r="C3761" s="43">
        <v>0.13</v>
      </c>
      <c r="D3761" s="45">
        <v>45962</v>
      </c>
      <c r="E3761" s="45">
        <v>45991.999305555553</v>
      </c>
      <c r="F3761" s="42" t="s">
        <v>475</v>
      </c>
    </row>
    <row r="3762" spans="1:6" x14ac:dyDescent="0.35">
      <c r="A3762" s="42" t="s">
        <v>665</v>
      </c>
      <c r="B3762" s="42">
        <v>2529.92</v>
      </c>
      <c r="C3762" s="43">
        <v>0.13</v>
      </c>
      <c r="D3762" s="45">
        <v>45962</v>
      </c>
      <c r="E3762" s="45">
        <v>45991.999305555553</v>
      </c>
      <c r="F3762" s="42" t="s">
        <v>475</v>
      </c>
    </row>
    <row r="3763" spans="1:6" x14ac:dyDescent="0.35">
      <c r="A3763" s="42" t="s">
        <v>666</v>
      </c>
      <c r="B3763" s="42">
        <v>1089.92</v>
      </c>
      <c r="C3763" s="43">
        <v>0.13</v>
      </c>
      <c r="D3763" s="45">
        <v>45962</v>
      </c>
      <c r="E3763" s="45">
        <v>45991.999305555553</v>
      </c>
      <c r="F3763" s="42" t="s">
        <v>475</v>
      </c>
    </row>
    <row r="3764" spans="1:6" x14ac:dyDescent="0.35">
      <c r="A3764" s="42" t="s">
        <v>668</v>
      </c>
      <c r="B3764" s="42">
        <v>2679.92</v>
      </c>
      <c r="C3764" s="43">
        <v>0.13</v>
      </c>
      <c r="D3764" s="45">
        <v>45962</v>
      </c>
      <c r="E3764" s="45">
        <v>45991.999305555553</v>
      </c>
      <c r="F3764" s="42" t="s">
        <v>475</v>
      </c>
    </row>
    <row r="3765" spans="1:6" x14ac:dyDescent="0.35">
      <c r="A3765" s="42" t="s">
        <v>672</v>
      </c>
      <c r="B3765" s="42">
        <v>1299.92</v>
      </c>
      <c r="C3765" s="43">
        <v>0.13</v>
      </c>
      <c r="D3765" s="45">
        <v>45962</v>
      </c>
      <c r="E3765" s="45">
        <v>45991.999305555553</v>
      </c>
      <c r="F3765" s="42" t="s">
        <v>475</v>
      </c>
    </row>
    <row r="3766" spans="1:6" x14ac:dyDescent="0.35">
      <c r="A3766" s="42" t="s">
        <v>673</v>
      </c>
      <c r="B3766" s="42">
        <v>1269.92</v>
      </c>
      <c r="C3766" s="43">
        <v>0.13</v>
      </c>
      <c r="D3766" s="45">
        <v>45962</v>
      </c>
      <c r="E3766" s="45">
        <v>45991.999305555553</v>
      </c>
      <c r="F3766" s="42" t="s">
        <v>475</v>
      </c>
    </row>
    <row r="3767" spans="1:6" x14ac:dyDescent="0.35">
      <c r="A3767" s="42" t="s">
        <v>699</v>
      </c>
      <c r="B3767" s="42">
        <v>1239.92</v>
      </c>
      <c r="C3767" s="43">
        <v>0.13</v>
      </c>
      <c r="D3767" s="45">
        <v>45962</v>
      </c>
      <c r="E3767" s="45">
        <v>45991.999305555553</v>
      </c>
      <c r="F3767" s="42" t="s">
        <v>475</v>
      </c>
    </row>
    <row r="3768" spans="1:6" x14ac:dyDescent="0.35">
      <c r="A3768" s="42" t="s">
        <v>700</v>
      </c>
      <c r="B3768" s="42">
        <v>1239.92</v>
      </c>
      <c r="C3768" s="43">
        <v>0.13</v>
      </c>
      <c r="D3768" s="45">
        <v>45962</v>
      </c>
      <c r="E3768" s="45">
        <v>45991.999305555553</v>
      </c>
      <c r="F3768" s="42" t="s">
        <v>475</v>
      </c>
    </row>
    <row r="3769" spans="1:6" x14ac:dyDescent="0.35">
      <c r="A3769" s="42" t="s">
        <v>701</v>
      </c>
      <c r="B3769" s="42">
        <v>1239.92</v>
      </c>
      <c r="C3769" s="43">
        <v>0.13</v>
      </c>
      <c r="D3769" s="45">
        <v>45962</v>
      </c>
      <c r="E3769" s="45">
        <v>45991.999305555553</v>
      </c>
      <c r="F3769" s="42" t="s">
        <v>475</v>
      </c>
    </row>
    <row r="3770" spans="1:6" x14ac:dyDescent="0.35">
      <c r="A3770" s="42" t="s">
        <v>702</v>
      </c>
      <c r="B3770" s="42">
        <v>1239.92</v>
      </c>
      <c r="C3770" s="43">
        <v>0.13</v>
      </c>
      <c r="D3770" s="45">
        <v>45962</v>
      </c>
      <c r="E3770" s="45">
        <v>45991.999305555553</v>
      </c>
      <c r="F3770" s="42" t="s">
        <v>475</v>
      </c>
    </row>
    <row r="3771" spans="1:6" x14ac:dyDescent="0.35">
      <c r="A3771" s="42" t="s">
        <v>703</v>
      </c>
      <c r="B3771" s="42">
        <v>1239.92</v>
      </c>
      <c r="C3771" s="43">
        <v>0.13</v>
      </c>
      <c r="D3771" s="45">
        <v>45962</v>
      </c>
      <c r="E3771" s="45">
        <v>45991.999305555553</v>
      </c>
      <c r="F3771" s="42" t="s">
        <v>475</v>
      </c>
    </row>
    <row r="3772" spans="1:6" x14ac:dyDescent="0.35">
      <c r="A3772" s="42" t="s">
        <v>704</v>
      </c>
      <c r="B3772" s="42">
        <v>1429.92</v>
      </c>
      <c r="C3772" s="43">
        <v>0.13</v>
      </c>
      <c r="D3772" s="45">
        <v>45962</v>
      </c>
      <c r="E3772" s="45">
        <v>45991.999305555553</v>
      </c>
      <c r="F3772" s="42" t="s">
        <v>475</v>
      </c>
    </row>
    <row r="3773" spans="1:6" x14ac:dyDescent="0.35">
      <c r="A3773" s="42" t="s">
        <v>706</v>
      </c>
      <c r="B3773" s="42">
        <v>1619.92</v>
      </c>
      <c r="C3773" s="43">
        <v>0.13</v>
      </c>
      <c r="D3773" s="45">
        <v>45962</v>
      </c>
      <c r="E3773" s="45">
        <v>45991.999305555553</v>
      </c>
      <c r="F3773" s="42" t="s">
        <v>475</v>
      </c>
    </row>
    <row r="3774" spans="1:6" x14ac:dyDescent="0.35">
      <c r="A3774" s="42" t="s">
        <v>707</v>
      </c>
      <c r="B3774" s="42">
        <v>1619.92</v>
      </c>
      <c r="C3774" s="43">
        <v>0.13</v>
      </c>
      <c r="D3774" s="45">
        <v>45962</v>
      </c>
      <c r="E3774" s="45">
        <v>45991.999305555553</v>
      </c>
      <c r="F3774" s="42" t="s">
        <v>475</v>
      </c>
    </row>
    <row r="3775" spans="1:6" x14ac:dyDescent="0.35">
      <c r="A3775" s="42" t="s">
        <v>708</v>
      </c>
      <c r="B3775" s="42">
        <v>1619.92</v>
      </c>
      <c r="C3775" s="43">
        <v>0.13</v>
      </c>
      <c r="D3775" s="45">
        <v>45962</v>
      </c>
      <c r="E3775" s="45">
        <v>45991.999305555553</v>
      </c>
      <c r="F3775" s="42" t="s">
        <v>475</v>
      </c>
    </row>
    <row r="3776" spans="1:6" x14ac:dyDescent="0.35">
      <c r="A3776" s="42" t="s">
        <v>709</v>
      </c>
      <c r="B3776" s="42">
        <v>1619.92</v>
      </c>
      <c r="C3776" s="43">
        <v>0.13</v>
      </c>
      <c r="D3776" s="45">
        <v>45962</v>
      </c>
      <c r="E3776" s="45">
        <v>45991.999305555553</v>
      </c>
      <c r="F3776" s="42" t="s">
        <v>475</v>
      </c>
    </row>
    <row r="3777" spans="1:6" x14ac:dyDescent="0.35">
      <c r="A3777" s="42" t="s">
        <v>710</v>
      </c>
      <c r="B3777" s="42">
        <v>1619.92</v>
      </c>
      <c r="C3777" s="43">
        <v>0.13</v>
      </c>
      <c r="D3777" s="45">
        <v>45962</v>
      </c>
      <c r="E3777" s="45">
        <v>45991.999305555553</v>
      </c>
      <c r="F3777" s="42" t="s">
        <v>475</v>
      </c>
    </row>
    <row r="3778" spans="1:6" x14ac:dyDescent="0.35">
      <c r="A3778" s="42" t="s">
        <v>711</v>
      </c>
      <c r="B3778" s="42">
        <v>1619.92</v>
      </c>
      <c r="C3778" s="43">
        <v>0.13</v>
      </c>
      <c r="D3778" s="45">
        <v>45962</v>
      </c>
      <c r="E3778" s="45">
        <v>45991.999305555553</v>
      </c>
      <c r="F3778" s="42" t="s">
        <v>475</v>
      </c>
    </row>
    <row r="3779" spans="1:6" x14ac:dyDescent="0.35">
      <c r="A3779" s="42" t="s">
        <v>712</v>
      </c>
      <c r="B3779" s="42">
        <v>1619.92</v>
      </c>
      <c r="C3779" s="43">
        <v>0.13</v>
      </c>
      <c r="D3779" s="45">
        <v>45962</v>
      </c>
      <c r="E3779" s="45">
        <v>45991.999305555553</v>
      </c>
      <c r="F3779" s="42" t="s">
        <v>475</v>
      </c>
    </row>
    <row r="3780" spans="1:6" x14ac:dyDescent="0.35">
      <c r="A3780" s="42" t="s">
        <v>713</v>
      </c>
      <c r="B3780" s="42">
        <v>1619.92</v>
      </c>
      <c r="C3780" s="43">
        <v>0.13</v>
      </c>
      <c r="D3780" s="45">
        <v>45962</v>
      </c>
      <c r="E3780" s="45">
        <v>45991.999305555553</v>
      </c>
      <c r="F3780" s="42" t="s">
        <v>475</v>
      </c>
    </row>
    <row r="3781" spans="1:6" x14ac:dyDescent="0.35">
      <c r="A3781" s="42" t="s">
        <v>714</v>
      </c>
      <c r="B3781" s="42">
        <v>1619.92</v>
      </c>
      <c r="C3781" s="43">
        <v>0.13</v>
      </c>
      <c r="D3781" s="45">
        <v>45962</v>
      </c>
      <c r="E3781" s="45">
        <v>45991.999305555553</v>
      </c>
      <c r="F3781" s="42" t="s">
        <v>475</v>
      </c>
    </row>
    <row r="3782" spans="1:6" x14ac:dyDescent="0.35">
      <c r="A3782" s="42" t="s">
        <v>715</v>
      </c>
      <c r="B3782" s="42">
        <v>1619.92</v>
      </c>
      <c r="C3782" s="43">
        <v>0.13</v>
      </c>
      <c r="D3782" s="45">
        <v>45962</v>
      </c>
      <c r="E3782" s="45">
        <v>45991.999305555553</v>
      </c>
      <c r="F3782" s="42" t="s">
        <v>475</v>
      </c>
    </row>
    <row r="3783" spans="1:6" x14ac:dyDescent="0.35">
      <c r="A3783" s="42" t="s">
        <v>716</v>
      </c>
      <c r="B3783" s="42">
        <v>1619.92</v>
      </c>
      <c r="C3783" s="43">
        <v>0.13</v>
      </c>
      <c r="D3783" s="45">
        <v>45962</v>
      </c>
      <c r="E3783" s="45">
        <v>45991.999305555553</v>
      </c>
      <c r="F3783" s="42" t="s">
        <v>475</v>
      </c>
    </row>
    <row r="3784" spans="1:6" x14ac:dyDescent="0.35">
      <c r="A3784" s="42" t="s">
        <v>717</v>
      </c>
      <c r="B3784" s="42">
        <v>1619.92</v>
      </c>
      <c r="C3784" s="43">
        <v>0.13</v>
      </c>
      <c r="D3784" s="45">
        <v>45962</v>
      </c>
      <c r="E3784" s="45">
        <v>45991.999305555553</v>
      </c>
      <c r="F3784" s="42" t="s">
        <v>475</v>
      </c>
    </row>
    <row r="3785" spans="1:6" x14ac:dyDescent="0.35">
      <c r="A3785" s="42" t="s">
        <v>728</v>
      </c>
      <c r="B3785" s="42">
        <v>1429.92</v>
      </c>
      <c r="C3785" s="43">
        <v>0.13</v>
      </c>
      <c r="D3785" s="45">
        <v>45962</v>
      </c>
      <c r="E3785" s="45">
        <v>45991.999305555553</v>
      </c>
      <c r="F3785" s="42" t="s">
        <v>475</v>
      </c>
    </row>
    <row r="3786" spans="1:6" x14ac:dyDescent="0.35">
      <c r="A3786" s="42" t="s">
        <v>729</v>
      </c>
      <c r="B3786" s="42">
        <v>1439.92</v>
      </c>
      <c r="C3786" s="43">
        <v>0.13</v>
      </c>
      <c r="D3786" s="45">
        <v>45962</v>
      </c>
      <c r="E3786" s="45">
        <v>45991.999305555553</v>
      </c>
      <c r="F3786" s="42" t="s">
        <v>475</v>
      </c>
    </row>
    <row r="3787" spans="1:6" x14ac:dyDescent="0.35">
      <c r="A3787" s="42" t="s">
        <v>730</v>
      </c>
      <c r="B3787" s="42">
        <v>1439.92</v>
      </c>
      <c r="C3787" s="43">
        <v>0.13</v>
      </c>
      <c r="D3787" s="45">
        <v>45962</v>
      </c>
      <c r="E3787" s="45">
        <v>45991.999305555553</v>
      </c>
      <c r="F3787" s="42" t="s">
        <v>475</v>
      </c>
    </row>
    <row r="3788" spans="1:6" x14ac:dyDescent="0.35">
      <c r="A3788" s="42" t="s">
        <v>731</v>
      </c>
      <c r="B3788" s="42">
        <v>1439.92</v>
      </c>
      <c r="C3788" s="43">
        <v>0.13</v>
      </c>
      <c r="D3788" s="45">
        <v>45962</v>
      </c>
      <c r="E3788" s="45">
        <v>45991.999305555553</v>
      </c>
      <c r="F3788" s="42" t="s">
        <v>475</v>
      </c>
    </row>
    <row r="3789" spans="1:6" x14ac:dyDescent="0.35">
      <c r="A3789" s="42" t="s">
        <v>732</v>
      </c>
      <c r="B3789" s="42">
        <v>1439.92</v>
      </c>
      <c r="C3789" s="43">
        <v>0.13</v>
      </c>
      <c r="D3789" s="45">
        <v>45962</v>
      </c>
      <c r="E3789" s="45">
        <v>45991.999305555553</v>
      </c>
      <c r="F3789" s="42" t="s">
        <v>475</v>
      </c>
    </row>
    <row r="3790" spans="1:6" x14ac:dyDescent="0.35">
      <c r="A3790" s="42" t="s">
        <v>733</v>
      </c>
      <c r="B3790" s="42">
        <v>1439.92</v>
      </c>
      <c r="C3790" s="43">
        <v>0.13</v>
      </c>
      <c r="D3790" s="45">
        <v>45962</v>
      </c>
      <c r="E3790" s="45">
        <v>45991.999305555553</v>
      </c>
      <c r="F3790" s="42" t="s">
        <v>475</v>
      </c>
    </row>
    <row r="3791" spans="1:6" x14ac:dyDescent="0.35">
      <c r="A3791" s="42" t="s">
        <v>734</v>
      </c>
      <c r="B3791" s="42">
        <v>1439.92</v>
      </c>
      <c r="C3791" s="43">
        <v>0.13</v>
      </c>
      <c r="D3791" s="45">
        <v>45962</v>
      </c>
      <c r="E3791" s="45">
        <v>45991.999305555553</v>
      </c>
      <c r="F3791" s="42" t="s">
        <v>475</v>
      </c>
    </row>
    <row r="3792" spans="1:6" x14ac:dyDescent="0.35">
      <c r="A3792" s="42" t="s">
        <v>735</v>
      </c>
      <c r="B3792" s="42">
        <v>2429.92</v>
      </c>
      <c r="C3792" s="43">
        <v>0.13</v>
      </c>
      <c r="D3792" s="45">
        <v>45962</v>
      </c>
      <c r="E3792" s="45">
        <v>45991.999305555553</v>
      </c>
      <c r="F3792" s="42" t="s">
        <v>475</v>
      </c>
    </row>
    <row r="3793" spans="1:6" x14ac:dyDescent="0.35">
      <c r="A3793" s="42" t="s">
        <v>736</v>
      </c>
      <c r="B3793" s="42">
        <v>2429.92</v>
      </c>
      <c r="C3793" s="43">
        <v>0.13</v>
      </c>
      <c r="D3793" s="45">
        <v>45962</v>
      </c>
      <c r="E3793" s="45">
        <v>45991.999305555553</v>
      </c>
      <c r="F3793" s="42" t="s">
        <v>475</v>
      </c>
    </row>
    <row r="3794" spans="1:6" x14ac:dyDescent="0.35">
      <c r="A3794" s="42" t="s">
        <v>737</v>
      </c>
      <c r="B3794" s="42">
        <v>2429.92</v>
      </c>
      <c r="C3794" s="43">
        <v>0.13</v>
      </c>
      <c r="D3794" s="45">
        <v>45962</v>
      </c>
      <c r="E3794" s="45">
        <v>45991.999305555553</v>
      </c>
      <c r="F3794" s="42" t="s">
        <v>475</v>
      </c>
    </row>
    <row r="3795" spans="1:6" x14ac:dyDescent="0.35">
      <c r="A3795" s="42" t="s">
        <v>738</v>
      </c>
      <c r="B3795" s="42">
        <v>2429.92</v>
      </c>
      <c r="C3795" s="43">
        <v>0.13</v>
      </c>
      <c r="D3795" s="45">
        <v>45962</v>
      </c>
      <c r="E3795" s="45">
        <v>45991.999305555553</v>
      </c>
      <c r="F3795" s="42" t="s">
        <v>475</v>
      </c>
    </row>
    <row r="3796" spans="1:6" x14ac:dyDescent="0.35">
      <c r="A3796" s="42" t="s">
        <v>739</v>
      </c>
      <c r="B3796" s="42">
        <v>2429.92</v>
      </c>
      <c r="C3796" s="43">
        <v>0.13</v>
      </c>
      <c r="D3796" s="45">
        <v>45962</v>
      </c>
      <c r="E3796" s="45">
        <v>45991.999305555553</v>
      </c>
      <c r="F3796" s="42" t="s">
        <v>475</v>
      </c>
    </row>
    <row r="3797" spans="1:6" x14ac:dyDescent="0.35">
      <c r="A3797" s="42" t="s">
        <v>740</v>
      </c>
      <c r="B3797" s="42">
        <v>2429.92</v>
      </c>
      <c r="C3797" s="43">
        <v>0.13</v>
      </c>
      <c r="D3797" s="45">
        <v>45962</v>
      </c>
      <c r="E3797" s="45">
        <v>45991.999305555553</v>
      </c>
      <c r="F3797" s="42" t="s">
        <v>475</v>
      </c>
    </row>
    <row r="3798" spans="1:6" x14ac:dyDescent="0.35">
      <c r="A3798" s="42" t="s">
        <v>741</v>
      </c>
      <c r="B3798" s="42">
        <v>2429.92</v>
      </c>
      <c r="C3798" s="43">
        <v>0.13</v>
      </c>
      <c r="D3798" s="45">
        <v>45962</v>
      </c>
      <c r="E3798" s="45">
        <v>45991.999305555553</v>
      </c>
      <c r="F3798" s="42" t="s">
        <v>475</v>
      </c>
    </row>
    <row r="3799" spans="1:6" x14ac:dyDescent="0.35">
      <c r="A3799" s="42" t="s">
        <v>742</v>
      </c>
      <c r="B3799" s="42">
        <v>2429.92</v>
      </c>
      <c r="C3799" s="43">
        <v>0.13</v>
      </c>
      <c r="D3799" s="45">
        <v>45962</v>
      </c>
      <c r="E3799" s="45">
        <v>45991.999305555553</v>
      </c>
      <c r="F3799" s="42" t="s">
        <v>475</v>
      </c>
    </row>
    <row r="3800" spans="1:6" x14ac:dyDescent="0.35">
      <c r="A3800" s="42" t="s">
        <v>743</v>
      </c>
      <c r="B3800" s="42">
        <v>819.92</v>
      </c>
      <c r="C3800" s="43">
        <v>0.13</v>
      </c>
      <c r="D3800" s="45">
        <v>45962</v>
      </c>
      <c r="E3800" s="45">
        <v>45991.999305555553</v>
      </c>
      <c r="F3800" s="42" t="s">
        <v>475</v>
      </c>
    </row>
    <row r="3801" spans="1:6" x14ac:dyDescent="0.35">
      <c r="A3801" s="42" t="s">
        <v>744</v>
      </c>
      <c r="B3801" s="42">
        <v>799.92</v>
      </c>
      <c r="C3801" s="43">
        <v>0.13</v>
      </c>
      <c r="D3801" s="45">
        <v>45962</v>
      </c>
      <c r="E3801" s="45">
        <v>45991.999305555553</v>
      </c>
      <c r="F3801" s="42" t="s">
        <v>475</v>
      </c>
    </row>
    <row r="3802" spans="1:6" x14ac:dyDescent="0.35">
      <c r="A3802" s="42" t="s">
        <v>749</v>
      </c>
      <c r="B3802" s="42">
        <v>1129.92</v>
      </c>
      <c r="C3802" s="43">
        <v>0.13</v>
      </c>
      <c r="D3802" s="45">
        <v>45962</v>
      </c>
      <c r="E3802" s="45">
        <v>45991.999305555553</v>
      </c>
      <c r="F3802" s="42" t="s">
        <v>475</v>
      </c>
    </row>
    <row r="3803" spans="1:6" x14ac:dyDescent="0.35">
      <c r="A3803" s="42" t="s">
        <v>751</v>
      </c>
      <c r="B3803" s="42">
        <v>1579.92</v>
      </c>
      <c r="C3803" s="43">
        <v>0.13</v>
      </c>
      <c r="D3803" s="45">
        <v>45962</v>
      </c>
      <c r="E3803" s="45">
        <v>45991.999305555553</v>
      </c>
      <c r="F3803" s="42" t="s">
        <v>475</v>
      </c>
    </row>
    <row r="3804" spans="1:6" x14ac:dyDescent="0.35">
      <c r="A3804" s="42" t="s">
        <v>752</v>
      </c>
      <c r="B3804" s="42">
        <v>1579.92</v>
      </c>
      <c r="C3804" s="43">
        <v>0.13</v>
      </c>
      <c r="D3804" s="45">
        <v>45962</v>
      </c>
      <c r="E3804" s="45">
        <v>45991.999305555553</v>
      </c>
      <c r="F3804" s="42" t="s">
        <v>475</v>
      </c>
    </row>
    <row r="3805" spans="1:6" x14ac:dyDescent="0.35">
      <c r="A3805" s="42" t="s">
        <v>753</v>
      </c>
      <c r="B3805" s="42">
        <v>1579.92</v>
      </c>
      <c r="C3805" s="43">
        <v>0.13</v>
      </c>
      <c r="D3805" s="45">
        <v>45962</v>
      </c>
      <c r="E3805" s="45">
        <v>45991.999305555553</v>
      </c>
      <c r="F3805" s="42" t="s">
        <v>475</v>
      </c>
    </row>
    <row r="3806" spans="1:6" x14ac:dyDescent="0.35">
      <c r="A3806" s="42" t="s">
        <v>754</v>
      </c>
      <c r="B3806" s="42">
        <v>1579.92</v>
      </c>
      <c r="C3806" s="43">
        <v>0.13</v>
      </c>
      <c r="D3806" s="45">
        <v>45962</v>
      </c>
      <c r="E3806" s="45">
        <v>45991.999305555553</v>
      </c>
      <c r="F3806" s="42" t="s">
        <v>475</v>
      </c>
    </row>
    <row r="3807" spans="1:6" x14ac:dyDescent="0.35">
      <c r="A3807" s="42" t="s">
        <v>755</v>
      </c>
      <c r="B3807" s="42">
        <v>1579.92</v>
      </c>
      <c r="C3807" s="43">
        <v>0.13</v>
      </c>
      <c r="D3807" s="45">
        <v>45962</v>
      </c>
      <c r="E3807" s="45">
        <v>45991.999305555553</v>
      </c>
      <c r="F3807" s="42" t="s">
        <v>475</v>
      </c>
    </row>
    <row r="3808" spans="1:6" x14ac:dyDescent="0.35">
      <c r="A3808" s="42" t="s">
        <v>756</v>
      </c>
      <c r="B3808" s="42">
        <v>1579.92</v>
      </c>
      <c r="C3808" s="43">
        <v>0.13</v>
      </c>
      <c r="D3808" s="45">
        <v>45962</v>
      </c>
      <c r="E3808" s="45">
        <v>45991.999305555553</v>
      </c>
      <c r="F3808" s="42" t="s">
        <v>475</v>
      </c>
    </row>
    <row r="3809" spans="1:6" x14ac:dyDescent="0.35">
      <c r="A3809" s="42" t="s">
        <v>757</v>
      </c>
      <c r="B3809" s="42">
        <v>1889.92</v>
      </c>
      <c r="C3809" s="43">
        <v>0.13</v>
      </c>
      <c r="D3809" s="45">
        <v>45962</v>
      </c>
      <c r="E3809" s="45">
        <v>45991.999305555553</v>
      </c>
      <c r="F3809" s="42" t="s">
        <v>475</v>
      </c>
    </row>
    <row r="3810" spans="1:6" x14ac:dyDescent="0.35">
      <c r="A3810" s="42" t="s">
        <v>758</v>
      </c>
      <c r="B3810" s="42">
        <v>1889.92</v>
      </c>
      <c r="C3810" s="43">
        <v>0.13</v>
      </c>
      <c r="D3810" s="45">
        <v>45962</v>
      </c>
      <c r="E3810" s="45">
        <v>45991.999305555553</v>
      </c>
      <c r="F3810" s="42" t="s">
        <v>475</v>
      </c>
    </row>
    <row r="3811" spans="1:6" x14ac:dyDescent="0.35">
      <c r="A3811" s="42" t="s">
        <v>759</v>
      </c>
      <c r="B3811" s="42">
        <v>1889.92</v>
      </c>
      <c r="C3811" s="43">
        <v>0.13</v>
      </c>
      <c r="D3811" s="45">
        <v>45962</v>
      </c>
      <c r="E3811" s="45">
        <v>45991.999305555553</v>
      </c>
      <c r="F3811" s="42" t="s">
        <v>475</v>
      </c>
    </row>
    <row r="3812" spans="1:6" x14ac:dyDescent="0.35">
      <c r="A3812" s="42" t="s">
        <v>760</v>
      </c>
      <c r="B3812" s="42">
        <v>1889.92</v>
      </c>
      <c r="C3812" s="43">
        <v>0.13</v>
      </c>
      <c r="D3812" s="45">
        <v>45962</v>
      </c>
      <c r="E3812" s="45">
        <v>45991.999305555553</v>
      </c>
      <c r="F3812" s="42" t="s">
        <v>475</v>
      </c>
    </row>
    <row r="3813" spans="1:6" x14ac:dyDescent="0.35">
      <c r="A3813" s="42" t="s">
        <v>761</v>
      </c>
      <c r="B3813" s="42">
        <v>1889.92</v>
      </c>
      <c r="C3813" s="43">
        <v>0.13</v>
      </c>
      <c r="D3813" s="45">
        <v>45962</v>
      </c>
      <c r="E3813" s="45">
        <v>45991.999305555553</v>
      </c>
      <c r="F3813" s="42" t="s">
        <v>475</v>
      </c>
    </row>
    <row r="3814" spans="1:6" x14ac:dyDescent="0.35">
      <c r="A3814" s="42" t="s">
        <v>762</v>
      </c>
      <c r="B3814" s="42">
        <v>1889.92</v>
      </c>
      <c r="C3814" s="43">
        <v>0.13</v>
      </c>
      <c r="D3814" s="45">
        <v>45962</v>
      </c>
      <c r="E3814" s="45">
        <v>45991.999305555553</v>
      </c>
      <c r="F3814" s="42" t="s">
        <v>475</v>
      </c>
    </row>
    <row r="3815" spans="1:6" x14ac:dyDescent="0.35">
      <c r="A3815" s="42" t="s">
        <v>763</v>
      </c>
      <c r="B3815" s="42">
        <v>1889.92</v>
      </c>
      <c r="C3815" s="43">
        <v>0.13</v>
      </c>
      <c r="D3815" s="45">
        <v>45962</v>
      </c>
      <c r="E3815" s="45">
        <v>45991.999305555553</v>
      </c>
      <c r="F3815" s="42" t="s">
        <v>475</v>
      </c>
    </row>
    <row r="3816" spans="1:6" x14ac:dyDescent="0.35">
      <c r="A3816" s="42" t="s">
        <v>764</v>
      </c>
      <c r="B3816" s="42">
        <v>1889.92</v>
      </c>
      <c r="C3816" s="43">
        <v>0.13</v>
      </c>
      <c r="D3816" s="45">
        <v>45962</v>
      </c>
      <c r="E3816" s="45">
        <v>45991.999305555553</v>
      </c>
      <c r="F3816" s="42" t="s">
        <v>475</v>
      </c>
    </row>
    <row r="3817" spans="1:6" x14ac:dyDescent="0.35">
      <c r="A3817" s="42" t="s">
        <v>765</v>
      </c>
      <c r="B3817" s="42">
        <v>1889.92</v>
      </c>
      <c r="C3817" s="43">
        <v>0.13</v>
      </c>
      <c r="D3817" s="45">
        <v>45962</v>
      </c>
      <c r="E3817" s="45">
        <v>45991.999305555553</v>
      </c>
      <c r="F3817" s="42" t="s">
        <v>475</v>
      </c>
    </row>
    <row r="3818" spans="1:6" x14ac:dyDescent="0.35">
      <c r="A3818" s="42" t="s">
        <v>766</v>
      </c>
      <c r="B3818" s="42">
        <v>1889.92</v>
      </c>
      <c r="C3818" s="43">
        <v>0.13</v>
      </c>
      <c r="D3818" s="45">
        <v>45962</v>
      </c>
      <c r="E3818" s="45">
        <v>45991.999305555553</v>
      </c>
      <c r="F3818" s="42" t="s">
        <v>475</v>
      </c>
    </row>
    <row r="3819" spans="1:6" x14ac:dyDescent="0.35">
      <c r="A3819" s="42" t="s">
        <v>767</v>
      </c>
      <c r="B3819" s="42">
        <v>1169.92</v>
      </c>
      <c r="C3819" s="43">
        <v>0.13</v>
      </c>
      <c r="D3819" s="45">
        <v>45962</v>
      </c>
      <c r="E3819" s="45">
        <v>45991.999305555553</v>
      </c>
      <c r="F3819" s="42" t="s">
        <v>475</v>
      </c>
    </row>
    <row r="3820" spans="1:6" x14ac:dyDescent="0.35">
      <c r="A3820" s="42" t="s">
        <v>768</v>
      </c>
      <c r="B3820" s="42">
        <v>1169.92</v>
      </c>
      <c r="C3820" s="43">
        <v>0.13</v>
      </c>
      <c r="D3820" s="45">
        <v>45962</v>
      </c>
      <c r="E3820" s="45">
        <v>45991.999305555553</v>
      </c>
      <c r="F3820" s="42" t="s">
        <v>475</v>
      </c>
    </row>
    <row r="3821" spans="1:6" x14ac:dyDescent="0.35">
      <c r="A3821" s="42" t="s">
        <v>769</v>
      </c>
      <c r="B3821" s="42">
        <v>1169.92</v>
      </c>
      <c r="C3821" s="43">
        <v>0.13</v>
      </c>
      <c r="D3821" s="45">
        <v>45962</v>
      </c>
      <c r="E3821" s="45">
        <v>45991.999305555553</v>
      </c>
      <c r="F3821" s="42" t="s">
        <v>475</v>
      </c>
    </row>
    <row r="3822" spans="1:6" x14ac:dyDescent="0.35">
      <c r="A3822" s="42" t="s">
        <v>770</v>
      </c>
      <c r="B3822" s="42">
        <v>1169.92</v>
      </c>
      <c r="C3822" s="43">
        <v>0.13</v>
      </c>
      <c r="D3822" s="45">
        <v>45962</v>
      </c>
      <c r="E3822" s="45">
        <v>45991.999305555553</v>
      </c>
      <c r="F3822" s="42" t="s">
        <v>475</v>
      </c>
    </row>
    <row r="3823" spans="1:6" x14ac:dyDescent="0.35">
      <c r="A3823" s="42" t="s">
        <v>771</v>
      </c>
      <c r="B3823" s="42">
        <v>1169.92</v>
      </c>
      <c r="C3823" s="43">
        <v>0.13</v>
      </c>
      <c r="D3823" s="45">
        <v>45962</v>
      </c>
      <c r="E3823" s="45">
        <v>45991.999305555553</v>
      </c>
      <c r="F3823" s="42" t="s">
        <v>475</v>
      </c>
    </row>
    <row r="3824" spans="1:6" x14ac:dyDescent="0.35">
      <c r="A3824" s="42" t="s">
        <v>772</v>
      </c>
      <c r="B3824" s="42">
        <v>1169.92</v>
      </c>
      <c r="C3824" s="43">
        <v>0.13</v>
      </c>
      <c r="D3824" s="45">
        <v>45962</v>
      </c>
      <c r="E3824" s="45">
        <v>45991.999305555553</v>
      </c>
      <c r="F3824" s="42" t="s">
        <v>475</v>
      </c>
    </row>
    <row r="3825" spans="1:6" x14ac:dyDescent="0.35">
      <c r="A3825" s="42" t="s">
        <v>773</v>
      </c>
      <c r="B3825" s="42">
        <v>1369.92</v>
      </c>
      <c r="C3825" s="43">
        <v>0.13</v>
      </c>
      <c r="D3825" s="45">
        <v>45962</v>
      </c>
      <c r="E3825" s="45">
        <v>45991.999305555553</v>
      </c>
      <c r="F3825" s="42" t="s">
        <v>475</v>
      </c>
    </row>
    <row r="3826" spans="1:6" x14ac:dyDescent="0.35">
      <c r="A3826" s="42" t="s">
        <v>781</v>
      </c>
      <c r="B3826" s="42">
        <v>2039.92</v>
      </c>
      <c r="C3826" s="43">
        <v>0.13</v>
      </c>
      <c r="D3826" s="45">
        <v>45962</v>
      </c>
      <c r="E3826" s="45">
        <v>45991.999305555553</v>
      </c>
      <c r="F3826" s="42" t="s">
        <v>475</v>
      </c>
    </row>
    <row r="3827" spans="1:6" x14ac:dyDescent="0.35">
      <c r="A3827" s="42" t="s">
        <v>788</v>
      </c>
      <c r="B3827" s="42">
        <v>459.92</v>
      </c>
      <c r="C3827" s="43">
        <v>0.13</v>
      </c>
      <c r="D3827" s="45">
        <v>45962</v>
      </c>
      <c r="E3827" s="45">
        <v>45991.999305555553</v>
      </c>
      <c r="F3827" s="42" t="s">
        <v>475</v>
      </c>
    </row>
    <row r="3828" spans="1:6" x14ac:dyDescent="0.35">
      <c r="A3828" s="42" t="s">
        <v>789</v>
      </c>
      <c r="B3828" s="42">
        <v>459.92</v>
      </c>
      <c r="C3828" s="43">
        <v>0.13</v>
      </c>
      <c r="D3828" s="45">
        <v>45962</v>
      </c>
      <c r="E3828" s="45">
        <v>45991.999305555553</v>
      </c>
      <c r="F3828" s="42" t="s">
        <v>475</v>
      </c>
    </row>
    <row r="3829" spans="1:6" x14ac:dyDescent="0.35">
      <c r="A3829" s="42" t="s">
        <v>790</v>
      </c>
      <c r="B3829" s="42">
        <v>459.92</v>
      </c>
      <c r="C3829" s="43">
        <v>0.13</v>
      </c>
      <c r="D3829" s="45">
        <v>45962</v>
      </c>
      <c r="E3829" s="45">
        <v>45991.999305555553</v>
      </c>
      <c r="F3829" s="42" t="s">
        <v>475</v>
      </c>
    </row>
    <row r="3830" spans="1:6" x14ac:dyDescent="0.35">
      <c r="A3830" s="42" t="s">
        <v>791</v>
      </c>
      <c r="B3830" s="42">
        <v>459.92</v>
      </c>
      <c r="C3830" s="43">
        <v>0.13</v>
      </c>
      <c r="D3830" s="45">
        <v>45962</v>
      </c>
      <c r="E3830" s="45">
        <v>45991.999305555553</v>
      </c>
      <c r="F3830" s="42" t="s">
        <v>475</v>
      </c>
    </row>
    <row r="3831" spans="1:6" x14ac:dyDescent="0.35">
      <c r="A3831" s="42" t="s">
        <v>801</v>
      </c>
      <c r="B3831" s="42">
        <v>459.92</v>
      </c>
      <c r="C3831" s="43">
        <v>0.13</v>
      </c>
      <c r="D3831" s="45">
        <v>45962</v>
      </c>
      <c r="E3831" s="45">
        <v>45991.999305555553</v>
      </c>
      <c r="F3831" s="42" t="s">
        <v>475</v>
      </c>
    </row>
    <row r="3832" spans="1:6" x14ac:dyDescent="0.35">
      <c r="A3832" s="42" t="s">
        <v>802</v>
      </c>
      <c r="B3832" s="42">
        <v>1339.92</v>
      </c>
      <c r="C3832" s="43">
        <v>0.13</v>
      </c>
      <c r="D3832" s="45">
        <v>45962</v>
      </c>
      <c r="E3832" s="45">
        <v>45991.999305555553</v>
      </c>
      <c r="F3832" s="42" t="s">
        <v>475</v>
      </c>
    </row>
    <row r="3833" spans="1:6" x14ac:dyDescent="0.35">
      <c r="A3833" s="42" t="s">
        <v>805</v>
      </c>
      <c r="B3833" s="42">
        <v>1269.92</v>
      </c>
      <c r="C3833" s="43">
        <v>0.13</v>
      </c>
      <c r="D3833" s="45">
        <v>45962</v>
      </c>
      <c r="E3833" s="45">
        <v>45991.999305555553</v>
      </c>
      <c r="F3833" s="42" t="s">
        <v>475</v>
      </c>
    </row>
    <row r="3834" spans="1:6" x14ac:dyDescent="0.35">
      <c r="A3834" s="42" t="s">
        <v>808</v>
      </c>
      <c r="B3834" s="42">
        <v>899.92</v>
      </c>
      <c r="C3834" s="43">
        <v>0.13</v>
      </c>
      <c r="D3834" s="45">
        <v>45962</v>
      </c>
      <c r="E3834" s="45">
        <v>45991.999305555553</v>
      </c>
      <c r="F3834" s="42" t="s">
        <v>475</v>
      </c>
    </row>
    <row r="3835" spans="1:6" x14ac:dyDescent="0.35">
      <c r="A3835" s="42" t="s">
        <v>809</v>
      </c>
      <c r="B3835" s="42">
        <v>1329.92</v>
      </c>
      <c r="C3835" s="43">
        <v>0.13</v>
      </c>
      <c r="D3835" s="45">
        <v>45962</v>
      </c>
      <c r="E3835" s="45">
        <v>45991.999305555553</v>
      </c>
      <c r="F3835" s="42" t="s">
        <v>475</v>
      </c>
    </row>
    <row r="3836" spans="1:6" x14ac:dyDescent="0.35">
      <c r="A3836" s="42" t="s">
        <v>810</v>
      </c>
      <c r="B3836" s="42">
        <v>1469.92</v>
      </c>
      <c r="C3836" s="43">
        <v>0.13</v>
      </c>
      <c r="D3836" s="45">
        <v>45962</v>
      </c>
      <c r="E3836" s="45">
        <v>45991.999305555553</v>
      </c>
      <c r="F3836" s="42" t="s">
        <v>475</v>
      </c>
    </row>
    <row r="3837" spans="1:6" x14ac:dyDescent="0.35">
      <c r="A3837" s="42" t="s">
        <v>813</v>
      </c>
      <c r="B3837" s="42">
        <v>1089.92</v>
      </c>
      <c r="C3837" s="43">
        <v>0.13</v>
      </c>
      <c r="D3837" s="45">
        <v>45962</v>
      </c>
      <c r="E3837" s="45">
        <v>45991.999305555553</v>
      </c>
      <c r="F3837" s="42" t="s">
        <v>475</v>
      </c>
    </row>
    <row r="3838" spans="1:6" x14ac:dyDescent="0.35">
      <c r="A3838" s="42" t="s">
        <v>818</v>
      </c>
      <c r="B3838" s="42">
        <v>949.92</v>
      </c>
      <c r="C3838" s="43">
        <v>0.13</v>
      </c>
      <c r="D3838" s="45">
        <v>45962</v>
      </c>
      <c r="E3838" s="45">
        <v>45991.999305555553</v>
      </c>
      <c r="F3838" s="42" t="s">
        <v>475</v>
      </c>
    </row>
    <row r="3839" spans="1:6" x14ac:dyDescent="0.35">
      <c r="A3839" s="42" t="s">
        <v>819</v>
      </c>
      <c r="B3839" s="42">
        <v>949.92</v>
      </c>
      <c r="C3839" s="43">
        <v>0.13</v>
      </c>
      <c r="D3839" s="45">
        <v>45962</v>
      </c>
      <c r="E3839" s="45">
        <v>45991.999305555553</v>
      </c>
      <c r="F3839" s="42" t="s">
        <v>475</v>
      </c>
    </row>
    <row r="3840" spans="1:6" x14ac:dyDescent="0.35">
      <c r="A3840" s="42" t="s">
        <v>820</v>
      </c>
      <c r="B3840" s="42">
        <v>949.92</v>
      </c>
      <c r="C3840" s="43">
        <v>0.13</v>
      </c>
      <c r="D3840" s="45">
        <v>45962</v>
      </c>
      <c r="E3840" s="45">
        <v>45991.999305555553</v>
      </c>
      <c r="F3840" s="42" t="s">
        <v>475</v>
      </c>
    </row>
    <row r="3841" spans="1:6" x14ac:dyDescent="0.35">
      <c r="A3841" s="42" t="s">
        <v>821</v>
      </c>
      <c r="B3841" s="42">
        <v>899.92</v>
      </c>
      <c r="C3841" s="43">
        <v>0.13</v>
      </c>
      <c r="D3841" s="45">
        <v>45962</v>
      </c>
      <c r="E3841" s="45">
        <v>45991.999305555553</v>
      </c>
      <c r="F3841" s="42" t="s">
        <v>475</v>
      </c>
    </row>
    <row r="3842" spans="1:6" x14ac:dyDescent="0.35">
      <c r="A3842" s="42" t="s">
        <v>822</v>
      </c>
      <c r="B3842" s="42">
        <v>899.92</v>
      </c>
      <c r="C3842" s="43">
        <v>0.13</v>
      </c>
      <c r="D3842" s="45">
        <v>45962</v>
      </c>
      <c r="E3842" s="45">
        <v>45991.999305555553</v>
      </c>
      <c r="F3842" s="42" t="s">
        <v>475</v>
      </c>
    </row>
    <row r="3843" spans="1:6" x14ac:dyDescent="0.35">
      <c r="A3843" s="42" t="s">
        <v>823</v>
      </c>
      <c r="B3843" s="42">
        <v>899.92</v>
      </c>
      <c r="C3843" s="43">
        <v>0.13</v>
      </c>
      <c r="D3843" s="45">
        <v>45962</v>
      </c>
      <c r="E3843" s="45">
        <v>45991.999305555553</v>
      </c>
      <c r="F3843" s="42" t="s">
        <v>475</v>
      </c>
    </row>
    <row r="3844" spans="1:6" x14ac:dyDescent="0.35">
      <c r="A3844" s="42" t="s">
        <v>830</v>
      </c>
      <c r="B3844" s="42">
        <v>899.92</v>
      </c>
      <c r="C3844" s="43">
        <v>0.13</v>
      </c>
      <c r="D3844" s="45">
        <v>45962</v>
      </c>
      <c r="E3844" s="45">
        <v>45991.999305555553</v>
      </c>
      <c r="F3844" s="42" t="s">
        <v>475</v>
      </c>
    </row>
    <row r="3845" spans="1:6" x14ac:dyDescent="0.35">
      <c r="A3845" s="42" t="s">
        <v>831</v>
      </c>
      <c r="B3845" s="42">
        <v>899.92</v>
      </c>
      <c r="C3845" s="43">
        <v>0.13</v>
      </c>
      <c r="D3845" s="45">
        <v>45962</v>
      </c>
      <c r="E3845" s="45">
        <v>45991.999305555553</v>
      </c>
      <c r="F3845" s="42" t="s">
        <v>475</v>
      </c>
    </row>
    <row r="3846" spans="1:6" x14ac:dyDescent="0.35">
      <c r="A3846" s="42" t="s">
        <v>832</v>
      </c>
      <c r="B3846" s="42">
        <v>899.92</v>
      </c>
      <c r="C3846" s="43">
        <v>0.13</v>
      </c>
      <c r="D3846" s="45">
        <v>45962</v>
      </c>
      <c r="E3846" s="45">
        <v>45991.999305555553</v>
      </c>
      <c r="F3846" s="42" t="s">
        <v>475</v>
      </c>
    </row>
    <row r="3847" spans="1:6" x14ac:dyDescent="0.35">
      <c r="A3847" s="42" t="s">
        <v>846</v>
      </c>
      <c r="B3847" s="42">
        <v>1229.92</v>
      </c>
      <c r="C3847" s="43">
        <v>0.13</v>
      </c>
      <c r="D3847" s="45">
        <v>45962</v>
      </c>
      <c r="E3847" s="45">
        <v>45991.999305555553</v>
      </c>
      <c r="F3847" s="42" t="s">
        <v>475</v>
      </c>
    </row>
    <row r="3848" spans="1:6" x14ac:dyDescent="0.35">
      <c r="A3848" s="42" t="s">
        <v>847</v>
      </c>
      <c r="B3848" s="42">
        <v>1229.92</v>
      </c>
      <c r="C3848" s="43">
        <v>0.13</v>
      </c>
      <c r="D3848" s="45">
        <v>45962</v>
      </c>
      <c r="E3848" s="45">
        <v>45991.999305555553</v>
      </c>
      <c r="F3848" s="42" t="s">
        <v>475</v>
      </c>
    </row>
    <row r="3849" spans="1:6" x14ac:dyDescent="0.35">
      <c r="A3849" s="42" t="s">
        <v>848</v>
      </c>
      <c r="B3849" s="42">
        <v>1229.92</v>
      </c>
      <c r="C3849" s="43">
        <v>0.13</v>
      </c>
      <c r="D3849" s="45">
        <v>45962</v>
      </c>
      <c r="E3849" s="45">
        <v>45991.999305555553</v>
      </c>
      <c r="F3849" s="42" t="s">
        <v>475</v>
      </c>
    </row>
    <row r="3850" spans="1:6" x14ac:dyDescent="0.35">
      <c r="A3850" s="42" t="s">
        <v>849</v>
      </c>
      <c r="B3850" s="42">
        <v>1229.92</v>
      </c>
      <c r="C3850" s="43">
        <v>0.13</v>
      </c>
      <c r="D3850" s="45">
        <v>45962</v>
      </c>
      <c r="E3850" s="45">
        <v>45991.999305555553</v>
      </c>
      <c r="F3850" s="42" t="s">
        <v>475</v>
      </c>
    </row>
    <row r="3851" spans="1:6" x14ac:dyDescent="0.35">
      <c r="A3851" s="42" t="s">
        <v>850</v>
      </c>
      <c r="B3851" s="42">
        <v>1229.92</v>
      </c>
      <c r="C3851" s="43">
        <v>0.13</v>
      </c>
      <c r="D3851" s="45">
        <v>45962</v>
      </c>
      <c r="E3851" s="45">
        <v>45991.999305555553</v>
      </c>
      <c r="F3851" s="42" t="s">
        <v>475</v>
      </c>
    </row>
    <row r="3852" spans="1:6" x14ac:dyDescent="0.35">
      <c r="A3852" s="42" t="s">
        <v>851</v>
      </c>
      <c r="B3852" s="42">
        <v>1229.92</v>
      </c>
      <c r="C3852" s="43">
        <v>0.13</v>
      </c>
      <c r="D3852" s="45">
        <v>45962</v>
      </c>
      <c r="E3852" s="45">
        <v>45991.999305555553</v>
      </c>
      <c r="F3852" s="42" t="s">
        <v>475</v>
      </c>
    </row>
    <row r="3853" spans="1:6" x14ac:dyDescent="0.35">
      <c r="A3853" s="42" t="s">
        <v>869</v>
      </c>
      <c r="B3853" s="42">
        <v>1799.92</v>
      </c>
      <c r="C3853" s="43">
        <v>0.13</v>
      </c>
      <c r="D3853" s="45">
        <v>45962</v>
      </c>
      <c r="E3853" s="45">
        <v>45991.999305555553</v>
      </c>
      <c r="F3853" s="42" t="s">
        <v>475</v>
      </c>
    </row>
    <row r="3854" spans="1:6" x14ac:dyDescent="0.35">
      <c r="A3854" s="42" t="s">
        <v>870</v>
      </c>
      <c r="B3854" s="42">
        <v>1799.92</v>
      </c>
      <c r="C3854" s="43">
        <v>0.13</v>
      </c>
      <c r="D3854" s="45">
        <v>45962</v>
      </c>
      <c r="E3854" s="45">
        <v>45991.999305555553</v>
      </c>
      <c r="F3854" s="42" t="s">
        <v>475</v>
      </c>
    </row>
    <row r="3855" spans="1:6" x14ac:dyDescent="0.35">
      <c r="A3855" s="42" t="s">
        <v>871</v>
      </c>
      <c r="B3855" s="42">
        <v>1799.92</v>
      </c>
      <c r="C3855" s="43">
        <v>0.13</v>
      </c>
      <c r="D3855" s="45">
        <v>45962</v>
      </c>
      <c r="E3855" s="45">
        <v>45991.999305555553</v>
      </c>
      <c r="F3855" s="42" t="s">
        <v>475</v>
      </c>
    </row>
    <row r="3856" spans="1:6" x14ac:dyDescent="0.35">
      <c r="A3856" s="42" t="s">
        <v>872</v>
      </c>
      <c r="B3856" s="42">
        <v>1799.92</v>
      </c>
      <c r="C3856" s="43">
        <v>0.13</v>
      </c>
      <c r="D3856" s="45">
        <v>45962</v>
      </c>
      <c r="E3856" s="45">
        <v>45991.999305555553</v>
      </c>
      <c r="F3856" s="42" t="s">
        <v>475</v>
      </c>
    </row>
    <row r="3857" spans="1:6" x14ac:dyDescent="0.35">
      <c r="A3857" s="42" t="s">
        <v>873</v>
      </c>
      <c r="B3857" s="42">
        <v>1799.92</v>
      </c>
      <c r="C3857" s="43">
        <v>0.13</v>
      </c>
      <c r="D3857" s="45">
        <v>45962</v>
      </c>
      <c r="E3857" s="45">
        <v>45991.999305555553</v>
      </c>
      <c r="F3857" s="42" t="s">
        <v>475</v>
      </c>
    </row>
    <row r="3858" spans="1:6" x14ac:dyDescent="0.35">
      <c r="A3858" s="42" t="s">
        <v>874</v>
      </c>
      <c r="B3858" s="42">
        <v>1799.92</v>
      </c>
      <c r="C3858" s="43">
        <v>0.13</v>
      </c>
      <c r="D3858" s="45">
        <v>45962</v>
      </c>
      <c r="E3858" s="45">
        <v>45991.999305555553</v>
      </c>
      <c r="F3858" s="42" t="s">
        <v>475</v>
      </c>
    </row>
    <row r="3859" spans="1:6" x14ac:dyDescent="0.35">
      <c r="A3859" s="42" t="s">
        <v>875</v>
      </c>
      <c r="B3859" s="42">
        <v>2249.92</v>
      </c>
      <c r="C3859" s="43">
        <v>0.13</v>
      </c>
      <c r="D3859" s="45">
        <v>45962</v>
      </c>
      <c r="E3859" s="45">
        <v>45991.999305555553</v>
      </c>
      <c r="F3859" s="42" t="s">
        <v>475</v>
      </c>
    </row>
    <row r="3860" spans="1:6" x14ac:dyDescent="0.35">
      <c r="A3860" s="42" t="s">
        <v>876</v>
      </c>
      <c r="B3860" s="42">
        <v>2579.92</v>
      </c>
      <c r="C3860" s="43">
        <v>0.13</v>
      </c>
      <c r="D3860" s="45">
        <v>45962</v>
      </c>
      <c r="E3860" s="45">
        <v>45991.999305555553</v>
      </c>
      <c r="F3860" s="42" t="s">
        <v>475</v>
      </c>
    </row>
    <row r="3861" spans="1:6" x14ac:dyDescent="0.35">
      <c r="A3861" s="42" t="s">
        <v>877</v>
      </c>
      <c r="B3861" s="42">
        <v>2579.92</v>
      </c>
      <c r="C3861" s="43">
        <v>0.13</v>
      </c>
      <c r="D3861" s="45">
        <v>45962</v>
      </c>
      <c r="E3861" s="45">
        <v>45991.999305555553</v>
      </c>
      <c r="F3861" s="42" t="s">
        <v>475</v>
      </c>
    </row>
    <row r="3862" spans="1:6" x14ac:dyDescent="0.35">
      <c r="A3862" s="42" t="s">
        <v>878</v>
      </c>
      <c r="B3862" s="42">
        <v>2579.92</v>
      </c>
      <c r="C3862" s="43">
        <v>0.13</v>
      </c>
      <c r="D3862" s="45">
        <v>45962</v>
      </c>
      <c r="E3862" s="45">
        <v>45991.999305555553</v>
      </c>
      <c r="F3862" s="42" t="s">
        <v>475</v>
      </c>
    </row>
    <row r="3863" spans="1:6" x14ac:dyDescent="0.35">
      <c r="A3863" s="42" t="s">
        <v>879</v>
      </c>
      <c r="B3863" s="42">
        <v>2579.92</v>
      </c>
      <c r="C3863" s="43">
        <v>0.13</v>
      </c>
      <c r="D3863" s="45">
        <v>45962</v>
      </c>
      <c r="E3863" s="45">
        <v>45991.999305555553</v>
      </c>
      <c r="F3863" s="42" t="s">
        <v>475</v>
      </c>
    </row>
    <row r="3864" spans="1:6" x14ac:dyDescent="0.35">
      <c r="A3864" s="42" t="s">
        <v>880</v>
      </c>
      <c r="B3864" s="42">
        <v>2579.92</v>
      </c>
      <c r="C3864" s="43">
        <v>0.13</v>
      </c>
      <c r="D3864" s="45">
        <v>45962</v>
      </c>
      <c r="E3864" s="45">
        <v>45991.999305555553</v>
      </c>
      <c r="F3864" s="42" t="s">
        <v>475</v>
      </c>
    </row>
    <row r="3865" spans="1:6" x14ac:dyDescent="0.35">
      <c r="A3865" s="42" t="s">
        <v>881</v>
      </c>
      <c r="B3865" s="42">
        <v>2579.92</v>
      </c>
      <c r="C3865" s="43">
        <v>0.13</v>
      </c>
      <c r="D3865" s="45">
        <v>45962</v>
      </c>
      <c r="E3865" s="45">
        <v>45991.999305555553</v>
      </c>
      <c r="F3865" s="42" t="s">
        <v>475</v>
      </c>
    </row>
    <row r="3866" spans="1:6" x14ac:dyDescent="0.35">
      <c r="A3866" s="42" t="s">
        <v>567</v>
      </c>
      <c r="B3866" s="42">
        <v>199.92</v>
      </c>
      <c r="C3866" s="43">
        <v>0.15</v>
      </c>
      <c r="D3866" s="45">
        <v>45962</v>
      </c>
      <c r="E3866" s="45">
        <v>45991.999305555553</v>
      </c>
      <c r="F3866" s="42" t="s">
        <v>475</v>
      </c>
    </row>
    <row r="3867" spans="1:6" x14ac:dyDescent="0.35">
      <c r="A3867" s="42" t="s">
        <v>476</v>
      </c>
      <c r="B3867" s="42">
        <v>789.92</v>
      </c>
      <c r="C3867" s="43">
        <v>0.15</v>
      </c>
      <c r="D3867" s="45">
        <v>45962</v>
      </c>
      <c r="E3867" s="45">
        <v>45991.999305555553</v>
      </c>
      <c r="F3867" s="42" t="s">
        <v>475</v>
      </c>
    </row>
    <row r="3868" spans="1:6" x14ac:dyDescent="0.35">
      <c r="A3868" s="42" t="s">
        <v>882</v>
      </c>
      <c r="B3868" s="42">
        <v>789.92</v>
      </c>
      <c r="C3868" s="43">
        <v>0.15</v>
      </c>
      <c r="D3868" s="45">
        <v>45962</v>
      </c>
      <c r="E3868" s="45">
        <v>45991.999305555553</v>
      </c>
      <c r="F3868" s="42" t="s">
        <v>475</v>
      </c>
    </row>
    <row r="3869" spans="1:6" x14ac:dyDescent="0.35">
      <c r="A3869" s="42" t="s">
        <v>883</v>
      </c>
      <c r="B3869" s="42">
        <v>789.92</v>
      </c>
      <c r="C3869" s="43">
        <v>0.15</v>
      </c>
      <c r="D3869" s="45">
        <v>45962</v>
      </c>
      <c r="E3869" s="45">
        <v>45991.999305555553</v>
      </c>
      <c r="F3869" s="42" t="s">
        <v>475</v>
      </c>
    </row>
    <row r="3870" spans="1:6" x14ac:dyDescent="0.35">
      <c r="A3870" s="42" t="s">
        <v>884</v>
      </c>
      <c r="B3870" s="42">
        <v>789.92</v>
      </c>
      <c r="C3870" s="43">
        <v>0.15</v>
      </c>
      <c r="D3870" s="45">
        <v>45962</v>
      </c>
      <c r="E3870" s="45">
        <v>45991.999305555553</v>
      </c>
      <c r="F3870" s="42" t="s">
        <v>475</v>
      </c>
    </row>
    <row r="3871" spans="1:6" x14ac:dyDescent="0.35">
      <c r="A3871" s="42" t="s">
        <v>885</v>
      </c>
      <c r="B3871" s="42">
        <v>789.92</v>
      </c>
      <c r="C3871" s="43">
        <v>0.15</v>
      </c>
      <c r="D3871" s="45">
        <v>45962</v>
      </c>
      <c r="E3871" s="45">
        <v>45991.999305555553</v>
      </c>
      <c r="F3871" s="42" t="s">
        <v>475</v>
      </c>
    </row>
    <row r="3872" spans="1:6" x14ac:dyDescent="0.35">
      <c r="A3872" s="42" t="s">
        <v>499</v>
      </c>
      <c r="B3872" s="42">
        <v>889.92</v>
      </c>
      <c r="C3872" s="43">
        <v>0.15</v>
      </c>
      <c r="D3872" s="45">
        <v>45962</v>
      </c>
      <c r="E3872" s="45">
        <v>45991.999305555553</v>
      </c>
      <c r="F3872" s="42" t="s">
        <v>475</v>
      </c>
    </row>
    <row r="3873" spans="1:6" x14ac:dyDescent="0.35">
      <c r="A3873" s="42" t="s">
        <v>46</v>
      </c>
      <c r="B3873" s="42">
        <v>889.92</v>
      </c>
      <c r="C3873" s="43">
        <v>0.15</v>
      </c>
      <c r="D3873" s="45">
        <v>45962</v>
      </c>
      <c r="E3873" s="45">
        <v>45991.999305555553</v>
      </c>
      <c r="F3873" s="42" t="s">
        <v>475</v>
      </c>
    </row>
    <row r="3874" spans="1:6" x14ac:dyDescent="0.35">
      <c r="A3874" s="42" t="s">
        <v>47</v>
      </c>
      <c r="B3874" s="42">
        <v>889.92</v>
      </c>
      <c r="C3874" s="43">
        <v>0.15</v>
      </c>
      <c r="D3874" s="45">
        <v>45962</v>
      </c>
      <c r="E3874" s="45">
        <v>45991.999305555553</v>
      </c>
      <c r="F3874" s="42" t="s">
        <v>475</v>
      </c>
    </row>
    <row r="3875" spans="1:6" x14ac:dyDescent="0.35">
      <c r="A3875" s="42" t="s">
        <v>523</v>
      </c>
      <c r="B3875" s="42">
        <v>889.92</v>
      </c>
      <c r="C3875" s="43">
        <v>0.15</v>
      </c>
      <c r="D3875" s="45">
        <v>45962</v>
      </c>
      <c r="E3875" s="45">
        <v>45991.999305555553</v>
      </c>
      <c r="F3875" s="42" t="s">
        <v>475</v>
      </c>
    </row>
    <row r="3876" spans="1:6" x14ac:dyDescent="0.35">
      <c r="A3876" s="42" t="s">
        <v>718</v>
      </c>
      <c r="B3876" s="42">
        <v>889.92</v>
      </c>
      <c r="C3876" s="43">
        <v>0.15</v>
      </c>
      <c r="D3876" s="45">
        <v>45962</v>
      </c>
      <c r="E3876" s="45">
        <v>45991.999305555553</v>
      </c>
      <c r="F3876" s="42" t="s">
        <v>475</v>
      </c>
    </row>
    <row r="3877" spans="1:6" x14ac:dyDescent="0.35">
      <c r="A3877" s="42" t="s">
        <v>719</v>
      </c>
      <c r="B3877" s="42">
        <v>889.92</v>
      </c>
      <c r="C3877" s="43">
        <v>0.15</v>
      </c>
      <c r="D3877" s="45">
        <v>45962</v>
      </c>
      <c r="E3877" s="45">
        <v>45991.999305555553</v>
      </c>
      <c r="F3877" s="42" t="s">
        <v>475</v>
      </c>
    </row>
    <row r="3878" spans="1:6" x14ac:dyDescent="0.35">
      <c r="A3878" s="42" t="s">
        <v>720</v>
      </c>
      <c r="B3878" s="42">
        <v>889.92</v>
      </c>
      <c r="C3878" s="43">
        <v>0.15</v>
      </c>
      <c r="D3878" s="45">
        <v>45962</v>
      </c>
      <c r="E3878" s="45">
        <v>45991.999305555553</v>
      </c>
      <c r="F3878" s="42" t="s">
        <v>475</v>
      </c>
    </row>
    <row r="3879" spans="1:6" x14ac:dyDescent="0.35">
      <c r="A3879" s="42" t="s">
        <v>815</v>
      </c>
      <c r="B3879" s="42">
        <v>889.92</v>
      </c>
      <c r="C3879" s="43">
        <v>0.15</v>
      </c>
      <c r="D3879" s="45">
        <v>45962</v>
      </c>
      <c r="E3879" s="45">
        <v>45991.999305555553</v>
      </c>
      <c r="F3879" s="42" t="s">
        <v>475</v>
      </c>
    </row>
    <row r="3880" spans="1:6" x14ac:dyDescent="0.35">
      <c r="A3880" s="42" t="s">
        <v>816</v>
      </c>
      <c r="B3880" s="42">
        <v>889.92</v>
      </c>
      <c r="C3880" s="43">
        <v>0.15</v>
      </c>
      <c r="D3880" s="45">
        <v>45962</v>
      </c>
      <c r="E3880" s="45">
        <v>45991.999305555553</v>
      </c>
      <c r="F3880" s="42" t="s">
        <v>475</v>
      </c>
    </row>
    <row r="3881" spans="1:6" x14ac:dyDescent="0.35">
      <c r="A3881" s="42" t="s">
        <v>817</v>
      </c>
      <c r="B3881" s="42">
        <v>889.92</v>
      </c>
      <c r="C3881" s="43">
        <v>0.15</v>
      </c>
      <c r="D3881" s="45">
        <v>45962</v>
      </c>
      <c r="E3881" s="45">
        <v>45991.999305555553</v>
      </c>
      <c r="F3881" s="42" t="s">
        <v>475</v>
      </c>
    </row>
    <row r="3882" spans="1:6" x14ac:dyDescent="0.35">
      <c r="A3882" s="42" t="s">
        <v>721</v>
      </c>
      <c r="B3882" s="42">
        <v>889.92</v>
      </c>
      <c r="C3882" s="43">
        <v>0.15</v>
      </c>
      <c r="D3882" s="45">
        <v>45962</v>
      </c>
      <c r="E3882" s="45">
        <v>45991.999305555553</v>
      </c>
      <c r="F3882" s="42" t="s">
        <v>475</v>
      </c>
    </row>
    <row r="3883" spans="1:6" x14ac:dyDescent="0.35">
      <c r="A3883" s="42" t="s">
        <v>483</v>
      </c>
      <c r="B3883" s="42">
        <v>989.92</v>
      </c>
      <c r="C3883" s="43">
        <v>0.15</v>
      </c>
      <c r="D3883" s="45">
        <v>45962</v>
      </c>
      <c r="E3883" s="45">
        <v>45991.999305555553</v>
      </c>
      <c r="F3883" s="42" t="s">
        <v>475</v>
      </c>
    </row>
    <row r="3884" spans="1:6" x14ac:dyDescent="0.35">
      <c r="A3884" s="42" t="s">
        <v>745</v>
      </c>
      <c r="B3884" s="42">
        <v>989.92</v>
      </c>
      <c r="C3884" s="43">
        <v>0.15</v>
      </c>
      <c r="D3884" s="45">
        <v>45962</v>
      </c>
      <c r="E3884" s="45">
        <v>45991.999305555553</v>
      </c>
      <c r="F3884" s="42" t="s">
        <v>475</v>
      </c>
    </row>
    <row r="3885" spans="1:6" x14ac:dyDescent="0.35">
      <c r="A3885" s="42" t="s">
        <v>746</v>
      </c>
      <c r="B3885" s="42">
        <v>989.92</v>
      </c>
      <c r="C3885" s="43">
        <v>0.15</v>
      </c>
      <c r="D3885" s="45">
        <v>45962</v>
      </c>
      <c r="E3885" s="45">
        <v>45991.999305555553</v>
      </c>
      <c r="F3885" s="42" t="s">
        <v>475</v>
      </c>
    </row>
    <row r="3886" spans="1:6" x14ac:dyDescent="0.35">
      <c r="A3886" s="42" t="s">
        <v>747</v>
      </c>
      <c r="B3886" s="42">
        <v>989.92</v>
      </c>
      <c r="C3886" s="43">
        <v>0.15</v>
      </c>
      <c r="D3886" s="45">
        <v>45962</v>
      </c>
      <c r="E3886" s="45">
        <v>45991.999305555553</v>
      </c>
      <c r="F3886" s="42" t="s">
        <v>475</v>
      </c>
    </row>
    <row r="3887" spans="1:6" x14ac:dyDescent="0.35">
      <c r="A3887" s="42" t="s">
        <v>748</v>
      </c>
      <c r="B3887" s="42">
        <v>989.92</v>
      </c>
      <c r="C3887" s="43">
        <v>0.15</v>
      </c>
      <c r="D3887" s="45">
        <v>45962</v>
      </c>
      <c r="E3887" s="45">
        <v>45991.999305555553</v>
      </c>
      <c r="F3887" s="42" t="s">
        <v>475</v>
      </c>
    </row>
    <row r="3888" spans="1:6" x14ac:dyDescent="0.35">
      <c r="A3888" s="42" t="s">
        <v>651</v>
      </c>
      <c r="B3888" s="42">
        <v>1569.92</v>
      </c>
      <c r="C3888" s="43">
        <v>0.15</v>
      </c>
      <c r="D3888" s="45">
        <v>45962</v>
      </c>
      <c r="E3888" s="45">
        <v>45991.999305555553</v>
      </c>
      <c r="F3888" s="42" t="s">
        <v>475</v>
      </c>
    </row>
    <row r="3889" spans="1:6" x14ac:dyDescent="0.35">
      <c r="A3889" s="42" t="s">
        <v>774</v>
      </c>
      <c r="B3889" s="42">
        <v>1569.92</v>
      </c>
      <c r="C3889" s="43">
        <v>0.15</v>
      </c>
      <c r="D3889" s="45">
        <v>45962</v>
      </c>
      <c r="E3889" s="45">
        <v>45991.999305555553</v>
      </c>
      <c r="F3889" s="42" t="s">
        <v>475</v>
      </c>
    </row>
    <row r="3890" spans="1:6" x14ac:dyDescent="0.35">
      <c r="A3890" s="42" t="s">
        <v>775</v>
      </c>
      <c r="B3890" s="42">
        <v>1569.92</v>
      </c>
      <c r="C3890" s="43">
        <v>0.15</v>
      </c>
      <c r="D3890" s="45">
        <v>45962</v>
      </c>
      <c r="E3890" s="45">
        <v>45991.999305555553</v>
      </c>
      <c r="F3890" s="42" t="s">
        <v>475</v>
      </c>
    </row>
    <row r="3891" spans="1:6" x14ac:dyDescent="0.35">
      <c r="A3891" s="42" t="s">
        <v>776</v>
      </c>
      <c r="B3891" s="42">
        <v>1569.92</v>
      </c>
      <c r="C3891" s="43">
        <v>0.15</v>
      </c>
      <c r="D3891" s="45">
        <v>45962</v>
      </c>
      <c r="E3891" s="45">
        <v>45991.999305555553</v>
      </c>
      <c r="F3891" s="42" t="s">
        <v>475</v>
      </c>
    </row>
    <row r="3892" spans="1:6" x14ac:dyDescent="0.35">
      <c r="A3892" s="42" t="s">
        <v>777</v>
      </c>
      <c r="B3892" s="42">
        <v>1569.92</v>
      </c>
      <c r="C3892" s="43">
        <v>0.15</v>
      </c>
      <c r="D3892" s="45">
        <v>45962</v>
      </c>
      <c r="E3892" s="45">
        <v>45991.999305555553</v>
      </c>
      <c r="F3892" s="42" t="s">
        <v>475</v>
      </c>
    </row>
    <row r="3893" spans="1:6" x14ac:dyDescent="0.35">
      <c r="A3893" s="42" t="s">
        <v>778</v>
      </c>
      <c r="B3893" s="42">
        <v>1569.92</v>
      </c>
      <c r="C3893" s="43">
        <v>0.15</v>
      </c>
      <c r="D3893" s="45">
        <v>45962</v>
      </c>
      <c r="E3893" s="45">
        <v>45991.999305555553</v>
      </c>
      <c r="F3893" s="42" t="s">
        <v>475</v>
      </c>
    </row>
    <row r="3894" spans="1:6" x14ac:dyDescent="0.35">
      <c r="A3894" s="42" t="s">
        <v>779</v>
      </c>
      <c r="B3894" s="42">
        <v>1569.92</v>
      </c>
      <c r="C3894" s="43">
        <v>0.15</v>
      </c>
      <c r="D3894" s="45">
        <v>45962</v>
      </c>
      <c r="E3894" s="45">
        <v>45991.999305555553</v>
      </c>
      <c r="F3894" s="42" t="s">
        <v>475</v>
      </c>
    </row>
    <row r="3895" spans="1:6" x14ac:dyDescent="0.35">
      <c r="A3895" s="42" t="s">
        <v>511</v>
      </c>
      <c r="B3895" s="42">
        <v>3829.92</v>
      </c>
      <c r="C3895" s="43">
        <v>0.15</v>
      </c>
      <c r="D3895" s="45">
        <v>45962</v>
      </c>
      <c r="E3895" s="45">
        <v>45991.999305555553</v>
      </c>
      <c r="F3895" s="42" t="s">
        <v>475</v>
      </c>
    </row>
    <row r="3896" spans="1:6" x14ac:dyDescent="0.35">
      <c r="A3896" s="42" t="s">
        <v>571</v>
      </c>
      <c r="B3896" s="42">
        <v>319.92</v>
      </c>
      <c r="C3896" s="43">
        <v>0.15</v>
      </c>
      <c r="D3896" s="45">
        <v>45962</v>
      </c>
      <c r="E3896" s="45">
        <v>45991.999305555553</v>
      </c>
      <c r="F3896" s="42" t="s">
        <v>475</v>
      </c>
    </row>
    <row r="3897" spans="1:6" x14ac:dyDescent="0.35">
      <c r="A3897" s="42" t="s">
        <v>581</v>
      </c>
      <c r="B3897" s="42">
        <v>519.92000000000007</v>
      </c>
      <c r="C3897" s="43">
        <v>0.15</v>
      </c>
      <c r="D3897" s="45">
        <v>45962</v>
      </c>
      <c r="E3897" s="45">
        <v>45991.999305555553</v>
      </c>
      <c r="F3897" s="42" t="s">
        <v>475</v>
      </c>
    </row>
    <row r="3898" spans="1:6" x14ac:dyDescent="0.35">
      <c r="A3898" s="42" t="s">
        <v>579</v>
      </c>
      <c r="B3898" s="42">
        <v>519.92000000000007</v>
      </c>
      <c r="C3898" s="43">
        <v>0.15</v>
      </c>
      <c r="D3898" s="45">
        <v>45962</v>
      </c>
      <c r="E3898" s="45">
        <v>45991.999305555553</v>
      </c>
      <c r="F3898" s="42" t="s">
        <v>475</v>
      </c>
    </row>
    <row r="3899" spans="1:6" x14ac:dyDescent="0.35">
      <c r="A3899" s="42" t="s">
        <v>646</v>
      </c>
      <c r="B3899" s="42">
        <v>519.92000000000007</v>
      </c>
      <c r="C3899" s="43">
        <v>0.15</v>
      </c>
      <c r="D3899" s="45">
        <v>45962</v>
      </c>
      <c r="E3899" s="45">
        <v>45991.999305555553</v>
      </c>
      <c r="F3899" s="42" t="s">
        <v>475</v>
      </c>
    </row>
    <row r="3900" spans="1:6" x14ac:dyDescent="0.35">
      <c r="A3900" s="42" t="s">
        <v>496</v>
      </c>
      <c r="B3900" s="42">
        <v>619.91999999999996</v>
      </c>
      <c r="C3900" s="43">
        <v>0.15</v>
      </c>
      <c r="D3900" s="45">
        <v>45962</v>
      </c>
      <c r="E3900" s="45">
        <v>45991.999305555553</v>
      </c>
      <c r="F3900" s="42" t="s">
        <v>475</v>
      </c>
    </row>
    <row r="3901" spans="1:6" x14ac:dyDescent="0.35">
      <c r="A3901" s="42" t="s">
        <v>585</v>
      </c>
      <c r="B3901" s="42">
        <v>619.91999999999996</v>
      </c>
      <c r="C3901" s="43">
        <v>0.15</v>
      </c>
      <c r="D3901" s="45">
        <v>45962</v>
      </c>
      <c r="E3901" s="45">
        <v>45991.999305555553</v>
      </c>
      <c r="F3901" s="42" t="s">
        <v>475</v>
      </c>
    </row>
    <row r="3902" spans="1:6" x14ac:dyDescent="0.35">
      <c r="A3902" s="42" t="s">
        <v>586</v>
      </c>
      <c r="B3902" s="42">
        <v>619.91999999999996</v>
      </c>
      <c r="C3902" s="43">
        <v>0.15</v>
      </c>
      <c r="D3902" s="45">
        <v>45962</v>
      </c>
      <c r="E3902" s="45">
        <v>45991.999305555553</v>
      </c>
      <c r="F3902" s="42" t="s">
        <v>475</v>
      </c>
    </row>
    <row r="3903" spans="1:6" x14ac:dyDescent="0.35">
      <c r="A3903" s="42" t="s">
        <v>282</v>
      </c>
      <c r="B3903" s="42">
        <v>619.91999999999996</v>
      </c>
      <c r="C3903" s="43">
        <v>0.15</v>
      </c>
      <c r="D3903" s="45">
        <v>45962</v>
      </c>
      <c r="E3903" s="45">
        <v>45991.999305555553</v>
      </c>
      <c r="F3903" s="42" t="s">
        <v>475</v>
      </c>
    </row>
    <row r="3904" spans="1:6" x14ac:dyDescent="0.35">
      <c r="A3904" s="42" t="s">
        <v>591</v>
      </c>
      <c r="B3904" s="42">
        <v>819.92</v>
      </c>
      <c r="C3904" s="43">
        <v>0.15</v>
      </c>
      <c r="D3904" s="45">
        <v>45962</v>
      </c>
      <c r="E3904" s="45">
        <v>45991.999305555553</v>
      </c>
      <c r="F3904" s="42" t="s">
        <v>475</v>
      </c>
    </row>
    <row r="3905" spans="1:6" x14ac:dyDescent="0.35">
      <c r="A3905" s="42" t="s">
        <v>102</v>
      </c>
      <c r="B3905" s="42">
        <v>1019.92</v>
      </c>
      <c r="C3905" s="43">
        <v>0.15</v>
      </c>
      <c r="D3905" s="45">
        <v>45962</v>
      </c>
      <c r="E3905" s="45">
        <v>45991.999305555553</v>
      </c>
      <c r="F3905" s="42" t="s">
        <v>475</v>
      </c>
    </row>
    <row r="3906" spans="1:6" x14ac:dyDescent="0.35">
      <c r="A3906" s="42" t="s">
        <v>484</v>
      </c>
      <c r="B3906" s="42">
        <v>1019.92</v>
      </c>
      <c r="C3906" s="43">
        <v>0.15</v>
      </c>
      <c r="D3906" s="45">
        <v>45962</v>
      </c>
      <c r="E3906" s="45">
        <v>45991.999305555553</v>
      </c>
      <c r="F3906" s="42" t="s">
        <v>475</v>
      </c>
    </row>
    <row r="3907" spans="1:6" x14ac:dyDescent="0.35">
      <c r="A3907" s="42" t="s">
        <v>618</v>
      </c>
      <c r="B3907" s="42">
        <v>1019.92</v>
      </c>
      <c r="C3907" s="43">
        <v>0.15</v>
      </c>
      <c r="D3907" s="45">
        <v>45962</v>
      </c>
      <c r="E3907" s="45">
        <v>45991.999305555553</v>
      </c>
      <c r="F3907" s="42" t="s">
        <v>475</v>
      </c>
    </row>
    <row r="3908" spans="1:6" x14ac:dyDescent="0.35">
      <c r="A3908" s="42" t="s">
        <v>452</v>
      </c>
      <c r="B3908" s="42">
        <v>1519.92</v>
      </c>
      <c r="C3908" s="43">
        <v>0.15</v>
      </c>
      <c r="D3908" s="45">
        <v>45962</v>
      </c>
      <c r="E3908" s="45">
        <v>45991.999305555553</v>
      </c>
      <c r="F3908" s="42" t="s">
        <v>475</v>
      </c>
    </row>
    <row r="3909" spans="1:6" x14ac:dyDescent="0.35">
      <c r="A3909" s="42" t="s">
        <v>37</v>
      </c>
      <c r="B3909" s="42">
        <v>1519.92</v>
      </c>
      <c r="C3909" s="43">
        <v>0.15</v>
      </c>
      <c r="D3909" s="45">
        <v>45962</v>
      </c>
      <c r="E3909" s="45">
        <v>45991.999305555553</v>
      </c>
      <c r="F3909" s="42" t="s">
        <v>475</v>
      </c>
    </row>
    <row r="3910" spans="1:6" x14ac:dyDescent="0.35">
      <c r="A3910" s="42" t="s">
        <v>489</v>
      </c>
      <c r="B3910" s="42">
        <v>1519.92</v>
      </c>
      <c r="C3910" s="43">
        <v>0.15</v>
      </c>
      <c r="D3910" s="45">
        <v>45962</v>
      </c>
      <c r="E3910" s="45">
        <v>45991.999305555553</v>
      </c>
      <c r="F3910" s="42" t="s">
        <v>475</v>
      </c>
    </row>
    <row r="3911" spans="1:6" x14ac:dyDescent="0.35">
      <c r="A3911" s="42" t="s">
        <v>49</v>
      </c>
      <c r="B3911" s="42">
        <v>1719.92</v>
      </c>
      <c r="C3911" s="43">
        <v>0.15</v>
      </c>
      <c r="D3911" s="45">
        <v>45962</v>
      </c>
      <c r="E3911" s="45">
        <v>45991.999305555553</v>
      </c>
      <c r="F3911" s="42" t="s">
        <v>475</v>
      </c>
    </row>
    <row r="3912" spans="1:6" x14ac:dyDescent="0.35">
      <c r="A3912" s="42" t="s">
        <v>281</v>
      </c>
      <c r="B3912" s="42">
        <v>1719.92</v>
      </c>
      <c r="C3912" s="43">
        <v>0.15</v>
      </c>
      <c r="D3912" s="45">
        <v>45962</v>
      </c>
      <c r="E3912" s="45">
        <v>45991.999305555553</v>
      </c>
      <c r="F3912" s="42" t="s">
        <v>475</v>
      </c>
    </row>
    <row r="3913" spans="1:6" x14ac:dyDescent="0.35">
      <c r="A3913" s="42" t="s">
        <v>647</v>
      </c>
      <c r="B3913" s="42">
        <v>1719.92</v>
      </c>
      <c r="C3913" s="43">
        <v>0.15</v>
      </c>
      <c r="D3913" s="45">
        <v>45962</v>
      </c>
      <c r="E3913" s="45">
        <v>45991.999305555553</v>
      </c>
      <c r="F3913" s="42" t="s">
        <v>475</v>
      </c>
    </row>
    <row r="3914" spans="1:6" x14ac:dyDescent="0.35">
      <c r="A3914" s="42" t="s">
        <v>661</v>
      </c>
      <c r="B3914" s="42">
        <v>2619.92</v>
      </c>
      <c r="C3914" s="43">
        <v>0.15</v>
      </c>
      <c r="D3914" s="45">
        <v>45962</v>
      </c>
      <c r="E3914" s="45">
        <v>45991.999305555553</v>
      </c>
      <c r="F3914" s="42" t="s">
        <v>475</v>
      </c>
    </row>
    <row r="3915" spans="1:6" x14ac:dyDescent="0.35">
      <c r="A3915" s="42" t="s">
        <v>405</v>
      </c>
      <c r="B3915" s="42">
        <v>2619.92</v>
      </c>
      <c r="C3915" s="43">
        <v>0.15</v>
      </c>
      <c r="D3915" s="45">
        <v>45962</v>
      </c>
      <c r="E3915" s="45">
        <v>45991.999305555553</v>
      </c>
      <c r="F3915" s="42" t="s">
        <v>475</v>
      </c>
    </row>
    <row r="3916" spans="1:6" x14ac:dyDescent="0.35">
      <c r="A3916" s="42" t="s">
        <v>573</v>
      </c>
      <c r="B3916" s="42">
        <v>329.92</v>
      </c>
      <c r="C3916" s="43">
        <v>0.15</v>
      </c>
      <c r="D3916" s="45">
        <v>45962</v>
      </c>
      <c r="E3916" s="45">
        <v>45991.999305555553</v>
      </c>
      <c r="F3916" s="42" t="s">
        <v>475</v>
      </c>
    </row>
    <row r="3917" spans="1:6" x14ac:dyDescent="0.35">
      <c r="A3917" s="42" t="s">
        <v>572</v>
      </c>
      <c r="B3917" s="42">
        <v>329.92</v>
      </c>
      <c r="C3917" s="43">
        <v>0.15</v>
      </c>
      <c r="D3917" s="45">
        <v>45962</v>
      </c>
      <c r="E3917" s="45">
        <v>45991.999305555553</v>
      </c>
      <c r="F3917" s="42" t="s">
        <v>475</v>
      </c>
    </row>
    <row r="3918" spans="1:6" x14ac:dyDescent="0.35">
      <c r="A3918" s="42" t="s">
        <v>546</v>
      </c>
      <c r="B3918" s="42">
        <v>329.92</v>
      </c>
      <c r="C3918" s="43">
        <v>0.15</v>
      </c>
      <c r="D3918" s="45">
        <v>45962</v>
      </c>
      <c r="E3918" s="45">
        <v>45991.999305555553</v>
      </c>
      <c r="F3918" s="42" t="s">
        <v>475</v>
      </c>
    </row>
    <row r="3919" spans="1:6" x14ac:dyDescent="0.35">
      <c r="A3919" s="42" t="s">
        <v>617</v>
      </c>
      <c r="B3919" s="42">
        <v>329.92</v>
      </c>
      <c r="C3919" s="43">
        <v>0.15</v>
      </c>
      <c r="D3919" s="45">
        <v>45962</v>
      </c>
      <c r="E3919" s="45">
        <v>45991.999305555553</v>
      </c>
      <c r="F3919" s="42" t="s">
        <v>475</v>
      </c>
    </row>
    <row r="3920" spans="1:6" x14ac:dyDescent="0.35">
      <c r="A3920" s="42" t="s">
        <v>14</v>
      </c>
      <c r="B3920" s="42">
        <v>429.92</v>
      </c>
      <c r="C3920" s="43">
        <v>0.15</v>
      </c>
      <c r="D3920" s="45">
        <v>45962</v>
      </c>
      <c r="E3920" s="45">
        <v>45991.999305555553</v>
      </c>
      <c r="F3920" s="42" t="s">
        <v>475</v>
      </c>
    </row>
    <row r="3921" spans="1:6" x14ac:dyDescent="0.35">
      <c r="A3921" s="42" t="s">
        <v>12</v>
      </c>
      <c r="B3921" s="42">
        <v>429.92</v>
      </c>
      <c r="C3921" s="43">
        <v>0.15</v>
      </c>
      <c r="D3921" s="45">
        <v>45962</v>
      </c>
      <c r="E3921" s="45">
        <v>45991.999305555553</v>
      </c>
      <c r="F3921" s="42" t="s">
        <v>475</v>
      </c>
    </row>
    <row r="3922" spans="1:6" x14ac:dyDescent="0.35">
      <c r="A3922" s="42" t="s">
        <v>577</v>
      </c>
      <c r="B3922" s="42">
        <v>429.92</v>
      </c>
      <c r="C3922" s="43">
        <v>0.15</v>
      </c>
      <c r="D3922" s="45">
        <v>45962</v>
      </c>
      <c r="E3922" s="45">
        <v>45991.999305555553</v>
      </c>
      <c r="F3922" s="42" t="s">
        <v>475</v>
      </c>
    </row>
    <row r="3923" spans="1:6" x14ac:dyDescent="0.35">
      <c r="A3923" s="42" t="s">
        <v>601</v>
      </c>
      <c r="B3923" s="42">
        <v>539.91999999999996</v>
      </c>
      <c r="C3923" s="43">
        <v>0.15</v>
      </c>
      <c r="D3923" s="45">
        <v>45962</v>
      </c>
      <c r="E3923" s="45">
        <v>45991.999305555553</v>
      </c>
      <c r="F3923" s="42" t="s">
        <v>475</v>
      </c>
    </row>
    <row r="3924" spans="1:6" x14ac:dyDescent="0.35">
      <c r="A3924" s="42" t="s">
        <v>614</v>
      </c>
      <c r="B3924" s="42">
        <v>539.91999999999996</v>
      </c>
      <c r="C3924" s="43">
        <v>0.15</v>
      </c>
      <c r="D3924" s="45">
        <v>45962</v>
      </c>
      <c r="E3924" s="45">
        <v>45991.999305555553</v>
      </c>
      <c r="F3924" s="42" t="s">
        <v>475</v>
      </c>
    </row>
    <row r="3925" spans="1:6" x14ac:dyDescent="0.35">
      <c r="A3925" s="42" t="s">
        <v>524</v>
      </c>
      <c r="B3925" s="42">
        <v>639.91999999999996</v>
      </c>
      <c r="C3925" s="43">
        <v>0.15</v>
      </c>
      <c r="D3925" s="45">
        <v>45962</v>
      </c>
      <c r="E3925" s="45">
        <v>45991.999305555553</v>
      </c>
      <c r="F3925" s="42" t="s">
        <v>475</v>
      </c>
    </row>
    <row r="3926" spans="1:6" x14ac:dyDescent="0.35">
      <c r="A3926" s="42" t="s">
        <v>525</v>
      </c>
      <c r="B3926" s="42">
        <v>639.91999999999996</v>
      </c>
      <c r="C3926" s="43">
        <v>0.15</v>
      </c>
      <c r="D3926" s="45">
        <v>45962</v>
      </c>
      <c r="E3926" s="45">
        <v>45991.999305555553</v>
      </c>
      <c r="F3926" s="42" t="s">
        <v>475</v>
      </c>
    </row>
    <row r="3927" spans="1:6" x14ac:dyDescent="0.35">
      <c r="A3927" s="42" t="s">
        <v>544</v>
      </c>
      <c r="B3927" s="42">
        <v>639.91999999999996</v>
      </c>
      <c r="C3927" s="43">
        <v>0.15</v>
      </c>
      <c r="D3927" s="45">
        <v>45962</v>
      </c>
      <c r="E3927" s="45">
        <v>45991.999305555553</v>
      </c>
      <c r="F3927" s="42" t="s">
        <v>475</v>
      </c>
    </row>
    <row r="3928" spans="1:6" x14ac:dyDescent="0.35">
      <c r="A3928" s="42" t="s">
        <v>279</v>
      </c>
      <c r="B3928" s="42">
        <v>639.91999999999996</v>
      </c>
      <c r="C3928" s="43">
        <v>0.15</v>
      </c>
      <c r="D3928" s="45">
        <v>45962</v>
      </c>
      <c r="E3928" s="45">
        <v>45991.999305555553</v>
      </c>
      <c r="F3928" s="42" t="s">
        <v>475</v>
      </c>
    </row>
    <row r="3929" spans="1:6" x14ac:dyDescent="0.35">
      <c r="A3929" s="42" t="s">
        <v>25</v>
      </c>
      <c r="B3929" s="42">
        <v>639.91999999999996</v>
      </c>
      <c r="C3929" s="43">
        <v>0.15</v>
      </c>
      <c r="D3929" s="45">
        <v>45962</v>
      </c>
      <c r="E3929" s="45">
        <v>45991.999305555553</v>
      </c>
      <c r="F3929" s="42" t="s">
        <v>475</v>
      </c>
    </row>
    <row r="3930" spans="1:6" x14ac:dyDescent="0.35">
      <c r="A3930" s="42" t="s">
        <v>179</v>
      </c>
      <c r="B3930" s="42">
        <v>639.91999999999996</v>
      </c>
      <c r="C3930" s="43">
        <v>0.15</v>
      </c>
      <c r="D3930" s="45">
        <v>45962</v>
      </c>
      <c r="E3930" s="45">
        <v>45991.999305555553</v>
      </c>
      <c r="F3930" s="42" t="s">
        <v>475</v>
      </c>
    </row>
    <row r="3931" spans="1:6" x14ac:dyDescent="0.35">
      <c r="A3931" s="42" t="s">
        <v>616</v>
      </c>
      <c r="B3931" s="42">
        <v>639.91999999999996</v>
      </c>
      <c r="C3931" s="43">
        <v>0.15</v>
      </c>
      <c r="D3931" s="45">
        <v>45962</v>
      </c>
      <c r="E3931" s="45">
        <v>45991.999305555553</v>
      </c>
      <c r="F3931" s="42" t="s">
        <v>475</v>
      </c>
    </row>
    <row r="3932" spans="1:6" x14ac:dyDescent="0.35">
      <c r="A3932" s="42" t="s">
        <v>654</v>
      </c>
      <c r="B3932" s="42">
        <v>639.91999999999996</v>
      </c>
      <c r="C3932" s="43">
        <v>0.15</v>
      </c>
      <c r="D3932" s="45">
        <v>45962</v>
      </c>
      <c r="E3932" s="45">
        <v>45991.999305555553</v>
      </c>
      <c r="F3932" s="42" t="s">
        <v>475</v>
      </c>
    </row>
    <row r="3933" spans="1:6" x14ac:dyDescent="0.35">
      <c r="A3933" s="42" t="s">
        <v>886</v>
      </c>
      <c r="B3933" s="42">
        <v>639.91999999999996</v>
      </c>
      <c r="C3933" s="43">
        <v>0.15</v>
      </c>
      <c r="D3933" s="45">
        <v>45962</v>
      </c>
      <c r="E3933" s="45">
        <v>45991.999305555553</v>
      </c>
      <c r="F3933" s="42" t="s">
        <v>475</v>
      </c>
    </row>
    <row r="3934" spans="1:6" x14ac:dyDescent="0.35">
      <c r="A3934" s="42" t="s">
        <v>887</v>
      </c>
      <c r="B3934" s="42">
        <v>639.91999999999996</v>
      </c>
      <c r="C3934" s="43">
        <v>0.15</v>
      </c>
      <c r="D3934" s="45">
        <v>45962</v>
      </c>
      <c r="E3934" s="45">
        <v>45991.999305555553</v>
      </c>
      <c r="F3934" s="42" t="s">
        <v>475</v>
      </c>
    </row>
    <row r="3935" spans="1:6" x14ac:dyDescent="0.35">
      <c r="A3935" s="42" t="s">
        <v>888</v>
      </c>
      <c r="B3935" s="42">
        <v>639.91999999999996</v>
      </c>
      <c r="C3935" s="43">
        <v>0.15</v>
      </c>
      <c r="D3935" s="45">
        <v>45962</v>
      </c>
      <c r="E3935" s="45">
        <v>45991.999305555553</v>
      </c>
      <c r="F3935" s="42" t="s">
        <v>475</v>
      </c>
    </row>
    <row r="3936" spans="1:6" x14ac:dyDescent="0.35">
      <c r="A3936" s="42" t="s">
        <v>889</v>
      </c>
      <c r="B3936" s="42">
        <v>639.91999999999996</v>
      </c>
      <c r="C3936" s="43">
        <v>0.15</v>
      </c>
      <c r="D3936" s="45">
        <v>45962</v>
      </c>
      <c r="E3936" s="45">
        <v>45991.999305555553</v>
      </c>
      <c r="F3936" s="42" t="s">
        <v>475</v>
      </c>
    </row>
    <row r="3937" spans="1:6" x14ac:dyDescent="0.35">
      <c r="A3937" s="42" t="s">
        <v>498</v>
      </c>
      <c r="B3937" s="42">
        <v>739.92</v>
      </c>
      <c r="C3937" s="43">
        <v>0.15</v>
      </c>
      <c r="D3937" s="45">
        <v>45962</v>
      </c>
      <c r="E3937" s="45">
        <v>45991.999305555553</v>
      </c>
      <c r="F3937" s="42" t="s">
        <v>475</v>
      </c>
    </row>
    <row r="3938" spans="1:6" x14ac:dyDescent="0.35">
      <c r="A3938" s="42" t="s">
        <v>497</v>
      </c>
      <c r="B3938" s="42">
        <v>739.92</v>
      </c>
      <c r="C3938" s="43">
        <v>0.15</v>
      </c>
      <c r="D3938" s="45">
        <v>45962</v>
      </c>
      <c r="E3938" s="45">
        <v>45991.999305555553</v>
      </c>
      <c r="F3938" s="42" t="s">
        <v>475</v>
      </c>
    </row>
    <row r="3939" spans="1:6" x14ac:dyDescent="0.35">
      <c r="A3939" s="42" t="s">
        <v>27</v>
      </c>
      <c r="B3939" s="42">
        <v>739.92</v>
      </c>
      <c r="C3939" s="43">
        <v>0.15</v>
      </c>
      <c r="D3939" s="45">
        <v>45962</v>
      </c>
      <c r="E3939" s="45">
        <v>45991.999305555553</v>
      </c>
      <c r="F3939" s="42" t="s">
        <v>475</v>
      </c>
    </row>
    <row r="3940" spans="1:6" x14ac:dyDescent="0.35">
      <c r="A3940" s="42" t="s">
        <v>73</v>
      </c>
      <c r="B3940" s="42">
        <v>739.92</v>
      </c>
      <c r="C3940" s="43">
        <v>0.15</v>
      </c>
      <c r="D3940" s="45">
        <v>45962</v>
      </c>
      <c r="E3940" s="45">
        <v>45991.999305555553</v>
      </c>
      <c r="F3940" s="42" t="s">
        <v>475</v>
      </c>
    </row>
    <row r="3941" spans="1:6" x14ac:dyDescent="0.35">
      <c r="A3941" s="42" t="s">
        <v>128</v>
      </c>
      <c r="B3941" s="42">
        <v>739.92</v>
      </c>
      <c r="C3941" s="43">
        <v>0.15</v>
      </c>
      <c r="D3941" s="45">
        <v>45962</v>
      </c>
      <c r="E3941" s="45">
        <v>45991.999305555553</v>
      </c>
      <c r="F3941" s="42" t="s">
        <v>475</v>
      </c>
    </row>
    <row r="3942" spans="1:6" x14ac:dyDescent="0.35">
      <c r="A3942" s="42" t="s">
        <v>122</v>
      </c>
      <c r="B3942" s="42">
        <v>739.92</v>
      </c>
      <c r="C3942" s="43">
        <v>0.15</v>
      </c>
      <c r="D3942" s="45">
        <v>45962</v>
      </c>
      <c r="E3942" s="45">
        <v>45991.999305555553</v>
      </c>
      <c r="F3942" s="42" t="s">
        <v>475</v>
      </c>
    </row>
    <row r="3943" spans="1:6" x14ac:dyDescent="0.35">
      <c r="A3943" s="42" t="s">
        <v>399</v>
      </c>
      <c r="B3943" s="42">
        <v>739.92</v>
      </c>
      <c r="C3943" s="43">
        <v>0.15</v>
      </c>
      <c r="D3943" s="45">
        <v>45962</v>
      </c>
      <c r="E3943" s="45">
        <v>45991.999305555553</v>
      </c>
      <c r="F3943" s="42" t="s">
        <v>475</v>
      </c>
    </row>
    <row r="3944" spans="1:6" x14ac:dyDescent="0.35">
      <c r="A3944" s="42" t="s">
        <v>792</v>
      </c>
      <c r="B3944" s="42">
        <v>739.92</v>
      </c>
      <c r="C3944" s="43">
        <v>0.15</v>
      </c>
      <c r="D3944" s="45">
        <v>45962</v>
      </c>
      <c r="E3944" s="45">
        <v>45991.999305555553</v>
      </c>
      <c r="F3944" s="42" t="s">
        <v>475</v>
      </c>
    </row>
    <row r="3945" spans="1:6" x14ac:dyDescent="0.35">
      <c r="A3945" s="42" t="s">
        <v>793</v>
      </c>
      <c r="B3945" s="42">
        <v>739.92</v>
      </c>
      <c r="C3945" s="43">
        <v>0.15</v>
      </c>
      <c r="D3945" s="45">
        <v>45962</v>
      </c>
      <c r="E3945" s="45">
        <v>45991.999305555553</v>
      </c>
      <c r="F3945" s="42" t="s">
        <v>475</v>
      </c>
    </row>
    <row r="3946" spans="1:6" x14ac:dyDescent="0.35">
      <c r="A3946" s="42" t="s">
        <v>794</v>
      </c>
      <c r="B3946" s="42">
        <v>739.92</v>
      </c>
      <c r="C3946" s="43">
        <v>0.15</v>
      </c>
      <c r="D3946" s="45">
        <v>45962</v>
      </c>
      <c r="E3946" s="45">
        <v>45991.999305555553</v>
      </c>
      <c r="F3946" s="42" t="s">
        <v>475</v>
      </c>
    </row>
    <row r="3947" spans="1:6" x14ac:dyDescent="0.35">
      <c r="A3947" s="42" t="s">
        <v>795</v>
      </c>
      <c r="B3947" s="42">
        <v>739.92</v>
      </c>
      <c r="C3947" s="43">
        <v>0.15</v>
      </c>
      <c r="D3947" s="45">
        <v>45962</v>
      </c>
      <c r="E3947" s="45">
        <v>45991.999305555553</v>
      </c>
      <c r="F3947" s="42" t="s">
        <v>475</v>
      </c>
    </row>
    <row r="3948" spans="1:6" x14ac:dyDescent="0.35">
      <c r="A3948" s="42" t="s">
        <v>796</v>
      </c>
      <c r="B3948" s="42">
        <v>739.92</v>
      </c>
      <c r="C3948" s="43">
        <v>0.15</v>
      </c>
      <c r="D3948" s="45">
        <v>45962</v>
      </c>
      <c r="E3948" s="45">
        <v>45991.999305555553</v>
      </c>
      <c r="F3948" s="42" t="s">
        <v>475</v>
      </c>
    </row>
    <row r="3949" spans="1:6" x14ac:dyDescent="0.35">
      <c r="A3949" s="42" t="s">
        <v>797</v>
      </c>
      <c r="B3949" s="42">
        <v>739.92</v>
      </c>
      <c r="C3949" s="43">
        <v>0.15</v>
      </c>
      <c r="D3949" s="45">
        <v>45962</v>
      </c>
      <c r="E3949" s="45">
        <v>45991.999305555553</v>
      </c>
      <c r="F3949" s="42" t="s">
        <v>475</v>
      </c>
    </row>
    <row r="3950" spans="1:6" x14ac:dyDescent="0.35">
      <c r="A3950" s="42" t="s">
        <v>798</v>
      </c>
      <c r="B3950" s="42">
        <v>739.92</v>
      </c>
      <c r="C3950" s="43">
        <v>0.15</v>
      </c>
      <c r="D3950" s="45">
        <v>45962</v>
      </c>
      <c r="E3950" s="45">
        <v>45991.999305555553</v>
      </c>
      <c r="F3950" s="42" t="s">
        <v>475</v>
      </c>
    </row>
    <row r="3951" spans="1:6" x14ac:dyDescent="0.35">
      <c r="A3951" s="42" t="s">
        <v>799</v>
      </c>
      <c r="B3951" s="42">
        <v>739.92</v>
      </c>
      <c r="C3951" s="43">
        <v>0.15</v>
      </c>
      <c r="D3951" s="45">
        <v>45962</v>
      </c>
      <c r="E3951" s="45">
        <v>45991.999305555553</v>
      </c>
      <c r="F3951" s="42" t="s">
        <v>475</v>
      </c>
    </row>
    <row r="3952" spans="1:6" x14ac:dyDescent="0.35">
      <c r="A3952" s="42" t="s">
        <v>800</v>
      </c>
      <c r="B3952" s="42">
        <v>739.92</v>
      </c>
      <c r="C3952" s="43">
        <v>0.15</v>
      </c>
      <c r="D3952" s="45">
        <v>45962</v>
      </c>
      <c r="E3952" s="45">
        <v>45991.999305555553</v>
      </c>
      <c r="F3952" s="42" t="s">
        <v>475</v>
      </c>
    </row>
    <row r="3953" spans="1:6" x14ac:dyDescent="0.35">
      <c r="A3953" s="42" t="s">
        <v>863</v>
      </c>
      <c r="B3953" s="42">
        <v>739.92</v>
      </c>
      <c r="C3953" s="43">
        <v>0.15</v>
      </c>
      <c r="D3953" s="45">
        <v>45962</v>
      </c>
      <c r="E3953" s="45">
        <v>45991.999305555553</v>
      </c>
      <c r="F3953" s="42" t="s">
        <v>475</v>
      </c>
    </row>
    <row r="3954" spans="1:6" x14ac:dyDescent="0.35">
      <c r="A3954" s="42" t="s">
        <v>864</v>
      </c>
      <c r="B3954" s="42">
        <v>739.92</v>
      </c>
      <c r="C3954" s="43">
        <v>0.15</v>
      </c>
      <c r="D3954" s="45">
        <v>45962</v>
      </c>
      <c r="E3954" s="45">
        <v>45991.999305555553</v>
      </c>
      <c r="F3954" s="42" t="s">
        <v>475</v>
      </c>
    </row>
    <row r="3955" spans="1:6" x14ac:dyDescent="0.35">
      <c r="A3955" s="42" t="s">
        <v>865</v>
      </c>
      <c r="B3955" s="42">
        <v>739.92</v>
      </c>
      <c r="C3955" s="43">
        <v>0.15</v>
      </c>
      <c r="D3955" s="45">
        <v>45962</v>
      </c>
      <c r="E3955" s="45">
        <v>45991.999305555553</v>
      </c>
      <c r="F3955" s="42" t="s">
        <v>475</v>
      </c>
    </row>
    <row r="3956" spans="1:6" x14ac:dyDescent="0.35">
      <c r="A3956" s="42" t="s">
        <v>866</v>
      </c>
      <c r="B3956" s="42">
        <v>739.92</v>
      </c>
      <c r="C3956" s="43">
        <v>0.15</v>
      </c>
      <c r="D3956" s="45">
        <v>45962</v>
      </c>
      <c r="E3956" s="45">
        <v>45991.999305555553</v>
      </c>
      <c r="F3956" s="42" t="s">
        <v>475</v>
      </c>
    </row>
    <row r="3957" spans="1:6" x14ac:dyDescent="0.35">
      <c r="A3957" s="42" t="s">
        <v>867</v>
      </c>
      <c r="B3957" s="42">
        <v>739.92</v>
      </c>
      <c r="C3957" s="43">
        <v>0.15</v>
      </c>
      <c r="D3957" s="45">
        <v>45962</v>
      </c>
      <c r="E3957" s="45">
        <v>45991.999305555553</v>
      </c>
      <c r="F3957" s="42" t="s">
        <v>475</v>
      </c>
    </row>
    <row r="3958" spans="1:6" x14ac:dyDescent="0.35">
      <c r="A3958" s="42" t="s">
        <v>868</v>
      </c>
      <c r="B3958" s="42">
        <v>739.92</v>
      </c>
      <c r="C3958" s="43">
        <v>0.15</v>
      </c>
      <c r="D3958" s="45">
        <v>45962</v>
      </c>
      <c r="E3958" s="45">
        <v>45991.999305555553</v>
      </c>
      <c r="F3958" s="42" t="s">
        <v>475</v>
      </c>
    </row>
    <row r="3959" spans="1:6" x14ac:dyDescent="0.35">
      <c r="A3959" s="42" t="s">
        <v>522</v>
      </c>
      <c r="B3959" s="42">
        <v>839.92</v>
      </c>
      <c r="C3959" s="43">
        <v>0.15</v>
      </c>
      <c r="D3959" s="45">
        <v>45962</v>
      </c>
      <c r="E3959" s="45">
        <v>45991.999305555553</v>
      </c>
      <c r="F3959" s="42" t="s">
        <v>475</v>
      </c>
    </row>
    <row r="3960" spans="1:6" x14ac:dyDescent="0.35">
      <c r="A3960" s="42" t="s">
        <v>481</v>
      </c>
      <c r="B3960" s="42">
        <v>839.92</v>
      </c>
      <c r="C3960" s="43">
        <v>0.15</v>
      </c>
      <c r="D3960" s="45">
        <v>45962</v>
      </c>
      <c r="E3960" s="45">
        <v>45991.999305555553</v>
      </c>
      <c r="F3960" s="42" t="s">
        <v>475</v>
      </c>
    </row>
    <row r="3961" spans="1:6" x14ac:dyDescent="0.35">
      <c r="A3961" s="42" t="s">
        <v>532</v>
      </c>
      <c r="B3961" s="42">
        <v>839.92</v>
      </c>
      <c r="C3961" s="43">
        <v>0.15</v>
      </c>
      <c r="D3961" s="45">
        <v>45962</v>
      </c>
      <c r="E3961" s="45">
        <v>45991.999305555553</v>
      </c>
      <c r="F3961" s="42" t="s">
        <v>475</v>
      </c>
    </row>
    <row r="3962" spans="1:6" x14ac:dyDescent="0.35">
      <c r="A3962" s="42" t="s">
        <v>593</v>
      </c>
      <c r="B3962" s="42">
        <v>839.92</v>
      </c>
      <c r="C3962" s="43">
        <v>0.15</v>
      </c>
      <c r="D3962" s="45">
        <v>45962</v>
      </c>
      <c r="E3962" s="45">
        <v>45991.999305555553</v>
      </c>
      <c r="F3962" s="42" t="s">
        <v>475</v>
      </c>
    </row>
    <row r="3963" spans="1:6" x14ac:dyDescent="0.35">
      <c r="A3963" s="42" t="s">
        <v>283</v>
      </c>
      <c r="B3963" s="42">
        <v>839.92</v>
      </c>
      <c r="C3963" s="43">
        <v>0.15</v>
      </c>
      <c r="D3963" s="45">
        <v>45962</v>
      </c>
      <c r="E3963" s="45">
        <v>45991.999305555553</v>
      </c>
      <c r="F3963" s="42" t="s">
        <v>475</v>
      </c>
    </row>
    <row r="3964" spans="1:6" x14ac:dyDescent="0.35">
      <c r="A3964" s="42" t="s">
        <v>30</v>
      </c>
      <c r="B3964" s="42">
        <v>839.92</v>
      </c>
      <c r="C3964" s="43">
        <v>0.15</v>
      </c>
      <c r="D3964" s="45">
        <v>45962</v>
      </c>
      <c r="E3964" s="45">
        <v>45991.999305555553</v>
      </c>
      <c r="F3964" s="42" t="s">
        <v>475</v>
      </c>
    </row>
    <row r="3965" spans="1:6" x14ac:dyDescent="0.35">
      <c r="A3965" s="42" t="s">
        <v>59</v>
      </c>
      <c r="B3965" s="42">
        <v>839.92</v>
      </c>
      <c r="C3965" s="43">
        <v>0.15</v>
      </c>
      <c r="D3965" s="45">
        <v>45962</v>
      </c>
      <c r="E3965" s="45">
        <v>45991.999305555553</v>
      </c>
      <c r="F3965" s="42" t="s">
        <v>475</v>
      </c>
    </row>
    <row r="3966" spans="1:6" x14ac:dyDescent="0.35">
      <c r="A3966" s="42" t="s">
        <v>31</v>
      </c>
      <c r="B3966" s="42">
        <v>839.92</v>
      </c>
      <c r="C3966" s="43">
        <v>0.15</v>
      </c>
      <c r="D3966" s="45">
        <v>45962</v>
      </c>
      <c r="E3966" s="45">
        <v>45991.999305555553</v>
      </c>
      <c r="F3966" s="42" t="s">
        <v>475</v>
      </c>
    </row>
    <row r="3967" spans="1:6" x14ac:dyDescent="0.35">
      <c r="A3967" s="42" t="s">
        <v>40</v>
      </c>
      <c r="B3967" s="42">
        <v>839.92</v>
      </c>
      <c r="C3967" s="43">
        <v>0.15</v>
      </c>
      <c r="D3967" s="45">
        <v>45962</v>
      </c>
      <c r="E3967" s="45">
        <v>45991.999305555553</v>
      </c>
      <c r="F3967" s="42" t="s">
        <v>475</v>
      </c>
    </row>
    <row r="3968" spans="1:6" x14ac:dyDescent="0.35">
      <c r="A3968" s="42" t="s">
        <v>58</v>
      </c>
      <c r="B3968" s="42">
        <v>839.92</v>
      </c>
      <c r="C3968" s="43">
        <v>0.15</v>
      </c>
      <c r="D3968" s="45">
        <v>45962</v>
      </c>
      <c r="E3968" s="45">
        <v>45991.999305555553</v>
      </c>
      <c r="F3968" s="42" t="s">
        <v>475</v>
      </c>
    </row>
    <row r="3969" spans="1:6" x14ac:dyDescent="0.35">
      <c r="A3969" s="42" t="s">
        <v>57</v>
      </c>
      <c r="B3969" s="42">
        <v>839.92</v>
      </c>
      <c r="C3969" s="43">
        <v>0.15</v>
      </c>
      <c r="D3969" s="45">
        <v>45962</v>
      </c>
      <c r="E3969" s="45">
        <v>45991.999305555553</v>
      </c>
      <c r="F3969" s="42" t="s">
        <v>475</v>
      </c>
    </row>
    <row r="3970" spans="1:6" x14ac:dyDescent="0.35">
      <c r="A3970" s="42" t="s">
        <v>675</v>
      </c>
      <c r="B3970" s="42">
        <v>839.92</v>
      </c>
      <c r="C3970" s="43">
        <v>0.15</v>
      </c>
      <c r="D3970" s="45">
        <v>45962</v>
      </c>
      <c r="E3970" s="45">
        <v>45991.999305555553</v>
      </c>
      <c r="F3970" s="42" t="s">
        <v>475</v>
      </c>
    </row>
    <row r="3971" spans="1:6" x14ac:dyDescent="0.35">
      <c r="A3971" s="42" t="s">
        <v>814</v>
      </c>
      <c r="B3971" s="42">
        <v>1049.92</v>
      </c>
      <c r="C3971" s="43">
        <v>0.15</v>
      </c>
      <c r="D3971" s="45">
        <v>45962</v>
      </c>
      <c r="E3971" s="45">
        <v>45991.999305555553</v>
      </c>
      <c r="F3971" s="42" t="s">
        <v>475</v>
      </c>
    </row>
    <row r="3972" spans="1:6" x14ac:dyDescent="0.35">
      <c r="A3972" s="42" t="s">
        <v>487</v>
      </c>
      <c r="B3972" s="42">
        <v>1449.92</v>
      </c>
      <c r="C3972" s="43">
        <v>0.15</v>
      </c>
      <c r="D3972" s="45">
        <v>45962</v>
      </c>
      <c r="E3972" s="45">
        <v>45991.999305555553</v>
      </c>
      <c r="F3972" s="42" t="s">
        <v>475</v>
      </c>
    </row>
    <row r="3973" spans="1:6" x14ac:dyDescent="0.35">
      <c r="A3973" s="42" t="s">
        <v>750</v>
      </c>
      <c r="B3973" s="42">
        <v>1449.92</v>
      </c>
      <c r="C3973" s="43">
        <v>0.15</v>
      </c>
      <c r="D3973" s="45">
        <v>45962</v>
      </c>
      <c r="E3973" s="45">
        <v>45991.999305555553</v>
      </c>
      <c r="F3973" s="42" t="s">
        <v>475</v>
      </c>
    </row>
    <row r="3974" spans="1:6" x14ac:dyDescent="0.35">
      <c r="A3974" s="42" t="s">
        <v>35</v>
      </c>
      <c r="B3974" s="42">
        <v>1559.92</v>
      </c>
      <c r="C3974" s="43">
        <v>0.15</v>
      </c>
      <c r="D3974" s="45">
        <v>45962</v>
      </c>
      <c r="E3974" s="45">
        <v>45991.999305555553</v>
      </c>
      <c r="F3974" s="42" t="s">
        <v>475</v>
      </c>
    </row>
    <row r="3975" spans="1:6" x14ac:dyDescent="0.35">
      <c r="A3975" s="42" t="s">
        <v>705</v>
      </c>
      <c r="B3975" s="42">
        <v>1559.92</v>
      </c>
      <c r="C3975" s="43">
        <v>0.15</v>
      </c>
      <c r="D3975" s="45">
        <v>45962</v>
      </c>
      <c r="E3975" s="45">
        <v>45991.999305555553</v>
      </c>
      <c r="F3975" s="42" t="s">
        <v>475</v>
      </c>
    </row>
    <row r="3976" spans="1:6" x14ac:dyDescent="0.35">
      <c r="A3976" s="42" t="s">
        <v>594</v>
      </c>
      <c r="B3976" s="42">
        <v>1759.92</v>
      </c>
      <c r="C3976" s="43">
        <v>0.15</v>
      </c>
      <c r="D3976" s="45">
        <v>45962</v>
      </c>
      <c r="E3976" s="45">
        <v>45991.999305555553</v>
      </c>
      <c r="F3976" s="42" t="s">
        <v>475</v>
      </c>
    </row>
    <row r="3977" spans="1:6" x14ac:dyDescent="0.35">
      <c r="A3977" s="42" t="s">
        <v>268</v>
      </c>
      <c r="B3977" s="42">
        <v>1759.92</v>
      </c>
      <c r="C3977" s="43">
        <v>0.15</v>
      </c>
      <c r="D3977" s="45">
        <v>45962</v>
      </c>
      <c r="E3977" s="45">
        <v>45991.999305555553</v>
      </c>
      <c r="F3977" s="42" t="s">
        <v>475</v>
      </c>
    </row>
    <row r="3978" spans="1:6" x14ac:dyDescent="0.35">
      <c r="A3978" s="42" t="s">
        <v>619</v>
      </c>
      <c r="B3978" s="42">
        <v>1759.92</v>
      </c>
      <c r="C3978" s="43">
        <v>0.15</v>
      </c>
      <c r="D3978" s="45">
        <v>45962</v>
      </c>
      <c r="E3978" s="45">
        <v>45991.999305555553</v>
      </c>
      <c r="F3978" s="42" t="s">
        <v>475</v>
      </c>
    </row>
    <row r="3979" spans="1:6" x14ac:dyDescent="0.35">
      <c r="A3979" s="42" t="s">
        <v>51</v>
      </c>
      <c r="B3979" s="42">
        <v>2169.92</v>
      </c>
      <c r="C3979" s="43">
        <v>0.15</v>
      </c>
      <c r="D3979" s="45">
        <v>45962</v>
      </c>
      <c r="E3979" s="45">
        <v>45991.999305555553</v>
      </c>
      <c r="F3979" s="42" t="s">
        <v>475</v>
      </c>
    </row>
    <row r="3980" spans="1:6" x14ac:dyDescent="0.35">
      <c r="A3980" s="42" t="s">
        <v>15</v>
      </c>
      <c r="B3980" s="42">
        <v>449.92</v>
      </c>
      <c r="C3980" s="43">
        <v>0.15</v>
      </c>
      <c r="D3980" s="45">
        <v>45962</v>
      </c>
      <c r="E3980" s="45">
        <v>45991.999305555553</v>
      </c>
      <c r="F3980" s="42" t="s">
        <v>475</v>
      </c>
    </row>
    <row r="3981" spans="1:6" x14ac:dyDescent="0.35">
      <c r="A3981" s="42" t="s">
        <v>16</v>
      </c>
      <c r="B3981" s="42">
        <v>449.92</v>
      </c>
      <c r="C3981" s="43">
        <v>0.15</v>
      </c>
      <c r="D3981" s="45">
        <v>45962</v>
      </c>
      <c r="E3981" s="45">
        <v>45991.999305555553</v>
      </c>
      <c r="F3981" s="42" t="s">
        <v>475</v>
      </c>
    </row>
    <row r="3982" spans="1:6" x14ac:dyDescent="0.35">
      <c r="A3982" s="42" t="s">
        <v>782</v>
      </c>
      <c r="B3982" s="42">
        <v>449.92</v>
      </c>
      <c r="C3982" s="43">
        <v>0.15</v>
      </c>
      <c r="D3982" s="45">
        <v>45962</v>
      </c>
      <c r="E3982" s="45">
        <v>45991.999305555553</v>
      </c>
      <c r="F3982" s="42" t="s">
        <v>475</v>
      </c>
    </row>
    <row r="3983" spans="1:6" x14ac:dyDescent="0.35">
      <c r="A3983" s="42" t="s">
        <v>783</v>
      </c>
      <c r="B3983" s="42">
        <v>449.92</v>
      </c>
      <c r="C3983" s="43">
        <v>0.15</v>
      </c>
      <c r="D3983" s="45">
        <v>45962</v>
      </c>
      <c r="E3983" s="45">
        <v>45991.999305555553</v>
      </c>
      <c r="F3983" s="42" t="s">
        <v>475</v>
      </c>
    </row>
    <row r="3984" spans="1:6" x14ac:dyDescent="0.35">
      <c r="A3984" s="42" t="s">
        <v>784</v>
      </c>
      <c r="B3984" s="42">
        <v>449.92</v>
      </c>
      <c r="C3984" s="43">
        <v>0.15</v>
      </c>
      <c r="D3984" s="45">
        <v>45962</v>
      </c>
      <c r="E3984" s="45">
        <v>45991.999305555553</v>
      </c>
      <c r="F3984" s="42" t="s">
        <v>475</v>
      </c>
    </row>
    <row r="3985" spans="1:6" x14ac:dyDescent="0.35">
      <c r="A3985" s="42" t="s">
        <v>852</v>
      </c>
      <c r="B3985" s="42">
        <v>449.92</v>
      </c>
      <c r="C3985" s="43">
        <v>0.15</v>
      </c>
      <c r="D3985" s="45">
        <v>45962</v>
      </c>
      <c r="E3985" s="45">
        <v>45991.999305555553</v>
      </c>
      <c r="F3985" s="42" t="s">
        <v>475</v>
      </c>
    </row>
    <row r="3986" spans="1:6" x14ac:dyDescent="0.35">
      <c r="A3986" s="42" t="s">
        <v>853</v>
      </c>
      <c r="B3986" s="42">
        <v>449.92</v>
      </c>
      <c r="C3986" s="43">
        <v>0.15</v>
      </c>
      <c r="D3986" s="45">
        <v>45962</v>
      </c>
      <c r="E3986" s="45">
        <v>45991.999305555553</v>
      </c>
      <c r="F3986" s="42" t="s">
        <v>475</v>
      </c>
    </row>
    <row r="3987" spans="1:6" x14ac:dyDescent="0.35">
      <c r="A3987" s="42" t="s">
        <v>854</v>
      </c>
      <c r="B3987" s="42">
        <v>449.92</v>
      </c>
      <c r="C3987" s="43">
        <v>0.15</v>
      </c>
      <c r="D3987" s="45">
        <v>45962</v>
      </c>
      <c r="E3987" s="45">
        <v>45991.999305555553</v>
      </c>
      <c r="F3987" s="42" t="s">
        <v>475</v>
      </c>
    </row>
    <row r="3988" spans="1:6" x14ac:dyDescent="0.35">
      <c r="A3988" s="42" t="s">
        <v>855</v>
      </c>
      <c r="B3988" s="42">
        <v>449.92</v>
      </c>
      <c r="C3988" s="43">
        <v>0.15</v>
      </c>
      <c r="D3988" s="45">
        <v>45962</v>
      </c>
      <c r="E3988" s="45">
        <v>45991.999305555553</v>
      </c>
      <c r="F3988" s="42" t="s">
        <v>475</v>
      </c>
    </row>
    <row r="3989" spans="1:6" x14ac:dyDescent="0.35">
      <c r="A3989" s="42" t="s">
        <v>891</v>
      </c>
      <c r="B3989" s="42">
        <v>449.92</v>
      </c>
      <c r="C3989" s="43">
        <v>0.15</v>
      </c>
      <c r="D3989" s="45">
        <v>45962</v>
      </c>
      <c r="E3989" s="45">
        <v>45991.999305555553</v>
      </c>
      <c r="F3989" s="42" t="s">
        <v>475</v>
      </c>
    </row>
    <row r="3990" spans="1:6" x14ac:dyDescent="0.35">
      <c r="A3990" s="42" t="s">
        <v>892</v>
      </c>
      <c r="B3990" s="42">
        <v>449.92</v>
      </c>
      <c r="C3990" s="43">
        <v>0.15</v>
      </c>
      <c r="D3990" s="45">
        <v>45962</v>
      </c>
      <c r="E3990" s="45">
        <v>45991.999305555553</v>
      </c>
      <c r="F3990" s="42" t="s">
        <v>475</v>
      </c>
    </row>
    <row r="3991" spans="1:6" x14ac:dyDescent="0.35">
      <c r="A3991" s="42" t="s">
        <v>582</v>
      </c>
      <c r="B3991" s="42">
        <v>559.91999999999996</v>
      </c>
      <c r="C3991" s="43">
        <v>0.15</v>
      </c>
      <c r="D3991" s="45">
        <v>45962</v>
      </c>
      <c r="E3991" s="45">
        <v>45991.999305555553</v>
      </c>
      <c r="F3991" s="42" t="s">
        <v>475</v>
      </c>
    </row>
    <row r="3992" spans="1:6" x14ac:dyDescent="0.35">
      <c r="A3992" s="42" t="s">
        <v>54</v>
      </c>
      <c r="B3992" s="42">
        <v>559.91999999999996</v>
      </c>
      <c r="C3992" s="43">
        <v>0.15</v>
      </c>
      <c r="D3992" s="45">
        <v>45962</v>
      </c>
      <c r="E3992" s="45">
        <v>45991.999305555553</v>
      </c>
      <c r="F3992" s="42" t="s">
        <v>475</v>
      </c>
    </row>
    <row r="3993" spans="1:6" x14ac:dyDescent="0.35">
      <c r="A3993" s="42" t="s">
        <v>79</v>
      </c>
      <c r="B3993" s="42">
        <v>559.91999999999996</v>
      </c>
      <c r="C3993" s="43">
        <v>0.15</v>
      </c>
      <c r="D3993" s="45">
        <v>45962</v>
      </c>
      <c r="E3993" s="45">
        <v>45991.999305555553</v>
      </c>
      <c r="F3993" s="42" t="s">
        <v>475</v>
      </c>
    </row>
    <row r="3994" spans="1:6" x14ac:dyDescent="0.35">
      <c r="A3994" s="42" t="s">
        <v>404</v>
      </c>
      <c r="B3994" s="42">
        <v>559.91999999999996</v>
      </c>
      <c r="C3994" s="43">
        <v>0.15</v>
      </c>
      <c r="D3994" s="45">
        <v>45962</v>
      </c>
      <c r="E3994" s="45">
        <v>45991.999305555553</v>
      </c>
      <c r="F3994" s="42" t="s">
        <v>475</v>
      </c>
    </row>
    <row r="3995" spans="1:6" x14ac:dyDescent="0.35">
      <c r="A3995" s="42" t="s">
        <v>550</v>
      </c>
      <c r="B3995" s="42">
        <v>769.92</v>
      </c>
      <c r="C3995" s="43">
        <v>0.15</v>
      </c>
      <c r="D3995" s="45">
        <v>45962</v>
      </c>
      <c r="E3995" s="45">
        <v>45991.999305555553</v>
      </c>
      <c r="F3995" s="42" t="s">
        <v>475</v>
      </c>
    </row>
    <row r="3996" spans="1:6" x14ac:dyDescent="0.35">
      <c r="A3996" s="42" t="s">
        <v>477</v>
      </c>
      <c r="B3996" s="42">
        <v>769.92</v>
      </c>
      <c r="C3996" s="43">
        <v>0.15</v>
      </c>
      <c r="D3996" s="45">
        <v>45962</v>
      </c>
      <c r="E3996" s="45">
        <v>45991.999305555553</v>
      </c>
      <c r="F3996" s="42" t="s">
        <v>475</v>
      </c>
    </row>
    <row r="3997" spans="1:6" x14ac:dyDescent="0.35">
      <c r="A3997" s="42" t="s">
        <v>478</v>
      </c>
      <c r="B3997" s="42">
        <v>769.92</v>
      </c>
      <c r="C3997" s="43">
        <v>0.15</v>
      </c>
      <c r="D3997" s="45">
        <v>45962</v>
      </c>
      <c r="E3997" s="45">
        <v>45991.999305555553</v>
      </c>
      <c r="F3997" s="42" t="s">
        <v>475</v>
      </c>
    </row>
    <row r="3998" spans="1:6" x14ac:dyDescent="0.35">
      <c r="A3998" s="42" t="s">
        <v>55</v>
      </c>
      <c r="B3998" s="42">
        <v>769.92</v>
      </c>
      <c r="C3998" s="43">
        <v>0.15</v>
      </c>
      <c r="D3998" s="45">
        <v>45962</v>
      </c>
      <c r="E3998" s="45">
        <v>45991.999305555553</v>
      </c>
      <c r="F3998" s="42" t="s">
        <v>475</v>
      </c>
    </row>
    <row r="3999" spans="1:6" x14ac:dyDescent="0.35">
      <c r="A3999" s="42" t="s">
        <v>29</v>
      </c>
      <c r="B3999" s="42">
        <v>769.92</v>
      </c>
      <c r="C3999" s="43">
        <v>0.15</v>
      </c>
      <c r="D3999" s="45">
        <v>45962</v>
      </c>
      <c r="E3999" s="45">
        <v>45991.999305555553</v>
      </c>
      <c r="F3999" s="42" t="s">
        <v>475</v>
      </c>
    </row>
    <row r="4000" spans="1:6" x14ac:dyDescent="0.35">
      <c r="A4000" s="42" t="s">
        <v>265</v>
      </c>
      <c r="B4000" s="42">
        <v>769.92</v>
      </c>
      <c r="C4000" s="43">
        <v>0.15</v>
      </c>
      <c r="D4000" s="45">
        <v>45962</v>
      </c>
      <c r="E4000" s="45">
        <v>45991.999305555553</v>
      </c>
      <c r="F4000" s="42" t="s">
        <v>475</v>
      </c>
    </row>
    <row r="4001" spans="1:6" x14ac:dyDescent="0.35">
      <c r="A4001" s="42" t="s">
        <v>785</v>
      </c>
      <c r="B4001" s="42">
        <v>769.92</v>
      </c>
      <c r="C4001" s="43">
        <v>0.15</v>
      </c>
      <c r="D4001" s="45">
        <v>45962</v>
      </c>
      <c r="E4001" s="45">
        <v>45991.999305555553</v>
      </c>
      <c r="F4001" s="42" t="s">
        <v>475</v>
      </c>
    </row>
    <row r="4002" spans="1:6" x14ac:dyDescent="0.35">
      <c r="A4002" s="42" t="s">
        <v>786</v>
      </c>
      <c r="B4002" s="42">
        <v>769.92</v>
      </c>
      <c r="C4002" s="43">
        <v>0.15</v>
      </c>
      <c r="D4002" s="45">
        <v>45962</v>
      </c>
      <c r="E4002" s="45">
        <v>45991.999305555553</v>
      </c>
      <c r="F4002" s="42" t="s">
        <v>475</v>
      </c>
    </row>
    <row r="4003" spans="1:6" x14ac:dyDescent="0.35">
      <c r="A4003" s="42" t="s">
        <v>787</v>
      </c>
      <c r="B4003" s="42">
        <v>769.92</v>
      </c>
      <c r="C4003" s="43">
        <v>0.15</v>
      </c>
      <c r="D4003" s="45">
        <v>45962</v>
      </c>
      <c r="E4003" s="45">
        <v>45991.999305555553</v>
      </c>
      <c r="F4003" s="42" t="s">
        <v>475</v>
      </c>
    </row>
    <row r="4004" spans="1:6" x14ac:dyDescent="0.35">
      <c r="A4004" s="42" t="s">
        <v>592</v>
      </c>
      <c r="B4004" s="42">
        <v>869.92</v>
      </c>
      <c r="C4004" s="43">
        <v>0.15</v>
      </c>
      <c r="D4004" s="45">
        <v>45962</v>
      </c>
      <c r="E4004" s="45">
        <v>45991.999305555553</v>
      </c>
      <c r="F4004" s="42" t="s">
        <v>475</v>
      </c>
    </row>
    <row r="4005" spans="1:6" x14ac:dyDescent="0.35">
      <c r="A4005" s="42" t="s">
        <v>504</v>
      </c>
      <c r="B4005" s="42">
        <v>1289.92</v>
      </c>
      <c r="C4005" s="43">
        <v>0.15</v>
      </c>
      <c r="D4005" s="45">
        <v>45962</v>
      </c>
      <c r="E4005" s="45">
        <v>45991.999305555553</v>
      </c>
      <c r="F4005" s="42" t="s">
        <v>475</v>
      </c>
    </row>
    <row r="4006" spans="1:6" x14ac:dyDescent="0.35">
      <c r="A4006" s="42" t="s">
        <v>606</v>
      </c>
      <c r="B4006" s="42">
        <v>1289.92</v>
      </c>
      <c r="C4006" s="43">
        <v>0.15</v>
      </c>
      <c r="D4006" s="45">
        <v>45962</v>
      </c>
      <c r="E4006" s="45">
        <v>45991.999305555553</v>
      </c>
      <c r="F4006" s="42" t="s">
        <v>475</v>
      </c>
    </row>
    <row r="4007" spans="1:6" x14ac:dyDescent="0.35">
      <c r="A4007" s="42" t="s">
        <v>624</v>
      </c>
      <c r="B4007" s="42">
        <v>1289.92</v>
      </c>
      <c r="C4007" s="43">
        <v>0.15</v>
      </c>
      <c r="D4007" s="45">
        <v>45962</v>
      </c>
      <c r="E4007" s="45">
        <v>45991.999305555553</v>
      </c>
      <c r="F4007" s="42" t="s">
        <v>475</v>
      </c>
    </row>
    <row r="4008" spans="1:6" x14ac:dyDescent="0.35">
      <c r="A4008" s="42" t="s">
        <v>61</v>
      </c>
      <c r="B4008" s="42">
        <v>1289.92</v>
      </c>
      <c r="C4008" s="43">
        <v>0.15</v>
      </c>
      <c r="D4008" s="45">
        <v>45962</v>
      </c>
      <c r="E4008" s="45">
        <v>45991.999305555553</v>
      </c>
      <c r="F4008" s="42" t="s">
        <v>475</v>
      </c>
    </row>
    <row r="4009" spans="1:6" x14ac:dyDescent="0.35">
      <c r="A4009" s="42" t="s">
        <v>304</v>
      </c>
      <c r="B4009" s="42">
        <v>1289.92</v>
      </c>
      <c r="C4009" s="43">
        <v>0.15</v>
      </c>
      <c r="D4009" s="45">
        <v>45962</v>
      </c>
      <c r="E4009" s="45">
        <v>45991.999305555553</v>
      </c>
      <c r="F4009" s="42" t="s">
        <v>475</v>
      </c>
    </row>
    <row r="4010" spans="1:6" x14ac:dyDescent="0.35">
      <c r="A4010" s="42" t="s">
        <v>667</v>
      </c>
      <c r="B4010" s="42">
        <v>1289.92</v>
      </c>
      <c r="C4010" s="43">
        <v>0.15</v>
      </c>
      <c r="D4010" s="45">
        <v>45962</v>
      </c>
      <c r="E4010" s="45">
        <v>45991.999305555553</v>
      </c>
      <c r="F4010" s="42" t="s">
        <v>475</v>
      </c>
    </row>
    <row r="4011" spans="1:6" x14ac:dyDescent="0.35">
      <c r="A4011" s="42" t="s">
        <v>724</v>
      </c>
      <c r="B4011" s="42">
        <v>1289.92</v>
      </c>
      <c r="C4011" s="43">
        <v>0.15</v>
      </c>
      <c r="D4011" s="45">
        <v>45962</v>
      </c>
      <c r="E4011" s="45">
        <v>45991.999305555553</v>
      </c>
      <c r="F4011" s="42" t="s">
        <v>475</v>
      </c>
    </row>
    <row r="4012" spans="1:6" x14ac:dyDescent="0.35">
      <c r="A4012" s="42" t="s">
        <v>725</v>
      </c>
      <c r="B4012" s="42">
        <v>1289.92</v>
      </c>
      <c r="C4012" s="43">
        <v>0.15</v>
      </c>
      <c r="D4012" s="45">
        <v>45962</v>
      </c>
      <c r="E4012" s="45">
        <v>45991.999305555553</v>
      </c>
      <c r="F4012" s="42" t="s">
        <v>475</v>
      </c>
    </row>
    <row r="4013" spans="1:6" x14ac:dyDescent="0.35">
      <c r="A4013" s="42" t="s">
        <v>726</v>
      </c>
      <c r="B4013" s="42">
        <v>1289.92</v>
      </c>
      <c r="C4013" s="43">
        <v>0.15</v>
      </c>
      <c r="D4013" s="45">
        <v>45962</v>
      </c>
      <c r="E4013" s="45">
        <v>45991.999305555553</v>
      </c>
      <c r="F4013" s="42" t="s">
        <v>475</v>
      </c>
    </row>
    <row r="4014" spans="1:6" x14ac:dyDescent="0.35">
      <c r="A4014" s="42" t="s">
        <v>727</v>
      </c>
      <c r="B4014" s="42">
        <v>1289.92</v>
      </c>
      <c r="C4014" s="43">
        <v>0.15</v>
      </c>
      <c r="D4014" s="45">
        <v>45962</v>
      </c>
      <c r="E4014" s="45">
        <v>45991.999305555553</v>
      </c>
      <c r="F4014" s="42" t="s">
        <v>475</v>
      </c>
    </row>
    <row r="4015" spans="1:6" x14ac:dyDescent="0.35">
      <c r="A4015" s="42" t="s">
        <v>134</v>
      </c>
      <c r="B4015" s="42">
        <v>1389.92</v>
      </c>
      <c r="C4015" s="43">
        <v>0.15</v>
      </c>
      <c r="D4015" s="45">
        <v>45962</v>
      </c>
      <c r="E4015" s="45">
        <v>45991.999305555553</v>
      </c>
      <c r="F4015" s="42" t="s">
        <v>475</v>
      </c>
    </row>
    <row r="4016" spans="1:6" x14ac:dyDescent="0.35">
      <c r="A4016" s="42" t="s">
        <v>530</v>
      </c>
      <c r="B4016" s="42">
        <v>1389.92</v>
      </c>
      <c r="C4016" s="43">
        <v>0.15</v>
      </c>
      <c r="D4016" s="45">
        <v>45962</v>
      </c>
      <c r="E4016" s="45">
        <v>45991.999305555553</v>
      </c>
      <c r="F4016" s="42" t="s">
        <v>475</v>
      </c>
    </row>
    <row r="4017" spans="1:6" x14ac:dyDescent="0.35">
      <c r="A4017" s="42" t="s">
        <v>671</v>
      </c>
      <c r="B4017" s="42">
        <v>1389.92</v>
      </c>
      <c r="C4017" s="43">
        <v>0.15</v>
      </c>
      <c r="D4017" s="45">
        <v>45962</v>
      </c>
      <c r="E4017" s="45">
        <v>45991.999305555553</v>
      </c>
      <c r="F4017" s="42" t="s">
        <v>475</v>
      </c>
    </row>
    <row r="4018" spans="1:6" x14ac:dyDescent="0.35">
      <c r="A4018" s="42" t="s">
        <v>780</v>
      </c>
      <c r="B4018" s="42">
        <v>1919.92</v>
      </c>
      <c r="C4018" s="43">
        <v>0.15</v>
      </c>
      <c r="D4018" s="45">
        <v>45962</v>
      </c>
      <c r="E4018" s="45">
        <v>45991.999305555553</v>
      </c>
      <c r="F4018" s="42" t="s">
        <v>475</v>
      </c>
    </row>
    <row r="4019" spans="1:6" x14ac:dyDescent="0.35">
      <c r="A4019" s="42" t="s">
        <v>406</v>
      </c>
      <c r="B4019" s="42">
        <v>2019.92</v>
      </c>
      <c r="C4019" s="43">
        <v>0.15</v>
      </c>
      <c r="D4019" s="45">
        <v>45962</v>
      </c>
      <c r="E4019" s="45">
        <v>45991.999305555553</v>
      </c>
      <c r="F4019" s="42" t="s">
        <v>475</v>
      </c>
    </row>
    <row r="4020" spans="1:6" x14ac:dyDescent="0.35">
      <c r="A4020" s="42" t="s">
        <v>670</v>
      </c>
      <c r="B4020" s="42">
        <v>2019.92</v>
      </c>
      <c r="C4020" s="43">
        <v>0.15</v>
      </c>
      <c r="D4020" s="45">
        <v>45962</v>
      </c>
      <c r="E4020" s="45">
        <v>45991.999305555553</v>
      </c>
      <c r="F4020" s="42" t="s">
        <v>475</v>
      </c>
    </row>
    <row r="4021" spans="1:6" x14ac:dyDescent="0.35">
      <c r="A4021" s="42" t="s">
        <v>804</v>
      </c>
      <c r="B4021" s="42">
        <v>2019.92</v>
      </c>
      <c r="C4021" s="43">
        <v>0.15</v>
      </c>
      <c r="D4021" s="45">
        <v>45962</v>
      </c>
      <c r="E4021" s="45">
        <v>45991.999305555553</v>
      </c>
      <c r="F4021" s="42" t="s">
        <v>475</v>
      </c>
    </row>
    <row r="4022" spans="1:6" x14ac:dyDescent="0.35">
      <c r="A4022" s="42" t="s">
        <v>806</v>
      </c>
      <c r="B4022" s="42">
        <v>2019.92</v>
      </c>
      <c r="C4022" s="43">
        <v>0.15</v>
      </c>
      <c r="D4022" s="45">
        <v>45962</v>
      </c>
      <c r="E4022" s="45">
        <v>45991.999305555553</v>
      </c>
      <c r="F4022" s="42" t="s">
        <v>475</v>
      </c>
    </row>
    <row r="4023" spans="1:6" x14ac:dyDescent="0.35">
      <c r="A4023" s="42" t="s">
        <v>841</v>
      </c>
      <c r="B4023" s="42">
        <v>2019.92</v>
      </c>
      <c r="C4023" s="43">
        <v>0.15</v>
      </c>
      <c r="D4023" s="45">
        <v>45962</v>
      </c>
      <c r="E4023" s="45">
        <v>45991.999305555553</v>
      </c>
      <c r="F4023" s="42" t="s">
        <v>475</v>
      </c>
    </row>
    <row r="4024" spans="1:6" x14ac:dyDescent="0.35">
      <c r="A4024" s="42" t="s">
        <v>842</v>
      </c>
      <c r="B4024" s="42">
        <v>2019.92</v>
      </c>
      <c r="C4024" s="43">
        <v>0.15</v>
      </c>
      <c r="D4024" s="45">
        <v>45962</v>
      </c>
      <c r="E4024" s="45">
        <v>45991.999305555553</v>
      </c>
      <c r="F4024" s="42" t="s">
        <v>475</v>
      </c>
    </row>
    <row r="4025" spans="1:6" x14ac:dyDescent="0.35">
      <c r="A4025" s="42" t="s">
        <v>843</v>
      </c>
      <c r="B4025" s="42">
        <v>2019.92</v>
      </c>
      <c r="C4025" s="43">
        <v>0.15</v>
      </c>
      <c r="D4025" s="45">
        <v>45962</v>
      </c>
      <c r="E4025" s="45">
        <v>45991.999305555553</v>
      </c>
      <c r="F4025" s="42" t="s">
        <v>475</v>
      </c>
    </row>
    <row r="4026" spans="1:6" x14ac:dyDescent="0.35">
      <c r="A4026" s="42" t="s">
        <v>547</v>
      </c>
      <c r="B4026" s="42">
        <v>249.92</v>
      </c>
      <c r="C4026" s="43">
        <v>0.15</v>
      </c>
      <c r="D4026" s="45">
        <v>45962</v>
      </c>
      <c r="E4026" s="45">
        <v>45991.999305555553</v>
      </c>
      <c r="F4026" s="42" t="s">
        <v>475</v>
      </c>
    </row>
    <row r="4027" spans="1:6" x14ac:dyDescent="0.35">
      <c r="A4027" s="42" t="s">
        <v>570</v>
      </c>
      <c r="B4027" s="42">
        <v>249.92</v>
      </c>
      <c r="C4027" s="43">
        <v>0.15</v>
      </c>
      <c r="D4027" s="45">
        <v>45962</v>
      </c>
      <c r="E4027" s="45">
        <v>45991.999305555553</v>
      </c>
      <c r="F4027" s="42" t="s">
        <v>475</v>
      </c>
    </row>
    <row r="4028" spans="1:6" x14ac:dyDescent="0.35">
      <c r="A4028" s="42" t="s">
        <v>554</v>
      </c>
      <c r="B4028" s="42">
        <v>349.92</v>
      </c>
      <c r="C4028" s="43">
        <v>0.15</v>
      </c>
      <c r="D4028" s="45">
        <v>45962</v>
      </c>
      <c r="E4028" s="45">
        <v>45991.999305555553</v>
      </c>
      <c r="F4028" s="42" t="s">
        <v>475</v>
      </c>
    </row>
    <row r="4029" spans="1:6" x14ac:dyDescent="0.35">
      <c r="A4029" s="42" t="s">
        <v>534</v>
      </c>
      <c r="B4029" s="42">
        <v>349.92</v>
      </c>
      <c r="C4029" s="43">
        <v>0.15</v>
      </c>
      <c r="D4029" s="45">
        <v>45962</v>
      </c>
      <c r="E4029" s="45">
        <v>45991.999305555553</v>
      </c>
      <c r="F4029" s="42" t="s">
        <v>475</v>
      </c>
    </row>
    <row r="4030" spans="1:6" x14ac:dyDescent="0.35">
      <c r="A4030" s="42" t="s">
        <v>171</v>
      </c>
      <c r="B4030" s="42">
        <v>459.92</v>
      </c>
      <c r="C4030" s="43">
        <v>0.15</v>
      </c>
      <c r="D4030" s="45">
        <v>45962</v>
      </c>
      <c r="E4030" s="45">
        <v>45991.999305555553</v>
      </c>
      <c r="F4030" s="42" t="s">
        <v>475</v>
      </c>
    </row>
    <row r="4031" spans="1:6" x14ac:dyDescent="0.35">
      <c r="A4031" s="42" t="s">
        <v>576</v>
      </c>
      <c r="B4031" s="42">
        <v>459.92</v>
      </c>
      <c r="C4031" s="43">
        <v>0.15</v>
      </c>
      <c r="D4031" s="45">
        <v>45962</v>
      </c>
      <c r="E4031" s="45">
        <v>45991.999305555553</v>
      </c>
      <c r="F4031" s="42" t="s">
        <v>475</v>
      </c>
    </row>
    <row r="4032" spans="1:6" x14ac:dyDescent="0.35">
      <c r="A4032" s="42" t="s">
        <v>844</v>
      </c>
      <c r="B4032" s="42">
        <v>459.92</v>
      </c>
      <c r="C4032" s="43">
        <v>0.15</v>
      </c>
      <c r="D4032" s="45">
        <v>45962</v>
      </c>
      <c r="E4032" s="45">
        <v>45991.999305555553</v>
      </c>
      <c r="F4032" s="42" t="s">
        <v>475</v>
      </c>
    </row>
    <row r="4033" spans="1:6" x14ac:dyDescent="0.35">
      <c r="A4033" s="42" t="s">
        <v>845</v>
      </c>
      <c r="B4033" s="42">
        <v>459.92</v>
      </c>
      <c r="C4033" s="43">
        <v>0.15</v>
      </c>
      <c r="D4033" s="45">
        <v>45962</v>
      </c>
      <c r="E4033" s="45">
        <v>45991.999305555553</v>
      </c>
      <c r="F4033" s="42" t="s">
        <v>475</v>
      </c>
    </row>
    <row r="4034" spans="1:6" x14ac:dyDescent="0.35">
      <c r="A4034" s="42" t="s">
        <v>111</v>
      </c>
      <c r="B4034" s="42">
        <v>579.91999999999996</v>
      </c>
      <c r="C4034" s="43">
        <v>0.15</v>
      </c>
      <c r="D4034" s="45">
        <v>45962</v>
      </c>
      <c r="E4034" s="45">
        <v>45991.999305555553</v>
      </c>
      <c r="F4034" s="42" t="s">
        <v>475</v>
      </c>
    </row>
    <row r="4035" spans="1:6" x14ac:dyDescent="0.35">
      <c r="A4035" s="42" t="s">
        <v>20</v>
      </c>
      <c r="B4035" s="42">
        <v>579.91999999999996</v>
      </c>
      <c r="C4035" s="43">
        <v>0.15</v>
      </c>
      <c r="D4035" s="45">
        <v>45962</v>
      </c>
      <c r="E4035" s="45">
        <v>45991.999305555553</v>
      </c>
      <c r="F4035" s="42" t="s">
        <v>475</v>
      </c>
    </row>
    <row r="4036" spans="1:6" x14ac:dyDescent="0.35">
      <c r="A4036" s="42" t="s">
        <v>602</v>
      </c>
      <c r="B4036" s="42">
        <v>579.91999999999996</v>
      </c>
      <c r="C4036" s="43">
        <v>0.15</v>
      </c>
      <c r="D4036" s="45">
        <v>45962</v>
      </c>
      <c r="E4036" s="45">
        <v>45991.999305555553</v>
      </c>
      <c r="F4036" s="42" t="s">
        <v>475</v>
      </c>
    </row>
    <row r="4037" spans="1:6" x14ac:dyDescent="0.35">
      <c r="A4037" s="42" t="s">
        <v>583</v>
      </c>
      <c r="B4037" s="42">
        <v>579.91999999999996</v>
      </c>
      <c r="C4037" s="43">
        <v>0.15</v>
      </c>
      <c r="D4037" s="45">
        <v>45962</v>
      </c>
      <c r="E4037" s="45">
        <v>45991.999305555553</v>
      </c>
      <c r="F4037" s="42" t="s">
        <v>475</v>
      </c>
    </row>
    <row r="4038" spans="1:6" x14ac:dyDescent="0.35">
      <c r="A4038" s="42" t="s">
        <v>529</v>
      </c>
      <c r="B4038" s="42">
        <v>579.91999999999996</v>
      </c>
      <c r="C4038" s="43">
        <v>0.15</v>
      </c>
      <c r="D4038" s="45">
        <v>45962</v>
      </c>
      <c r="E4038" s="45">
        <v>45991.999305555553</v>
      </c>
      <c r="F4038" s="42" t="s">
        <v>475</v>
      </c>
    </row>
    <row r="4039" spans="1:6" x14ac:dyDescent="0.35">
      <c r="A4039" s="42" t="s">
        <v>584</v>
      </c>
      <c r="B4039" s="42">
        <v>579.91999999999996</v>
      </c>
      <c r="C4039" s="43">
        <v>0.15</v>
      </c>
      <c r="D4039" s="45">
        <v>45962</v>
      </c>
      <c r="E4039" s="45">
        <v>45991.999305555553</v>
      </c>
      <c r="F4039" s="42" t="s">
        <v>475</v>
      </c>
    </row>
    <row r="4040" spans="1:6" x14ac:dyDescent="0.35">
      <c r="A4040" s="42" t="s">
        <v>19</v>
      </c>
      <c r="B4040" s="42">
        <v>579.91999999999996</v>
      </c>
      <c r="C4040" s="43">
        <v>0.15</v>
      </c>
      <c r="D4040" s="45">
        <v>45962</v>
      </c>
      <c r="E4040" s="45">
        <v>45991.999305555553</v>
      </c>
      <c r="F4040" s="42" t="s">
        <v>475</v>
      </c>
    </row>
    <row r="4041" spans="1:6" x14ac:dyDescent="0.35">
      <c r="A4041" s="42" t="s">
        <v>21</v>
      </c>
      <c r="B4041" s="42">
        <v>579.91999999999996</v>
      </c>
      <c r="C4041" s="43">
        <v>0.15</v>
      </c>
      <c r="D4041" s="45">
        <v>45962</v>
      </c>
      <c r="E4041" s="45">
        <v>45991.999305555553</v>
      </c>
      <c r="F4041" s="42" t="s">
        <v>475</v>
      </c>
    </row>
    <row r="4042" spans="1:6" x14ac:dyDescent="0.35">
      <c r="A4042" s="42" t="s">
        <v>71</v>
      </c>
      <c r="B4042" s="42">
        <v>579.91999999999996</v>
      </c>
      <c r="C4042" s="43">
        <v>0.15</v>
      </c>
      <c r="D4042" s="45">
        <v>45962</v>
      </c>
      <c r="E4042" s="45">
        <v>45991.999305555553</v>
      </c>
      <c r="F4042" s="42" t="s">
        <v>475</v>
      </c>
    </row>
    <row r="4043" spans="1:6" x14ac:dyDescent="0.35">
      <c r="A4043" s="42" t="s">
        <v>100</v>
      </c>
      <c r="B4043" s="42">
        <v>579.91999999999996</v>
      </c>
      <c r="C4043" s="43">
        <v>0.15</v>
      </c>
      <c r="D4043" s="45">
        <v>45962</v>
      </c>
      <c r="E4043" s="45">
        <v>45991.999305555553</v>
      </c>
      <c r="F4043" s="42" t="s">
        <v>475</v>
      </c>
    </row>
    <row r="4044" spans="1:6" x14ac:dyDescent="0.35">
      <c r="A4044" s="42" t="s">
        <v>833</v>
      </c>
      <c r="B4044" s="42">
        <v>579.91999999999996</v>
      </c>
      <c r="C4044" s="43">
        <v>0.15</v>
      </c>
      <c r="D4044" s="45">
        <v>45962</v>
      </c>
      <c r="E4044" s="45">
        <v>45991.999305555553</v>
      </c>
      <c r="F4044" s="42" t="s">
        <v>475</v>
      </c>
    </row>
    <row r="4045" spans="1:6" x14ac:dyDescent="0.35">
      <c r="A4045" s="42" t="s">
        <v>834</v>
      </c>
      <c r="B4045" s="42">
        <v>579.91999999999996</v>
      </c>
      <c r="C4045" s="43">
        <v>0.15</v>
      </c>
      <c r="D4045" s="45">
        <v>45962</v>
      </c>
      <c r="E4045" s="45">
        <v>45991.999305555553</v>
      </c>
      <c r="F4045" s="42" t="s">
        <v>475</v>
      </c>
    </row>
    <row r="4046" spans="1:6" x14ac:dyDescent="0.35">
      <c r="A4046" s="42" t="s">
        <v>835</v>
      </c>
      <c r="B4046" s="42">
        <v>579.91999999999996</v>
      </c>
      <c r="C4046" s="43">
        <v>0.15</v>
      </c>
      <c r="D4046" s="45">
        <v>45962</v>
      </c>
      <c r="E4046" s="45">
        <v>45991.999305555553</v>
      </c>
      <c r="F4046" s="42" t="s">
        <v>475</v>
      </c>
    </row>
    <row r="4047" spans="1:6" x14ac:dyDescent="0.35">
      <c r="A4047" s="42" t="s">
        <v>836</v>
      </c>
      <c r="B4047" s="42">
        <v>579.91999999999996</v>
      </c>
      <c r="C4047" s="43">
        <v>0.15</v>
      </c>
      <c r="D4047" s="45">
        <v>45962</v>
      </c>
      <c r="E4047" s="45">
        <v>45991.999305555553</v>
      </c>
      <c r="F4047" s="42" t="s">
        <v>475</v>
      </c>
    </row>
    <row r="4048" spans="1:6" x14ac:dyDescent="0.35">
      <c r="A4048" s="42" t="s">
        <v>837</v>
      </c>
      <c r="B4048" s="42">
        <v>579.91999999999996</v>
      </c>
      <c r="C4048" s="43">
        <v>0.15</v>
      </c>
      <c r="D4048" s="45">
        <v>45962</v>
      </c>
      <c r="E4048" s="45">
        <v>45991.999305555553</v>
      </c>
      <c r="F4048" s="42" t="s">
        <v>475</v>
      </c>
    </row>
    <row r="4049" spans="1:6" x14ac:dyDescent="0.35">
      <c r="A4049" s="42" t="s">
        <v>838</v>
      </c>
      <c r="B4049" s="42">
        <v>579.91999999999996</v>
      </c>
      <c r="C4049" s="43">
        <v>0.15</v>
      </c>
      <c r="D4049" s="45">
        <v>45962</v>
      </c>
      <c r="E4049" s="45">
        <v>45991.999305555553</v>
      </c>
      <c r="F4049" s="42" t="s">
        <v>475</v>
      </c>
    </row>
    <row r="4050" spans="1:6" x14ac:dyDescent="0.35">
      <c r="A4050" s="42" t="s">
        <v>839</v>
      </c>
      <c r="B4050" s="42">
        <v>579.91999999999996</v>
      </c>
      <c r="C4050" s="43">
        <v>0.15</v>
      </c>
      <c r="D4050" s="45">
        <v>45962</v>
      </c>
      <c r="E4050" s="45">
        <v>45991.999305555553</v>
      </c>
      <c r="F4050" s="42" t="s">
        <v>475</v>
      </c>
    </row>
    <row r="4051" spans="1:6" x14ac:dyDescent="0.35">
      <c r="A4051" s="42" t="s">
        <v>840</v>
      </c>
      <c r="B4051" s="42">
        <v>579.91999999999996</v>
      </c>
      <c r="C4051" s="43">
        <v>0.15</v>
      </c>
      <c r="D4051" s="45">
        <v>45962</v>
      </c>
      <c r="E4051" s="45">
        <v>45991.999305555553</v>
      </c>
      <c r="F4051" s="42" t="s">
        <v>475</v>
      </c>
    </row>
    <row r="4052" spans="1:6" x14ac:dyDescent="0.35">
      <c r="A4052" s="42" t="s">
        <v>856</v>
      </c>
      <c r="B4052" s="42">
        <v>579.91999999999996</v>
      </c>
      <c r="C4052" s="43">
        <v>0.15</v>
      </c>
      <c r="D4052" s="45">
        <v>45962</v>
      </c>
      <c r="E4052" s="45">
        <v>45991.999305555553</v>
      </c>
      <c r="F4052" s="42" t="s">
        <v>475</v>
      </c>
    </row>
    <row r="4053" spans="1:6" x14ac:dyDescent="0.35">
      <c r="A4053" s="42" t="s">
        <v>857</v>
      </c>
      <c r="B4053" s="42">
        <v>579.91999999999996</v>
      </c>
      <c r="C4053" s="43">
        <v>0.15</v>
      </c>
      <c r="D4053" s="45">
        <v>45962</v>
      </c>
      <c r="E4053" s="45">
        <v>45991.999305555553</v>
      </c>
      <c r="F4053" s="42" t="s">
        <v>475</v>
      </c>
    </row>
    <row r="4054" spans="1:6" x14ac:dyDescent="0.35">
      <c r="A4054" s="42" t="s">
        <v>858</v>
      </c>
      <c r="B4054" s="42">
        <v>579.91999999999996</v>
      </c>
      <c r="C4054" s="43">
        <v>0.15</v>
      </c>
      <c r="D4054" s="45">
        <v>45962</v>
      </c>
      <c r="E4054" s="45">
        <v>45991.999305555553</v>
      </c>
      <c r="F4054" s="42" t="s">
        <v>475</v>
      </c>
    </row>
    <row r="4055" spans="1:6" x14ac:dyDescent="0.35">
      <c r="A4055" s="42" t="s">
        <v>859</v>
      </c>
      <c r="B4055" s="42">
        <v>579.91999999999996</v>
      </c>
      <c r="C4055" s="43">
        <v>0.15</v>
      </c>
      <c r="D4055" s="45">
        <v>45962</v>
      </c>
      <c r="E4055" s="45">
        <v>45991.999305555553</v>
      </c>
      <c r="F4055" s="42" t="s">
        <v>475</v>
      </c>
    </row>
    <row r="4056" spans="1:6" x14ac:dyDescent="0.35">
      <c r="A4056" s="42" t="s">
        <v>860</v>
      </c>
      <c r="B4056" s="42">
        <v>579.91999999999996</v>
      </c>
      <c r="C4056" s="43">
        <v>0.15</v>
      </c>
      <c r="D4056" s="45">
        <v>45962</v>
      </c>
      <c r="E4056" s="45">
        <v>45991.999305555553</v>
      </c>
      <c r="F4056" s="42" t="s">
        <v>475</v>
      </c>
    </row>
    <row r="4057" spans="1:6" x14ac:dyDescent="0.35">
      <c r="A4057" s="42" t="s">
        <v>861</v>
      </c>
      <c r="B4057" s="42">
        <v>579.91999999999996</v>
      </c>
      <c r="C4057" s="43">
        <v>0.15</v>
      </c>
      <c r="D4057" s="45">
        <v>45962</v>
      </c>
      <c r="E4057" s="45">
        <v>45991.999305555553</v>
      </c>
      <c r="F4057" s="42" t="s">
        <v>475</v>
      </c>
    </row>
    <row r="4058" spans="1:6" x14ac:dyDescent="0.35">
      <c r="A4058" s="42" t="s">
        <v>862</v>
      </c>
      <c r="B4058" s="42">
        <v>579.91999999999996</v>
      </c>
      <c r="C4058" s="43">
        <v>0.15</v>
      </c>
      <c r="D4058" s="45">
        <v>45962</v>
      </c>
      <c r="E4058" s="45">
        <v>45991.999305555553</v>
      </c>
      <c r="F4058" s="42" t="s">
        <v>475</v>
      </c>
    </row>
    <row r="4059" spans="1:6" x14ac:dyDescent="0.35">
      <c r="A4059" s="42" t="s">
        <v>890</v>
      </c>
      <c r="B4059" s="42">
        <v>579.91999999999996</v>
      </c>
      <c r="C4059" s="43">
        <v>0.15</v>
      </c>
      <c r="D4059" s="45">
        <v>45962</v>
      </c>
      <c r="E4059" s="45">
        <v>45991.999305555553</v>
      </c>
      <c r="F4059" s="42" t="s">
        <v>475</v>
      </c>
    </row>
    <row r="4060" spans="1:6" x14ac:dyDescent="0.35">
      <c r="A4060" s="42" t="s">
        <v>528</v>
      </c>
      <c r="B4060" s="42">
        <v>679.92</v>
      </c>
      <c r="C4060" s="43">
        <v>0.15</v>
      </c>
      <c r="D4060" s="45">
        <v>45962</v>
      </c>
      <c r="E4060" s="45">
        <v>45991.999305555553</v>
      </c>
      <c r="F4060" s="42" t="s">
        <v>475</v>
      </c>
    </row>
    <row r="4061" spans="1:6" x14ac:dyDescent="0.35">
      <c r="A4061" s="42" t="s">
        <v>543</v>
      </c>
      <c r="B4061" s="42">
        <v>679.92</v>
      </c>
      <c r="C4061" s="43">
        <v>0.15</v>
      </c>
      <c r="D4061" s="45">
        <v>45962</v>
      </c>
      <c r="E4061" s="45">
        <v>45991.999305555553</v>
      </c>
      <c r="F4061" s="42" t="s">
        <v>475</v>
      </c>
    </row>
    <row r="4062" spans="1:6" x14ac:dyDescent="0.35">
      <c r="A4062" s="42" t="s">
        <v>448</v>
      </c>
      <c r="B4062" s="42">
        <v>679.92</v>
      </c>
      <c r="C4062" s="43">
        <v>0.15</v>
      </c>
      <c r="D4062" s="45">
        <v>45962</v>
      </c>
      <c r="E4062" s="45">
        <v>45991.999305555553</v>
      </c>
      <c r="F4062" s="42" t="s">
        <v>475</v>
      </c>
    </row>
    <row r="4063" spans="1:6" x14ac:dyDescent="0.35">
      <c r="A4063" s="42" t="s">
        <v>588</v>
      </c>
      <c r="B4063" s="42">
        <v>679.92</v>
      </c>
      <c r="C4063" s="43">
        <v>0.15</v>
      </c>
      <c r="D4063" s="45">
        <v>45962</v>
      </c>
      <c r="E4063" s="45">
        <v>45991.999305555553</v>
      </c>
      <c r="F4063" s="42" t="s">
        <v>475</v>
      </c>
    </row>
    <row r="4064" spans="1:6" x14ac:dyDescent="0.35">
      <c r="A4064" s="42" t="s">
        <v>589</v>
      </c>
      <c r="B4064" s="42">
        <v>679.92</v>
      </c>
      <c r="C4064" s="43">
        <v>0.15</v>
      </c>
      <c r="D4064" s="45">
        <v>45962</v>
      </c>
      <c r="E4064" s="45">
        <v>45991.999305555553</v>
      </c>
      <c r="F4064" s="42" t="s">
        <v>475</v>
      </c>
    </row>
    <row r="4065" spans="1:6" x14ac:dyDescent="0.35">
      <c r="A4065" s="42" t="s">
        <v>605</v>
      </c>
      <c r="B4065" s="42">
        <v>679.92</v>
      </c>
      <c r="C4065" s="43">
        <v>0.15</v>
      </c>
      <c r="D4065" s="45">
        <v>45962</v>
      </c>
      <c r="E4065" s="45">
        <v>45991.999305555553</v>
      </c>
      <c r="F4065" s="42" t="s">
        <v>475</v>
      </c>
    </row>
    <row r="4066" spans="1:6" x14ac:dyDescent="0.35">
      <c r="A4066" s="42" t="s">
        <v>622</v>
      </c>
      <c r="B4066" s="42">
        <v>679.92</v>
      </c>
      <c r="C4066" s="43">
        <v>0.15</v>
      </c>
      <c r="D4066" s="45">
        <v>45962</v>
      </c>
      <c r="E4066" s="45">
        <v>45991.999305555553</v>
      </c>
      <c r="F4066" s="42" t="s">
        <v>475</v>
      </c>
    </row>
    <row r="4067" spans="1:6" x14ac:dyDescent="0.35">
      <c r="A4067" s="42" t="s">
        <v>824</v>
      </c>
      <c r="B4067" s="42">
        <v>679.92</v>
      </c>
      <c r="C4067" s="43">
        <v>0.15</v>
      </c>
      <c r="D4067" s="45">
        <v>45962</v>
      </c>
      <c r="E4067" s="45">
        <v>45991.999305555553</v>
      </c>
      <c r="F4067" s="42" t="s">
        <v>475</v>
      </c>
    </row>
    <row r="4068" spans="1:6" x14ac:dyDescent="0.35">
      <c r="A4068" s="42" t="s">
        <v>825</v>
      </c>
      <c r="B4068" s="42">
        <v>679.92</v>
      </c>
      <c r="C4068" s="43">
        <v>0.15</v>
      </c>
      <c r="D4068" s="45">
        <v>45962</v>
      </c>
      <c r="E4068" s="45">
        <v>45991.999305555553</v>
      </c>
      <c r="F4068" s="42" t="s">
        <v>475</v>
      </c>
    </row>
    <row r="4069" spans="1:6" x14ac:dyDescent="0.35">
      <c r="A4069" s="42" t="s">
        <v>826</v>
      </c>
      <c r="B4069" s="42">
        <v>679.92</v>
      </c>
      <c r="C4069" s="43">
        <v>0.15</v>
      </c>
      <c r="D4069" s="45">
        <v>45962</v>
      </c>
      <c r="E4069" s="45">
        <v>45991.999305555553</v>
      </c>
      <c r="F4069" s="42" t="s">
        <v>475</v>
      </c>
    </row>
    <row r="4070" spans="1:6" x14ac:dyDescent="0.35">
      <c r="A4070" s="42" t="s">
        <v>827</v>
      </c>
      <c r="B4070" s="42">
        <v>679.92</v>
      </c>
      <c r="C4070" s="43">
        <v>0.15</v>
      </c>
      <c r="D4070" s="45">
        <v>45962</v>
      </c>
      <c r="E4070" s="45">
        <v>45991.999305555553</v>
      </c>
      <c r="F4070" s="42" t="s">
        <v>475</v>
      </c>
    </row>
    <row r="4071" spans="1:6" x14ac:dyDescent="0.35">
      <c r="A4071" s="42" t="s">
        <v>828</v>
      </c>
      <c r="B4071" s="42">
        <v>679.92</v>
      </c>
      <c r="C4071" s="43">
        <v>0.15</v>
      </c>
      <c r="D4071" s="45">
        <v>45962</v>
      </c>
      <c r="E4071" s="45">
        <v>45991.999305555553</v>
      </c>
      <c r="F4071" s="42" t="s">
        <v>475</v>
      </c>
    </row>
    <row r="4072" spans="1:6" x14ac:dyDescent="0.35">
      <c r="A4072" s="42" t="s">
        <v>829</v>
      </c>
      <c r="B4072" s="42">
        <v>679.92</v>
      </c>
      <c r="C4072" s="43">
        <v>0.15</v>
      </c>
      <c r="D4072" s="45">
        <v>45962</v>
      </c>
      <c r="E4072" s="45">
        <v>45991.999305555553</v>
      </c>
      <c r="F4072" s="42" t="s">
        <v>475</v>
      </c>
    </row>
    <row r="4073" spans="1:6" x14ac:dyDescent="0.35">
      <c r="A4073" s="42" t="s">
        <v>502</v>
      </c>
      <c r="B4073" s="42">
        <v>1219.92</v>
      </c>
      <c r="C4073" s="43">
        <v>0.15</v>
      </c>
      <c r="D4073" s="45">
        <v>45962</v>
      </c>
      <c r="E4073" s="45">
        <v>45991.999305555553</v>
      </c>
      <c r="F4073" s="42" t="s">
        <v>475</v>
      </c>
    </row>
    <row r="4074" spans="1:6" x14ac:dyDescent="0.35">
      <c r="A4074" s="42" t="s">
        <v>503</v>
      </c>
      <c r="B4074" s="42">
        <v>1219.92</v>
      </c>
      <c r="C4074" s="43">
        <v>0.15</v>
      </c>
      <c r="D4074" s="45">
        <v>45962</v>
      </c>
      <c r="E4074" s="45">
        <v>45991.999305555553</v>
      </c>
      <c r="F4074" s="42" t="s">
        <v>475</v>
      </c>
    </row>
    <row r="4075" spans="1:6" x14ac:dyDescent="0.35">
      <c r="A4075" s="42" t="s">
        <v>267</v>
      </c>
      <c r="B4075" s="42">
        <v>1219.92</v>
      </c>
      <c r="C4075" s="43">
        <v>0.15</v>
      </c>
      <c r="D4075" s="45">
        <v>45962</v>
      </c>
      <c r="E4075" s="45">
        <v>45991.999305555553</v>
      </c>
      <c r="F4075" s="42" t="s">
        <v>475</v>
      </c>
    </row>
    <row r="4076" spans="1:6" x14ac:dyDescent="0.35">
      <c r="A4076" s="42" t="s">
        <v>88</v>
      </c>
      <c r="B4076" s="42">
        <v>1219.92</v>
      </c>
      <c r="C4076" s="43">
        <v>0.15</v>
      </c>
      <c r="D4076" s="45">
        <v>45962</v>
      </c>
      <c r="E4076" s="45">
        <v>45991.999305555553</v>
      </c>
      <c r="F4076" s="42" t="s">
        <v>475</v>
      </c>
    </row>
    <row r="4077" spans="1:6" x14ac:dyDescent="0.35">
      <c r="A4077" s="42" t="s">
        <v>457</v>
      </c>
      <c r="B4077" s="42">
        <v>1219.92</v>
      </c>
      <c r="C4077" s="43">
        <v>0.15</v>
      </c>
      <c r="D4077" s="45">
        <v>45962</v>
      </c>
      <c r="E4077" s="45">
        <v>45991.999305555553</v>
      </c>
      <c r="F4077" s="42" t="s">
        <v>475</v>
      </c>
    </row>
    <row r="4078" spans="1:6" x14ac:dyDescent="0.35">
      <c r="A4078" s="42" t="s">
        <v>620</v>
      </c>
      <c r="B4078" s="42">
        <v>1219.92</v>
      </c>
      <c r="C4078" s="43">
        <v>0.15</v>
      </c>
      <c r="D4078" s="45">
        <v>45962</v>
      </c>
      <c r="E4078" s="45">
        <v>45991.999305555553</v>
      </c>
      <c r="F4078" s="42" t="s">
        <v>475</v>
      </c>
    </row>
    <row r="4079" spans="1:6" x14ac:dyDescent="0.35">
      <c r="A4079" s="42" t="s">
        <v>650</v>
      </c>
      <c r="B4079" s="42">
        <v>1219.92</v>
      </c>
      <c r="C4079" s="43">
        <v>0.15</v>
      </c>
      <c r="D4079" s="45">
        <v>45962</v>
      </c>
      <c r="E4079" s="45">
        <v>45991.999305555553</v>
      </c>
      <c r="F4079" s="42" t="s">
        <v>475</v>
      </c>
    </row>
    <row r="4080" spans="1:6" x14ac:dyDescent="0.35">
      <c r="A4080" s="42" t="s">
        <v>674</v>
      </c>
      <c r="B4080" s="42">
        <v>1219.92</v>
      </c>
      <c r="C4080" s="43">
        <v>0.15</v>
      </c>
      <c r="D4080" s="45">
        <v>45962</v>
      </c>
      <c r="E4080" s="45">
        <v>45991.999305555553</v>
      </c>
      <c r="F4080" s="42" t="s">
        <v>475</v>
      </c>
    </row>
    <row r="4081" spans="1:6" x14ac:dyDescent="0.35">
      <c r="A4081" s="42" t="s">
        <v>722</v>
      </c>
      <c r="B4081" s="42">
        <v>1219.92</v>
      </c>
      <c r="C4081" s="43">
        <v>0.15</v>
      </c>
      <c r="D4081" s="45">
        <v>45962</v>
      </c>
      <c r="E4081" s="45">
        <v>45991.999305555553</v>
      </c>
      <c r="F4081" s="42" t="s">
        <v>475</v>
      </c>
    </row>
    <row r="4082" spans="1:6" x14ac:dyDescent="0.35">
      <c r="A4082" s="42" t="s">
        <v>723</v>
      </c>
      <c r="B4082" s="42">
        <v>1219.92</v>
      </c>
      <c r="C4082" s="43">
        <v>0.15</v>
      </c>
      <c r="D4082" s="45">
        <v>45962</v>
      </c>
      <c r="E4082" s="45">
        <v>45991.999305555553</v>
      </c>
      <c r="F4082" s="42" t="s">
        <v>475</v>
      </c>
    </row>
    <row r="4083" spans="1:6" x14ac:dyDescent="0.35">
      <c r="A4083" s="42" t="s">
        <v>488</v>
      </c>
      <c r="B4083" s="42">
        <v>1429.92</v>
      </c>
      <c r="C4083" s="43">
        <v>0.15</v>
      </c>
      <c r="D4083" s="45">
        <v>45962</v>
      </c>
      <c r="E4083" s="45">
        <v>45991.999305555553</v>
      </c>
      <c r="F4083" s="42" t="s">
        <v>475</v>
      </c>
    </row>
    <row r="4084" spans="1:6" x14ac:dyDescent="0.35">
      <c r="A4084" s="42" t="s">
        <v>104</v>
      </c>
      <c r="B4084" s="42">
        <v>1429.92</v>
      </c>
      <c r="C4084" s="43">
        <v>0.15</v>
      </c>
      <c r="D4084" s="45">
        <v>45962</v>
      </c>
      <c r="E4084" s="45">
        <v>45991.999305555553</v>
      </c>
      <c r="F4084" s="42" t="s">
        <v>475</v>
      </c>
    </row>
    <row r="4085" spans="1:6" x14ac:dyDescent="0.35">
      <c r="A4085" s="42" t="s">
        <v>494</v>
      </c>
      <c r="B4085" s="42">
        <v>1529.92</v>
      </c>
      <c r="C4085" s="43">
        <v>0.15</v>
      </c>
      <c r="D4085" s="45">
        <v>45962</v>
      </c>
      <c r="E4085" s="45">
        <v>45991.999305555553</v>
      </c>
      <c r="F4085" s="42" t="s">
        <v>475</v>
      </c>
    </row>
    <row r="4086" spans="1:6" x14ac:dyDescent="0.35">
      <c r="A4086" s="42" t="s">
        <v>531</v>
      </c>
      <c r="B4086" s="42">
        <v>1529.92</v>
      </c>
      <c r="C4086" s="43">
        <v>0.15</v>
      </c>
      <c r="D4086" s="45">
        <v>45962</v>
      </c>
      <c r="E4086" s="45">
        <v>45991.999305555553</v>
      </c>
      <c r="F4086" s="42" t="s">
        <v>475</v>
      </c>
    </row>
    <row r="4087" spans="1:6" x14ac:dyDescent="0.35">
      <c r="A4087" s="42" t="s">
        <v>63</v>
      </c>
      <c r="B4087" s="42">
        <v>1529.92</v>
      </c>
      <c r="C4087" s="43">
        <v>0.15</v>
      </c>
      <c r="D4087" s="45">
        <v>45962</v>
      </c>
      <c r="E4087" s="45">
        <v>45991.999305555553</v>
      </c>
      <c r="F4087" s="42" t="s">
        <v>475</v>
      </c>
    </row>
    <row r="4088" spans="1:6" x14ac:dyDescent="0.35">
      <c r="A4088" s="42" t="s">
        <v>65</v>
      </c>
      <c r="B4088" s="42">
        <v>1529.92</v>
      </c>
      <c r="C4088" s="43">
        <v>0.15</v>
      </c>
      <c r="D4088" s="45">
        <v>45962</v>
      </c>
      <c r="E4088" s="45">
        <v>45991.999305555553</v>
      </c>
      <c r="F4088" s="42" t="s">
        <v>475</v>
      </c>
    </row>
    <row r="4089" spans="1:6" x14ac:dyDescent="0.35">
      <c r="A4089" s="42" t="s">
        <v>276</v>
      </c>
      <c r="B4089" s="42">
        <v>1529.92</v>
      </c>
      <c r="C4089" s="43">
        <v>0.15</v>
      </c>
      <c r="D4089" s="45">
        <v>45962</v>
      </c>
      <c r="E4089" s="45">
        <v>45991.999305555553</v>
      </c>
      <c r="F4089" s="42" t="s">
        <v>475</v>
      </c>
    </row>
    <row r="4090" spans="1:6" x14ac:dyDescent="0.35">
      <c r="A4090" s="42" t="s">
        <v>807</v>
      </c>
      <c r="B4090" s="42">
        <v>1529.92</v>
      </c>
      <c r="C4090" s="43">
        <v>0.15</v>
      </c>
      <c r="D4090" s="45">
        <v>45962</v>
      </c>
      <c r="E4090" s="45">
        <v>45991.999305555553</v>
      </c>
      <c r="F4090" s="42" t="s">
        <v>475</v>
      </c>
    </row>
    <row r="4091" spans="1:6" x14ac:dyDescent="0.35">
      <c r="A4091" s="42" t="s">
        <v>669</v>
      </c>
      <c r="B4091" s="42">
        <v>2389.92</v>
      </c>
      <c r="C4091" s="43">
        <v>0.15</v>
      </c>
      <c r="D4091" s="45">
        <v>45962</v>
      </c>
      <c r="E4091" s="45">
        <v>45991.999305555553</v>
      </c>
      <c r="F4091" s="42" t="s">
        <v>475</v>
      </c>
    </row>
    <row r="4092" spans="1:6" x14ac:dyDescent="0.35">
      <c r="A4092" s="42" t="s">
        <v>803</v>
      </c>
      <c r="B4092" s="42">
        <v>1979.92</v>
      </c>
      <c r="C4092" s="43">
        <v>0.15</v>
      </c>
      <c r="D4092" s="45">
        <v>45962</v>
      </c>
      <c r="E4092" s="45">
        <v>45991.999305555553</v>
      </c>
      <c r="F4092" s="42" t="s">
        <v>475</v>
      </c>
    </row>
    <row r="4093" spans="1:6" x14ac:dyDescent="0.35">
      <c r="A4093" s="42" t="s">
        <v>811</v>
      </c>
      <c r="B4093" s="42">
        <v>1979.92</v>
      </c>
      <c r="C4093" s="43">
        <v>0.15</v>
      </c>
      <c r="D4093" s="45">
        <v>45962</v>
      </c>
      <c r="E4093" s="45">
        <v>45991.999305555553</v>
      </c>
      <c r="F4093" s="42" t="s">
        <v>475</v>
      </c>
    </row>
    <row r="4094" spans="1:6" x14ac:dyDescent="0.35">
      <c r="A4094" s="42" t="s">
        <v>643</v>
      </c>
      <c r="B4094" s="42">
        <v>2089.92</v>
      </c>
      <c r="C4094" s="43">
        <v>0.15</v>
      </c>
      <c r="D4094" s="45">
        <v>45962</v>
      </c>
      <c r="E4094" s="45">
        <v>45991.999305555553</v>
      </c>
      <c r="F4094" s="42" t="s">
        <v>475</v>
      </c>
    </row>
    <row r="4095" spans="1:6" x14ac:dyDescent="0.35">
      <c r="A4095" s="42" t="s">
        <v>812</v>
      </c>
      <c r="B4095" s="42">
        <v>2089.92</v>
      </c>
      <c r="C4095" s="43">
        <v>0.15</v>
      </c>
      <c r="D4095" s="45">
        <v>45962</v>
      </c>
      <c r="E4095" s="45">
        <v>45991.999305555553</v>
      </c>
      <c r="F4095" s="42" t="s">
        <v>475</v>
      </c>
    </row>
    <row r="4096" spans="1:6" x14ac:dyDescent="0.35">
      <c r="A4096" s="42" t="s">
        <v>327</v>
      </c>
      <c r="B4096" s="42">
        <v>2419.92</v>
      </c>
      <c r="C4096" s="43">
        <v>0.15</v>
      </c>
      <c r="D4096" s="45">
        <v>45962</v>
      </c>
      <c r="E4096" s="45">
        <v>45991.999305555553</v>
      </c>
      <c r="F4096" s="42" t="s">
        <v>475</v>
      </c>
    </row>
    <row r="4097" spans="1:6" x14ac:dyDescent="0.35">
      <c r="A4097" s="42" t="s">
        <v>45</v>
      </c>
      <c r="B4097" s="42">
        <v>469.92</v>
      </c>
      <c r="C4097" s="43">
        <v>0.15</v>
      </c>
      <c r="D4097" s="45">
        <v>45962</v>
      </c>
      <c r="E4097" s="45">
        <v>45991.999305555553</v>
      </c>
      <c r="F4097" s="42" t="s">
        <v>475</v>
      </c>
    </row>
    <row r="4098" spans="1:6" x14ac:dyDescent="0.35">
      <c r="A4098" s="42" t="s">
        <v>587</v>
      </c>
      <c r="B4098" s="42">
        <v>619.91999999999996</v>
      </c>
      <c r="C4098" s="43">
        <v>0.15</v>
      </c>
      <c r="D4098" s="45">
        <v>45962</v>
      </c>
      <c r="E4098" s="45">
        <v>45991.999305555553</v>
      </c>
      <c r="F4098" s="42" t="s">
        <v>475</v>
      </c>
    </row>
    <row r="4099" spans="1:6" x14ac:dyDescent="0.35">
      <c r="A4099" s="42" t="s">
        <v>485</v>
      </c>
      <c r="B4099" s="42">
        <v>1089.92</v>
      </c>
      <c r="C4099" s="43">
        <v>0.15</v>
      </c>
      <c r="D4099" s="45">
        <v>45962</v>
      </c>
      <c r="E4099" s="45">
        <v>45991.999305555553</v>
      </c>
      <c r="F4099" s="42" t="s">
        <v>475</v>
      </c>
    </row>
    <row r="4100" spans="1:6" x14ac:dyDescent="0.35">
      <c r="A4100" s="42" t="s">
        <v>568</v>
      </c>
      <c r="B4100" s="42">
        <v>279.92</v>
      </c>
      <c r="C4100" s="43">
        <v>0.15</v>
      </c>
      <c r="D4100" s="45">
        <v>45962</v>
      </c>
      <c r="E4100" s="45">
        <v>45991.999305555553</v>
      </c>
      <c r="F4100" s="42" t="s">
        <v>475</v>
      </c>
    </row>
    <row r="4101" spans="1:6" x14ac:dyDescent="0.35">
      <c r="A4101" s="42" t="s">
        <v>506</v>
      </c>
      <c r="B4101" s="42">
        <v>1359.92</v>
      </c>
      <c r="C4101" s="43">
        <v>0.15</v>
      </c>
      <c r="D4101" s="45">
        <v>45962</v>
      </c>
      <c r="E4101" s="45">
        <v>45991.999305555553</v>
      </c>
      <c r="F4101" s="42" t="s">
        <v>475</v>
      </c>
    </row>
    <row r="4102" spans="1:6" x14ac:dyDescent="0.35">
      <c r="A4102" s="42" t="s">
        <v>509</v>
      </c>
      <c r="B4102" s="42">
        <v>2689.92</v>
      </c>
      <c r="C4102" s="43">
        <v>0.15</v>
      </c>
      <c r="D4102" s="45">
        <v>45962</v>
      </c>
      <c r="E4102" s="45">
        <v>45991.999305555553</v>
      </c>
      <c r="F4102" s="42" t="s">
        <v>475</v>
      </c>
    </row>
    <row r="4103" spans="1:6" x14ac:dyDescent="0.35">
      <c r="A4103" s="42" t="s">
        <v>11</v>
      </c>
      <c r="B4103" s="42">
        <v>389.92</v>
      </c>
      <c r="C4103" s="43">
        <v>0.15</v>
      </c>
      <c r="D4103" s="45">
        <v>45962</v>
      </c>
      <c r="E4103" s="45">
        <v>45991.999305555553</v>
      </c>
      <c r="F4103" s="42" t="s">
        <v>475</v>
      </c>
    </row>
    <row r="4104" spans="1:6" x14ac:dyDescent="0.35">
      <c r="A4104" s="42" t="s">
        <v>505</v>
      </c>
      <c r="B4104" s="42">
        <v>1299.92</v>
      </c>
      <c r="C4104" s="43">
        <v>0.15</v>
      </c>
      <c r="D4104" s="45">
        <v>45962</v>
      </c>
      <c r="E4104" s="45">
        <v>45991.999305555553</v>
      </c>
      <c r="F4104" s="42" t="s">
        <v>475</v>
      </c>
    </row>
    <row r="4105" spans="1:6" x14ac:dyDescent="0.35">
      <c r="A4105" s="42" t="s">
        <v>565</v>
      </c>
      <c r="B4105" s="42">
        <v>189.92</v>
      </c>
      <c r="C4105" s="43">
        <v>0.15</v>
      </c>
      <c r="D4105" s="45">
        <v>45962</v>
      </c>
      <c r="E4105" s="45">
        <v>45991.999305555553</v>
      </c>
      <c r="F4105" s="42" t="s">
        <v>475</v>
      </c>
    </row>
    <row r="4106" spans="1:6" x14ac:dyDescent="0.35">
      <c r="A4106" s="42" t="s">
        <v>466</v>
      </c>
      <c r="B4106" s="42">
        <v>1329.92</v>
      </c>
      <c r="C4106" s="43">
        <v>0.15</v>
      </c>
      <c r="D4106" s="45">
        <v>45962</v>
      </c>
      <c r="E4106" s="45">
        <v>45991.999305555553</v>
      </c>
      <c r="F4106" s="42" t="s">
        <v>475</v>
      </c>
    </row>
    <row r="4107" spans="1:6" x14ac:dyDescent="0.35">
      <c r="A4107" s="42" t="s">
        <v>510</v>
      </c>
      <c r="B4107" s="42">
        <v>2739.92</v>
      </c>
      <c r="C4107" s="43">
        <v>0.15</v>
      </c>
      <c r="D4107" s="45">
        <v>45962</v>
      </c>
      <c r="E4107" s="45">
        <v>45991.999305555553</v>
      </c>
      <c r="F4107" s="42" t="s">
        <v>475</v>
      </c>
    </row>
    <row r="4108" spans="1:6" x14ac:dyDescent="0.35">
      <c r="A4108" s="42" t="s">
        <v>578</v>
      </c>
      <c r="B4108" s="42">
        <v>469.92</v>
      </c>
      <c r="C4108" s="43">
        <v>0.15</v>
      </c>
      <c r="D4108" s="45">
        <v>45962</v>
      </c>
      <c r="E4108" s="45">
        <v>45991.999305555553</v>
      </c>
      <c r="F4108" s="42" t="s">
        <v>475</v>
      </c>
    </row>
    <row r="4109" spans="1:6" x14ac:dyDescent="0.35">
      <c r="A4109" s="42" t="s">
        <v>575</v>
      </c>
      <c r="B4109" s="42">
        <v>429.92</v>
      </c>
      <c r="C4109" s="43">
        <v>0.15</v>
      </c>
      <c r="D4109" s="45">
        <v>45962</v>
      </c>
      <c r="E4109" s="45">
        <v>45991.999305555553</v>
      </c>
      <c r="F4109" s="42" t="s">
        <v>475</v>
      </c>
    </row>
    <row r="4110" spans="1:6" x14ac:dyDescent="0.35">
      <c r="A4110" s="42" t="s">
        <v>23</v>
      </c>
      <c r="B4110" s="42">
        <v>469.92</v>
      </c>
      <c r="C4110" s="43">
        <v>0.15</v>
      </c>
      <c r="D4110" s="45">
        <v>45962</v>
      </c>
      <c r="E4110" s="45">
        <v>45991.999305555553</v>
      </c>
      <c r="F4110" s="42" t="s">
        <v>475</v>
      </c>
    </row>
    <row r="4111" spans="1:6" x14ac:dyDescent="0.35">
      <c r="A4111" s="42" t="s">
        <v>527</v>
      </c>
      <c r="B4111" s="42">
        <v>839.92</v>
      </c>
      <c r="C4111" s="43">
        <v>0.15</v>
      </c>
      <c r="D4111" s="45">
        <v>45962</v>
      </c>
      <c r="E4111" s="45">
        <v>45991.999305555553</v>
      </c>
      <c r="F4111" s="42" t="s">
        <v>475</v>
      </c>
    </row>
    <row r="4112" spans="1:6" x14ac:dyDescent="0.35">
      <c r="A4112" s="42" t="s">
        <v>526</v>
      </c>
      <c r="B4112" s="42">
        <v>839.92</v>
      </c>
      <c r="C4112" s="43">
        <v>0.15</v>
      </c>
      <c r="D4112" s="45">
        <v>45962</v>
      </c>
      <c r="E4112" s="45">
        <v>45991.999305555553</v>
      </c>
      <c r="F4112" s="42" t="s">
        <v>475</v>
      </c>
    </row>
    <row r="4113" spans="1:6" x14ac:dyDescent="0.35">
      <c r="A4113" s="42" t="s">
        <v>90</v>
      </c>
      <c r="B4113" s="42">
        <v>719.92</v>
      </c>
      <c r="C4113" s="43">
        <v>0.15</v>
      </c>
      <c r="D4113" s="45">
        <v>45962</v>
      </c>
      <c r="E4113" s="45">
        <v>45991.999305555553</v>
      </c>
      <c r="F4113" s="42" t="s">
        <v>475</v>
      </c>
    </row>
    <row r="4114" spans="1:6" x14ac:dyDescent="0.35">
      <c r="A4114" s="42" t="s">
        <v>508</v>
      </c>
      <c r="B4114" s="42">
        <v>2529.92</v>
      </c>
      <c r="C4114" s="43">
        <v>0.15</v>
      </c>
      <c r="D4114" s="45">
        <v>45962</v>
      </c>
      <c r="E4114" s="45">
        <v>45991.999305555553</v>
      </c>
      <c r="F4114" s="42" t="s">
        <v>475</v>
      </c>
    </row>
    <row r="4115" spans="1:6" x14ac:dyDescent="0.35">
      <c r="A4115" s="42" t="s">
        <v>533</v>
      </c>
      <c r="B4115" s="42">
        <v>1259.92</v>
      </c>
      <c r="C4115" s="43">
        <v>0.15</v>
      </c>
      <c r="D4115" s="45">
        <v>45962</v>
      </c>
      <c r="E4115" s="45">
        <v>45991.999305555553</v>
      </c>
      <c r="F4115" s="42" t="s">
        <v>475</v>
      </c>
    </row>
    <row r="4116" spans="1:6" x14ac:dyDescent="0.35">
      <c r="A4116" s="42" t="s">
        <v>569</v>
      </c>
      <c r="B4116" s="42">
        <v>259.92</v>
      </c>
      <c r="C4116" s="43">
        <v>0.15</v>
      </c>
      <c r="D4116" s="45">
        <v>45962</v>
      </c>
      <c r="E4116" s="45">
        <v>45991.999305555553</v>
      </c>
      <c r="F4116" s="42" t="s">
        <v>475</v>
      </c>
    </row>
    <row r="4117" spans="1:6" x14ac:dyDescent="0.35">
      <c r="A4117" s="42" t="s">
        <v>60</v>
      </c>
      <c r="B4117" s="42">
        <v>1089.92</v>
      </c>
      <c r="C4117" s="43">
        <v>0.15</v>
      </c>
      <c r="D4117" s="45">
        <v>45962</v>
      </c>
      <c r="E4117" s="45">
        <v>45991.999305555553</v>
      </c>
      <c r="F4117" s="42" t="s">
        <v>475</v>
      </c>
    </row>
    <row r="4118" spans="1:6" x14ac:dyDescent="0.35">
      <c r="A4118" s="42" t="s">
        <v>500</v>
      </c>
      <c r="B4118" s="42">
        <v>969.92</v>
      </c>
      <c r="C4118" s="43">
        <v>0.15</v>
      </c>
      <c r="D4118" s="45">
        <v>45962</v>
      </c>
      <c r="E4118" s="45">
        <v>45991.999305555553</v>
      </c>
      <c r="F4118" s="42" t="s">
        <v>475</v>
      </c>
    </row>
    <row r="4119" spans="1:6" x14ac:dyDescent="0.35">
      <c r="A4119" s="42" t="s">
        <v>595</v>
      </c>
      <c r="B4119" s="42">
        <v>2639.92</v>
      </c>
      <c r="C4119" s="43">
        <v>0.15</v>
      </c>
      <c r="D4119" s="45">
        <v>45962</v>
      </c>
      <c r="E4119" s="45">
        <v>45991.999305555553</v>
      </c>
      <c r="F4119" s="42" t="s">
        <v>475</v>
      </c>
    </row>
    <row r="4120" spans="1:6" x14ac:dyDescent="0.35">
      <c r="A4120" s="42" t="s">
        <v>316</v>
      </c>
      <c r="B4120" s="42">
        <v>1839.92</v>
      </c>
      <c r="C4120" s="43">
        <v>0.15</v>
      </c>
      <c r="D4120" s="45">
        <v>45962</v>
      </c>
      <c r="E4120" s="45">
        <v>45991.999305555553</v>
      </c>
      <c r="F4120" s="42" t="s">
        <v>475</v>
      </c>
    </row>
    <row r="4121" spans="1:6" x14ac:dyDescent="0.35">
      <c r="A4121" s="42" t="s">
        <v>490</v>
      </c>
      <c r="B4121" s="42">
        <v>1839.92</v>
      </c>
      <c r="C4121" s="43">
        <v>0.15</v>
      </c>
      <c r="D4121" s="45">
        <v>45962</v>
      </c>
      <c r="E4121" s="45">
        <v>45991.999305555553</v>
      </c>
      <c r="F4121" s="42" t="s">
        <v>475</v>
      </c>
    </row>
    <row r="4122" spans="1:6" x14ac:dyDescent="0.35">
      <c r="A4122" s="42" t="s">
        <v>590</v>
      </c>
      <c r="B4122" s="42">
        <v>699.92</v>
      </c>
      <c r="C4122" s="43">
        <v>0.15</v>
      </c>
      <c r="D4122" s="45">
        <v>45962</v>
      </c>
      <c r="E4122" s="45">
        <v>45991.999305555553</v>
      </c>
      <c r="F4122" s="42" t="s">
        <v>475</v>
      </c>
    </row>
    <row r="4123" spans="1:6" x14ac:dyDescent="0.35">
      <c r="A4123" s="42" t="s">
        <v>596</v>
      </c>
      <c r="B4123" s="42">
        <v>2929.92</v>
      </c>
      <c r="C4123" s="43">
        <v>0.15</v>
      </c>
      <c r="D4123" s="45">
        <v>45962</v>
      </c>
      <c r="E4123" s="45">
        <v>45991.999305555553</v>
      </c>
      <c r="F4123" s="42" t="s">
        <v>475</v>
      </c>
    </row>
    <row r="4124" spans="1:6" x14ac:dyDescent="0.35">
      <c r="A4124" s="42" t="s">
        <v>486</v>
      </c>
      <c r="B4124" s="42">
        <v>1119.92</v>
      </c>
      <c r="C4124" s="43">
        <v>0.15</v>
      </c>
      <c r="D4124" s="45">
        <v>45962</v>
      </c>
      <c r="E4124" s="45">
        <v>45991.999305555553</v>
      </c>
      <c r="F4124" s="42" t="s">
        <v>475</v>
      </c>
    </row>
    <row r="4125" spans="1:6" x14ac:dyDescent="0.35">
      <c r="A4125" s="42" t="s">
        <v>507</v>
      </c>
      <c r="B4125" s="42">
        <v>1619.92</v>
      </c>
      <c r="C4125" s="43">
        <v>0.15</v>
      </c>
      <c r="D4125" s="45">
        <v>45962</v>
      </c>
      <c r="E4125" s="45">
        <v>45991.999305555553</v>
      </c>
      <c r="F4125" s="42" t="s">
        <v>475</v>
      </c>
    </row>
    <row r="4126" spans="1:6" x14ac:dyDescent="0.35">
      <c r="A4126" s="42" t="s">
        <v>574</v>
      </c>
      <c r="B4126" s="42">
        <v>469.92</v>
      </c>
      <c r="C4126" s="43">
        <v>0.15</v>
      </c>
      <c r="D4126" s="45">
        <v>45962</v>
      </c>
      <c r="E4126" s="45">
        <v>45991.999305555553</v>
      </c>
      <c r="F4126" s="42" t="s">
        <v>475</v>
      </c>
    </row>
    <row r="4127" spans="1:6" x14ac:dyDescent="0.35">
      <c r="A4127" s="42" t="s">
        <v>580</v>
      </c>
      <c r="B4127" s="42">
        <v>489.92</v>
      </c>
      <c r="C4127" s="43">
        <v>0.15</v>
      </c>
      <c r="D4127" s="45">
        <v>45962</v>
      </c>
      <c r="E4127" s="45">
        <v>45991.999305555553</v>
      </c>
      <c r="F4127" s="42" t="s">
        <v>475</v>
      </c>
    </row>
    <row r="4128" spans="1:6" x14ac:dyDescent="0.35">
      <c r="A4128" s="42" t="s">
        <v>8</v>
      </c>
      <c r="B4128" s="42">
        <v>389.92</v>
      </c>
      <c r="C4128" s="43">
        <v>0.15</v>
      </c>
      <c r="D4128" s="45">
        <v>45962</v>
      </c>
      <c r="E4128" s="45">
        <v>45991.999305555553</v>
      </c>
      <c r="F4128" s="42" t="s">
        <v>475</v>
      </c>
    </row>
    <row r="4129" spans="1:6" x14ac:dyDescent="0.35">
      <c r="A4129" s="42" t="s">
        <v>9</v>
      </c>
      <c r="B4129" s="42">
        <v>389.92</v>
      </c>
      <c r="C4129" s="43">
        <v>0.15</v>
      </c>
      <c r="D4129" s="45">
        <v>45962</v>
      </c>
      <c r="E4129" s="45">
        <v>45991.999305555553</v>
      </c>
      <c r="F4129" s="42" t="s">
        <v>475</v>
      </c>
    </row>
    <row r="4130" spans="1:6" x14ac:dyDescent="0.35">
      <c r="A4130" s="42" t="s">
        <v>67</v>
      </c>
      <c r="B4130" s="42">
        <v>389.92</v>
      </c>
      <c r="C4130" s="43">
        <v>0.15</v>
      </c>
      <c r="D4130" s="45">
        <v>45962</v>
      </c>
      <c r="E4130" s="45">
        <v>45991.999305555553</v>
      </c>
      <c r="F4130" s="42" t="s">
        <v>475</v>
      </c>
    </row>
    <row r="4131" spans="1:6" x14ac:dyDescent="0.35">
      <c r="A4131" s="42" t="s">
        <v>564</v>
      </c>
      <c r="B4131" s="42">
        <v>469.92</v>
      </c>
      <c r="C4131" s="43">
        <v>0.15</v>
      </c>
      <c r="D4131" s="45">
        <v>45962</v>
      </c>
      <c r="E4131" s="45">
        <v>45991.999305555553</v>
      </c>
      <c r="F4131" s="42" t="s">
        <v>475</v>
      </c>
    </row>
    <row r="4132" spans="1:6" x14ac:dyDescent="0.35">
      <c r="A4132" s="42" t="s">
        <v>491</v>
      </c>
      <c r="B4132" s="42">
        <v>2269.92</v>
      </c>
      <c r="C4132" s="43">
        <v>0.15</v>
      </c>
      <c r="D4132" s="45">
        <v>45962</v>
      </c>
      <c r="E4132" s="45">
        <v>45991.999305555553</v>
      </c>
      <c r="F4132" s="42" t="s">
        <v>475</v>
      </c>
    </row>
    <row r="4133" spans="1:6" x14ac:dyDescent="0.35">
      <c r="A4133" s="42" t="s">
        <v>33</v>
      </c>
      <c r="B4133" s="42">
        <v>969.92</v>
      </c>
      <c r="C4133" s="43">
        <v>0.15</v>
      </c>
      <c r="D4133" s="45">
        <v>45962</v>
      </c>
      <c r="E4133" s="45">
        <v>45991.999305555553</v>
      </c>
      <c r="F4133" s="42" t="s">
        <v>475</v>
      </c>
    </row>
    <row r="4134" spans="1:6" x14ac:dyDescent="0.35">
      <c r="A4134" s="42" t="s">
        <v>480</v>
      </c>
      <c r="B4134" s="42">
        <v>719.92</v>
      </c>
      <c r="C4134" s="43">
        <v>0.15</v>
      </c>
      <c r="D4134" s="45">
        <v>45962</v>
      </c>
      <c r="E4134" s="45">
        <v>45991.999305555553</v>
      </c>
      <c r="F4134" s="42" t="s">
        <v>475</v>
      </c>
    </row>
    <row r="4135" spans="1:6" x14ac:dyDescent="0.35">
      <c r="A4135" s="42" t="s">
        <v>479</v>
      </c>
      <c r="B4135" s="42">
        <v>719.92</v>
      </c>
      <c r="C4135" s="43">
        <v>0.15</v>
      </c>
      <c r="D4135" s="45">
        <v>45962</v>
      </c>
      <c r="E4135" s="45">
        <v>45991.999305555553</v>
      </c>
      <c r="F4135" s="42" t="s">
        <v>475</v>
      </c>
    </row>
    <row r="4136" spans="1:6" x14ac:dyDescent="0.35">
      <c r="A4136" s="42" t="s">
        <v>623</v>
      </c>
      <c r="B4136" s="42">
        <v>719.92</v>
      </c>
      <c r="C4136" s="43">
        <v>0.15</v>
      </c>
      <c r="D4136" s="45">
        <v>45962</v>
      </c>
      <c r="E4136" s="45">
        <v>45991.999305555553</v>
      </c>
      <c r="F4136" s="42" t="s">
        <v>475</v>
      </c>
    </row>
    <row r="4137" spans="1:6" x14ac:dyDescent="0.35">
      <c r="A4137" s="42" t="s">
        <v>401</v>
      </c>
      <c r="B4137" s="42">
        <v>1469.92</v>
      </c>
      <c r="C4137" s="43">
        <v>0.15</v>
      </c>
      <c r="D4137" s="45">
        <v>45962</v>
      </c>
      <c r="E4137" s="45">
        <v>45991.999305555553</v>
      </c>
      <c r="F4137" s="42" t="s">
        <v>475</v>
      </c>
    </row>
    <row r="4138" spans="1:6" x14ac:dyDescent="0.35">
      <c r="A4138" s="42" t="s">
        <v>50</v>
      </c>
      <c r="B4138" s="42">
        <v>1929.92</v>
      </c>
      <c r="C4138" s="43">
        <v>0.15</v>
      </c>
      <c r="D4138" s="45">
        <v>45962</v>
      </c>
      <c r="E4138" s="45">
        <v>45991.999305555553</v>
      </c>
      <c r="F4138" s="42" t="s">
        <v>475</v>
      </c>
    </row>
    <row r="4139" spans="1:6" x14ac:dyDescent="0.35">
      <c r="A4139" s="42" t="s">
        <v>482</v>
      </c>
      <c r="B4139" s="42">
        <v>919.92</v>
      </c>
      <c r="C4139" s="43">
        <v>0.15</v>
      </c>
      <c r="D4139" s="45">
        <v>45962</v>
      </c>
      <c r="E4139" s="45">
        <v>45991.999305555553</v>
      </c>
      <c r="F4139" s="42" t="s">
        <v>475</v>
      </c>
    </row>
    <row r="4140" spans="1:6" x14ac:dyDescent="0.35">
      <c r="A4140" s="42" t="s">
        <v>459</v>
      </c>
      <c r="B4140" s="42">
        <v>919.92</v>
      </c>
      <c r="C4140" s="43">
        <v>0.15</v>
      </c>
      <c r="D4140" s="45">
        <v>45962</v>
      </c>
      <c r="E4140" s="45">
        <v>45991.999305555553</v>
      </c>
      <c r="F4140" s="42" t="s">
        <v>475</v>
      </c>
    </row>
    <row r="4141" spans="1:6" x14ac:dyDescent="0.35">
      <c r="A4141" s="42" t="s">
        <v>42</v>
      </c>
      <c r="B4141" s="42">
        <v>919.92</v>
      </c>
      <c r="C4141" s="43">
        <v>0.15</v>
      </c>
      <c r="D4141" s="45">
        <v>45962</v>
      </c>
      <c r="E4141" s="45">
        <v>45991.999305555553</v>
      </c>
      <c r="F4141" s="42" t="s">
        <v>475</v>
      </c>
    </row>
    <row r="4142" spans="1:6" x14ac:dyDescent="0.35">
      <c r="A4142" s="42" t="s">
        <v>603</v>
      </c>
      <c r="B4142" s="42">
        <v>919.92</v>
      </c>
      <c r="C4142" s="43">
        <v>0.15</v>
      </c>
      <c r="D4142" s="45">
        <v>45962</v>
      </c>
      <c r="E4142" s="45">
        <v>45991.999305555553</v>
      </c>
      <c r="F4142" s="42" t="s">
        <v>475</v>
      </c>
    </row>
    <row r="4143" spans="1:6" x14ac:dyDescent="0.35">
      <c r="A4143" s="42" t="s">
        <v>604</v>
      </c>
      <c r="B4143" s="42">
        <v>919.92</v>
      </c>
      <c r="C4143" s="43">
        <v>0.15</v>
      </c>
      <c r="D4143" s="45">
        <v>45962</v>
      </c>
      <c r="E4143" s="45">
        <v>45991.999305555553</v>
      </c>
      <c r="F4143" s="42" t="s">
        <v>475</v>
      </c>
    </row>
    <row r="4144" spans="1:6" x14ac:dyDescent="0.35">
      <c r="A4144" s="42" t="s">
        <v>501</v>
      </c>
      <c r="B4144" s="42">
        <v>969.92</v>
      </c>
      <c r="C4144" s="43">
        <v>0.15</v>
      </c>
      <c r="D4144" s="45">
        <v>45962</v>
      </c>
      <c r="E4144" s="45">
        <v>45991.999305555553</v>
      </c>
      <c r="F4144" s="42" t="s">
        <v>475</v>
      </c>
    </row>
    <row r="4145" spans="1:6" x14ac:dyDescent="0.35">
      <c r="A4145" s="42" t="s">
        <v>566</v>
      </c>
      <c r="B4145" s="42">
        <v>189.92</v>
      </c>
      <c r="C4145" s="43">
        <v>0.15</v>
      </c>
      <c r="D4145" s="45">
        <v>45962</v>
      </c>
      <c r="E4145" s="45">
        <v>45991.999305555553</v>
      </c>
      <c r="F4145" s="42" t="s">
        <v>475</v>
      </c>
    </row>
    <row r="4146" spans="1:6" x14ac:dyDescent="0.35">
      <c r="A4146" s="42" t="s">
        <v>607</v>
      </c>
      <c r="B4146" s="42">
        <v>2739.92</v>
      </c>
      <c r="C4146" s="43">
        <v>0.15</v>
      </c>
      <c r="D4146" s="45">
        <v>45962</v>
      </c>
      <c r="E4146" s="45">
        <v>45991.999305555553</v>
      </c>
      <c r="F4146" s="42" t="s">
        <v>475</v>
      </c>
    </row>
    <row r="4147" spans="1:6" x14ac:dyDescent="0.35">
      <c r="A4147" s="42" t="s">
        <v>89</v>
      </c>
      <c r="B4147" s="42">
        <v>919.92</v>
      </c>
      <c r="C4147" s="43">
        <v>0.15</v>
      </c>
      <c r="D4147" s="45">
        <v>45962</v>
      </c>
      <c r="E4147" s="45">
        <v>45991.999305555553</v>
      </c>
      <c r="F4147" s="42" t="s">
        <v>475</v>
      </c>
    </row>
    <row r="4148" spans="1:6" x14ac:dyDescent="0.35">
      <c r="A4148" s="42" t="s">
        <v>400</v>
      </c>
      <c r="B4148" s="42">
        <v>1259.92</v>
      </c>
      <c r="C4148" s="43">
        <v>0.15</v>
      </c>
      <c r="D4148" s="45">
        <v>45962</v>
      </c>
      <c r="E4148" s="45">
        <v>45991.999305555553</v>
      </c>
      <c r="F4148" s="42" t="s">
        <v>475</v>
      </c>
    </row>
    <row r="4149" spans="1:6" x14ac:dyDescent="0.35">
      <c r="A4149" s="42" t="s">
        <v>121</v>
      </c>
      <c r="B4149" s="42">
        <v>1429.92</v>
      </c>
      <c r="C4149" s="43">
        <v>0.15</v>
      </c>
      <c r="D4149" s="45">
        <v>45962</v>
      </c>
      <c r="E4149" s="45">
        <v>45991.999305555553</v>
      </c>
      <c r="F4149" s="42" t="s">
        <v>475</v>
      </c>
    </row>
    <row r="4150" spans="1:6" x14ac:dyDescent="0.35">
      <c r="A4150" s="42" t="s">
        <v>266</v>
      </c>
      <c r="B4150" s="42">
        <v>1529.92</v>
      </c>
      <c r="C4150" s="43">
        <v>0.15</v>
      </c>
      <c r="D4150" s="45">
        <v>45962</v>
      </c>
      <c r="E4150" s="45">
        <v>45991.999305555553</v>
      </c>
      <c r="F4150" s="42" t="s">
        <v>475</v>
      </c>
    </row>
    <row r="4151" spans="1:6" x14ac:dyDescent="0.35">
      <c r="A4151" s="42" t="s">
        <v>105</v>
      </c>
      <c r="B4151" s="42">
        <v>1469.92</v>
      </c>
      <c r="C4151" s="43">
        <v>0.15</v>
      </c>
      <c r="D4151" s="45">
        <v>45962</v>
      </c>
      <c r="E4151" s="45">
        <v>45991.999305555553</v>
      </c>
      <c r="F4151" s="42" t="s">
        <v>475</v>
      </c>
    </row>
    <row r="4152" spans="1:6" x14ac:dyDescent="0.35">
      <c r="A4152" s="42" t="s">
        <v>48</v>
      </c>
      <c r="B4152" s="42">
        <v>1119.92</v>
      </c>
      <c r="C4152" s="43">
        <v>0.15</v>
      </c>
      <c r="D4152" s="45">
        <v>45962</v>
      </c>
      <c r="E4152" s="45">
        <v>45991.999305555553</v>
      </c>
      <c r="F4152" s="42" t="s">
        <v>475</v>
      </c>
    </row>
    <row r="4153" spans="1:6" x14ac:dyDescent="0.35">
      <c r="A4153" s="42" t="s">
        <v>621</v>
      </c>
      <c r="B4153" s="42">
        <v>1819.92</v>
      </c>
      <c r="C4153" s="43">
        <v>0.15</v>
      </c>
      <c r="D4153" s="45">
        <v>45962</v>
      </c>
      <c r="E4153" s="45">
        <v>45991.999305555553</v>
      </c>
      <c r="F4153" s="42" t="s">
        <v>475</v>
      </c>
    </row>
    <row r="4154" spans="1:6" x14ac:dyDescent="0.35">
      <c r="A4154" s="42" t="s">
        <v>645</v>
      </c>
      <c r="B4154" s="42">
        <v>1719.92</v>
      </c>
      <c r="C4154" s="43">
        <v>0.15</v>
      </c>
      <c r="D4154" s="45">
        <v>45962</v>
      </c>
      <c r="E4154" s="45">
        <v>45991.999305555553</v>
      </c>
      <c r="F4154" s="42" t="s">
        <v>475</v>
      </c>
    </row>
    <row r="4155" spans="1:6" x14ac:dyDescent="0.35">
      <c r="A4155" s="42" t="s">
        <v>648</v>
      </c>
      <c r="B4155" s="42">
        <v>2479.92</v>
      </c>
      <c r="C4155" s="43">
        <v>0.15</v>
      </c>
      <c r="D4155" s="45">
        <v>45962</v>
      </c>
      <c r="E4155" s="45">
        <v>45991.999305555553</v>
      </c>
      <c r="F4155" s="42" t="s">
        <v>475</v>
      </c>
    </row>
    <row r="4156" spans="1:6" x14ac:dyDescent="0.35">
      <c r="A4156" s="42" t="s">
        <v>649</v>
      </c>
      <c r="B4156" s="42">
        <v>3469.92</v>
      </c>
      <c r="C4156" s="43">
        <v>0.15</v>
      </c>
      <c r="D4156" s="45">
        <v>45962</v>
      </c>
      <c r="E4156" s="45">
        <v>45991.999305555553</v>
      </c>
      <c r="F4156" s="42" t="s">
        <v>475</v>
      </c>
    </row>
    <row r="4157" spans="1:6" x14ac:dyDescent="0.35">
      <c r="A4157" s="42" t="s">
        <v>652</v>
      </c>
      <c r="B4157" s="42">
        <v>1169.92</v>
      </c>
      <c r="C4157" s="43">
        <v>0.15</v>
      </c>
      <c r="D4157" s="45">
        <v>45962</v>
      </c>
      <c r="E4157" s="45">
        <v>45991.999305555553</v>
      </c>
      <c r="F4157" s="42" t="s">
        <v>475</v>
      </c>
    </row>
    <row r="4158" spans="1:6" x14ac:dyDescent="0.35">
      <c r="A4158" s="42" t="s">
        <v>653</v>
      </c>
      <c r="B4158" s="42">
        <v>2739.92</v>
      </c>
      <c r="C4158" s="43">
        <v>0.15</v>
      </c>
      <c r="D4158" s="45">
        <v>45962</v>
      </c>
      <c r="E4158" s="45">
        <v>45991.999305555553</v>
      </c>
      <c r="F4158" s="42" t="s">
        <v>475</v>
      </c>
    </row>
    <row r="4159" spans="1:6" x14ac:dyDescent="0.35">
      <c r="A4159" s="42" t="s">
        <v>655</v>
      </c>
      <c r="B4159" s="42">
        <v>2529.92</v>
      </c>
      <c r="C4159" s="43">
        <v>0.15</v>
      </c>
      <c r="D4159" s="45">
        <v>45962</v>
      </c>
      <c r="E4159" s="45">
        <v>45991.999305555553</v>
      </c>
      <c r="F4159" s="42" t="s">
        <v>475</v>
      </c>
    </row>
    <row r="4160" spans="1:6" x14ac:dyDescent="0.35">
      <c r="A4160" s="42" t="s">
        <v>656</v>
      </c>
      <c r="B4160" s="42">
        <v>1119.92</v>
      </c>
      <c r="C4160" s="43">
        <v>0.15</v>
      </c>
      <c r="D4160" s="45">
        <v>45962</v>
      </c>
      <c r="E4160" s="45">
        <v>45991.999305555553</v>
      </c>
      <c r="F4160" s="42" t="s">
        <v>475</v>
      </c>
    </row>
    <row r="4161" spans="1:6" x14ac:dyDescent="0.35">
      <c r="A4161" s="42" t="s">
        <v>657</v>
      </c>
      <c r="B4161" s="42">
        <v>699.92</v>
      </c>
      <c r="C4161" s="43">
        <v>0.15</v>
      </c>
      <c r="D4161" s="45">
        <v>45962</v>
      </c>
      <c r="E4161" s="45">
        <v>45991.999305555553</v>
      </c>
      <c r="F4161" s="42" t="s">
        <v>475</v>
      </c>
    </row>
    <row r="4162" spans="1:6" x14ac:dyDescent="0.35">
      <c r="A4162" s="42" t="s">
        <v>658</v>
      </c>
      <c r="B4162" s="42">
        <v>1619.92</v>
      </c>
      <c r="C4162" s="43">
        <v>0.15</v>
      </c>
      <c r="D4162" s="45">
        <v>45962</v>
      </c>
      <c r="E4162" s="45">
        <v>45991.999305555553</v>
      </c>
      <c r="F4162" s="42" t="s">
        <v>475</v>
      </c>
    </row>
    <row r="4163" spans="1:6" x14ac:dyDescent="0.35">
      <c r="A4163" s="42" t="s">
        <v>659</v>
      </c>
      <c r="B4163" s="42">
        <v>1619.92</v>
      </c>
      <c r="C4163" s="43">
        <v>0.15</v>
      </c>
      <c r="D4163" s="45">
        <v>45962</v>
      </c>
      <c r="E4163" s="45">
        <v>45991.999305555553</v>
      </c>
      <c r="F4163" s="42" t="s">
        <v>475</v>
      </c>
    </row>
    <row r="4164" spans="1:6" x14ac:dyDescent="0.35">
      <c r="A4164" s="42" t="s">
        <v>660</v>
      </c>
      <c r="B4164" s="42">
        <v>1259.92</v>
      </c>
      <c r="C4164" s="43">
        <v>0.15</v>
      </c>
      <c r="D4164" s="45">
        <v>45962</v>
      </c>
      <c r="E4164" s="45">
        <v>45991.999305555553</v>
      </c>
      <c r="F4164" s="42" t="s">
        <v>475</v>
      </c>
    </row>
    <row r="4165" spans="1:6" x14ac:dyDescent="0.35">
      <c r="A4165" s="42" t="s">
        <v>464</v>
      </c>
      <c r="B4165" s="42">
        <v>1429.92</v>
      </c>
      <c r="C4165" s="43">
        <v>0.15</v>
      </c>
      <c r="D4165" s="45">
        <v>45962</v>
      </c>
      <c r="E4165" s="45">
        <v>45991.999305555553</v>
      </c>
      <c r="F4165" s="42" t="s">
        <v>475</v>
      </c>
    </row>
    <row r="4166" spans="1:6" x14ac:dyDescent="0.35">
      <c r="A4166" s="42" t="s">
        <v>460</v>
      </c>
      <c r="B4166" s="42">
        <v>1429.92</v>
      </c>
      <c r="C4166" s="43">
        <v>0.15</v>
      </c>
      <c r="D4166" s="45">
        <v>45962</v>
      </c>
      <c r="E4166" s="45">
        <v>45991.999305555553</v>
      </c>
      <c r="F4166" s="42" t="s">
        <v>475</v>
      </c>
    </row>
    <row r="4167" spans="1:6" x14ac:dyDescent="0.35">
      <c r="A4167" s="42" t="s">
        <v>662</v>
      </c>
      <c r="B4167" s="42">
        <v>2079.92</v>
      </c>
      <c r="C4167" s="43">
        <v>0.15</v>
      </c>
      <c r="D4167" s="45">
        <v>45962</v>
      </c>
      <c r="E4167" s="45">
        <v>45991.999305555553</v>
      </c>
      <c r="F4167" s="42" t="s">
        <v>475</v>
      </c>
    </row>
    <row r="4168" spans="1:6" x14ac:dyDescent="0.35">
      <c r="A4168" s="42" t="s">
        <v>663</v>
      </c>
      <c r="B4168" s="42">
        <v>1839.92</v>
      </c>
      <c r="C4168" s="43">
        <v>0.15</v>
      </c>
      <c r="D4168" s="45">
        <v>45962</v>
      </c>
      <c r="E4168" s="45">
        <v>45991.999305555553</v>
      </c>
      <c r="F4168" s="42" t="s">
        <v>475</v>
      </c>
    </row>
    <row r="4169" spans="1:6" x14ac:dyDescent="0.35">
      <c r="A4169" s="42" t="s">
        <v>664</v>
      </c>
      <c r="B4169" s="42">
        <v>3649.92</v>
      </c>
      <c r="C4169" s="43">
        <v>0.15</v>
      </c>
      <c r="D4169" s="45">
        <v>45962</v>
      </c>
      <c r="E4169" s="45">
        <v>45991.999305555553</v>
      </c>
      <c r="F4169" s="42" t="s">
        <v>475</v>
      </c>
    </row>
    <row r="4170" spans="1:6" x14ac:dyDescent="0.35">
      <c r="A4170" s="42" t="s">
        <v>665</v>
      </c>
      <c r="B4170" s="42">
        <v>2589.92</v>
      </c>
      <c r="C4170" s="43">
        <v>0.15</v>
      </c>
      <c r="D4170" s="45">
        <v>45962</v>
      </c>
      <c r="E4170" s="45">
        <v>45991.999305555553</v>
      </c>
      <c r="F4170" s="42" t="s">
        <v>475</v>
      </c>
    </row>
    <row r="4171" spans="1:6" x14ac:dyDescent="0.35">
      <c r="A4171" s="42" t="s">
        <v>666</v>
      </c>
      <c r="B4171" s="42">
        <v>1119.92</v>
      </c>
      <c r="C4171" s="43">
        <v>0.15</v>
      </c>
      <c r="D4171" s="45">
        <v>45962</v>
      </c>
      <c r="E4171" s="45">
        <v>45991.999305555553</v>
      </c>
      <c r="F4171" s="42" t="s">
        <v>475</v>
      </c>
    </row>
    <row r="4172" spans="1:6" x14ac:dyDescent="0.35">
      <c r="A4172" s="42" t="s">
        <v>668</v>
      </c>
      <c r="B4172" s="42">
        <v>2739.92</v>
      </c>
      <c r="C4172" s="43">
        <v>0.15</v>
      </c>
      <c r="D4172" s="45">
        <v>45962</v>
      </c>
      <c r="E4172" s="45">
        <v>45991.999305555553</v>
      </c>
      <c r="F4172" s="42" t="s">
        <v>475</v>
      </c>
    </row>
    <row r="4173" spans="1:6" x14ac:dyDescent="0.35">
      <c r="A4173" s="42" t="s">
        <v>672</v>
      </c>
      <c r="B4173" s="42">
        <v>1329.92</v>
      </c>
      <c r="C4173" s="43">
        <v>0.15</v>
      </c>
      <c r="D4173" s="45">
        <v>45962</v>
      </c>
      <c r="E4173" s="45">
        <v>45991.999305555553</v>
      </c>
      <c r="F4173" s="42" t="s">
        <v>475</v>
      </c>
    </row>
    <row r="4174" spans="1:6" x14ac:dyDescent="0.35">
      <c r="A4174" s="42" t="s">
        <v>673</v>
      </c>
      <c r="B4174" s="42">
        <v>1299.92</v>
      </c>
      <c r="C4174" s="43">
        <v>0.15</v>
      </c>
      <c r="D4174" s="45">
        <v>45962</v>
      </c>
      <c r="E4174" s="45">
        <v>45991.999305555553</v>
      </c>
      <c r="F4174" s="42" t="s">
        <v>475</v>
      </c>
    </row>
    <row r="4175" spans="1:6" x14ac:dyDescent="0.35">
      <c r="A4175" s="42" t="s">
        <v>699</v>
      </c>
      <c r="B4175" s="42">
        <v>1269.92</v>
      </c>
      <c r="C4175" s="43">
        <v>0.15</v>
      </c>
      <c r="D4175" s="45">
        <v>45962</v>
      </c>
      <c r="E4175" s="45">
        <v>45991.999305555553</v>
      </c>
      <c r="F4175" s="42" t="s">
        <v>475</v>
      </c>
    </row>
    <row r="4176" spans="1:6" x14ac:dyDescent="0.35">
      <c r="A4176" s="42" t="s">
        <v>700</v>
      </c>
      <c r="B4176" s="42">
        <v>1269.92</v>
      </c>
      <c r="C4176" s="43">
        <v>0.15</v>
      </c>
      <c r="D4176" s="45">
        <v>45962</v>
      </c>
      <c r="E4176" s="45">
        <v>45991.999305555553</v>
      </c>
      <c r="F4176" s="42" t="s">
        <v>475</v>
      </c>
    </row>
    <row r="4177" spans="1:6" x14ac:dyDescent="0.35">
      <c r="A4177" s="42" t="s">
        <v>701</v>
      </c>
      <c r="B4177" s="42">
        <v>1269.92</v>
      </c>
      <c r="C4177" s="43">
        <v>0.15</v>
      </c>
      <c r="D4177" s="45">
        <v>45962</v>
      </c>
      <c r="E4177" s="45">
        <v>45991.999305555553</v>
      </c>
      <c r="F4177" s="42" t="s">
        <v>475</v>
      </c>
    </row>
    <row r="4178" spans="1:6" x14ac:dyDescent="0.35">
      <c r="A4178" s="42" t="s">
        <v>702</v>
      </c>
      <c r="B4178" s="42">
        <v>1269.92</v>
      </c>
      <c r="C4178" s="43">
        <v>0.15</v>
      </c>
      <c r="D4178" s="45">
        <v>45962</v>
      </c>
      <c r="E4178" s="45">
        <v>45991.999305555553</v>
      </c>
      <c r="F4178" s="42" t="s">
        <v>475</v>
      </c>
    </row>
    <row r="4179" spans="1:6" x14ac:dyDescent="0.35">
      <c r="A4179" s="42" t="s">
        <v>703</v>
      </c>
      <c r="B4179" s="42">
        <v>1269.92</v>
      </c>
      <c r="C4179" s="43">
        <v>0.15</v>
      </c>
      <c r="D4179" s="45">
        <v>45962</v>
      </c>
      <c r="E4179" s="45">
        <v>45991.999305555553</v>
      </c>
      <c r="F4179" s="42" t="s">
        <v>475</v>
      </c>
    </row>
    <row r="4180" spans="1:6" x14ac:dyDescent="0.35">
      <c r="A4180" s="42" t="s">
        <v>704</v>
      </c>
      <c r="B4180" s="42">
        <v>1459.92</v>
      </c>
      <c r="C4180" s="43">
        <v>0.15</v>
      </c>
      <c r="D4180" s="45">
        <v>45962</v>
      </c>
      <c r="E4180" s="45">
        <v>45991.999305555553</v>
      </c>
      <c r="F4180" s="42" t="s">
        <v>475</v>
      </c>
    </row>
    <row r="4181" spans="1:6" x14ac:dyDescent="0.35">
      <c r="A4181" s="42" t="s">
        <v>706</v>
      </c>
      <c r="B4181" s="42">
        <v>1659.92</v>
      </c>
      <c r="C4181" s="43">
        <v>0.15</v>
      </c>
      <c r="D4181" s="45">
        <v>45962</v>
      </c>
      <c r="E4181" s="45">
        <v>45991.999305555553</v>
      </c>
      <c r="F4181" s="42" t="s">
        <v>475</v>
      </c>
    </row>
    <row r="4182" spans="1:6" x14ac:dyDescent="0.35">
      <c r="A4182" s="42" t="s">
        <v>707</v>
      </c>
      <c r="B4182" s="42">
        <v>1659.92</v>
      </c>
      <c r="C4182" s="43">
        <v>0.15</v>
      </c>
      <c r="D4182" s="45">
        <v>45962</v>
      </c>
      <c r="E4182" s="45">
        <v>45991.999305555553</v>
      </c>
      <c r="F4182" s="42" t="s">
        <v>475</v>
      </c>
    </row>
    <row r="4183" spans="1:6" x14ac:dyDescent="0.35">
      <c r="A4183" s="42" t="s">
        <v>708</v>
      </c>
      <c r="B4183" s="42">
        <v>1659.92</v>
      </c>
      <c r="C4183" s="43">
        <v>0.15</v>
      </c>
      <c r="D4183" s="45">
        <v>45962</v>
      </c>
      <c r="E4183" s="45">
        <v>45991.999305555553</v>
      </c>
      <c r="F4183" s="42" t="s">
        <v>475</v>
      </c>
    </row>
    <row r="4184" spans="1:6" x14ac:dyDescent="0.35">
      <c r="A4184" s="42" t="s">
        <v>709</v>
      </c>
      <c r="B4184" s="42">
        <v>1659.92</v>
      </c>
      <c r="C4184" s="43">
        <v>0.15</v>
      </c>
      <c r="D4184" s="45">
        <v>45962</v>
      </c>
      <c r="E4184" s="45">
        <v>45991.999305555553</v>
      </c>
      <c r="F4184" s="42" t="s">
        <v>475</v>
      </c>
    </row>
    <row r="4185" spans="1:6" x14ac:dyDescent="0.35">
      <c r="A4185" s="42" t="s">
        <v>710</v>
      </c>
      <c r="B4185" s="42">
        <v>1659.92</v>
      </c>
      <c r="C4185" s="43">
        <v>0.15</v>
      </c>
      <c r="D4185" s="45">
        <v>45962</v>
      </c>
      <c r="E4185" s="45">
        <v>45991.999305555553</v>
      </c>
      <c r="F4185" s="42" t="s">
        <v>475</v>
      </c>
    </row>
    <row r="4186" spans="1:6" x14ac:dyDescent="0.35">
      <c r="A4186" s="42" t="s">
        <v>711</v>
      </c>
      <c r="B4186" s="42">
        <v>1659.92</v>
      </c>
      <c r="C4186" s="43">
        <v>0.15</v>
      </c>
      <c r="D4186" s="45">
        <v>45962</v>
      </c>
      <c r="E4186" s="45">
        <v>45991.999305555553</v>
      </c>
      <c r="F4186" s="42" t="s">
        <v>475</v>
      </c>
    </row>
    <row r="4187" spans="1:6" x14ac:dyDescent="0.35">
      <c r="A4187" s="42" t="s">
        <v>712</v>
      </c>
      <c r="B4187" s="42">
        <v>1659.92</v>
      </c>
      <c r="C4187" s="43">
        <v>0.15</v>
      </c>
      <c r="D4187" s="45">
        <v>45962</v>
      </c>
      <c r="E4187" s="45">
        <v>45991.999305555553</v>
      </c>
      <c r="F4187" s="42" t="s">
        <v>475</v>
      </c>
    </row>
    <row r="4188" spans="1:6" x14ac:dyDescent="0.35">
      <c r="A4188" s="42" t="s">
        <v>713</v>
      </c>
      <c r="B4188" s="42">
        <v>1659.92</v>
      </c>
      <c r="C4188" s="43">
        <v>0.15</v>
      </c>
      <c r="D4188" s="45">
        <v>45962</v>
      </c>
      <c r="E4188" s="45">
        <v>45991.999305555553</v>
      </c>
      <c r="F4188" s="42" t="s">
        <v>475</v>
      </c>
    </row>
    <row r="4189" spans="1:6" x14ac:dyDescent="0.35">
      <c r="A4189" s="42" t="s">
        <v>714</v>
      </c>
      <c r="B4189" s="42">
        <v>1659.92</v>
      </c>
      <c r="C4189" s="43">
        <v>0.15</v>
      </c>
      <c r="D4189" s="45">
        <v>45962</v>
      </c>
      <c r="E4189" s="45">
        <v>45991.999305555553</v>
      </c>
      <c r="F4189" s="42" t="s">
        <v>475</v>
      </c>
    </row>
    <row r="4190" spans="1:6" x14ac:dyDescent="0.35">
      <c r="A4190" s="42" t="s">
        <v>715</v>
      </c>
      <c r="B4190" s="42">
        <v>1659.92</v>
      </c>
      <c r="C4190" s="43">
        <v>0.15</v>
      </c>
      <c r="D4190" s="45">
        <v>45962</v>
      </c>
      <c r="E4190" s="45">
        <v>45991.999305555553</v>
      </c>
      <c r="F4190" s="42" t="s">
        <v>475</v>
      </c>
    </row>
    <row r="4191" spans="1:6" x14ac:dyDescent="0.35">
      <c r="A4191" s="42" t="s">
        <v>716</v>
      </c>
      <c r="B4191" s="42">
        <v>1659.92</v>
      </c>
      <c r="C4191" s="43">
        <v>0.15</v>
      </c>
      <c r="D4191" s="45">
        <v>45962</v>
      </c>
      <c r="E4191" s="45">
        <v>45991.999305555553</v>
      </c>
      <c r="F4191" s="42" t="s">
        <v>475</v>
      </c>
    </row>
    <row r="4192" spans="1:6" x14ac:dyDescent="0.35">
      <c r="A4192" s="42" t="s">
        <v>717</v>
      </c>
      <c r="B4192" s="42">
        <v>1659.92</v>
      </c>
      <c r="C4192" s="43">
        <v>0.15</v>
      </c>
      <c r="D4192" s="45">
        <v>45962</v>
      </c>
      <c r="E4192" s="45">
        <v>45991.999305555553</v>
      </c>
      <c r="F4192" s="42" t="s">
        <v>475</v>
      </c>
    </row>
    <row r="4193" spans="1:6" x14ac:dyDescent="0.35">
      <c r="A4193" s="42" t="s">
        <v>728</v>
      </c>
      <c r="B4193" s="42">
        <v>1459.92</v>
      </c>
      <c r="C4193" s="43">
        <v>0.15</v>
      </c>
      <c r="D4193" s="45">
        <v>45962</v>
      </c>
      <c r="E4193" s="45">
        <v>45991.999305555553</v>
      </c>
      <c r="F4193" s="42" t="s">
        <v>475</v>
      </c>
    </row>
    <row r="4194" spans="1:6" x14ac:dyDescent="0.35">
      <c r="A4194" s="42" t="s">
        <v>729</v>
      </c>
      <c r="B4194" s="42">
        <v>1469.92</v>
      </c>
      <c r="C4194" s="43">
        <v>0.15</v>
      </c>
      <c r="D4194" s="45">
        <v>45962</v>
      </c>
      <c r="E4194" s="45">
        <v>45991.999305555553</v>
      </c>
      <c r="F4194" s="42" t="s">
        <v>475</v>
      </c>
    </row>
    <row r="4195" spans="1:6" x14ac:dyDescent="0.35">
      <c r="A4195" s="42" t="s">
        <v>730</v>
      </c>
      <c r="B4195" s="42">
        <v>1469.92</v>
      </c>
      <c r="C4195" s="43">
        <v>0.15</v>
      </c>
      <c r="D4195" s="45">
        <v>45962</v>
      </c>
      <c r="E4195" s="45">
        <v>45991.999305555553</v>
      </c>
      <c r="F4195" s="42" t="s">
        <v>475</v>
      </c>
    </row>
    <row r="4196" spans="1:6" x14ac:dyDescent="0.35">
      <c r="A4196" s="42" t="s">
        <v>731</v>
      </c>
      <c r="B4196" s="42">
        <v>1469.92</v>
      </c>
      <c r="C4196" s="43">
        <v>0.15</v>
      </c>
      <c r="D4196" s="45">
        <v>45962</v>
      </c>
      <c r="E4196" s="45">
        <v>45991.999305555553</v>
      </c>
      <c r="F4196" s="42" t="s">
        <v>475</v>
      </c>
    </row>
    <row r="4197" spans="1:6" x14ac:dyDescent="0.35">
      <c r="A4197" s="42" t="s">
        <v>732</v>
      </c>
      <c r="B4197" s="42">
        <v>1469.92</v>
      </c>
      <c r="C4197" s="43">
        <v>0.15</v>
      </c>
      <c r="D4197" s="45">
        <v>45962</v>
      </c>
      <c r="E4197" s="45">
        <v>45991.999305555553</v>
      </c>
      <c r="F4197" s="42" t="s">
        <v>475</v>
      </c>
    </row>
    <row r="4198" spans="1:6" x14ac:dyDescent="0.35">
      <c r="A4198" s="42" t="s">
        <v>733</v>
      </c>
      <c r="B4198" s="42">
        <v>1469.92</v>
      </c>
      <c r="C4198" s="43">
        <v>0.15</v>
      </c>
      <c r="D4198" s="45">
        <v>45962</v>
      </c>
      <c r="E4198" s="45">
        <v>45991.999305555553</v>
      </c>
      <c r="F4198" s="42" t="s">
        <v>475</v>
      </c>
    </row>
    <row r="4199" spans="1:6" x14ac:dyDescent="0.35">
      <c r="A4199" s="42" t="s">
        <v>734</v>
      </c>
      <c r="B4199" s="42">
        <v>1469.92</v>
      </c>
      <c r="C4199" s="43">
        <v>0.15</v>
      </c>
      <c r="D4199" s="45">
        <v>45962</v>
      </c>
      <c r="E4199" s="45">
        <v>45991.999305555553</v>
      </c>
      <c r="F4199" s="42" t="s">
        <v>475</v>
      </c>
    </row>
    <row r="4200" spans="1:6" x14ac:dyDescent="0.35">
      <c r="A4200" s="42" t="s">
        <v>735</v>
      </c>
      <c r="B4200" s="42">
        <v>2479.92</v>
      </c>
      <c r="C4200" s="43">
        <v>0.15</v>
      </c>
      <c r="D4200" s="45">
        <v>45962</v>
      </c>
      <c r="E4200" s="45">
        <v>45991.999305555553</v>
      </c>
      <c r="F4200" s="42" t="s">
        <v>475</v>
      </c>
    </row>
    <row r="4201" spans="1:6" x14ac:dyDescent="0.35">
      <c r="A4201" s="42" t="s">
        <v>736</v>
      </c>
      <c r="B4201" s="42">
        <v>2479.92</v>
      </c>
      <c r="C4201" s="43">
        <v>0.15</v>
      </c>
      <c r="D4201" s="45">
        <v>45962</v>
      </c>
      <c r="E4201" s="45">
        <v>45991.999305555553</v>
      </c>
      <c r="F4201" s="42" t="s">
        <v>475</v>
      </c>
    </row>
    <row r="4202" spans="1:6" x14ac:dyDescent="0.35">
      <c r="A4202" s="42" t="s">
        <v>737</v>
      </c>
      <c r="B4202" s="42">
        <v>2479.92</v>
      </c>
      <c r="C4202" s="43">
        <v>0.15</v>
      </c>
      <c r="D4202" s="45">
        <v>45962</v>
      </c>
      <c r="E4202" s="45">
        <v>45991.999305555553</v>
      </c>
      <c r="F4202" s="42" t="s">
        <v>475</v>
      </c>
    </row>
    <row r="4203" spans="1:6" x14ac:dyDescent="0.35">
      <c r="A4203" s="42" t="s">
        <v>738</v>
      </c>
      <c r="B4203" s="42">
        <v>2479.92</v>
      </c>
      <c r="C4203" s="43">
        <v>0.15</v>
      </c>
      <c r="D4203" s="45">
        <v>45962</v>
      </c>
      <c r="E4203" s="45">
        <v>45991.999305555553</v>
      </c>
      <c r="F4203" s="42" t="s">
        <v>475</v>
      </c>
    </row>
    <row r="4204" spans="1:6" x14ac:dyDescent="0.35">
      <c r="A4204" s="42" t="s">
        <v>739</v>
      </c>
      <c r="B4204" s="42">
        <v>2479.92</v>
      </c>
      <c r="C4204" s="43">
        <v>0.15</v>
      </c>
      <c r="D4204" s="45">
        <v>45962</v>
      </c>
      <c r="E4204" s="45">
        <v>45991.999305555553</v>
      </c>
      <c r="F4204" s="42" t="s">
        <v>475</v>
      </c>
    </row>
    <row r="4205" spans="1:6" x14ac:dyDescent="0.35">
      <c r="A4205" s="42" t="s">
        <v>740</v>
      </c>
      <c r="B4205" s="42">
        <v>2479.92</v>
      </c>
      <c r="C4205" s="43">
        <v>0.15</v>
      </c>
      <c r="D4205" s="45">
        <v>45962</v>
      </c>
      <c r="E4205" s="45">
        <v>45991.999305555553</v>
      </c>
      <c r="F4205" s="42" t="s">
        <v>475</v>
      </c>
    </row>
    <row r="4206" spans="1:6" x14ac:dyDescent="0.35">
      <c r="A4206" s="42" t="s">
        <v>741</v>
      </c>
      <c r="B4206" s="42">
        <v>2479.92</v>
      </c>
      <c r="C4206" s="43">
        <v>0.15</v>
      </c>
      <c r="D4206" s="45">
        <v>45962</v>
      </c>
      <c r="E4206" s="45">
        <v>45991.999305555553</v>
      </c>
      <c r="F4206" s="42" t="s">
        <v>475</v>
      </c>
    </row>
    <row r="4207" spans="1:6" x14ac:dyDescent="0.35">
      <c r="A4207" s="42" t="s">
        <v>742</v>
      </c>
      <c r="B4207" s="42">
        <v>2479.92</v>
      </c>
      <c r="C4207" s="43">
        <v>0.15</v>
      </c>
      <c r="D4207" s="45">
        <v>45962</v>
      </c>
      <c r="E4207" s="45">
        <v>45991.999305555553</v>
      </c>
      <c r="F4207" s="42" t="s">
        <v>475</v>
      </c>
    </row>
    <row r="4208" spans="1:6" x14ac:dyDescent="0.35">
      <c r="A4208" s="42" t="s">
        <v>743</v>
      </c>
      <c r="B4208" s="42">
        <v>839.92</v>
      </c>
      <c r="C4208" s="43">
        <v>0.15</v>
      </c>
      <c r="D4208" s="45">
        <v>45962</v>
      </c>
      <c r="E4208" s="45">
        <v>45991.999305555553</v>
      </c>
      <c r="F4208" s="42" t="s">
        <v>475</v>
      </c>
    </row>
    <row r="4209" spans="1:6" x14ac:dyDescent="0.35">
      <c r="A4209" s="42" t="s">
        <v>744</v>
      </c>
      <c r="B4209" s="42">
        <v>819.92</v>
      </c>
      <c r="C4209" s="43">
        <v>0.15</v>
      </c>
      <c r="D4209" s="45">
        <v>45962</v>
      </c>
      <c r="E4209" s="45">
        <v>45991.999305555553</v>
      </c>
      <c r="F4209" s="42" t="s">
        <v>475</v>
      </c>
    </row>
    <row r="4210" spans="1:6" x14ac:dyDescent="0.35">
      <c r="A4210" s="42" t="s">
        <v>749</v>
      </c>
      <c r="B4210" s="42">
        <v>1159.92</v>
      </c>
      <c r="C4210" s="43">
        <v>0.15</v>
      </c>
      <c r="D4210" s="45">
        <v>45962</v>
      </c>
      <c r="E4210" s="45">
        <v>45991.999305555553</v>
      </c>
      <c r="F4210" s="42" t="s">
        <v>475</v>
      </c>
    </row>
    <row r="4211" spans="1:6" x14ac:dyDescent="0.35">
      <c r="A4211" s="42" t="s">
        <v>751</v>
      </c>
      <c r="B4211" s="42">
        <v>1619.92</v>
      </c>
      <c r="C4211" s="43">
        <v>0.15</v>
      </c>
      <c r="D4211" s="45">
        <v>45962</v>
      </c>
      <c r="E4211" s="45">
        <v>45991.999305555553</v>
      </c>
      <c r="F4211" s="42" t="s">
        <v>475</v>
      </c>
    </row>
    <row r="4212" spans="1:6" x14ac:dyDescent="0.35">
      <c r="A4212" s="42" t="s">
        <v>752</v>
      </c>
      <c r="B4212" s="42">
        <v>1619.92</v>
      </c>
      <c r="C4212" s="43">
        <v>0.15</v>
      </c>
      <c r="D4212" s="45">
        <v>45962</v>
      </c>
      <c r="E4212" s="45">
        <v>45991.999305555553</v>
      </c>
      <c r="F4212" s="42" t="s">
        <v>475</v>
      </c>
    </row>
    <row r="4213" spans="1:6" x14ac:dyDescent="0.35">
      <c r="A4213" s="42" t="s">
        <v>753</v>
      </c>
      <c r="B4213" s="42">
        <v>1619.92</v>
      </c>
      <c r="C4213" s="43">
        <v>0.15</v>
      </c>
      <c r="D4213" s="45">
        <v>45962</v>
      </c>
      <c r="E4213" s="45">
        <v>45991.999305555553</v>
      </c>
      <c r="F4213" s="42" t="s">
        <v>475</v>
      </c>
    </row>
    <row r="4214" spans="1:6" x14ac:dyDescent="0.35">
      <c r="A4214" s="42" t="s">
        <v>754</v>
      </c>
      <c r="B4214" s="42">
        <v>1619.92</v>
      </c>
      <c r="C4214" s="43">
        <v>0.15</v>
      </c>
      <c r="D4214" s="45">
        <v>45962</v>
      </c>
      <c r="E4214" s="45">
        <v>45991.999305555553</v>
      </c>
      <c r="F4214" s="42" t="s">
        <v>475</v>
      </c>
    </row>
    <row r="4215" spans="1:6" x14ac:dyDescent="0.35">
      <c r="A4215" s="42" t="s">
        <v>755</v>
      </c>
      <c r="B4215" s="42">
        <v>1619.92</v>
      </c>
      <c r="C4215" s="43">
        <v>0.15</v>
      </c>
      <c r="D4215" s="45">
        <v>45962</v>
      </c>
      <c r="E4215" s="45">
        <v>45991.999305555553</v>
      </c>
      <c r="F4215" s="42" t="s">
        <v>475</v>
      </c>
    </row>
    <row r="4216" spans="1:6" x14ac:dyDescent="0.35">
      <c r="A4216" s="42" t="s">
        <v>756</v>
      </c>
      <c r="B4216" s="42">
        <v>1619.92</v>
      </c>
      <c r="C4216" s="43">
        <v>0.15</v>
      </c>
      <c r="D4216" s="45">
        <v>45962</v>
      </c>
      <c r="E4216" s="45">
        <v>45991.999305555553</v>
      </c>
      <c r="F4216" s="42" t="s">
        <v>475</v>
      </c>
    </row>
    <row r="4217" spans="1:6" x14ac:dyDescent="0.35">
      <c r="A4217" s="42" t="s">
        <v>757</v>
      </c>
      <c r="B4217" s="42">
        <v>1929.92</v>
      </c>
      <c r="C4217" s="43">
        <v>0.15</v>
      </c>
      <c r="D4217" s="45">
        <v>45962</v>
      </c>
      <c r="E4217" s="45">
        <v>45991.999305555553</v>
      </c>
      <c r="F4217" s="42" t="s">
        <v>475</v>
      </c>
    </row>
    <row r="4218" spans="1:6" x14ac:dyDescent="0.35">
      <c r="A4218" s="42" t="s">
        <v>758</v>
      </c>
      <c r="B4218" s="42">
        <v>1929.92</v>
      </c>
      <c r="C4218" s="43">
        <v>0.15</v>
      </c>
      <c r="D4218" s="45">
        <v>45962</v>
      </c>
      <c r="E4218" s="45">
        <v>45991.999305555553</v>
      </c>
      <c r="F4218" s="42" t="s">
        <v>475</v>
      </c>
    </row>
    <row r="4219" spans="1:6" x14ac:dyDescent="0.35">
      <c r="A4219" s="42" t="s">
        <v>759</v>
      </c>
      <c r="B4219" s="42">
        <v>1929.92</v>
      </c>
      <c r="C4219" s="43">
        <v>0.15</v>
      </c>
      <c r="D4219" s="45">
        <v>45962</v>
      </c>
      <c r="E4219" s="45">
        <v>45991.999305555553</v>
      </c>
      <c r="F4219" s="42" t="s">
        <v>475</v>
      </c>
    </row>
    <row r="4220" spans="1:6" x14ac:dyDescent="0.35">
      <c r="A4220" s="42" t="s">
        <v>760</v>
      </c>
      <c r="B4220" s="42">
        <v>1929.92</v>
      </c>
      <c r="C4220" s="43">
        <v>0.15</v>
      </c>
      <c r="D4220" s="45">
        <v>45962</v>
      </c>
      <c r="E4220" s="45">
        <v>45991.999305555553</v>
      </c>
      <c r="F4220" s="42" t="s">
        <v>475</v>
      </c>
    </row>
    <row r="4221" spans="1:6" x14ac:dyDescent="0.35">
      <c r="A4221" s="42" t="s">
        <v>761</v>
      </c>
      <c r="B4221" s="42">
        <v>1929.92</v>
      </c>
      <c r="C4221" s="43">
        <v>0.15</v>
      </c>
      <c r="D4221" s="45">
        <v>45962</v>
      </c>
      <c r="E4221" s="45">
        <v>45991.999305555553</v>
      </c>
      <c r="F4221" s="42" t="s">
        <v>475</v>
      </c>
    </row>
    <row r="4222" spans="1:6" x14ac:dyDescent="0.35">
      <c r="A4222" s="42" t="s">
        <v>762</v>
      </c>
      <c r="B4222" s="42">
        <v>1929.92</v>
      </c>
      <c r="C4222" s="43">
        <v>0.15</v>
      </c>
      <c r="D4222" s="45">
        <v>45962</v>
      </c>
      <c r="E4222" s="45">
        <v>45991.999305555553</v>
      </c>
      <c r="F4222" s="42" t="s">
        <v>475</v>
      </c>
    </row>
    <row r="4223" spans="1:6" x14ac:dyDescent="0.35">
      <c r="A4223" s="42" t="s">
        <v>763</v>
      </c>
      <c r="B4223" s="42">
        <v>1929.92</v>
      </c>
      <c r="C4223" s="43">
        <v>0.15</v>
      </c>
      <c r="D4223" s="45">
        <v>45962</v>
      </c>
      <c r="E4223" s="45">
        <v>45991.999305555553</v>
      </c>
      <c r="F4223" s="42" t="s">
        <v>475</v>
      </c>
    </row>
    <row r="4224" spans="1:6" x14ac:dyDescent="0.35">
      <c r="A4224" s="42" t="s">
        <v>764</v>
      </c>
      <c r="B4224" s="42">
        <v>1929.92</v>
      </c>
      <c r="C4224" s="43">
        <v>0.15</v>
      </c>
      <c r="D4224" s="45">
        <v>45962</v>
      </c>
      <c r="E4224" s="45">
        <v>45991.999305555553</v>
      </c>
      <c r="F4224" s="42" t="s">
        <v>475</v>
      </c>
    </row>
    <row r="4225" spans="1:6" x14ac:dyDescent="0.35">
      <c r="A4225" s="42" t="s">
        <v>765</v>
      </c>
      <c r="B4225" s="42">
        <v>1929.92</v>
      </c>
      <c r="C4225" s="43">
        <v>0.15</v>
      </c>
      <c r="D4225" s="45">
        <v>45962</v>
      </c>
      <c r="E4225" s="45">
        <v>45991.999305555553</v>
      </c>
      <c r="F4225" s="42" t="s">
        <v>475</v>
      </c>
    </row>
    <row r="4226" spans="1:6" x14ac:dyDescent="0.35">
      <c r="A4226" s="42" t="s">
        <v>766</v>
      </c>
      <c r="B4226" s="42">
        <v>1929.92</v>
      </c>
      <c r="C4226" s="43">
        <v>0.15</v>
      </c>
      <c r="D4226" s="45">
        <v>45962</v>
      </c>
      <c r="E4226" s="45">
        <v>45991.999305555553</v>
      </c>
      <c r="F4226" s="42" t="s">
        <v>475</v>
      </c>
    </row>
    <row r="4227" spans="1:6" x14ac:dyDescent="0.35">
      <c r="A4227" s="42" t="s">
        <v>767</v>
      </c>
      <c r="B4227" s="42">
        <v>1199.92</v>
      </c>
      <c r="C4227" s="43">
        <v>0.15</v>
      </c>
      <c r="D4227" s="45">
        <v>45962</v>
      </c>
      <c r="E4227" s="45">
        <v>45991.999305555553</v>
      </c>
      <c r="F4227" s="42" t="s">
        <v>475</v>
      </c>
    </row>
    <row r="4228" spans="1:6" x14ac:dyDescent="0.35">
      <c r="A4228" s="42" t="s">
        <v>768</v>
      </c>
      <c r="B4228" s="42">
        <v>1199.92</v>
      </c>
      <c r="C4228" s="43">
        <v>0.15</v>
      </c>
      <c r="D4228" s="45">
        <v>45962</v>
      </c>
      <c r="E4228" s="45">
        <v>45991.999305555553</v>
      </c>
      <c r="F4228" s="42" t="s">
        <v>475</v>
      </c>
    </row>
    <row r="4229" spans="1:6" x14ac:dyDescent="0.35">
      <c r="A4229" s="42" t="s">
        <v>769</v>
      </c>
      <c r="B4229" s="42">
        <v>1199.92</v>
      </c>
      <c r="C4229" s="43">
        <v>0.15</v>
      </c>
      <c r="D4229" s="45">
        <v>45962</v>
      </c>
      <c r="E4229" s="45">
        <v>45991.999305555553</v>
      </c>
      <c r="F4229" s="42" t="s">
        <v>475</v>
      </c>
    </row>
    <row r="4230" spans="1:6" x14ac:dyDescent="0.35">
      <c r="A4230" s="42" t="s">
        <v>770</v>
      </c>
      <c r="B4230" s="42">
        <v>1199.92</v>
      </c>
      <c r="C4230" s="43">
        <v>0.15</v>
      </c>
      <c r="D4230" s="45">
        <v>45962</v>
      </c>
      <c r="E4230" s="45">
        <v>45991.999305555553</v>
      </c>
      <c r="F4230" s="42" t="s">
        <v>475</v>
      </c>
    </row>
    <row r="4231" spans="1:6" x14ac:dyDescent="0.35">
      <c r="A4231" s="42" t="s">
        <v>771</v>
      </c>
      <c r="B4231" s="42">
        <v>1199.92</v>
      </c>
      <c r="C4231" s="43">
        <v>0.15</v>
      </c>
      <c r="D4231" s="45">
        <v>45962</v>
      </c>
      <c r="E4231" s="45">
        <v>45991.999305555553</v>
      </c>
      <c r="F4231" s="42" t="s">
        <v>475</v>
      </c>
    </row>
    <row r="4232" spans="1:6" x14ac:dyDescent="0.35">
      <c r="A4232" s="42" t="s">
        <v>772</v>
      </c>
      <c r="B4232" s="42">
        <v>1199.92</v>
      </c>
      <c r="C4232" s="43">
        <v>0.15</v>
      </c>
      <c r="D4232" s="45">
        <v>45962</v>
      </c>
      <c r="E4232" s="45">
        <v>45991.999305555553</v>
      </c>
      <c r="F4232" s="42" t="s">
        <v>475</v>
      </c>
    </row>
    <row r="4233" spans="1:6" x14ac:dyDescent="0.35">
      <c r="A4233" s="42" t="s">
        <v>773</v>
      </c>
      <c r="B4233" s="42">
        <v>1399.92</v>
      </c>
      <c r="C4233" s="43">
        <v>0.15</v>
      </c>
      <c r="D4233" s="45">
        <v>45962</v>
      </c>
      <c r="E4233" s="45">
        <v>45991.999305555553</v>
      </c>
      <c r="F4233" s="42" t="s">
        <v>475</v>
      </c>
    </row>
    <row r="4234" spans="1:6" x14ac:dyDescent="0.35">
      <c r="A4234" s="42" t="s">
        <v>781</v>
      </c>
      <c r="B4234" s="42">
        <v>2089.92</v>
      </c>
      <c r="C4234" s="43">
        <v>0.15</v>
      </c>
      <c r="D4234" s="45">
        <v>45962</v>
      </c>
      <c r="E4234" s="45">
        <v>45991.999305555553</v>
      </c>
      <c r="F4234" s="42" t="s">
        <v>475</v>
      </c>
    </row>
    <row r="4235" spans="1:6" x14ac:dyDescent="0.35">
      <c r="A4235" s="42" t="s">
        <v>788</v>
      </c>
      <c r="B4235" s="42">
        <v>469.92</v>
      </c>
      <c r="C4235" s="43">
        <v>0.15</v>
      </c>
      <c r="D4235" s="45">
        <v>45962</v>
      </c>
      <c r="E4235" s="45">
        <v>45991.999305555553</v>
      </c>
      <c r="F4235" s="42" t="s">
        <v>475</v>
      </c>
    </row>
    <row r="4236" spans="1:6" x14ac:dyDescent="0.35">
      <c r="A4236" s="42" t="s">
        <v>789</v>
      </c>
      <c r="B4236" s="42">
        <v>469.92</v>
      </c>
      <c r="C4236" s="43">
        <v>0.15</v>
      </c>
      <c r="D4236" s="45">
        <v>45962</v>
      </c>
      <c r="E4236" s="45">
        <v>45991.999305555553</v>
      </c>
      <c r="F4236" s="42" t="s">
        <v>475</v>
      </c>
    </row>
    <row r="4237" spans="1:6" x14ac:dyDescent="0.35">
      <c r="A4237" s="42" t="s">
        <v>790</v>
      </c>
      <c r="B4237" s="42">
        <v>469.92</v>
      </c>
      <c r="C4237" s="43">
        <v>0.15</v>
      </c>
      <c r="D4237" s="45">
        <v>45962</v>
      </c>
      <c r="E4237" s="45">
        <v>45991.999305555553</v>
      </c>
      <c r="F4237" s="42" t="s">
        <v>475</v>
      </c>
    </row>
    <row r="4238" spans="1:6" x14ac:dyDescent="0.35">
      <c r="A4238" s="42" t="s">
        <v>791</v>
      </c>
      <c r="B4238" s="42">
        <v>469.92</v>
      </c>
      <c r="C4238" s="43">
        <v>0.15</v>
      </c>
      <c r="D4238" s="45">
        <v>45962</v>
      </c>
      <c r="E4238" s="45">
        <v>45991.999305555553</v>
      </c>
      <c r="F4238" s="42" t="s">
        <v>475</v>
      </c>
    </row>
    <row r="4239" spans="1:6" x14ac:dyDescent="0.35">
      <c r="A4239" s="42" t="s">
        <v>801</v>
      </c>
      <c r="B4239" s="42">
        <v>469.92</v>
      </c>
      <c r="C4239" s="43">
        <v>0.15</v>
      </c>
      <c r="D4239" s="45">
        <v>45962</v>
      </c>
      <c r="E4239" s="45">
        <v>45991.999305555553</v>
      </c>
      <c r="F4239" s="42" t="s">
        <v>475</v>
      </c>
    </row>
    <row r="4240" spans="1:6" x14ac:dyDescent="0.35">
      <c r="A4240" s="42" t="s">
        <v>802</v>
      </c>
      <c r="B4240" s="42">
        <v>1369.92</v>
      </c>
      <c r="C4240" s="43">
        <v>0.15</v>
      </c>
      <c r="D4240" s="45">
        <v>45962</v>
      </c>
      <c r="E4240" s="45">
        <v>45991.999305555553</v>
      </c>
      <c r="F4240" s="42" t="s">
        <v>475</v>
      </c>
    </row>
    <row r="4241" spans="1:6" x14ac:dyDescent="0.35">
      <c r="A4241" s="42" t="s">
        <v>805</v>
      </c>
      <c r="B4241" s="42">
        <v>1299.92</v>
      </c>
      <c r="C4241" s="43">
        <v>0.15</v>
      </c>
      <c r="D4241" s="45">
        <v>45962</v>
      </c>
      <c r="E4241" s="45">
        <v>45991.999305555553</v>
      </c>
      <c r="F4241" s="42" t="s">
        <v>475</v>
      </c>
    </row>
    <row r="4242" spans="1:6" x14ac:dyDescent="0.35">
      <c r="A4242" s="42" t="s">
        <v>808</v>
      </c>
      <c r="B4242" s="42">
        <v>919.92</v>
      </c>
      <c r="C4242" s="43">
        <v>0.15</v>
      </c>
      <c r="D4242" s="45">
        <v>45962</v>
      </c>
      <c r="E4242" s="45">
        <v>45991.999305555553</v>
      </c>
      <c r="F4242" s="42" t="s">
        <v>475</v>
      </c>
    </row>
    <row r="4243" spans="1:6" x14ac:dyDescent="0.35">
      <c r="A4243" s="42" t="s">
        <v>809</v>
      </c>
      <c r="B4243" s="42">
        <v>1359.92</v>
      </c>
      <c r="C4243" s="43">
        <v>0.15</v>
      </c>
      <c r="D4243" s="45">
        <v>45962</v>
      </c>
      <c r="E4243" s="45">
        <v>45991.999305555553</v>
      </c>
      <c r="F4243" s="42" t="s">
        <v>475</v>
      </c>
    </row>
    <row r="4244" spans="1:6" x14ac:dyDescent="0.35">
      <c r="A4244" s="42" t="s">
        <v>810</v>
      </c>
      <c r="B4244" s="42">
        <v>1499.92</v>
      </c>
      <c r="C4244" s="43">
        <v>0.15</v>
      </c>
      <c r="D4244" s="45">
        <v>45962</v>
      </c>
      <c r="E4244" s="45">
        <v>45991.999305555553</v>
      </c>
      <c r="F4244" s="42" t="s">
        <v>475</v>
      </c>
    </row>
    <row r="4245" spans="1:6" x14ac:dyDescent="0.35">
      <c r="A4245" s="42" t="s">
        <v>813</v>
      </c>
      <c r="B4245" s="42">
        <v>1119.92</v>
      </c>
      <c r="C4245" s="43">
        <v>0.15</v>
      </c>
      <c r="D4245" s="45">
        <v>45962</v>
      </c>
      <c r="E4245" s="45">
        <v>45991.999305555553</v>
      </c>
      <c r="F4245" s="42" t="s">
        <v>475</v>
      </c>
    </row>
    <row r="4246" spans="1:6" x14ac:dyDescent="0.35">
      <c r="A4246" s="42" t="s">
        <v>818</v>
      </c>
      <c r="B4246" s="42">
        <v>969.92</v>
      </c>
      <c r="C4246" s="43">
        <v>0.15</v>
      </c>
      <c r="D4246" s="45">
        <v>45962</v>
      </c>
      <c r="E4246" s="45">
        <v>45991.999305555553</v>
      </c>
      <c r="F4246" s="42" t="s">
        <v>475</v>
      </c>
    </row>
    <row r="4247" spans="1:6" x14ac:dyDescent="0.35">
      <c r="A4247" s="42" t="s">
        <v>819</v>
      </c>
      <c r="B4247" s="42">
        <v>969.92</v>
      </c>
      <c r="C4247" s="43">
        <v>0.15</v>
      </c>
      <c r="D4247" s="45">
        <v>45962</v>
      </c>
      <c r="E4247" s="45">
        <v>45991.999305555553</v>
      </c>
      <c r="F4247" s="42" t="s">
        <v>475</v>
      </c>
    </row>
    <row r="4248" spans="1:6" x14ac:dyDescent="0.35">
      <c r="A4248" s="42" t="s">
        <v>820</v>
      </c>
      <c r="B4248" s="42">
        <v>969.92</v>
      </c>
      <c r="C4248" s="43">
        <v>0.15</v>
      </c>
      <c r="D4248" s="45">
        <v>45962</v>
      </c>
      <c r="E4248" s="45">
        <v>45991.999305555553</v>
      </c>
      <c r="F4248" s="42" t="s">
        <v>475</v>
      </c>
    </row>
    <row r="4249" spans="1:6" x14ac:dyDescent="0.35">
      <c r="A4249" s="42" t="s">
        <v>821</v>
      </c>
      <c r="B4249" s="42">
        <v>919.92</v>
      </c>
      <c r="C4249" s="43">
        <v>0.15</v>
      </c>
      <c r="D4249" s="45">
        <v>45962</v>
      </c>
      <c r="E4249" s="45">
        <v>45991.999305555553</v>
      </c>
      <c r="F4249" s="42" t="s">
        <v>475</v>
      </c>
    </row>
    <row r="4250" spans="1:6" x14ac:dyDescent="0.35">
      <c r="A4250" s="42" t="s">
        <v>822</v>
      </c>
      <c r="B4250" s="42">
        <v>919.92</v>
      </c>
      <c r="C4250" s="43">
        <v>0.15</v>
      </c>
      <c r="D4250" s="45">
        <v>45962</v>
      </c>
      <c r="E4250" s="45">
        <v>45991.999305555553</v>
      </c>
      <c r="F4250" s="42" t="s">
        <v>475</v>
      </c>
    </row>
    <row r="4251" spans="1:6" x14ac:dyDescent="0.35">
      <c r="A4251" s="42" t="s">
        <v>823</v>
      </c>
      <c r="B4251" s="42">
        <v>919.92</v>
      </c>
      <c r="C4251" s="43">
        <v>0.15</v>
      </c>
      <c r="D4251" s="45">
        <v>45962</v>
      </c>
      <c r="E4251" s="45">
        <v>45991.999305555553</v>
      </c>
      <c r="F4251" s="42" t="s">
        <v>475</v>
      </c>
    </row>
    <row r="4252" spans="1:6" x14ac:dyDescent="0.35">
      <c r="A4252" s="42" t="s">
        <v>830</v>
      </c>
      <c r="B4252" s="42">
        <v>919.92</v>
      </c>
      <c r="C4252" s="43">
        <v>0.15</v>
      </c>
      <c r="D4252" s="45">
        <v>45962</v>
      </c>
      <c r="E4252" s="45">
        <v>45991.999305555553</v>
      </c>
      <c r="F4252" s="42" t="s">
        <v>475</v>
      </c>
    </row>
    <row r="4253" spans="1:6" x14ac:dyDescent="0.35">
      <c r="A4253" s="42" t="s">
        <v>831</v>
      </c>
      <c r="B4253" s="42">
        <v>919.92</v>
      </c>
      <c r="C4253" s="43">
        <v>0.15</v>
      </c>
      <c r="D4253" s="45">
        <v>45962</v>
      </c>
      <c r="E4253" s="45">
        <v>45991.999305555553</v>
      </c>
      <c r="F4253" s="42" t="s">
        <v>475</v>
      </c>
    </row>
    <row r="4254" spans="1:6" x14ac:dyDescent="0.35">
      <c r="A4254" s="42" t="s">
        <v>832</v>
      </c>
      <c r="B4254" s="42">
        <v>919.92</v>
      </c>
      <c r="C4254" s="43">
        <v>0.15</v>
      </c>
      <c r="D4254" s="45">
        <v>45962</v>
      </c>
      <c r="E4254" s="45">
        <v>45991.999305555553</v>
      </c>
      <c r="F4254" s="42" t="s">
        <v>475</v>
      </c>
    </row>
    <row r="4255" spans="1:6" x14ac:dyDescent="0.35">
      <c r="A4255" s="42" t="s">
        <v>846</v>
      </c>
      <c r="B4255" s="42">
        <v>1259.92</v>
      </c>
      <c r="C4255" s="43">
        <v>0.15</v>
      </c>
      <c r="D4255" s="45">
        <v>45962</v>
      </c>
      <c r="E4255" s="45">
        <v>45991.999305555553</v>
      </c>
      <c r="F4255" s="42" t="s">
        <v>475</v>
      </c>
    </row>
    <row r="4256" spans="1:6" x14ac:dyDescent="0.35">
      <c r="A4256" s="42" t="s">
        <v>847</v>
      </c>
      <c r="B4256" s="42">
        <v>1259.92</v>
      </c>
      <c r="C4256" s="43">
        <v>0.15</v>
      </c>
      <c r="D4256" s="45">
        <v>45962</v>
      </c>
      <c r="E4256" s="45">
        <v>45991.999305555553</v>
      </c>
      <c r="F4256" s="42" t="s">
        <v>475</v>
      </c>
    </row>
    <row r="4257" spans="1:6" x14ac:dyDescent="0.35">
      <c r="A4257" s="42" t="s">
        <v>848</v>
      </c>
      <c r="B4257" s="42">
        <v>1259.92</v>
      </c>
      <c r="C4257" s="43">
        <v>0.15</v>
      </c>
      <c r="D4257" s="45">
        <v>45962</v>
      </c>
      <c r="E4257" s="45">
        <v>45991.999305555553</v>
      </c>
      <c r="F4257" s="42" t="s">
        <v>475</v>
      </c>
    </row>
    <row r="4258" spans="1:6" x14ac:dyDescent="0.35">
      <c r="A4258" s="42" t="s">
        <v>849</v>
      </c>
      <c r="B4258" s="42">
        <v>1259.92</v>
      </c>
      <c r="C4258" s="43">
        <v>0.15</v>
      </c>
      <c r="D4258" s="45">
        <v>45962</v>
      </c>
      <c r="E4258" s="45">
        <v>45991.999305555553</v>
      </c>
      <c r="F4258" s="42" t="s">
        <v>475</v>
      </c>
    </row>
    <row r="4259" spans="1:6" x14ac:dyDescent="0.35">
      <c r="A4259" s="42" t="s">
        <v>850</v>
      </c>
      <c r="B4259" s="42">
        <v>1259.92</v>
      </c>
      <c r="C4259" s="43">
        <v>0.15</v>
      </c>
      <c r="D4259" s="45">
        <v>45962</v>
      </c>
      <c r="E4259" s="45">
        <v>45991.999305555553</v>
      </c>
      <c r="F4259" s="42" t="s">
        <v>475</v>
      </c>
    </row>
    <row r="4260" spans="1:6" x14ac:dyDescent="0.35">
      <c r="A4260" s="42" t="s">
        <v>851</v>
      </c>
      <c r="B4260" s="42">
        <v>1259.92</v>
      </c>
      <c r="C4260" s="43">
        <v>0.15</v>
      </c>
      <c r="D4260" s="45">
        <v>45962</v>
      </c>
      <c r="E4260" s="45">
        <v>45991.999305555553</v>
      </c>
      <c r="F4260" s="42" t="s">
        <v>475</v>
      </c>
    </row>
    <row r="4261" spans="1:6" x14ac:dyDescent="0.35">
      <c r="A4261" s="42" t="s">
        <v>869</v>
      </c>
      <c r="B4261" s="42">
        <v>1839.92</v>
      </c>
      <c r="C4261" s="43">
        <v>0.15</v>
      </c>
      <c r="D4261" s="45">
        <v>45962</v>
      </c>
      <c r="E4261" s="45">
        <v>45991.999305555553</v>
      </c>
      <c r="F4261" s="42" t="s">
        <v>475</v>
      </c>
    </row>
    <row r="4262" spans="1:6" x14ac:dyDescent="0.35">
      <c r="A4262" s="42" t="s">
        <v>870</v>
      </c>
      <c r="B4262" s="42">
        <v>1839.92</v>
      </c>
      <c r="C4262" s="43">
        <v>0.15</v>
      </c>
      <c r="D4262" s="45">
        <v>45962</v>
      </c>
      <c r="E4262" s="45">
        <v>45991.999305555553</v>
      </c>
      <c r="F4262" s="42" t="s">
        <v>475</v>
      </c>
    </row>
    <row r="4263" spans="1:6" x14ac:dyDescent="0.35">
      <c r="A4263" s="42" t="s">
        <v>871</v>
      </c>
      <c r="B4263" s="42">
        <v>1839.92</v>
      </c>
      <c r="C4263" s="43">
        <v>0.15</v>
      </c>
      <c r="D4263" s="45">
        <v>45962</v>
      </c>
      <c r="E4263" s="45">
        <v>45991.999305555553</v>
      </c>
      <c r="F4263" s="42" t="s">
        <v>475</v>
      </c>
    </row>
    <row r="4264" spans="1:6" x14ac:dyDescent="0.35">
      <c r="A4264" s="42" t="s">
        <v>872</v>
      </c>
      <c r="B4264" s="42">
        <v>1839.92</v>
      </c>
      <c r="C4264" s="43">
        <v>0.15</v>
      </c>
      <c r="D4264" s="45">
        <v>45962</v>
      </c>
      <c r="E4264" s="45">
        <v>45991.999305555553</v>
      </c>
      <c r="F4264" s="42" t="s">
        <v>475</v>
      </c>
    </row>
    <row r="4265" spans="1:6" x14ac:dyDescent="0.35">
      <c r="A4265" s="42" t="s">
        <v>873</v>
      </c>
      <c r="B4265" s="42">
        <v>1839.92</v>
      </c>
      <c r="C4265" s="43">
        <v>0.15</v>
      </c>
      <c r="D4265" s="45">
        <v>45962</v>
      </c>
      <c r="E4265" s="45">
        <v>45991.999305555553</v>
      </c>
      <c r="F4265" s="42" t="s">
        <v>475</v>
      </c>
    </row>
    <row r="4266" spans="1:6" x14ac:dyDescent="0.35">
      <c r="A4266" s="42" t="s">
        <v>874</v>
      </c>
      <c r="B4266" s="42">
        <v>1839.92</v>
      </c>
      <c r="C4266" s="43">
        <v>0.15</v>
      </c>
      <c r="D4266" s="45">
        <v>45962</v>
      </c>
      <c r="E4266" s="45">
        <v>45991.999305555553</v>
      </c>
      <c r="F4266" s="42" t="s">
        <v>475</v>
      </c>
    </row>
    <row r="4267" spans="1:6" x14ac:dyDescent="0.35">
      <c r="A4267" s="42" t="s">
        <v>875</v>
      </c>
      <c r="B4267" s="42">
        <v>2299.92</v>
      </c>
      <c r="C4267" s="43">
        <v>0.15</v>
      </c>
      <c r="D4267" s="45">
        <v>45962</v>
      </c>
      <c r="E4267" s="45">
        <v>45991.999305555553</v>
      </c>
      <c r="F4267" s="42" t="s">
        <v>475</v>
      </c>
    </row>
    <row r="4268" spans="1:6" x14ac:dyDescent="0.35">
      <c r="A4268" s="42" t="s">
        <v>876</v>
      </c>
      <c r="B4268" s="42">
        <v>2639.92</v>
      </c>
      <c r="C4268" s="43">
        <v>0.15</v>
      </c>
      <c r="D4268" s="45">
        <v>45962</v>
      </c>
      <c r="E4268" s="45">
        <v>45991.999305555553</v>
      </c>
      <c r="F4268" s="42" t="s">
        <v>475</v>
      </c>
    </row>
    <row r="4269" spans="1:6" x14ac:dyDescent="0.35">
      <c r="A4269" s="42" t="s">
        <v>877</v>
      </c>
      <c r="B4269" s="42">
        <v>2639.92</v>
      </c>
      <c r="C4269" s="43">
        <v>0.15</v>
      </c>
      <c r="D4269" s="45">
        <v>45962</v>
      </c>
      <c r="E4269" s="45">
        <v>45991.999305555553</v>
      </c>
      <c r="F4269" s="42" t="s">
        <v>475</v>
      </c>
    </row>
    <row r="4270" spans="1:6" x14ac:dyDescent="0.35">
      <c r="A4270" s="42" t="s">
        <v>878</v>
      </c>
      <c r="B4270" s="42">
        <v>2639.92</v>
      </c>
      <c r="C4270" s="43">
        <v>0.15</v>
      </c>
      <c r="D4270" s="45">
        <v>45962</v>
      </c>
      <c r="E4270" s="45">
        <v>45991.999305555553</v>
      </c>
      <c r="F4270" s="42" t="s">
        <v>475</v>
      </c>
    </row>
    <row r="4271" spans="1:6" x14ac:dyDescent="0.35">
      <c r="A4271" s="42" t="s">
        <v>879</v>
      </c>
      <c r="B4271" s="42">
        <v>2639.92</v>
      </c>
      <c r="C4271" s="43">
        <v>0.15</v>
      </c>
      <c r="D4271" s="45">
        <v>45962</v>
      </c>
      <c r="E4271" s="45">
        <v>45991.999305555553</v>
      </c>
      <c r="F4271" s="42" t="s">
        <v>475</v>
      </c>
    </row>
    <row r="4272" spans="1:6" x14ac:dyDescent="0.35">
      <c r="A4272" s="42" t="s">
        <v>880</v>
      </c>
      <c r="B4272" s="42">
        <v>2639.92</v>
      </c>
      <c r="C4272" s="43">
        <v>0.15</v>
      </c>
      <c r="D4272" s="45">
        <v>45962</v>
      </c>
      <c r="E4272" s="45">
        <v>45991.999305555553</v>
      </c>
      <c r="F4272" s="42" t="s">
        <v>475</v>
      </c>
    </row>
    <row r="4273" spans="1:6" x14ac:dyDescent="0.35">
      <c r="A4273" s="42" t="s">
        <v>881</v>
      </c>
      <c r="B4273" s="42">
        <v>2639.92</v>
      </c>
      <c r="C4273" s="43">
        <v>0.15</v>
      </c>
      <c r="D4273" s="45">
        <v>45962</v>
      </c>
      <c r="E4273" s="45">
        <v>45991.999305555553</v>
      </c>
      <c r="F4273" s="42" t="s">
        <v>475</v>
      </c>
    </row>
    <row r="4274" spans="1:6" x14ac:dyDescent="0.35">
      <c r="A4274" s="42" t="s">
        <v>567</v>
      </c>
      <c r="B4274" s="42">
        <v>219.92</v>
      </c>
      <c r="C4274" s="43">
        <v>0.17</v>
      </c>
      <c r="D4274" s="45">
        <v>45962</v>
      </c>
      <c r="E4274" s="45">
        <v>45991.999305555553</v>
      </c>
      <c r="F4274" s="42" t="s">
        <v>475</v>
      </c>
    </row>
    <row r="4275" spans="1:6" x14ac:dyDescent="0.35">
      <c r="A4275" s="42" t="s">
        <v>476</v>
      </c>
      <c r="B4275" s="42">
        <v>819.92</v>
      </c>
      <c r="C4275" s="43">
        <v>0.17</v>
      </c>
      <c r="D4275" s="45">
        <v>45962</v>
      </c>
      <c r="E4275" s="45">
        <v>45991.999305555553</v>
      </c>
      <c r="F4275" s="42" t="s">
        <v>475</v>
      </c>
    </row>
    <row r="4276" spans="1:6" x14ac:dyDescent="0.35">
      <c r="A4276" s="42" t="s">
        <v>882</v>
      </c>
      <c r="B4276" s="42">
        <v>819.92</v>
      </c>
      <c r="C4276" s="43">
        <v>0.17</v>
      </c>
      <c r="D4276" s="45">
        <v>45962</v>
      </c>
      <c r="E4276" s="45">
        <v>45991.999305555553</v>
      </c>
      <c r="F4276" s="42" t="s">
        <v>475</v>
      </c>
    </row>
    <row r="4277" spans="1:6" x14ac:dyDescent="0.35">
      <c r="A4277" s="42" t="s">
        <v>883</v>
      </c>
      <c r="B4277" s="42">
        <v>819.92</v>
      </c>
      <c r="C4277" s="43">
        <v>0.17</v>
      </c>
      <c r="D4277" s="45">
        <v>45962</v>
      </c>
      <c r="E4277" s="45">
        <v>45991.999305555553</v>
      </c>
      <c r="F4277" s="42" t="s">
        <v>475</v>
      </c>
    </row>
    <row r="4278" spans="1:6" x14ac:dyDescent="0.35">
      <c r="A4278" s="42" t="s">
        <v>884</v>
      </c>
      <c r="B4278" s="42">
        <v>819.92</v>
      </c>
      <c r="C4278" s="43">
        <v>0.17</v>
      </c>
      <c r="D4278" s="45">
        <v>45962</v>
      </c>
      <c r="E4278" s="45">
        <v>45991.999305555553</v>
      </c>
      <c r="F4278" s="42" t="s">
        <v>475</v>
      </c>
    </row>
    <row r="4279" spans="1:6" x14ac:dyDescent="0.35">
      <c r="A4279" s="42" t="s">
        <v>885</v>
      </c>
      <c r="B4279" s="42">
        <v>819.92</v>
      </c>
      <c r="C4279" s="43">
        <v>0.17</v>
      </c>
      <c r="D4279" s="45">
        <v>45962</v>
      </c>
      <c r="E4279" s="45">
        <v>45991.999305555553</v>
      </c>
      <c r="F4279" s="42" t="s">
        <v>475</v>
      </c>
    </row>
    <row r="4280" spans="1:6" x14ac:dyDescent="0.35">
      <c r="A4280" s="42" t="s">
        <v>499</v>
      </c>
      <c r="B4280" s="42">
        <v>919.92</v>
      </c>
      <c r="C4280" s="43">
        <v>0.17</v>
      </c>
      <c r="D4280" s="45">
        <v>45962</v>
      </c>
      <c r="E4280" s="45">
        <v>45991.999305555553</v>
      </c>
      <c r="F4280" s="42" t="s">
        <v>475</v>
      </c>
    </row>
    <row r="4281" spans="1:6" x14ac:dyDescent="0.35">
      <c r="A4281" s="42" t="s">
        <v>46</v>
      </c>
      <c r="B4281" s="42">
        <v>919.92</v>
      </c>
      <c r="C4281" s="43">
        <v>0.17</v>
      </c>
      <c r="D4281" s="45">
        <v>45962</v>
      </c>
      <c r="E4281" s="45">
        <v>45991.999305555553</v>
      </c>
      <c r="F4281" s="42" t="s">
        <v>475</v>
      </c>
    </row>
    <row r="4282" spans="1:6" x14ac:dyDescent="0.35">
      <c r="A4282" s="42" t="s">
        <v>47</v>
      </c>
      <c r="B4282" s="42">
        <v>919.92</v>
      </c>
      <c r="C4282" s="43">
        <v>0.17</v>
      </c>
      <c r="D4282" s="45">
        <v>45962</v>
      </c>
      <c r="E4282" s="45">
        <v>45991.999305555553</v>
      </c>
      <c r="F4282" s="42" t="s">
        <v>475</v>
      </c>
    </row>
    <row r="4283" spans="1:6" x14ac:dyDescent="0.35">
      <c r="A4283" s="42" t="s">
        <v>523</v>
      </c>
      <c r="B4283" s="42">
        <v>919.92</v>
      </c>
      <c r="C4283" s="43">
        <v>0.17</v>
      </c>
      <c r="D4283" s="45">
        <v>45962</v>
      </c>
      <c r="E4283" s="45">
        <v>45991.999305555553</v>
      </c>
      <c r="F4283" s="42" t="s">
        <v>475</v>
      </c>
    </row>
    <row r="4284" spans="1:6" x14ac:dyDescent="0.35">
      <c r="A4284" s="42" t="s">
        <v>718</v>
      </c>
      <c r="B4284" s="42">
        <v>919.92</v>
      </c>
      <c r="C4284" s="43">
        <v>0.17</v>
      </c>
      <c r="D4284" s="45">
        <v>45962</v>
      </c>
      <c r="E4284" s="45">
        <v>45991.999305555553</v>
      </c>
      <c r="F4284" s="42" t="s">
        <v>475</v>
      </c>
    </row>
    <row r="4285" spans="1:6" x14ac:dyDescent="0.35">
      <c r="A4285" s="42" t="s">
        <v>719</v>
      </c>
      <c r="B4285" s="42">
        <v>919.92</v>
      </c>
      <c r="C4285" s="43">
        <v>0.17</v>
      </c>
      <c r="D4285" s="45">
        <v>45962</v>
      </c>
      <c r="E4285" s="45">
        <v>45991.999305555553</v>
      </c>
      <c r="F4285" s="42" t="s">
        <v>475</v>
      </c>
    </row>
    <row r="4286" spans="1:6" x14ac:dyDescent="0.35">
      <c r="A4286" s="42" t="s">
        <v>720</v>
      </c>
      <c r="B4286" s="42">
        <v>919.92</v>
      </c>
      <c r="C4286" s="43">
        <v>0.17</v>
      </c>
      <c r="D4286" s="45">
        <v>45962</v>
      </c>
      <c r="E4286" s="45">
        <v>45991.999305555553</v>
      </c>
      <c r="F4286" s="42" t="s">
        <v>475</v>
      </c>
    </row>
    <row r="4287" spans="1:6" x14ac:dyDescent="0.35">
      <c r="A4287" s="42" t="s">
        <v>815</v>
      </c>
      <c r="B4287" s="42">
        <v>919.92</v>
      </c>
      <c r="C4287" s="43">
        <v>0.17</v>
      </c>
      <c r="D4287" s="45">
        <v>45962</v>
      </c>
      <c r="E4287" s="45">
        <v>45991.999305555553</v>
      </c>
      <c r="F4287" s="42" t="s">
        <v>475</v>
      </c>
    </row>
    <row r="4288" spans="1:6" x14ac:dyDescent="0.35">
      <c r="A4288" s="42" t="s">
        <v>816</v>
      </c>
      <c r="B4288" s="42">
        <v>919.92</v>
      </c>
      <c r="C4288" s="43">
        <v>0.17</v>
      </c>
      <c r="D4288" s="45">
        <v>45962</v>
      </c>
      <c r="E4288" s="45">
        <v>45991.999305555553</v>
      </c>
      <c r="F4288" s="42" t="s">
        <v>475</v>
      </c>
    </row>
    <row r="4289" spans="1:6" x14ac:dyDescent="0.35">
      <c r="A4289" s="42" t="s">
        <v>817</v>
      </c>
      <c r="B4289" s="42">
        <v>919.92</v>
      </c>
      <c r="C4289" s="43">
        <v>0.17</v>
      </c>
      <c r="D4289" s="45">
        <v>45962</v>
      </c>
      <c r="E4289" s="45">
        <v>45991.999305555553</v>
      </c>
      <c r="F4289" s="42" t="s">
        <v>475</v>
      </c>
    </row>
    <row r="4290" spans="1:6" x14ac:dyDescent="0.35">
      <c r="A4290" s="42" t="s">
        <v>721</v>
      </c>
      <c r="B4290" s="42">
        <v>919.92</v>
      </c>
      <c r="C4290" s="43">
        <v>0.17</v>
      </c>
      <c r="D4290" s="45">
        <v>45962</v>
      </c>
      <c r="E4290" s="45">
        <v>45991.999305555553</v>
      </c>
      <c r="F4290" s="42" t="s">
        <v>475</v>
      </c>
    </row>
    <row r="4291" spans="1:6" x14ac:dyDescent="0.35">
      <c r="A4291" s="42" t="s">
        <v>483</v>
      </c>
      <c r="B4291" s="42">
        <v>1019.92</v>
      </c>
      <c r="C4291" s="43">
        <v>0.17</v>
      </c>
      <c r="D4291" s="45">
        <v>45962</v>
      </c>
      <c r="E4291" s="45">
        <v>45991.999305555553</v>
      </c>
      <c r="F4291" s="42" t="s">
        <v>475</v>
      </c>
    </row>
    <row r="4292" spans="1:6" x14ac:dyDescent="0.35">
      <c r="A4292" s="42" t="s">
        <v>745</v>
      </c>
      <c r="B4292" s="42">
        <v>1019.92</v>
      </c>
      <c r="C4292" s="43">
        <v>0.17</v>
      </c>
      <c r="D4292" s="45">
        <v>45962</v>
      </c>
      <c r="E4292" s="45">
        <v>45991.999305555553</v>
      </c>
      <c r="F4292" s="42" t="s">
        <v>475</v>
      </c>
    </row>
    <row r="4293" spans="1:6" x14ac:dyDescent="0.35">
      <c r="A4293" s="42" t="s">
        <v>746</v>
      </c>
      <c r="B4293" s="42">
        <v>1019.92</v>
      </c>
      <c r="C4293" s="43">
        <v>0.17</v>
      </c>
      <c r="D4293" s="45">
        <v>45962</v>
      </c>
      <c r="E4293" s="45">
        <v>45991.999305555553</v>
      </c>
      <c r="F4293" s="42" t="s">
        <v>475</v>
      </c>
    </row>
    <row r="4294" spans="1:6" x14ac:dyDescent="0.35">
      <c r="A4294" s="42" t="s">
        <v>747</v>
      </c>
      <c r="B4294" s="42">
        <v>1019.92</v>
      </c>
      <c r="C4294" s="43">
        <v>0.17</v>
      </c>
      <c r="D4294" s="45">
        <v>45962</v>
      </c>
      <c r="E4294" s="45">
        <v>45991.999305555553</v>
      </c>
      <c r="F4294" s="42" t="s">
        <v>475</v>
      </c>
    </row>
    <row r="4295" spans="1:6" x14ac:dyDescent="0.35">
      <c r="A4295" s="42" t="s">
        <v>748</v>
      </c>
      <c r="B4295" s="42">
        <v>1019.92</v>
      </c>
      <c r="C4295" s="43">
        <v>0.17</v>
      </c>
      <c r="D4295" s="45">
        <v>45962</v>
      </c>
      <c r="E4295" s="45">
        <v>45991.999305555553</v>
      </c>
      <c r="F4295" s="42" t="s">
        <v>475</v>
      </c>
    </row>
    <row r="4296" spans="1:6" x14ac:dyDescent="0.35">
      <c r="A4296" s="42" t="s">
        <v>651</v>
      </c>
      <c r="B4296" s="42">
        <v>1619.92</v>
      </c>
      <c r="C4296" s="43">
        <v>0.17</v>
      </c>
      <c r="D4296" s="45">
        <v>45962</v>
      </c>
      <c r="E4296" s="45">
        <v>45991.999305555553</v>
      </c>
      <c r="F4296" s="42" t="s">
        <v>475</v>
      </c>
    </row>
    <row r="4297" spans="1:6" x14ac:dyDescent="0.35">
      <c r="A4297" s="42" t="s">
        <v>774</v>
      </c>
      <c r="B4297" s="42">
        <v>1619.92</v>
      </c>
      <c r="C4297" s="43">
        <v>0.17</v>
      </c>
      <c r="D4297" s="45">
        <v>45962</v>
      </c>
      <c r="E4297" s="45">
        <v>45991.999305555553</v>
      </c>
      <c r="F4297" s="42" t="s">
        <v>475</v>
      </c>
    </row>
    <row r="4298" spans="1:6" x14ac:dyDescent="0.35">
      <c r="A4298" s="42" t="s">
        <v>775</v>
      </c>
      <c r="B4298" s="42">
        <v>1619.92</v>
      </c>
      <c r="C4298" s="43">
        <v>0.17</v>
      </c>
      <c r="D4298" s="45">
        <v>45962</v>
      </c>
      <c r="E4298" s="45">
        <v>45991.999305555553</v>
      </c>
      <c r="F4298" s="42" t="s">
        <v>475</v>
      </c>
    </row>
    <row r="4299" spans="1:6" x14ac:dyDescent="0.35">
      <c r="A4299" s="42" t="s">
        <v>776</v>
      </c>
      <c r="B4299" s="42">
        <v>1619.92</v>
      </c>
      <c r="C4299" s="43">
        <v>0.17</v>
      </c>
      <c r="D4299" s="45">
        <v>45962</v>
      </c>
      <c r="E4299" s="45">
        <v>45991.999305555553</v>
      </c>
      <c r="F4299" s="42" t="s">
        <v>475</v>
      </c>
    </row>
    <row r="4300" spans="1:6" x14ac:dyDescent="0.35">
      <c r="A4300" s="42" t="s">
        <v>777</v>
      </c>
      <c r="B4300" s="42">
        <v>1619.92</v>
      </c>
      <c r="C4300" s="43">
        <v>0.17</v>
      </c>
      <c r="D4300" s="45">
        <v>45962</v>
      </c>
      <c r="E4300" s="45">
        <v>45991.999305555553</v>
      </c>
      <c r="F4300" s="42" t="s">
        <v>475</v>
      </c>
    </row>
    <row r="4301" spans="1:6" x14ac:dyDescent="0.35">
      <c r="A4301" s="42" t="s">
        <v>778</v>
      </c>
      <c r="B4301" s="42">
        <v>1619.92</v>
      </c>
      <c r="C4301" s="43">
        <v>0.17</v>
      </c>
      <c r="D4301" s="45">
        <v>45962</v>
      </c>
      <c r="E4301" s="45">
        <v>45991.999305555553</v>
      </c>
      <c r="F4301" s="42" t="s">
        <v>475</v>
      </c>
    </row>
    <row r="4302" spans="1:6" x14ac:dyDescent="0.35">
      <c r="A4302" s="42" t="s">
        <v>779</v>
      </c>
      <c r="B4302" s="42">
        <v>1619.92</v>
      </c>
      <c r="C4302" s="43">
        <v>0.17</v>
      </c>
      <c r="D4302" s="45">
        <v>45962</v>
      </c>
      <c r="E4302" s="45">
        <v>45991.999305555553</v>
      </c>
      <c r="F4302" s="42" t="s">
        <v>475</v>
      </c>
    </row>
    <row r="4303" spans="1:6" x14ac:dyDescent="0.35">
      <c r="A4303" s="42" t="s">
        <v>511</v>
      </c>
      <c r="B4303" s="42">
        <v>3919.92</v>
      </c>
      <c r="C4303" s="43">
        <v>0.17</v>
      </c>
      <c r="D4303" s="45">
        <v>45962</v>
      </c>
      <c r="E4303" s="45">
        <v>45991.999305555553</v>
      </c>
      <c r="F4303" s="42" t="s">
        <v>475</v>
      </c>
    </row>
    <row r="4304" spans="1:6" x14ac:dyDescent="0.35">
      <c r="A4304" s="42" t="s">
        <v>571</v>
      </c>
      <c r="B4304" s="42">
        <v>329.92</v>
      </c>
      <c r="C4304" s="43">
        <v>0.17</v>
      </c>
      <c r="D4304" s="45">
        <v>45962</v>
      </c>
      <c r="E4304" s="45">
        <v>45991.999305555553</v>
      </c>
      <c r="F4304" s="42" t="s">
        <v>475</v>
      </c>
    </row>
    <row r="4305" spans="1:6" x14ac:dyDescent="0.35">
      <c r="A4305" s="42" t="s">
        <v>581</v>
      </c>
      <c r="B4305" s="42">
        <v>539.91999999999996</v>
      </c>
      <c r="C4305" s="43">
        <v>0.17</v>
      </c>
      <c r="D4305" s="45">
        <v>45962</v>
      </c>
      <c r="E4305" s="45">
        <v>45991.999305555553</v>
      </c>
      <c r="F4305" s="42" t="s">
        <v>475</v>
      </c>
    </row>
    <row r="4306" spans="1:6" x14ac:dyDescent="0.35">
      <c r="A4306" s="42" t="s">
        <v>579</v>
      </c>
      <c r="B4306" s="42">
        <v>539.91999999999996</v>
      </c>
      <c r="C4306" s="43">
        <v>0.17</v>
      </c>
      <c r="D4306" s="45">
        <v>45962</v>
      </c>
      <c r="E4306" s="45">
        <v>45991.999305555553</v>
      </c>
      <c r="F4306" s="42" t="s">
        <v>475</v>
      </c>
    </row>
    <row r="4307" spans="1:6" x14ac:dyDescent="0.35">
      <c r="A4307" s="42" t="s">
        <v>646</v>
      </c>
      <c r="B4307" s="42">
        <v>539.91999999999996</v>
      </c>
      <c r="C4307" s="43">
        <v>0.17</v>
      </c>
      <c r="D4307" s="45">
        <v>45962</v>
      </c>
      <c r="E4307" s="45">
        <v>45991.999305555553</v>
      </c>
      <c r="F4307" s="42" t="s">
        <v>475</v>
      </c>
    </row>
    <row r="4308" spans="1:6" x14ac:dyDescent="0.35">
      <c r="A4308" s="42" t="s">
        <v>496</v>
      </c>
      <c r="B4308" s="42">
        <v>639.91999999999996</v>
      </c>
      <c r="C4308" s="43">
        <v>0.17</v>
      </c>
      <c r="D4308" s="45">
        <v>45962</v>
      </c>
      <c r="E4308" s="45">
        <v>45991.999305555553</v>
      </c>
      <c r="F4308" s="42" t="s">
        <v>475</v>
      </c>
    </row>
    <row r="4309" spans="1:6" x14ac:dyDescent="0.35">
      <c r="A4309" s="42" t="s">
        <v>585</v>
      </c>
      <c r="B4309" s="42">
        <v>639.91999999999996</v>
      </c>
      <c r="C4309" s="43">
        <v>0.17</v>
      </c>
      <c r="D4309" s="45">
        <v>45962</v>
      </c>
      <c r="E4309" s="45">
        <v>45991.999305555553</v>
      </c>
      <c r="F4309" s="42" t="s">
        <v>475</v>
      </c>
    </row>
    <row r="4310" spans="1:6" x14ac:dyDescent="0.35">
      <c r="A4310" s="42" t="s">
        <v>586</v>
      </c>
      <c r="B4310" s="42">
        <v>639.91999999999996</v>
      </c>
      <c r="C4310" s="43">
        <v>0.17</v>
      </c>
      <c r="D4310" s="45">
        <v>45962</v>
      </c>
      <c r="E4310" s="45">
        <v>45991.999305555553</v>
      </c>
      <c r="F4310" s="42" t="s">
        <v>475</v>
      </c>
    </row>
    <row r="4311" spans="1:6" x14ac:dyDescent="0.35">
      <c r="A4311" s="42" t="s">
        <v>282</v>
      </c>
      <c r="B4311" s="42">
        <v>639.91999999999996</v>
      </c>
      <c r="C4311" s="43">
        <v>0.17</v>
      </c>
      <c r="D4311" s="45">
        <v>45962</v>
      </c>
      <c r="E4311" s="45">
        <v>45991.999305555553</v>
      </c>
      <c r="F4311" s="42" t="s">
        <v>475</v>
      </c>
    </row>
    <row r="4312" spans="1:6" x14ac:dyDescent="0.35">
      <c r="A4312" s="42" t="s">
        <v>591</v>
      </c>
      <c r="B4312" s="42">
        <v>839.92</v>
      </c>
      <c r="C4312" s="43">
        <v>0.17</v>
      </c>
      <c r="D4312" s="45">
        <v>45962</v>
      </c>
      <c r="E4312" s="45">
        <v>45991.999305555553</v>
      </c>
      <c r="F4312" s="42" t="s">
        <v>475</v>
      </c>
    </row>
    <row r="4313" spans="1:6" x14ac:dyDescent="0.35">
      <c r="A4313" s="42" t="s">
        <v>102</v>
      </c>
      <c r="B4313" s="42">
        <v>1049.92</v>
      </c>
      <c r="C4313" s="43">
        <v>0.17</v>
      </c>
      <c r="D4313" s="45">
        <v>45962</v>
      </c>
      <c r="E4313" s="45">
        <v>45991.999305555553</v>
      </c>
      <c r="F4313" s="42" t="s">
        <v>475</v>
      </c>
    </row>
    <row r="4314" spans="1:6" x14ac:dyDescent="0.35">
      <c r="A4314" s="42" t="s">
        <v>484</v>
      </c>
      <c r="B4314" s="42">
        <v>1049.92</v>
      </c>
      <c r="C4314" s="43">
        <v>0.17</v>
      </c>
      <c r="D4314" s="45">
        <v>45962</v>
      </c>
      <c r="E4314" s="45">
        <v>45991.999305555553</v>
      </c>
      <c r="F4314" s="42" t="s">
        <v>475</v>
      </c>
    </row>
    <row r="4315" spans="1:6" x14ac:dyDescent="0.35">
      <c r="A4315" s="42" t="s">
        <v>618</v>
      </c>
      <c r="B4315" s="42">
        <v>1049.92</v>
      </c>
      <c r="C4315" s="43">
        <v>0.17</v>
      </c>
      <c r="D4315" s="45">
        <v>45962</v>
      </c>
      <c r="E4315" s="45">
        <v>45991.999305555553</v>
      </c>
      <c r="F4315" s="42" t="s">
        <v>475</v>
      </c>
    </row>
    <row r="4316" spans="1:6" x14ac:dyDescent="0.35">
      <c r="A4316" s="42" t="s">
        <v>452</v>
      </c>
      <c r="B4316" s="42">
        <v>1559.92</v>
      </c>
      <c r="C4316" s="43">
        <v>0.17</v>
      </c>
      <c r="D4316" s="45">
        <v>45962</v>
      </c>
      <c r="E4316" s="45">
        <v>45991.999305555553</v>
      </c>
      <c r="F4316" s="42" t="s">
        <v>475</v>
      </c>
    </row>
    <row r="4317" spans="1:6" x14ac:dyDescent="0.35">
      <c r="A4317" s="42" t="s">
        <v>37</v>
      </c>
      <c r="B4317" s="42">
        <v>1559.92</v>
      </c>
      <c r="C4317" s="43">
        <v>0.17</v>
      </c>
      <c r="D4317" s="45">
        <v>45962</v>
      </c>
      <c r="E4317" s="45">
        <v>45991.999305555553</v>
      </c>
      <c r="F4317" s="42" t="s">
        <v>475</v>
      </c>
    </row>
    <row r="4318" spans="1:6" x14ac:dyDescent="0.35">
      <c r="A4318" s="42" t="s">
        <v>489</v>
      </c>
      <c r="B4318" s="42">
        <v>1559.92</v>
      </c>
      <c r="C4318" s="43">
        <v>0.17</v>
      </c>
      <c r="D4318" s="45">
        <v>45962</v>
      </c>
      <c r="E4318" s="45">
        <v>45991.999305555553</v>
      </c>
      <c r="F4318" s="42" t="s">
        <v>475</v>
      </c>
    </row>
    <row r="4319" spans="1:6" x14ac:dyDescent="0.35">
      <c r="A4319" s="42" t="s">
        <v>49</v>
      </c>
      <c r="B4319" s="42">
        <v>1759.92</v>
      </c>
      <c r="C4319" s="43">
        <v>0.17</v>
      </c>
      <c r="D4319" s="45">
        <v>45962</v>
      </c>
      <c r="E4319" s="45">
        <v>45991.999305555553</v>
      </c>
      <c r="F4319" s="42" t="s">
        <v>475</v>
      </c>
    </row>
    <row r="4320" spans="1:6" x14ac:dyDescent="0.35">
      <c r="A4320" s="42" t="s">
        <v>281</v>
      </c>
      <c r="B4320" s="42">
        <v>1759.92</v>
      </c>
      <c r="C4320" s="43">
        <v>0.17</v>
      </c>
      <c r="D4320" s="45">
        <v>45962</v>
      </c>
      <c r="E4320" s="45">
        <v>45991.999305555553</v>
      </c>
      <c r="F4320" s="42" t="s">
        <v>475</v>
      </c>
    </row>
    <row r="4321" spans="1:6" x14ac:dyDescent="0.35">
      <c r="A4321" s="42" t="s">
        <v>647</v>
      </c>
      <c r="B4321" s="42">
        <v>1759.92</v>
      </c>
      <c r="C4321" s="43">
        <v>0.17</v>
      </c>
      <c r="D4321" s="45">
        <v>45962</v>
      </c>
      <c r="E4321" s="45">
        <v>45991.999305555553</v>
      </c>
      <c r="F4321" s="42" t="s">
        <v>475</v>
      </c>
    </row>
    <row r="4322" spans="1:6" x14ac:dyDescent="0.35">
      <c r="A4322" s="42" t="s">
        <v>661</v>
      </c>
      <c r="B4322" s="42">
        <v>2679.92</v>
      </c>
      <c r="C4322" s="43">
        <v>0.17</v>
      </c>
      <c r="D4322" s="45">
        <v>45962</v>
      </c>
      <c r="E4322" s="45">
        <v>45991.999305555553</v>
      </c>
      <c r="F4322" s="42" t="s">
        <v>475</v>
      </c>
    </row>
    <row r="4323" spans="1:6" x14ac:dyDescent="0.35">
      <c r="A4323" s="42" t="s">
        <v>405</v>
      </c>
      <c r="B4323" s="42">
        <v>2679.92</v>
      </c>
      <c r="C4323" s="43">
        <v>0.17</v>
      </c>
      <c r="D4323" s="45">
        <v>45962</v>
      </c>
      <c r="E4323" s="45">
        <v>45991.999305555553</v>
      </c>
      <c r="F4323" s="42" t="s">
        <v>475</v>
      </c>
    </row>
    <row r="4324" spans="1:6" x14ac:dyDescent="0.35">
      <c r="A4324" s="42" t="s">
        <v>573</v>
      </c>
      <c r="B4324" s="42">
        <v>339.92</v>
      </c>
      <c r="C4324" s="43">
        <v>0.17</v>
      </c>
      <c r="D4324" s="45">
        <v>45962</v>
      </c>
      <c r="E4324" s="45">
        <v>45991.999305555553</v>
      </c>
      <c r="F4324" s="42" t="s">
        <v>475</v>
      </c>
    </row>
    <row r="4325" spans="1:6" x14ac:dyDescent="0.35">
      <c r="A4325" s="42" t="s">
        <v>572</v>
      </c>
      <c r="B4325" s="42">
        <v>339.92</v>
      </c>
      <c r="C4325" s="43">
        <v>0.17</v>
      </c>
      <c r="D4325" s="45">
        <v>45962</v>
      </c>
      <c r="E4325" s="45">
        <v>45991.999305555553</v>
      </c>
      <c r="F4325" s="42" t="s">
        <v>475</v>
      </c>
    </row>
    <row r="4326" spans="1:6" x14ac:dyDescent="0.35">
      <c r="A4326" s="42" t="s">
        <v>546</v>
      </c>
      <c r="B4326" s="42">
        <v>339.92</v>
      </c>
      <c r="C4326" s="43">
        <v>0.17</v>
      </c>
      <c r="D4326" s="45">
        <v>45962</v>
      </c>
      <c r="E4326" s="45">
        <v>45991.999305555553</v>
      </c>
      <c r="F4326" s="42" t="s">
        <v>475</v>
      </c>
    </row>
    <row r="4327" spans="1:6" x14ac:dyDescent="0.35">
      <c r="A4327" s="42" t="s">
        <v>617</v>
      </c>
      <c r="B4327" s="42">
        <v>339.92</v>
      </c>
      <c r="C4327" s="43">
        <v>0.17</v>
      </c>
      <c r="D4327" s="45">
        <v>45962</v>
      </c>
      <c r="E4327" s="45">
        <v>45991.999305555553</v>
      </c>
      <c r="F4327" s="42" t="s">
        <v>475</v>
      </c>
    </row>
    <row r="4328" spans="1:6" x14ac:dyDescent="0.35">
      <c r="A4328" s="42" t="s">
        <v>14</v>
      </c>
      <c r="B4328" s="42">
        <v>439.92</v>
      </c>
      <c r="C4328" s="43">
        <v>0.17</v>
      </c>
      <c r="D4328" s="45">
        <v>45962</v>
      </c>
      <c r="E4328" s="45">
        <v>45991.999305555553</v>
      </c>
      <c r="F4328" s="42" t="s">
        <v>475</v>
      </c>
    </row>
    <row r="4329" spans="1:6" x14ac:dyDescent="0.35">
      <c r="A4329" s="42" t="s">
        <v>12</v>
      </c>
      <c r="B4329" s="42">
        <v>439.92</v>
      </c>
      <c r="C4329" s="43">
        <v>0.17</v>
      </c>
      <c r="D4329" s="45">
        <v>45962</v>
      </c>
      <c r="E4329" s="45">
        <v>45991.999305555553</v>
      </c>
      <c r="F4329" s="42" t="s">
        <v>475</v>
      </c>
    </row>
    <row r="4330" spans="1:6" x14ac:dyDescent="0.35">
      <c r="A4330" s="42" t="s">
        <v>577</v>
      </c>
      <c r="B4330" s="42">
        <v>439.92</v>
      </c>
      <c r="C4330" s="43">
        <v>0.17</v>
      </c>
      <c r="D4330" s="45">
        <v>45962</v>
      </c>
      <c r="E4330" s="45">
        <v>45991.999305555553</v>
      </c>
      <c r="F4330" s="42" t="s">
        <v>475</v>
      </c>
    </row>
    <row r="4331" spans="1:6" x14ac:dyDescent="0.35">
      <c r="A4331" s="42" t="s">
        <v>601</v>
      </c>
      <c r="B4331" s="42">
        <v>559.91999999999996</v>
      </c>
      <c r="C4331" s="43">
        <v>0.17</v>
      </c>
      <c r="D4331" s="45">
        <v>45962</v>
      </c>
      <c r="E4331" s="45">
        <v>45991.999305555553</v>
      </c>
      <c r="F4331" s="42" t="s">
        <v>475</v>
      </c>
    </row>
    <row r="4332" spans="1:6" x14ac:dyDescent="0.35">
      <c r="A4332" s="42" t="s">
        <v>614</v>
      </c>
      <c r="B4332" s="42">
        <v>559.91999999999996</v>
      </c>
      <c r="C4332" s="43">
        <v>0.17</v>
      </c>
      <c r="D4332" s="45">
        <v>45962</v>
      </c>
      <c r="E4332" s="45">
        <v>45991.999305555553</v>
      </c>
      <c r="F4332" s="42" t="s">
        <v>475</v>
      </c>
    </row>
    <row r="4333" spans="1:6" x14ac:dyDescent="0.35">
      <c r="A4333" s="42" t="s">
        <v>524</v>
      </c>
      <c r="B4333" s="42">
        <v>659.92</v>
      </c>
      <c r="C4333" s="43">
        <v>0.17</v>
      </c>
      <c r="D4333" s="45">
        <v>45962</v>
      </c>
      <c r="E4333" s="45">
        <v>45991.999305555553</v>
      </c>
      <c r="F4333" s="42" t="s">
        <v>475</v>
      </c>
    </row>
    <row r="4334" spans="1:6" x14ac:dyDescent="0.35">
      <c r="A4334" s="42" t="s">
        <v>525</v>
      </c>
      <c r="B4334" s="42">
        <v>659.92</v>
      </c>
      <c r="C4334" s="43">
        <v>0.17</v>
      </c>
      <c r="D4334" s="45">
        <v>45962</v>
      </c>
      <c r="E4334" s="45">
        <v>45991.999305555553</v>
      </c>
      <c r="F4334" s="42" t="s">
        <v>475</v>
      </c>
    </row>
    <row r="4335" spans="1:6" x14ac:dyDescent="0.35">
      <c r="A4335" s="42" t="s">
        <v>544</v>
      </c>
      <c r="B4335" s="42">
        <v>659.92</v>
      </c>
      <c r="C4335" s="43">
        <v>0.17</v>
      </c>
      <c r="D4335" s="45">
        <v>45962</v>
      </c>
      <c r="E4335" s="45">
        <v>45991.999305555553</v>
      </c>
      <c r="F4335" s="42" t="s">
        <v>475</v>
      </c>
    </row>
    <row r="4336" spans="1:6" x14ac:dyDescent="0.35">
      <c r="A4336" s="42" t="s">
        <v>279</v>
      </c>
      <c r="B4336" s="42">
        <v>659.92</v>
      </c>
      <c r="C4336" s="43">
        <v>0.17</v>
      </c>
      <c r="D4336" s="45">
        <v>45962</v>
      </c>
      <c r="E4336" s="45">
        <v>45991.999305555553</v>
      </c>
      <c r="F4336" s="42" t="s">
        <v>475</v>
      </c>
    </row>
    <row r="4337" spans="1:6" x14ac:dyDescent="0.35">
      <c r="A4337" s="42" t="s">
        <v>25</v>
      </c>
      <c r="B4337" s="42">
        <v>659.92</v>
      </c>
      <c r="C4337" s="43">
        <v>0.17</v>
      </c>
      <c r="D4337" s="45">
        <v>45962</v>
      </c>
      <c r="E4337" s="45">
        <v>45991.999305555553</v>
      </c>
      <c r="F4337" s="42" t="s">
        <v>475</v>
      </c>
    </row>
    <row r="4338" spans="1:6" x14ac:dyDescent="0.35">
      <c r="A4338" s="42" t="s">
        <v>179</v>
      </c>
      <c r="B4338" s="42">
        <v>659.92</v>
      </c>
      <c r="C4338" s="43">
        <v>0.17</v>
      </c>
      <c r="D4338" s="45">
        <v>45962</v>
      </c>
      <c r="E4338" s="45">
        <v>45991.999305555553</v>
      </c>
      <c r="F4338" s="42" t="s">
        <v>475</v>
      </c>
    </row>
    <row r="4339" spans="1:6" x14ac:dyDescent="0.35">
      <c r="A4339" s="42" t="s">
        <v>616</v>
      </c>
      <c r="B4339" s="42">
        <v>659.92</v>
      </c>
      <c r="C4339" s="43">
        <v>0.17</v>
      </c>
      <c r="D4339" s="45">
        <v>45962</v>
      </c>
      <c r="E4339" s="45">
        <v>45991.999305555553</v>
      </c>
      <c r="F4339" s="42" t="s">
        <v>475</v>
      </c>
    </row>
    <row r="4340" spans="1:6" x14ac:dyDescent="0.35">
      <c r="A4340" s="42" t="s">
        <v>654</v>
      </c>
      <c r="B4340" s="42">
        <v>659.92</v>
      </c>
      <c r="C4340" s="43">
        <v>0.17</v>
      </c>
      <c r="D4340" s="45">
        <v>45962</v>
      </c>
      <c r="E4340" s="45">
        <v>45991.999305555553</v>
      </c>
      <c r="F4340" s="42" t="s">
        <v>475</v>
      </c>
    </row>
    <row r="4341" spans="1:6" x14ac:dyDescent="0.35">
      <c r="A4341" s="42" t="s">
        <v>886</v>
      </c>
      <c r="B4341" s="42">
        <v>659.92</v>
      </c>
      <c r="C4341" s="43">
        <v>0.17</v>
      </c>
      <c r="D4341" s="45">
        <v>45962</v>
      </c>
      <c r="E4341" s="45">
        <v>45991.999305555553</v>
      </c>
      <c r="F4341" s="42" t="s">
        <v>475</v>
      </c>
    </row>
    <row r="4342" spans="1:6" x14ac:dyDescent="0.35">
      <c r="A4342" s="42" t="s">
        <v>887</v>
      </c>
      <c r="B4342" s="42">
        <v>659.92</v>
      </c>
      <c r="C4342" s="43">
        <v>0.17</v>
      </c>
      <c r="D4342" s="45">
        <v>45962</v>
      </c>
      <c r="E4342" s="45">
        <v>45991.999305555553</v>
      </c>
      <c r="F4342" s="42" t="s">
        <v>475</v>
      </c>
    </row>
    <row r="4343" spans="1:6" x14ac:dyDescent="0.35">
      <c r="A4343" s="42" t="s">
        <v>888</v>
      </c>
      <c r="B4343" s="42">
        <v>659.92</v>
      </c>
      <c r="C4343" s="43">
        <v>0.17</v>
      </c>
      <c r="D4343" s="45">
        <v>45962</v>
      </c>
      <c r="E4343" s="45">
        <v>45991.999305555553</v>
      </c>
      <c r="F4343" s="42" t="s">
        <v>475</v>
      </c>
    </row>
    <row r="4344" spans="1:6" x14ac:dyDescent="0.35">
      <c r="A4344" s="42" t="s">
        <v>889</v>
      </c>
      <c r="B4344" s="42">
        <v>659.92</v>
      </c>
      <c r="C4344" s="43">
        <v>0.17</v>
      </c>
      <c r="D4344" s="45">
        <v>45962</v>
      </c>
      <c r="E4344" s="45">
        <v>45991.999305555553</v>
      </c>
      <c r="F4344" s="42" t="s">
        <v>475</v>
      </c>
    </row>
    <row r="4345" spans="1:6" x14ac:dyDescent="0.35">
      <c r="A4345" s="42" t="s">
        <v>498</v>
      </c>
      <c r="B4345" s="42">
        <v>759.92</v>
      </c>
      <c r="C4345" s="43">
        <v>0.17</v>
      </c>
      <c r="D4345" s="45">
        <v>45962</v>
      </c>
      <c r="E4345" s="45">
        <v>45991.999305555553</v>
      </c>
      <c r="F4345" s="42" t="s">
        <v>475</v>
      </c>
    </row>
    <row r="4346" spans="1:6" x14ac:dyDescent="0.35">
      <c r="A4346" s="42" t="s">
        <v>497</v>
      </c>
      <c r="B4346" s="42">
        <v>759.92</v>
      </c>
      <c r="C4346" s="43">
        <v>0.17</v>
      </c>
      <c r="D4346" s="45">
        <v>45962</v>
      </c>
      <c r="E4346" s="45">
        <v>45991.999305555553</v>
      </c>
      <c r="F4346" s="42" t="s">
        <v>475</v>
      </c>
    </row>
    <row r="4347" spans="1:6" x14ac:dyDescent="0.35">
      <c r="A4347" s="42" t="s">
        <v>27</v>
      </c>
      <c r="B4347" s="42">
        <v>759.92</v>
      </c>
      <c r="C4347" s="43">
        <v>0.17</v>
      </c>
      <c r="D4347" s="45">
        <v>45962</v>
      </c>
      <c r="E4347" s="45">
        <v>45991.999305555553</v>
      </c>
      <c r="F4347" s="42" t="s">
        <v>475</v>
      </c>
    </row>
    <row r="4348" spans="1:6" x14ac:dyDescent="0.35">
      <c r="A4348" s="42" t="s">
        <v>73</v>
      </c>
      <c r="B4348" s="42">
        <v>759.92</v>
      </c>
      <c r="C4348" s="43">
        <v>0.17</v>
      </c>
      <c r="D4348" s="45">
        <v>45962</v>
      </c>
      <c r="E4348" s="45">
        <v>45991.999305555553</v>
      </c>
      <c r="F4348" s="42" t="s">
        <v>475</v>
      </c>
    </row>
    <row r="4349" spans="1:6" x14ac:dyDescent="0.35">
      <c r="A4349" s="42" t="s">
        <v>128</v>
      </c>
      <c r="B4349" s="42">
        <v>759.92</v>
      </c>
      <c r="C4349" s="43">
        <v>0.17</v>
      </c>
      <c r="D4349" s="45">
        <v>45962</v>
      </c>
      <c r="E4349" s="45">
        <v>45991.999305555553</v>
      </c>
      <c r="F4349" s="42" t="s">
        <v>475</v>
      </c>
    </row>
    <row r="4350" spans="1:6" x14ac:dyDescent="0.35">
      <c r="A4350" s="42" t="s">
        <v>122</v>
      </c>
      <c r="B4350" s="42">
        <v>759.92</v>
      </c>
      <c r="C4350" s="43">
        <v>0.17</v>
      </c>
      <c r="D4350" s="45">
        <v>45962</v>
      </c>
      <c r="E4350" s="45">
        <v>45991.999305555553</v>
      </c>
      <c r="F4350" s="42" t="s">
        <v>475</v>
      </c>
    </row>
    <row r="4351" spans="1:6" x14ac:dyDescent="0.35">
      <c r="A4351" s="42" t="s">
        <v>399</v>
      </c>
      <c r="B4351" s="42">
        <v>759.92</v>
      </c>
      <c r="C4351" s="43">
        <v>0.17</v>
      </c>
      <c r="D4351" s="45">
        <v>45962</v>
      </c>
      <c r="E4351" s="45">
        <v>45991.999305555553</v>
      </c>
      <c r="F4351" s="42" t="s">
        <v>475</v>
      </c>
    </row>
    <row r="4352" spans="1:6" x14ac:dyDescent="0.35">
      <c r="A4352" s="42" t="s">
        <v>792</v>
      </c>
      <c r="B4352" s="42">
        <v>759.92</v>
      </c>
      <c r="C4352" s="43">
        <v>0.17</v>
      </c>
      <c r="D4352" s="45">
        <v>45962</v>
      </c>
      <c r="E4352" s="45">
        <v>45991.999305555553</v>
      </c>
      <c r="F4352" s="42" t="s">
        <v>475</v>
      </c>
    </row>
    <row r="4353" spans="1:6" x14ac:dyDescent="0.35">
      <c r="A4353" s="42" t="s">
        <v>793</v>
      </c>
      <c r="B4353" s="42">
        <v>759.92</v>
      </c>
      <c r="C4353" s="43">
        <v>0.17</v>
      </c>
      <c r="D4353" s="45">
        <v>45962</v>
      </c>
      <c r="E4353" s="45">
        <v>45991.999305555553</v>
      </c>
      <c r="F4353" s="42" t="s">
        <v>475</v>
      </c>
    </row>
    <row r="4354" spans="1:6" x14ac:dyDescent="0.35">
      <c r="A4354" s="42" t="s">
        <v>794</v>
      </c>
      <c r="B4354" s="42">
        <v>759.92</v>
      </c>
      <c r="C4354" s="43">
        <v>0.17</v>
      </c>
      <c r="D4354" s="45">
        <v>45962</v>
      </c>
      <c r="E4354" s="45">
        <v>45991.999305555553</v>
      </c>
      <c r="F4354" s="42" t="s">
        <v>475</v>
      </c>
    </row>
    <row r="4355" spans="1:6" x14ac:dyDescent="0.35">
      <c r="A4355" s="42" t="s">
        <v>795</v>
      </c>
      <c r="B4355" s="42">
        <v>759.92</v>
      </c>
      <c r="C4355" s="43">
        <v>0.17</v>
      </c>
      <c r="D4355" s="45">
        <v>45962</v>
      </c>
      <c r="E4355" s="45">
        <v>45991.999305555553</v>
      </c>
      <c r="F4355" s="42" t="s">
        <v>475</v>
      </c>
    </row>
    <row r="4356" spans="1:6" x14ac:dyDescent="0.35">
      <c r="A4356" s="42" t="s">
        <v>796</v>
      </c>
      <c r="B4356" s="42">
        <v>759.92</v>
      </c>
      <c r="C4356" s="43">
        <v>0.17</v>
      </c>
      <c r="D4356" s="45">
        <v>45962</v>
      </c>
      <c r="E4356" s="45">
        <v>45991.999305555553</v>
      </c>
      <c r="F4356" s="42" t="s">
        <v>475</v>
      </c>
    </row>
    <row r="4357" spans="1:6" x14ac:dyDescent="0.35">
      <c r="A4357" s="42" t="s">
        <v>797</v>
      </c>
      <c r="B4357" s="42">
        <v>759.92</v>
      </c>
      <c r="C4357" s="43">
        <v>0.17</v>
      </c>
      <c r="D4357" s="45">
        <v>45962</v>
      </c>
      <c r="E4357" s="45">
        <v>45991.999305555553</v>
      </c>
      <c r="F4357" s="42" t="s">
        <v>475</v>
      </c>
    </row>
    <row r="4358" spans="1:6" x14ac:dyDescent="0.35">
      <c r="A4358" s="42" t="s">
        <v>798</v>
      </c>
      <c r="B4358" s="42">
        <v>759.92</v>
      </c>
      <c r="C4358" s="43">
        <v>0.17</v>
      </c>
      <c r="D4358" s="45">
        <v>45962</v>
      </c>
      <c r="E4358" s="45">
        <v>45991.999305555553</v>
      </c>
      <c r="F4358" s="42" t="s">
        <v>475</v>
      </c>
    </row>
    <row r="4359" spans="1:6" x14ac:dyDescent="0.35">
      <c r="A4359" s="42" t="s">
        <v>799</v>
      </c>
      <c r="B4359" s="42">
        <v>759.92</v>
      </c>
      <c r="C4359" s="43">
        <v>0.17</v>
      </c>
      <c r="D4359" s="45">
        <v>45962</v>
      </c>
      <c r="E4359" s="45">
        <v>45991.999305555553</v>
      </c>
      <c r="F4359" s="42" t="s">
        <v>475</v>
      </c>
    </row>
    <row r="4360" spans="1:6" x14ac:dyDescent="0.35">
      <c r="A4360" s="42" t="s">
        <v>800</v>
      </c>
      <c r="B4360" s="42">
        <v>759.92</v>
      </c>
      <c r="C4360" s="43">
        <v>0.17</v>
      </c>
      <c r="D4360" s="45">
        <v>45962</v>
      </c>
      <c r="E4360" s="45">
        <v>45991.999305555553</v>
      </c>
      <c r="F4360" s="42" t="s">
        <v>475</v>
      </c>
    </row>
    <row r="4361" spans="1:6" x14ac:dyDescent="0.35">
      <c r="A4361" s="42" t="s">
        <v>863</v>
      </c>
      <c r="B4361" s="42">
        <v>759.92</v>
      </c>
      <c r="C4361" s="43">
        <v>0.17</v>
      </c>
      <c r="D4361" s="45">
        <v>45962</v>
      </c>
      <c r="E4361" s="45">
        <v>45991.999305555553</v>
      </c>
      <c r="F4361" s="42" t="s">
        <v>475</v>
      </c>
    </row>
    <row r="4362" spans="1:6" x14ac:dyDescent="0.35">
      <c r="A4362" s="42" t="s">
        <v>864</v>
      </c>
      <c r="B4362" s="42">
        <v>759.92</v>
      </c>
      <c r="C4362" s="43">
        <v>0.17</v>
      </c>
      <c r="D4362" s="45">
        <v>45962</v>
      </c>
      <c r="E4362" s="45">
        <v>45991.999305555553</v>
      </c>
      <c r="F4362" s="42" t="s">
        <v>475</v>
      </c>
    </row>
    <row r="4363" spans="1:6" x14ac:dyDescent="0.35">
      <c r="A4363" s="42" t="s">
        <v>865</v>
      </c>
      <c r="B4363" s="42">
        <v>759.92</v>
      </c>
      <c r="C4363" s="43">
        <v>0.17</v>
      </c>
      <c r="D4363" s="45">
        <v>45962</v>
      </c>
      <c r="E4363" s="45">
        <v>45991.999305555553</v>
      </c>
      <c r="F4363" s="42" t="s">
        <v>475</v>
      </c>
    </row>
    <row r="4364" spans="1:6" x14ac:dyDescent="0.35">
      <c r="A4364" s="42" t="s">
        <v>866</v>
      </c>
      <c r="B4364" s="42">
        <v>759.92</v>
      </c>
      <c r="C4364" s="43">
        <v>0.17</v>
      </c>
      <c r="D4364" s="45">
        <v>45962</v>
      </c>
      <c r="E4364" s="45">
        <v>45991.999305555553</v>
      </c>
      <c r="F4364" s="42" t="s">
        <v>475</v>
      </c>
    </row>
    <row r="4365" spans="1:6" x14ac:dyDescent="0.35">
      <c r="A4365" s="42" t="s">
        <v>867</v>
      </c>
      <c r="B4365" s="42">
        <v>759.92</v>
      </c>
      <c r="C4365" s="43">
        <v>0.17</v>
      </c>
      <c r="D4365" s="45">
        <v>45962</v>
      </c>
      <c r="E4365" s="45">
        <v>45991.999305555553</v>
      </c>
      <c r="F4365" s="42" t="s">
        <v>475</v>
      </c>
    </row>
    <row r="4366" spans="1:6" x14ac:dyDescent="0.35">
      <c r="A4366" s="42" t="s">
        <v>868</v>
      </c>
      <c r="B4366" s="42">
        <v>759.92</v>
      </c>
      <c r="C4366" s="43">
        <v>0.17</v>
      </c>
      <c r="D4366" s="45">
        <v>45962</v>
      </c>
      <c r="E4366" s="45">
        <v>45991.999305555553</v>
      </c>
      <c r="F4366" s="42" t="s">
        <v>475</v>
      </c>
    </row>
    <row r="4367" spans="1:6" x14ac:dyDescent="0.35">
      <c r="A4367" s="42" t="s">
        <v>522</v>
      </c>
      <c r="B4367" s="42">
        <v>859.92</v>
      </c>
      <c r="C4367" s="43">
        <v>0.17</v>
      </c>
      <c r="D4367" s="45">
        <v>45962</v>
      </c>
      <c r="E4367" s="45">
        <v>45991.999305555553</v>
      </c>
      <c r="F4367" s="42" t="s">
        <v>475</v>
      </c>
    </row>
    <row r="4368" spans="1:6" x14ac:dyDescent="0.35">
      <c r="A4368" s="42" t="s">
        <v>481</v>
      </c>
      <c r="B4368" s="42">
        <v>859.92</v>
      </c>
      <c r="C4368" s="43">
        <v>0.17</v>
      </c>
      <c r="D4368" s="45">
        <v>45962</v>
      </c>
      <c r="E4368" s="45">
        <v>45991.999305555553</v>
      </c>
      <c r="F4368" s="42" t="s">
        <v>475</v>
      </c>
    </row>
    <row r="4369" spans="1:6" x14ac:dyDescent="0.35">
      <c r="A4369" s="42" t="s">
        <v>532</v>
      </c>
      <c r="B4369" s="42">
        <v>859.92</v>
      </c>
      <c r="C4369" s="43">
        <v>0.17</v>
      </c>
      <c r="D4369" s="45">
        <v>45962</v>
      </c>
      <c r="E4369" s="45">
        <v>45991.999305555553</v>
      </c>
      <c r="F4369" s="42" t="s">
        <v>475</v>
      </c>
    </row>
    <row r="4370" spans="1:6" x14ac:dyDescent="0.35">
      <c r="A4370" s="42" t="s">
        <v>593</v>
      </c>
      <c r="B4370" s="42">
        <v>859.92</v>
      </c>
      <c r="C4370" s="43">
        <v>0.17</v>
      </c>
      <c r="D4370" s="45">
        <v>45962</v>
      </c>
      <c r="E4370" s="45">
        <v>45991.999305555553</v>
      </c>
      <c r="F4370" s="42" t="s">
        <v>475</v>
      </c>
    </row>
    <row r="4371" spans="1:6" x14ac:dyDescent="0.35">
      <c r="A4371" s="42" t="s">
        <v>283</v>
      </c>
      <c r="B4371" s="42">
        <v>859.92</v>
      </c>
      <c r="C4371" s="43">
        <v>0.17</v>
      </c>
      <c r="D4371" s="45">
        <v>45962</v>
      </c>
      <c r="E4371" s="45">
        <v>45991.999305555553</v>
      </c>
      <c r="F4371" s="42" t="s">
        <v>475</v>
      </c>
    </row>
    <row r="4372" spans="1:6" x14ac:dyDescent="0.35">
      <c r="A4372" s="42" t="s">
        <v>30</v>
      </c>
      <c r="B4372" s="42">
        <v>859.92</v>
      </c>
      <c r="C4372" s="43">
        <v>0.17</v>
      </c>
      <c r="D4372" s="45">
        <v>45962</v>
      </c>
      <c r="E4372" s="45">
        <v>45991.999305555553</v>
      </c>
      <c r="F4372" s="42" t="s">
        <v>475</v>
      </c>
    </row>
    <row r="4373" spans="1:6" x14ac:dyDescent="0.35">
      <c r="A4373" s="42" t="s">
        <v>59</v>
      </c>
      <c r="B4373" s="42">
        <v>859.92</v>
      </c>
      <c r="C4373" s="43">
        <v>0.17</v>
      </c>
      <c r="D4373" s="45">
        <v>45962</v>
      </c>
      <c r="E4373" s="45">
        <v>45991.999305555553</v>
      </c>
      <c r="F4373" s="42" t="s">
        <v>475</v>
      </c>
    </row>
    <row r="4374" spans="1:6" x14ac:dyDescent="0.35">
      <c r="A4374" s="42" t="s">
        <v>31</v>
      </c>
      <c r="B4374" s="42">
        <v>859.92</v>
      </c>
      <c r="C4374" s="43">
        <v>0.17</v>
      </c>
      <c r="D4374" s="45">
        <v>45962</v>
      </c>
      <c r="E4374" s="45">
        <v>45991.999305555553</v>
      </c>
      <c r="F4374" s="42" t="s">
        <v>475</v>
      </c>
    </row>
    <row r="4375" spans="1:6" x14ac:dyDescent="0.35">
      <c r="A4375" s="42" t="s">
        <v>40</v>
      </c>
      <c r="B4375" s="42">
        <v>859.92</v>
      </c>
      <c r="C4375" s="43">
        <v>0.17</v>
      </c>
      <c r="D4375" s="45">
        <v>45962</v>
      </c>
      <c r="E4375" s="45">
        <v>45991.999305555553</v>
      </c>
      <c r="F4375" s="42" t="s">
        <v>475</v>
      </c>
    </row>
    <row r="4376" spans="1:6" x14ac:dyDescent="0.35">
      <c r="A4376" s="42" t="s">
        <v>58</v>
      </c>
      <c r="B4376" s="42">
        <v>859.92</v>
      </c>
      <c r="C4376" s="43">
        <v>0.17</v>
      </c>
      <c r="D4376" s="45">
        <v>45962</v>
      </c>
      <c r="E4376" s="45">
        <v>45991.999305555553</v>
      </c>
      <c r="F4376" s="42" t="s">
        <v>475</v>
      </c>
    </row>
    <row r="4377" spans="1:6" x14ac:dyDescent="0.35">
      <c r="A4377" s="42" t="s">
        <v>57</v>
      </c>
      <c r="B4377" s="42">
        <v>859.92</v>
      </c>
      <c r="C4377" s="43">
        <v>0.17</v>
      </c>
      <c r="D4377" s="45">
        <v>45962</v>
      </c>
      <c r="E4377" s="45">
        <v>45991.999305555553</v>
      </c>
      <c r="F4377" s="42" t="s">
        <v>475</v>
      </c>
    </row>
    <row r="4378" spans="1:6" x14ac:dyDescent="0.35">
      <c r="A4378" s="42" t="s">
        <v>675</v>
      </c>
      <c r="B4378" s="42">
        <v>859.92</v>
      </c>
      <c r="C4378" s="43">
        <v>0.17</v>
      </c>
      <c r="D4378" s="45">
        <v>45962</v>
      </c>
      <c r="E4378" s="45">
        <v>45991.999305555553</v>
      </c>
      <c r="F4378" s="42" t="s">
        <v>475</v>
      </c>
    </row>
    <row r="4379" spans="1:6" x14ac:dyDescent="0.35">
      <c r="A4379" s="42" t="s">
        <v>814</v>
      </c>
      <c r="B4379" s="42">
        <v>1079.92</v>
      </c>
      <c r="C4379" s="43">
        <v>0.17</v>
      </c>
      <c r="D4379" s="45">
        <v>45962</v>
      </c>
      <c r="E4379" s="45">
        <v>45991.999305555553</v>
      </c>
      <c r="F4379" s="42" t="s">
        <v>475</v>
      </c>
    </row>
    <row r="4380" spans="1:6" x14ac:dyDescent="0.35">
      <c r="A4380" s="42" t="s">
        <v>487</v>
      </c>
      <c r="B4380" s="42">
        <v>1479.92</v>
      </c>
      <c r="C4380" s="43">
        <v>0.17</v>
      </c>
      <c r="D4380" s="45">
        <v>45962</v>
      </c>
      <c r="E4380" s="45">
        <v>45991.999305555553</v>
      </c>
      <c r="F4380" s="42" t="s">
        <v>475</v>
      </c>
    </row>
    <row r="4381" spans="1:6" x14ac:dyDescent="0.35">
      <c r="A4381" s="42" t="s">
        <v>750</v>
      </c>
      <c r="B4381" s="42">
        <v>1479.92</v>
      </c>
      <c r="C4381" s="43">
        <v>0.17</v>
      </c>
      <c r="D4381" s="45">
        <v>45962</v>
      </c>
      <c r="E4381" s="45">
        <v>45991.999305555553</v>
      </c>
      <c r="F4381" s="42" t="s">
        <v>475</v>
      </c>
    </row>
    <row r="4382" spans="1:6" x14ac:dyDescent="0.35">
      <c r="A4382" s="42" t="s">
        <v>35</v>
      </c>
      <c r="B4382" s="42">
        <v>1599.92</v>
      </c>
      <c r="C4382" s="43">
        <v>0.17</v>
      </c>
      <c r="D4382" s="45">
        <v>45962</v>
      </c>
      <c r="E4382" s="45">
        <v>45991.999305555553</v>
      </c>
      <c r="F4382" s="42" t="s">
        <v>475</v>
      </c>
    </row>
    <row r="4383" spans="1:6" x14ac:dyDescent="0.35">
      <c r="A4383" s="42" t="s">
        <v>705</v>
      </c>
      <c r="B4383" s="42">
        <v>1599.92</v>
      </c>
      <c r="C4383" s="43">
        <v>0.17</v>
      </c>
      <c r="D4383" s="45">
        <v>45962</v>
      </c>
      <c r="E4383" s="45">
        <v>45991.999305555553</v>
      </c>
      <c r="F4383" s="42" t="s">
        <v>475</v>
      </c>
    </row>
    <row r="4384" spans="1:6" x14ac:dyDescent="0.35">
      <c r="A4384" s="42" t="s">
        <v>594</v>
      </c>
      <c r="B4384" s="42">
        <v>1799.92</v>
      </c>
      <c r="C4384" s="43">
        <v>0.17</v>
      </c>
      <c r="D4384" s="45">
        <v>45962</v>
      </c>
      <c r="E4384" s="45">
        <v>45991.999305555553</v>
      </c>
      <c r="F4384" s="42" t="s">
        <v>475</v>
      </c>
    </row>
    <row r="4385" spans="1:6" x14ac:dyDescent="0.35">
      <c r="A4385" s="42" t="s">
        <v>268</v>
      </c>
      <c r="B4385" s="42">
        <v>1799.92</v>
      </c>
      <c r="C4385" s="43">
        <v>0.17</v>
      </c>
      <c r="D4385" s="45">
        <v>45962</v>
      </c>
      <c r="E4385" s="45">
        <v>45991.999305555553</v>
      </c>
      <c r="F4385" s="42" t="s">
        <v>475</v>
      </c>
    </row>
    <row r="4386" spans="1:6" x14ac:dyDescent="0.35">
      <c r="A4386" s="42" t="s">
        <v>619</v>
      </c>
      <c r="B4386" s="42">
        <v>1799.92</v>
      </c>
      <c r="C4386" s="43">
        <v>0.17</v>
      </c>
      <c r="D4386" s="45">
        <v>45962</v>
      </c>
      <c r="E4386" s="45">
        <v>45991.999305555553</v>
      </c>
      <c r="F4386" s="42" t="s">
        <v>475</v>
      </c>
    </row>
    <row r="4387" spans="1:6" x14ac:dyDescent="0.35">
      <c r="A4387" s="42" t="s">
        <v>51</v>
      </c>
      <c r="B4387" s="42">
        <v>2219.92</v>
      </c>
      <c r="C4387" s="43">
        <v>0.17</v>
      </c>
      <c r="D4387" s="45">
        <v>45962</v>
      </c>
      <c r="E4387" s="45">
        <v>45991.999305555553</v>
      </c>
      <c r="F4387" s="42" t="s">
        <v>475</v>
      </c>
    </row>
    <row r="4388" spans="1:6" x14ac:dyDescent="0.35">
      <c r="A4388" s="42" t="s">
        <v>15</v>
      </c>
      <c r="B4388" s="42">
        <v>459.92</v>
      </c>
      <c r="C4388" s="43">
        <v>0.17</v>
      </c>
      <c r="D4388" s="45">
        <v>45962</v>
      </c>
      <c r="E4388" s="45">
        <v>45991.999305555553</v>
      </c>
      <c r="F4388" s="42" t="s">
        <v>475</v>
      </c>
    </row>
    <row r="4389" spans="1:6" x14ac:dyDescent="0.35">
      <c r="A4389" s="42" t="s">
        <v>16</v>
      </c>
      <c r="B4389" s="42">
        <v>459.92</v>
      </c>
      <c r="C4389" s="43">
        <v>0.17</v>
      </c>
      <c r="D4389" s="45">
        <v>45962</v>
      </c>
      <c r="E4389" s="45">
        <v>45991.999305555553</v>
      </c>
      <c r="F4389" s="42" t="s">
        <v>475</v>
      </c>
    </row>
    <row r="4390" spans="1:6" x14ac:dyDescent="0.35">
      <c r="A4390" s="42" t="s">
        <v>782</v>
      </c>
      <c r="B4390" s="42">
        <v>459.92</v>
      </c>
      <c r="C4390" s="43">
        <v>0.17</v>
      </c>
      <c r="D4390" s="45">
        <v>45962</v>
      </c>
      <c r="E4390" s="45">
        <v>45991.999305555553</v>
      </c>
      <c r="F4390" s="42" t="s">
        <v>475</v>
      </c>
    </row>
    <row r="4391" spans="1:6" x14ac:dyDescent="0.35">
      <c r="A4391" s="42" t="s">
        <v>783</v>
      </c>
      <c r="B4391" s="42">
        <v>459.92</v>
      </c>
      <c r="C4391" s="43">
        <v>0.17</v>
      </c>
      <c r="D4391" s="45">
        <v>45962</v>
      </c>
      <c r="E4391" s="45">
        <v>45991.999305555553</v>
      </c>
      <c r="F4391" s="42" t="s">
        <v>475</v>
      </c>
    </row>
    <row r="4392" spans="1:6" x14ac:dyDescent="0.35">
      <c r="A4392" s="42" t="s">
        <v>784</v>
      </c>
      <c r="B4392" s="42">
        <v>459.92</v>
      </c>
      <c r="C4392" s="43">
        <v>0.17</v>
      </c>
      <c r="D4392" s="45">
        <v>45962</v>
      </c>
      <c r="E4392" s="45">
        <v>45991.999305555553</v>
      </c>
      <c r="F4392" s="42" t="s">
        <v>475</v>
      </c>
    </row>
    <row r="4393" spans="1:6" x14ac:dyDescent="0.35">
      <c r="A4393" s="42" t="s">
        <v>852</v>
      </c>
      <c r="B4393" s="42">
        <v>459.92</v>
      </c>
      <c r="C4393" s="43">
        <v>0.17</v>
      </c>
      <c r="D4393" s="45">
        <v>45962</v>
      </c>
      <c r="E4393" s="45">
        <v>45991.999305555553</v>
      </c>
      <c r="F4393" s="42" t="s">
        <v>475</v>
      </c>
    </row>
    <row r="4394" spans="1:6" x14ac:dyDescent="0.35">
      <c r="A4394" s="42" t="s">
        <v>853</v>
      </c>
      <c r="B4394" s="42">
        <v>459.92</v>
      </c>
      <c r="C4394" s="43">
        <v>0.17</v>
      </c>
      <c r="D4394" s="45">
        <v>45962</v>
      </c>
      <c r="E4394" s="45">
        <v>45991.999305555553</v>
      </c>
      <c r="F4394" s="42" t="s">
        <v>475</v>
      </c>
    </row>
    <row r="4395" spans="1:6" x14ac:dyDescent="0.35">
      <c r="A4395" s="42" t="s">
        <v>854</v>
      </c>
      <c r="B4395" s="42">
        <v>459.92</v>
      </c>
      <c r="C4395" s="43">
        <v>0.17</v>
      </c>
      <c r="D4395" s="45">
        <v>45962</v>
      </c>
      <c r="E4395" s="45">
        <v>45991.999305555553</v>
      </c>
      <c r="F4395" s="42" t="s">
        <v>475</v>
      </c>
    </row>
    <row r="4396" spans="1:6" x14ac:dyDescent="0.35">
      <c r="A4396" s="42" t="s">
        <v>855</v>
      </c>
      <c r="B4396" s="42">
        <v>459.92</v>
      </c>
      <c r="C4396" s="43">
        <v>0.17</v>
      </c>
      <c r="D4396" s="45">
        <v>45962</v>
      </c>
      <c r="E4396" s="45">
        <v>45991.999305555553</v>
      </c>
      <c r="F4396" s="42" t="s">
        <v>475</v>
      </c>
    </row>
    <row r="4397" spans="1:6" x14ac:dyDescent="0.35">
      <c r="A4397" s="42" t="s">
        <v>891</v>
      </c>
      <c r="B4397" s="42">
        <v>459.92</v>
      </c>
      <c r="C4397" s="43">
        <v>0.17</v>
      </c>
      <c r="D4397" s="45">
        <v>45962</v>
      </c>
      <c r="E4397" s="45">
        <v>45991.999305555553</v>
      </c>
      <c r="F4397" s="42" t="s">
        <v>475</v>
      </c>
    </row>
    <row r="4398" spans="1:6" x14ac:dyDescent="0.35">
      <c r="A4398" s="42" t="s">
        <v>892</v>
      </c>
      <c r="B4398" s="42">
        <v>459.92</v>
      </c>
      <c r="C4398" s="43">
        <v>0.17</v>
      </c>
      <c r="D4398" s="45">
        <v>45962</v>
      </c>
      <c r="E4398" s="45">
        <v>45991.999305555553</v>
      </c>
      <c r="F4398" s="42" t="s">
        <v>475</v>
      </c>
    </row>
    <row r="4399" spans="1:6" x14ac:dyDescent="0.35">
      <c r="A4399" s="42" t="s">
        <v>582</v>
      </c>
      <c r="B4399" s="42">
        <v>579.91999999999996</v>
      </c>
      <c r="C4399" s="43">
        <v>0.17</v>
      </c>
      <c r="D4399" s="45">
        <v>45962</v>
      </c>
      <c r="E4399" s="45">
        <v>45991.999305555553</v>
      </c>
      <c r="F4399" s="42" t="s">
        <v>475</v>
      </c>
    </row>
    <row r="4400" spans="1:6" x14ac:dyDescent="0.35">
      <c r="A4400" s="42" t="s">
        <v>54</v>
      </c>
      <c r="B4400" s="42">
        <v>579.91999999999996</v>
      </c>
      <c r="C4400" s="43">
        <v>0.17</v>
      </c>
      <c r="D4400" s="45">
        <v>45962</v>
      </c>
      <c r="E4400" s="45">
        <v>45991.999305555553</v>
      </c>
      <c r="F4400" s="42" t="s">
        <v>475</v>
      </c>
    </row>
    <row r="4401" spans="1:6" x14ac:dyDescent="0.35">
      <c r="A4401" s="42" t="s">
        <v>79</v>
      </c>
      <c r="B4401" s="42">
        <v>579.91999999999996</v>
      </c>
      <c r="C4401" s="43">
        <v>0.17</v>
      </c>
      <c r="D4401" s="45">
        <v>45962</v>
      </c>
      <c r="E4401" s="45">
        <v>45991.999305555553</v>
      </c>
      <c r="F4401" s="42" t="s">
        <v>475</v>
      </c>
    </row>
    <row r="4402" spans="1:6" x14ac:dyDescent="0.35">
      <c r="A4402" s="42" t="s">
        <v>404</v>
      </c>
      <c r="B4402" s="42">
        <v>579.91999999999996</v>
      </c>
      <c r="C4402" s="43">
        <v>0.17</v>
      </c>
      <c r="D4402" s="45">
        <v>45962</v>
      </c>
      <c r="E4402" s="45">
        <v>45991.999305555553</v>
      </c>
      <c r="F4402" s="42" t="s">
        <v>475</v>
      </c>
    </row>
    <row r="4403" spans="1:6" x14ac:dyDescent="0.35">
      <c r="A4403" s="42" t="s">
        <v>550</v>
      </c>
      <c r="B4403" s="42">
        <v>789.92</v>
      </c>
      <c r="C4403" s="43">
        <v>0.17</v>
      </c>
      <c r="D4403" s="45">
        <v>45962</v>
      </c>
      <c r="E4403" s="45">
        <v>45991.999305555553</v>
      </c>
      <c r="F4403" s="42" t="s">
        <v>475</v>
      </c>
    </row>
    <row r="4404" spans="1:6" x14ac:dyDescent="0.35">
      <c r="A4404" s="42" t="s">
        <v>477</v>
      </c>
      <c r="B4404" s="42">
        <v>789.92</v>
      </c>
      <c r="C4404" s="43">
        <v>0.17</v>
      </c>
      <c r="D4404" s="45">
        <v>45962</v>
      </c>
      <c r="E4404" s="45">
        <v>45991.999305555553</v>
      </c>
      <c r="F4404" s="42" t="s">
        <v>475</v>
      </c>
    </row>
    <row r="4405" spans="1:6" x14ac:dyDescent="0.35">
      <c r="A4405" s="42" t="s">
        <v>478</v>
      </c>
      <c r="B4405" s="42">
        <v>789.92</v>
      </c>
      <c r="C4405" s="43">
        <v>0.17</v>
      </c>
      <c r="D4405" s="45">
        <v>45962</v>
      </c>
      <c r="E4405" s="45">
        <v>45991.999305555553</v>
      </c>
      <c r="F4405" s="42" t="s">
        <v>475</v>
      </c>
    </row>
    <row r="4406" spans="1:6" x14ac:dyDescent="0.35">
      <c r="A4406" s="42" t="s">
        <v>55</v>
      </c>
      <c r="B4406" s="42">
        <v>789.92</v>
      </c>
      <c r="C4406" s="43">
        <v>0.17</v>
      </c>
      <c r="D4406" s="45">
        <v>45962</v>
      </c>
      <c r="E4406" s="45">
        <v>45991.999305555553</v>
      </c>
      <c r="F4406" s="42" t="s">
        <v>475</v>
      </c>
    </row>
    <row r="4407" spans="1:6" x14ac:dyDescent="0.35">
      <c r="A4407" s="42" t="s">
        <v>29</v>
      </c>
      <c r="B4407" s="42">
        <v>789.92</v>
      </c>
      <c r="C4407" s="43">
        <v>0.17</v>
      </c>
      <c r="D4407" s="45">
        <v>45962</v>
      </c>
      <c r="E4407" s="45">
        <v>45991.999305555553</v>
      </c>
      <c r="F4407" s="42" t="s">
        <v>475</v>
      </c>
    </row>
    <row r="4408" spans="1:6" x14ac:dyDescent="0.35">
      <c r="A4408" s="42" t="s">
        <v>265</v>
      </c>
      <c r="B4408" s="42">
        <v>789.92</v>
      </c>
      <c r="C4408" s="43">
        <v>0.17</v>
      </c>
      <c r="D4408" s="45">
        <v>45962</v>
      </c>
      <c r="E4408" s="45">
        <v>45991.999305555553</v>
      </c>
      <c r="F4408" s="42" t="s">
        <v>475</v>
      </c>
    </row>
    <row r="4409" spans="1:6" x14ac:dyDescent="0.35">
      <c r="A4409" s="42" t="s">
        <v>785</v>
      </c>
      <c r="B4409" s="42">
        <v>789.92</v>
      </c>
      <c r="C4409" s="43">
        <v>0.17</v>
      </c>
      <c r="D4409" s="45">
        <v>45962</v>
      </c>
      <c r="E4409" s="45">
        <v>45991.999305555553</v>
      </c>
      <c r="F4409" s="42" t="s">
        <v>475</v>
      </c>
    </row>
    <row r="4410" spans="1:6" x14ac:dyDescent="0.35">
      <c r="A4410" s="42" t="s">
        <v>786</v>
      </c>
      <c r="B4410" s="42">
        <v>789.92</v>
      </c>
      <c r="C4410" s="43">
        <v>0.17</v>
      </c>
      <c r="D4410" s="45">
        <v>45962</v>
      </c>
      <c r="E4410" s="45">
        <v>45991.999305555553</v>
      </c>
      <c r="F4410" s="42" t="s">
        <v>475</v>
      </c>
    </row>
    <row r="4411" spans="1:6" x14ac:dyDescent="0.35">
      <c r="A4411" s="42" t="s">
        <v>787</v>
      </c>
      <c r="B4411" s="42">
        <v>789.92</v>
      </c>
      <c r="C4411" s="43">
        <v>0.17</v>
      </c>
      <c r="D4411" s="45">
        <v>45962</v>
      </c>
      <c r="E4411" s="45">
        <v>45991.999305555553</v>
      </c>
      <c r="F4411" s="42" t="s">
        <v>475</v>
      </c>
    </row>
    <row r="4412" spans="1:6" x14ac:dyDescent="0.35">
      <c r="A4412" s="42" t="s">
        <v>592</v>
      </c>
      <c r="B4412" s="42">
        <v>889.92</v>
      </c>
      <c r="C4412" s="43">
        <v>0.17</v>
      </c>
      <c r="D4412" s="45">
        <v>45962</v>
      </c>
      <c r="E4412" s="45">
        <v>45991.999305555553</v>
      </c>
      <c r="F4412" s="42" t="s">
        <v>475</v>
      </c>
    </row>
    <row r="4413" spans="1:6" x14ac:dyDescent="0.35">
      <c r="A4413" s="42" t="s">
        <v>504</v>
      </c>
      <c r="B4413" s="42">
        <v>1319.92</v>
      </c>
      <c r="C4413" s="43">
        <v>0.17</v>
      </c>
      <c r="D4413" s="45">
        <v>45962</v>
      </c>
      <c r="E4413" s="45">
        <v>45991.999305555553</v>
      </c>
      <c r="F4413" s="42" t="s">
        <v>475</v>
      </c>
    </row>
    <row r="4414" spans="1:6" x14ac:dyDescent="0.35">
      <c r="A4414" s="42" t="s">
        <v>606</v>
      </c>
      <c r="B4414" s="42">
        <v>1319.92</v>
      </c>
      <c r="C4414" s="43">
        <v>0.17</v>
      </c>
      <c r="D4414" s="45">
        <v>45962</v>
      </c>
      <c r="E4414" s="45">
        <v>45991.999305555553</v>
      </c>
      <c r="F4414" s="42" t="s">
        <v>475</v>
      </c>
    </row>
    <row r="4415" spans="1:6" x14ac:dyDescent="0.35">
      <c r="A4415" s="42" t="s">
        <v>624</v>
      </c>
      <c r="B4415" s="42">
        <v>1319.92</v>
      </c>
      <c r="C4415" s="43">
        <v>0.17</v>
      </c>
      <c r="D4415" s="45">
        <v>45962</v>
      </c>
      <c r="E4415" s="45">
        <v>45991.999305555553</v>
      </c>
      <c r="F4415" s="42" t="s">
        <v>475</v>
      </c>
    </row>
    <row r="4416" spans="1:6" x14ac:dyDescent="0.35">
      <c r="A4416" s="42" t="s">
        <v>61</v>
      </c>
      <c r="B4416" s="42">
        <v>1319.92</v>
      </c>
      <c r="C4416" s="43">
        <v>0.17</v>
      </c>
      <c r="D4416" s="45">
        <v>45962</v>
      </c>
      <c r="E4416" s="45">
        <v>45991.999305555553</v>
      </c>
      <c r="F4416" s="42" t="s">
        <v>475</v>
      </c>
    </row>
    <row r="4417" spans="1:6" x14ac:dyDescent="0.35">
      <c r="A4417" s="42" t="s">
        <v>304</v>
      </c>
      <c r="B4417" s="42">
        <v>1319.92</v>
      </c>
      <c r="C4417" s="43">
        <v>0.17</v>
      </c>
      <c r="D4417" s="45">
        <v>45962</v>
      </c>
      <c r="E4417" s="45">
        <v>45991.999305555553</v>
      </c>
      <c r="F4417" s="42" t="s">
        <v>475</v>
      </c>
    </row>
    <row r="4418" spans="1:6" x14ac:dyDescent="0.35">
      <c r="A4418" s="42" t="s">
        <v>667</v>
      </c>
      <c r="B4418" s="42">
        <v>1319.92</v>
      </c>
      <c r="C4418" s="43">
        <v>0.17</v>
      </c>
      <c r="D4418" s="45">
        <v>45962</v>
      </c>
      <c r="E4418" s="45">
        <v>45991.999305555553</v>
      </c>
      <c r="F4418" s="42" t="s">
        <v>475</v>
      </c>
    </row>
    <row r="4419" spans="1:6" x14ac:dyDescent="0.35">
      <c r="A4419" s="42" t="s">
        <v>724</v>
      </c>
      <c r="B4419" s="42">
        <v>1319.92</v>
      </c>
      <c r="C4419" s="43">
        <v>0.17</v>
      </c>
      <c r="D4419" s="45">
        <v>45962</v>
      </c>
      <c r="E4419" s="45">
        <v>45991.999305555553</v>
      </c>
      <c r="F4419" s="42" t="s">
        <v>475</v>
      </c>
    </row>
    <row r="4420" spans="1:6" x14ac:dyDescent="0.35">
      <c r="A4420" s="42" t="s">
        <v>725</v>
      </c>
      <c r="B4420" s="42">
        <v>1319.92</v>
      </c>
      <c r="C4420" s="43">
        <v>0.17</v>
      </c>
      <c r="D4420" s="45">
        <v>45962</v>
      </c>
      <c r="E4420" s="45">
        <v>45991.999305555553</v>
      </c>
      <c r="F4420" s="42" t="s">
        <v>475</v>
      </c>
    </row>
    <row r="4421" spans="1:6" x14ac:dyDescent="0.35">
      <c r="A4421" s="42" t="s">
        <v>726</v>
      </c>
      <c r="B4421" s="42">
        <v>1319.92</v>
      </c>
      <c r="C4421" s="43">
        <v>0.17</v>
      </c>
      <c r="D4421" s="45">
        <v>45962</v>
      </c>
      <c r="E4421" s="45">
        <v>45991.999305555553</v>
      </c>
      <c r="F4421" s="42" t="s">
        <v>475</v>
      </c>
    </row>
    <row r="4422" spans="1:6" x14ac:dyDescent="0.35">
      <c r="A4422" s="42" t="s">
        <v>727</v>
      </c>
      <c r="B4422" s="42">
        <v>1319.92</v>
      </c>
      <c r="C4422" s="43">
        <v>0.17</v>
      </c>
      <c r="D4422" s="45">
        <v>45962</v>
      </c>
      <c r="E4422" s="45">
        <v>45991.999305555553</v>
      </c>
      <c r="F4422" s="42" t="s">
        <v>475</v>
      </c>
    </row>
    <row r="4423" spans="1:6" x14ac:dyDescent="0.35">
      <c r="A4423" s="42" t="s">
        <v>134</v>
      </c>
      <c r="B4423" s="42">
        <v>1419.92</v>
      </c>
      <c r="C4423" s="43">
        <v>0.17</v>
      </c>
      <c r="D4423" s="45">
        <v>45962</v>
      </c>
      <c r="E4423" s="45">
        <v>45991.999305555553</v>
      </c>
      <c r="F4423" s="42" t="s">
        <v>475</v>
      </c>
    </row>
    <row r="4424" spans="1:6" x14ac:dyDescent="0.35">
      <c r="A4424" s="42" t="s">
        <v>530</v>
      </c>
      <c r="B4424" s="42">
        <v>1419.92</v>
      </c>
      <c r="C4424" s="43">
        <v>0.17</v>
      </c>
      <c r="D4424" s="45">
        <v>45962</v>
      </c>
      <c r="E4424" s="45">
        <v>45991.999305555553</v>
      </c>
      <c r="F4424" s="42" t="s">
        <v>475</v>
      </c>
    </row>
    <row r="4425" spans="1:6" x14ac:dyDescent="0.35">
      <c r="A4425" s="42" t="s">
        <v>671</v>
      </c>
      <c r="B4425" s="42">
        <v>1419.92</v>
      </c>
      <c r="C4425" s="43">
        <v>0.17</v>
      </c>
      <c r="D4425" s="45">
        <v>45962</v>
      </c>
      <c r="E4425" s="45">
        <v>45991.999305555553</v>
      </c>
      <c r="F4425" s="42" t="s">
        <v>475</v>
      </c>
    </row>
    <row r="4426" spans="1:6" x14ac:dyDescent="0.35">
      <c r="A4426" s="42" t="s">
        <v>780</v>
      </c>
      <c r="B4426" s="42">
        <v>1959.92</v>
      </c>
      <c r="C4426" s="43">
        <v>0.17</v>
      </c>
      <c r="D4426" s="45">
        <v>45962</v>
      </c>
      <c r="E4426" s="45">
        <v>45991.999305555553</v>
      </c>
      <c r="F4426" s="42" t="s">
        <v>475</v>
      </c>
    </row>
    <row r="4427" spans="1:6" x14ac:dyDescent="0.35">
      <c r="A4427" s="42" t="s">
        <v>406</v>
      </c>
      <c r="B4427" s="42">
        <v>2069.92</v>
      </c>
      <c r="C4427" s="43">
        <v>0.17</v>
      </c>
      <c r="D4427" s="45">
        <v>45962</v>
      </c>
      <c r="E4427" s="45">
        <v>45991.999305555553</v>
      </c>
      <c r="F4427" s="42" t="s">
        <v>475</v>
      </c>
    </row>
    <row r="4428" spans="1:6" x14ac:dyDescent="0.35">
      <c r="A4428" s="42" t="s">
        <v>670</v>
      </c>
      <c r="B4428" s="42">
        <v>2069.92</v>
      </c>
      <c r="C4428" s="43">
        <v>0.17</v>
      </c>
      <c r="D4428" s="45">
        <v>45962</v>
      </c>
      <c r="E4428" s="45">
        <v>45991.999305555553</v>
      </c>
      <c r="F4428" s="42" t="s">
        <v>475</v>
      </c>
    </row>
    <row r="4429" spans="1:6" x14ac:dyDescent="0.35">
      <c r="A4429" s="42" t="s">
        <v>804</v>
      </c>
      <c r="B4429" s="42">
        <v>2069.92</v>
      </c>
      <c r="C4429" s="43">
        <v>0.17</v>
      </c>
      <c r="D4429" s="45">
        <v>45962</v>
      </c>
      <c r="E4429" s="45">
        <v>45991.999305555553</v>
      </c>
      <c r="F4429" s="42" t="s">
        <v>475</v>
      </c>
    </row>
    <row r="4430" spans="1:6" x14ac:dyDescent="0.35">
      <c r="A4430" s="42" t="s">
        <v>806</v>
      </c>
      <c r="B4430" s="42">
        <v>2069.92</v>
      </c>
      <c r="C4430" s="43">
        <v>0.17</v>
      </c>
      <c r="D4430" s="45">
        <v>45962</v>
      </c>
      <c r="E4430" s="45">
        <v>45991.999305555553</v>
      </c>
      <c r="F4430" s="42" t="s">
        <v>475</v>
      </c>
    </row>
    <row r="4431" spans="1:6" x14ac:dyDescent="0.35">
      <c r="A4431" s="42" t="s">
        <v>841</v>
      </c>
      <c r="B4431" s="42">
        <v>2069.92</v>
      </c>
      <c r="C4431" s="43">
        <v>0.17</v>
      </c>
      <c r="D4431" s="45">
        <v>45962</v>
      </c>
      <c r="E4431" s="45">
        <v>45991.999305555553</v>
      </c>
      <c r="F4431" s="42" t="s">
        <v>475</v>
      </c>
    </row>
    <row r="4432" spans="1:6" x14ac:dyDescent="0.35">
      <c r="A4432" s="42" t="s">
        <v>842</v>
      </c>
      <c r="B4432" s="42">
        <v>2069.92</v>
      </c>
      <c r="C4432" s="43">
        <v>0.17</v>
      </c>
      <c r="D4432" s="45">
        <v>45962</v>
      </c>
      <c r="E4432" s="45">
        <v>45991.999305555553</v>
      </c>
      <c r="F4432" s="42" t="s">
        <v>475</v>
      </c>
    </row>
    <row r="4433" spans="1:6" x14ac:dyDescent="0.35">
      <c r="A4433" s="42" t="s">
        <v>843</v>
      </c>
      <c r="B4433" s="42">
        <v>2069.92</v>
      </c>
      <c r="C4433" s="43">
        <v>0.17</v>
      </c>
      <c r="D4433" s="45">
        <v>45962</v>
      </c>
      <c r="E4433" s="45">
        <v>45991.999305555553</v>
      </c>
      <c r="F4433" s="42" t="s">
        <v>475</v>
      </c>
    </row>
    <row r="4434" spans="1:6" x14ac:dyDescent="0.35">
      <c r="A4434" s="42" t="s">
        <v>547</v>
      </c>
      <c r="B4434" s="42">
        <v>259.92</v>
      </c>
      <c r="C4434" s="43">
        <v>0.17</v>
      </c>
      <c r="D4434" s="45">
        <v>45962</v>
      </c>
      <c r="E4434" s="45">
        <v>45991.999305555553</v>
      </c>
      <c r="F4434" s="42" t="s">
        <v>475</v>
      </c>
    </row>
    <row r="4435" spans="1:6" x14ac:dyDescent="0.35">
      <c r="A4435" s="42" t="s">
        <v>570</v>
      </c>
      <c r="B4435" s="42">
        <v>259.92</v>
      </c>
      <c r="C4435" s="43">
        <v>0.17</v>
      </c>
      <c r="D4435" s="45">
        <v>45962</v>
      </c>
      <c r="E4435" s="45">
        <v>45991.999305555553</v>
      </c>
      <c r="F4435" s="42" t="s">
        <v>475</v>
      </c>
    </row>
    <row r="4436" spans="1:6" x14ac:dyDescent="0.35">
      <c r="A4436" s="42" t="s">
        <v>554</v>
      </c>
      <c r="B4436" s="42">
        <v>359.92</v>
      </c>
      <c r="C4436" s="43">
        <v>0.17</v>
      </c>
      <c r="D4436" s="45">
        <v>45962</v>
      </c>
      <c r="E4436" s="45">
        <v>45991.999305555553</v>
      </c>
      <c r="F4436" s="42" t="s">
        <v>475</v>
      </c>
    </row>
    <row r="4437" spans="1:6" x14ac:dyDescent="0.35">
      <c r="A4437" s="42" t="s">
        <v>534</v>
      </c>
      <c r="B4437" s="42">
        <v>359.92</v>
      </c>
      <c r="C4437" s="43">
        <v>0.17</v>
      </c>
      <c r="D4437" s="45">
        <v>45962</v>
      </c>
      <c r="E4437" s="45">
        <v>45991.999305555553</v>
      </c>
      <c r="F4437" s="42" t="s">
        <v>475</v>
      </c>
    </row>
    <row r="4438" spans="1:6" x14ac:dyDescent="0.35">
      <c r="A4438" s="42" t="s">
        <v>171</v>
      </c>
      <c r="B4438" s="42">
        <v>469.92</v>
      </c>
      <c r="C4438" s="43">
        <v>0.17</v>
      </c>
      <c r="D4438" s="45">
        <v>45962</v>
      </c>
      <c r="E4438" s="45">
        <v>45991.999305555553</v>
      </c>
      <c r="F4438" s="42" t="s">
        <v>475</v>
      </c>
    </row>
    <row r="4439" spans="1:6" x14ac:dyDescent="0.35">
      <c r="A4439" s="42" t="s">
        <v>576</v>
      </c>
      <c r="B4439" s="42">
        <v>469.92</v>
      </c>
      <c r="C4439" s="43">
        <v>0.17</v>
      </c>
      <c r="D4439" s="45">
        <v>45962</v>
      </c>
      <c r="E4439" s="45">
        <v>45991.999305555553</v>
      </c>
      <c r="F4439" s="42" t="s">
        <v>475</v>
      </c>
    </row>
    <row r="4440" spans="1:6" x14ac:dyDescent="0.35">
      <c r="A4440" s="42" t="s">
        <v>844</v>
      </c>
      <c r="B4440" s="42">
        <v>469.92</v>
      </c>
      <c r="C4440" s="43">
        <v>0.17</v>
      </c>
      <c r="D4440" s="45">
        <v>45962</v>
      </c>
      <c r="E4440" s="45">
        <v>45991.999305555553</v>
      </c>
      <c r="F4440" s="42" t="s">
        <v>475</v>
      </c>
    </row>
    <row r="4441" spans="1:6" x14ac:dyDescent="0.35">
      <c r="A4441" s="42" t="s">
        <v>845</v>
      </c>
      <c r="B4441" s="42">
        <v>469.92</v>
      </c>
      <c r="C4441" s="43">
        <v>0.17</v>
      </c>
      <c r="D4441" s="45">
        <v>45962</v>
      </c>
      <c r="E4441" s="45">
        <v>45991.999305555553</v>
      </c>
      <c r="F4441" s="42" t="s">
        <v>475</v>
      </c>
    </row>
    <row r="4442" spans="1:6" x14ac:dyDescent="0.35">
      <c r="A4442" s="42" t="s">
        <v>111</v>
      </c>
      <c r="B4442" s="42">
        <v>599.91999999999996</v>
      </c>
      <c r="C4442" s="43">
        <v>0.17</v>
      </c>
      <c r="D4442" s="45">
        <v>45962</v>
      </c>
      <c r="E4442" s="45">
        <v>45991.999305555553</v>
      </c>
      <c r="F4442" s="42" t="s">
        <v>475</v>
      </c>
    </row>
    <row r="4443" spans="1:6" x14ac:dyDescent="0.35">
      <c r="A4443" s="42" t="s">
        <v>20</v>
      </c>
      <c r="B4443" s="42">
        <v>599.91999999999996</v>
      </c>
      <c r="C4443" s="43">
        <v>0.17</v>
      </c>
      <c r="D4443" s="45">
        <v>45962</v>
      </c>
      <c r="E4443" s="45">
        <v>45991.999305555553</v>
      </c>
      <c r="F4443" s="42" t="s">
        <v>475</v>
      </c>
    </row>
    <row r="4444" spans="1:6" x14ac:dyDescent="0.35">
      <c r="A4444" s="42" t="s">
        <v>602</v>
      </c>
      <c r="B4444" s="42">
        <v>599.91999999999996</v>
      </c>
      <c r="C4444" s="43">
        <v>0.17</v>
      </c>
      <c r="D4444" s="45">
        <v>45962</v>
      </c>
      <c r="E4444" s="45">
        <v>45991.999305555553</v>
      </c>
      <c r="F4444" s="42" t="s">
        <v>475</v>
      </c>
    </row>
    <row r="4445" spans="1:6" x14ac:dyDescent="0.35">
      <c r="A4445" s="42" t="s">
        <v>583</v>
      </c>
      <c r="B4445" s="42">
        <v>599.91999999999996</v>
      </c>
      <c r="C4445" s="43">
        <v>0.17</v>
      </c>
      <c r="D4445" s="45">
        <v>45962</v>
      </c>
      <c r="E4445" s="45">
        <v>45991.999305555553</v>
      </c>
      <c r="F4445" s="42" t="s">
        <v>475</v>
      </c>
    </row>
    <row r="4446" spans="1:6" x14ac:dyDescent="0.35">
      <c r="A4446" s="42" t="s">
        <v>529</v>
      </c>
      <c r="B4446" s="42">
        <v>599.91999999999996</v>
      </c>
      <c r="C4446" s="43">
        <v>0.17</v>
      </c>
      <c r="D4446" s="45">
        <v>45962</v>
      </c>
      <c r="E4446" s="45">
        <v>45991.999305555553</v>
      </c>
      <c r="F4446" s="42" t="s">
        <v>475</v>
      </c>
    </row>
    <row r="4447" spans="1:6" x14ac:dyDescent="0.35">
      <c r="A4447" s="42" t="s">
        <v>584</v>
      </c>
      <c r="B4447" s="42">
        <v>599.91999999999996</v>
      </c>
      <c r="C4447" s="43">
        <v>0.17</v>
      </c>
      <c r="D4447" s="45">
        <v>45962</v>
      </c>
      <c r="E4447" s="45">
        <v>45991.999305555553</v>
      </c>
      <c r="F4447" s="42" t="s">
        <v>475</v>
      </c>
    </row>
    <row r="4448" spans="1:6" x14ac:dyDescent="0.35">
      <c r="A4448" s="42" t="s">
        <v>19</v>
      </c>
      <c r="B4448" s="42">
        <v>599.91999999999996</v>
      </c>
      <c r="C4448" s="43">
        <v>0.17</v>
      </c>
      <c r="D4448" s="45">
        <v>45962</v>
      </c>
      <c r="E4448" s="45">
        <v>45991.999305555553</v>
      </c>
      <c r="F4448" s="42" t="s">
        <v>475</v>
      </c>
    </row>
    <row r="4449" spans="1:6" x14ac:dyDescent="0.35">
      <c r="A4449" s="42" t="s">
        <v>21</v>
      </c>
      <c r="B4449" s="42">
        <v>599.91999999999996</v>
      </c>
      <c r="C4449" s="43">
        <v>0.17</v>
      </c>
      <c r="D4449" s="45">
        <v>45962</v>
      </c>
      <c r="E4449" s="45">
        <v>45991.999305555553</v>
      </c>
      <c r="F4449" s="42" t="s">
        <v>475</v>
      </c>
    </row>
    <row r="4450" spans="1:6" x14ac:dyDescent="0.35">
      <c r="A4450" s="42" t="s">
        <v>71</v>
      </c>
      <c r="B4450" s="42">
        <v>599.91999999999996</v>
      </c>
      <c r="C4450" s="43">
        <v>0.17</v>
      </c>
      <c r="D4450" s="45">
        <v>45962</v>
      </c>
      <c r="E4450" s="45">
        <v>45991.999305555553</v>
      </c>
      <c r="F4450" s="42" t="s">
        <v>475</v>
      </c>
    </row>
    <row r="4451" spans="1:6" x14ac:dyDescent="0.35">
      <c r="A4451" s="42" t="s">
        <v>100</v>
      </c>
      <c r="B4451" s="42">
        <v>599.91999999999996</v>
      </c>
      <c r="C4451" s="43">
        <v>0.17</v>
      </c>
      <c r="D4451" s="45">
        <v>45962</v>
      </c>
      <c r="E4451" s="45">
        <v>45991.999305555553</v>
      </c>
      <c r="F4451" s="42" t="s">
        <v>475</v>
      </c>
    </row>
    <row r="4452" spans="1:6" x14ac:dyDescent="0.35">
      <c r="A4452" s="42" t="s">
        <v>833</v>
      </c>
      <c r="B4452" s="42">
        <v>599.91999999999996</v>
      </c>
      <c r="C4452" s="43">
        <v>0.17</v>
      </c>
      <c r="D4452" s="45">
        <v>45962</v>
      </c>
      <c r="E4452" s="45">
        <v>45991.999305555553</v>
      </c>
      <c r="F4452" s="42" t="s">
        <v>475</v>
      </c>
    </row>
    <row r="4453" spans="1:6" x14ac:dyDescent="0.35">
      <c r="A4453" s="42" t="s">
        <v>834</v>
      </c>
      <c r="B4453" s="42">
        <v>599.91999999999996</v>
      </c>
      <c r="C4453" s="43">
        <v>0.17</v>
      </c>
      <c r="D4453" s="45">
        <v>45962</v>
      </c>
      <c r="E4453" s="45">
        <v>45991.999305555553</v>
      </c>
      <c r="F4453" s="42" t="s">
        <v>475</v>
      </c>
    </row>
    <row r="4454" spans="1:6" x14ac:dyDescent="0.35">
      <c r="A4454" s="42" t="s">
        <v>835</v>
      </c>
      <c r="B4454" s="42">
        <v>599.91999999999996</v>
      </c>
      <c r="C4454" s="43">
        <v>0.17</v>
      </c>
      <c r="D4454" s="45">
        <v>45962</v>
      </c>
      <c r="E4454" s="45">
        <v>45991.999305555553</v>
      </c>
      <c r="F4454" s="42" t="s">
        <v>475</v>
      </c>
    </row>
    <row r="4455" spans="1:6" x14ac:dyDescent="0.35">
      <c r="A4455" s="42" t="s">
        <v>836</v>
      </c>
      <c r="B4455" s="42">
        <v>599.91999999999996</v>
      </c>
      <c r="C4455" s="43">
        <v>0.17</v>
      </c>
      <c r="D4455" s="45">
        <v>45962</v>
      </c>
      <c r="E4455" s="45">
        <v>45991.999305555553</v>
      </c>
      <c r="F4455" s="42" t="s">
        <v>475</v>
      </c>
    </row>
    <row r="4456" spans="1:6" x14ac:dyDescent="0.35">
      <c r="A4456" s="42" t="s">
        <v>837</v>
      </c>
      <c r="B4456" s="42">
        <v>599.91999999999996</v>
      </c>
      <c r="C4456" s="43">
        <v>0.17</v>
      </c>
      <c r="D4456" s="45">
        <v>45962</v>
      </c>
      <c r="E4456" s="45">
        <v>45991.999305555553</v>
      </c>
      <c r="F4456" s="42" t="s">
        <v>475</v>
      </c>
    </row>
    <row r="4457" spans="1:6" x14ac:dyDescent="0.35">
      <c r="A4457" s="42" t="s">
        <v>838</v>
      </c>
      <c r="B4457" s="42">
        <v>599.91999999999996</v>
      </c>
      <c r="C4457" s="43">
        <v>0.17</v>
      </c>
      <c r="D4457" s="45">
        <v>45962</v>
      </c>
      <c r="E4457" s="45">
        <v>45991.999305555553</v>
      </c>
      <c r="F4457" s="42" t="s">
        <v>475</v>
      </c>
    </row>
    <row r="4458" spans="1:6" x14ac:dyDescent="0.35">
      <c r="A4458" s="42" t="s">
        <v>839</v>
      </c>
      <c r="B4458" s="42">
        <v>599.91999999999996</v>
      </c>
      <c r="C4458" s="43">
        <v>0.17</v>
      </c>
      <c r="D4458" s="45">
        <v>45962</v>
      </c>
      <c r="E4458" s="45">
        <v>45991.999305555553</v>
      </c>
      <c r="F4458" s="42" t="s">
        <v>475</v>
      </c>
    </row>
    <row r="4459" spans="1:6" x14ac:dyDescent="0.35">
      <c r="A4459" s="42" t="s">
        <v>840</v>
      </c>
      <c r="B4459" s="42">
        <v>599.91999999999996</v>
      </c>
      <c r="C4459" s="43">
        <v>0.17</v>
      </c>
      <c r="D4459" s="45">
        <v>45962</v>
      </c>
      <c r="E4459" s="45">
        <v>45991.999305555553</v>
      </c>
      <c r="F4459" s="42" t="s">
        <v>475</v>
      </c>
    </row>
    <row r="4460" spans="1:6" x14ac:dyDescent="0.35">
      <c r="A4460" s="42" t="s">
        <v>856</v>
      </c>
      <c r="B4460" s="42">
        <v>599.91999999999996</v>
      </c>
      <c r="C4460" s="43">
        <v>0.17</v>
      </c>
      <c r="D4460" s="45">
        <v>45962</v>
      </c>
      <c r="E4460" s="45">
        <v>45991.999305555553</v>
      </c>
      <c r="F4460" s="42" t="s">
        <v>475</v>
      </c>
    </row>
    <row r="4461" spans="1:6" x14ac:dyDescent="0.35">
      <c r="A4461" s="42" t="s">
        <v>857</v>
      </c>
      <c r="B4461" s="42">
        <v>599.91999999999996</v>
      </c>
      <c r="C4461" s="43">
        <v>0.17</v>
      </c>
      <c r="D4461" s="45">
        <v>45962</v>
      </c>
      <c r="E4461" s="45">
        <v>45991.999305555553</v>
      </c>
      <c r="F4461" s="42" t="s">
        <v>475</v>
      </c>
    </row>
    <row r="4462" spans="1:6" x14ac:dyDescent="0.35">
      <c r="A4462" s="42" t="s">
        <v>858</v>
      </c>
      <c r="B4462" s="42">
        <v>599.91999999999996</v>
      </c>
      <c r="C4462" s="43">
        <v>0.17</v>
      </c>
      <c r="D4462" s="45">
        <v>45962</v>
      </c>
      <c r="E4462" s="45">
        <v>45991.999305555553</v>
      </c>
      <c r="F4462" s="42" t="s">
        <v>475</v>
      </c>
    </row>
    <row r="4463" spans="1:6" x14ac:dyDescent="0.35">
      <c r="A4463" s="42" t="s">
        <v>859</v>
      </c>
      <c r="B4463" s="42">
        <v>599.91999999999996</v>
      </c>
      <c r="C4463" s="43">
        <v>0.17</v>
      </c>
      <c r="D4463" s="45">
        <v>45962</v>
      </c>
      <c r="E4463" s="45">
        <v>45991.999305555553</v>
      </c>
      <c r="F4463" s="42" t="s">
        <v>475</v>
      </c>
    </row>
    <row r="4464" spans="1:6" x14ac:dyDescent="0.35">
      <c r="A4464" s="42" t="s">
        <v>860</v>
      </c>
      <c r="B4464" s="42">
        <v>599.91999999999996</v>
      </c>
      <c r="C4464" s="43">
        <v>0.17</v>
      </c>
      <c r="D4464" s="45">
        <v>45962</v>
      </c>
      <c r="E4464" s="45">
        <v>45991.999305555553</v>
      </c>
      <c r="F4464" s="42" t="s">
        <v>475</v>
      </c>
    </row>
    <row r="4465" spans="1:6" x14ac:dyDescent="0.35">
      <c r="A4465" s="42" t="s">
        <v>861</v>
      </c>
      <c r="B4465" s="42">
        <v>599.91999999999996</v>
      </c>
      <c r="C4465" s="43">
        <v>0.17</v>
      </c>
      <c r="D4465" s="45">
        <v>45962</v>
      </c>
      <c r="E4465" s="45">
        <v>45991.999305555553</v>
      </c>
      <c r="F4465" s="42" t="s">
        <v>475</v>
      </c>
    </row>
    <row r="4466" spans="1:6" x14ac:dyDescent="0.35">
      <c r="A4466" s="42" t="s">
        <v>862</v>
      </c>
      <c r="B4466" s="42">
        <v>599.91999999999996</v>
      </c>
      <c r="C4466" s="43">
        <v>0.17</v>
      </c>
      <c r="D4466" s="45">
        <v>45962</v>
      </c>
      <c r="E4466" s="45">
        <v>45991.999305555553</v>
      </c>
      <c r="F4466" s="42" t="s">
        <v>475</v>
      </c>
    </row>
    <row r="4467" spans="1:6" x14ac:dyDescent="0.35">
      <c r="A4467" s="42" t="s">
        <v>890</v>
      </c>
      <c r="B4467" s="42">
        <v>599.91999999999996</v>
      </c>
      <c r="C4467" s="43">
        <v>0.17</v>
      </c>
      <c r="D4467" s="45">
        <v>45962</v>
      </c>
      <c r="E4467" s="45">
        <v>45991.999305555553</v>
      </c>
      <c r="F4467" s="42" t="s">
        <v>475</v>
      </c>
    </row>
    <row r="4468" spans="1:6" x14ac:dyDescent="0.35">
      <c r="A4468" s="42" t="s">
        <v>528</v>
      </c>
      <c r="B4468" s="42">
        <v>699.92</v>
      </c>
      <c r="C4468" s="43">
        <v>0.17</v>
      </c>
      <c r="D4468" s="45">
        <v>45962</v>
      </c>
      <c r="E4468" s="45">
        <v>45991.999305555553</v>
      </c>
      <c r="F4468" s="42" t="s">
        <v>475</v>
      </c>
    </row>
    <row r="4469" spans="1:6" x14ac:dyDescent="0.35">
      <c r="A4469" s="42" t="s">
        <v>543</v>
      </c>
      <c r="B4469" s="42">
        <v>699.92</v>
      </c>
      <c r="C4469" s="43">
        <v>0.17</v>
      </c>
      <c r="D4469" s="45">
        <v>45962</v>
      </c>
      <c r="E4469" s="45">
        <v>45991.999305555553</v>
      </c>
      <c r="F4469" s="42" t="s">
        <v>475</v>
      </c>
    </row>
    <row r="4470" spans="1:6" x14ac:dyDescent="0.35">
      <c r="A4470" s="42" t="s">
        <v>448</v>
      </c>
      <c r="B4470" s="42">
        <v>699.92</v>
      </c>
      <c r="C4470" s="43">
        <v>0.17</v>
      </c>
      <c r="D4470" s="45">
        <v>45962</v>
      </c>
      <c r="E4470" s="45">
        <v>45991.999305555553</v>
      </c>
      <c r="F4470" s="42" t="s">
        <v>475</v>
      </c>
    </row>
    <row r="4471" spans="1:6" x14ac:dyDescent="0.35">
      <c r="A4471" s="42" t="s">
        <v>588</v>
      </c>
      <c r="B4471" s="42">
        <v>699.92</v>
      </c>
      <c r="C4471" s="43">
        <v>0.17</v>
      </c>
      <c r="D4471" s="45">
        <v>45962</v>
      </c>
      <c r="E4471" s="45">
        <v>45991.999305555553</v>
      </c>
      <c r="F4471" s="42" t="s">
        <v>475</v>
      </c>
    </row>
    <row r="4472" spans="1:6" x14ac:dyDescent="0.35">
      <c r="A4472" s="42" t="s">
        <v>589</v>
      </c>
      <c r="B4472" s="42">
        <v>699.92</v>
      </c>
      <c r="C4472" s="43">
        <v>0.17</v>
      </c>
      <c r="D4472" s="45">
        <v>45962</v>
      </c>
      <c r="E4472" s="45">
        <v>45991.999305555553</v>
      </c>
      <c r="F4472" s="42" t="s">
        <v>475</v>
      </c>
    </row>
    <row r="4473" spans="1:6" x14ac:dyDescent="0.35">
      <c r="A4473" s="42" t="s">
        <v>605</v>
      </c>
      <c r="B4473" s="42">
        <v>699.92</v>
      </c>
      <c r="C4473" s="43">
        <v>0.17</v>
      </c>
      <c r="D4473" s="45">
        <v>45962</v>
      </c>
      <c r="E4473" s="45">
        <v>45991.999305555553</v>
      </c>
      <c r="F4473" s="42" t="s">
        <v>475</v>
      </c>
    </row>
    <row r="4474" spans="1:6" x14ac:dyDescent="0.35">
      <c r="A4474" s="42" t="s">
        <v>622</v>
      </c>
      <c r="B4474" s="42">
        <v>699.92</v>
      </c>
      <c r="C4474" s="43">
        <v>0.17</v>
      </c>
      <c r="D4474" s="45">
        <v>45962</v>
      </c>
      <c r="E4474" s="45">
        <v>45991.999305555553</v>
      </c>
      <c r="F4474" s="42" t="s">
        <v>475</v>
      </c>
    </row>
    <row r="4475" spans="1:6" x14ac:dyDescent="0.35">
      <c r="A4475" s="42" t="s">
        <v>824</v>
      </c>
      <c r="B4475" s="42">
        <v>699.92</v>
      </c>
      <c r="C4475" s="43">
        <v>0.17</v>
      </c>
      <c r="D4475" s="45">
        <v>45962</v>
      </c>
      <c r="E4475" s="45">
        <v>45991.999305555553</v>
      </c>
      <c r="F4475" s="42" t="s">
        <v>475</v>
      </c>
    </row>
    <row r="4476" spans="1:6" x14ac:dyDescent="0.35">
      <c r="A4476" s="42" t="s">
        <v>825</v>
      </c>
      <c r="B4476" s="42">
        <v>699.92</v>
      </c>
      <c r="C4476" s="43">
        <v>0.17</v>
      </c>
      <c r="D4476" s="45">
        <v>45962</v>
      </c>
      <c r="E4476" s="45">
        <v>45991.999305555553</v>
      </c>
      <c r="F4476" s="42" t="s">
        <v>475</v>
      </c>
    </row>
    <row r="4477" spans="1:6" x14ac:dyDescent="0.35">
      <c r="A4477" s="42" t="s">
        <v>826</v>
      </c>
      <c r="B4477" s="42">
        <v>699.92</v>
      </c>
      <c r="C4477" s="43">
        <v>0.17</v>
      </c>
      <c r="D4477" s="45">
        <v>45962</v>
      </c>
      <c r="E4477" s="45">
        <v>45991.999305555553</v>
      </c>
      <c r="F4477" s="42" t="s">
        <v>475</v>
      </c>
    </row>
    <row r="4478" spans="1:6" x14ac:dyDescent="0.35">
      <c r="A4478" s="42" t="s">
        <v>827</v>
      </c>
      <c r="B4478" s="42">
        <v>699.92</v>
      </c>
      <c r="C4478" s="43">
        <v>0.17</v>
      </c>
      <c r="D4478" s="45">
        <v>45962</v>
      </c>
      <c r="E4478" s="45">
        <v>45991.999305555553</v>
      </c>
      <c r="F4478" s="42" t="s">
        <v>475</v>
      </c>
    </row>
    <row r="4479" spans="1:6" x14ac:dyDescent="0.35">
      <c r="A4479" s="42" t="s">
        <v>828</v>
      </c>
      <c r="B4479" s="42">
        <v>699.92</v>
      </c>
      <c r="C4479" s="43">
        <v>0.17</v>
      </c>
      <c r="D4479" s="45">
        <v>45962</v>
      </c>
      <c r="E4479" s="45">
        <v>45991.999305555553</v>
      </c>
      <c r="F4479" s="42" t="s">
        <v>475</v>
      </c>
    </row>
    <row r="4480" spans="1:6" x14ac:dyDescent="0.35">
      <c r="A4480" s="42" t="s">
        <v>829</v>
      </c>
      <c r="B4480" s="42">
        <v>699.92</v>
      </c>
      <c r="C4480" s="43">
        <v>0.17</v>
      </c>
      <c r="D4480" s="45">
        <v>45962</v>
      </c>
      <c r="E4480" s="45">
        <v>45991.999305555553</v>
      </c>
      <c r="F4480" s="42" t="s">
        <v>475</v>
      </c>
    </row>
    <row r="4481" spans="1:6" x14ac:dyDescent="0.35">
      <c r="A4481" s="42" t="s">
        <v>502</v>
      </c>
      <c r="B4481" s="42">
        <v>1249.92</v>
      </c>
      <c r="C4481" s="43">
        <v>0.17</v>
      </c>
      <c r="D4481" s="45">
        <v>45962</v>
      </c>
      <c r="E4481" s="45">
        <v>45991.999305555553</v>
      </c>
      <c r="F4481" s="42" t="s">
        <v>475</v>
      </c>
    </row>
    <row r="4482" spans="1:6" x14ac:dyDescent="0.35">
      <c r="A4482" s="42" t="s">
        <v>503</v>
      </c>
      <c r="B4482" s="42">
        <v>1249.92</v>
      </c>
      <c r="C4482" s="43">
        <v>0.17</v>
      </c>
      <c r="D4482" s="45">
        <v>45962</v>
      </c>
      <c r="E4482" s="45">
        <v>45991.999305555553</v>
      </c>
      <c r="F4482" s="42" t="s">
        <v>475</v>
      </c>
    </row>
    <row r="4483" spans="1:6" x14ac:dyDescent="0.35">
      <c r="A4483" s="42" t="s">
        <v>267</v>
      </c>
      <c r="B4483" s="42">
        <v>1249.92</v>
      </c>
      <c r="C4483" s="43">
        <v>0.17</v>
      </c>
      <c r="D4483" s="45">
        <v>45962</v>
      </c>
      <c r="E4483" s="45">
        <v>45991.999305555553</v>
      </c>
      <c r="F4483" s="42" t="s">
        <v>475</v>
      </c>
    </row>
    <row r="4484" spans="1:6" x14ac:dyDescent="0.35">
      <c r="A4484" s="42" t="s">
        <v>88</v>
      </c>
      <c r="B4484" s="42">
        <v>1249.92</v>
      </c>
      <c r="C4484" s="43">
        <v>0.17</v>
      </c>
      <c r="D4484" s="45">
        <v>45962</v>
      </c>
      <c r="E4484" s="45">
        <v>45991.999305555553</v>
      </c>
      <c r="F4484" s="42" t="s">
        <v>475</v>
      </c>
    </row>
    <row r="4485" spans="1:6" x14ac:dyDescent="0.35">
      <c r="A4485" s="42" t="s">
        <v>457</v>
      </c>
      <c r="B4485" s="42">
        <v>1249.92</v>
      </c>
      <c r="C4485" s="43">
        <v>0.17</v>
      </c>
      <c r="D4485" s="45">
        <v>45962</v>
      </c>
      <c r="E4485" s="45">
        <v>45991.999305555553</v>
      </c>
      <c r="F4485" s="42" t="s">
        <v>475</v>
      </c>
    </row>
    <row r="4486" spans="1:6" x14ac:dyDescent="0.35">
      <c r="A4486" s="42" t="s">
        <v>620</v>
      </c>
      <c r="B4486" s="42">
        <v>1249.92</v>
      </c>
      <c r="C4486" s="43">
        <v>0.17</v>
      </c>
      <c r="D4486" s="45">
        <v>45962</v>
      </c>
      <c r="E4486" s="45">
        <v>45991.999305555553</v>
      </c>
      <c r="F4486" s="42" t="s">
        <v>475</v>
      </c>
    </row>
    <row r="4487" spans="1:6" x14ac:dyDescent="0.35">
      <c r="A4487" s="42" t="s">
        <v>650</v>
      </c>
      <c r="B4487" s="42">
        <v>1249.92</v>
      </c>
      <c r="C4487" s="43">
        <v>0.17</v>
      </c>
      <c r="D4487" s="45">
        <v>45962</v>
      </c>
      <c r="E4487" s="45">
        <v>45991.999305555553</v>
      </c>
      <c r="F4487" s="42" t="s">
        <v>475</v>
      </c>
    </row>
    <row r="4488" spans="1:6" x14ac:dyDescent="0.35">
      <c r="A4488" s="42" t="s">
        <v>674</v>
      </c>
      <c r="B4488" s="42">
        <v>1249.92</v>
      </c>
      <c r="C4488" s="43">
        <v>0.17</v>
      </c>
      <c r="D4488" s="45">
        <v>45962</v>
      </c>
      <c r="E4488" s="45">
        <v>45991.999305555553</v>
      </c>
      <c r="F4488" s="42" t="s">
        <v>475</v>
      </c>
    </row>
    <row r="4489" spans="1:6" x14ac:dyDescent="0.35">
      <c r="A4489" s="42" t="s">
        <v>722</v>
      </c>
      <c r="B4489" s="42">
        <v>1249.92</v>
      </c>
      <c r="C4489" s="43">
        <v>0.17</v>
      </c>
      <c r="D4489" s="45">
        <v>45962</v>
      </c>
      <c r="E4489" s="45">
        <v>45991.999305555553</v>
      </c>
      <c r="F4489" s="42" t="s">
        <v>475</v>
      </c>
    </row>
    <row r="4490" spans="1:6" x14ac:dyDescent="0.35">
      <c r="A4490" s="42" t="s">
        <v>723</v>
      </c>
      <c r="B4490" s="42">
        <v>1249.92</v>
      </c>
      <c r="C4490" s="43">
        <v>0.17</v>
      </c>
      <c r="D4490" s="45">
        <v>45962</v>
      </c>
      <c r="E4490" s="45">
        <v>45991.999305555553</v>
      </c>
      <c r="F4490" s="42" t="s">
        <v>475</v>
      </c>
    </row>
    <row r="4491" spans="1:6" x14ac:dyDescent="0.35">
      <c r="A4491" s="42" t="s">
        <v>488</v>
      </c>
      <c r="B4491" s="42">
        <v>1459.92</v>
      </c>
      <c r="C4491" s="43">
        <v>0.17</v>
      </c>
      <c r="D4491" s="45">
        <v>45962</v>
      </c>
      <c r="E4491" s="45">
        <v>45991.999305555553</v>
      </c>
      <c r="F4491" s="42" t="s">
        <v>475</v>
      </c>
    </row>
    <row r="4492" spans="1:6" x14ac:dyDescent="0.35">
      <c r="A4492" s="42" t="s">
        <v>104</v>
      </c>
      <c r="B4492" s="42">
        <v>1459.92</v>
      </c>
      <c r="C4492" s="43">
        <v>0.17</v>
      </c>
      <c r="D4492" s="45">
        <v>45962</v>
      </c>
      <c r="E4492" s="45">
        <v>45991.999305555553</v>
      </c>
      <c r="F4492" s="42" t="s">
        <v>475</v>
      </c>
    </row>
    <row r="4493" spans="1:6" x14ac:dyDescent="0.35">
      <c r="A4493" s="42" t="s">
        <v>494</v>
      </c>
      <c r="B4493" s="42">
        <v>1569.92</v>
      </c>
      <c r="C4493" s="43">
        <v>0.17</v>
      </c>
      <c r="D4493" s="45">
        <v>45962</v>
      </c>
      <c r="E4493" s="45">
        <v>45991.999305555553</v>
      </c>
      <c r="F4493" s="42" t="s">
        <v>475</v>
      </c>
    </row>
    <row r="4494" spans="1:6" x14ac:dyDescent="0.35">
      <c r="A4494" s="42" t="s">
        <v>531</v>
      </c>
      <c r="B4494" s="42">
        <v>1569.92</v>
      </c>
      <c r="C4494" s="43">
        <v>0.17</v>
      </c>
      <c r="D4494" s="45">
        <v>45962</v>
      </c>
      <c r="E4494" s="45">
        <v>45991.999305555553</v>
      </c>
      <c r="F4494" s="42" t="s">
        <v>475</v>
      </c>
    </row>
    <row r="4495" spans="1:6" x14ac:dyDescent="0.35">
      <c r="A4495" s="42" t="s">
        <v>63</v>
      </c>
      <c r="B4495" s="42">
        <v>1569.92</v>
      </c>
      <c r="C4495" s="43">
        <v>0.17</v>
      </c>
      <c r="D4495" s="45">
        <v>45962</v>
      </c>
      <c r="E4495" s="45">
        <v>45991.999305555553</v>
      </c>
      <c r="F4495" s="42" t="s">
        <v>475</v>
      </c>
    </row>
    <row r="4496" spans="1:6" x14ac:dyDescent="0.35">
      <c r="A4496" s="42" t="s">
        <v>65</v>
      </c>
      <c r="B4496" s="42">
        <v>1569.92</v>
      </c>
      <c r="C4496" s="43">
        <v>0.17</v>
      </c>
      <c r="D4496" s="45">
        <v>45962</v>
      </c>
      <c r="E4496" s="45">
        <v>45991.999305555553</v>
      </c>
      <c r="F4496" s="42" t="s">
        <v>475</v>
      </c>
    </row>
    <row r="4497" spans="1:6" x14ac:dyDescent="0.35">
      <c r="A4497" s="42" t="s">
        <v>276</v>
      </c>
      <c r="B4497" s="42">
        <v>1569.92</v>
      </c>
      <c r="C4497" s="43">
        <v>0.17</v>
      </c>
      <c r="D4497" s="45">
        <v>45962</v>
      </c>
      <c r="E4497" s="45">
        <v>45991.999305555553</v>
      </c>
      <c r="F4497" s="42" t="s">
        <v>475</v>
      </c>
    </row>
    <row r="4498" spans="1:6" x14ac:dyDescent="0.35">
      <c r="A4498" s="42" t="s">
        <v>807</v>
      </c>
      <c r="B4498" s="42">
        <v>1569.92</v>
      </c>
      <c r="C4498" s="43">
        <v>0.17</v>
      </c>
      <c r="D4498" s="45">
        <v>45962</v>
      </c>
      <c r="E4498" s="45">
        <v>45991.999305555553</v>
      </c>
      <c r="F4498" s="42" t="s">
        <v>475</v>
      </c>
    </row>
    <row r="4499" spans="1:6" x14ac:dyDescent="0.35">
      <c r="A4499" s="42" t="s">
        <v>669</v>
      </c>
      <c r="B4499" s="42">
        <v>2439.92</v>
      </c>
      <c r="C4499" s="43">
        <v>0.17</v>
      </c>
      <c r="D4499" s="45">
        <v>45962</v>
      </c>
      <c r="E4499" s="45">
        <v>45991.999305555553</v>
      </c>
      <c r="F4499" s="42" t="s">
        <v>475</v>
      </c>
    </row>
    <row r="4500" spans="1:6" x14ac:dyDescent="0.35">
      <c r="A4500" s="42" t="s">
        <v>803</v>
      </c>
      <c r="B4500" s="42">
        <v>2019.92</v>
      </c>
      <c r="C4500" s="43">
        <v>0.17</v>
      </c>
      <c r="D4500" s="45">
        <v>45962</v>
      </c>
      <c r="E4500" s="45">
        <v>45991.999305555553</v>
      </c>
      <c r="F4500" s="42" t="s">
        <v>475</v>
      </c>
    </row>
    <row r="4501" spans="1:6" x14ac:dyDescent="0.35">
      <c r="A4501" s="42" t="s">
        <v>811</v>
      </c>
      <c r="B4501" s="42">
        <v>2019.92</v>
      </c>
      <c r="C4501" s="43">
        <v>0.17</v>
      </c>
      <c r="D4501" s="45">
        <v>45962</v>
      </c>
      <c r="E4501" s="45">
        <v>45991.999305555553</v>
      </c>
      <c r="F4501" s="42" t="s">
        <v>475</v>
      </c>
    </row>
    <row r="4502" spans="1:6" x14ac:dyDescent="0.35">
      <c r="A4502" s="42" t="s">
        <v>643</v>
      </c>
      <c r="B4502" s="42">
        <v>2139.92</v>
      </c>
      <c r="C4502" s="43">
        <v>0.17</v>
      </c>
      <c r="D4502" s="45">
        <v>45962</v>
      </c>
      <c r="E4502" s="45">
        <v>45991.999305555553</v>
      </c>
      <c r="F4502" s="42" t="s">
        <v>475</v>
      </c>
    </row>
    <row r="4503" spans="1:6" x14ac:dyDescent="0.35">
      <c r="A4503" s="42" t="s">
        <v>812</v>
      </c>
      <c r="B4503" s="42">
        <v>2139.92</v>
      </c>
      <c r="C4503" s="43">
        <v>0.17</v>
      </c>
      <c r="D4503" s="45">
        <v>45962</v>
      </c>
      <c r="E4503" s="45">
        <v>45991.999305555553</v>
      </c>
      <c r="F4503" s="42" t="s">
        <v>475</v>
      </c>
    </row>
    <row r="4504" spans="1:6" x14ac:dyDescent="0.35">
      <c r="A4504" s="42" t="s">
        <v>327</v>
      </c>
      <c r="B4504" s="42">
        <v>2469.92</v>
      </c>
      <c r="C4504" s="43">
        <v>0.17</v>
      </c>
      <c r="D4504" s="45">
        <v>45962</v>
      </c>
      <c r="E4504" s="45">
        <v>45991.999305555553</v>
      </c>
      <c r="F4504" s="42" t="s">
        <v>475</v>
      </c>
    </row>
    <row r="4505" spans="1:6" x14ac:dyDescent="0.35">
      <c r="A4505" s="42" t="s">
        <v>45</v>
      </c>
      <c r="B4505" s="42">
        <v>479.92</v>
      </c>
      <c r="C4505" s="43">
        <v>0.17</v>
      </c>
      <c r="D4505" s="45">
        <v>45962</v>
      </c>
      <c r="E4505" s="45">
        <v>45991.999305555553</v>
      </c>
      <c r="F4505" s="42" t="s">
        <v>475</v>
      </c>
    </row>
    <row r="4506" spans="1:6" x14ac:dyDescent="0.35">
      <c r="A4506" s="42" t="s">
        <v>587</v>
      </c>
      <c r="B4506" s="42">
        <v>639.91999999999996</v>
      </c>
      <c r="C4506" s="43">
        <v>0.17</v>
      </c>
      <c r="D4506" s="45">
        <v>45962</v>
      </c>
      <c r="E4506" s="45">
        <v>45991.999305555553</v>
      </c>
      <c r="F4506" s="42" t="s">
        <v>475</v>
      </c>
    </row>
    <row r="4507" spans="1:6" x14ac:dyDescent="0.35">
      <c r="A4507" s="42" t="s">
        <v>485</v>
      </c>
      <c r="B4507" s="42">
        <v>1119.92</v>
      </c>
      <c r="C4507" s="43">
        <v>0.17</v>
      </c>
      <c r="D4507" s="45">
        <v>45962</v>
      </c>
      <c r="E4507" s="45">
        <v>45991.999305555553</v>
      </c>
      <c r="F4507" s="42" t="s">
        <v>475</v>
      </c>
    </row>
    <row r="4508" spans="1:6" x14ac:dyDescent="0.35">
      <c r="A4508" s="42" t="s">
        <v>568</v>
      </c>
      <c r="B4508" s="42">
        <v>289.92</v>
      </c>
      <c r="C4508" s="43">
        <v>0.17</v>
      </c>
      <c r="D4508" s="45">
        <v>45962</v>
      </c>
      <c r="E4508" s="45">
        <v>45991.999305555553</v>
      </c>
      <c r="F4508" s="42" t="s">
        <v>475</v>
      </c>
    </row>
    <row r="4509" spans="1:6" x14ac:dyDescent="0.35">
      <c r="A4509" s="42" t="s">
        <v>506</v>
      </c>
      <c r="B4509" s="42">
        <v>1389.92</v>
      </c>
      <c r="C4509" s="43">
        <v>0.17</v>
      </c>
      <c r="D4509" s="45">
        <v>45962</v>
      </c>
      <c r="E4509" s="45">
        <v>45991.999305555553</v>
      </c>
      <c r="F4509" s="42" t="s">
        <v>475</v>
      </c>
    </row>
    <row r="4510" spans="1:6" x14ac:dyDescent="0.35">
      <c r="A4510" s="42" t="s">
        <v>509</v>
      </c>
      <c r="B4510" s="42">
        <v>2749.92</v>
      </c>
      <c r="C4510" s="43">
        <v>0.17</v>
      </c>
      <c r="D4510" s="45">
        <v>45962</v>
      </c>
      <c r="E4510" s="45">
        <v>45991.999305555553</v>
      </c>
      <c r="F4510" s="42" t="s">
        <v>475</v>
      </c>
    </row>
    <row r="4511" spans="1:6" x14ac:dyDescent="0.35">
      <c r="A4511" s="42" t="s">
        <v>11</v>
      </c>
      <c r="B4511" s="42">
        <v>399.92</v>
      </c>
      <c r="C4511" s="43">
        <v>0.17</v>
      </c>
      <c r="D4511" s="45">
        <v>45962</v>
      </c>
      <c r="E4511" s="45">
        <v>45991.999305555553</v>
      </c>
      <c r="F4511" s="42" t="s">
        <v>475</v>
      </c>
    </row>
    <row r="4512" spans="1:6" x14ac:dyDescent="0.35">
      <c r="A4512" s="42" t="s">
        <v>505</v>
      </c>
      <c r="B4512" s="42">
        <v>1329.92</v>
      </c>
      <c r="C4512" s="43">
        <v>0.17</v>
      </c>
      <c r="D4512" s="45">
        <v>45962</v>
      </c>
      <c r="E4512" s="45">
        <v>45991.999305555553</v>
      </c>
      <c r="F4512" s="42" t="s">
        <v>475</v>
      </c>
    </row>
    <row r="4513" spans="1:6" x14ac:dyDescent="0.35">
      <c r="A4513" s="42" t="s">
        <v>565</v>
      </c>
      <c r="B4513" s="42">
        <v>199.92</v>
      </c>
      <c r="C4513" s="43">
        <v>0.17</v>
      </c>
      <c r="D4513" s="45">
        <v>45962</v>
      </c>
      <c r="E4513" s="45">
        <v>45991.999305555553</v>
      </c>
      <c r="F4513" s="42" t="s">
        <v>475</v>
      </c>
    </row>
    <row r="4514" spans="1:6" x14ac:dyDescent="0.35">
      <c r="A4514" s="42" t="s">
        <v>466</v>
      </c>
      <c r="B4514" s="42">
        <v>1359.92</v>
      </c>
      <c r="C4514" s="43">
        <v>0.17</v>
      </c>
      <c r="D4514" s="45">
        <v>45962</v>
      </c>
      <c r="E4514" s="45">
        <v>45991.999305555553</v>
      </c>
      <c r="F4514" s="42" t="s">
        <v>475</v>
      </c>
    </row>
    <row r="4515" spans="1:6" x14ac:dyDescent="0.35">
      <c r="A4515" s="42" t="s">
        <v>510</v>
      </c>
      <c r="B4515" s="42">
        <v>2799.92</v>
      </c>
      <c r="C4515" s="43">
        <v>0.17</v>
      </c>
      <c r="D4515" s="45">
        <v>45962</v>
      </c>
      <c r="E4515" s="45">
        <v>45991.999305555553</v>
      </c>
      <c r="F4515" s="42" t="s">
        <v>475</v>
      </c>
    </row>
    <row r="4516" spans="1:6" x14ac:dyDescent="0.35">
      <c r="A4516" s="42" t="s">
        <v>578</v>
      </c>
      <c r="B4516" s="42">
        <v>479.92</v>
      </c>
      <c r="C4516" s="43">
        <v>0.17</v>
      </c>
      <c r="D4516" s="45">
        <v>45962</v>
      </c>
      <c r="E4516" s="45">
        <v>45991.999305555553</v>
      </c>
      <c r="F4516" s="42" t="s">
        <v>475</v>
      </c>
    </row>
    <row r="4517" spans="1:6" x14ac:dyDescent="0.35">
      <c r="A4517" s="42" t="s">
        <v>575</v>
      </c>
      <c r="B4517" s="42">
        <v>439.92</v>
      </c>
      <c r="C4517" s="43">
        <v>0.17</v>
      </c>
      <c r="D4517" s="45">
        <v>45962</v>
      </c>
      <c r="E4517" s="45">
        <v>45991.999305555553</v>
      </c>
      <c r="F4517" s="42" t="s">
        <v>475</v>
      </c>
    </row>
    <row r="4518" spans="1:6" x14ac:dyDescent="0.35">
      <c r="A4518" s="42" t="s">
        <v>23</v>
      </c>
      <c r="B4518" s="42">
        <v>479.92</v>
      </c>
      <c r="C4518" s="43">
        <v>0.17</v>
      </c>
      <c r="D4518" s="45">
        <v>45962</v>
      </c>
      <c r="E4518" s="45">
        <v>45991.999305555553</v>
      </c>
      <c r="F4518" s="42" t="s">
        <v>475</v>
      </c>
    </row>
    <row r="4519" spans="1:6" x14ac:dyDescent="0.35">
      <c r="A4519" s="42" t="s">
        <v>527</v>
      </c>
      <c r="B4519" s="42">
        <v>859.92</v>
      </c>
      <c r="C4519" s="43">
        <v>0.17</v>
      </c>
      <c r="D4519" s="45">
        <v>45962</v>
      </c>
      <c r="E4519" s="45">
        <v>45991.999305555553</v>
      </c>
      <c r="F4519" s="42" t="s">
        <v>475</v>
      </c>
    </row>
    <row r="4520" spans="1:6" x14ac:dyDescent="0.35">
      <c r="A4520" s="42" t="s">
        <v>526</v>
      </c>
      <c r="B4520" s="42">
        <v>859.92</v>
      </c>
      <c r="C4520" s="43">
        <v>0.17</v>
      </c>
      <c r="D4520" s="45">
        <v>45962</v>
      </c>
      <c r="E4520" s="45">
        <v>45991.999305555553</v>
      </c>
      <c r="F4520" s="42" t="s">
        <v>475</v>
      </c>
    </row>
    <row r="4521" spans="1:6" x14ac:dyDescent="0.35">
      <c r="A4521" s="42" t="s">
        <v>90</v>
      </c>
      <c r="B4521" s="42">
        <v>739.92</v>
      </c>
      <c r="C4521" s="43">
        <v>0.17</v>
      </c>
      <c r="D4521" s="45">
        <v>45962</v>
      </c>
      <c r="E4521" s="45">
        <v>45991.999305555553</v>
      </c>
      <c r="F4521" s="42" t="s">
        <v>475</v>
      </c>
    </row>
    <row r="4522" spans="1:6" x14ac:dyDescent="0.35">
      <c r="A4522" s="42" t="s">
        <v>508</v>
      </c>
      <c r="B4522" s="42">
        <v>2589.92</v>
      </c>
      <c r="C4522" s="43">
        <v>0.17</v>
      </c>
      <c r="D4522" s="45">
        <v>45962</v>
      </c>
      <c r="E4522" s="45">
        <v>45991.999305555553</v>
      </c>
      <c r="F4522" s="42" t="s">
        <v>475</v>
      </c>
    </row>
    <row r="4523" spans="1:6" x14ac:dyDescent="0.35">
      <c r="A4523" s="42" t="s">
        <v>533</v>
      </c>
      <c r="B4523" s="42">
        <v>1289.92</v>
      </c>
      <c r="C4523" s="43">
        <v>0.17</v>
      </c>
      <c r="D4523" s="45">
        <v>45962</v>
      </c>
      <c r="E4523" s="45">
        <v>45991.999305555553</v>
      </c>
      <c r="F4523" s="42" t="s">
        <v>475</v>
      </c>
    </row>
    <row r="4524" spans="1:6" x14ac:dyDescent="0.35">
      <c r="A4524" s="42" t="s">
        <v>569</v>
      </c>
      <c r="B4524" s="42">
        <v>269.92</v>
      </c>
      <c r="C4524" s="43">
        <v>0.17</v>
      </c>
      <c r="D4524" s="45">
        <v>45962</v>
      </c>
      <c r="E4524" s="45">
        <v>45991.999305555553</v>
      </c>
      <c r="F4524" s="42" t="s">
        <v>475</v>
      </c>
    </row>
    <row r="4525" spans="1:6" x14ac:dyDescent="0.35">
      <c r="A4525" s="42" t="s">
        <v>60</v>
      </c>
      <c r="B4525" s="42">
        <v>1119.92</v>
      </c>
      <c r="C4525" s="43">
        <v>0.17</v>
      </c>
      <c r="D4525" s="45">
        <v>45962</v>
      </c>
      <c r="E4525" s="45">
        <v>45991.999305555553</v>
      </c>
      <c r="F4525" s="42" t="s">
        <v>475</v>
      </c>
    </row>
    <row r="4526" spans="1:6" x14ac:dyDescent="0.35">
      <c r="A4526" s="42" t="s">
        <v>500</v>
      </c>
      <c r="B4526" s="42">
        <v>989.92</v>
      </c>
      <c r="C4526" s="43">
        <v>0.17</v>
      </c>
      <c r="D4526" s="45">
        <v>45962</v>
      </c>
      <c r="E4526" s="45">
        <v>45991.999305555553</v>
      </c>
      <c r="F4526" s="42" t="s">
        <v>475</v>
      </c>
    </row>
    <row r="4527" spans="1:6" x14ac:dyDescent="0.35">
      <c r="A4527" s="42" t="s">
        <v>595</v>
      </c>
      <c r="B4527" s="42">
        <v>2699.92</v>
      </c>
      <c r="C4527" s="43">
        <v>0.17</v>
      </c>
      <c r="D4527" s="45">
        <v>45962</v>
      </c>
      <c r="E4527" s="45">
        <v>45991.999305555553</v>
      </c>
      <c r="F4527" s="42" t="s">
        <v>475</v>
      </c>
    </row>
    <row r="4528" spans="1:6" x14ac:dyDescent="0.35">
      <c r="A4528" s="42" t="s">
        <v>316</v>
      </c>
      <c r="B4528" s="42">
        <v>1879.92</v>
      </c>
      <c r="C4528" s="43">
        <v>0.17</v>
      </c>
      <c r="D4528" s="45">
        <v>45962</v>
      </c>
      <c r="E4528" s="45">
        <v>45991.999305555553</v>
      </c>
      <c r="F4528" s="42" t="s">
        <v>475</v>
      </c>
    </row>
    <row r="4529" spans="1:6" x14ac:dyDescent="0.35">
      <c r="A4529" s="42" t="s">
        <v>490</v>
      </c>
      <c r="B4529" s="42">
        <v>1879.92</v>
      </c>
      <c r="C4529" s="43">
        <v>0.17</v>
      </c>
      <c r="D4529" s="45">
        <v>45962</v>
      </c>
      <c r="E4529" s="45">
        <v>45991.999305555553</v>
      </c>
      <c r="F4529" s="42" t="s">
        <v>475</v>
      </c>
    </row>
    <row r="4530" spans="1:6" x14ac:dyDescent="0.35">
      <c r="A4530" s="42" t="s">
        <v>590</v>
      </c>
      <c r="B4530" s="42">
        <v>719.92</v>
      </c>
      <c r="C4530" s="43">
        <v>0.17</v>
      </c>
      <c r="D4530" s="45">
        <v>45962</v>
      </c>
      <c r="E4530" s="45">
        <v>45991.999305555553</v>
      </c>
      <c r="F4530" s="42" t="s">
        <v>475</v>
      </c>
    </row>
    <row r="4531" spans="1:6" x14ac:dyDescent="0.35">
      <c r="A4531" s="42" t="s">
        <v>596</v>
      </c>
      <c r="B4531" s="42">
        <v>2989.92</v>
      </c>
      <c r="C4531" s="43">
        <v>0.17</v>
      </c>
      <c r="D4531" s="45">
        <v>45962</v>
      </c>
      <c r="E4531" s="45">
        <v>45991.999305555553</v>
      </c>
      <c r="F4531" s="42" t="s">
        <v>475</v>
      </c>
    </row>
    <row r="4532" spans="1:6" x14ac:dyDescent="0.35">
      <c r="A4532" s="42" t="s">
        <v>486</v>
      </c>
      <c r="B4532" s="42">
        <v>1149.92</v>
      </c>
      <c r="C4532" s="43">
        <v>0.17</v>
      </c>
      <c r="D4532" s="45">
        <v>45962</v>
      </c>
      <c r="E4532" s="45">
        <v>45991.999305555553</v>
      </c>
      <c r="F4532" s="42" t="s">
        <v>475</v>
      </c>
    </row>
    <row r="4533" spans="1:6" x14ac:dyDescent="0.35">
      <c r="A4533" s="42" t="s">
        <v>507</v>
      </c>
      <c r="B4533" s="42">
        <v>1659.92</v>
      </c>
      <c r="C4533" s="43">
        <v>0.17</v>
      </c>
      <c r="D4533" s="45">
        <v>45962</v>
      </c>
      <c r="E4533" s="45">
        <v>45991.999305555553</v>
      </c>
      <c r="F4533" s="42" t="s">
        <v>475</v>
      </c>
    </row>
    <row r="4534" spans="1:6" x14ac:dyDescent="0.35">
      <c r="A4534" s="42" t="s">
        <v>574</v>
      </c>
      <c r="B4534" s="42">
        <v>479.92</v>
      </c>
      <c r="C4534" s="43">
        <v>0.17</v>
      </c>
      <c r="D4534" s="45">
        <v>45962</v>
      </c>
      <c r="E4534" s="45">
        <v>45991.999305555553</v>
      </c>
      <c r="F4534" s="42" t="s">
        <v>475</v>
      </c>
    </row>
    <row r="4535" spans="1:6" x14ac:dyDescent="0.35">
      <c r="A4535" s="42" t="s">
        <v>580</v>
      </c>
      <c r="B4535" s="42">
        <v>499.92</v>
      </c>
      <c r="C4535" s="43">
        <v>0.17</v>
      </c>
      <c r="D4535" s="45">
        <v>45962</v>
      </c>
      <c r="E4535" s="45">
        <v>45991.999305555553</v>
      </c>
      <c r="F4535" s="42" t="s">
        <v>475</v>
      </c>
    </row>
    <row r="4536" spans="1:6" x14ac:dyDescent="0.35">
      <c r="A4536" s="42" t="s">
        <v>8</v>
      </c>
      <c r="B4536" s="42">
        <v>399.92</v>
      </c>
      <c r="C4536" s="43">
        <v>0.17</v>
      </c>
      <c r="D4536" s="45">
        <v>45962</v>
      </c>
      <c r="E4536" s="45">
        <v>45991.999305555553</v>
      </c>
      <c r="F4536" s="42" t="s">
        <v>475</v>
      </c>
    </row>
    <row r="4537" spans="1:6" x14ac:dyDescent="0.35">
      <c r="A4537" s="42" t="s">
        <v>9</v>
      </c>
      <c r="B4537" s="42">
        <v>399.92</v>
      </c>
      <c r="C4537" s="43">
        <v>0.17</v>
      </c>
      <c r="D4537" s="45">
        <v>45962</v>
      </c>
      <c r="E4537" s="45">
        <v>45991.999305555553</v>
      </c>
      <c r="F4537" s="42" t="s">
        <v>475</v>
      </c>
    </row>
    <row r="4538" spans="1:6" x14ac:dyDescent="0.35">
      <c r="A4538" s="42" t="s">
        <v>67</v>
      </c>
      <c r="B4538" s="42">
        <v>399.92</v>
      </c>
      <c r="C4538" s="43">
        <v>0.17</v>
      </c>
      <c r="D4538" s="45">
        <v>45962</v>
      </c>
      <c r="E4538" s="45">
        <v>45991.999305555553</v>
      </c>
      <c r="F4538" s="42" t="s">
        <v>475</v>
      </c>
    </row>
    <row r="4539" spans="1:6" x14ac:dyDescent="0.35">
      <c r="A4539" s="42" t="s">
        <v>564</v>
      </c>
      <c r="B4539" s="42">
        <v>479.92</v>
      </c>
      <c r="C4539" s="43">
        <v>0.17</v>
      </c>
      <c r="D4539" s="45">
        <v>45962</v>
      </c>
      <c r="E4539" s="45">
        <v>45991.999305555553</v>
      </c>
      <c r="F4539" s="42" t="s">
        <v>475</v>
      </c>
    </row>
    <row r="4540" spans="1:6" x14ac:dyDescent="0.35">
      <c r="A4540" s="42" t="s">
        <v>491</v>
      </c>
      <c r="B4540" s="42">
        <v>2319.92</v>
      </c>
      <c r="C4540" s="43">
        <v>0.17</v>
      </c>
      <c r="D4540" s="45">
        <v>45962</v>
      </c>
      <c r="E4540" s="45">
        <v>45991.999305555553</v>
      </c>
      <c r="F4540" s="42" t="s">
        <v>475</v>
      </c>
    </row>
    <row r="4541" spans="1:6" x14ac:dyDescent="0.35">
      <c r="A4541" s="42" t="s">
        <v>33</v>
      </c>
      <c r="B4541" s="42">
        <v>989.92</v>
      </c>
      <c r="C4541" s="43">
        <v>0.17</v>
      </c>
      <c r="D4541" s="45">
        <v>45962</v>
      </c>
      <c r="E4541" s="45">
        <v>45991.999305555553</v>
      </c>
      <c r="F4541" s="42" t="s">
        <v>475</v>
      </c>
    </row>
    <row r="4542" spans="1:6" x14ac:dyDescent="0.35">
      <c r="A4542" s="42" t="s">
        <v>480</v>
      </c>
      <c r="B4542" s="42">
        <v>739.92</v>
      </c>
      <c r="C4542" s="43">
        <v>0.17</v>
      </c>
      <c r="D4542" s="45">
        <v>45962</v>
      </c>
      <c r="E4542" s="45">
        <v>45991.999305555553</v>
      </c>
      <c r="F4542" s="42" t="s">
        <v>475</v>
      </c>
    </row>
    <row r="4543" spans="1:6" x14ac:dyDescent="0.35">
      <c r="A4543" s="42" t="s">
        <v>479</v>
      </c>
      <c r="B4543" s="42">
        <v>739.92</v>
      </c>
      <c r="C4543" s="43">
        <v>0.17</v>
      </c>
      <c r="D4543" s="45">
        <v>45962</v>
      </c>
      <c r="E4543" s="45">
        <v>45991.999305555553</v>
      </c>
      <c r="F4543" s="42" t="s">
        <v>475</v>
      </c>
    </row>
    <row r="4544" spans="1:6" x14ac:dyDescent="0.35">
      <c r="A4544" s="42" t="s">
        <v>623</v>
      </c>
      <c r="B4544" s="42">
        <v>739.92</v>
      </c>
      <c r="C4544" s="43">
        <v>0.17</v>
      </c>
      <c r="D4544" s="45">
        <v>45962</v>
      </c>
      <c r="E4544" s="45">
        <v>45991.999305555553</v>
      </c>
      <c r="F4544" s="42" t="s">
        <v>475</v>
      </c>
    </row>
    <row r="4545" spans="1:6" x14ac:dyDescent="0.35">
      <c r="A4545" s="42" t="s">
        <v>401</v>
      </c>
      <c r="B4545" s="42">
        <v>1499.92</v>
      </c>
      <c r="C4545" s="43">
        <v>0.17</v>
      </c>
      <c r="D4545" s="45">
        <v>45962</v>
      </c>
      <c r="E4545" s="45">
        <v>45991.999305555553</v>
      </c>
      <c r="F4545" s="42" t="s">
        <v>475</v>
      </c>
    </row>
    <row r="4546" spans="1:6" x14ac:dyDescent="0.35">
      <c r="A4546" s="42" t="s">
        <v>50</v>
      </c>
      <c r="B4546" s="42">
        <v>1969.92</v>
      </c>
      <c r="C4546" s="43">
        <v>0.17</v>
      </c>
      <c r="D4546" s="45">
        <v>45962</v>
      </c>
      <c r="E4546" s="45">
        <v>45991.999305555553</v>
      </c>
      <c r="F4546" s="42" t="s">
        <v>475</v>
      </c>
    </row>
    <row r="4547" spans="1:6" x14ac:dyDescent="0.35">
      <c r="A4547" s="42" t="s">
        <v>482</v>
      </c>
      <c r="B4547" s="42">
        <v>939.92</v>
      </c>
      <c r="C4547" s="43">
        <v>0.17</v>
      </c>
      <c r="D4547" s="45">
        <v>45962</v>
      </c>
      <c r="E4547" s="45">
        <v>45991.999305555553</v>
      </c>
      <c r="F4547" s="42" t="s">
        <v>475</v>
      </c>
    </row>
    <row r="4548" spans="1:6" x14ac:dyDescent="0.35">
      <c r="A4548" s="42" t="s">
        <v>459</v>
      </c>
      <c r="B4548" s="42">
        <v>939.92</v>
      </c>
      <c r="C4548" s="43">
        <v>0.17</v>
      </c>
      <c r="D4548" s="45">
        <v>45962</v>
      </c>
      <c r="E4548" s="45">
        <v>45991.999305555553</v>
      </c>
      <c r="F4548" s="42" t="s">
        <v>475</v>
      </c>
    </row>
    <row r="4549" spans="1:6" x14ac:dyDescent="0.35">
      <c r="A4549" s="42" t="s">
        <v>42</v>
      </c>
      <c r="B4549" s="42">
        <v>939.92</v>
      </c>
      <c r="C4549" s="43">
        <v>0.17</v>
      </c>
      <c r="D4549" s="45">
        <v>45962</v>
      </c>
      <c r="E4549" s="45">
        <v>45991.999305555553</v>
      </c>
      <c r="F4549" s="42" t="s">
        <v>475</v>
      </c>
    </row>
    <row r="4550" spans="1:6" x14ac:dyDescent="0.35">
      <c r="A4550" s="42" t="s">
        <v>603</v>
      </c>
      <c r="B4550" s="42">
        <v>939.92</v>
      </c>
      <c r="C4550" s="43">
        <v>0.17</v>
      </c>
      <c r="D4550" s="45">
        <v>45962</v>
      </c>
      <c r="E4550" s="45">
        <v>45991.999305555553</v>
      </c>
      <c r="F4550" s="42" t="s">
        <v>475</v>
      </c>
    </row>
    <row r="4551" spans="1:6" x14ac:dyDescent="0.35">
      <c r="A4551" s="42" t="s">
        <v>604</v>
      </c>
      <c r="B4551" s="42">
        <v>939.92</v>
      </c>
      <c r="C4551" s="43">
        <v>0.17</v>
      </c>
      <c r="D4551" s="45">
        <v>45962</v>
      </c>
      <c r="E4551" s="45">
        <v>45991.999305555553</v>
      </c>
      <c r="F4551" s="42" t="s">
        <v>475</v>
      </c>
    </row>
    <row r="4552" spans="1:6" x14ac:dyDescent="0.35">
      <c r="A4552" s="42" t="s">
        <v>501</v>
      </c>
      <c r="B4552" s="42">
        <v>989.92</v>
      </c>
      <c r="C4552" s="43">
        <v>0.17</v>
      </c>
      <c r="D4552" s="45">
        <v>45962</v>
      </c>
      <c r="E4552" s="45">
        <v>45991.999305555553</v>
      </c>
      <c r="F4552" s="42" t="s">
        <v>475</v>
      </c>
    </row>
    <row r="4553" spans="1:6" x14ac:dyDescent="0.35">
      <c r="A4553" s="42" t="s">
        <v>566</v>
      </c>
      <c r="B4553" s="42">
        <v>199.92</v>
      </c>
      <c r="C4553" s="43">
        <v>0.17</v>
      </c>
      <c r="D4553" s="45">
        <v>45962</v>
      </c>
      <c r="E4553" s="45">
        <v>45991.999305555553</v>
      </c>
      <c r="F4553" s="42" t="s">
        <v>475</v>
      </c>
    </row>
    <row r="4554" spans="1:6" x14ac:dyDescent="0.35">
      <c r="A4554" s="42" t="s">
        <v>607</v>
      </c>
      <c r="B4554" s="42">
        <v>2799.92</v>
      </c>
      <c r="C4554" s="43">
        <v>0.17</v>
      </c>
      <c r="D4554" s="45">
        <v>45962</v>
      </c>
      <c r="E4554" s="45">
        <v>45991.999305555553</v>
      </c>
      <c r="F4554" s="42" t="s">
        <v>475</v>
      </c>
    </row>
    <row r="4555" spans="1:6" x14ac:dyDescent="0.35">
      <c r="A4555" s="42" t="s">
        <v>89</v>
      </c>
      <c r="B4555" s="42">
        <v>939.92</v>
      </c>
      <c r="C4555" s="43">
        <v>0.17</v>
      </c>
      <c r="D4555" s="45">
        <v>45962</v>
      </c>
      <c r="E4555" s="45">
        <v>45991.999305555553</v>
      </c>
      <c r="F4555" s="42" t="s">
        <v>475</v>
      </c>
    </row>
    <row r="4556" spans="1:6" x14ac:dyDescent="0.35">
      <c r="A4556" s="42" t="s">
        <v>400</v>
      </c>
      <c r="B4556" s="42">
        <v>1289.92</v>
      </c>
      <c r="C4556" s="43">
        <v>0.17</v>
      </c>
      <c r="D4556" s="45">
        <v>45962</v>
      </c>
      <c r="E4556" s="45">
        <v>45991.999305555553</v>
      </c>
      <c r="F4556" s="42" t="s">
        <v>475</v>
      </c>
    </row>
    <row r="4557" spans="1:6" x14ac:dyDescent="0.35">
      <c r="A4557" s="42" t="s">
        <v>121</v>
      </c>
      <c r="B4557" s="42">
        <v>1459.92</v>
      </c>
      <c r="C4557" s="43">
        <v>0.17</v>
      </c>
      <c r="D4557" s="45">
        <v>45962</v>
      </c>
      <c r="E4557" s="45">
        <v>45991.999305555553</v>
      </c>
      <c r="F4557" s="42" t="s">
        <v>475</v>
      </c>
    </row>
    <row r="4558" spans="1:6" x14ac:dyDescent="0.35">
      <c r="A4558" s="42" t="s">
        <v>266</v>
      </c>
      <c r="B4558" s="42">
        <v>1569.92</v>
      </c>
      <c r="C4558" s="43">
        <v>0.17</v>
      </c>
      <c r="D4558" s="45">
        <v>45962</v>
      </c>
      <c r="E4558" s="45">
        <v>45991.999305555553</v>
      </c>
      <c r="F4558" s="42" t="s">
        <v>475</v>
      </c>
    </row>
    <row r="4559" spans="1:6" x14ac:dyDescent="0.35">
      <c r="A4559" s="42" t="s">
        <v>105</v>
      </c>
      <c r="B4559" s="42">
        <v>1499.92</v>
      </c>
      <c r="C4559" s="43">
        <v>0.17</v>
      </c>
      <c r="D4559" s="45">
        <v>45962</v>
      </c>
      <c r="E4559" s="45">
        <v>45991.999305555553</v>
      </c>
      <c r="F4559" s="42" t="s">
        <v>475</v>
      </c>
    </row>
    <row r="4560" spans="1:6" x14ac:dyDescent="0.35">
      <c r="A4560" s="42" t="s">
        <v>48</v>
      </c>
      <c r="B4560" s="42">
        <v>1149.92</v>
      </c>
      <c r="C4560" s="43">
        <v>0.17</v>
      </c>
      <c r="D4560" s="45">
        <v>45962</v>
      </c>
      <c r="E4560" s="45">
        <v>45991.999305555553</v>
      </c>
      <c r="F4560" s="42" t="s">
        <v>475</v>
      </c>
    </row>
    <row r="4561" spans="1:6" x14ac:dyDescent="0.35">
      <c r="A4561" s="42" t="s">
        <v>621</v>
      </c>
      <c r="B4561" s="42">
        <v>1859.92</v>
      </c>
      <c r="C4561" s="43">
        <v>0.17</v>
      </c>
      <c r="D4561" s="45">
        <v>45962</v>
      </c>
      <c r="E4561" s="45">
        <v>45991.999305555553</v>
      </c>
      <c r="F4561" s="42" t="s">
        <v>475</v>
      </c>
    </row>
    <row r="4562" spans="1:6" x14ac:dyDescent="0.35">
      <c r="A4562" s="42" t="s">
        <v>645</v>
      </c>
      <c r="B4562" s="42">
        <v>1759.92</v>
      </c>
      <c r="C4562" s="43">
        <v>0.17</v>
      </c>
      <c r="D4562" s="45">
        <v>45962</v>
      </c>
      <c r="E4562" s="45">
        <v>45991.999305555553</v>
      </c>
      <c r="F4562" s="42" t="s">
        <v>475</v>
      </c>
    </row>
    <row r="4563" spans="1:6" x14ac:dyDescent="0.35">
      <c r="A4563" s="42" t="s">
        <v>648</v>
      </c>
      <c r="B4563" s="42">
        <v>2529.92</v>
      </c>
      <c r="C4563" s="43">
        <v>0.17</v>
      </c>
      <c r="D4563" s="45">
        <v>45962</v>
      </c>
      <c r="E4563" s="45">
        <v>45991.999305555553</v>
      </c>
      <c r="F4563" s="42" t="s">
        <v>475</v>
      </c>
    </row>
    <row r="4564" spans="1:6" x14ac:dyDescent="0.35">
      <c r="A4564" s="42" t="s">
        <v>649</v>
      </c>
      <c r="B4564" s="42">
        <v>3539.92</v>
      </c>
      <c r="C4564" s="43">
        <v>0.17</v>
      </c>
      <c r="D4564" s="45">
        <v>45962</v>
      </c>
      <c r="E4564" s="45">
        <v>45991.999305555553</v>
      </c>
      <c r="F4564" s="42" t="s">
        <v>475</v>
      </c>
    </row>
    <row r="4565" spans="1:6" x14ac:dyDescent="0.35">
      <c r="A4565" s="42" t="s">
        <v>652</v>
      </c>
      <c r="B4565" s="42">
        <v>1199.92</v>
      </c>
      <c r="C4565" s="43">
        <v>0.17</v>
      </c>
      <c r="D4565" s="45">
        <v>45962</v>
      </c>
      <c r="E4565" s="45">
        <v>45991.999305555553</v>
      </c>
      <c r="F4565" s="42" t="s">
        <v>475</v>
      </c>
    </row>
    <row r="4566" spans="1:6" x14ac:dyDescent="0.35">
      <c r="A4566" s="42" t="s">
        <v>653</v>
      </c>
      <c r="B4566" s="42">
        <v>2799.92</v>
      </c>
      <c r="C4566" s="43">
        <v>0.17</v>
      </c>
      <c r="D4566" s="45">
        <v>45962</v>
      </c>
      <c r="E4566" s="45">
        <v>45991.999305555553</v>
      </c>
      <c r="F4566" s="42" t="s">
        <v>475</v>
      </c>
    </row>
    <row r="4567" spans="1:6" x14ac:dyDescent="0.35">
      <c r="A4567" s="42" t="s">
        <v>655</v>
      </c>
      <c r="B4567" s="42">
        <v>2589.92</v>
      </c>
      <c r="C4567" s="43">
        <v>0.17</v>
      </c>
      <c r="D4567" s="45">
        <v>45962</v>
      </c>
      <c r="E4567" s="45">
        <v>45991.999305555553</v>
      </c>
      <c r="F4567" s="42" t="s">
        <v>475</v>
      </c>
    </row>
    <row r="4568" spans="1:6" x14ac:dyDescent="0.35">
      <c r="A4568" s="42" t="s">
        <v>656</v>
      </c>
      <c r="B4568" s="42">
        <v>1149.92</v>
      </c>
      <c r="C4568" s="43">
        <v>0.17</v>
      </c>
      <c r="D4568" s="45">
        <v>45962</v>
      </c>
      <c r="E4568" s="45">
        <v>45991.999305555553</v>
      </c>
      <c r="F4568" s="42" t="s">
        <v>475</v>
      </c>
    </row>
    <row r="4569" spans="1:6" x14ac:dyDescent="0.35">
      <c r="A4569" s="42" t="s">
        <v>657</v>
      </c>
      <c r="B4569" s="42">
        <v>719.92</v>
      </c>
      <c r="C4569" s="43">
        <v>0.17</v>
      </c>
      <c r="D4569" s="45">
        <v>45962</v>
      </c>
      <c r="E4569" s="45">
        <v>45991.999305555553</v>
      </c>
      <c r="F4569" s="42" t="s">
        <v>475</v>
      </c>
    </row>
    <row r="4570" spans="1:6" x14ac:dyDescent="0.35">
      <c r="A4570" s="42" t="s">
        <v>658</v>
      </c>
      <c r="B4570" s="42">
        <v>1659.92</v>
      </c>
      <c r="C4570" s="43">
        <v>0.17</v>
      </c>
      <c r="D4570" s="45">
        <v>45962</v>
      </c>
      <c r="E4570" s="45">
        <v>45991.999305555553</v>
      </c>
      <c r="F4570" s="42" t="s">
        <v>475</v>
      </c>
    </row>
    <row r="4571" spans="1:6" x14ac:dyDescent="0.35">
      <c r="A4571" s="42" t="s">
        <v>659</v>
      </c>
      <c r="B4571" s="42">
        <v>1659.92</v>
      </c>
      <c r="C4571" s="43">
        <v>0.17</v>
      </c>
      <c r="D4571" s="45">
        <v>45962</v>
      </c>
      <c r="E4571" s="45">
        <v>45991.999305555553</v>
      </c>
      <c r="F4571" s="42" t="s">
        <v>475</v>
      </c>
    </row>
    <row r="4572" spans="1:6" x14ac:dyDescent="0.35">
      <c r="A4572" s="42" t="s">
        <v>660</v>
      </c>
      <c r="B4572" s="42">
        <v>1289.92</v>
      </c>
      <c r="C4572" s="43">
        <v>0.17</v>
      </c>
      <c r="D4572" s="45">
        <v>45962</v>
      </c>
      <c r="E4572" s="45">
        <v>45991.999305555553</v>
      </c>
      <c r="F4572" s="42" t="s">
        <v>475</v>
      </c>
    </row>
    <row r="4573" spans="1:6" x14ac:dyDescent="0.35">
      <c r="A4573" s="42" t="s">
        <v>464</v>
      </c>
      <c r="B4573" s="42">
        <v>1459.92</v>
      </c>
      <c r="C4573" s="43">
        <v>0.17</v>
      </c>
      <c r="D4573" s="45">
        <v>45962</v>
      </c>
      <c r="E4573" s="45">
        <v>45991.999305555553</v>
      </c>
      <c r="F4573" s="42" t="s">
        <v>475</v>
      </c>
    </row>
    <row r="4574" spans="1:6" x14ac:dyDescent="0.35">
      <c r="A4574" s="42" t="s">
        <v>460</v>
      </c>
      <c r="B4574" s="42">
        <v>1459.92</v>
      </c>
      <c r="C4574" s="43">
        <v>0.17</v>
      </c>
      <c r="D4574" s="45">
        <v>45962</v>
      </c>
      <c r="E4574" s="45">
        <v>45991.999305555553</v>
      </c>
      <c r="F4574" s="42" t="s">
        <v>475</v>
      </c>
    </row>
    <row r="4575" spans="1:6" x14ac:dyDescent="0.35">
      <c r="A4575" s="42" t="s">
        <v>662</v>
      </c>
      <c r="B4575" s="42">
        <v>2129.92</v>
      </c>
      <c r="C4575" s="43">
        <v>0.17</v>
      </c>
      <c r="D4575" s="45">
        <v>45962</v>
      </c>
      <c r="E4575" s="45">
        <v>45991.999305555553</v>
      </c>
      <c r="F4575" s="42" t="s">
        <v>475</v>
      </c>
    </row>
    <row r="4576" spans="1:6" x14ac:dyDescent="0.35">
      <c r="A4576" s="42" t="s">
        <v>663</v>
      </c>
      <c r="B4576" s="42">
        <v>1879.92</v>
      </c>
      <c r="C4576" s="43">
        <v>0.17</v>
      </c>
      <c r="D4576" s="45">
        <v>45962</v>
      </c>
      <c r="E4576" s="45">
        <v>45991.999305555553</v>
      </c>
      <c r="F4576" s="42" t="s">
        <v>475</v>
      </c>
    </row>
    <row r="4577" spans="1:6" x14ac:dyDescent="0.35">
      <c r="A4577" s="42" t="s">
        <v>664</v>
      </c>
      <c r="B4577" s="42">
        <v>3729.92</v>
      </c>
      <c r="C4577" s="43">
        <v>0.17</v>
      </c>
      <c r="D4577" s="45">
        <v>45962</v>
      </c>
      <c r="E4577" s="45">
        <v>45991.999305555553</v>
      </c>
      <c r="F4577" s="42" t="s">
        <v>475</v>
      </c>
    </row>
    <row r="4578" spans="1:6" x14ac:dyDescent="0.35">
      <c r="A4578" s="42" t="s">
        <v>665</v>
      </c>
      <c r="B4578" s="42">
        <v>2649.92</v>
      </c>
      <c r="C4578" s="43">
        <v>0.17</v>
      </c>
      <c r="D4578" s="45">
        <v>45962</v>
      </c>
      <c r="E4578" s="45">
        <v>45991.999305555553</v>
      </c>
      <c r="F4578" s="42" t="s">
        <v>475</v>
      </c>
    </row>
    <row r="4579" spans="1:6" x14ac:dyDescent="0.35">
      <c r="A4579" s="42" t="s">
        <v>666</v>
      </c>
      <c r="B4579" s="42">
        <v>1149.92</v>
      </c>
      <c r="C4579" s="43">
        <v>0.17</v>
      </c>
      <c r="D4579" s="45">
        <v>45962</v>
      </c>
      <c r="E4579" s="45">
        <v>45991.999305555553</v>
      </c>
      <c r="F4579" s="42" t="s">
        <v>475</v>
      </c>
    </row>
    <row r="4580" spans="1:6" x14ac:dyDescent="0.35">
      <c r="A4580" s="42" t="s">
        <v>668</v>
      </c>
      <c r="B4580" s="42">
        <v>2799.92</v>
      </c>
      <c r="C4580" s="43">
        <v>0.17</v>
      </c>
      <c r="D4580" s="45">
        <v>45962</v>
      </c>
      <c r="E4580" s="45">
        <v>45991.999305555553</v>
      </c>
      <c r="F4580" s="42" t="s">
        <v>475</v>
      </c>
    </row>
    <row r="4581" spans="1:6" x14ac:dyDescent="0.35">
      <c r="A4581" s="42" t="s">
        <v>672</v>
      </c>
      <c r="B4581" s="42">
        <v>1359.92</v>
      </c>
      <c r="C4581" s="43">
        <v>0.17</v>
      </c>
      <c r="D4581" s="45">
        <v>45962</v>
      </c>
      <c r="E4581" s="45">
        <v>45991.999305555553</v>
      </c>
      <c r="F4581" s="42" t="s">
        <v>475</v>
      </c>
    </row>
    <row r="4582" spans="1:6" x14ac:dyDescent="0.35">
      <c r="A4582" s="42" t="s">
        <v>673</v>
      </c>
      <c r="B4582" s="42">
        <v>1329.92</v>
      </c>
      <c r="C4582" s="43">
        <v>0.17</v>
      </c>
      <c r="D4582" s="45">
        <v>45962</v>
      </c>
      <c r="E4582" s="45">
        <v>45991.999305555553</v>
      </c>
      <c r="F4582" s="42" t="s">
        <v>475</v>
      </c>
    </row>
    <row r="4583" spans="1:6" x14ac:dyDescent="0.35">
      <c r="A4583" s="42" t="s">
        <v>699</v>
      </c>
      <c r="B4583" s="42">
        <v>1299.92</v>
      </c>
      <c r="C4583" s="43">
        <v>0.17</v>
      </c>
      <c r="D4583" s="45">
        <v>45962</v>
      </c>
      <c r="E4583" s="45">
        <v>45991.999305555553</v>
      </c>
      <c r="F4583" s="42" t="s">
        <v>475</v>
      </c>
    </row>
    <row r="4584" spans="1:6" x14ac:dyDescent="0.35">
      <c r="A4584" s="42" t="s">
        <v>700</v>
      </c>
      <c r="B4584" s="42">
        <v>1299.92</v>
      </c>
      <c r="C4584" s="43">
        <v>0.17</v>
      </c>
      <c r="D4584" s="45">
        <v>45962</v>
      </c>
      <c r="E4584" s="45">
        <v>45991.999305555553</v>
      </c>
      <c r="F4584" s="42" t="s">
        <v>475</v>
      </c>
    </row>
    <row r="4585" spans="1:6" x14ac:dyDescent="0.35">
      <c r="A4585" s="42" t="s">
        <v>701</v>
      </c>
      <c r="B4585" s="42">
        <v>1299.92</v>
      </c>
      <c r="C4585" s="43">
        <v>0.17</v>
      </c>
      <c r="D4585" s="45">
        <v>45962</v>
      </c>
      <c r="E4585" s="45">
        <v>45991.999305555553</v>
      </c>
      <c r="F4585" s="42" t="s">
        <v>475</v>
      </c>
    </row>
    <row r="4586" spans="1:6" x14ac:dyDescent="0.35">
      <c r="A4586" s="42" t="s">
        <v>702</v>
      </c>
      <c r="B4586" s="42">
        <v>1299.92</v>
      </c>
      <c r="C4586" s="43">
        <v>0.17</v>
      </c>
      <c r="D4586" s="45">
        <v>45962</v>
      </c>
      <c r="E4586" s="45">
        <v>45991.999305555553</v>
      </c>
      <c r="F4586" s="42" t="s">
        <v>475</v>
      </c>
    </row>
    <row r="4587" spans="1:6" x14ac:dyDescent="0.35">
      <c r="A4587" s="42" t="s">
        <v>703</v>
      </c>
      <c r="B4587" s="42">
        <v>1299.92</v>
      </c>
      <c r="C4587" s="43">
        <v>0.17</v>
      </c>
      <c r="D4587" s="45">
        <v>45962</v>
      </c>
      <c r="E4587" s="45">
        <v>45991.999305555553</v>
      </c>
      <c r="F4587" s="42" t="s">
        <v>475</v>
      </c>
    </row>
    <row r="4588" spans="1:6" x14ac:dyDescent="0.35">
      <c r="A4588" s="42" t="s">
        <v>704</v>
      </c>
      <c r="B4588" s="42">
        <v>1489.92</v>
      </c>
      <c r="C4588" s="43">
        <v>0.17</v>
      </c>
      <c r="D4588" s="45">
        <v>45962</v>
      </c>
      <c r="E4588" s="45">
        <v>45991.999305555553</v>
      </c>
      <c r="F4588" s="42" t="s">
        <v>475</v>
      </c>
    </row>
    <row r="4589" spans="1:6" x14ac:dyDescent="0.35">
      <c r="A4589" s="42" t="s">
        <v>706</v>
      </c>
      <c r="B4589" s="42">
        <v>1699.92</v>
      </c>
      <c r="C4589" s="43">
        <v>0.17</v>
      </c>
      <c r="D4589" s="45">
        <v>45962</v>
      </c>
      <c r="E4589" s="45">
        <v>45991.999305555553</v>
      </c>
      <c r="F4589" s="42" t="s">
        <v>475</v>
      </c>
    </row>
    <row r="4590" spans="1:6" x14ac:dyDescent="0.35">
      <c r="A4590" s="42" t="s">
        <v>707</v>
      </c>
      <c r="B4590" s="42">
        <v>1699.92</v>
      </c>
      <c r="C4590" s="43">
        <v>0.17</v>
      </c>
      <c r="D4590" s="45">
        <v>45962</v>
      </c>
      <c r="E4590" s="45">
        <v>45991.999305555553</v>
      </c>
      <c r="F4590" s="42" t="s">
        <v>475</v>
      </c>
    </row>
    <row r="4591" spans="1:6" x14ac:dyDescent="0.35">
      <c r="A4591" s="42" t="s">
        <v>708</v>
      </c>
      <c r="B4591" s="42">
        <v>1699.92</v>
      </c>
      <c r="C4591" s="43">
        <v>0.17</v>
      </c>
      <c r="D4591" s="45">
        <v>45962</v>
      </c>
      <c r="E4591" s="45">
        <v>45991.999305555553</v>
      </c>
      <c r="F4591" s="42" t="s">
        <v>475</v>
      </c>
    </row>
    <row r="4592" spans="1:6" x14ac:dyDescent="0.35">
      <c r="A4592" s="42" t="s">
        <v>709</v>
      </c>
      <c r="B4592" s="42">
        <v>1699.92</v>
      </c>
      <c r="C4592" s="43">
        <v>0.17</v>
      </c>
      <c r="D4592" s="45">
        <v>45962</v>
      </c>
      <c r="E4592" s="45">
        <v>45991.999305555553</v>
      </c>
      <c r="F4592" s="42" t="s">
        <v>475</v>
      </c>
    </row>
    <row r="4593" spans="1:6" x14ac:dyDescent="0.35">
      <c r="A4593" s="42" t="s">
        <v>710</v>
      </c>
      <c r="B4593" s="42">
        <v>1699.92</v>
      </c>
      <c r="C4593" s="43">
        <v>0.17</v>
      </c>
      <c r="D4593" s="45">
        <v>45962</v>
      </c>
      <c r="E4593" s="45">
        <v>45991.999305555553</v>
      </c>
      <c r="F4593" s="42" t="s">
        <v>475</v>
      </c>
    </row>
    <row r="4594" spans="1:6" x14ac:dyDescent="0.35">
      <c r="A4594" s="42" t="s">
        <v>711</v>
      </c>
      <c r="B4594" s="42">
        <v>1699.92</v>
      </c>
      <c r="C4594" s="43">
        <v>0.17</v>
      </c>
      <c r="D4594" s="45">
        <v>45962</v>
      </c>
      <c r="E4594" s="45">
        <v>45991.999305555553</v>
      </c>
      <c r="F4594" s="42" t="s">
        <v>475</v>
      </c>
    </row>
    <row r="4595" spans="1:6" x14ac:dyDescent="0.35">
      <c r="A4595" s="42" t="s">
        <v>712</v>
      </c>
      <c r="B4595" s="42">
        <v>1699.92</v>
      </c>
      <c r="C4595" s="43">
        <v>0.17</v>
      </c>
      <c r="D4595" s="45">
        <v>45962</v>
      </c>
      <c r="E4595" s="45">
        <v>45991.999305555553</v>
      </c>
      <c r="F4595" s="42" t="s">
        <v>475</v>
      </c>
    </row>
    <row r="4596" spans="1:6" x14ac:dyDescent="0.35">
      <c r="A4596" s="42" t="s">
        <v>713</v>
      </c>
      <c r="B4596" s="42">
        <v>1699.92</v>
      </c>
      <c r="C4596" s="43">
        <v>0.17</v>
      </c>
      <c r="D4596" s="45">
        <v>45962</v>
      </c>
      <c r="E4596" s="45">
        <v>45991.999305555553</v>
      </c>
      <c r="F4596" s="42" t="s">
        <v>475</v>
      </c>
    </row>
    <row r="4597" spans="1:6" x14ac:dyDescent="0.35">
      <c r="A4597" s="42" t="s">
        <v>714</v>
      </c>
      <c r="B4597" s="42">
        <v>1699.92</v>
      </c>
      <c r="C4597" s="43">
        <v>0.17</v>
      </c>
      <c r="D4597" s="45">
        <v>45962</v>
      </c>
      <c r="E4597" s="45">
        <v>45991.999305555553</v>
      </c>
      <c r="F4597" s="42" t="s">
        <v>475</v>
      </c>
    </row>
    <row r="4598" spans="1:6" x14ac:dyDescent="0.35">
      <c r="A4598" s="42" t="s">
        <v>715</v>
      </c>
      <c r="B4598" s="42">
        <v>1699.92</v>
      </c>
      <c r="C4598" s="43">
        <v>0.17</v>
      </c>
      <c r="D4598" s="45">
        <v>45962</v>
      </c>
      <c r="E4598" s="45">
        <v>45991.999305555553</v>
      </c>
      <c r="F4598" s="42" t="s">
        <v>475</v>
      </c>
    </row>
    <row r="4599" spans="1:6" x14ac:dyDescent="0.35">
      <c r="A4599" s="42" t="s">
        <v>716</v>
      </c>
      <c r="B4599" s="42">
        <v>1699.92</v>
      </c>
      <c r="C4599" s="43">
        <v>0.17</v>
      </c>
      <c r="D4599" s="45">
        <v>45962</v>
      </c>
      <c r="E4599" s="45">
        <v>45991.999305555553</v>
      </c>
      <c r="F4599" s="42" t="s">
        <v>475</v>
      </c>
    </row>
    <row r="4600" spans="1:6" x14ac:dyDescent="0.35">
      <c r="A4600" s="42" t="s">
        <v>717</v>
      </c>
      <c r="B4600" s="42">
        <v>1699.92</v>
      </c>
      <c r="C4600" s="43">
        <v>0.17</v>
      </c>
      <c r="D4600" s="45">
        <v>45962</v>
      </c>
      <c r="E4600" s="45">
        <v>45991.999305555553</v>
      </c>
      <c r="F4600" s="42" t="s">
        <v>475</v>
      </c>
    </row>
    <row r="4601" spans="1:6" x14ac:dyDescent="0.35">
      <c r="A4601" s="42" t="s">
        <v>728</v>
      </c>
      <c r="B4601" s="42">
        <v>1489.92</v>
      </c>
      <c r="C4601" s="43">
        <v>0.17</v>
      </c>
      <c r="D4601" s="45">
        <v>45962</v>
      </c>
      <c r="E4601" s="45">
        <v>45991.999305555553</v>
      </c>
      <c r="F4601" s="42" t="s">
        <v>475</v>
      </c>
    </row>
    <row r="4602" spans="1:6" x14ac:dyDescent="0.35">
      <c r="A4602" s="42" t="s">
        <v>729</v>
      </c>
      <c r="B4602" s="42">
        <v>1499.92</v>
      </c>
      <c r="C4602" s="43">
        <v>0.17</v>
      </c>
      <c r="D4602" s="45">
        <v>45962</v>
      </c>
      <c r="E4602" s="45">
        <v>45991.999305555553</v>
      </c>
      <c r="F4602" s="42" t="s">
        <v>475</v>
      </c>
    </row>
    <row r="4603" spans="1:6" x14ac:dyDescent="0.35">
      <c r="A4603" s="42" t="s">
        <v>730</v>
      </c>
      <c r="B4603" s="42">
        <v>1499.92</v>
      </c>
      <c r="C4603" s="43">
        <v>0.17</v>
      </c>
      <c r="D4603" s="45">
        <v>45962</v>
      </c>
      <c r="E4603" s="45">
        <v>45991.999305555553</v>
      </c>
      <c r="F4603" s="42" t="s">
        <v>475</v>
      </c>
    </row>
    <row r="4604" spans="1:6" x14ac:dyDescent="0.35">
      <c r="A4604" s="42" t="s">
        <v>731</v>
      </c>
      <c r="B4604" s="42">
        <v>1499.92</v>
      </c>
      <c r="C4604" s="43">
        <v>0.17</v>
      </c>
      <c r="D4604" s="45">
        <v>45962</v>
      </c>
      <c r="E4604" s="45">
        <v>45991.999305555553</v>
      </c>
      <c r="F4604" s="42" t="s">
        <v>475</v>
      </c>
    </row>
    <row r="4605" spans="1:6" x14ac:dyDescent="0.35">
      <c r="A4605" s="42" t="s">
        <v>732</v>
      </c>
      <c r="B4605" s="42">
        <v>1499.92</v>
      </c>
      <c r="C4605" s="43">
        <v>0.17</v>
      </c>
      <c r="D4605" s="45">
        <v>45962</v>
      </c>
      <c r="E4605" s="45">
        <v>45991.999305555553</v>
      </c>
      <c r="F4605" s="42" t="s">
        <v>475</v>
      </c>
    </row>
    <row r="4606" spans="1:6" x14ac:dyDescent="0.35">
      <c r="A4606" s="42" t="s">
        <v>733</v>
      </c>
      <c r="B4606" s="42">
        <v>1499.92</v>
      </c>
      <c r="C4606" s="43">
        <v>0.17</v>
      </c>
      <c r="D4606" s="45">
        <v>45962</v>
      </c>
      <c r="E4606" s="45">
        <v>45991.999305555553</v>
      </c>
      <c r="F4606" s="42" t="s">
        <v>475</v>
      </c>
    </row>
    <row r="4607" spans="1:6" x14ac:dyDescent="0.35">
      <c r="A4607" s="42" t="s">
        <v>734</v>
      </c>
      <c r="B4607" s="42">
        <v>1499.92</v>
      </c>
      <c r="C4607" s="43">
        <v>0.17</v>
      </c>
      <c r="D4607" s="45">
        <v>45962</v>
      </c>
      <c r="E4607" s="45">
        <v>45991.999305555553</v>
      </c>
      <c r="F4607" s="42" t="s">
        <v>475</v>
      </c>
    </row>
    <row r="4608" spans="1:6" x14ac:dyDescent="0.35">
      <c r="A4608" s="42" t="s">
        <v>735</v>
      </c>
      <c r="B4608" s="42">
        <v>2529.92</v>
      </c>
      <c r="C4608" s="43">
        <v>0.17</v>
      </c>
      <c r="D4608" s="45">
        <v>45962</v>
      </c>
      <c r="E4608" s="45">
        <v>45991.999305555553</v>
      </c>
      <c r="F4608" s="42" t="s">
        <v>475</v>
      </c>
    </row>
    <row r="4609" spans="1:6" x14ac:dyDescent="0.35">
      <c r="A4609" s="42" t="s">
        <v>736</v>
      </c>
      <c r="B4609" s="42">
        <v>2529.92</v>
      </c>
      <c r="C4609" s="43">
        <v>0.17</v>
      </c>
      <c r="D4609" s="45">
        <v>45962</v>
      </c>
      <c r="E4609" s="45">
        <v>45991.999305555553</v>
      </c>
      <c r="F4609" s="42" t="s">
        <v>475</v>
      </c>
    </row>
    <row r="4610" spans="1:6" x14ac:dyDescent="0.35">
      <c r="A4610" s="42" t="s">
        <v>737</v>
      </c>
      <c r="B4610" s="42">
        <v>2529.92</v>
      </c>
      <c r="C4610" s="43">
        <v>0.17</v>
      </c>
      <c r="D4610" s="45">
        <v>45962</v>
      </c>
      <c r="E4610" s="45">
        <v>45991.999305555553</v>
      </c>
      <c r="F4610" s="42" t="s">
        <v>475</v>
      </c>
    </row>
    <row r="4611" spans="1:6" x14ac:dyDescent="0.35">
      <c r="A4611" s="42" t="s">
        <v>738</v>
      </c>
      <c r="B4611" s="42">
        <v>2529.92</v>
      </c>
      <c r="C4611" s="43">
        <v>0.17</v>
      </c>
      <c r="D4611" s="45">
        <v>45962</v>
      </c>
      <c r="E4611" s="45">
        <v>45991.999305555553</v>
      </c>
      <c r="F4611" s="42" t="s">
        <v>475</v>
      </c>
    </row>
    <row r="4612" spans="1:6" x14ac:dyDescent="0.35">
      <c r="A4612" s="42" t="s">
        <v>739</v>
      </c>
      <c r="B4612" s="42">
        <v>2529.92</v>
      </c>
      <c r="C4612" s="43">
        <v>0.17</v>
      </c>
      <c r="D4612" s="45">
        <v>45962</v>
      </c>
      <c r="E4612" s="45">
        <v>45991.999305555553</v>
      </c>
      <c r="F4612" s="42" t="s">
        <v>475</v>
      </c>
    </row>
    <row r="4613" spans="1:6" x14ac:dyDescent="0.35">
      <c r="A4613" s="42" t="s">
        <v>740</v>
      </c>
      <c r="B4613" s="42">
        <v>2529.92</v>
      </c>
      <c r="C4613" s="43">
        <v>0.17</v>
      </c>
      <c r="D4613" s="45">
        <v>45962</v>
      </c>
      <c r="E4613" s="45">
        <v>45991.999305555553</v>
      </c>
      <c r="F4613" s="42" t="s">
        <v>475</v>
      </c>
    </row>
    <row r="4614" spans="1:6" x14ac:dyDescent="0.35">
      <c r="A4614" s="42" t="s">
        <v>741</v>
      </c>
      <c r="B4614" s="42">
        <v>2529.92</v>
      </c>
      <c r="C4614" s="43">
        <v>0.17</v>
      </c>
      <c r="D4614" s="45">
        <v>45962</v>
      </c>
      <c r="E4614" s="45">
        <v>45991.999305555553</v>
      </c>
      <c r="F4614" s="42" t="s">
        <v>475</v>
      </c>
    </row>
    <row r="4615" spans="1:6" x14ac:dyDescent="0.35">
      <c r="A4615" s="42" t="s">
        <v>742</v>
      </c>
      <c r="B4615" s="42">
        <v>2529.92</v>
      </c>
      <c r="C4615" s="43">
        <v>0.17</v>
      </c>
      <c r="D4615" s="45">
        <v>45962</v>
      </c>
      <c r="E4615" s="45">
        <v>45991.999305555553</v>
      </c>
      <c r="F4615" s="42" t="s">
        <v>475</v>
      </c>
    </row>
    <row r="4616" spans="1:6" x14ac:dyDescent="0.35">
      <c r="A4616" s="42" t="s">
        <v>743</v>
      </c>
      <c r="B4616" s="42">
        <v>859.92</v>
      </c>
      <c r="C4616" s="43">
        <v>0.17</v>
      </c>
      <c r="D4616" s="45">
        <v>45962</v>
      </c>
      <c r="E4616" s="45">
        <v>45991.999305555553</v>
      </c>
      <c r="F4616" s="42" t="s">
        <v>475</v>
      </c>
    </row>
    <row r="4617" spans="1:6" x14ac:dyDescent="0.35">
      <c r="A4617" s="42" t="s">
        <v>744</v>
      </c>
      <c r="B4617" s="42">
        <v>839.92</v>
      </c>
      <c r="C4617" s="43">
        <v>0.17</v>
      </c>
      <c r="D4617" s="45">
        <v>45962</v>
      </c>
      <c r="E4617" s="45">
        <v>45991.999305555553</v>
      </c>
      <c r="F4617" s="42" t="s">
        <v>475</v>
      </c>
    </row>
    <row r="4618" spans="1:6" x14ac:dyDescent="0.35">
      <c r="A4618" s="42" t="s">
        <v>749</v>
      </c>
      <c r="B4618" s="42">
        <v>1189.92</v>
      </c>
      <c r="C4618" s="43">
        <v>0.17</v>
      </c>
      <c r="D4618" s="45">
        <v>45962</v>
      </c>
      <c r="E4618" s="45">
        <v>45991.999305555553</v>
      </c>
      <c r="F4618" s="42" t="s">
        <v>475</v>
      </c>
    </row>
    <row r="4619" spans="1:6" x14ac:dyDescent="0.35">
      <c r="A4619" s="42" t="s">
        <v>751</v>
      </c>
      <c r="B4619" s="42">
        <v>1659.92</v>
      </c>
      <c r="C4619" s="43">
        <v>0.17</v>
      </c>
      <c r="D4619" s="45">
        <v>45962</v>
      </c>
      <c r="E4619" s="45">
        <v>45991.999305555553</v>
      </c>
      <c r="F4619" s="42" t="s">
        <v>475</v>
      </c>
    </row>
    <row r="4620" spans="1:6" x14ac:dyDescent="0.35">
      <c r="A4620" s="42" t="s">
        <v>752</v>
      </c>
      <c r="B4620" s="42">
        <v>1659.92</v>
      </c>
      <c r="C4620" s="43">
        <v>0.17</v>
      </c>
      <c r="D4620" s="45">
        <v>45962</v>
      </c>
      <c r="E4620" s="45">
        <v>45991.999305555553</v>
      </c>
      <c r="F4620" s="42" t="s">
        <v>475</v>
      </c>
    </row>
    <row r="4621" spans="1:6" x14ac:dyDescent="0.35">
      <c r="A4621" s="42" t="s">
        <v>753</v>
      </c>
      <c r="B4621" s="42">
        <v>1659.92</v>
      </c>
      <c r="C4621" s="43">
        <v>0.17</v>
      </c>
      <c r="D4621" s="45">
        <v>45962</v>
      </c>
      <c r="E4621" s="45">
        <v>45991.999305555553</v>
      </c>
      <c r="F4621" s="42" t="s">
        <v>475</v>
      </c>
    </row>
    <row r="4622" spans="1:6" x14ac:dyDescent="0.35">
      <c r="A4622" s="42" t="s">
        <v>754</v>
      </c>
      <c r="B4622" s="42">
        <v>1659.92</v>
      </c>
      <c r="C4622" s="43">
        <v>0.17</v>
      </c>
      <c r="D4622" s="45">
        <v>45962</v>
      </c>
      <c r="E4622" s="45">
        <v>45991.999305555553</v>
      </c>
      <c r="F4622" s="42" t="s">
        <v>475</v>
      </c>
    </row>
    <row r="4623" spans="1:6" x14ac:dyDescent="0.35">
      <c r="A4623" s="42" t="s">
        <v>755</v>
      </c>
      <c r="B4623" s="42">
        <v>1659.92</v>
      </c>
      <c r="C4623" s="43">
        <v>0.17</v>
      </c>
      <c r="D4623" s="45">
        <v>45962</v>
      </c>
      <c r="E4623" s="45">
        <v>45991.999305555553</v>
      </c>
      <c r="F4623" s="42" t="s">
        <v>475</v>
      </c>
    </row>
    <row r="4624" spans="1:6" x14ac:dyDescent="0.35">
      <c r="A4624" s="42" t="s">
        <v>756</v>
      </c>
      <c r="B4624" s="42">
        <v>1659.92</v>
      </c>
      <c r="C4624" s="43">
        <v>0.17</v>
      </c>
      <c r="D4624" s="45">
        <v>45962</v>
      </c>
      <c r="E4624" s="45">
        <v>45991.999305555553</v>
      </c>
      <c r="F4624" s="42" t="s">
        <v>475</v>
      </c>
    </row>
    <row r="4625" spans="1:6" x14ac:dyDescent="0.35">
      <c r="A4625" s="42" t="s">
        <v>757</v>
      </c>
      <c r="B4625" s="42">
        <v>1969.92</v>
      </c>
      <c r="C4625" s="43">
        <v>0.17</v>
      </c>
      <c r="D4625" s="45">
        <v>45962</v>
      </c>
      <c r="E4625" s="45">
        <v>45991.999305555553</v>
      </c>
      <c r="F4625" s="42" t="s">
        <v>475</v>
      </c>
    </row>
    <row r="4626" spans="1:6" x14ac:dyDescent="0.35">
      <c r="A4626" s="42" t="s">
        <v>758</v>
      </c>
      <c r="B4626" s="42">
        <v>1969.92</v>
      </c>
      <c r="C4626" s="43">
        <v>0.17</v>
      </c>
      <c r="D4626" s="45">
        <v>45962</v>
      </c>
      <c r="E4626" s="45">
        <v>45991.999305555553</v>
      </c>
      <c r="F4626" s="42" t="s">
        <v>475</v>
      </c>
    </row>
    <row r="4627" spans="1:6" x14ac:dyDescent="0.35">
      <c r="A4627" s="42" t="s">
        <v>759</v>
      </c>
      <c r="B4627" s="42">
        <v>1969.92</v>
      </c>
      <c r="C4627" s="43">
        <v>0.17</v>
      </c>
      <c r="D4627" s="45">
        <v>45962</v>
      </c>
      <c r="E4627" s="45">
        <v>45991.999305555553</v>
      </c>
      <c r="F4627" s="42" t="s">
        <v>475</v>
      </c>
    </row>
    <row r="4628" spans="1:6" x14ac:dyDescent="0.35">
      <c r="A4628" s="42" t="s">
        <v>760</v>
      </c>
      <c r="B4628" s="42">
        <v>1969.92</v>
      </c>
      <c r="C4628" s="43">
        <v>0.17</v>
      </c>
      <c r="D4628" s="45">
        <v>45962</v>
      </c>
      <c r="E4628" s="45">
        <v>45991.999305555553</v>
      </c>
      <c r="F4628" s="42" t="s">
        <v>475</v>
      </c>
    </row>
    <row r="4629" spans="1:6" x14ac:dyDescent="0.35">
      <c r="A4629" s="42" t="s">
        <v>761</v>
      </c>
      <c r="B4629" s="42">
        <v>1969.92</v>
      </c>
      <c r="C4629" s="43">
        <v>0.17</v>
      </c>
      <c r="D4629" s="45">
        <v>45962</v>
      </c>
      <c r="E4629" s="45">
        <v>45991.999305555553</v>
      </c>
      <c r="F4629" s="42" t="s">
        <v>475</v>
      </c>
    </row>
    <row r="4630" spans="1:6" x14ac:dyDescent="0.35">
      <c r="A4630" s="42" t="s">
        <v>762</v>
      </c>
      <c r="B4630" s="42">
        <v>1969.92</v>
      </c>
      <c r="C4630" s="43">
        <v>0.17</v>
      </c>
      <c r="D4630" s="45">
        <v>45962</v>
      </c>
      <c r="E4630" s="45">
        <v>45991.999305555553</v>
      </c>
      <c r="F4630" s="42" t="s">
        <v>475</v>
      </c>
    </row>
    <row r="4631" spans="1:6" x14ac:dyDescent="0.35">
      <c r="A4631" s="42" t="s">
        <v>763</v>
      </c>
      <c r="B4631" s="42">
        <v>1969.92</v>
      </c>
      <c r="C4631" s="43">
        <v>0.17</v>
      </c>
      <c r="D4631" s="45">
        <v>45962</v>
      </c>
      <c r="E4631" s="45">
        <v>45991.999305555553</v>
      </c>
      <c r="F4631" s="42" t="s">
        <v>475</v>
      </c>
    </row>
    <row r="4632" spans="1:6" x14ac:dyDescent="0.35">
      <c r="A4632" s="42" t="s">
        <v>764</v>
      </c>
      <c r="B4632" s="42">
        <v>1969.92</v>
      </c>
      <c r="C4632" s="43">
        <v>0.17</v>
      </c>
      <c r="D4632" s="45">
        <v>45962</v>
      </c>
      <c r="E4632" s="45">
        <v>45991.999305555553</v>
      </c>
      <c r="F4632" s="42" t="s">
        <v>475</v>
      </c>
    </row>
    <row r="4633" spans="1:6" x14ac:dyDescent="0.35">
      <c r="A4633" s="42" t="s">
        <v>765</v>
      </c>
      <c r="B4633" s="42">
        <v>1969.92</v>
      </c>
      <c r="C4633" s="43">
        <v>0.17</v>
      </c>
      <c r="D4633" s="45">
        <v>45962</v>
      </c>
      <c r="E4633" s="45">
        <v>45991.999305555553</v>
      </c>
      <c r="F4633" s="42" t="s">
        <v>475</v>
      </c>
    </row>
    <row r="4634" spans="1:6" x14ac:dyDescent="0.35">
      <c r="A4634" s="42" t="s">
        <v>766</v>
      </c>
      <c r="B4634" s="42">
        <v>1969.92</v>
      </c>
      <c r="C4634" s="43">
        <v>0.17</v>
      </c>
      <c r="D4634" s="45">
        <v>45962</v>
      </c>
      <c r="E4634" s="45">
        <v>45991.999305555553</v>
      </c>
      <c r="F4634" s="42" t="s">
        <v>475</v>
      </c>
    </row>
    <row r="4635" spans="1:6" x14ac:dyDescent="0.35">
      <c r="A4635" s="42" t="s">
        <v>767</v>
      </c>
      <c r="B4635" s="42">
        <v>1229.92</v>
      </c>
      <c r="C4635" s="43">
        <v>0.17</v>
      </c>
      <c r="D4635" s="45">
        <v>45962</v>
      </c>
      <c r="E4635" s="45">
        <v>45991.999305555553</v>
      </c>
      <c r="F4635" s="42" t="s">
        <v>475</v>
      </c>
    </row>
    <row r="4636" spans="1:6" x14ac:dyDescent="0.35">
      <c r="A4636" s="42" t="s">
        <v>768</v>
      </c>
      <c r="B4636" s="42">
        <v>1229.92</v>
      </c>
      <c r="C4636" s="43">
        <v>0.17</v>
      </c>
      <c r="D4636" s="45">
        <v>45962</v>
      </c>
      <c r="E4636" s="45">
        <v>45991.999305555553</v>
      </c>
      <c r="F4636" s="42" t="s">
        <v>475</v>
      </c>
    </row>
    <row r="4637" spans="1:6" x14ac:dyDescent="0.35">
      <c r="A4637" s="42" t="s">
        <v>769</v>
      </c>
      <c r="B4637" s="42">
        <v>1229.92</v>
      </c>
      <c r="C4637" s="43">
        <v>0.17</v>
      </c>
      <c r="D4637" s="45">
        <v>45962</v>
      </c>
      <c r="E4637" s="45">
        <v>45991.999305555553</v>
      </c>
      <c r="F4637" s="42" t="s">
        <v>475</v>
      </c>
    </row>
    <row r="4638" spans="1:6" x14ac:dyDescent="0.35">
      <c r="A4638" s="42" t="s">
        <v>770</v>
      </c>
      <c r="B4638" s="42">
        <v>1229.92</v>
      </c>
      <c r="C4638" s="43">
        <v>0.17</v>
      </c>
      <c r="D4638" s="45">
        <v>45962</v>
      </c>
      <c r="E4638" s="45">
        <v>45991.999305555553</v>
      </c>
      <c r="F4638" s="42" t="s">
        <v>475</v>
      </c>
    </row>
    <row r="4639" spans="1:6" x14ac:dyDescent="0.35">
      <c r="A4639" s="42" t="s">
        <v>771</v>
      </c>
      <c r="B4639" s="42">
        <v>1229.92</v>
      </c>
      <c r="C4639" s="43">
        <v>0.17</v>
      </c>
      <c r="D4639" s="45">
        <v>45962</v>
      </c>
      <c r="E4639" s="45">
        <v>45991.999305555553</v>
      </c>
      <c r="F4639" s="42" t="s">
        <v>475</v>
      </c>
    </row>
    <row r="4640" spans="1:6" x14ac:dyDescent="0.35">
      <c r="A4640" s="42" t="s">
        <v>772</v>
      </c>
      <c r="B4640" s="42">
        <v>1229.92</v>
      </c>
      <c r="C4640" s="43">
        <v>0.17</v>
      </c>
      <c r="D4640" s="45">
        <v>45962</v>
      </c>
      <c r="E4640" s="45">
        <v>45991.999305555553</v>
      </c>
      <c r="F4640" s="42" t="s">
        <v>475</v>
      </c>
    </row>
    <row r="4641" spans="1:6" x14ac:dyDescent="0.35">
      <c r="A4641" s="42" t="s">
        <v>773</v>
      </c>
      <c r="B4641" s="42">
        <v>1429.92</v>
      </c>
      <c r="C4641" s="43">
        <v>0.17</v>
      </c>
      <c r="D4641" s="45">
        <v>45962</v>
      </c>
      <c r="E4641" s="45">
        <v>45991.999305555553</v>
      </c>
      <c r="F4641" s="42" t="s">
        <v>475</v>
      </c>
    </row>
    <row r="4642" spans="1:6" x14ac:dyDescent="0.35">
      <c r="A4642" s="42" t="s">
        <v>781</v>
      </c>
      <c r="B4642" s="42">
        <v>2139.92</v>
      </c>
      <c r="C4642" s="43">
        <v>0.17</v>
      </c>
      <c r="D4642" s="45">
        <v>45962</v>
      </c>
      <c r="E4642" s="45">
        <v>45991.999305555553</v>
      </c>
      <c r="F4642" s="42" t="s">
        <v>475</v>
      </c>
    </row>
    <row r="4643" spans="1:6" x14ac:dyDescent="0.35">
      <c r="A4643" s="42" t="s">
        <v>788</v>
      </c>
      <c r="B4643" s="42">
        <v>479.92</v>
      </c>
      <c r="C4643" s="43">
        <v>0.17</v>
      </c>
      <c r="D4643" s="45">
        <v>45962</v>
      </c>
      <c r="E4643" s="45">
        <v>45991.999305555553</v>
      </c>
      <c r="F4643" s="42" t="s">
        <v>475</v>
      </c>
    </row>
    <row r="4644" spans="1:6" x14ac:dyDescent="0.35">
      <c r="A4644" s="42" t="s">
        <v>789</v>
      </c>
      <c r="B4644" s="42">
        <v>479.92</v>
      </c>
      <c r="C4644" s="43">
        <v>0.17</v>
      </c>
      <c r="D4644" s="45">
        <v>45962</v>
      </c>
      <c r="E4644" s="45">
        <v>45991.999305555553</v>
      </c>
      <c r="F4644" s="42" t="s">
        <v>475</v>
      </c>
    </row>
    <row r="4645" spans="1:6" x14ac:dyDescent="0.35">
      <c r="A4645" s="42" t="s">
        <v>790</v>
      </c>
      <c r="B4645" s="42">
        <v>479.92</v>
      </c>
      <c r="C4645" s="43">
        <v>0.17</v>
      </c>
      <c r="D4645" s="45">
        <v>45962</v>
      </c>
      <c r="E4645" s="45">
        <v>45991.999305555553</v>
      </c>
      <c r="F4645" s="42" t="s">
        <v>475</v>
      </c>
    </row>
    <row r="4646" spans="1:6" x14ac:dyDescent="0.35">
      <c r="A4646" s="42" t="s">
        <v>791</v>
      </c>
      <c r="B4646" s="42">
        <v>479.92</v>
      </c>
      <c r="C4646" s="43">
        <v>0.17</v>
      </c>
      <c r="D4646" s="45">
        <v>45962</v>
      </c>
      <c r="E4646" s="45">
        <v>45991.999305555553</v>
      </c>
      <c r="F4646" s="42" t="s">
        <v>475</v>
      </c>
    </row>
    <row r="4647" spans="1:6" x14ac:dyDescent="0.35">
      <c r="A4647" s="42" t="s">
        <v>801</v>
      </c>
      <c r="B4647" s="42">
        <v>479.92</v>
      </c>
      <c r="C4647" s="43">
        <v>0.17</v>
      </c>
      <c r="D4647" s="45">
        <v>45962</v>
      </c>
      <c r="E4647" s="45">
        <v>45991.999305555553</v>
      </c>
      <c r="F4647" s="42" t="s">
        <v>475</v>
      </c>
    </row>
    <row r="4648" spans="1:6" x14ac:dyDescent="0.35">
      <c r="A4648" s="42" t="s">
        <v>802</v>
      </c>
      <c r="B4648" s="42">
        <v>1399.92</v>
      </c>
      <c r="C4648" s="43">
        <v>0.17</v>
      </c>
      <c r="D4648" s="45">
        <v>45962</v>
      </c>
      <c r="E4648" s="45">
        <v>45991.999305555553</v>
      </c>
      <c r="F4648" s="42" t="s">
        <v>475</v>
      </c>
    </row>
    <row r="4649" spans="1:6" x14ac:dyDescent="0.35">
      <c r="A4649" s="42" t="s">
        <v>805</v>
      </c>
      <c r="B4649" s="42">
        <v>1329.92</v>
      </c>
      <c r="C4649" s="43">
        <v>0.17</v>
      </c>
      <c r="D4649" s="45">
        <v>45962</v>
      </c>
      <c r="E4649" s="45">
        <v>45991.999305555553</v>
      </c>
      <c r="F4649" s="42" t="s">
        <v>475</v>
      </c>
    </row>
    <row r="4650" spans="1:6" x14ac:dyDescent="0.35">
      <c r="A4650" s="42" t="s">
        <v>808</v>
      </c>
      <c r="B4650" s="42">
        <v>939.92</v>
      </c>
      <c r="C4650" s="43">
        <v>0.17</v>
      </c>
      <c r="D4650" s="45">
        <v>45962</v>
      </c>
      <c r="E4650" s="45">
        <v>45991.999305555553</v>
      </c>
      <c r="F4650" s="42" t="s">
        <v>475</v>
      </c>
    </row>
    <row r="4651" spans="1:6" x14ac:dyDescent="0.35">
      <c r="A4651" s="42" t="s">
        <v>809</v>
      </c>
      <c r="B4651" s="42">
        <v>1389.92</v>
      </c>
      <c r="C4651" s="43">
        <v>0.17</v>
      </c>
      <c r="D4651" s="45">
        <v>45962</v>
      </c>
      <c r="E4651" s="45">
        <v>45991.999305555553</v>
      </c>
      <c r="F4651" s="42" t="s">
        <v>475</v>
      </c>
    </row>
    <row r="4652" spans="1:6" x14ac:dyDescent="0.35">
      <c r="A4652" s="42" t="s">
        <v>810</v>
      </c>
      <c r="B4652" s="42">
        <v>1529.92</v>
      </c>
      <c r="C4652" s="43">
        <v>0.17</v>
      </c>
      <c r="D4652" s="45">
        <v>45962</v>
      </c>
      <c r="E4652" s="45">
        <v>45991.999305555553</v>
      </c>
      <c r="F4652" s="42" t="s">
        <v>475</v>
      </c>
    </row>
    <row r="4653" spans="1:6" x14ac:dyDescent="0.35">
      <c r="A4653" s="42" t="s">
        <v>813</v>
      </c>
      <c r="B4653" s="42">
        <v>1149.92</v>
      </c>
      <c r="C4653" s="43">
        <v>0.17</v>
      </c>
      <c r="D4653" s="45">
        <v>45962</v>
      </c>
      <c r="E4653" s="45">
        <v>45991.999305555553</v>
      </c>
      <c r="F4653" s="42" t="s">
        <v>475</v>
      </c>
    </row>
    <row r="4654" spans="1:6" x14ac:dyDescent="0.35">
      <c r="A4654" s="42" t="s">
        <v>818</v>
      </c>
      <c r="B4654" s="42">
        <v>989.92</v>
      </c>
      <c r="C4654" s="43">
        <v>0.17</v>
      </c>
      <c r="D4654" s="45">
        <v>45962</v>
      </c>
      <c r="E4654" s="45">
        <v>45991.999305555553</v>
      </c>
      <c r="F4654" s="42" t="s">
        <v>475</v>
      </c>
    </row>
    <row r="4655" spans="1:6" x14ac:dyDescent="0.35">
      <c r="A4655" s="42" t="s">
        <v>819</v>
      </c>
      <c r="B4655" s="42">
        <v>989.92</v>
      </c>
      <c r="C4655" s="43">
        <v>0.17</v>
      </c>
      <c r="D4655" s="45">
        <v>45962</v>
      </c>
      <c r="E4655" s="45">
        <v>45991.999305555553</v>
      </c>
      <c r="F4655" s="42" t="s">
        <v>475</v>
      </c>
    </row>
    <row r="4656" spans="1:6" x14ac:dyDescent="0.35">
      <c r="A4656" s="42" t="s">
        <v>820</v>
      </c>
      <c r="B4656" s="42">
        <v>989.92</v>
      </c>
      <c r="C4656" s="43">
        <v>0.17</v>
      </c>
      <c r="D4656" s="45">
        <v>45962</v>
      </c>
      <c r="E4656" s="45">
        <v>45991.999305555553</v>
      </c>
      <c r="F4656" s="42" t="s">
        <v>475</v>
      </c>
    </row>
    <row r="4657" spans="1:6" x14ac:dyDescent="0.35">
      <c r="A4657" s="42" t="s">
        <v>821</v>
      </c>
      <c r="B4657" s="42">
        <v>939.92</v>
      </c>
      <c r="C4657" s="43">
        <v>0.17</v>
      </c>
      <c r="D4657" s="45">
        <v>45962</v>
      </c>
      <c r="E4657" s="45">
        <v>45991.999305555553</v>
      </c>
      <c r="F4657" s="42" t="s">
        <v>475</v>
      </c>
    </row>
    <row r="4658" spans="1:6" x14ac:dyDescent="0.35">
      <c r="A4658" s="42" t="s">
        <v>822</v>
      </c>
      <c r="B4658" s="42">
        <v>939.92</v>
      </c>
      <c r="C4658" s="43">
        <v>0.17</v>
      </c>
      <c r="D4658" s="45">
        <v>45962</v>
      </c>
      <c r="E4658" s="45">
        <v>45991.999305555553</v>
      </c>
      <c r="F4658" s="42" t="s">
        <v>475</v>
      </c>
    </row>
    <row r="4659" spans="1:6" x14ac:dyDescent="0.35">
      <c r="A4659" s="42" t="s">
        <v>823</v>
      </c>
      <c r="B4659" s="42">
        <v>939.92</v>
      </c>
      <c r="C4659" s="43">
        <v>0.17</v>
      </c>
      <c r="D4659" s="45">
        <v>45962</v>
      </c>
      <c r="E4659" s="45">
        <v>45991.999305555553</v>
      </c>
      <c r="F4659" s="42" t="s">
        <v>475</v>
      </c>
    </row>
    <row r="4660" spans="1:6" x14ac:dyDescent="0.35">
      <c r="A4660" s="42" t="s">
        <v>830</v>
      </c>
      <c r="B4660" s="42">
        <v>939.92</v>
      </c>
      <c r="C4660" s="43">
        <v>0.17</v>
      </c>
      <c r="D4660" s="45">
        <v>45962</v>
      </c>
      <c r="E4660" s="45">
        <v>45991.999305555553</v>
      </c>
      <c r="F4660" s="42" t="s">
        <v>475</v>
      </c>
    </row>
    <row r="4661" spans="1:6" x14ac:dyDescent="0.35">
      <c r="A4661" s="42" t="s">
        <v>831</v>
      </c>
      <c r="B4661" s="42">
        <v>939.92</v>
      </c>
      <c r="C4661" s="43">
        <v>0.17</v>
      </c>
      <c r="D4661" s="45">
        <v>45962</v>
      </c>
      <c r="E4661" s="45">
        <v>45991.999305555553</v>
      </c>
      <c r="F4661" s="42" t="s">
        <v>475</v>
      </c>
    </row>
    <row r="4662" spans="1:6" x14ac:dyDescent="0.35">
      <c r="A4662" s="42" t="s">
        <v>832</v>
      </c>
      <c r="B4662" s="42">
        <v>939.92</v>
      </c>
      <c r="C4662" s="43">
        <v>0.17</v>
      </c>
      <c r="D4662" s="45">
        <v>45962</v>
      </c>
      <c r="E4662" s="45">
        <v>45991.999305555553</v>
      </c>
      <c r="F4662" s="42" t="s">
        <v>475</v>
      </c>
    </row>
    <row r="4663" spans="1:6" x14ac:dyDescent="0.35">
      <c r="A4663" s="42" t="s">
        <v>846</v>
      </c>
      <c r="B4663" s="42">
        <v>1289.92</v>
      </c>
      <c r="C4663" s="43">
        <v>0.17</v>
      </c>
      <c r="D4663" s="45">
        <v>45962</v>
      </c>
      <c r="E4663" s="45">
        <v>45991.999305555553</v>
      </c>
      <c r="F4663" s="42" t="s">
        <v>475</v>
      </c>
    </row>
    <row r="4664" spans="1:6" x14ac:dyDescent="0.35">
      <c r="A4664" s="42" t="s">
        <v>847</v>
      </c>
      <c r="B4664" s="42">
        <v>1289.92</v>
      </c>
      <c r="C4664" s="43">
        <v>0.17</v>
      </c>
      <c r="D4664" s="45">
        <v>45962</v>
      </c>
      <c r="E4664" s="45">
        <v>45991.999305555553</v>
      </c>
      <c r="F4664" s="42" t="s">
        <v>475</v>
      </c>
    </row>
    <row r="4665" spans="1:6" x14ac:dyDescent="0.35">
      <c r="A4665" s="42" t="s">
        <v>848</v>
      </c>
      <c r="B4665" s="42">
        <v>1289.92</v>
      </c>
      <c r="C4665" s="43">
        <v>0.17</v>
      </c>
      <c r="D4665" s="45">
        <v>45962</v>
      </c>
      <c r="E4665" s="45">
        <v>45991.999305555553</v>
      </c>
      <c r="F4665" s="42" t="s">
        <v>475</v>
      </c>
    </row>
    <row r="4666" spans="1:6" x14ac:dyDescent="0.35">
      <c r="A4666" s="42" t="s">
        <v>849</v>
      </c>
      <c r="B4666" s="42">
        <v>1289.92</v>
      </c>
      <c r="C4666" s="43">
        <v>0.17</v>
      </c>
      <c r="D4666" s="45">
        <v>45962</v>
      </c>
      <c r="E4666" s="45">
        <v>45991.999305555553</v>
      </c>
      <c r="F4666" s="42" t="s">
        <v>475</v>
      </c>
    </row>
    <row r="4667" spans="1:6" x14ac:dyDescent="0.35">
      <c r="A4667" s="42" t="s">
        <v>850</v>
      </c>
      <c r="B4667" s="42">
        <v>1289.92</v>
      </c>
      <c r="C4667" s="43">
        <v>0.17</v>
      </c>
      <c r="D4667" s="45">
        <v>45962</v>
      </c>
      <c r="E4667" s="45">
        <v>45991.999305555553</v>
      </c>
      <c r="F4667" s="42" t="s">
        <v>475</v>
      </c>
    </row>
    <row r="4668" spans="1:6" x14ac:dyDescent="0.35">
      <c r="A4668" s="42" t="s">
        <v>851</v>
      </c>
      <c r="B4668" s="42">
        <v>1289.92</v>
      </c>
      <c r="C4668" s="43">
        <v>0.17</v>
      </c>
      <c r="D4668" s="45">
        <v>45962</v>
      </c>
      <c r="E4668" s="45">
        <v>45991.999305555553</v>
      </c>
      <c r="F4668" s="42" t="s">
        <v>475</v>
      </c>
    </row>
    <row r="4669" spans="1:6" x14ac:dyDescent="0.35">
      <c r="A4669" s="42" t="s">
        <v>869</v>
      </c>
      <c r="B4669" s="42">
        <v>1879.92</v>
      </c>
      <c r="C4669" s="43">
        <v>0.17</v>
      </c>
      <c r="D4669" s="45">
        <v>45962</v>
      </c>
      <c r="E4669" s="45">
        <v>45991.999305555553</v>
      </c>
      <c r="F4669" s="42" t="s">
        <v>475</v>
      </c>
    </row>
    <row r="4670" spans="1:6" x14ac:dyDescent="0.35">
      <c r="A4670" s="42" t="s">
        <v>870</v>
      </c>
      <c r="B4670" s="42">
        <v>1879.92</v>
      </c>
      <c r="C4670" s="43">
        <v>0.17</v>
      </c>
      <c r="D4670" s="45">
        <v>45962</v>
      </c>
      <c r="E4670" s="45">
        <v>45991.999305555553</v>
      </c>
      <c r="F4670" s="42" t="s">
        <v>475</v>
      </c>
    </row>
    <row r="4671" spans="1:6" x14ac:dyDescent="0.35">
      <c r="A4671" s="42" t="s">
        <v>871</v>
      </c>
      <c r="B4671" s="42">
        <v>1879.92</v>
      </c>
      <c r="C4671" s="43">
        <v>0.17</v>
      </c>
      <c r="D4671" s="45">
        <v>45962</v>
      </c>
      <c r="E4671" s="45">
        <v>45991.999305555553</v>
      </c>
      <c r="F4671" s="42" t="s">
        <v>475</v>
      </c>
    </row>
    <row r="4672" spans="1:6" x14ac:dyDescent="0.35">
      <c r="A4672" s="42" t="s">
        <v>872</v>
      </c>
      <c r="B4672" s="42">
        <v>1879.92</v>
      </c>
      <c r="C4672" s="43">
        <v>0.17</v>
      </c>
      <c r="D4672" s="45">
        <v>45962</v>
      </c>
      <c r="E4672" s="45">
        <v>45991.999305555553</v>
      </c>
      <c r="F4672" s="42" t="s">
        <v>475</v>
      </c>
    </row>
    <row r="4673" spans="1:6" x14ac:dyDescent="0.35">
      <c r="A4673" s="42" t="s">
        <v>873</v>
      </c>
      <c r="B4673" s="42">
        <v>1879.92</v>
      </c>
      <c r="C4673" s="43">
        <v>0.17</v>
      </c>
      <c r="D4673" s="45">
        <v>45962</v>
      </c>
      <c r="E4673" s="45">
        <v>45991.999305555553</v>
      </c>
      <c r="F4673" s="42" t="s">
        <v>475</v>
      </c>
    </row>
    <row r="4674" spans="1:6" x14ac:dyDescent="0.35">
      <c r="A4674" s="42" t="s">
        <v>874</v>
      </c>
      <c r="B4674" s="42">
        <v>1879.92</v>
      </c>
      <c r="C4674" s="43">
        <v>0.17</v>
      </c>
      <c r="D4674" s="45">
        <v>45962</v>
      </c>
      <c r="E4674" s="45">
        <v>45991.999305555553</v>
      </c>
      <c r="F4674" s="42" t="s">
        <v>475</v>
      </c>
    </row>
    <row r="4675" spans="1:6" x14ac:dyDescent="0.35">
      <c r="A4675" s="42" t="s">
        <v>875</v>
      </c>
      <c r="B4675" s="42">
        <v>2349.92</v>
      </c>
      <c r="C4675" s="43">
        <v>0.17</v>
      </c>
      <c r="D4675" s="45">
        <v>45962</v>
      </c>
      <c r="E4675" s="45">
        <v>45991.999305555553</v>
      </c>
      <c r="F4675" s="42" t="s">
        <v>475</v>
      </c>
    </row>
    <row r="4676" spans="1:6" x14ac:dyDescent="0.35">
      <c r="A4676" s="42" t="s">
        <v>876</v>
      </c>
      <c r="B4676" s="42">
        <v>2699.92</v>
      </c>
      <c r="C4676" s="43">
        <v>0.17</v>
      </c>
      <c r="D4676" s="45">
        <v>45962</v>
      </c>
      <c r="E4676" s="45">
        <v>45991.999305555553</v>
      </c>
      <c r="F4676" s="42" t="s">
        <v>475</v>
      </c>
    </row>
    <row r="4677" spans="1:6" x14ac:dyDescent="0.35">
      <c r="A4677" s="42" t="s">
        <v>877</v>
      </c>
      <c r="B4677" s="42">
        <v>2699.92</v>
      </c>
      <c r="C4677" s="43">
        <v>0.17</v>
      </c>
      <c r="D4677" s="45">
        <v>45962</v>
      </c>
      <c r="E4677" s="45">
        <v>45991.999305555553</v>
      </c>
      <c r="F4677" s="42" t="s">
        <v>475</v>
      </c>
    </row>
    <row r="4678" spans="1:6" x14ac:dyDescent="0.35">
      <c r="A4678" s="42" t="s">
        <v>878</v>
      </c>
      <c r="B4678" s="42">
        <v>2699.92</v>
      </c>
      <c r="C4678" s="43">
        <v>0.17</v>
      </c>
      <c r="D4678" s="45">
        <v>45962</v>
      </c>
      <c r="E4678" s="45">
        <v>45991.999305555553</v>
      </c>
      <c r="F4678" s="42" t="s">
        <v>475</v>
      </c>
    </row>
    <row r="4679" spans="1:6" x14ac:dyDescent="0.35">
      <c r="A4679" s="42" t="s">
        <v>879</v>
      </c>
      <c r="B4679" s="42">
        <v>2699.92</v>
      </c>
      <c r="C4679" s="43">
        <v>0.17</v>
      </c>
      <c r="D4679" s="45">
        <v>45962</v>
      </c>
      <c r="E4679" s="45">
        <v>45991.999305555553</v>
      </c>
      <c r="F4679" s="42" t="s">
        <v>475</v>
      </c>
    </row>
    <row r="4680" spans="1:6" x14ac:dyDescent="0.35">
      <c r="A4680" s="42" t="s">
        <v>880</v>
      </c>
      <c r="B4680" s="42">
        <v>2699.92</v>
      </c>
      <c r="C4680" s="43">
        <v>0.17</v>
      </c>
      <c r="D4680" s="45">
        <v>45962</v>
      </c>
      <c r="E4680" s="45">
        <v>45991.999305555553</v>
      </c>
      <c r="F4680" s="42" t="s">
        <v>475</v>
      </c>
    </row>
    <row r="4681" spans="1:6" x14ac:dyDescent="0.35">
      <c r="A4681" s="42" t="s">
        <v>881</v>
      </c>
      <c r="B4681" s="42">
        <v>2699.92</v>
      </c>
      <c r="C4681" s="43">
        <v>0.17</v>
      </c>
      <c r="D4681" s="45">
        <v>45962</v>
      </c>
      <c r="E4681" s="45">
        <v>45991.999305555553</v>
      </c>
      <c r="F4681" s="42" t="s">
        <v>475</v>
      </c>
    </row>
  </sheetData>
  <autoFilter ref="A1:F2889" xr:uid="{97797BCD-AAAF-4824-A8B1-919B8C8ABF6B}"/>
  <conditionalFormatting sqref="A1">
    <cfRule type="duplicateValues" dxfId="9" priority="3"/>
    <cfRule type="duplicateValues" dxfId="8" priority="4"/>
  </conditionalFormatting>
  <conditionalFormatting sqref="A1:A12 A14:A1352">
    <cfRule type="duplicateValues" dxfId="7" priority="1"/>
    <cfRule type="duplicateValues" dxfId="6" priority="2"/>
  </conditionalFormatting>
  <conditionalFormatting sqref="A2:A12 A14:A1352">
    <cfRule type="duplicateValues" dxfId="5" priority="5"/>
  </conditionalFormatting>
  <conditionalFormatting sqref="A1353:A1048576">
    <cfRule type="duplicateValues" dxfId="4" priority="6"/>
    <cfRule type="duplicateValues" dxfId="3" priority="7"/>
    <cfRule type="duplicateValues" dxfId="2" priority="10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50F8-8516-4601-8A3F-4BEC4757FE15}">
  <sheetPr>
    <tabColor rgb="FF92D050"/>
  </sheetPr>
  <dimension ref="A1:I16"/>
  <sheetViews>
    <sheetView showGridLines="0" zoomScale="80" zoomScaleNormal="80" workbookViewId="0">
      <selection activeCell="I2" sqref="I2:I16"/>
    </sheetView>
  </sheetViews>
  <sheetFormatPr defaultRowHeight="14.5" x14ac:dyDescent="0.35"/>
  <cols>
    <col min="1" max="1" width="19.7265625" style="1" bestFit="1" customWidth="1"/>
    <col min="2" max="2" width="19.7265625" style="1" customWidth="1"/>
    <col min="3" max="3" width="72" style="4" customWidth="1"/>
    <col min="4" max="4" width="18.7265625" style="1" customWidth="1"/>
    <col min="5" max="6" width="19.26953125" style="5" customWidth="1"/>
    <col min="7" max="8" width="17" style="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x14ac:dyDescent="0.35">
      <c r="A2" s="1" t="s">
        <v>81</v>
      </c>
      <c r="B2" s="1" t="s">
        <v>82</v>
      </c>
      <c r="C2" s="4" t="s">
        <v>84</v>
      </c>
      <c r="D2" s="2" t="s">
        <v>39</v>
      </c>
      <c r="E2" s="3">
        <v>239.99</v>
      </c>
      <c r="F2" s="3">
        <v>209.93</v>
      </c>
      <c r="G2" s="3">
        <v>209.93</v>
      </c>
      <c r="H2" s="3">
        <v>199.93</v>
      </c>
      <c r="I2">
        <f>VLOOKUP(A2,'[1]WEB - SITE'!$A:$T,9,0)</f>
        <v>219.92</v>
      </c>
    </row>
    <row r="3" spans="1:9" x14ac:dyDescent="0.35">
      <c r="A3" s="1" t="s">
        <v>79</v>
      </c>
      <c r="B3" s="1" t="s">
        <v>80</v>
      </c>
      <c r="C3" s="4" t="s">
        <v>83</v>
      </c>
      <c r="D3" s="2" t="s">
        <v>39</v>
      </c>
      <c r="E3" s="3">
        <v>639.99</v>
      </c>
      <c r="F3" s="3">
        <v>559.92999999999995</v>
      </c>
      <c r="G3" s="3">
        <v>549.92999999999995</v>
      </c>
      <c r="H3" s="3">
        <v>529.92999999999995</v>
      </c>
      <c r="I3">
        <f>VLOOKUP(A3,'[1]WEB - SITE'!$A:$T,9,0)</f>
        <v>569.99</v>
      </c>
    </row>
    <row r="4" spans="1:9" x14ac:dyDescent="0.35">
      <c r="A4" s="1" t="s">
        <v>131</v>
      </c>
      <c r="B4" s="1" t="s">
        <v>138</v>
      </c>
      <c r="C4" s="4" t="s">
        <v>139</v>
      </c>
      <c r="D4" s="2" t="s">
        <v>39</v>
      </c>
      <c r="E4" s="3">
        <v>719.99</v>
      </c>
      <c r="F4" s="3">
        <v>629.92999999999995</v>
      </c>
      <c r="G4" s="3">
        <v>619.92999999999995</v>
      </c>
      <c r="H4" s="3">
        <v>599.92999999999995</v>
      </c>
      <c r="I4">
        <f>VLOOKUP(A4,'[1]WEB - SITE'!$A:$T,9,0)</f>
        <v>629.91999999999996</v>
      </c>
    </row>
    <row r="5" spans="1:9" x14ac:dyDescent="0.35">
      <c r="A5" s="1" t="s">
        <v>128</v>
      </c>
      <c r="B5" s="1" t="s">
        <v>140</v>
      </c>
      <c r="C5" s="4" t="s">
        <v>141</v>
      </c>
      <c r="D5" s="2" t="s">
        <v>39</v>
      </c>
      <c r="E5" s="3">
        <v>929.99</v>
      </c>
      <c r="F5" s="3">
        <v>809.93</v>
      </c>
      <c r="G5" s="3">
        <v>799.93</v>
      </c>
      <c r="H5" s="3">
        <v>769.93</v>
      </c>
      <c r="I5">
        <f>VLOOKUP(A5,'[1]WEB - SITE'!$A:$T,9,0)</f>
        <v>819.92</v>
      </c>
    </row>
    <row r="6" spans="1:9" x14ac:dyDescent="0.35">
      <c r="A6" s="1" t="s">
        <v>91</v>
      </c>
      <c r="B6" s="1" t="s">
        <v>94</v>
      </c>
      <c r="C6" s="4" t="s">
        <v>98</v>
      </c>
      <c r="D6" s="2" t="s">
        <v>39</v>
      </c>
      <c r="E6" s="3">
        <v>1009.99</v>
      </c>
      <c r="F6" s="3">
        <v>879.93</v>
      </c>
      <c r="G6" s="3">
        <v>859.93</v>
      </c>
      <c r="H6" s="3">
        <v>829.93</v>
      </c>
      <c r="I6">
        <f>VLOOKUP(A6,'[1]WEB - SITE'!$A:$T,9,0)</f>
        <v>879.92</v>
      </c>
    </row>
    <row r="7" spans="1:9" x14ac:dyDescent="0.35">
      <c r="A7" s="1" t="s">
        <v>132</v>
      </c>
      <c r="B7" s="1" t="s">
        <v>142</v>
      </c>
      <c r="C7" s="4" t="s">
        <v>143</v>
      </c>
      <c r="D7" s="2" t="s">
        <v>39</v>
      </c>
      <c r="E7" s="3">
        <v>1289.99</v>
      </c>
      <c r="F7" s="3">
        <v>1129.93</v>
      </c>
      <c r="G7" s="3">
        <v>1109.93</v>
      </c>
      <c r="H7" s="3">
        <v>1069.93</v>
      </c>
      <c r="I7">
        <f>VLOOKUP(A7,'[1]WEB - SITE'!$A:$T,9,0)</f>
        <v>1129.92</v>
      </c>
    </row>
    <row r="8" spans="1:9" x14ac:dyDescent="0.35">
      <c r="A8" s="1" t="s">
        <v>137</v>
      </c>
      <c r="B8" s="1" t="s">
        <v>144</v>
      </c>
      <c r="C8" s="4" t="s">
        <v>145</v>
      </c>
      <c r="D8" s="2" t="s">
        <v>39</v>
      </c>
      <c r="E8" s="3">
        <v>1329.99</v>
      </c>
      <c r="F8" s="3">
        <v>1159.93</v>
      </c>
      <c r="G8" s="3">
        <v>1139.93</v>
      </c>
      <c r="H8" s="3">
        <v>1099.93</v>
      </c>
      <c r="I8">
        <f>VLOOKUP(A8,'[1]WEB - SITE'!$A:$T,9,0)</f>
        <v>1159.92</v>
      </c>
    </row>
    <row r="9" spans="1:9" x14ac:dyDescent="0.35">
      <c r="A9" s="1" t="s">
        <v>133</v>
      </c>
      <c r="B9" s="1" t="s">
        <v>146</v>
      </c>
      <c r="C9" s="4" t="s">
        <v>147</v>
      </c>
      <c r="D9" s="2" t="s">
        <v>39</v>
      </c>
      <c r="E9" s="3">
        <v>1329.99</v>
      </c>
      <c r="F9" s="3">
        <v>1159.93</v>
      </c>
      <c r="G9" s="3">
        <v>1139.93</v>
      </c>
      <c r="H9" s="3">
        <v>1099.93</v>
      </c>
      <c r="I9">
        <f>VLOOKUP(A9,'[1]WEB - SITE'!$A:$T,9,0)</f>
        <v>1159.92</v>
      </c>
    </row>
    <row r="10" spans="1:9" x14ac:dyDescent="0.35">
      <c r="A10" s="1" t="s">
        <v>108</v>
      </c>
      <c r="B10" s="1" t="s">
        <v>109</v>
      </c>
      <c r="C10" s="4" t="s">
        <v>110</v>
      </c>
      <c r="D10" s="2" t="s">
        <v>39</v>
      </c>
      <c r="E10" s="3">
        <v>1329.99</v>
      </c>
      <c r="F10" s="3">
        <v>1159.93</v>
      </c>
      <c r="G10" s="3">
        <v>1139.93</v>
      </c>
      <c r="H10" s="3">
        <v>1099.93</v>
      </c>
      <c r="I10">
        <f>VLOOKUP(A10,'[1]WEB - SITE'!$A:$T,9,0)</f>
        <v>1159.92</v>
      </c>
    </row>
    <row r="11" spans="1:9" x14ac:dyDescent="0.35">
      <c r="A11" s="1" t="s">
        <v>85</v>
      </c>
      <c r="B11" s="1" t="s">
        <v>87</v>
      </c>
      <c r="C11" s="4" t="s">
        <v>86</v>
      </c>
      <c r="D11" s="2" t="s">
        <v>39</v>
      </c>
      <c r="E11" s="3">
        <v>1379.99</v>
      </c>
      <c r="F11" s="3">
        <v>1209.93</v>
      </c>
      <c r="G11" s="3">
        <v>1189.93</v>
      </c>
      <c r="H11" s="3">
        <v>1149.93</v>
      </c>
      <c r="I11">
        <f>VLOOKUP(A11,'[1]WEB - SITE'!$A:$T,9,0)</f>
        <v>1199.92</v>
      </c>
    </row>
    <row r="12" spans="1:9" x14ac:dyDescent="0.35">
      <c r="A12" s="1" t="s">
        <v>135</v>
      </c>
      <c r="B12" s="1" t="s">
        <v>148</v>
      </c>
      <c r="C12" s="4" t="s">
        <v>149</v>
      </c>
      <c r="D12" s="2" t="s">
        <v>39</v>
      </c>
      <c r="E12" s="3">
        <v>1379.99</v>
      </c>
      <c r="F12" s="3">
        <v>1209.93</v>
      </c>
      <c r="G12" s="3">
        <v>1189.93</v>
      </c>
      <c r="H12" s="3">
        <v>1149.93</v>
      </c>
      <c r="I12">
        <f>VLOOKUP(A12,'[1]WEB - SITE'!$A:$T,9,0)</f>
        <v>1199.92</v>
      </c>
    </row>
    <row r="13" spans="1:9" x14ac:dyDescent="0.35">
      <c r="A13" s="1" t="s">
        <v>134</v>
      </c>
      <c r="B13" s="1" t="s">
        <v>150</v>
      </c>
      <c r="C13" s="4" t="s">
        <v>151</v>
      </c>
      <c r="D13" s="2" t="s">
        <v>39</v>
      </c>
      <c r="E13" s="3">
        <v>1649.99</v>
      </c>
      <c r="F13" s="3">
        <v>1439.93</v>
      </c>
      <c r="G13" s="3">
        <v>1419.93</v>
      </c>
      <c r="H13" s="3">
        <v>1369.93</v>
      </c>
      <c r="I13">
        <f>VLOOKUP(A13,'[1]WEB - SITE'!$A:$T,9,0)</f>
        <v>1369.99</v>
      </c>
    </row>
    <row r="14" spans="1:9" x14ac:dyDescent="0.35">
      <c r="A14" s="1" t="s">
        <v>130</v>
      </c>
      <c r="B14" s="1" t="s">
        <v>152</v>
      </c>
      <c r="C14" s="4" t="s">
        <v>153</v>
      </c>
      <c r="D14" s="2" t="s">
        <v>39</v>
      </c>
      <c r="E14" s="3">
        <v>1679.99</v>
      </c>
      <c r="F14" s="3">
        <v>1469.93</v>
      </c>
      <c r="G14" s="3">
        <v>1439.93</v>
      </c>
      <c r="H14" s="3">
        <v>1399.93</v>
      </c>
      <c r="I14">
        <f>VLOOKUP(A14,'[1]WEB - SITE'!$A:$T,9,0)</f>
        <v>1459.92</v>
      </c>
    </row>
    <row r="15" spans="1:9" x14ac:dyDescent="0.35">
      <c r="A15" s="1" t="s">
        <v>136</v>
      </c>
      <c r="B15" s="1" t="s">
        <v>154</v>
      </c>
      <c r="C15" s="4" t="s">
        <v>155</v>
      </c>
      <c r="D15" s="2" t="s">
        <v>39</v>
      </c>
      <c r="E15" s="3">
        <v>1919.99</v>
      </c>
      <c r="F15" s="3">
        <v>1679.93</v>
      </c>
      <c r="G15" s="3">
        <v>1649.93</v>
      </c>
      <c r="H15" s="3">
        <v>1599.93</v>
      </c>
      <c r="I15">
        <f>VLOOKUP(A15,'[1]WEB - SITE'!$A:$T,9,0)</f>
        <v>1679.92</v>
      </c>
    </row>
    <row r="16" spans="1:9" x14ac:dyDescent="0.35">
      <c r="A16" s="1" t="s">
        <v>129</v>
      </c>
      <c r="B16" s="1" t="s">
        <v>156</v>
      </c>
      <c r="C16" s="4" t="s">
        <v>157</v>
      </c>
      <c r="D16" s="2" t="s">
        <v>39</v>
      </c>
      <c r="E16" s="3">
        <v>2259.9899999999998</v>
      </c>
      <c r="F16" s="3">
        <v>1979.93</v>
      </c>
      <c r="G16" s="3">
        <v>1939.93</v>
      </c>
      <c r="H16" s="3">
        <v>1879.9929999999999</v>
      </c>
      <c r="I16">
        <f>VLOOKUP(A16,'[1]WEB - SITE'!$A:$T,9,0)</f>
        <v>1959.92</v>
      </c>
    </row>
  </sheetData>
  <conditionalFormatting sqref="A1:A1048576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0E1-9FDE-46A9-B9AF-60C009314ACD}">
  <sheetPr>
    <tabColor rgb="FF92D050"/>
  </sheetPr>
  <dimension ref="A1:H31"/>
  <sheetViews>
    <sheetView showGridLines="0" zoomScale="80" zoomScaleNormal="80" workbookViewId="0">
      <selection activeCell="I2" sqref="I2:I16"/>
    </sheetView>
  </sheetViews>
  <sheetFormatPr defaultRowHeight="14.5" x14ac:dyDescent="0.35"/>
  <cols>
    <col min="1" max="2" width="19.1796875" style="1" customWidth="1"/>
    <col min="3" max="3" width="73.1796875" style="4" customWidth="1"/>
    <col min="4" max="4" width="14.7265625" customWidth="1"/>
    <col min="5" max="8" width="18.7265625" style="1" customWidth="1"/>
  </cols>
  <sheetData>
    <row r="1" spans="1:8" x14ac:dyDescent="0.35">
      <c r="A1" s="1" t="s">
        <v>0</v>
      </c>
      <c r="B1" s="1" t="s">
        <v>66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176</v>
      </c>
      <c r="B2" s="1" t="s">
        <v>202</v>
      </c>
      <c r="C2" s="4" t="s">
        <v>228</v>
      </c>
      <c r="D2" s="2" t="s">
        <v>70</v>
      </c>
      <c r="E2" s="3">
        <v>349.99</v>
      </c>
      <c r="F2" s="3">
        <v>299.95</v>
      </c>
      <c r="G2" s="3">
        <v>289.95</v>
      </c>
      <c r="H2" s="3">
        <v>279.95</v>
      </c>
    </row>
    <row r="3" spans="1:8" x14ac:dyDescent="0.35">
      <c r="A3" s="1" t="s">
        <v>171</v>
      </c>
      <c r="B3" s="1" t="s">
        <v>197</v>
      </c>
      <c r="C3" s="4" t="s">
        <v>223</v>
      </c>
      <c r="D3" s="2" t="s">
        <v>70</v>
      </c>
      <c r="E3" s="3">
        <v>479.99</v>
      </c>
      <c r="F3" s="3">
        <v>419.95</v>
      </c>
      <c r="G3" s="3">
        <v>419.95</v>
      </c>
      <c r="H3" s="3">
        <v>399.95</v>
      </c>
    </row>
    <row r="4" spans="1:8" x14ac:dyDescent="0.35">
      <c r="A4" s="1" t="s">
        <v>160</v>
      </c>
      <c r="B4" s="1" t="s">
        <v>186</v>
      </c>
      <c r="C4" s="4" t="s">
        <v>212</v>
      </c>
      <c r="D4" s="2" t="s">
        <v>70</v>
      </c>
      <c r="E4" s="3">
        <v>479.99</v>
      </c>
      <c r="F4" s="3">
        <v>419.95</v>
      </c>
      <c r="G4" s="3">
        <v>419.95</v>
      </c>
      <c r="H4" s="3">
        <v>399.95</v>
      </c>
    </row>
    <row r="5" spans="1:8" x14ac:dyDescent="0.35">
      <c r="A5" s="1" t="s">
        <v>175</v>
      </c>
      <c r="B5" s="1" t="s">
        <v>201</v>
      </c>
      <c r="C5" s="4" t="s">
        <v>227</v>
      </c>
      <c r="D5" s="2" t="s">
        <v>70</v>
      </c>
      <c r="E5" s="3">
        <v>559.99</v>
      </c>
      <c r="F5" s="3">
        <v>489.95</v>
      </c>
      <c r="G5" s="3">
        <v>479.95</v>
      </c>
      <c r="H5" s="3">
        <v>459.95</v>
      </c>
    </row>
    <row r="6" spans="1:8" x14ac:dyDescent="0.35">
      <c r="A6" s="1" t="s">
        <v>159</v>
      </c>
      <c r="B6" s="1" t="s">
        <v>185</v>
      </c>
      <c r="C6" s="4" t="s">
        <v>211</v>
      </c>
      <c r="D6" s="2" t="s">
        <v>70</v>
      </c>
      <c r="E6" s="3">
        <v>589.99</v>
      </c>
      <c r="F6" s="3">
        <v>509.95</v>
      </c>
      <c r="G6" s="3">
        <v>499.95</v>
      </c>
      <c r="H6" s="3">
        <v>479.95</v>
      </c>
    </row>
    <row r="7" spans="1:8" x14ac:dyDescent="0.35">
      <c r="A7" s="1" t="s">
        <v>180</v>
      </c>
      <c r="B7" s="1" t="s">
        <v>206</v>
      </c>
      <c r="C7" s="4" t="s">
        <v>233</v>
      </c>
      <c r="D7" s="2" t="s">
        <v>70</v>
      </c>
      <c r="E7" s="3">
        <v>609.99</v>
      </c>
      <c r="F7" s="3">
        <v>529.95000000000005</v>
      </c>
      <c r="G7" s="3">
        <v>519.95000000000005</v>
      </c>
      <c r="H7" s="3">
        <v>499.95</v>
      </c>
    </row>
    <row r="8" spans="1:8" x14ac:dyDescent="0.35">
      <c r="A8" s="1" t="s">
        <v>181</v>
      </c>
      <c r="B8" s="1" t="s">
        <v>207</v>
      </c>
      <c r="C8" s="4" t="s">
        <v>234</v>
      </c>
      <c r="D8" s="2" t="s">
        <v>70</v>
      </c>
      <c r="E8" s="3">
        <v>609.99</v>
      </c>
      <c r="F8" s="3">
        <v>529.95000000000005</v>
      </c>
      <c r="G8" s="3">
        <v>519.95000000000005</v>
      </c>
      <c r="H8" s="3">
        <v>499.95</v>
      </c>
    </row>
    <row r="9" spans="1:8" x14ac:dyDescent="0.35">
      <c r="A9" s="1" t="s">
        <v>173</v>
      </c>
      <c r="B9" s="1" t="s">
        <v>199</v>
      </c>
      <c r="C9" s="4" t="s">
        <v>225</v>
      </c>
      <c r="D9" s="2" t="s">
        <v>70</v>
      </c>
      <c r="E9" s="3">
        <v>629.99</v>
      </c>
      <c r="F9" s="3">
        <v>549.95000000000005</v>
      </c>
      <c r="G9" s="3">
        <v>539.95000000000005</v>
      </c>
      <c r="H9" s="3">
        <v>519.95000000000005</v>
      </c>
    </row>
    <row r="10" spans="1:8" x14ac:dyDescent="0.35">
      <c r="A10" s="1" t="s">
        <v>178</v>
      </c>
      <c r="B10" s="1" t="s">
        <v>204</v>
      </c>
      <c r="C10" s="4" t="s">
        <v>230</v>
      </c>
      <c r="D10" s="2" t="s">
        <v>70</v>
      </c>
      <c r="E10" s="3">
        <v>629.99</v>
      </c>
      <c r="F10" s="3">
        <v>549.95000000000005</v>
      </c>
      <c r="G10" s="3">
        <v>539.95000000000005</v>
      </c>
      <c r="H10" s="3">
        <v>519.95000000000005</v>
      </c>
    </row>
    <row r="11" spans="1:8" x14ac:dyDescent="0.35">
      <c r="A11" s="1" t="s">
        <v>170</v>
      </c>
      <c r="B11" s="1" t="s">
        <v>196</v>
      </c>
      <c r="C11" s="4" t="s">
        <v>222</v>
      </c>
      <c r="D11" s="2" t="s">
        <v>70</v>
      </c>
      <c r="E11" s="3">
        <v>639.99</v>
      </c>
      <c r="F11" s="3">
        <v>559.95000000000005</v>
      </c>
      <c r="G11" s="3">
        <v>549.95000000000005</v>
      </c>
      <c r="H11" s="3">
        <v>529.95000000000005</v>
      </c>
    </row>
    <row r="12" spans="1:8" x14ac:dyDescent="0.35">
      <c r="A12" s="1" t="s">
        <v>169</v>
      </c>
      <c r="B12" s="1" t="s">
        <v>195</v>
      </c>
      <c r="C12" s="4" t="s">
        <v>221</v>
      </c>
      <c r="D12" s="2" t="s">
        <v>70</v>
      </c>
      <c r="E12" s="3">
        <v>689.99</v>
      </c>
      <c r="F12" s="3">
        <v>599.95000000000005</v>
      </c>
      <c r="G12" s="3">
        <v>589.95000000000005</v>
      </c>
      <c r="H12" s="3">
        <v>569.95000000000005</v>
      </c>
    </row>
    <row r="13" spans="1:8" x14ac:dyDescent="0.35">
      <c r="A13" s="1" t="s">
        <v>179</v>
      </c>
      <c r="B13" s="1" t="s">
        <v>205</v>
      </c>
      <c r="C13" s="4" t="s">
        <v>232</v>
      </c>
      <c r="D13" s="2" t="s">
        <v>70</v>
      </c>
      <c r="E13" s="3">
        <v>719.99</v>
      </c>
      <c r="F13" s="3">
        <v>629.95000000000005</v>
      </c>
      <c r="G13" s="3">
        <v>619.95000000000005</v>
      </c>
      <c r="H13" s="3">
        <v>599.95000000000005</v>
      </c>
    </row>
    <row r="14" spans="1:8" x14ac:dyDescent="0.35">
      <c r="A14" s="1" t="s">
        <v>73</v>
      </c>
      <c r="B14" s="1" t="s">
        <v>74</v>
      </c>
      <c r="C14" s="4" t="s">
        <v>231</v>
      </c>
      <c r="D14" s="2" t="s">
        <v>70</v>
      </c>
      <c r="E14" s="3">
        <v>849.99</v>
      </c>
      <c r="F14" s="3">
        <v>739.95</v>
      </c>
      <c r="G14" s="3">
        <v>729.95</v>
      </c>
      <c r="H14" s="3">
        <v>699.95</v>
      </c>
    </row>
    <row r="15" spans="1:8" x14ac:dyDescent="0.35">
      <c r="A15" s="1" t="s">
        <v>90</v>
      </c>
      <c r="B15" s="1" t="s">
        <v>93</v>
      </c>
      <c r="C15" s="4" t="s">
        <v>97</v>
      </c>
      <c r="D15" s="2" t="s">
        <v>70</v>
      </c>
      <c r="E15" s="3">
        <v>909.99</v>
      </c>
      <c r="F15" s="3">
        <v>789.95</v>
      </c>
      <c r="G15" s="3">
        <v>779.95</v>
      </c>
      <c r="H15" s="3">
        <v>749.95</v>
      </c>
    </row>
    <row r="16" spans="1:8" x14ac:dyDescent="0.35">
      <c r="A16" s="1" t="s">
        <v>162</v>
      </c>
      <c r="B16" s="1" t="s">
        <v>188</v>
      </c>
      <c r="C16" s="4" t="s">
        <v>214</v>
      </c>
      <c r="D16" s="2" t="s">
        <v>70</v>
      </c>
      <c r="E16" s="3">
        <v>919.99</v>
      </c>
      <c r="F16" s="3">
        <v>799.95</v>
      </c>
      <c r="G16" s="3">
        <v>789.95</v>
      </c>
      <c r="H16" s="3">
        <v>759.95</v>
      </c>
    </row>
    <row r="17" spans="1:8" x14ac:dyDescent="0.35">
      <c r="A17" s="1" t="s">
        <v>166</v>
      </c>
      <c r="B17" s="1" t="s">
        <v>192</v>
      </c>
      <c r="C17" s="4" t="s">
        <v>218</v>
      </c>
      <c r="D17" s="2" t="s">
        <v>70</v>
      </c>
      <c r="E17" s="3">
        <v>919.99</v>
      </c>
      <c r="F17" s="3">
        <v>799.95</v>
      </c>
      <c r="G17" s="3">
        <v>789.95</v>
      </c>
      <c r="H17" s="3">
        <v>759.95</v>
      </c>
    </row>
    <row r="18" spans="1:8" x14ac:dyDescent="0.35">
      <c r="A18" s="1" t="s">
        <v>182</v>
      </c>
      <c r="B18" s="1" t="s">
        <v>208</v>
      </c>
      <c r="C18" s="4" t="s">
        <v>235</v>
      </c>
      <c r="D18" s="2" t="s">
        <v>70</v>
      </c>
      <c r="E18" s="3">
        <v>929.99</v>
      </c>
      <c r="F18" s="3">
        <v>809.95</v>
      </c>
      <c r="G18" s="3">
        <v>799.95</v>
      </c>
      <c r="H18" s="3">
        <v>769.95</v>
      </c>
    </row>
    <row r="19" spans="1:8" x14ac:dyDescent="0.35">
      <c r="A19" s="1" t="s">
        <v>172</v>
      </c>
      <c r="B19" s="1" t="s">
        <v>198</v>
      </c>
      <c r="C19" s="4" t="s">
        <v>224</v>
      </c>
      <c r="D19" s="2" t="s">
        <v>70</v>
      </c>
      <c r="E19" s="3">
        <v>1039.99</v>
      </c>
      <c r="F19" s="3">
        <v>909.95</v>
      </c>
      <c r="G19" s="3">
        <v>889.95</v>
      </c>
      <c r="H19" s="3">
        <v>859.95</v>
      </c>
    </row>
    <row r="20" spans="1:8" x14ac:dyDescent="0.35">
      <c r="A20" s="1" t="s">
        <v>89</v>
      </c>
      <c r="B20" s="1" t="s">
        <v>92</v>
      </c>
      <c r="C20" s="4" t="s">
        <v>96</v>
      </c>
      <c r="D20" s="2" t="s">
        <v>70</v>
      </c>
      <c r="E20" s="3">
        <v>1049.99</v>
      </c>
      <c r="F20" s="3">
        <v>919.95</v>
      </c>
      <c r="G20" s="3">
        <v>899.95</v>
      </c>
      <c r="H20" s="3">
        <v>869.95</v>
      </c>
    </row>
    <row r="21" spans="1:8" x14ac:dyDescent="0.35">
      <c r="A21" s="1" t="s">
        <v>164</v>
      </c>
      <c r="B21" s="1" t="s">
        <v>190</v>
      </c>
      <c r="C21" s="4" t="s">
        <v>216</v>
      </c>
      <c r="D21" s="2" t="s">
        <v>70</v>
      </c>
      <c r="E21" s="3">
        <v>1119.99</v>
      </c>
      <c r="F21" s="3">
        <v>979.95</v>
      </c>
      <c r="G21" s="3">
        <v>959.95</v>
      </c>
      <c r="H21" s="3">
        <v>929.95</v>
      </c>
    </row>
    <row r="22" spans="1:8" x14ac:dyDescent="0.35">
      <c r="A22" s="1" t="s">
        <v>183</v>
      </c>
      <c r="B22" s="1" t="s">
        <v>209</v>
      </c>
      <c r="C22" s="4" t="s">
        <v>236</v>
      </c>
      <c r="D22" s="2" t="s">
        <v>70</v>
      </c>
      <c r="E22" s="3">
        <v>1119.99</v>
      </c>
      <c r="F22" s="3">
        <v>979.95</v>
      </c>
      <c r="G22" s="3">
        <v>959.95</v>
      </c>
      <c r="H22" s="3">
        <v>929.95</v>
      </c>
    </row>
    <row r="23" spans="1:8" x14ac:dyDescent="0.35">
      <c r="A23" s="1" t="s">
        <v>167</v>
      </c>
      <c r="B23" s="1" t="s">
        <v>193</v>
      </c>
      <c r="C23" s="4" t="s">
        <v>219</v>
      </c>
      <c r="D23" s="2" t="s">
        <v>70</v>
      </c>
      <c r="E23" s="3">
        <v>1329.99</v>
      </c>
      <c r="F23" s="3">
        <v>1159.95</v>
      </c>
      <c r="G23" s="3">
        <v>1139.95</v>
      </c>
      <c r="H23" s="3">
        <v>1099.95</v>
      </c>
    </row>
    <row r="24" spans="1:8" x14ac:dyDescent="0.35">
      <c r="A24" s="1" t="s">
        <v>168</v>
      </c>
      <c r="B24" s="1" t="s">
        <v>194</v>
      </c>
      <c r="C24" s="4" t="s">
        <v>220</v>
      </c>
      <c r="D24" s="2" t="s">
        <v>70</v>
      </c>
      <c r="E24" s="3">
        <v>1399.99</v>
      </c>
      <c r="F24" s="3">
        <v>1219.95</v>
      </c>
      <c r="G24" s="3">
        <v>1199.95</v>
      </c>
      <c r="H24" s="3">
        <v>1159.95</v>
      </c>
    </row>
    <row r="25" spans="1:8" x14ac:dyDescent="0.35">
      <c r="A25" s="1" t="s">
        <v>177</v>
      </c>
      <c r="B25" s="1" t="s">
        <v>203</v>
      </c>
      <c r="C25" s="4" t="s">
        <v>229</v>
      </c>
      <c r="D25" s="2" t="s">
        <v>70</v>
      </c>
      <c r="E25" s="3">
        <v>1509.99</v>
      </c>
      <c r="F25" s="3">
        <v>1319.95</v>
      </c>
      <c r="G25" s="3">
        <v>1289.95</v>
      </c>
      <c r="H25" s="3">
        <v>1249.95</v>
      </c>
    </row>
    <row r="26" spans="1:8" x14ac:dyDescent="0.35">
      <c r="A26" s="1" t="s">
        <v>163</v>
      </c>
      <c r="B26" s="1" t="s">
        <v>189</v>
      </c>
      <c r="C26" s="4" t="s">
        <v>215</v>
      </c>
      <c r="D26" s="2" t="s">
        <v>70</v>
      </c>
      <c r="E26" s="3">
        <v>1599.99</v>
      </c>
      <c r="F26" s="3">
        <v>1399.95</v>
      </c>
      <c r="G26" s="3">
        <v>1369.95</v>
      </c>
      <c r="H26" s="3">
        <v>1329.95</v>
      </c>
    </row>
    <row r="27" spans="1:8" x14ac:dyDescent="0.35">
      <c r="A27" s="1" t="s">
        <v>105</v>
      </c>
      <c r="B27" s="1" t="s">
        <v>106</v>
      </c>
      <c r="C27" s="4" t="s">
        <v>107</v>
      </c>
      <c r="D27" s="2" t="s">
        <v>70</v>
      </c>
      <c r="E27" s="3">
        <v>1679.99</v>
      </c>
      <c r="F27" s="3">
        <v>1469.95</v>
      </c>
      <c r="G27" s="3">
        <v>1449.95</v>
      </c>
      <c r="H27" s="3">
        <v>1399.95</v>
      </c>
    </row>
    <row r="28" spans="1:8" x14ac:dyDescent="0.35">
      <c r="A28" s="1" t="s">
        <v>174</v>
      </c>
      <c r="B28" s="1" t="s">
        <v>200</v>
      </c>
      <c r="C28" s="4" t="s">
        <v>226</v>
      </c>
      <c r="D28" s="2" t="s">
        <v>70</v>
      </c>
      <c r="E28" s="3">
        <v>1889.99</v>
      </c>
      <c r="F28" s="3">
        <v>1649.95</v>
      </c>
      <c r="G28" s="3">
        <v>1619.95</v>
      </c>
      <c r="H28" s="3">
        <v>1569.95</v>
      </c>
    </row>
    <row r="29" spans="1:8" x14ac:dyDescent="0.35">
      <c r="A29" s="1" t="s">
        <v>165</v>
      </c>
      <c r="B29" s="1" t="s">
        <v>191</v>
      </c>
      <c r="C29" s="4" t="s">
        <v>217</v>
      </c>
      <c r="D29" s="2" t="s">
        <v>70</v>
      </c>
      <c r="E29" s="3">
        <v>2579.9899999999998</v>
      </c>
      <c r="F29" s="3">
        <v>2259.9499999999998</v>
      </c>
      <c r="G29" s="3">
        <v>2219.9499999999998</v>
      </c>
      <c r="H29" s="3">
        <v>2149.9499999999998</v>
      </c>
    </row>
    <row r="30" spans="1:8" x14ac:dyDescent="0.35">
      <c r="A30" s="1" t="s">
        <v>161</v>
      </c>
      <c r="B30" s="1" t="s">
        <v>187</v>
      </c>
      <c r="C30" s="4" t="s">
        <v>213</v>
      </c>
      <c r="D30" s="2" t="s">
        <v>70</v>
      </c>
      <c r="E30" s="3">
        <v>3119.99</v>
      </c>
      <c r="F30" s="3">
        <v>2729.95</v>
      </c>
      <c r="G30" s="3">
        <v>2679.95</v>
      </c>
      <c r="H30" s="3">
        <v>2599.9499999999998</v>
      </c>
    </row>
    <row r="31" spans="1:8" x14ac:dyDescent="0.35">
      <c r="A31" s="1" t="s">
        <v>158</v>
      </c>
      <c r="B31" s="1" t="s">
        <v>184</v>
      </c>
      <c r="C31" s="4" t="s">
        <v>210</v>
      </c>
      <c r="D31" s="2" t="s">
        <v>70</v>
      </c>
      <c r="E31" s="3">
        <v>3189.99</v>
      </c>
      <c r="F31" s="3">
        <v>2789.95</v>
      </c>
      <c r="G31" s="3">
        <v>2729.95</v>
      </c>
      <c r="H31" s="3">
        <v>2649.95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6C11C-CD4B-4214-BE4A-E85A650772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VIA</vt:lpstr>
      <vt:lpstr>MADEIRA</vt:lpstr>
      <vt:lpstr>SHOPEE</vt:lpstr>
      <vt:lpstr>MAGALU</vt:lpstr>
      <vt:lpstr>MELI</vt:lpstr>
      <vt:lpstr>Negociados</vt:lpstr>
      <vt:lpstr>CARREFOUR</vt:lpstr>
      <vt:lpstr>SITE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Mayer</dc:creator>
  <cp:lastModifiedBy>Ezequiel Dannus</cp:lastModifiedBy>
  <dcterms:created xsi:type="dcterms:W3CDTF">2023-11-27T17:47:17Z</dcterms:created>
  <dcterms:modified xsi:type="dcterms:W3CDTF">2025-11-27T20:34:17Z</dcterms:modified>
</cp:coreProperties>
</file>